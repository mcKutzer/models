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ckut\Desktop\Stonks\Analysis\"/>
    </mc:Choice>
  </mc:AlternateContent>
  <xr:revisionPtr revIDLastSave="0" documentId="13_ncr:1_{87AA5DBA-DAE3-4C67-80C1-3543B75015B4}" xr6:coauthVersionLast="47" xr6:coauthVersionMax="47" xr10:uidLastSave="{00000000-0000-0000-0000-000000000000}"/>
  <bookViews>
    <workbookView xWindow="-120" yWindow="-120" windowWidth="29040" windowHeight="15840" xr2:uid="{CD4155E4-1584-46B5-9276-06F420C62D64}"/>
  </bookViews>
  <sheets>
    <sheet name="Sheet1" sheetId="1" r:id="rId1"/>
  </sheets>
  <definedNames>
    <definedName name="TR">Sheet1!$U$43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9" i="1" l="1"/>
  <c r="J34" i="1"/>
  <c r="J33" i="1"/>
  <c r="K33" i="1" s="1"/>
  <c r="L33" i="1" s="1"/>
  <c r="M33" i="1" s="1"/>
  <c r="N33" i="1" s="1"/>
  <c r="O33" i="1" s="1"/>
  <c r="P33" i="1" s="1"/>
  <c r="Q33" i="1" s="1"/>
  <c r="R33" i="1" s="1"/>
  <c r="J32" i="1"/>
  <c r="K32" i="1" s="1"/>
  <c r="L32" i="1" s="1"/>
  <c r="M32" i="1" s="1"/>
  <c r="N32" i="1" s="1"/>
  <c r="O32" i="1" s="1"/>
  <c r="P32" i="1" s="1"/>
  <c r="Q32" i="1" s="1"/>
  <c r="R32" i="1" s="1"/>
  <c r="J67" i="1"/>
  <c r="J66" i="1"/>
  <c r="J63" i="1"/>
  <c r="J68" i="1" s="1"/>
  <c r="J25" i="1"/>
  <c r="J26" i="1" s="1"/>
  <c r="J41" i="1" s="1"/>
  <c r="K27" i="1"/>
  <c r="L27" i="1"/>
  <c r="M27" i="1"/>
  <c r="N27" i="1"/>
  <c r="O24" i="1"/>
  <c r="O27" i="1" s="1"/>
  <c r="I49" i="1"/>
  <c r="I48" i="1"/>
  <c r="I47" i="1"/>
  <c r="I52" i="1"/>
  <c r="I51" i="1"/>
  <c r="I50" i="1"/>
  <c r="I44" i="1"/>
  <c r="K25" i="1"/>
  <c r="K26" i="1" s="1"/>
  <c r="L25" i="1"/>
  <c r="L26" i="1" s="1"/>
  <c r="M25" i="1"/>
  <c r="M26" i="1" s="1"/>
  <c r="N25" i="1"/>
  <c r="N26" i="1" s="1"/>
  <c r="F9" i="1"/>
  <c r="F5" i="1"/>
  <c r="E5" i="1"/>
  <c r="E6" i="1"/>
  <c r="E7" i="1"/>
  <c r="E9" i="1"/>
  <c r="E10" i="1"/>
  <c r="E11" i="1"/>
  <c r="F6" i="1"/>
  <c r="F7" i="1"/>
  <c r="F10" i="1"/>
  <c r="F11" i="1"/>
  <c r="I8" i="1"/>
  <c r="I12" i="1"/>
  <c r="H12" i="1"/>
  <c r="H8" i="1"/>
  <c r="H4" i="1" s="1"/>
  <c r="H18" i="1"/>
  <c r="H22" i="1"/>
  <c r="H23" i="1"/>
  <c r="I22" i="1"/>
  <c r="I18" i="1"/>
  <c r="I23" i="1"/>
  <c r="I56" i="1"/>
  <c r="H56" i="1"/>
  <c r="H60" i="1"/>
  <c r="I60" i="1"/>
  <c r="I61" i="1" s="1"/>
  <c r="I67" i="1"/>
  <c r="H67" i="1"/>
  <c r="H66" i="1"/>
  <c r="I66" i="1"/>
  <c r="H63" i="1"/>
  <c r="I63" i="1"/>
  <c r="I34" i="1"/>
  <c r="H34" i="1"/>
  <c r="I26" i="1"/>
  <c r="I30" i="1" s="1"/>
  <c r="H26" i="1"/>
  <c r="H30" i="1" s="1"/>
  <c r="H42" i="1" s="1"/>
  <c r="C26" i="1"/>
  <c r="C30" i="1" s="1"/>
  <c r="C35" i="1" s="1"/>
  <c r="C37" i="1" s="1"/>
  <c r="I2" i="1"/>
  <c r="J2" i="1" s="1"/>
  <c r="K2" i="1" s="1"/>
  <c r="L2" i="1" s="1"/>
  <c r="M2" i="1" s="1"/>
  <c r="N2" i="1" s="1"/>
  <c r="O2" i="1" s="1"/>
  <c r="P2" i="1" s="1"/>
  <c r="Q2" i="1" s="1"/>
  <c r="R2" i="1" s="1"/>
  <c r="U45" i="1" l="1"/>
  <c r="E12" i="1"/>
  <c r="I45" i="1"/>
  <c r="I46" i="1"/>
  <c r="M41" i="1"/>
  <c r="M30" i="1"/>
  <c r="M42" i="1" s="1"/>
  <c r="L30" i="1"/>
  <c r="L35" i="1" s="1"/>
  <c r="L41" i="1"/>
  <c r="K30" i="1"/>
  <c r="K35" i="1" s="1"/>
  <c r="K41" i="1"/>
  <c r="N30" i="1"/>
  <c r="N42" i="1" s="1"/>
  <c r="N41" i="1"/>
  <c r="P24" i="1"/>
  <c r="E8" i="1"/>
  <c r="O25" i="1"/>
  <c r="O26" i="1" s="1"/>
  <c r="F12" i="1"/>
  <c r="J27" i="1"/>
  <c r="L42" i="1"/>
  <c r="J30" i="1"/>
  <c r="H68" i="1"/>
  <c r="I4" i="1"/>
  <c r="F8" i="1"/>
  <c r="I68" i="1"/>
  <c r="I35" i="1"/>
  <c r="I37" i="1" s="1"/>
  <c r="I43" i="1" s="1"/>
  <c r="H41" i="1"/>
  <c r="I41" i="1"/>
  <c r="I42" i="1"/>
  <c r="H35" i="1"/>
  <c r="H37" i="1" s="1"/>
  <c r="H43" i="1" s="1"/>
  <c r="M35" i="1" l="1"/>
  <c r="K42" i="1"/>
  <c r="L36" i="1"/>
  <c r="L37" i="1" s="1"/>
  <c r="K36" i="1"/>
  <c r="K37" i="1" s="1"/>
  <c r="O30" i="1"/>
  <c r="O41" i="1"/>
  <c r="Q24" i="1"/>
  <c r="P27" i="1"/>
  <c r="P25" i="1"/>
  <c r="P26" i="1" s="1"/>
  <c r="N35" i="1"/>
  <c r="M37" i="1"/>
  <c r="M36" i="1"/>
  <c r="J35" i="1"/>
  <c r="J42" i="1"/>
  <c r="K43" i="1" l="1"/>
  <c r="K39" i="1"/>
  <c r="L43" i="1"/>
  <c r="L39" i="1"/>
  <c r="M43" i="1"/>
  <c r="M39" i="1"/>
  <c r="N36" i="1"/>
  <c r="N37" i="1" s="1"/>
  <c r="P41" i="1"/>
  <c r="P30" i="1"/>
  <c r="R24" i="1"/>
  <c r="Q27" i="1"/>
  <c r="Q25" i="1"/>
  <c r="Q26" i="1" s="1"/>
  <c r="O35" i="1"/>
  <c r="O42" i="1"/>
  <c r="J36" i="1"/>
  <c r="J37" i="1" s="1"/>
  <c r="N43" i="1" l="1"/>
  <c r="N39" i="1"/>
  <c r="J43" i="1"/>
  <c r="J39" i="1"/>
  <c r="Q41" i="1"/>
  <c r="Q30" i="1"/>
  <c r="O36" i="1"/>
  <c r="O37" i="1" s="1"/>
  <c r="R27" i="1"/>
  <c r="R25" i="1"/>
  <c r="R26" i="1" s="1"/>
  <c r="P35" i="1"/>
  <c r="P42" i="1"/>
  <c r="O43" i="1" l="1"/>
  <c r="O39" i="1"/>
  <c r="R41" i="1"/>
  <c r="R30" i="1"/>
  <c r="P36" i="1"/>
  <c r="P37" i="1" s="1"/>
  <c r="Q35" i="1"/>
  <c r="Q42" i="1"/>
  <c r="P43" i="1" l="1"/>
  <c r="P39" i="1"/>
  <c r="Q36" i="1"/>
  <c r="Q37" i="1" s="1"/>
  <c r="R35" i="1"/>
  <c r="R42" i="1"/>
  <c r="Q43" i="1" l="1"/>
  <c r="Q39" i="1"/>
  <c r="R36" i="1"/>
  <c r="R37" i="1" s="1"/>
  <c r="R43" i="1" l="1"/>
  <c r="R39" i="1"/>
  <c r="S37" i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AG37" i="1" s="1"/>
  <c r="AH37" i="1" s="1"/>
  <c r="AI37" i="1" s="1"/>
  <c r="AJ37" i="1" s="1"/>
  <c r="AK37" i="1" s="1"/>
  <c r="AL37" i="1" s="1"/>
  <c r="AM37" i="1" s="1"/>
  <c r="AN37" i="1" s="1"/>
  <c r="AO37" i="1" s="1"/>
  <c r="AP37" i="1" s="1"/>
  <c r="AQ37" i="1" s="1"/>
  <c r="AR37" i="1" s="1"/>
  <c r="AS37" i="1" s="1"/>
  <c r="AT37" i="1" s="1"/>
  <c r="AU37" i="1" s="1"/>
  <c r="AV37" i="1" s="1"/>
  <c r="AW37" i="1" s="1"/>
  <c r="AX37" i="1" s="1"/>
  <c r="AY37" i="1" s="1"/>
  <c r="AZ37" i="1" s="1"/>
  <c r="BA37" i="1" s="1"/>
  <c r="BB37" i="1" s="1"/>
  <c r="BC37" i="1" s="1"/>
  <c r="BD37" i="1" s="1"/>
  <c r="BE37" i="1" s="1"/>
  <c r="BF37" i="1" s="1"/>
  <c r="BG37" i="1" s="1"/>
  <c r="BH37" i="1" s="1"/>
  <c r="BI37" i="1" s="1"/>
  <c r="BJ37" i="1" s="1"/>
  <c r="BK37" i="1" s="1"/>
  <c r="BL37" i="1" s="1"/>
  <c r="BM37" i="1" s="1"/>
  <c r="BN37" i="1" s="1"/>
  <c r="BO37" i="1" s="1"/>
  <c r="BP37" i="1" s="1"/>
  <c r="BQ37" i="1" s="1"/>
  <c r="BR37" i="1" s="1"/>
  <c r="BS37" i="1" s="1"/>
  <c r="BT37" i="1" s="1"/>
  <c r="BU37" i="1" s="1"/>
  <c r="BV37" i="1" s="1"/>
  <c r="BW37" i="1" s="1"/>
  <c r="BX37" i="1" s="1"/>
  <c r="BY37" i="1" s="1"/>
  <c r="BZ37" i="1" s="1"/>
  <c r="CA37" i="1" s="1"/>
  <c r="CB37" i="1" s="1"/>
  <c r="CC37" i="1" s="1"/>
  <c r="CD37" i="1" s="1"/>
  <c r="CE37" i="1" s="1"/>
  <c r="CF37" i="1" s="1"/>
  <c r="CG37" i="1" s="1"/>
  <c r="CH37" i="1" s="1"/>
  <c r="CI37" i="1" s="1"/>
  <c r="CJ37" i="1" s="1"/>
  <c r="CK37" i="1" s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DB37" i="1" s="1"/>
  <c r="DC37" i="1" s="1"/>
  <c r="DD37" i="1" s="1"/>
  <c r="DE37" i="1" s="1"/>
  <c r="DF37" i="1" s="1"/>
  <c r="DG37" i="1" s="1"/>
  <c r="DH37" i="1" s="1"/>
  <c r="DI37" i="1" s="1"/>
  <c r="DJ37" i="1" s="1"/>
  <c r="DK37" i="1" s="1"/>
  <c r="DL37" i="1" s="1"/>
  <c r="DM37" i="1" s="1"/>
  <c r="DN37" i="1" s="1"/>
  <c r="DO37" i="1" s="1"/>
  <c r="DP37" i="1" s="1"/>
  <c r="DQ37" i="1" s="1"/>
  <c r="DR37" i="1" s="1"/>
  <c r="DS37" i="1" s="1"/>
  <c r="DT37" i="1" s="1"/>
  <c r="DU37" i="1" s="1"/>
  <c r="DV37" i="1" s="1"/>
  <c r="DW37" i="1" s="1"/>
  <c r="DX37" i="1" s="1"/>
  <c r="DY37" i="1" s="1"/>
  <c r="DZ37" i="1" s="1"/>
  <c r="EA37" i="1" s="1"/>
  <c r="EB37" i="1" s="1"/>
  <c r="EC37" i="1" s="1"/>
  <c r="ED37" i="1" s="1"/>
  <c r="EE37" i="1" s="1"/>
  <c r="EF37" i="1" s="1"/>
  <c r="EG37" i="1" s="1"/>
  <c r="EH37" i="1" s="1"/>
  <c r="EI37" i="1" s="1"/>
  <c r="EJ37" i="1" s="1"/>
  <c r="EK37" i="1" s="1"/>
  <c r="U44" i="1" l="1"/>
  <c r="U46" i="1" s="1"/>
  <c r="U47" i="1" s="1"/>
</calcChain>
</file>

<file path=xl/sharedStrings.xml><?xml version="1.0" encoding="utf-8"?>
<sst xmlns="http://schemas.openxmlformats.org/spreadsheetml/2006/main" count="66" uniqueCount="49">
  <si>
    <t>Revenue</t>
  </si>
  <si>
    <t>GOGS</t>
  </si>
  <si>
    <t>Gross Margin</t>
  </si>
  <si>
    <t>Gross Profit</t>
  </si>
  <si>
    <t>SG&amp;A</t>
  </si>
  <si>
    <t>Other Income</t>
  </si>
  <si>
    <t>Other Expenses</t>
  </si>
  <si>
    <t>Equity</t>
  </si>
  <si>
    <t>Finance Income</t>
  </si>
  <si>
    <t>Finance expense</t>
  </si>
  <si>
    <t>Asset Reduction</t>
  </si>
  <si>
    <t>Pretax</t>
  </si>
  <si>
    <t>Taxes</t>
  </si>
  <si>
    <t>Net Income</t>
  </si>
  <si>
    <t>Operating Income</t>
  </si>
  <si>
    <t>Operating Margin</t>
  </si>
  <si>
    <t>Net Margin</t>
  </si>
  <si>
    <t>CFFO</t>
  </si>
  <si>
    <t>CapEx</t>
  </si>
  <si>
    <t>FCF</t>
  </si>
  <si>
    <t>Current Assets</t>
  </si>
  <si>
    <t>Current Liab.</t>
  </si>
  <si>
    <t>Working Capital</t>
  </si>
  <si>
    <t>Delta</t>
  </si>
  <si>
    <t>Cash</t>
  </si>
  <si>
    <t>PP&amp;E</t>
  </si>
  <si>
    <t>Debt</t>
  </si>
  <si>
    <t>Pension</t>
  </si>
  <si>
    <t>NAV</t>
  </si>
  <si>
    <t>Hotels &amp; Resort</t>
  </si>
  <si>
    <t>Kreuzfahrt</t>
  </si>
  <si>
    <t>TUI Musement</t>
  </si>
  <si>
    <t>Urlaubserlebnisse</t>
  </si>
  <si>
    <t>Nord</t>
  </si>
  <si>
    <t>Zentral</t>
  </si>
  <si>
    <t>West</t>
  </si>
  <si>
    <t>Konsolidierungen</t>
  </si>
  <si>
    <t>Märkte &amp; Airlines</t>
  </si>
  <si>
    <t>EBIT</t>
  </si>
  <si>
    <t>Other</t>
  </si>
  <si>
    <t>Revenue Y/Y</t>
  </si>
  <si>
    <t>Discount</t>
  </si>
  <si>
    <t>Terminal</t>
  </si>
  <si>
    <t>NPV</t>
  </si>
  <si>
    <t>Net Cash</t>
  </si>
  <si>
    <t>Shares</t>
  </si>
  <si>
    <t>Value</t>
  </si>
  <si>
    <t>Price</t>
  </si>
  <si>
    <t>EPS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</si>
</sst>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€&quot;\ #,##0.00;[Red]\-&quot;€&quot;\ #,##0.00"/>
    <numFmt numFmtId="164" formatCode="0.0%"/>
    <numFmt numFmtId="165" formatCode="#,##0.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3" fontId="0" fillId="0" borderId="0" xfId="0" applyNumberFormat="1"/>
    <xf numFmtId="3" fontId="2" fillId="0" borderId="0" xfId="0" applyNumberFormat="1" applyFont="1"/>
    <xf numFmtId="9" fontId="0" fillId="0" borderId="0" xfId="1" applyFont="1"/>
    <xf numFmtId="164" fontId="0" fillId="0" borderId="0" xfId="1" applyNumberFormat="1" applyFont="1"/>
    <xf numFmtId="9" fontId="2" fillId="0" borderId="0" xfId="1" applyFont="1"/>
    <xf numFmtId="164" fontId="2" fillId="0" borderId="0" xfId="1" applyNumberFormat="1" applyFont="1"/>
    <xf numFmtId="9" fontId="3" fillId="0" borderId="0" xfId="1" applyFont="1"/>
    <xf numFmtId="9" fontId="3" fillId="0" borderId="0" xfId="0" applyNumberFormat="1" applyFont="1"/>
    <xf numFmtId="165" fontId="0" fillId="0" borderId="0" xfId="0" applyNumberFormat="1"/>
    <xf numFmtId="9" fontId="1" fillId="0" borderId="0" xfId="1" applyFont="1"/>
    <xf numFmtId="0" fontId="1" fillId="0" borderId="0" xfId="1" applyNumberFormat="1" applyFont="1"/>
    <xf numFmtId="4" fontId="0" fillId="0" borderId="0" xfId="0" applyNumberFormat="1"/>
    <xf numFmtId="8" fontId="1" fillId="0" borderId="0" xfId="1" applyNumberFormat="1" applyFont="1"/>
    <xf numFmtId="3" fontId="1" fillId="0" borderId="0" xfId="1" applyNumberFormat="1" applyFont="1"/>
    <xf numFmtId="2" fontId="1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10886</xdr:colOff>
      <xdr:row>2</xdr:row>
      <xdr:rowOff>174171</xdr:rowOff>
    </xdr:from>
    <xdr:to>
      <xdr:col>9</xdr:col>
      <xdr:colOff>21772</xdr:colOff>
      <xdr:row>68</xdr:row>
      <xdr:rowOff>32657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5B3081A-5C7B-C35A-06EF-8CAAD31B9A70}"/>
            </a:ext>
          </a:extLst>
        </xdr:cNvPr>
        <xdr:cNvCxnSpPr/>
      </xdr:nvCxnSpPr>
      <xdr:spPr>
        <a:xfrm>
          <a:off x="4381500" y="555171"/>
          <a:ext cx="10886" cy="652598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DD85F-A2EB-4462-BA48-14588496682B}">
  <dimension ref="B2:EK68"/>
  <sheetViews>
    <sheetView tabSelected="1" zoomScale="175" zoomScaleNormal="175" workbookViewId="0">
      <pane xSplit="2" ySplit="2" topLeftCell="I33" activePane="bottomRight" state="frozen"/>
      <selection pane="topRight" activeCell="C1" sqref="C1"/>
      <selection pane="bottomLeft" activeCell="A3" sqref="A3"/>
      <selection pane="bottomRight" activeCell="U49" sqref="U49"/>
    </sheetView>
  </sheetViews>
  <sheetFormatPr defaultRowHeight="15" x14ac:dyDescent="0.25"/>
  <cols>
    <col min="1" max="1" width="2.85546875" style="1" customWidth="1"/>
    <col min="2" max="2" width="17" style="1" bestFit="1" customWidth="1"/>
    <col min="3" max="20" width="9.140625" style="1"/>
    <col min="21" max="21" width="9.85546875" style="1" bestFit="1" customWidth="1"/>
    <col min="22" max="16384" width="9.140625" style="1"/>
  </cols>
  <sheetData>
    <row r="2" spans="2:18" customFormat="1" x14ac:dyDescent="0.25">
      <c r="H2">
        <v>2022</v>
      </c>
      <c r="I2">
        <f>+H2+1</f>
        <v>2023</v>
      </c>
      <c r="J2">
        <f t="shared" ref="J2:Q2" si="0">+I2+1</f>
        <v>2024</v>
      </c>
      <c r="K2">
        <f t="shared" si="0"/>
        <v>2025</v>
      </c>
      <c r="L2">
        <f t="shared" si="0"/>
        <v>2026</v>
      </c>
      <c r="M2">
        <f t="shared" si="0"/>
        <v>2027</v>
      </c>
      <c r="N2">
        <f t="shared" si="0"/>
        <v>2028</v>
      </c>
      <c r="O2">
        <f t="shared" si="0"/>
        <v>2029</v>
      </c>
      <c r="P2">
        <f t="shared" si="0"/>
        <v>2030</v>
      </c>
      <c r="Q2">
        <f t="shared" si="0"/>
        <v>2031</v>
      </c>
      <c r="R2">
        <f>+Q2+1</f>
        <v>2032</v>
      </c>
    </row>
    <row r="4" spans="2:18" s="2" customFormat="1" x14ac:dyDescent="0.25">
      <c r="B4" s="2" t="s">
        <v>38</v>
      </c>
      <c r="H4" s="2">
        <f>+H8+H12+H13</f>
        <v>408.90000000000003</v>
      </c>
      <c r="I4" s="2">
        <f>+I8+I12+I13</f>
        <v>977.40000000000009</v>
      </c>
    </row>
    <row r="5" spans="2:18" x14ac:dyDescent="0.25">
      <c r="B5" s="1" t="s">
        <v>29</v>
      </c>
      <c r="E5" s="3">
        <f>+H5/H15</f>
        <v>0.32028540944251804</v>
      </c>
      <c r="F5" s="3">
        <f>+I5/I15</f>
        <v>0.29617851560394548</v>
      </c>
      <c r="H5" s="1">
        <v>480.3</v>
      </c>
      <c r="I5" s="1">
        <v>549.5</v>
      </c>
    </row>
    <row r="6" spans="2:18" x14ac:dyDescent="0.25">
      <c r="B6" s="1" t="s">
        <v>30</v>
      </c>
      <c r="E6" s="3">
        <f t="shared" ref="E6:F12" si="1">+H6/H16</f>
        <v>2.4132730015082957E-3</v>
      </c>
      <c r="F6" s="3">
        <f t="shared" si="1"/>
        <v>0.3597560975609756</v>
      </c>
      <c r="H6" s="1">
        <v>0.8</v>
      </c>
      <c r="I6" s="1">
        <v>236</v>
      </c>
    </row>
    <row r="7" spans="2:18" x14ac:dyDescent="0.25">
      <c r="B7" s="1" t="s">
        <v>31</v>
      </c>
      <c r="E7" s="3">
        <f t="shared" si="1"/>
        <v>2.7345102111457249E-2</v>
      </c>
      <c r="F7" s="3">
        <f t="shared" si="1"/>
        <v>3.101042294771298E-2</v>
      </c>
      <c r="H7" s="1">
        <v>23.7</v>
      </c>
      <c r="I7" s="1">
        <v>36</v>
      </c>
    </row>
    <row r="8" spans="2:18" s="2" customFormat="1" x14ac:dyDescent="0.25">
      <c r="B8" s="2" t="s">
        <v>32</v>
      </c>
      <c r="E8" s="5">
        <f t="shared" si="1"/>
        <v>0.18711542738527689</v>
      </c>
      <c r="F8" s="5">
        <f t="shared" si="1"/>
        <v>0.22370785904907139</v>
      </c>
      <c r="H8" s="2">
        <f>+H7+H5+H6</f>
        <v>504.8</v>
      </c>
      <c r="I8" s="2">
        <f>+I7+I5+I6</f>
        <v>821.5</v>
      </c>
    </row>
    <row r="9" spans="2:18" x14ac:dyDescent="0.25">
      <c r="B9" s="1" t="s">
        <v>33</v>
      </c>
      <c r="E9" s="3">
        <f t="shared" si="1"/>
        <v>-1.5282791817087846E-2</v>
      </c>
      <c r="F9" s="3">
        <f>+I9/I19</f>
        <v>8.8804431527436233E-3</v>
      </c>
      <c r="H9" s="1">
        <v>-101.6</v>
      </c>
      <c r="I9" s="1">
        <v>71.5</v>
      </c>
    </row>
    <row r="10" spans="2:18" x14ac:dyDescent="0.25">
      <c r="B10" s="1" t="s">
        <v>34</v>
      </c>
      <c r="E10" s="3">
        <f t="shared" si="1"/>
        <v>1.2706523590529721E-2</v>
      </c>
      <c r="F10" s="3">
        <f t="shared" si="1"/>
        <v>1.1876676687472195E-2</v>
      </c>
      <c r="H10" s="1">
        <v>74.599999999999994</v>
      </c>
      <c r="I10" s="1">
        <v>88.1</v>
      </c>
    </row>
    <row r="11" spans="2:18" x14ac:dyDescent="0.25">
      <c r="B11" s="1" t="s">
        <v>35</v>
      </c>
      <c r="E11" s="3">
        <f t="shared" si="1"/>
        <v>-1.1018609206660136E-2</v>
      </c>
      <c r="F11" s="3">
        <f t="shared" si="1"/>
        <v>2.467370470656241E-2</v>
      </c>
      <c r="H11" s="1">
        <v>-31.5</v>
      </c>
      <c r="I11" s="1">
        <v>81.099999999999994</v>
      </c>
    </row>
    <row r="12" spans="2:18" s="2" customFormat="1" x14ac:dyDescent="0.25">
      <c r="B12" s="2" t="s">
        <v>37</v>
      </c>
      <c r="E12" s="6">
        <f t="shared" si="1"/>
        <v>-3.804185254067552E-3</v>
      </c>
      <c r="F12" s="6">
        <f t="shared" si="1"/>
        <v>1.2833089858286859E-2</v>
      </c>
      <c r="H12" s="2">
        <f>+H11+H10+H9</f>
        <v>-58.5</v>
      </c>
      <c r="I12" s="2">
        <f>+I11+I10+I9</f>
        <v>240.7</v>
      </c>
    </row>
    <row r="13" spans="2:18" x14ac:dyDescent="0.25">
      <c r="B13" s="1" t="s">
        <v>39</v>
      </c>
      <c r="H13" s="1">
        <v>-37.4</v>
      </c>
      <c r="I13" s="1">
        <v>-84.8</v>
      </c>
    </row>
    <row r="15" spans="2:18" x14ac:dyDescent="0.25">
      <c r="B15" s="1" t="s">
        <v>29</v>
      </c>
      <c r="H15" s="1">
        <v>1499.6</v>
      </c>
      <c r="I15" s="1">
        <v>1855.3</v>
      </c>
    </row>
    <row r="16" spans="2:18" x14ac:dyDescent="0.25">
      <c r="B16" s="1" t="s">
        <v>30</v>
      </c>
      <c r="H16" s="1">
        <v>331.5</v>
      </c>
      <c r="I16" s="1">
        <v>656</v>
      </c>
    </row>
    <row r="17" spans="2:18" x14ac:dyDescent="0.25">
      <c r="B17" s="1" t="s">
        <v>31</v>
      </c>
      <c r="H17" s="1">
        <v>866.7</v>
      </c>
      <c r="I17" s="1">
        <v>1160.9000000000001</v>
      </c>
    </row>
    <row r="18" spans="2:18" s="2" customFormat="1" x14ac:dyDescent="0.25">
      <c r="B18" s="2" t="s">
        <v>32</v>
      </c>
      <c r="H18" s="2">
        <f>+SUM(H15:H17)</f>
        <v>2697.8</v>
      </c>
      <c r="I18" s="2">
        <f>+SUM(I15:I17)</f>
        <v>3672.2000000000003</v>
      </c>
    </row>
    <row r="19" spans="2:18" x14ac:dyDescent="0.25">
      <c r="B19" s="1" t="s">
        <v>33</v>
      </c>
      <c r="H19" s="1">
        <v>6648</v>
      </c>
      <c r="I19" s="1">
        <v>8051.4</v>
      </c>
    </row>
    <row r="20" spans="2:18" x14ac:dyDescent="0.25">
      <c r="B20" s="1" t="s">
        <v>34</v>
      </c>
      <c r="H20" s="1">
        <v>5871</v>
      </c>
      <c r="I20" s="1">
        <v>7417.9</v>
      </c>
    </row>
    <row r="21" spans="2:18" x14ac:dyDescent="0.25">
      <c r="B21" s="1" t="s">
        <v>35</v>
      </c>
      <c r="H21" s="1">
        <v>2858.8</v>
      </c>
      <c r="I21" s="1">
        <v>3286.9</v>
      </c>
    </row>
    <row r="22" spans="2:18" s="2" customFormat="1" x14ac:dyDescent="0.25">
      <c r="B22" s="2" t="s">
        <v>37</v>
      </c>
      <c r="H22" s="2">
        <f>+SUM(H19:H21)</f>
        <v>15377.8</v>
      </c>
      <c r="I22" s="2">
        <f>+SUM(I19:I21)</f>
        <v>18756.2</v>
      </c>
    </row>
    <row r="23" spans="2:18" x14ac:dyDescent="0.25">
      <c r="B23" s="1" t="s">
        <v>36</v>
      </c>
      <c r="H23" s="1">
        <f>3.6+1004+538.1</f>
        <v>1545.7</v>
      </c>
      <c r="I23" s="1">
        <f>1+528.8+1252.4</f>
        <v>1782.2</v>
      </c>
    </row>
    <row r="24" spans="2:18" s="2" customFormat="1" x14ac:dyDescent="0.25">
      <c r="B24" s="2" t="s">
        <v>0</v>
      </c>
      <c r="H24" s="2">
        <v>16544.900000000001</v>
      </c>
      <c r="I24" s="2">
        <v>20665.900000000001</v>
      </c>
      <c r="J24" s="2">
        <v>22850</v>
      </c>
      <c r="K24" s="2">
        <v>23750</v>
      </c>
      <c r="L24" s="2">
        <v>24500</v>
      </c>
      <c r="M24" s="2">
        <v>25150</v>
      </c>
      <c r="N24" s="2">
        <v>25650</v>
      </c>
      <c r="O24" s="2">
        <f>+N24*1.01</f>
        <v>25906.5</v>
      </c>
      <c r="P24" s="2">
        <f t="shared" ref="P24:R24" si="2">+O24*1.01</f>
        <v>26165.564999999999</v>
      </c>
      <c r="Q24" s="2">
        <f t="shared" si="2"/>
        <v>26427.220649999999</v>
      </c>
      <c r="R24" s="2">
        <f t="shared" si="2"/>
        <v>26691.492856500001</v>
      </c>
    </row>
    <row r="25" spans="2:18" x14ac:dyDescent="0.25">
      <c r="B25" s="1" t="s">
        <v>1</v>
      </c>
      <c r="H25" s="1">
        <v>15613.3</v>
      </c>
      <c r="I25" s="1">
        <v>19052.900000000001</v>
      </c>
      <c r="J25" s="1">
        <f>+J24*(1-0.075)</f>
        <v>21136.25</v>
      </c>
      <c r="K25" s="1">
        <f t="shared" ref="K25:N25" si="3">+K24*(1-0.075)</f>
        <v>21968.75</v>
      </c>
      <c r="L25" s="1">
        <f t="shared" si="3"/>
        <v>22662.5</v>
      </c>
      <c r="M25" s="1">
        <f t="shared" si="3"/>
        <v>23263.75</v>
      </c>
      <c r="N25" s="1">
        <f t="shared" si="3"/>
        <v>23726.25</v>
      </c>
      <c r="O25" s="1">
        <f t="shared" ref="O25" si="4">+O24*(1-0.075)</f>
        <v>23963.512500000001</v>
      </c>
      <c r="P25" s="1">
        <f t="shared" ref="P25" si="5">+P24*(1-0.075)</f>
        <v>24203.147625000001</v>
      </c>
      <c r="Q25" s="1">
        <f t="shared" ref="Q25" si="6">+Q24*(1-0.075)</f>
        <v>24445.17910125</v>
      </c>
      <c r="R25" s="1">
        <f t="shared" ref="R25" si="7">+R24*(1-0.075)</f>
        <v>24689.630892262503</v>
      </c>
    </row>
    <row r="26" spans="2:18" x14ac:dyDescent="0.25">
      <c r="B26" s="1" t="s">
        <v>3</v>
      </c>
      <c r="C26" s="1">
        <f>+C24-C25</f>
        <v>0</v>
      </c>
      <c r="H26" s="1">
        <f>+H24-H25</f>
        <v>931.60000000000218</v>
      </c>
      <c r="I26" s="1">
        <f>+I24-I25</f>
        <v>1613</v>
      </c>
      <c r="J26" s="1">
        <f>+J24-J25</f>
        <v>1713.75</v>
      </c>
      <c r="K26" s="1">
        <f t="shared" ref="K26:R26" si="8">+K24-K25</f>
        <v>1781.25</v>
      </c>
      <c r="L26" s="1">
        <f t="shared" si="8"/>
        <v>1837.5</v>
      </c>
      <c r="M26" s="1">
        <f t="shared" si="8"/>
        <v>1886.25</v>
      </c>
      <c r="N26" s="1">
        <f t="shared" si="8"/>
        <v>1923.75</v>
      </c>
      <c r="O26" s="1">
        <f t="shared" si="8"/>
        <v>1942.9874999999993</v>
      </c>
      <c r="P26" s="1">
        <f t="shared" si="8"/>
        <v>1962.4173749999973</v>
      </c>
      <c r="Q26" s="1">
        <f t="shared" si="8"/>
        <v>1982.0415487499995</v>
      </c>
      <c r="R26" s="1">
        <f t="shared" si="8"/>
        <v>2001.8619642374979</v>
      </c>
    </row>
    <row r="27" spans="2:18" x14ac:dyDescent="0.25">
      <c r="B27" s="1" t="s">
        <v>4</v>
      </c>
      <c r="H27" s="1">
        <v>746.3</v>
      </c>
      <c r="I27" s="1">
        <v>1015.6</v>
      </c>
      <c r="J27" s="1">
        <f>+J24*0.05</f>
        <v>1142.5</v>
      </c>
      <c r="K27" s="1">
        <f t="shared" ref="K27:R27" si="9">+K24*0.05</f>
        <v>1187.5</v>
      </c>
      <c r="L27" s="1">
        <f t="shared" si="9"/>
        <v>1225</v>
      </c>
      <c r="M27" s="1">
        <f t="shared" si="9"/>
        <v>1257.5</v>
      </c>
      <c r="N27" s="1">
        <f t="shared" si="9"/>
        <v>1282.5</v>
      </c>
      <c r="O27" s="1">
        <f t="shared" si="9"/>
        <v>1295.325</v>
      </c>
      <c r="P27" s="1">
        <f t="shared" si="9"/>
        <v>1308.2782500000001</v>
      </c>
      <c r="Q27" s="1">
        <f t="shared" si="9"/>
        <v>1321.3610325</v>
      </c>
      <c r="R27" s="1">
        <f t="shared" si="9"/>
        <v>1334.5746428250002</v>
      </c>
    </row>
    <row r="28" spans="2:18" x14ac:dyDescent="0.25">
      <c r="B28" s="1" t="s">
        <v>5</v>
      </c>
      <c r="H28" s="1">
        <v>52.2</v>
      </c>
      <c r="I28" s="1">
        <v>37.6</v>
      </c>
      <c r="J28" s="1">
        <v>30</v>
      </c>
      <c r="K28" s="1">
        <v>30</v>
      </c>
      <c r="L28" s="1">
        <v>30</v>
      </c>
      <c r="M28" s="1">
        <v>30</v>
      </c>
      <c r="N28" s="1">
        <v>30</v>
      </c>
      <c r="O28" s="1">
        <v>30</v>
      </c>
      <c r="P28" s="1">
        <v>30</v>
      </c>
      <c r="Q28" s="1">
        <v>30</v>
      </c>
      <c r="R28" s="1">
        <v>30</v>
      </c>
    </row>
    <row r="29" spans="2:18" x14ac:dyDescent="0.25">
      <c r="B29" s="1" t="s">
        <v>6</v>
      </c>
      <c r="H29" s="1">
        <v>1.7</v>
      </c>
      <c r="I29" s="1">
        <v>32</v>
      </c>
      <c r="J29" s="1">
        <v>35</v>
      </c>
      <c r="K29" s="1">
        <v>30</v>
      </c>
      <c r="L29" s="1">
        <v>30</v>
      </c>
      <c r="M29" s="1">
        <v>30</v>
      </c>
      <c r="N29" s="1">
        <v>30</v>
      </c>
      <c r="O29" s="1">
        <v>30</v>
      </c>
      <c r="P29" s="1">
        <v>30</v>
      </c>
      <c r="Q29" s="1">
        <v>30</v>
      </c>
      <c r="R29" s="1">
        <v>30</v>
      </c>
    </row>
    <row r="30" spans="2:18" x14ac:dyDescent="0.25">
      <c r="B30" s="1" t="s">
        <v>14</v>
      </c>
      <c r="C30" s="1">
        <f>+C26-C27+C28-C29</f>
        <v>0</v>
      </c>
      <c r="H30" s="1">
        <f>+H26-H27+H28-H29</f>
        <v>235.80000000000223</v>
      </c>
      <c r="I30" s="1">
        <f>+I26-I27+I28-I29</f>
        <v>603</v>
      </c>
      <c r="J30" s="1">
        <f>+J26-J27+J28-J29</f>
        <v>566.25</v>
      </c>
      <c r="K30" s="1">
        <f t="shared" ref="K30:R30" si="10">+K26-K27+K28-K29</f>
        <v>593.75</v>
      </c>
      <c r="L30" s="1">
        <f t="shared" si="10"/>
        <v>612.5</v>
      </c>
      <c r="M30" s="1">
        <f t="shared" si="10"/>
        <v>628.75</v>
      </c>
      <c r="N30" s="1">
        <f t="shared" si="10"/>
        <v>641.25</v>
      </c>
      <c r="O30" s="1">
        <f t="shared" si="10"/>
        <v>647.66249999999923</v>
      </c>
      <c r="P30" s="1">
        <f t="shared" si="10"/>
        <v>654.13912499999719</v>
      </c>
      <c r="Q30" s="1">
        <f t="shared" si="10"/>
        <v>660.68051624999953</v>
      </c>
      <c r="R30" s="1">
        <f t="shared" si="10"/>
        <v>667.2873214124977</v>
      </c>
    </row>
    <row r="31" spans="2:18" x14ac:dyDescent="0.25">
      <c r="B31" s="1" t="s">
        <v>10</v>
      </c>
      <c r="H31" s="1">
        <v>7.3</v>
      </c>
      <c r="I31" s="1">
        <v>18.399999999999999</v>
      </c>
      <c r="J31" s="1">
        <v>15</v>
      </c>
      <c r="K31" s="1">
        <v>15</v>
      </c>
      <c r="L31" s="1">
        <v>15</v>
      </c>
      <c r="M31" s="1">
        <v>15</v>
      </c>
      <c r="N31" s="1">
        <v>15</v>
      </c>
      <c r="O31" s="1">
        <v>15</v>
      </c>
      <c r="P31" s="1">
        <v>15</v>
      </c>
      <c r="Q31" s="1">
        <v>15</v>
      </c>
      <c r="R31" s="1">
        <v>15</v>
      </c>
    </row>
    <row r="32" spans="2:18" x14ac:dyDescent="0.25">
      <c r="B32" s="1" t="s">
        <v>8</v>
      </c>
      <c r="H32" s="1">
        <v>35.9</v>
      </c>
      <c r="I32" s="1">
        <v>87.6</v>
      </c>
      <c r="J32" s="1">
        <f>62.5*1.3</f>
        <v>81.25</v>
      </c>
      <c r="K32" s="1">
        <f>+J32*0.9</f>
        <v>73.125</v>
      </c>
      <c r="L32" s="1">
        <f t="shared" ref="L32:R32" si="11">+K32*0.9</f>
        <v>65.8125</v>
      </c>
      <c r="M32" s="1">
        <f t="shared" si="11"/>
        <v>59.231250000000003</v>
      </c>
      <c r="N32" s="1">
        <f t="shared" si="11"/>
        <v>53.308125000000004</v>
      </c>
      <c r="O32" s="1">
        <f t="shared" si="11"/>
        <v>47.977312500000004</v>
      </c>
      <c r="P32" s="1">
        <f t="shared" si="11"/>
        <v>43.179581250000005</v>
      </c>
      <c r="Q32" s="1">
        <f t="shared" si="11"/>
        <v>38.861623125000008</v>
      </c>
      <c r="R32" s="1">
        <f t="shared" si="11"/>
        <v>34.97546081250001</v>
      </c>
    </row>
    <row r="33" spans="2:141" x14ac:dyDescent="0.25">
      <c r="B33" s="1" t="s">
        <v>9</v>
      </c>
      <c r="H33" s="1">
        <v>509.5</v>
      </c>
      <c r="I33" s="1">
        <v>533.6</v>
      </c>
      <c r="J33" s="1">
        <f>355.5*1.3</f>
        <v>462.15000000000003</v>
      </c>
      <c r="K33" s="1">
        <f>+J33*0.98</f>
        <v>452.90700000000004</v>
      </c>
      <c r="L33" s="1">
        <f t="shared" ref="L33:R33" si="12">+K33*0.98</f>
        <v>443.84886</v>
      </c>
      <c r="M33" s="1">
        <f t="shared" si="12"/>
        <v>434.9718828</v>
      </c>
      <c r="N33" s="1">
        <f t="shared" si="12"/>
        <v>426.27244514400002</v>
      </c>
      <c r="O33" s="1">
        <f t="shared" si="12"/>
        <v>417.74699624112003</v>
      </c>
      <c r="P33" s="1">
        <f t="shared" si="12"/>
        <v>409.39205631629761</v>
      </c>
      <c r="Q33" s="1">
        <f t="shared" si="12"/>
        <v>401.20421518997165</v>
      </c>
      <c r="R33" s="1">
        <f t="shared" si="12"/>
        <v>393.18013088617221</v>
      </c>
    </row>
    <row r="34" spans="2:141" x14ac:dyDescent="0.25">
      <c r="B34" s="1" t="s">
        <v>7</v>
      </c>
      <c r="H34" s="1">
        <f>100.7-1.6</f>
        <v>99.100000000000009</v>
      </c>
      <c r="I34" s="1">
        <f>407.2+5.4</f>
        <v>412.59999999999997</v>
      </c>
      <c r="J34" s="1">
        <f>218.7*1.3</f>
        <v>284.31</v>
      </c>
      <c r="K34" s="1">
        <v>250</v>
      </c>
      <c r="L34" s="1">
        <v>250</v>
      </c>
      <c r="M34" s="1">
        <v>250</v>
      </c>
      <c r="N34" s="1">
        <v>250</v>
      </c>
      <c r="O34" s="1">
        <v>250</v>
      </c>
      <c r="P34" s="1">
        <v>250</v>
      </c>
      <c r="Q34" s="1">
        <v>250</v>
      </c>
      <c r="R34" s="1">
        <v>250</v>
      </c>
    </row>
    <row r="35" spans="2:141" x14ac:dyDescent="0.25">
      <c r="B35" s="1" t="s">
        <v>11</v>
      </c>
      <c r="C35" s="1">
        <f>+C30-C31+C32-C33+C34</f>
        <v>0</v>
      </c>
      <c r="H35" s="1">
        <f>+H30-H31+H32-H33+H34</f>
        <v>-145.99999999999778</v>
      </c>
      <c r="I35" s="1">
        <f>+I30-I31+I32-I33+I34</f>
        <v>551.20000000000005</v>
      </c>
      <c r="J35" s="1">
        <f>+J30-J31+J32-J33+J34</f>
        <v>454.65999999999997</v>
      </c>
      <c r="K35" s="1">
        <f t="shared" ref="K35:R35" si="13">+K30-K31+K32-K33+K34</f>
        <v>448.96799999999996</v>
      </c>
      <c r="L35" s="1">
        <f t="shared" si="13"/>
        <v>469.46364</v>
      </c>
      <c r="M35" s="1">
        <f t="shared" si="13"/>
        <v>488.00936720000004</v>
      </c>
      <c r="N35" s="1">
        <f t="shared" si="13"/>
        <v>503.285679856</v>
      </c>
      <c r="O35" s="1">
        <f t="shared" si="13"/>
        <v>512.89281625887929</v>
      </c>
      <c r="P35" s="1">
        <f t="shared" si="13"/>
        <v>522.92664993369954</v>
      </c>
      <c r="Q35" s="1">
        <f t="shared" si="13"/>
        <v>533.33792418502799</v>
      </c>
      <c r="R35" s="1">
        <f t="shared" si="13"/>
        <v>544.0826513388256</v>
      </c>
    </row>
    <row r="36" spans="2:141" x14ac:dyDescent="0.25">
      <c r="B36" s="1" t="s">
        <v>12</v>
      </c>
      <c r="H36" s="1">
        <v>66.7</v>
      </c>
      <c r="I36" s="1">
        <v>95.5</v>
      </c>
      <c r="J36" s="1">
        <f>+J35*0.2</f>
        <v>90.932000000000002</v>
      </c>
      <c r="K36" s="1">
        <f t="shared" ref="K36:R36" si="14">+K35*0.2</f>
        <v>89.793599999999998</v>
      </c>
      <c r="L36" s="1">
        <f t="shared" si="14"/>
        <v>93.892728000000005</v>
      </c>
      <c r="M36" s="1">
        <f t="shared" si="14"/>
        <v>97.60187344000002</v>
      </c>
      <c r="N36" s="1">
        <f t="shared" si="14"/>
        <v>100.65713597120001</v>
      </c>
      <c r="O36" s="1">
        <f t="shared" si="14"/>
        <v>102.57856325177586</v>
      </c>
      <c r="P36" s="1">
        <f t="shared" si="14"/>
        <v>104.58532998673991</v>
      </c>
      <c r="Q36" s="1">
        <f t="shared" si="14"/>
        <v>106.66758483700561</v>
      </c>
      <c r="R36" s="1">
        <f t="shared" si="14"/>
        <v>108.81653026776513</v>
      </c>
    </row>
    <row r="37" spans="2:141" s="2" customFormat="1" x14ac:dyDescent="0.25">
      <c r="B37" s="2" t="s">
        <v>13</v>
      </c>
      <c r="C37" s="2">
        <f>+C35-C36</f>
        <v>0</v>
      </c>
      <c r="H37" s="2">
        <f>+H35-H36</f>
        <v>-212.69999999999777</v>
      </c>
      <c r="I37" s="2">
        <f>+I35-I36</f>
        <v>455.70000000000005</v>
      </c>
      <c r="J37" s="2">
        <f>+J35-J36</f>
        <v>363.72799999999995</v>
      </c>
      <c r="K37" s="2">
        <f t="shared" ref="K37:R37" si="15">+K35-K36</f>
        <v>359.17439999999999</v>
      </c>
      <c r="L37" s="2">
        <f t="shared" si="15"/>
        <v>375.57091200000002</v>
      </c>
      <c r="M37" s="2">
        <f t="shared" si="15"/>
        <v>390.40749376000002</v>
      </c>
      <c r="N37" s="2">
        <f t="shared" si="15"/>
        <v>402.62854388480002</v>
      </c>
      <c r="O37" s="2">
        <f t="shared" si="15"/>
        <v>410.31425300710345</v>
      </c>
      <c r="P37" s="2">
        <f t="shared" si="15"/>
        <v>418.34131994695963</v>
      </c>
      <c r="Q37" s="2">
        <f t="shared" si="15"/>
        <v>426.67033934802237</v>
      </c>
      <c r="R37" s="2">
        <f t="shared" si="15"/>
        <v>435.26612107106047</v>
      </c>
      <c r="S37" s="2">
        <f t="shared" ref="S37:AX37" si="16">+R37*(1+TR)</f>
        <v>430.91345986034986</v>
      </c>
      <c r="T37" s="2">
        <f t="shared" si="16"/>
        <v>426.60432526174634</v>
      </c>
      <c r="U37" s="2">
        <f t="shared" si="16"/>
        <v>422.33828200912887</v>
      </c>
      <c r="V37" s="2">
        <f t="shared" si="16"/>
        <v>418.1148991890376</v>
      </c>
      <c r="W37" s="2">
        <f t="shared" si="16"/>
        <v>413.93375019714722</v>
      </c>
      <c r="X37" s="2">
        <f t="shared" si="16"/>
        <v>409.79441269517577</v>
      </c>
      <c r="Y37" s="2">
        <f t="shared" si="16"/>
        <v>405.69646856822402</v>
      </c>
      <c r="Z37" s="2">
        <f t="shared" si="16"/>
        <v>401.63950388254176</v>
      </c>
      <c r="AA37" s="2">
        <f t="shared" si="16"/>
        <v>397.62310884371635</v>
      </c>
      <c r="AB37" s="2">
        <f t="shared" si="16"/>
        <v>393.64687775527921</v>
      </c>
      <c r="AC37" s="2">
        <f t="shared" si="16"/>
        <v>389.71040897772639</v>
      </c>
      <c r="AD37" s="2">
        <f t="shared" si="16"/>
        <v>385.81330488794913</v>
      </c>
      <c r="AE37" s="2">
        <f t="shared" si="16"/>
        <v>381.95517183906964</v>
      </c>
      <c r="AF37" s="2">
        <f t="shared" si="16"/>
        <v>378.13562012067894</v>
      </c>
      <c r="AG37" s="2">
        <f t="shared" si="16"/>
        <v>374.35426391947215</v>
      </c>
      <c r="AH37" s="2">
        <f t="shared" si="16"/>
        <v>370.6107212802774</v>
      </c>
      <c r="AI37" s="2">
        <f t="shared" si="16"/>
        <v>366.90461406747465</v>
      </c>
      <c r="AJ37" s="2">
        <f t="shared" si="16"/>
        <v>363.23556792679989</v>
      </c>
      <c r="AK37" s="2">
        <f t="shared" si="16"/>
        <v>359.60321224753187</v>
      </c>
      <c r="AL37" s="2">
        <f t="shared" si="16"/>
        <v>356.00718012505655</v>
      </c>
      <c r="AM37" s="2">
        <f t="shared" si="16"/>
        <v>352.44710832380599</v>
      </c>
      <c r="AN37" s="2">
        <f t="shared" si="16"/>
        <v>348.92263724056795</v>
      </c>
      <c r="AO37" s="2">
        <f t="shared" si="16"/>
        <v>345.43341086816224</v>
      </c>
      <c r="AP37" s="2">
        <f t="shared" si="16"/>
        <v>341.97907675948062</v>
      </c>
      <c r="AQ37" s="2">
        <f t="shared" si="16"/>
        <v>338.55928599188582</v>
      </c>
      <c r="AR37" s="2">
        <f t="shared" si="16"/>
        <v>335.17369313196696</v>
      </c>
      <c r="AS37" s="2">
        <f t="shared" si="16"/>
        <v>331.82195620064726</v>
      </c>
      <c r="AT37" s="2">
        <f t="shared" si="16"/>
        <v>328.50373663864082</v>
      </c>
      <c r="AU37" s="2">
        <f t="shared" si="16"/>
        <v>325.21869927225441</v>
      </c>
      <c r="AV37" s="2">
        <f t="shared" si="16"/>
        <v>321.96651227953186</v>
      </c>
      <c r="AW37" s="2">
        <f t="shared" si="16"/>
        <v>318.74684715673652</v>
      </c>
      <c r="AX37" s="2">
        <f t="shared" si="16"/>
        <v>315.55937868516918</v>
      </c>
      <c r="AY37" s="2">
        <f t="shared" ref="AY37:CD37" si="17">+AX37*(1+TR)</f>
        <v>312.4037848983175</v>
      </c>
      <c r="AZ37" s="2">
        <f t="shared" si="17"/>
        <v>309.27974704933433</v>
      </c>
      <c r="BA37" s="2">
        <f t="shared" si="17"/>
        <v>306.18694957884099</v>
      </c>
      <c r="BB37" s="2">
        <f t="shared" si="17"/>
        <v>303.12508008305258</v>
      </c>
      <c r="BC37" s="2">
        <f t="shared" si="17"/>
        <v>300.09382928222203</v>
      </c>
      <c r="BD37" s="2">
        <f t="shared" si="17"/>
        <v>297.09289098939979</v>
      </c>
      <c r="BE37" s="2">
        <f t="shared" si="17"/>
        <v>294.12196207950581</v>
      </c>
      <c r="BF37" s="2">
        <f t="shared" si="17"/>
        <v>291.18074245871077</v>
      </c>
      <c r="BG37" s="2">
        <f t="shared" si="17"/>
        <v>288.26893503412367</v>
      </c>
      <c r="BH37" s="2">
        <f t="shared" si="17"/>
        <v>285.38624568378242</v>
      </c>
      <c r="BI37" s="2">
        <f t="shared" si="17"/>
        <v>282.5323832269446</v>
      </c>
      <c r="BJ37" s="2">
        <f t="shared" si="17"/>
        <v>279.70705939467513</v>
      </c>
      <c r="BK37" s="2">
        <f t="shared" si="17"/>
        <v>276.9099888007284</v>
      </c>
      <c r="BL37" s="2">
        <f t="shared" si="17"/>
        <v>274.1408889127211</v>
      </c>
      <c r="BM37" s="2">
        <f t="shared" si="17"/>
        <v>271.39948002359387</v>
      </c>
      <c r="BN37" s="2">
        <f t="shared" si="17"/>
        <v>268.68548522335794</v>
      </c>
      <c r="BO37" s="2">
        <f t="shared" si="17"/>
        <v>265.99863037112436</v>
      </c>
      <c r="BP37" s="2">
        <f t="shared" si="17"/>
        <v>263.3386440674131</v>
      </c>
      <c r="BQ37" s="2">
        <f t="shared" si="17"/>
        <v>260.70525762673896</v>
      </c>
      <c r="BR37" s="2">
        <f t="shared" si="17"/>
        <v>258.09820505047156</v>
      </c>
      <c r="BS37" s="2">
        <f t="shared" si="17"/>
        <v>255.51722299996683</v>
      </c>
      <c r="BT37" s="2">
        <f t="shared" si="17"/>
        <v>252.96205076996716</v>
      </c>
      <c r="BU37" s="2">
        <f t="shared" si="17"/>
        <v>250.4324302622675</v>
      </c>
      <c r="BV37" s="2">
        <f t="shared" si="17"/>
        <v>247.92810595964482</v>
      </c>
      <c r="BW37" s="2">
        <f t="shared" si="17"/>
        <v>245.44882490004838</v>
      </c>
      <c r="BX37" s="2">
        <f t="shared" si="17"/>
        <v>242.99433665104789</v>
      </c>
      <c r="BY37" s="2">
        <f t="shared" si="17"/>
        <v>240.5643932845374</v>
      </c>
      <c r="BZ37" s="2">
        <f t="shared" si="17"/>
        <v>238.15874935169202</v>
      </c>
      <c r="CA37" s="2">
        <f t="shared" si="17"/>
        <v>235.77716185817511</v>
      </c>
      <c r="CB37" s="2">
        <f t="shared" si="17"/>
        <v>233.41939023959335</v>
      </c>
      <c r="CC37" s="2">
        <f t="shared" si="17"/>
        <v>231.08519633719743</v>
      </c>
      <c r="CD37" s="2">
        <f t="shared" si="17"/>
        <v>228.77434437382544</v>
      </c>
      <c r="CE37" s="2">
        <f t="shared" ref="CE37:DJ37" si="18">+CD37*(1+TR)</f>
        <v>226.48660093008718</v>
      </c>
      <c r="CF37" s="2">
        <f t="shared" si="18"/>
        <v>224.2217349207863</v>
      </c>
      <c r="CG37" s="2">
        <f t="shared" si="18"/>
        <v>221.97951757157844</v>
      </c>
      <c r="CH37" s="2">
        <f t="shared" si="18"/>
        <v>219.75972239586267</v>
      </c>
      <c r="CI37" s="2">
        <f t="shared" si="18"/>
        <v>217.56212517190403</v>
      </c>
      <c r="CJ37" s="2">
        <f t="shared" si="18"/>
        <v>215.38650392018499</v>
      </c>
      <c r="CK37" s="2">
        <f t="shared" si="18"/>
        <v>213.23263888098313</v>
      </c>
      <c r="CL37" s="2">
        <f t="shared" si="18"/>
        <v>211.10031249217329</v>
      </c>
      <c r="CM37" s="2">
        <f t="shared" si="18"/>
        <v>208.98930936725156</v>
      </c>
      <c r="CN37" s="2">
        <f t="shared" si="18"/>
        <v>206.89941627357905</v>
      </c>
      <c r="CO37" s="2">
        <f t="shared" si="18"/>
        <v>204.83042211084324</v>
      </c>
      <c r="CP37" s="2">
        <f t="shared" si="18"/>
        <v>202.78211788973482</v>
      </c>
      <c r="CQ37" s="2">
        <f t="shared" si="18"/>
        <v>200.75429671083748</v>
      </c>
      <c r="CR37" s="2">
        <f t="shared" si="18"/>
        <v>198.7467537437291</v>
      </c>
      <c r="CS37" s="2">
        <f t="shared" si="18"/>
        <v>196.75928620629182</v>
      </c>
      <c r="CT37" s="2">
        <f t="shared" si="18"/>
        <v>194.79169334422889</v>
      </c>
      <c r="CU37" s="2">
        <f t="shared" si="18"/>
        <v>192.8437764107866</v>
      </c>
      <c r="CV37" s="2">
        <f t="shared" si="18"/>
        <v>190.91533864667875</v>
      </c>
      <c r="CW37" s="2">
        <f t="shared" si="18"/>
        <v>189.00618526021196</v>
      </c>
      <c r="CX37" s="2">
        <f t="shared" si="18"/>
        <v>187.11612340760985</v>
      </c>
      <c r="CY37" s="2">
        <f t="shared" si="18"/>
        <v>185.24496217353374</v>
      </c>
      <c r="CZ37" s="2">
        <f t="shared" si="18"/>
        <v>183.3925125517984</v>
      </c>
      <c r="DA37" s="2">
        <f t="shared" si="18"/>
        <v>181.55858742628041</v>
      </c>
      <c r="DB37" s="2">
        <f t="shared" si="18"/>
        <v>179.7430015520176</v>
      </c>
      <c r="DC37" s="2">
        <f t="shared" si="18"/>
        <v>177.94557153649743</v>
      </c>
      <c r="DD37" s="2">
        <f t="shared" si="18"/>
        <v>176.16611582113245</v>
      </c>
      <c r="DE37" s="2">
        <f t="shared" si="18"/>
        <v>174.40445466292113</v>
      </c>
      <c r="DF37" s="2">
        <f t="shared" si="18"/>
        <v>172.6604101162919</v>
      </c>
      <c r="DG37" s="2">
        <f t="shared" si="18"/>
        <v>170.93380601512897</v>
      </c>
      <c r="DH37" s="2">
        <f t="shared" si="18"/>
        <v>169.22446795497768</v>
      </c>
      <c r="DI37" s="2">
        <f t="shared" si="18"/>
        <v>167.5322232754279</v>
      </c>
      <c r="DJ37" s="2">
        <f t="shared" si="18"/>
        <v>165.85690104267363</v>
      </c>
      <c r="DK37" s="2">
        <f t="shared" ref="DK37:EK37" si="19">+DJ37*(1+TR)</f>
        <v>164.1983320322469</v>
      </c>
      <c r="DL37" s="2">
        <f t="shared" si="19"/>
        <v>162.55634871192441</v>
      </c>
      <c r="DM37" s="2">
        <f t="shared" si="19"/>
        <v>160.93078522480516</v>
      </c>
      <c r="DN37" s="2">
        <f t="shared" si="19"/>
        <v>159.3214773725571</v>
      </c>
      <c r="DO37" s="2">
        <f t="shared" si="19"/>
        <v>157.72826259883152</v>
      </c>
      <c r="DP37" s="2">
        <f t="shared" si="19"/>
        <v>156.1509799728432</v>
      </c>
      <c r="DQ37" s="2">
        <f t="shared" si="19"/>
        <v>154.58947017311476</v>
      </c>
      <c r="DR37" s="2">
        <f t="shared" si="19"/>
        <v>153.0435754713836</v>
      </c>
      <c r="DS37" s="2">
        <f t="shared" si="19"/>
        <v>151.51313971666977</v>
      </c>
      <c r="DT37" s="2">
        <f t="shared" si="19"/>
        <v>149.99800831950307</v>
      </c>
      <c r="DU37" s="2">
        <f t="shared" si="19"/>
        <v>148.49802823630804</v>
      </c>
      <c r="DV37" s="2">
        <f t="shared" si="19"/>
        <v>147.01304795394498</v>
      </c>
      <c r="DW37" s="2">
        <f t="shared" si="19"/>
        <v>145.54291747440553</v>
      </c>
      <c r="DX37" s="2">
        <f t="shared" si="19"/>
        <v>144.08748829966146</v>
      </c>
      <c r="DY37" s="2">
        <f t="shared" si="19"/>
        <v>142.64661341666485</v>
      </c>
      <c r="DZ37" s="2">
        <f t="shared" si="19"/>
        <v>141.2201472824982</v>
      </c>
      <c r="EA37" s="2">
        <f t="shared" si="19"/>
        <v>139.80794580967321</v>
      </c>
      <c r="EB37" s="2">
        <f t="shared" si="19"/>
        <v>138.40986635157648</v>
      </c>
      <c r="EC37" s="2">
        <f t="shared" si="19"/>
        <v>137.02576768806071</v>
      </c>
      <c r="ED37" s="2">
        <f t="shared" si="19"/>
        <v>135.6555100111801</v>
      </c>
      <c r="EE37" s="2">
        <f t="shared" si="19"/>
        <v>134.29895491106831</v>
      </c>
      <c r="EF37" s="2">
        <f t="shared" si="19"/>
        <v>132.95596536195762</v>
      </c>
      <c r="EG37" s="2">
        <f t="shared" si="19"/>
        <v>131.62640570833804</v>
      </c>
      <c r="EH37" s="2">
        <f t="shared" si="19"/>
        <v>130.31014165125467</v>
      </c>
      <c r="EI37" s="2">
        <f t="shared" si="19"/>
        <v>129.00704023474211</v>
      </c>
      <c r="EJ37" s="2">
        <f t="shared" si="19"/>
        <v>127.71696983239468</v>
      </c>
      <c r="EK37" s="2">
        <f t="shared" si="19"/>
        <v>126.43980013407074</v>
      </c>
    </row>
    <row r="38" spans="2:141" x14ac:dyDescent="0.25">
      <c r="B38" s="1" t="s">
        <v>45</v>
      </c>
      <c r="J38" s="1">
        <v>507.43103300000001</v>
      </c>
      <c r="K38" s="1">
        <v>507.43103300000001</v>
      </c>
      <c r="L38" s="1">
        <v>507.43103300000001</v>
      </c>
      <c r="M38" s="1">
        <v>507.43103300000001</v>
      </c>
      <c r="N38" s="1">
        <v>507.43103300000001</v>
      </c>
      <c r="O38" s="1">
        <v>507.43103300000001</v>
      </c>
      <c r="P38" s="1">
        <v>507.43103300000001</v>
      </c>
      <c r="Q38" s="1">
        <v>507.43103300000001</v>
      </c>
      <c r="R38" s="1">
        <v>507.43103300000001</v>
      </c>
    </row>
    <row r="39" spans="2:141" s="12" customFormat="1" x14ac:dyDescent="0.25">
      <c r="B39" s="12" t="s">
        <v>48</v>
      </c>
      <c r="J39" s="12">
        <f>+J37/J38</f>
        <v>0.71680282904573545</v>
      </c>
      <c r="K39" s="12">
        <f t="shared" ref="K39:R39" si="20">+K37/K38</f>
        <v>0.70782899870453919</v>
      </c>
      <c r="L39" s="12">
        <f t="shared" si="20"/>
        <v>0.74014178789888874</v>
      </c>
      <c r="M39" s="12">
        <f t="shared" si="20"/>
        <v>0.76938040515941408</v>
      </c>
      <c r="N39" s="12">
        <f t="shared" si="20"/>
        <v>0.79346456503538287</v>
      </c>
      <c r="O39" s="12">
        <f t="shared" si="20"/>
        <v>0.80861087778031782</v>
      </c>
      <c r="P39" s="12">
        <f t="shared" si="20"/>
        <v>0.82442990818608375</v>
      </c>
      <c r="Q39" s="12">
        <f t="shared" si="20"/>
        <v>0.84084399967713908</v>
      </c>
      <c r="R39" s="12">
        <f t="shared" si="20"/>
        <v>0.85778380265335574</v>
      </c>
    </row>
    <row r="40" spans="2:141" x14ac:dyDescent="0.25">
      <c r="H40" s="9"/>
      <c r="I40" s="9"/>
    </row>
    <row r="41" spans="2:141" s="4" customFormat="1" x14ac:dyDescent="0.25">
      <c r="B41" s="4" t="s">
        <v>2</v>
      </c>
      <c r="H41" s="4">
        <f>+H26/H24</f>
        <v>5.6307381730926274E-2</v>
      </c>
      <c r="I41" s="4">
        <f>+I26/I24</f>
        <v>7.8051282547578371E-2</v>
      </c>
      <c r="J41" s="4">
        <f>+J26/J24</f>
        <v>7.4999999999999997E-2</v>
      </c>
      <c r="K41" s="4">
        <f t="shared" ref="K41:R41" si="21">+K26/K24</f>
        <v>7.4999999999999997E-2</v>
      </c>
      <c r="L41" s="4">
        <f t="shared" si="21"/>
        <v>7.4999999999999997E-2</v>
      </c>
      <c r="M41" s="4">
        <f t="shared" si="21"/>
        <v>7.4999999999999997E-2</v>
      </c>
      <c r="N41" s="4">
        <f t="shared" si="21"/>
        <v>7.4999999999999997E-2</v>
      </c>
      <c r="O41" s="4">
        <f t="shared" si="21"/>
        <v>7.4999999999999969E-2</v>
      </c>
      <c r="P41" s="4">
        <f t="shared" si="21"/>
        <v>7.49999999999999E-2</v>
      </c>
      <c r="Q41" s="4">
        <f t="shared" si="21"/>
        <v>7.4999999999999983E-2</v>
      </c>
      <c r="R41" s="4">
        <f t="shared" si="21"/>
        <v>7.4999999999999914E-2</v>
      </c>
    </row>
    <row r="42" spans="2:141" s="4" customFormat="1" x14ac:dyDescent="0.25">
      <c r="B42" s="4" t="s">
        <v>15</v>
      </c>
      <c r="H42" s="4">
        <f>+H30/H24</f>
        <v>1.4252126032795739E-2</v>
      </c>
      <c r="I42" s="4">
        <f>+I30/I24</f>
        <v>2.9178501783130664E-2</v>
      </c>
      <c r="J42" s="4">
        <f>+J30/J24</f>
        <v>2.4781181619256017E-2</v>
      </c>
      <c r="K42" s="4">
        <f t="shared" ref="K42:R42" si="22">+K30/K24</f>
        <v>2.5000000000000001E-2</v>
      </c>
      <c r="L42" s="4">
        <f t="shared" si="22"/>
        <v>2.5000000000000001E-2</v>
      </c>
      <c r="M42" s="4">
        <f t="shared" si="22"/>
        <v>2.5000000000000001E-2</v>
      </c>
      <c r="N42" s="4">
        <f t="shared" si="22"/>
        <v>2.5000000000000001E-2</v>
      </c>
      <c r="O42" s="4">
        <f t="shared" si="22"/>
        <v>2.499999999999997E-2</v>
      </c>
      <c r="P42" s="4">
        <f t="shared" si="22"/>
        <v>2.4999999999999894E-2</v>
      </c>
      <c r="Q42" s="4">
        <f t="shared" si="22"/>
        <v>2.4999999999999984E-2</v>
      </c>
      <c r="R42" s="4">
        <f t="shared" si="22"/>
        <v>2.4999999999999915E-2</v>
      </c>
      <c r="T42" s="11" t="s">
        <v>41</v>
      </c>
      <c r="U42" s="10">
        <v>0.06</v>
      </c>
    </row>
    <row r="43" spans="2:141" s="4" customFormat="1" x14ac:dyDescent="0.25">
      <c r="B43" s="4" t="s">
        <v>16</v>
      </c>
      <c r="H43" s="4">
        <f>+H37/H24</f>
        <v>-1.2855925390905822E-2</v>
      </c>
      <c r="I43" s="4">
        <f>+I37/I24</f>
        <v>2.2050818014216655E-2</v>
      </c>
      <c r="J43" s="4">
        <f>+J37/J24</f>
        <v>1.5918074398249452E-2</v>
      </c>
      <c r="K43" s="4">
        <f t="shared" ref="K43:R43" si="23">+K37/K24</f>
        <v>1.5123132631578946E-2</v>
      </c>
      <c r="L43" s="4">
        <f t="shared" si="23"/>
        <v>1.5329424979591838E-2</v>
      </c>
      <c r="M43" s="4">
        <f t="shared" si="23"/>
        <v>1.5523160785685886E-2</v>
      </c>
      <c r="N43" s="4">
        <f t="shared" si="23"/>
        <v>1.5697019254768033E-2</v>
      </c>
      <c r="O43" s="4">
        <f t="shared" si="23"/>
        <v>1.5838274294370271E-2</v>
      </c>
      <c r="P43" s="4">
        <f t="shared" si="23"/>
        <v>1.5988239502833578E-2</v>
      </c>
      <c r="Q43" s="4">
        <f t="shared" si="23"/>
        <v>1.614510829567779E-2</v>
      </c>
      <c r="R43" s="4">
        <f t="shared" si="23"/>
        <v>1.6307297737565962E-2</v>
      </c>
      <c r="T43" s="11" t="s">
        <v>42</v>
      </c>
      <c r="U43" s="10">
        <v>-0.01</v>
      </c>
    </row>
    <row r="44" spans="2:141" s="7" customFormat="1" x14ac:dyDescent="0.25">
      <c r="B44" s="7" t="s">
        <v>40</v>
      </c>
      <c r="I44" s="7">
        <f>+I24/H24 -1</f>
        <v>0.24907977684966354</v>
      </c>
      <c r="T44" s="11" t="s">
        <v>43</v>
      </c>
      <c r="U44" s="13">
        <f>NPV(U42,J37:EK37)</f>
        <v>6323.9097075876271</v>
      </c>
    </row>
    <row r="45" spans="2:141" s="7" customFormat="1" x14ac:dyDescent="0.25">
      <c r="B45" s="8" t="s">
        <v>32</v>
      </c>
      <c r="I45" s="7">
        <f>+I18/H18  -1</f>
        <v>0.36118318629994817</v>
      </c>
      <c r="T45" s="11" t="s">
        <v>44</v>
      </c>
      <c r="U45" s="14">
        <f>+J63-J66</f>
        <v>562.09999999999968</v>
      </c>
    </row>
    <row r="46" spans="2:141" s="7" customFormat="1" ht="16.5" x14ac:dyDescent="0.25">
      <c r="B46" s="8" t="s">
        <v>37</v>
      </c>
      <c r="I46" s="7">
        <f>+I22/H22 -1</f>
        <v>0.21969332414259535</v>
      </c>
      <c r="T46" s="11" t="s">
        <v>46</v>
      </c>
      <c r="U46" s="14">
        <f>+U44+U45</f>
        <v>6886.0097075876265</v>
      </c>
    </row>
    <row r="47" spans="2:141" s="7" customFormat="1" x14ac:dyDescent="0.25">
      <c r="B47" s="8" t="s">
        <v>29</v>
      </c>
      <c r="I47" s="7">
        <f>+I15/H15 -1</f>
        <v>0.23719658575620173</v>
      </c>
      <c r="T47" s="11" t="s">
        <v>47</v>
      </c>
      <c r="U47" s="15">
        <f>+U46/R38</f>
        <v>13.570336183178663</v>
      </c>
    </row>
    <row r="48" spans="2:141" s="7" customFormat="1" x14ac:dyDescent="0.25">
      <c r="B48" s="8" t="s">
        <v>30</v>
      </c>
      <c r="I48" s="7">
        <f>+I16/H16 -1</f>
        <v>0.97888386123680249</v>
      </c>
      <c r="T48" s="11"/>
      <c r="U48" s="11">
        <v>8.06</v>
      </c>
    </row>
    <row r="49" spans="2:21" s="7" customFormat="1" x14ac:dyDescent="0.25">
      <c r="B49" s="8" t="s">
        <v>31</v>
      </c>
      <c r="I49" s="7">
        <f>+I17/H17 -1</f>
        <v>0.33944848275066342</v>
      </c>
      <c r="T49" s="11"/>
      <c r="U49" s="11">
        <f>1-(U48/U47)</f>
        <v>0.40605745567372842</v>
      </c>
    </row>
    <row r="50" spans="2:21" s="7" customFormat="1" x14ac:dyDescent="0.25">
      <c r="B50" s="8" t="s">
        <v>33</v>
      </c>
      <c r="I50" s="7">
        <f>+I19/H19 -1</f>
        <v>0.21110108303249087</v>
      </c>
    </row>
    <row r="51" spans="2:21" s="7" customFormat="1" x14ac:dyDescent="0.25">
      <c r="B51" s="8" t="s">
        <v>34</v>
      </c>
      <c r="I51" s="7">
        <f>+I20/H20 -1</f>
        <v>0.26348151933231123</v>
      </c>
    </row>
    <row r="52" spans="2:21" s="7" customFormat="1" x14ac:dyDescent="0.25">
      <c r="B52" s="8" t="s">
        <v>35</v>
      </c>
      <c r="I52" s="7">
        <f>+I21/H21 -1</f>
        <v>0.14974814607527631</v>
      </c>
    </row>
    <row r="54" spans="2:21" x14ac:dyDescent="0.25">
      <c r="B54" s="1" t="s">
        <v>17</v>
      </c>
      <c r="H54" s="1">
        <v>2077.8000000000002</v>
      </c>
      <c r="I54" s="1">
        <v>1637.3</v>
      </c>
    </row>
    <row r="55" spans="2:21" x14ac:dyDescent="0.25">
      <c r="B55" s="1" t="s">
        <v>18</v>
      </c>
      <c r="H55" s="1">
        <v>515.70000000000005</v>
      </c>
      <c r="I55" s="1">
        <v>666.2</v>
      </c>
    </row>
    <row r="56" spans="2:21" s="2" customFormat="1" x14ac:dyDescent="0.25">
      <c r="B56" s="2" t="s">
        <v>19</v>
      </c>
      <c r="H56" s="2">
        <f>+H54-H55</f>
        <v>1562.1000000000001</v>
      </c>
      <c r="I56" s="2">
        <f>+I54-I55</f>
        <v>971.09999999999991</v>
      </c>
    </row>
    <row r="58" spans="2:21" x14ac:dyDescent="0.25">
      <c r="B58" s="1" t="s">
        <v>20</v>
      </c>
      <c r="H58" s="1">
        <v>3903.8</v>
      </c>
      <c r="I58" s="1">
        <v>4546.5</v>
      </c>
    </row>
    <row r="59" spans="2:21" x14ac:dyDescent="0.25">
      <c r="B59" s="1" t="s">
        <v>21</v>
      </c>
      <c r="H59" s="1">
        <v>8742.7000000000007</v>
      </c>
      <c r="I59" s="1">
        <v>8876.9</v>
      </c>
    </row>
    <row r="60" spans="2:21" x14ac:dyDescent="0.25">
      <c r="B60" s="1" t="s">
        <v>22</v>
      </c>
      <c r="H60" s="1">
        <f>+H58-H59</f>
        <v>-4838.9000000000005</v>
      </c>
      <c r="I60" s="1">
        <f>+I58-I59</f>
        <v>-4330.3999999999996</v>
      </c>
    </row>
    <row r="61" spans="2:21" x14ac:dyDescent="0.25">
      <c r="B61" s="1" t="s">
        <v>23</v>
      </c>
      <c r="I61" s="1">
        <f>+I60-H60</f>
        <v>508.50000000000091</v>
      </c>
    </row>
    <row r="63" spans="2:21" x14ac:dyDescent="0.25">
      <c r="B63" s="1" t="s">
        <v>24</v>
      </c>
      <c r="H63" s="1">
        <f>1736.9+2.7</f>
        <v>1739.6000000000001</v>
      </c>
      <c r="I63" s="1">
        <f>2060.3+68.6</f>
        <v>2128.9</v>
      </c>
      <c r="J63" s="1">
        <f>2497.6+0.1</f>
        <v>2497.6999999999998</v>
      </c>
    </row>
    <row r="64" spans="2:21" x14ac:dyDescent="0.25">
      <c r="B64" s="1" t="s">
        <v>25</v>
      </c>
      <c r="H64" s="1">
        <v>3400.9</v>
      </c>
      <c r="I64" s="1">
        <v>3480.3</v>
      </c>
      <c r="J64" s="1">
        <v>3726.4</v>
      </c>
    </row>
    <row r="65" spans="2:10" x14ac:dyDescent="0.25">
      <c r="B65" s="1" t="s">
        <v>7</v>
      </c>
      <c r="H65" s="1">
        <v>785.4</v>
      </c>
      <c r="I65" s="1">
        <v>1198.2</v>
      </c>
      <c r="J65" s="1">
        <v>1427.9</v>
      </c>
    </row>
    <row r="66" spans="2:10" x14ac:dyDescent="0.25">
      <c r="B66" s="1" t="s">
        <v>26</v>
      </c>
      <c r="H66" s="1">
        <f>1731.4+319.9</f>
        <v>2051.3000000000002</v>
      </c>
      <c r="I66" s="1">
        <f>98.5+1198.5</f>
        <v>1297</v>
      </c>
      <c r="J66" s="1">
        <f>98.9+1836.7</f>
        <v>1935.6000000000001</v>
      </c>
    </row>
    <row r="67" spans="2:10" x14ac:dyDescent="0.25">
      <c r="B67" s="1" t="s">
        <v>27</v>
      </c>
      <c r="H67" s="1">
        <f>568.2+33.1</f>
        <v>601.30000000000007</v>
      </c>
      <c r="I67" s="1">
        <f>637.1+33.3</f>
        <v>670.4</v>
      </c>
      <c r="J67" s="1">
        <f>26.2+630.4</f>
        <v>656.6</v>
      </c>
    </row>
    <row r="68" spans="2:10" s="2" customFormat="1" x14ac:dyDescent="0.25">
      <c r="B68" s="2" t="s">
        <v>28</v>
      </c>
      <c r="H68" s="2">
        <f>+H63+H64+H65-H66-H67</f>
        <v>3273.2999999999993</v>
      </c>
      <c r="I68" s="2">
        <f>+I63+I64+I65-I66-I67</f>
        <v>4840.0000000000009</v>
      </c>
      <c r="J68" s="2">
        <f>+J63+J64+J65-J66-J67</f>
        <v>5059.7999999999993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Kutzer Maximilian Claudius</dc:creator>
  <cp:lastModifiedBy>Kutzer Maximilian Claudius</cp:lastModifiedBy>
  <dcterms:created xsi:type="dcterms:W3CDTF">2024-12-04T21:27:50Z</dcterms:created>
  <dcterms:modified xsi:type="dcterms:W3CDTF">2025-01-28T19:33:46Z</dcterms:modified>
</cp:coreProperties>
</file>