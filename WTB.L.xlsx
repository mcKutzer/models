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C391F7F-8356-45BD-A60C-51A7062B9024}" xr6:coauthVersionLast="47" xr6:coauthVersionMax="47" xr10:uidLastSave="{00000000-0000-0000-0000-000000000000}"/>
  <bookViews>
    <workbookView xWindow="-120" yWindow="-120" windowWidth="29040" windowHeight="15840" xr2:uid="{D31C12C4-89B8-4AFB-B3E2-4F574CC022DB}"/>
  </bookViews>
  <sheets>
    <sheet name="Sheet1" sheetId="1" r:id="rId1"/>
  </sheets>
  <definedNames>
    <definedName name="TR">Sheet1!$V$53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0" i="1" l="1"/>
  <c r="V59" i="1"/>
  <c r="V57" i="1"/>
  <c r="V56" i="1"/>
  <c r="V54" i="1"/>
  <c r="U50" i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T50" i="1"/>
  <c r="M49" i="1"/>
  <c r="N49" i="1"/>
  <c r="O49" i="1"/>
  <c r="P49" i="1"/>
  <c r="Q49" i="1"/>
  <c r="R49" i="1"/>
  <c r="S49" i="1"/>
  <c r="L49" i="1"/>
  <c r="M47" i="1"/>
  <c r="N47" i="1" s="1"/>
  <c r="O47" i="1" s="1"/>
  <c r="P47" i="1" s="1"/>
  <c r="Q47" i="1" s="1"/>
  <c r="R47" i="1" s="1"/>
  <c r="S47" i="1" s="1"/>
  <c r="L47" i="1"/>
  <c r="M45" i="1"/>
  <c r="N45" i="1"/>
  <c r="O45" i="1"/>
  <c r="P45" i="1"/>
  <c r="Q45" i="1"/>
  <c r="R45" i="1"/>
  <c r="S45" i="1"/>
  <c r="L45" i="1"/>
  <c r="M43" i="1"/>
  <c r="N43" i="1"/>
  <c r="O43" i="1"/>
  <c r="P43" i="1"/>
  <c r="Q43" i="1"/>
  <c r="Q44" i="1" s="1"/>
  <c r="R43" i="1"/>
  <c r="R44" i="1" s="1"/>
  <c r="S43" i="1"/>
  <c r="L43" i="1"/>
  <c r="M42" i="1"/>
  <c r="N42" i="1"/>
  <c r="O42" i="1"/>
  <c r="P42" i="1"/>
  <c r="Q42" i="1"/>
  <c r="R42" i="1"/>
  <c r="S42" i="1"/>
  <c r="M30" i="1"/>
  <c r="N30" i="1" s="1"/>
  <c r="O30" i="1" s="1"/>
  <c r="P30" i="1" s="1"/>
  <c r="Q30" i="1" s="1"/>
  <c r="R30" i="1" s="1"/>
  <c r="S30" i="1" s="1"/>
  <c r="L30" i="1"/>
  <c r="S28" i="1"/>
  <c r="R28" i="1"/>
  <c r="Q28" i="1"/>
  <c r="P28" i="1"/>
  <c r="M28" i="1"/>
  <c r="N28" i="1" s="1"/>
  <c r="O28" i="1" s="1"/>
  <c r="L28" i="1"/>
  <c r="Q27" i="1"/>
  <c r="P26" i="1"/>
  <c r="Q26" i="1"/>
  <c r="R26" i="1"/>
  <c r="S26" i="1"/>
  <c r="O26" i="1"/>
  <c r="N26" i="1"/>
  <c r="M26" i="1"/>
  <c r="L26" i="1"/>
  <c r="M34" i="1"/>
  <c r="N34" i="1"/>
  <c r="O34" i="1"/>
  <c r="P34" i="1"/>
  <c r="Q34" i="1"/>
  <c r="R34" i="1"/>
  <c r="S34" i="1"/>
  <c r="L34" i="1"/>
  <c r="M33" i="1"/>
  <c r="N33" i="1" s="1"/>
  <c r="O33" i="1" s="1"/>
  <c r="P33" i="1" s="1"/>
  <c r="Q33" i="1" s="1"/>
  <c r="R33" i="1" s="1"/>
  <c r="S33" i="1" s="1"/>
  <c r="L33" i="1"/>
  <c r="K33" i="1"/>
  <c r="J33" i="1"/>
  <c r="M38" i="1"/>
  <c r="N38" i="1" s="1"/>
  <c r="O38" i="1" s="1"/>
  <c r="P38" i="1" s="1"/>
  <c r="Q38" i="1" s="1"/>
  <c r="R38" i="1" s="1"/>
  <c r="S38" i="1" s="1"/>
  <c r="L38" i="1"/>
  <c r="L39" i="1" s="1"/>
  <c r="L25" i="1" s="1"/>
  <c r="L37" i="1"/>
  <c r="M37" i="1" s="1"/>
  <c r="N37" i="1" s="1"/>
  <c r="L35" i="1"/>
  <c r="L36" i="1" s="1"/>
  <c r="M44" i="1"/>
  <c r="N44" i="1"/>
  <c r="N46" i="1" s="1"/>
  <c r="O44" i="1"/>
  <c r="O46" i="1" s="1"/>
  <c r="P44" i="1"/>
  <c r="P46" i="1" s="1"/>
  <c r="S44" i="1"/>
  <c r="S46" i="1" s="1"/>
  <c r="M46" i="1"/>
  <c r="M48" i="1" s="1"/>
  <c r="M50" i="1" s="1"/>
  <c r="K47" i="1"/>
  <c r="L10" i="1"/>
  <c r="M10" i="1" s="1"/>
  <c r="N10" i="1" s="1"/>
  <c r="O10" i="1" s="1"/>
  <c r="P10" i="1" s="1"/>
  <c r="Q10" i="1" s="1"/>
  <c r="R10" i="1" s="1"/>
  <c r="S10" i="1" s="1"/>
  <c r="D49" i="1"/>
  <c r="D30" i="1"/>
  <c r="D26" i="1"/>
  <c r="D27" i="1" s="1"/>
  <c r="D25" i="1"/>
  <c r="D10" i="1"/>
  <c r="D6" i="1"/>
  <c r="D5" i="1"/>
  <c r="K4" i="1"/>
  <c r="L5" i="1"/>
  <c r="L6" i="1" s="1"/>
  <c r="M18" i="1"/>
  <c r="N18" i="1" s="1"/>
  <c r="O18" i="1" s="1"/>
  <c r="P18" i="1" s="1"/>
  <c r="Q18" i="1" s="1"/>
  <c r="R18" i="1" s="1"/>
  <c r="S18" i="1" s="1"/>
  <c r="L18" i="1"/>
  <c r="L19" i="1" s="1"/>
  <c r="M17" i="1"/>
  <c r="N17" i="1" s="1"/>
  <c r="O17" i="1" s="1"/>
  <c r="P17" i="1" s="1"/>
  <c r="Q17" i="1" s="1"/>
  <c r="R17" i="1" s="1"/>
  <c r="S17" i="1" s="1"/>
  <c r="L15" i="1"/>
  <c r="M15" i="1" s="1"/>
  <c r="J13" i="1"/>
  <c r="K13" i="1"/>
  <c r="L13" i="1" s="1"/>
  <c r="L14" i="1" s="1"/>
  <c r="E57" i="1"/>
  <c r="E62" i="1" s="1"/>
  <c r="C57" i="1"/>
  <c r="C62" i="1" s="1"/>
  <c r="J57" i="1"/>
  <c r="J62" i="1" s="1"/>
  <c r="K57" i="1"/>
  <c r="K62" i="1" s="1"/>
  <c r="K43" i="1"/>
  <c r="D43" i="1" s="1"/>
  <c r="J47" i="1"/>
  <c r="J43" i="1"/>
  <c r="K42" i="1"/>
  <c r="D42" i="1" s="1"/>
  <c r="J42" i="1"/>
  <c r="K28" i="1"/>
  <c r="K45" i="1" s="1"/>
  <c r="D45" i="1" s="1"/>
  <c r="K26" i="1"/>
  <c r="K27" i="1" s="1"/>
  <c r="J28" i="1"/>
  <c r="J45" i="1" s="1"/>
  <c r="J27" i="1"/>
  <c r="K8" i="1"/>
  <c r="L8" i="1" s="1"/>
  <c r="M8" i="1" s="1"/>
  <c r="N8" i="1" s="1"/>
  <c r="O8" i="1" s="1"/>
  <c r="P8" i="1" s="1"/>
  <c r="Q8" i="1" s="1"/>
  <c r="R8" i="1" s="1"/>
  <c r="S8" i="1" s="1"/>
  <c r="J8" i="1"/>
  <c r="C43" i="1"/>
  <c r="J6" i="1"/>
  <c r="J7" i="1" s="1"/>
  <c r="K7" i="1"/>
  <c r="K2" i="1"/>
  <c r="L2" i="1" s="1"/>
  <c r="M2" i="1" s="1"/>
  <c r="N2" i="1" s="1"/>
  <c r="O2" i="1" s="1"/>
  <c r="P2" i="1" s="1"/>
  <c r="Q2" i="1" s="1"/>
  <c r="R2" i="1" s="1"/>
  <c r="S2" i="1" s="1"/>
  <c r="E47" i="1"/>
  <c r="E45" i="1"/>
  <c r="C47" i="1"/>
  <c r="C45" i="1"/>
  <c r="E42" i="1"/>
  <c r="E44" i="1" s="1"/>
  <c r="E52" i="1" s="1"/>
  <c r="C42" i="1"/>
  <c r="F44" i="1"/>
  <c r="F46" i="1" s="1"/>
  <c r="F48" i="1" s="1"/>
  <c r="F50" i="1" s="1"/>
  <c r="E28" i="1"/>
  <c r="C28" i="1"/>
  <c r="C26" i="1"/>
  <c r="C27" i="1" s="1"/>
  <c r="F27" i="1"/>
  <c r="F29" i="1" s="1"/>
  <c r="F31" i="1" s="1"/>
  <c r="E27" i="1"/>
  <c r="E8" i="1"/>
  <c r="C8" i="1"/>
  <c r="E7" i="1"/>
  <c r="E9" i="1" s="1"/>
  <c r="E11" i="1" s="1"/>
  <c r="F7" i="1"/>
  <c r="F9" i="1"/>
  <c r="F11" i="1" s="1"/>
  <c r="C7" i="1"/>
  <c r="O48" i="1" l="1"/>
  <c r="O50" i="1" s="1"/>
  <c r="N48" i="1"/>
  <c r="N50" i="1" s="1"/>
  <c r="P48" i="1"/>
  <c r="P50" i="1" s="1"/>
  <c r="S48" i="1"/>
  <c r="S50" i="1" s="1"/>
  <c r="R46" i="1"/>
  <c r="R48" i="1" s="1"/>
  <c r="R50" i="1" s="1"/>
  <c r="Q46" i="1"/>
  <c r="Q48" i="1" s="1"/>
  <c r="Q50" i="1" s="1"/>
  <c r="D44" i="1"/>
  <c r="O37" i="1"/>
  <c r="N39" i="1"/>
  <c r="L27" i="1"/>
  <c r="L29" i="1" s="1"/>
  <c r="L31" i="1" s="1"/>
  <c r="L42" i="1"/>
  <c r="L44" i="1" s="1"/>
  <c r="L46" i="1" s="1"/>
  <c r="L48" i="1" s="1"/>
  <c r="L50" i="1" s="1"/>
  <c r="D28" i="1"/>
  <c r="D29" i="1" s="1"/>
  <c r="D31" i="1" s="1"/>
  <c r="S19" i="1"/>
  <c r="S5" i="1" s="1"/>
  <c r="K29" i="1"/>
  <c r="K31" i="1" s="1"/>
  <c r="M39" i="1"/>
  <c r="M25" i="1" s="1"/>
  <c r="M27" i="1" s="1"/>
  <c r="M29" i="1" s="1"/>
  <c r="M31" i="1" s="1"/>
  <c r="L7" i="1"/>
  <c r="L16" i="1"/>
  <c r="D8" i="1"/>
  <c r="D47" i="1"/>
  <c r="M35" i="1"/>
  <c r="N35" i="1" s="1"/>
  <c r="O35" i="1" s="1"/>
  <c r="J4" i="1"/>
  <c r="P35" i="1"/>
  <c r="D46" i="1"/>
  <c r="D48" i="1" s="1"/>
  <c r="D50" i="1" s="1"/>
  <c r="L9" i="1"/>
  <c r="L11" i="1" s="1"/>
  <c r="D7" i="1"/>
  <c r="D9" i="1" s="1"/>
  <c r="D11" i="1" s="1"/>
  <c r="M16" i="1"/>
  <c r="N16" i="1" s="1"/>
  <c r="O16" i="1" s="1"/>
  <c r="P16" i="1" s="1"/>
  <c r="Q16" i="1" s="1"/>
  <c r="R16" i="1" s="1"/>
  <c r="S16" i="1" s="1"/>
  <c r="N15" i="1"/>
  <c r="O15" i="1" s="1"/>
  <c r="P15" i="1" s="1"/>
  <c r="Q15" i="1" s="1"/>
  <c r="R15" i="1" s="1"/>
  <c r="S15" i="1" s="1"/>
  <c r="M13" i="1"/>
  <c r="N13" i="1" s="1"/>
  <c r="O13" i="1" s="1"/>
  <c r="R19" i="1"/>
  <c r="R5" i="1" s="1"/>
  <c r="Q19" i="1"/>
  <c r="Q5" i="1" s="1"/>
  <c r="P19" i="1"/>
  <c r="P5" i="1" s="1"/>
  <c r="O19" i="1"/>
  <c r="O5" i="1" s="1"/>
  <c r="N19" i="1"/>
  <c r="N5" i="1" s="1"/>
  <c r="M19" i="1"/>
  <c r="M5" i="1" s="1"/>
  <c r="C44" i="1"/>
  <c r="J44" i="1"/>
  <c r="J52" i="1" s="1"/>
  <c r="K44" i="1"/>
  <c r="K46" i="1" s="1"/>
  <c r="K48" i="1" s="1"/>
  <c r="K50" i="1" s="1"/>
  <c r="K53" i="1" s="1"/>
  <c r="C9" i="1"/>
  <c r="C11" i="1" s="1"/>
  <c r="J9" i="1"/>
  <c r="J11" i="1" s="1"/>
  <c r="C46" i="1"/>
  <c r="C48" i="1" s="1"/>
  <c r="C50" i="1" s="1"/>
  <c r="C53" i="1" s="1"/>
  <c r="C52" i="1"/>
  <c r="E46" i="1"/>
  <c r="E48" i="1" s="1"/>
  <c r="E50" i="1" s="1"/>
  <c r="E53" i="1" s="1"/>
  <c r="K52" i="1"/>
  <c r="J46" i="1"/>
  <c r="J48" i="1" s="1"/>
  <c r="J50" i="1" s="1"/>
  <c r="J53" i="1" s="1"/>
  <c r="J29" i="1"/>
  <c r="J31" i="1" s="1"/>
  <c r="K9" i="1"/>
  <c r="K11" i="1" s="1"/>
  <c r="E29" i="1"/>
  <c r="E31" i="1" s="1"/>
  <c r="C29" i="1"/>
  <c r="C31" i="1" s="1"/>
  <c r="M6" i="1" l="1"/>
  <c r="M7" i="1"/>
  <c r="M9" i="1" s="1"/>
  <c r="M11" i="1" s="1"/>
  <c r="S6" i="1"/>
  <c r="S7" i="1" s="1"/>
  <c r="Q35" i="1"/>
  <c r="R35" i="1" s="1"/>
  <c r="S35" i="1" s="1"/>
  <c r="R6" i="1"/>
  <c r="R7" i="1" s="1"/>
  <c r="P37" i="1"/>
  <c r="O39" i="1"/>
  <c r="O25" i="1" s="1"/>
  <c r="O27" i="1" s="1"/>
  <c r="O29" i="1" s="1"/>
  <c r="O31" i="1" s="1"/>
  <c r="Q6" i="1"/>
  <c r="Q7" i="1" s="1"/>
  <c r="N25" i="1"/>
  <c r="N27" i="1" s="1"/>
  <c r="N29" i="1" s="1"/>
  <c r="N31" i="1" s="1"/>
  <c r="M36" i="1"/>
  <c r="N36" i="1" s="1"/>
  <c r="O36" i="1" s="1"/>
  <c r="P36" i="1" s="1"/>
  <c r="N7" i="1"/>
  <c r="N9" i="1" s="1"/>
  <c r="N11" i="1" s="1"/>
  <c r="N6" i="1"/>
  <c r="O7" i="1"/>
  <c r="O6" i="1"/>
  <c r="P6" i="1"/>
  <c r="P7" i="1" s="1"/>
  <c r="O9" i="1"/>
  <c r="O11" i="1" s="1"/>
  <c r="M14" i="1"/>
  <c r="N14" i="1"/>
  <c r="P13" i="1"/>
  <c r="O14" i="1"/>
  <c r="Q37" i="1" l="1"/>
  <c r="P39" i="1"/>
  <c r="P25" i="1" s="1"/>
  <c r="P27" i="1" s="1"/>
  <c r="P29" i="1" s="1"/>
  <c r="P31" i="1" s="1"/>
  <c r="Q36" i="1"/>
  <c r="R36" i="1" s="1"/>
  <c r="S36" i="1" s="1"/>
  <c r="P9" i="1"/>
  <c r="P11" i="1" s="1"/>
  <c r="Q13" i="1"/>
  <c r="P14" i="1"/>
  <c r="R37" i="1" l="1"/>
  <c r="Q39" i="1"/>
  <c r="Q25" i="1" s="1"/>
  <c r="Q29" i="1" s="1"/>
  <c r="Q31" i="1" s="1"/>
  <c r="Q9" i="1"/>
  <c r="Q11" i="1" s="1"/>
  <c r="Q14" i="1"/>
  <c r="R13" i="1"/>
  <c r="S37" i="1" l="1"/>
  <c r="S39" i="1" s="1"/>
  <c r="S25" i="1" s="1"/>
  <c r="S27" i="1" s="1"/>
  <c r="S29" i="1" s="1"/>
  <c r="S31" i="1" s="1"/>
  <c r="R39" i="1"/>
  <c r="R25" i="1" s="1"/>
  <c r="R27" i="1" s="1"/>
  <c r="R29" i="1" s="1"/>
  <c r="R31" i="1" s="1"/>
  <c r="S9" i="1"/>
  <c r="S11" i="1" s="1"/>
  <c r="R9" i="1"/>
  <c r="R11" i="1" s="1"/>
  <c r="R14" i="1"/>
  <c r="S13" i="1"/>
  <c r="S14" i="1" s="1"/>
</calcChain>
</file>

<file path=xl/sharedStrings.xml><?xml version="1.0" encoding="utf-8"?>
<sst xmlns="http://schemas.openxmlformats.org/spreadsheetml/2006/main" count="62" uniqueCount="42">
  <si>
    <t>Premier Inn UK</t>
  </si>
  <si>
    <t>Operating Cost</t>
  </si>
  <si>
    <t>EBITDAR</t>
  </si>
  <si>
    <t>D&amp;A</t>
  </si>
  <si>
    <t>Operating Income</t>
  </si>
  <si>
    <t>Interest</t>
  </si>
  <si>
    <t>Pretax</t>
  </si>
  <si>
    <t>H1 24</t>
  </si>
  <si>
    <t>H2 24</t>
  </si>
  <si>
    <t>H1 25</t>
  </si>
  <si>
    <t>H2 25</t>
  </si>
  <si>
    <t>Revenue</t>
  </si>
  <si>
    <t>Hotels</t>
  </si>
  <si>
    <t>Rooms</t>
  </si>
  <si>
    <t>Pipeline</t>
  </si>
  <si>
    <t>Occupancy</t>
  </si>
  <si>
    <t>Room Rate</t>
  </si>
  <si>
    <t>Revenue Per Room</t>
  </si>
  <si>
    <t>Market Share</t>
  </si>
  <si>
    <t>Premier Inn DE</t>
  </si>
  <si>
    <t>Total Revenue</t>
  </si>
  <si>
    <t>Tax</t>
  </si>
  <si>
    <t>Net Income</t>
  </si>
  <si>
    <t>EBITDAR Margin</t>
  </si>
  <si>
    <t>Net Margin</t>
  </si>
  <si>
    <t>CFFO</t>
  </si>
  <si>
    <t>CapEx</t>
  </si>
  <si>
    <t>FCF</t>
  </si>
  <si>
    <t>Expansion CapEx</t>
  </si>
  <si>
    <t>Dividend</t>
  </si>
  <si>
    <t>CF</t>
  </si>
  <si>
    <t>Share-Buyback</t>
  </si>
  <si>
    <t>Rooms per Hotel</t>
  </si>
  <si>
    <t>Discount</t>
  </si>
  <si>
    <t>Terminal</t>
  </si>
  <si>
    <t>NPV</t>
  </si>
  <si>
    <t>Net Cash</t>
  </si>
  <si>
    <t>Value</t>
  </si>
  <si>
    <t>Price</t>
  </si>
  <si>
    <t>Current</t>
  </si>
  <si>
    <t>MoS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</si>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</sst>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7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0" fillId="0" borderId="0" xfId="0" applyNumberFormat="1"/>
    <xf numFmtId="9" fontId="0" fillId="0" borderId="0" xfId="1" applyFont="1"/>
    <xf numFmtId="2" fontId="0" fillId="0" borderId="0" xfId="0" applyNumberFormat="1"/>
    <xf numFmtId="165" fontId="0" fillId="0" borderId="0" xfId="1" applyNumberFormat="1" applyFont="1"/>
    <xf numFmtId="9" fontId="0" fillId="0" borderId="0" xfId="1" applyNumberFormat="1" applyFont="1"/>
    <xf numFmtId="4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135355</xdr:rowOff>
    </xdr:from>
    <xdr:to>
      <xdr:col>11</xdr:col>
      <xdr:colOff>5013</xdr:colOff>
      <xdr:row>63</xdr:row>
      <xdr:rowOff>50132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0DF6C9-B466-DAAF-5E2A-C6F3E26FEE07}"/>
            </a:ext>
          </a:extLst>
        </xdr:cNvPr>
        <xdr:cNvCxnSpPr/>
      </xdr:nvCxnSpPr>
      <xdr:spPr>
        <a:xfrm flipH="1">
          <a:off x="6827921" y="706855"/>
          <a:ext cx="5013" cy="105827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9421-FD99-4D18-993E-A58432BD1726}">
  <dimension ref="B2:EH62"/>
  <sheetViews>
    <sheetView tabSelected="1" zoomScale="190" zoomScaleNormal="190" workbookViewId="0">
      <pane xSplit="2" ySplit="2" topLeftCell="T46" activePane="bottomRight" state="frozen"/>
      <selection pane="topRight" activeCell="C1" sqref="C1"/>
      <selection pane="bottomLeft" activeCell="A3" sqref="A3"/>
      <selection pane="bottomRight" activeCell="AB47" sqref="AB47"/>
    </sheetView>
  </sheetViews>
  <sheetFormatPr defaultRowHeight="15" x14ac:dyDescent="0.25"/>
  <cols>
    <col min="1" max="1" width="2.85546875" style="1" customWidth="1"/>
    <col min="2" max="2" width="17" style="1" bestFit="1" customWidth="1"/>
    <col min="3" max="16384" width="9.140625" style="1"/>
  </cols>
  <sheetData>
    <row r="2" spans="2:19" s="3" customFormat="1" x14ac:dyDescent="0.25">
      <c r="C2" s="3" t="s">
        <v>7</v>
      </c>
      <c r="D2" s="3" t="s">
        <v>8</v>
      </c>
      <c r="E2" s="3" t="s">
        <v>9</v>
      </c>
      <c r="F2" s="3" t="s">
        <v>10</v>
      </c>
      <c r="J2" s="3">
        <v>2023</v>
      </c>
      <c r="K2" s="3">
        <f>+J2+1</f>
        <v>2024</v>
      </c>
      <c r="L2" s="3">
        <f t="shared" ref="L2:S2" si="0">+K2+1</f>
        <v>2025</v>
      </c>
      <c r="M2" s="3">
        <f t="shared" si="0"/>
        <v>2026</v>
      </c>
      <c r="N2" s="3">
        <f t="shared" si="0"/>
        <v>2027</v>
      </c>
      <c r="O2" s="3">
        <f t="shared" si="0"/>
        <v>2028</v>
      </c>
      <c r="P2" s="3">
        <f t="shared" si="0"/>
        <v>2029</v>
      </c>
      <c r="Q2" s="3">
        <f t="shared" si="0"/>
        <v>2030</v>
      </c>
      <c r="R2" s="3">
        <f t="shared" si="0"/>
        <v>2031</v>
      </c>
      <c r="S2" s="3">
        <f t="shared" si="0"/>
        <v>2032</v>
      </c>
    </row>
    <row r="4" spans="2:19" x14ac:dyDescent="0.25">
      <c r="B4" s="2" t="s">
        <v>0</v>
      </c>
      <c r="J4" s="9">
        <f>+J6/J5</f>
        <v>0.63397129186602874</v>
      </c>
      <c r="K4" s="9">
        <f>+K6/K5</f>
        <v>0.62166064981949454</v>
      </c>
    </row>
    <row r="5" spans="2:19" s="2" customFormat="1" x14ac:dyDescent="0.25">
      <c r="B5" s="2" t="s">
        <v>11</v>
      </c>
      <c r="C5" s="2">
        <v>1479</v>
      </c>
      <c r="D5" s="2">
        <f>+K5-C5</f>
        <v>1291</v>
      </c>
      <c r="E5" s="2">
        <v>1455</v>
      </c>
      <c r="J5" s="2">
        <v>2508</v>
      </c>
      <c r="K5" s="2">
        <v>2770</v>
      </c>
      <c r="L5" s="2">
        <f>+L19*L15/2 /1000</f>
        <v>2907.0053702755199</v>
      </c>
      <c r="M5" s="2">
        <f t="shared" ref="M5:S5" si="1">+M19*M15/2 /1000</f>
        <v>3016.9632029190411</v>
      </c>
      <c r="N5" s="2">
        <f t="shared" si="1"/>
        <v>3121.8072987626138</v>
      </c>
      <c r="O5" s="2">
        <f t="shared" si="1"/>
        <v>3223.8919128725884</v>
      </c>
      <c r="P5" s="2">
        <f t="shared" si="1"/>
        <v>3319.4062288295672</v>
      </c>
      <c r="Q5" s="2">
        <f t="shared" si="1"/>
        <v>3417.7304088410633</v>
      </c>
      <c r="R5" s="2">
        <f t="shared" si="1"/>
        <v>3504.9686775438036</v>
      </c>
      <c r="S5" s="2">
        <f t="shared" si="1"/>
        <v>3590.8292886084</v>
      </c>
    </row>
    <row r="6" spans="2:19" x14ac:dyDescent="0.25">
      <c r="B6" s="1" t="s">
        <v>1</v>
      </c>
      <c r="C6" s="1">
        <v>852</v>
      </c>
      <c r="D6" s="1">
        <f>+K6-C6</f>
        <v>870</v>
      </c>
      <c r="E6" s="1">
        <v>856</v>
      </c>
      <c r="J6" s="1">
        <f>1595-5</f>
        <v>1590</v>
      </c>
      <c r="K6" s="1">
        <v>1722</v>
      </c>
      <c r="L6" s="1">
        <f>+L5*0.625</f>
        <v>1816.8783564221999</v>
      </c>
      <c r="M6" s="1">
        <f t="shared" ref="M6:S6" si="2">+M5*0.625</f>
        <v>1885.6020018244008</v>
      </c>
      <c r="N6" s="1">
        <f t="shared" si="2"/>
        <v>1951.1295617266337</v>
      </c>
      <c r="O6" s="1">
        <f t="shared" si="2"/>
        <v>2014.9324455453677</v>
      </c>
      <c r="P6" s="1">
        <f t="shared" si="2"/>
        <v>2074.6288930184796</v>
      </c>
      <c r="Q6" s="1">
        <f t="shared" si="2"/>
        <v>2136.0815055256644</v>
      </c>
      <c r="R6" s="1">
        <f t="shared" si="2"/>
        <v>2190.6054234648773</v>
      </c>
      <c r="S6" s="1">
        <f t="shared" si="2"/>
        <v>2244.2683053802502</v>
      </c>
    </row>
    <row r="7" spans="2:19" x14ac:dyDescent="0.25">
      <c r="B7" s="1" t="s">
        <v>2</v>
      </c>
      <c r="C7" s="1">
        <f>+C5-C6</f>
        <v>627</v>
      </c>
      <c r="D7" s="1">
        <f t="shared" ref="D7:L7" si="3">+D5-D6</f>
        <v>421</v>
      </c>
      <c r="E7" s="1">
        <f t="shared" si="3"/>
        <v>599</v>
      </c>
      <c r="F7" s="1">
        <f t="shared" si="3"/>
        <v>0</v>
      </c>
      <c r="J7" s="1">
        <f t="shared" si="3"/>
        <v>918</v>
      </c>
      <c r="K7" s="1">
        <f t="shared" si="3"/>
        <v>1048</v>
      </c>
      <c r="L7" s="1">
        <f t="shared" si="3"/>
        <v>1090.12701385332</v>
      </c>
      <c r="M7" s="1">
        <f t="shared" ref="M7" si="4">+M5-M6</f>
        <v>1131.3612010946404</v>
      </c>
      <c r="N7" s="1">
        <f t="shared" ref="N7" si="5">+N5-N6</f>
        <v>1170.67773703598</v>
      </c>
      <c r="O7" s="1">
        <f t="shared" ref="O7" si="6">+O5-O6</f>
        <v>1208.9594673272206</v>
      </c>
      <c r="P7" s="1">
        <f t="shared" ref="P7" si="7">+P5-P6</f>
        <v>1244.7773358110876</v>
      </c>
      <c r="Q7" s="1">
        <f t="shared" ref="Q7" si="8">+Q5-Q6</f>
        <v>1281.6489033153989</v>
      </c>
      <c r="R7" s="1">
        <f t="shared" ref="R7" si="9">+R5-R6</f>
        <v>1314.3632540789263</v>
      </c>
      <c r="S7" s="1">
        <f t="shared" ref="S7" si="10">+S5-S6</f>
        <v>1346.5609832281498</v>
      </c>
    </row>
    <row r="8" spans="2:19" x14ac:dyDescent="0.25">
      <c r="B8" s="1" t="s">
        <v>3</v>
      </c>
      <c r="C8" s="1">
        <f>70+86</f>
        <v>156</v>
      </c>
      <c r="D8" s="1">
        <f>+K8-C8</f>
        <v>171</v>
      </c>
      <c r="E8" s="1">
        <f>76+95</f>
        <v>171</v>
      </c>
      <c r="J8" s="1">
        <f>134+169</f>
        <v>303</v>
      </c>
      <c r="K8" s="1">
        <f>144+183</f>
        <v>327</v>
      </c>
      <c r="L8" s="1">
        <f>+K8*1.02</f>
        <v>333.54</v>
      </c>
      <c r="M8" s="1">
        <f>+L8*0.98</f>
        <v>326.86920000000003</v>
      </c>
      <c r="N8" s="1">
        <f t="shared" ref="N8:S8" si="11">+M8*0.98</f>
        <v>320.331816</v>
      </c>
      <c r="O8" s="1">
        <f t="shared" si="11"/>
        <v>313.92517967999999</v>
      </c>
      <c r="P8" s="1">
        <f t="shared" si="11"/>
        <v>307.64667608639996</v>
      </c>
      <c r="Q8" s="1">
        <f t="shared" si="11"/>
        <v>301.49374256467195</v>
      </c>
      <c r="R8" s="1">
        <f t="shared" si="11"/>
        <v>295.46386771337848</v>
      </c>
      <c r="S8" s="1">
        <f t="shared" si="11"/>
        <v>289.55459035911088</v>
      </c>
    </row>
    <row r="9" spans="2:19" x14ac:dyDescent="0.25">
      <c r="B9" s="1" t="s">
        <v>4</v>
      </c>
      <c r="C9" s="1">
        <f>+C7-C8</f>
        <v>471</v>
      </c>
      <c r="D9" s="1">
        <f t="shared" ref="D9:L9" si="12">+D7-D8</f>
        <v>250</v>
      </c>
      <c r="E9" s="1">
        <f t="shared" si="12"/>
        <v>428</v>
      </c>
      <c r="F9" s="1">
        <f t="shared" si="12"/>
        <v>0</v>
      </c>
      <c r="J9" s="1">
        <f t="shared" si="12"/>
        <v>615</v>
      </c>
      <c r="K9" s="1">
        <f t="shared" si="12"/>
        <v>721</v>
      </c>
      <c r="L9" s="1">
        <f t="shared" si="12"/>
        <v>756.58701385332006</v>
      </c>
      <c r="M9" s="1">
        <f t="shared" ref="M9" si="13">+M7-M8</f>
        <v>804.49200109464027</v>
      </c>
      <c r="N9" s="1">
        <f t="shared" ref="N9" si="14">+N7-N8</f>
        <v>850.34592103598004</v>
      </c>
      <c r="O9" s="1">
        <f t="shared" ref="O9" si="15">+O7-O8</f>
        <v>895.03428764722071</v>
      </c>
      <c r="P9" s="1">
        <f t="shared" ref="P9" si="16">+P7-P8</f>
        <v>937.13065972468758</v>
      </c>
      <c r="Q9" s="1">
        <f t="shared" ref="Q9" si="17">+Q7-Q8</f>
        <v>980.15516075072696</v>
      </c>
      <c r="R9" s="1">
        <f t="shared" ref="R9" si="18">+R7-R8</f>
        <v>1018.8993863655478</v>
      </c>
      <c r="S9" s="1">
        <f t="shared" ref="S9" si="19">+S7-S8</f>
        <v>1057.0063928690388</v>
      </c>
    </row>
    <row r="10" spans="2:19" x14ac:dyDescent="0.25">
      <c r="B10" s="1" t="s">
        <v>5</v>
      </c>
      <c r="C10" s="1">
        <v>65</v>
      </c>
      <c r="D10" s="1">
        <f>+K10-C10</f>
        <v>69</v>
      </c>
      <c r="E10" s="1">
        <v>72</v>
      </c>
      <c r="J10" s="1">
        <v>125</v>
      </c>
      <c r="K10" s="1">
        <v>134</v>
      </c>
      <c r="L10" s="1">
        <f>+K10*1.02</f>
        <v>136.68</v>
      </c>
      <c r="M10" s="1">
        <f t="shared" ref="M10:S10" si="20">+L10*1.02</f>
        <v>139.4136</v>
      </c>
      <c r="N10" s="1">
        <f t="shared" si="20"/>
        <v>142.20187200000001</v>
      </c>
      <c r="O10" s="1">
        <f t="shared" si="20"/>
        <v>145.04590944</v>
      </c>
      <c r="P10" s="1">
        <f t="shared" si="20"/>
        <v>147.94682762880001</v>
      </c>
      <c r="Q10" s="1">
        <f t="shared" si="20"/>
        <v>150.90576418137601</v>
      </c>
      <c r="R10" s="1">
        <f t="shared" si="20"/>
        <v>153.92387946500352</v>
      </c>
      <c r="S10" s="1">
        <f t="shared" si="20"/>
        <v>157.00235705430359</v>
      </c>
    </row>
    <row r="11" spans="2:19" x14ac:dyDescent="0.25">
      <c r="B11" s="1" t="s">
        <v>6</v>
      </c>
      <c r="C11" s="1">
        <f>+C9-C10</f>
        <v>406</v>
      </c>
      <c r="D11" s="1">
        <f t="shared" ref="D11:L11" si="21">+D9-D10</f>
        <v>181</v>
      </c>
      <c r="E11" s="1">
        <f t="shared" si="21"/>
        <v>356</v>
      </c>
      <c r="F11" s="1">
        <f t="shared" si="21"/>
        <v>0</v>
      </c>
      <c r="J11" s="1">
        <f t="shared" si="21"/>
        <v>490</v>
      </c>
      <c r="K11" s="1">
        <f t="shared" si="21"/>
        <v>587</v>
      </c>
      <c r="L11" s="1">
        <f t="shared" si="21"/>
        <v>619.90701385332</v>
      </c>
      <c r="M11" s="1">
        <f t="shared" ref="M11" si="22">+M9-M10</f>
        <v>665.0784010946403</v>
      </c>
      <c r="N11" s="1">
        <f t="shared" ref="N11" si="23">+N9-N10</f>
        <v>708.14404903598006</v>
      </c>
      <c r="O11" s="1">
        <f t="shared" ref="O11" si="24">+O9-O10</f>
        <v>749.98837820722065</v>
      </c>
      <c r="P11" s="1">
        <f t="shared" ref="P11" si="25">+P9-P10</f>
        <v>789.18383209588751</v>
      </c>
      <c r="Q11" s="1">
        <f t="shared" ref="Q11" si="26">+Q9-Q10</f>
        <v>829.24939656935089</v>
      </c>
      <c r="R11" s="1">
        <f t="shared" ref="R11" si="27">+R9-R10</f>
        <v>864.97550690054425</v>
      </c>
      <c r="S11" s="1">
        <f t="shared" ref="S11" si="28">+S9-S10</f>
        <v>900.00403581473518</v>
      </c>
    </row>
    <row r="13" spans="2:19" x14ac:dyDescent="0.25">
      <c r="B13" s="1" t="s">
        <v>32</v>
      </c>
      <c r="J13" s="1">
        <f>+J15/J14</f>
        <v>98.672963400236128</v>
      </c>
      <c r="K13" s="1">
        <f>+K15/K14</f>
        <v>100.16764361078546</v>
      </c>
      <c r="L13" s="1">
        <f>+K13+1</f>
        <v>101.16764361078546</v>
      </c>
      <c r="M13" s="1">
        <f t="shared" ref="M13:S13" si="29">+L13+1</f>
        <v>102.16764361078546</v>
      </c>
      <c r="N13" s="1">
        <f t="shared" si="29"/>
        <v>103.16764361078546</v>
      </c>
      <c r="O13" s="1">
        <f t="shared" si="29"/>
        <v>104.16764361078546</v>
      </c>
      <c r="P13" s="1">
        <f t="shared" si="29"/>
        <v>105.16764361078546</v>
      </c>
      <c r="Q13" s="1">
        <f t="shared" si="29"/>
        <v>106.16764361078546</v>
      </c>
      <c r="R13" s="1">
        <f t="shared" si="29"/>
        <v>107.16764361078546</v>
      </c>
      <c r="S13" s="1">
        <f t="shared" si="29"/>
        <v>108.16764361078546</v>
      </c>
    </row>
    <row r="14" spans="2:19" s="2" customFormat="1" x14ac:dyDescent="0.25">
      <c r="B14" s="2" t="s">
        <v>12</v>
      </c>
      <c r="C14" s="2">
        <v>849</v>
      </c>
      <c r="E14" s="2">
        <v>855</v>
      </c>
      <c r="J14" s="2">
        <v>847</v>
      </c>
      <c r="K14" s="2">
        <v>853</v>
      </c>
      <c r="L14" s="2">
        <f>+L15/L13</f>
        <v>861.45981945860763</v>
      </c>
      <c r="M14" s="2">
        <f t="shared" ref="M14:S14" si="30">+M15/M13</f>
        <v>865.82341310514164</v>
      </c>
      <c r="N14" s="2">
        <f t="shared" si="30"/>
        <v>867.72019231658817</v>
      </c>
      <c r="O14" s="2">
        <f t="shared" si="30"/>
        <v>867.98405816090064</v>
      </c>
      <c r="P14" s="2">
        <f t="shared" si="30"/>
        <v>865.74883569249153</v>
      </c>
      <c r="Q14" s="2">
        <f t="shared" si="30"/>
        <v>863.59745064838216</v>
      </c>
      <c r="R14" s="2">
        <f t="shared" si="30"/>
        <v>858.10568921995127</v>
      </c>
      <c r="S14" s="2">
        <f t="shared" si="30"/>
        <v>851.8729255454424</v>
      </c>
    </row>
    <row r="15" spans="2:19" x14ac:dyDescent="0.25">
      <c r="B15" s="1" t="s">
        <v>13</v>
      </c>
      <c r="C15" s="1">
        <v>83934</v>
      </c>
      <c r="E15" s="1">
        <v>85920</v>
      </c>
      <c r="J15" s="1">
        <v>83576</v>
      </c>
      <c r="K15" s="1">
        <v>85443</v>
      </c>
      <c r="L15" s="1">
        <f>+K15*1.02</f>
        <v>87151.86</v>
      </c>
      <c r="M15" s="1">
        <f>+L15*1.015</f>
        <v>88459.137899999987</v>
      </c>
      <c r="N15" s="1">
        <f>+M15*1.012</f>
        <v>89520.647554799987</v>
      </c>
      <c r="O15" s="1">
        <f>+N15*1.01</f>
        <v>90415.854030347982</v>
      </c>
      <c r="P15" s="1">
        <f>+O15*1.007</f>
        <v>91048.765008560411</v>
      </c>
      <c r="Q15" s="1">
        <f>+P15*1.007</f>
        <v>91686.106363620318</v>
      </c>
      <c r="R15" s="1">
        <f>+Q15*1.003</f>
        <v>91961.164682711169</v>
      </c>
      <c r="S15" s="1">
        <f>+R15*1.002</f>
        <v>92145.08701207659</v>
      </c>
    </row>
    <row r="16" spans="2:19" x14ac:dyDescent="0.25">
      <c r="B16" s="1" t="s">
        <v>14</v>
      </c>
      <c r="C16" s="1">
        <v>7291</v>
      </c>
      <c r="E16" s="1">
        <v>6262</v>
      </c>
      <c r="J16" s="1">
        <v>7425</v>
      </c>
      <c r="K16" s="1">
        <v>6795</v>
      </c>
      <c r="L16" s="1">
        <f>+K16-(L15-K15)</f>
        <v>5086.1399999999994</v>
      </c>
      <c r="M16" s="1">
        <f t="shared" ref="M16:S16" si="31">+L16-(M15-L15)</f>
        <v>3778.862100000013</v>
      </c>
      <c r="N16" s="1">
        <f t="shared" si="31"/>
        <v>2717.3524452000129</v>
      </c>
      <c r="O16" s="1">
        <f t="shared" si="31"/>
        <v>1822.1459696520178</v>
      </c>
      <c r="P16" s="1">
        <f t="shared" si="31"/>
        <v>1189.2349914395891</v>
      </c>
      <c r="Q16" s="1">
        <f t="shared" si="31"/>
        <v>551.89363637968199</v>
      </c>
      <c r="R16" s="1">
        <f t="shared" si="31"/>
        <v>276.83531728883099</v>
      </c>
      <c r="S16" s="1">
        <f t="shared" si="31"/>
        <v>92.912987923409673</v>
      </c>
    </row>
    <row r="17" spans="2:19" s="4" customFormat="1" x14ac:dyDescent="0.25">
      <c r="B17" s="4" t="s">
        <v>15</v>
      </c>
      <c r="C17" s="4">
        <v>0.84399999999999997</v>
      </c>
      <c r="E17" s="4">
        <v>0.83099999999999996</v>
      </c>
      <c r="J17" s="4">
        <v>0.82699999999999996</v>
      </c>
      <c r="K17" s="4">
        <v>0.82199999999999995</v>
      </c>
      <c r="L17" s="4">
        <v>0.82</v>
      </c>
      <c r="M17" s="4">
        <f>+L17+0.002</f>
        <v>0.82199999999999995</v>
      </c>
      <c r="N17" s="4">
        <f t="shared" ref="N17:S17" si="32">+M17+0.002</f>
        <v>0.82399999999999995</v>
      </c>
      <c r="O17" s="4">
        <f t="shared" si="32"/>
        <v>0.82599999999999996</v>
      </c>
      <c r="P17" s="4">
        <f t="shared" si="32"/>
        <v>0.82799999999999996</v>
      </c>
      <c r="Q17" s="4">
        <f t="shared" si="32"/>
        <v>0.83</v>
      </c>
      <c r="R17" s="4">
        <f t="shared" si="32"/>
        <v>0.83199999999999996</v>
      </c>
      <c r="S17" s="4">
        <f t="shared" si="32"/>
        <v>0.83399999999999996</v>
      </c>
    </row>
    <row r="18" spans="2:19" s="5" customFormat="1" x14ac:dyDescent="0.25">
      <c r="B18" s="5" t="s">
        <v>16</v>
      </c>
      <c r="C18" s="5">
        <v>84.13</v>
      </c>
      <c r="E18" s="5">
        <v>84.16</v>
      </c>
      <c r="J18" s="5">
        <v>71.84</v>
      </c>
      <c r="K18" s="5">
        <v>79.760000000000005</v>
      </c>
      <c r="L18" s="5">
        <f>+K18*1.02</f>
        <v>81.355200000000011</v>
      </c>
      <c r="M18" s="5">
        <f t="shared" ref="M18:S18" si="33">+L18*1.02</f>
        <v>82.982304000000013</v>
      </c>
      <c r="N18" s="5">
        <f t="shared" si="33"/>
        <v>84.641950080000015</v>
      </c>
      <c r="O18" s="5">
        <f t="shared" si="33"/>
        <v>86.334789081600022</v>
      </c>
      <c r="P18" s="5">
        <f t="shared" si="33"/>
        <v>88.061484863232025</v>
      </c>
      <c r="Q18" s="5">
        <f t="shared" si="33"/>
        <v>89.822714560496664</v>
      </c>
      <c r="R18" s="5">
        <f t="shared" si="33"/>
        <v>91.619168851706604</v>
      </c>
      <c r="S18" s="5">
        <f t="shared" si="33"/>
        <v>93.451552228740738</v>
      </c>
    </row>
    <row r="19" spans="2:19" s="5" customFormat="1" x14ac:dyDescent="0.25">
      <c r="B19" s="5" t="s">
        <v>17</v>
      </c>
      <c r="C19" s="5">
        <v>71.02</v>
      </c>
      <c r="E19" s="5">
        <v>69.930000000000007</v>
      </c>
      <c r="J19" s="5">
        <v>59.45</v>
      </c>
      <c r="K19" s="5">
        <v>65.56</v>
      </c>
      <c r="L19" s="5">
        <f>+L18*L17</f>
        <v>66.711264</v>
      </c>
      <c r="M19" s="5">
        <f t="shared" ref="M19:S19" si="34">+M18*M17</f>
        <v>68.211453888000008</v>
      </c>
      <c r="N19" s="5">
        <f t="shared" si="34"/>
        <v>69.744966865920006</v>
      </c>
      <c r="O19" s="5">
        <f t="shared" si="34"/>
        <v>71.312535781401621</v>
      </c>
      <c r="P19" s="5">
        <f t="shared" si="34"/>
        <v>72.914909466756114</v>
      </c>
      <c r="Q19" s="5">
        <f t="shared" si="34"/>
        <v>74.55285308521222</v>
      </c>
      <c r="R19" s="5">
        <f t="shared" si="34"/>
        <v>76.227148484619889</v>
      </c>
      <c r="S19" s="5">
        <f t="shared" si="34"/>
        <v>77.938594558769779</v>
      </c>
    </row>
    <row r="20" spans="2:19" s="5" customFormat="1" x14ac:dyDescent="0.25"/>
    <row r="21" spans="2:19" x14ac:dyDescent="0.25">
      <c r="J21" s="8"/>
      <c r="K21" s="8"/>
    </row>
    <row r="22" spans="2:19" s="4" customFormat="1" x14ac:dyDescent="0.25">
      <c r="B22" s="4" t="s">
        <v>18</v>
      </c>
      <c r="E22" s="6">
        <v>8.4000000000000005E-2</v>
      </c>
    </row>
    <row r="24" spans="2:19" x14ac:dyDescent="0.25">
      <c r="B24" s="2" t="s">
        <v>19</v>
      </c>
      <c r="J24" s="8"/>
      <c r="K24" s="8"/>
    </row>
    <row r="25" spans="2:19" s="2" customFormat="1" x14ac:dyDescent="0.25">
      <c r="B25" s="2" t="s">
        <v>11</v>
      </c>
      <c r="C25" s="2">
        <v>95</v>
      </c>
      <c r="D25" s="2">
        <f>+K25-C25</f>
        <v>95</v>
      </c>
      <c r="E25" s="2">
        <v>115</v>
      </c>
      <c r="J25" s="2">
        <v>118</v>
      </c>
      <c r="K25" s="2">
        <v>190</v>
      </c>
      <c r="L25" s="2">
        <f>+L39*L35/2 /1000</f>
        <v>282.57527574936</v>
      </c>
      <c r="M25" s="2">
        <f t="shared" ref="M25:S25" si="35">+M39*M35/2 /1000</f>
        <v>332.9335559883595</v>
      </c>
      <c r="N25" s="2">
        <f t="shared" si="35"/>
        <v>384.90559722984938</v>
      </c>
      <c r="O25" s="2">
        <f t="shared" si="35"/>
        <v>440.56158409159639</v>
      </c>
      <c r="P25" s="2">
        <f t="shared" si="35"/>
        <v>499.22873390164358</v>
      </c>
      <c r="Q25" s="2">
        <f t="shared" si="35"/>
        <v>560.03534993457845</v>
      </c>
      <c r="R25" s="2">
        <f t="shared" si="35"/>
        <v>616.05254432681511</v>
      </c>
      <c r="S25" s="2">
        <f t="shared" si="35"/>
        <v>677.20104212372939</v>
      </c>
    </row>
    <row r="26" spans="2:19" x14ac:dyDescent="0.25">
      <c r="B26" s="1" t="s">
        <v>1</v>
      </c>
      <c r="C26" s="1">
        <f>75-3</f>
        <v>72</v>
      </c>
      <c r="D26" s="1">
        <f>+K26-C26</f>
        <v>76</v>
      </c>
      <c r="E26" s="1">
        <v>85</v>
      </c>
      <c r="J26" s="1">
        <v>110</v>
      </c>
      <c r="K26" s="1">
        <f>151-3</f>
        <v>148</v>
      </c>
      <c r="L26" s="1">
        <f>+L25*0.75</f>
        <v>211.93145681202</v>
      </c>
      <c r="M26" s="1">
        <f>+M25*0.7</f>
        <v>233.05348919185164</v>
      </c>
      <c r="N26" s="1">
        <f>+N25*0.65</f>
        <v>250.18863819940211</v>
      </c>
      <c r="O26" s="1">
        <f>+O25*0.625</f>
        <v>275.35099005724771</v>
      </c>
      <c r="P26" s="1">
        <f t="shared" ref="P26:S26" si="36">+P25*0.625</f>
        <v>312.01795868852724</v>
      </c>
      <c r="Q26" s="1">
        <f t="shared" si="36"/>
        <v>350.02209370911152</v>
      </c>
      <c r="R26" s="1">
        <f t="shared" si="36"/>
        <v>385.03284020425946</v>
      </c>
      <c r="S26" s="1">
        <f t="shared" si="36"/>
        <v>423.25065132733084</v>
      </c>
    </row>
    <row r="27" spans="2:19" x14ac:dyDescent="0.25">
      <c r="B27" s="1" t="s">
        <v>2</v>
      </c>
      <c r="C27" s="1">
        <f t="shared" ref="C27:F27" si="37">+C25-C26</f>
        <v>23</v>
      </c>
      <c r="D27" s="1">
        <f t="shared" si="37"/>
        <v>19</v>
      </c>
      <c r="E27" s="1">
        <f t="shared" si="37"/>
        <v>30</v>
      </c>
      <c r="F27" s="1">
        <f t="shared" si="37"/>
        <v>0</v>
      </c>
      <c r="J27" s="1">
        <f t="shared" ref="J27:L27" si="38">+J25-J26</f>
        <v>8</v>
      </c>
      <c r="K27" s="1">
        <f t="shared" si="38"/>
        <v>42</v>
      </c>
      <c r="L27" s="1">
        <f t="shared" si="38"/>
        <v>70.643818937340001</v>
      </c>
      <c r="M27" s="1">
        <f t="shared" ref="M27" si="39">+M25-M26</f>
        <v>99.880066796507862</v>
      </c>
      <c r="N27" s="1">
        <f t="shared" ref="N27" si="40">+N25-N26</f>
        <v>134.71695903044727</v>
      </c>
      <c r="O27" s="1">
        <f t="shared" ref="O27" si="41">+O25-O26</f>
        <v>165.21059403434867</v>
      </c>
      <c r="P27" s="1">
        <f t="shared" ref="P27" si="42">+P25-P26</f>
        <v>187.21077521311634</v>
      </c>
      <c r="Q27" s="1">
        <f>+Q25-Q26</f>
        <v>210.01325622546693</v>
      </c>
      <c r="R27" s="1">
        <f t="shared" ref="R27" si="43">+R25-R26</f>
        <v>231.01970412255565</v>
      </c>
      <c r="S27" s="1">
        <f t="shared" ref="S27" si="44">+S25-S26</f>
        <v>253.95039079639855</v>
      </c>
    </row>
    <row r="28" spans="2:19" x14ac:dyDescent="0.25">
      <c r="B28" s="1" t="s">
        <v>3</v>
      </c>
      <c r="C28" s="1">
        <f>20+7</f>
        <v>27</v>
      </c>
      <c r="D28" s="1">
        <f>+K28-C28</f>
        <v>29</v>
      </c>
      <c r="E28" s="1">
        <f>21+8</f>
        <v>29</v>
      </c>
      <c r="J28" s="1">
        <f>32+11</f>
        <v>43</v>
      </c>
      <c r="K28" s="1">
        <f>39+17</f>
        <v>56</v>
      </c>
      <c r="L28" s="1">
        <f>+K28*1.1</f>
        <v>61.600000000000009</v>
      </c>
      <c r="M28" s="1">
        <f t="shared" ref="M28:S28" si="45">+L28*1.1</f>
        <v>67.760000000000019</v>
      </c>
      <c r="N28" s="1">
        <f t="shared" si="45"/>
        <v>74.53600000000003</v>
      </c>
      <c r="O28" s="1">
        <f t="shared" si="45"/>
        <v>81.989600000000038</v>
      </c>
      <c r="P28" s="1">
        <f>+O28*1.08</f>
        <v>88.548768000000052</v>
      </c>
      <c r="Q28" s="1">
        <f>+P28*1.06</f>
        <v>93.861694080000063</v>
      </c>
      <c r="R28" s="1">
        <f>+Q28*1.05</f>
        <v>98.554778784000064</v>
      </c>
      <c r="S28" s="1">
        <f>+R28*1.05</f>
        <v>103.48251772320008</v>
      </c>
    </row>
    <row r="29" spans="2:19" x14ac:dyDescent="0.25">
      <c r="B29" s="1" t="s">
        <v>4</v>
      </c>
      <c r="C29" s="1">
        <f t="shared" ref="C29:F29" si="46">+C27-C28</f>
        <v>-4</v>
      </c>
      <c r="D29" s="1">
        <f t="shared" si="46"/>
        <v>-10</v>
      </c>
      <c r="E29" s="1">
        <f t="shared" si="46"/>
        <v>1</v>
      </c>
      <c r="F29" s="1">
        <f t="shared" si="46"/>
        <v>0</v>
      </c>
      <c r="J29" s="1">
        <f t="shared" ref="J29:L29" si="47">+J27-J28</f>
        <v>-35</v>
      </c>
      <c r="K29" s="1">
        <f t="shared" si="47"/>
        <v>-14</v>
      </c>
      <c r="L29" s="1">
        <f t="shared" si="47"/>
        <v>9.0438189373399922</v>
      </c>
      <c r="M29" s="1">
        <f t="shared" ref="M29" si="48">+M27-M28</f>
        <v>32.120066796507842</v>
      </c>
      <c r="N29" s="1">
        <f t="shared" ref="N29" si="49">+N27-N28</f>
        <v>60.180959030447241</v>
      </c>
      <c r="O29" s="1">
        <f t="shared" ref="O29" si="50">+O27-O28</f>
        <v>83.220994034348635</v>
      </c>
      <c r="P29" s="1">
        <f t="shared" ref="P29" si="51">+P27-P28</f>
        <v>98.662007213116283</v>
      </c>
      <c r="Q29" s="1">
        <f t="shared" ref="Q29" si="52">+Q27-Q28</f>
        <v>116.15156214546687</v>
      </c>
      <c r="R29" s="1">
        <f t="shared" ref="R29" si="53">+R27-R28</f>
        <v>132.46492533855559</v>
      </c>
      <c r="S29" s="1">
        <f t="shared" ref="S29" si="54">+S27-S28</f>
        <v>150.46787307319846</v>
      </c>
    </row>
    <row r="30" spans="2:19" x14ac:dyDescent="0.25">
      <c r="B30" s="1" t="s">
        <v>5</v>
      </c>
      <c r="C30" s="1">
        <v>10</v>
      </c>
      <c r="D30" s="1">
        <f>+K30-C30</f>
        <v>11</v>
      </c>
      <c r="E30" s="1">
        <v>11</v>
      </c>
      <c r="J30" s="1">
        <v>14</v>
      </c>
      <c r="K30" s="1">
        <v>21</v>
      </c>
      <c r="L30" s="1">
        <f>+K30*1.02</f>
        <v>21.42</v>
      </c>
      <c r="M30" s="1">
        <f t="shared" ref="M30:S30" si="55">+L30*1.02</f>
        <v>21.848400000000002</v>
      </c>
      <c r="N30" s="1">
        <f t="shared" si="55"/>
        <v>22.285368000000002</v>
      </c>
      <c r="O30" s="1">
        <f t="shared" si="55"/>
        <v>22.731075360000002</v>
      </c>
      <c r="P30" s="1">
        <f t="shared" si="55"/>
        <v>23.185696867200001</v>
      </c>
      <c r="Q30" s="1">
        <f t="shared" si="55"/>
        <v>23.649410804544001</v>
      </c>
      <c r="R30" s="1">
        <f t="shared" si="55"/>
        <v>24.12239902063488</v>
      </c>
      <c r="S30" s="1">
        <f t="shared" si="55"/>
        <v>24.604847001047577</v>
      </c>
    </row>
    <row r="31" spans="2:19" x14ac:dyDescent="0.25">
      <c r="B31" s="1" t="s">
        <v>6</v>
      </c>
      <c r="C31" s="1">
        <f t="shared" ref="C31:F31" si="56">+C29-C30</f>
        <v>-14</v>
      </c>
      <c r="D31" s="1">
        <f t="shared" si="56"/>
        <v>-21</v>
      </c>
      <c r="E31" s="1">
        <f t="shared" si="56"/>
        <v>-10</v>
      </c>
      <c r="F31" s="1">
        <f t="shared" si="56"/>
        <v>0</v>
      </c>
      <c r="J31" s="1">
        <f t="shared" ref="J31:L31" si="57">+J29-J30</f>
        <v>-49</v>
      </c>
      <c r="K31" s="1">
        <f t="shared" si="57"/>
        <v>-35</v>
      </c>
      <c r="L31" s="1">
        <f t="shared" si="57"/>
        <v>-12.37618106266001</v>
      </c>
      <c r="M31" s="1">
        <f t="shared" ref="M31" si="58">+M29-M30</f>
        <v>10.271666796507841</v>
      </c>
      <c r="N31" s="1">
        <f t="shared" ref="N31" si="59">+N29-N30</f>
        <v>37.895591030447235</v>
      </c>
      <c r="O31" s="1">
        <f t="shared" ref="O31" si="60">+O29-O30</f>
        <v>60.48991867434863</v>
      </c>
      <c r="P31" s="1">
        <f t="shared" ref="P31" si="61">+P29-P30</f>
        <v>75.476310345916289</v>
      </c>
      <c r="Q31" s="1">
        <f t="shared" ref="Q31" si="62">+Q29-Q30</f>
        <v>92.502151340922865</v>
      </c>
      <c r="R31" s="1">
        <f t="shared" ref="R31" si="63">+R29-R30</f>
        <v>108.34252631792071</v>
      </c>
      <c r="S31" s="1">
        <f t="shared" ref="S31" si="64">+S29-S30</f>
        <v>125.86302607215089</v>
      </c>
    </row>
    <row r="33" spans="2:19" x14ac:dyDescent="0.25">
      <c r="B33" s="1" t="s">
        <v>32</v>
      </c>
      <c r="J33" s="1">
        <f>+J35/J34</f>
        <v>177.29411764705881</v>
      </c>
      <c r="K33" s="1">
        <f>+K35/K34</f>
        <v>178.06779661016949</v>
      </c>
      <c r="L33" s="1">
        <f>+K33+1</f>
        <v>179.06779661016949</v>
      </c>
      <c r="M33" s="1">
        <f t="shared" ref="M33:S33" si="65">+L33+1</f>
        <v>180.06779661016949</v>
      </c>
      <c r="N33" s="1">
        <f t="shared" si="65"/>
        <v>181.06779661016949</v>
      </c>
      <c r="O33" s="1">
        <f t="shared" si="65"/>
        <v>182.06779661016949</v>
      </c>
      <c r="P33" s="1">
        <f t="shared" si="65"/>
        <v>183.06779661016949</v>
      </c>
      <c r="Q33" s="1">
        <f t="shared" si="65"/>
        <v>184.06779661016949</v>
      </c>
      <c r="R33" s="1">
        <f t="shared" si="65"/>
        <v>185.06779661016949</v>
      </c>
      <c r="S33" s="1">
        <f t="shared" si="65"/>
        <v>186.06779661016949</v>
      </c>
    </row>
    <row r="34" spans="2:19" s="2" customFormat="1" x14ac:dyDescent="0.25">
      <c r="B34" s="2" t="s">
        <v>12</v>
      </c>
      <c r="C34" s="2">
        <v>57</v>
      </c>
      <c r="E34" s="2">
        <v>59</v>
      </c>
      <c r="J34" s="2">
        <v>51</v>
      </c>
      <c r="K34" s="2">
        <v>59</v>
      </c>
      <c r="L34" s="2">
        <f>+L35/L33</f>
        <v>67.471093232371032</v>
      </c>
      <c r="M34" s="2">
        <f t="shared" ref="M34:S34" si="66">+M35/M33</f>
        <v>75.147962349397588</v>
      </c>
      <c r="N34" s="2">
        <f t="shared" si="66"/>
        <v>82.206229261443426</v>
      </c>
      <c r="O34" s="2">
        <f t="shared" si="66"/>
        <v>89.112639215043785</v>
      </c>
      <c r="P34" s="2">
        <f t="shared" si="66"/>
        <v>95.715934458276109</v>
      </c>
      <c r="Q34" s="2">
        <f t="shared" si="66"/>
        <v>101.85964591617947</v>
      </c>
      <c r="R34" s="2">
        <f t="shared" si="66"/>
        <v>106.374717683139</v>
      </c>
      <c r="S34" s="2">
        <f t="shared" si="66"/>
        <v>111.09316993088946</v>
      </c>
    </row>
    <row r="35" spans="2:19" x14ac:dyDescent="0.25">
      <c r="B35" s="1" t="s">
        <v>13</v>
      </c>
      <c r="C35" s="1">
        <v>10251</v>
      </c>
      <c r="E35" s="1">
        <v>10506</v>
      </c>
      <c r="J35" s="1">
        <v>9042</v>
      </c>
      <c r="K35" s="1">
        <v>10506</v>
      </c>
      <c r="L35" s="1">
        <f>+K35*1.15</f>
        <v>12081.9</v>
      </c>
      <c r="M35" s="1">
        <f>+L35*1.12</f>
        <v>13531.728000000001</v>
      </c>
      <c r="N35" s="1">
        <f>+M35*1.1</f>
        <v>14884.900800000003</v>
      </c>
      <c r="O35" s="1">
        <f>+N35*1.09</f>
        <v>16224.541872000005</v>
      </c>
      <c r="P35" s="1">
        <f>+O35*1.08</f>
        <v>17522.505221760006</v>
      </c>
      <c r="Q35" s="1">
        <f>+P35*1.07</f>
        <v>18749.080587283206</v>
      </c>
      <c r="R35" s="1">
        <f>+Q35*1.05</f>
        <v>19686.534616647368</v>
      </c>
      <c r="S35" s="1">
        <f t="shared" ref="S35" si="67">+R35*1.05</f>
        <v>20670.861347479738</v>
      </c>
    </row>
    <row r="36" spans="2:19" x14ac:dyDescent="0.25">
      <c r="B36" s="1" t="s">
        <v>14</v>
      </c>
      <c r="C36" s="1">
        <v>5830</v>
      </c>
      <c r="E36" s="1">
        <v>6790</v>
      </c>
      <c r="J36" s="1">
        <v>6907</v>
      </c>
      <c r="K36" s="1">
        <v>6286</v>
      </c>
      <c r="L36" s="1">
        <f>+K36-(L35-K35)+500</f>
        <v>5210.1000000000004</v>
      </c>
      <c r="M36" s="1">
        <f t="shared" ref="M36:S36" si="68">+L36-(M35-L35)+500</f>
        <v>4260.271999999999</v>
      </c>
      <c r="N36" s="1">
        <f t="shared" si="68"/>
        <v>3407.0991999999969</v>
      </c>
      <c r="O36" s="1">
        <f t="shared" si="68"/>
        <v>2567.4581279999948</v>
      </c>
      <c r="P36" s="1">
        <f t="shared" si="68"/>
        <v>1769.494778239994</v>
      </c>
      <c r="Q36" s="1">
        <f t="shared" si="68"/>
        <v>1042.9194127167939</v>
      </c>
      <c r="R36" s="1">
        <f t="shared" si="68"/>
        <v>605.46538335263176</v>
      </c>
      <c r="S36" s="1">
        <f t="shared" si="68"/>
        <v>121.13865252026153</v>
      </c>
    </row>
    <row r="37" spans="2:19" s="7" customFormat="1" x14ac:dyDescent="0.25">
      <c r="B37" s="7" t="s">
        <v>15</v>
      </c>
      <c r="C37" s="7">
        <v>0.64100000000000001</v>
      </c>
      <c r="E37" s="7">
        <v>0.68300000000000005</v>
      </c>
      <c r="J37" s="7">
        <v>0.59399999999999997</v>
      </c>
      <c r="K37" s="7">
        <v>0.61799999999999999</v>
      </c>
      <c r="L37" s="7">
        <f>+K37+0.02</f>
        <v>0.63800000000000001</v>
      </c>
      <c r="M37" s="7">
        <f t="shared" ref="M37:S37" si="69">+L37+0.02</f>
        <v>0.65800000000000003</v>
      </c>
      <c r="N37" s="7">
        <f t="shared" si="69"/>
        <v>0.67800000000000005</v>
      </c>
      <c r="O37" s="7">
        <f t="shared" si="69"/>
        <v>0.69800000000000006</v>
      </c>
      <c r="P37" s="7">
        <f t="shared" si="69"/>
        <v>0.71800000000000008</v>
      </c>
      <c r="Q37" s="7">
        <f t="shared" si="69"/>
        <v>0.7380000000000001</v>
      </c>
      <c r="R37" s="7">
        <f t="shared" si="69"/>
        <v>0.75800000000000012</v>
      </c>
      <c r="S37" s="7">
        <f t="shared" si="69"/>
        <v>0.77800000000000014</v>
      </c>
    </row>
    <row r="38" spans="2:19" s="5" customFormat="1" x14ac:dyDescent="0.25">
      <c r="B38" s="5" t="s">
        <v>16</v>
      </c>
      <c r="C38" s="5">
        <v>71.44</v>
      </c>
      <c r="E38" s="5">
        <v>75.78</v>
      </c>
      <c r="J38" s="5">
        <v>62.36</v>
      </c>
      <c r="K38" s="5">
        <v>71.88</v>
      </c>
      <c r="L38" s="5">
        <f>+K38*1.02</f>
        <v>73.317599999999999</v>
      </c>
      <c r="M38" s="5">
        <f t="shared" ref="M38:S38" si="70">+L38*1.02</f>
        <v>74.783951999999999</v>
      </c>
      <c r="N38" s="5">
        <f t="shared" si="70"/>
        <v>76.279631039999998</v>
      </c>
      <c r="O38" s="5">
        <f t="shared" si="70"/>
        <v>77.805223660799996</v>
      </c>
      <c r="P38" s="5">
        <f t="shared" si="70"/>
        <v>79.361328134015992</v>
      </c>
      <c r="Q38" s="5">
        <f t="shared" si="70"/>
        <v>80.948554696696306</v>
      </c>
      <c r="R38" s="5">
        <f t="shared" si="70"/>
        <v>82.567525790630228</v>
      </c>
      <c r="S38" s="5">
        <f t="shared" si="70"/>
        <v>84.218876306442837</v>
      </c>
    </row>
    <row r="39" spans="2:19" s="5" customFormat="1" x14ac:dyDescent="0.25">
      <c r="B39" s="5" t="s">
        <v>17</v>
      </c>
      <c r="C39" s="5">
        <v>45.79</v>
      </c>
      <c r="E39" s="5">
        <v>51.78</v>
      </c>
      <c r="J39" s="5">
        <v>37.04</v>
      </c>
      <c r="K39" s="5">
        <v>44.44</v>
      </c>
      <c r="L39" s="5">
        <f>+L38*L37</f>
        <v>46.776628799999997</v>
      </c>
      <c r="M39" s="5">
        <f t="shared" ref="M39:S39" si="71">+M38*M37</f>
        <v>49.207840416000003</v>
      </c>
      <c r="N39" s="5">
        <f t="shared" si="71"/>
        <v>51.717589845120003</v>
      </c>
      <c r="O39" s="5">
        <f t="shared" si="71"/>
        <v>54.308046115238405</v>
      </c>
      <c r="P39" s="5">
        <f t="shared" si="71"/>
        <v>56.98143360022349</v>
      </c>
      <c r="Q39" s="5">
        <f t="shared" si="71"/>
        <v>59.740033366161882</v>
      </c>
      <c r="R39" s="5">
        <f t="shared" si="71"/>
        <v>62.58618454929772</v>
      </c>
      <c r="S39" s="5">
        <f t="shared" si="71"/>
        <v>65.522285766412537</v>
      </c>
    </row>
    <row r="40" spans="2:19" x14ac:dyDescent="0.25">
      <c r="J40" s="8"/>
      <c r="K40" s="8"/>
    </row>
    <row r="42" spans="2:19" s="2" customFormat="1" x14ac:dyDescent="0.25">
      <c r="B42" s="2" t="s">
        <v>20</v>
      </c>
      <c r="C42" s="2">
        <f>+C25+C5</f>
        <v>1574</v>
      </c>
      <c r="D42" s="2">
        <f>+K42-C42</f>
        <v>1386</v>
      </c>
      <c r="E42" s="2">
        <f>+E25+E5</f>
        <v>1570</v>
      </c>
      <c r="J42" s="2">
        <f>+J25+J5</f>
        <v>2626</v>
      </c>
      <c r="K42" s="2">
        <f>+K25+K5</f>
        <v>2960</v>
      </c>
      <c r="L42" s="2">
        <f>+L25+L5</f>
        <v>3189.58064602488</v>
      </c>
      <c r="M42" s="2">
        <f t="shared" ref="M42:S42" si="72">+M25+M5</f>
        <v>3349.8967589074005</v>
      </c>
      <c r="N42" s="2">
        <f t="shared" si="72"/>
        <v>3506.712895992463</v>
      </c>
      <c r="O42" s="2">
        <f t="shared" si="72"/>
        <v>3664.4534969641845</v>
      </c>
      <c r="P42" s="2">
        <f t="shared" si="72"/>
        <v>3818.6349627312106</v>
      </c>
      <c r="Q42" s="2">
        <f t="shared" si="72"/>
        <v>3977.7657587756416</v>
      </c>
      <c r="R42" s="2">
        <f t="shared" si="72"/>
        <v>4121.0212218706183</v>
      </c>
      <c r="S42" s="2">
        <f t="shared" si="72"/>
        <v>4268.0303307321292</v>
      </c>
    </row>
    <row r="43" spans="2:19" x14ac:dyDescent="0.25">
      <c r="B43" s="1" t="s">
        <v>1</v>
      </c>
      <c r="C43" s="1">
        <f>949-3</f>
        <v>946</v>
      </c>
      <c r="D43" s="1">
        <f>+K43-C43</f>
        <v>957</v>
      </c>
      <c r="E43" s="1">
        <v>959</v>
      </c>
      <c r="J43" s="1">
        <f>1742-5</f>
        <v>1737</v>
      </c>
      <c r="K43" s="1">
        <f>1906-3</f>
        <v>1903</v>
      </c>
      <c r="L43" s="1">
        <f>+(L26+L6)*1.02</f>
        <v>2069.3860094989045</v>
      </c>
      <c r="M43" s="1">
        <f t="shared" ref="M43:S43" si="73">+(M26+M6)*1.02</f>
        <v>2161.0286008365774</v>
      </c>
      <c r="N43" s="1">
        <f t="shared" si="73"/>
        <v>2245.3445639245565</v>
      </c>
      <c r="O43" s="1">
        <f t="shared" si="73"/>
        <v>2336.089104314668</v>
      </c>
      <c r="P43" s="1">
        <f t="shared" si="73"/>
        <v>2434.3797887411474</v>
      </c>
      <c r="Q43" s="1">
        <f t="shared" si="73"/>
        <v>2535.8256712194716</v>
      </c>
      <c r="R43" s="1">
        <f t="shared" si="73"/>
        <v>2627.1510289425196</v>
      </c>
      <c r="S43" s="1">
        <f t="shared" si="73"/>
        <v>2720.8693358417331</v>
      </c>
    </row>
    <row r="44" spans="2:19" x14ac:dyDescent="0.25">
      <c r="B44" s="1" t="s">
        <v>2</v>
      </c>
      <c r="C44" s="1">
        <f t="shared" ref="C44:F44" si="74">+C42-C43</f>
        <v>628</v>
      </c>
      <c r="D44" s="1">
        <f t="shared" si="74"/>
        <v>429</v>
      </c>
      <c r="E44" s="1">
        <f t="shared" si="74"/>
        <v>611</v>
      </c>
      <c r="F44" s="1">
        <f t="shared" si="74"/>
        <v>0</v>
      </c>
      <c r="J44" s="1">
        <f t="shared" ref="J44:L44" si="75">+J42-J43</f>
        <v>889</v>
      </c>
      <c r="K44" s="1">
        <f t="shared" si="75"/>
        <v>1057</v>
      </c>
      <c r="L44" s="1">
        <f t="shared" si="75"/>
        <v>1120.1946365259755</v>
      </c>
      <c r="M44" s="1">
        <f t="shared" ref="M44" si="76">+M42-M43</f>
        <v>1188.868158070823</v>
      </c>
      <c r="N44" s="1">
        <f t="shared" ref="N44" si="77">+N42-N43</f>
        <v>1261.3683320679065</v>
      </c>
      <c r="O44" s="1">
        <f t="shared" ref="O44" si="78">+O42-O43</f>
        <v>1328.3643926495165</v>
      </c>
      <c r="P44" s="1">
        <f t="shared" ref="P44" si="79">+P42-P43</f>
        <v>1384.2551739900632</v>
      </c>
      <c r="Q44" s="1">
        <f t="shared" ref="Q44" si="80">+Q42-Q43</f>
        <v>1441.9400875561701</v>
      </c>
      <c r="R44" s="1">
        <f t="shared" ref="R44" si="81">+R42-R43</f>
        <v>1493.8701929280987</v>
      </c>
      <c r="S44" s="1">
        <f t="shared" ref="S44" si="82">+S42-S43</f>
        <v>1547.1609948903961</v>
      </c>
    </row>
    <row r="45" spans="2:19" x14ac:dyDescent="0.25">
      <c r="B45" s="1" t="s">
        <v>3</v>
      </c>
      <c r="C45" s="1">
        <f>89+93</f>
        <v>182</v>
      </c>
      <c r="D45" s="1">
        <f>+K45-C45</f>
        <v>201</v>
      </c>
      <c r="E45" s="1">
        <f>96+103</f>
        <v>199</v>
      </c>
      <c r="J45" s="1">
        <f>+J28+J8</f>
        <v>346</v>
      </c>
      <c r="K45" s="1">
        <f>+K28+K8</f>
        <v>383</v>
      </c>
      <c r="L45" s="1">
        <f>+L28+L8</f>
        <v>395.14000000000004</v>
      </c>
      <c r="M45" s="1">
        <f t="shared" ref="M45:S45" si="83">+M28+M8</f>
        <v>394.62920000000008</v>
      </c>
      <c r="N45" s="1">
        <f t="shared" si="83"/>
        <v>394.86781600000006</v>
      </c>
      <c r="O45" s="1">
        <f t="shared" si="83"/>
        <v>395.91477968000004</v>
      </c>
      <c r="P45" s="1">
        <f t="shared" si="83"/>
        <v>396.19544408640002</v>
      </c>
      <c r="Q45" s="1">
        <f t="shared" si="83"/>
        <v>395.35543664467201</v>
      </c>
      <c r="R45" s="1">
        <f t="shared" si="83"/>
        <v>394.01864649737854</v>
      </c>
      <c r="S45" s="1">
        <f t="shared" si="83"/>
        <v>393.03710808231097</v>
      </c>
    </row>
    <row r="46" spans="2:19" x14ac:dyDescent="0.25">
      <c r="B46" s="1" t="s">
        <v>4</v>
      </c>
      <c r="C46" s="1">
        <f t="shared" ref="C46:F46" si="84">+C44-C45</f>
        <v>446</v>
      </c>
      <c r="D46" s="1">
        <f t="shared" si="84"/>
        <v>228</v>
      </c>
      <c r="E46" s="1">
        <f t="shared" si="84"/>
        <v>412</v>
      </c>
      <c r="F46" s="1">
        <f t="shared" si="84"/>
        <v>0</v>
      </c>
      <c r="J46" s="1">
        <f t="shared" ref="J46:L46" si="85">+J44-J45</f>
        <v>543</v>
      </c>
      <c r="K46" s="1">
        <f t="shared" si="85"/>
        <v>674</v>
      </c>
      <c r="L46" s="1">
        <f t="shared" si="85"/>
        <v>725.05463652597541</v>
      </c>
      <c r="M46" s="1">
        <f t="shared" ref="M46" si="86">+M44-M45</f>
        <v>794.23895807082295</v>
      </c>
      <c r="N46" s="1">
        <f t="shared" ref="N46" si="87">+N44-N45</f>
        <v>866.50051606790646</v>
      </c>
      <c r="O46" s="1">
        <f t="shared" ref="O46" si="88">+O44-O45</f>
        <v>932.44961296951647</v>
      </c>
      <c r="P46" s="1">
        <f t="shared" ref="P46" si="89">+P44-P45</f>
        <v>988.0597299036632</v>
      </c>
      <c r="Q46" s="1">
        <f t="shared" ref="Q46" si="90">+Q44-Q45</f>
        <v>1046.5846509114981</v>
      </c>
      <c r="R46" s="1">
        <f t="shared" ref="R46" si="91">+R44-R45</f>
        <v>1099.8515464307202</v>
      </c>
      <c r="S46" s="1">
        <f t="shared" ref="S46" si="92">+S44-S45</f>
        <v>1154.123886808085</v>
      </c>
    </row>
    <row r="47" spans="2:19" x14ac:dyDescent="0.25">
      <c r="B47" s="1" t="s">
        <v>5</v>
      </c>
      <c r="C47" s="1">
        <f>75-21</f>
        <v>54</v>
      </c>
      <c r="D47" s="1">
        <f>+K47-C47</f>
        <v>59</v>
      </c>
      <c r="E47" s="1">
        <f>83-10</f>
        <v>73</v>
      </c>
      <c r="J47" s="1">
        <f>139-9</f>
        <v>130</v>
      </c>
      <c r="K47" s="1">
        <f>155-42</f>
        <v>113</v>
      </c>
      <c r="L47" s="1">
        <f>+K47*0.99</f>
        <v>111.87</v>
      </c>
      <c r="M47" s="1">
        <f t="shared" ref="M47:S47" si="93">+L47*0.99</f>
        <v>110.7513</v>
      </c>
      <c r="N47" s="1">
        <f t="shared" si="93"/>
        <v>109.643787</v>
      </c>
      <c r="O47" s="1">
        <f t="shared" si="93"/>
        <v>108.54734913</v>
      </c>
      <c r="P47" s="1">
        <f t="shared" si="93"/>
        <v>107.46187563869999</v>
      </c>
      <c r="Q47" s="1">
        <f t="shared" si="93"/>
        <v>106.387256882313</v>
      </c>
      <c r="R47" s="1">
        <f t="shared" si="93"/>
        <v>105.32338431348987</v>
      </c>
      <c r="S47" s="1">
        <f t="shared" si="93"/>
        <v>104.27015047035496</v>
      </c>
    </row>
    <row r="48" spans="2:19" x14ac:dyDescent="0.25">
      <c r="B48" s="1" t="s">
        <v>6</v>
      </c>
      <c r="C48" s="1">
        <f t="shared" ref="C48:F48" si="94">+C46-C47</f>
        <v>392</v>
      </c>
      <c r="D48" s="1">
        <f t="shared" si="94"/>
        <v>169</v>
      </c>
      <c r="E48" s="1">
        <f t="shared" si="94"/>
        <v>339</v>
      </c>
      <c r="F48" s="1">
        <f t="shared" si="94"/>
        <v>0</v>
      </c>
      <c r="J48" s="1">
        <f t="shared" ref="J48:L48" si="95">+J46-J47</f>
        <v>413</v>
      </c>
      <c r="K48" s="1">
        <f t="shared" si="95"/>
        <v>561</v>
      </c>
      <c r="L48" s="1">
        <f t="shared" si="95"/>
        <v>613.18463652597541</v>
      </c>
      <c r="M48" s="1">
        <f t="shared" ref="M48" si="96">+M46-M47</f>
        <v>683.48765807082293</v>
      </c>
      <c r="N48" s="1">
        <f t="shared" ref="N48" si="97">+N46-N47</f>
        <v>756.85672906790649</v>
      </c>
      <c r="O48" s="1">
        <f t="shared" ref="O48" si="98">+O46-O47</f>
        <v>823.90226383951642</v>
      </c>
      <c r="P48" s="1">
        <f t="shared" ref="P48" si="99">+P46-P47</f>
        <v>880.59785426496319</v>
      </c>
      <c r="Q48" s="1">
        <f t="shared" ref="Q48" si="100">+Q46-Q47</f>
        <v>940.19739402918515</v>
      </c>
      <c r="R48" s="1">
        <f t="shared" ref="R48" si="101">+R46-R47</f>
        <v>994.52816211723029</v>
      </c>
      <c r="S48" s="1">
        <f t="shared" ref="S48" si="102">+S46-S47</f>
        <v>1049.85373633773</v>
      </c>
    </row>
    <row r="49" spans="2:138" x14ac:dyDescent="0.25">
      <c r="B49" s="1" t="s">
        <v>21</v>
      </c>
      <c r="C49" s="1">
        <v>102</v>
      </c>
      <c r="D49" s="1">
        <f>+K49-C49</f>
        <v>38</v>
      </c>
      <c r="E49" s="1">
        <v>89</v>
      </c>
      <c r="J49" s="1">
        <v>96</v>
      </c>
      <c r="K49" s="1">
        <v>140</v>
      </c>
      <c r="L49" s="1">
        <f>+L48*0.25</f>
        <v>153.29615913149385</v>
      </c>
      <c r="M49" s="1">
        <f t="shared" ref="M49:S49" si="103">+M48*0.25</f>
        <v>170.87191451770573</v>
      </c>
      <c r="N49" s="1">
        <f t="shared" si="103"/>
        <v>189.21418226697662</v>
      </c>
      <c r="O49" s="1">
        <f t="shared" si="103"/>
        <v>205.97556595987911</v>
      </c>
      <c r="P49" s="1">
        <f t="shared" si="103"/>
        <v>220.1494635662408</v>
      </c>
      <c r="Q49" s="1">
        <f t="shared" si="103"/>
        <v>235.04934850729629</v>
      </c>
      <c r="R49" s="1">
        <f t="shared" si="103"/>
        <v>248.63204052930757</v>
      </c>
      <c r="S49" s="1">
        <f t="shared" si="103"/>
        <v>262.46343408443249</v>
      </c>
    </row>
    <row r="50" spans="2:138" s="2" customFormat="1" x14ac:dyDescent="0.25">
      <c r="B50" s="2" t="s">
        <v>22</v>
      </c>
      <c r="C50" s="2">
        <f>+C48-C49</f>
        <v>290</v>
      </c>
      <c r="D50" s="2">
        <f>+D48-D49</f>
        <v>131</v>
      </c>
      <c r="E50" s="2">
        <f>+E48-E49</f>
        <v>250</v>
      </c>
      <c r="F50" s="2">
        <f>+F48-F49</f>
        <v>0</v>
      </c>
      <c r="J50" s="2">
        <f>+J48-J49</f>
        <v>317</v>
      </c>
      <c r="K50" s="2">
        <f>+K48-K49</f>
        <v>421</v>
      </c>
      <c r="L50" s="2">
        <f>+L48-L49</f>
        <v>459.88847739448158</v>
      </c>
      <c r="M50" s="2">
        <f t="shared" ref="M50:S50" si="104">+M48-M49</f>
        <v>512.61574355311723</v>
      </c>
      <c r="N50" s="2">
        <f t="shared" si="104"/>
        <v>567.64254680092984</v>
      </c>
      <c r="O50" s="2">
        <f t="shared" si="104"/>
        <v>617.92669787963735</v>
      </c>
      <c r="P50" s="2">
        <f t="shared" si="104"/>
        <v>660.44839069872239</v>
      </c>
      <c r="Q50" s="2">
        <f t="shared" si="104"/>
        <v>705.14804552188889</v>
      </c>
      <c r="R50" s="2">
        <f t="shared" si="104"/>
        <v>745.89612158792272</v>
      </c>
      <c r="S50" s="2">
        <f t="shared" si="104"/>
        <v>787.39030225329748</v>
      </c>
      <c r="T50" s="2">
        <f>+S50*(1+TR)</f>
        <v>779.51639923076448</v>
      </c>
      <c r="U50" s="2">
        <f>+T50*(1+TR)</f>
        <v>771.72123523845687</v>
      </c>
      <c r="V50" s="2">
        <f>+U50*(1+TR)</f>
        <v>764.00402288607233</v>
      </c>
      <c r="W50" s="2">
        <f>+V50*(1+TR)</f>
        <v>756.36398265721164</v>
      </c>
      <c r="X50" s="2">
        <f>+W50*(1+TR)</f>
        <v>748.80034283063947</v>
      </c>
      <c r="Y50" s="2">
        <f>+X50*(1+TR)</f>
        <v>741.31233940233301</v>
      </c>
      <c r="Z50" s="2">
        <f>+Y50*(1+TR)</f>
        <v>733.89921600830962</v>
      </c>
      <c r="AA50" s="2">
        <f>+Z50*(1+TR)</f>
        <v>726.56022384822654</v>
      </c>
      <c r="AB50" s="2">
        <f>+AA50*(1+TR)</f>
        <v>719.29462160974424</v>
      </c>
      <c r="AC50" s="2">
        <f>+AB50*(1+TR)</f>
        <v>712.10167539364681</v>
      </c>
      <c r="AD50" s="2">
        <f>+AC50*(1+TR)</f>
        <v>704.98065863971033</v>
      </c>
      <c r="AE50" s="2">
        <f>+AD50*(1+TR)</f>
        <v>697.93085205331317</v>
      </c>
      <c r="AF50" s="2">
        <f>+AE50*(1+TR)</f>
        <v>690.95154353278008</v>
      </c>
      <c r="AG50" s="2">
        <f>+AF50*(1+TR)</f>
        <v>684.04202809745232</v>
      </c>
      <c r="AH50" s="2">
        <f>+AG50*(1+TR)</f>
        <v>677.2016078164778</v>
      </c>
      <c r="AI50" s="2">
        <f>+AH50*(1+TR)</f>
        <v>670.42959173831298</v>
      </c>
      <c r="AJ50" s="2">
        <f>+AI50*(1+TR)</f>
        <v>663.72529582092989</v>
      </c>
      <c r="AK50" s="2">
        <f>+AJ50*(1+TR)</f>
        <v>657.08804286272061</v>
      </c>
      <c r="AL50" s="2">
        <f>+AK50*(1+TR)</f>
        <v>650.51716243409339</v>
      </c>
      <c r="AM50" s="2">
        <f>+AL50*(1+TR)</f>
        <v>644.01199080975243</v>
      </c>
      <c r="AN50" s="2">
        <f>+AM50*(1+TR)</f>
        <v>637.57187090165485</v>
      </c>
      <c r="AO50" s="2">
        <f>+AN50*(1+TR)</f>
        <v>631.19615219263824</v>
      </c>
      <c r="AP50" s="2">
        <f>+AO50*(1+TR)</f>
        <v>624.88419067071186</v>
      </c>
      <c r="AQ50" s="2">
        <f>+AP50*(1+TR)</f>
        <v>618.63534876400479</v>
      </c>
      <c r="AR50" s="2">
        <f>+AQ50*(1+TR)</f>
        <v>612.44899527636471</v>
      </c>
      <c r="AS50" s="2">
        <f>+AR50*(1+TR)</f>
        <v>606.3245053236011</v>
      </c>
      <c r="AT50" s="2">
        <f>+AS50*(1+TR)</f>
        <v>600.26126027036514</v>
      </c>
      <c r="AU50" s="2">
        <f>+AT50*(1+TR)</f>
        <v>594.25864766766153</v>
      </c>
      <c r="AV50" s="2">
        <f>+AU50*(1+TR)</f>
        <v>588.3160611909849</v>
      </c>
      <c r="AW50" s="2">
        <f>+AV50*(1+TR)</f>
        <v>582.43290057907507</v>
      </c>
      <c r="AX50" s="2">
        <f>+AW50*(1+TR)</f>
        <v>576.60857157328428</v>
      </c>
      <c r="AY50" s="2">
        <f>+AX50*(1+TR)</f>
        <v>570.84248585755142</v>
      </c>
      <c r="AZ50" s="2">
        <f>+AY50*(1+TR)</f>
        <v>565.13406099897588</v>
      </c>
      <c r="BA50" s="2">
        <f>+AZ50*(1+TR)</f>
        <v>559.48272038898608</v>
      </c>
      <c r="BB50" s="2">
        <f>+BA50*(1+TR)</f>
        <v>553.88789318509623</v>
      </c>
      <c r="BC50" s="2">
        <f>+BB50*(1+TR)</f>
        <v>548.34901425324529</v>
      </c>
      <c r="BD50" s="2">
        <f>+BC50*(1+TR)</f>
        <v>542.86552411071284</v>
      </c>
      <c r="BE50" s="2">
        <f>+BD50*(1+TR)</f>
        <v>537.43686886960575</v>
      </c>
      <c r="BF50" s="2">
        <f>+BE50*(1+TR)</f>
        <v>532.06250018090964</v>
      </c>
      <c r="BG50" s="2">
        <f>+BF50*(1+TR)</f>
        <v>526.74187517910059</v>
      </c>
      <c r="BH50" s="2">
        <f>+BG50*(1+TR)</f>
        <v>521.47445642730963</v>
      </c>
      <c r="BI50" s="2">
        <f>+BH50*(1+TR)</f>
        <v>516.2597118630365</v>
      </c>
      <c r="BJ50" s="2">
        <f>+BI50*(1+TR)</f>
        <v>511.09711474440616</v>
      </c>
      <c r="BK50" s="2">
        <f>+BJ50*(1+TR)</f>
        <v>505.98614359696211</v>
      </c>
      <c r="BL50" s="2">
        <f>+BK50*(1+TR)</f>
        <v>500.92628216099246</v>
      </c>
      <c r="BM50" s="2">
        <f>+BL50*(1+TR)</f>
        <v>495.91701933938253</v>
      </c>
      <c r="BN50" s="2">
        <f>+BM50*(1+TR)</f>
        <v>490.95784914598869</v>
      </c>
      <c r="BO50" s="2">
        <f>+BN50*(1+TR)</f>
        <v>486.04827065452878</v>
      </c>
      <c r="BP50" s="2">
        <f>+BO50*(1+TR)</f>
        <v>481.18778794798351</v>
      </c>
      <c r="BQ50" s="2">
        <f>+BP50*(1+TR)</f>
        <v>476.37591006850369</v>
      </c>
      <c r="BR50" s="2">
        <f>+BQ50*(1+TR)</f>
        <v>471.61215096781865</v>
      </c>
      <c r="BS50" s="2">
        <f>+BR50*(1+TR)</f>
        <v>466.89602945814045</v>
      </c>
      <c r="BT50" s="2">
        <f>+BS50*(1+TR)</f>
        <v>462.22706916355907</v>
      </c>
      <c r="BU50" s="2">
        <f>+BT50*(1+TR)</f>
        <v>457.60479847192346</v>
      </c>
      <c r="BV50" s="2">
        <f>+BU50*(1+TR)</f>
        <v>453.02875048720421</v>
      </c>
      <c r="BW50" s="2">
        <f>+BV50*(1+TR)</f>
        <v>448.49846298233217</v>
      </c>
      <c r="BX50" s="2">
        <f>+BW50*(1+TR)</f>
        <v>444.01347835250886</v>
      </c>
      <c r="BY50" s="2">
        <f>+BX50*(1+TR)</f>
        <v>439.57334356898377</v>
      </c>
      <c r="BZ50" s="2">
        <f>+BY50*(1+TR)</f>
        <v>435.17761013329391</v>
      </c>
      <c r="CA50" s="2">
        <f>+BZ50*(1+TR)</f>
        <v>430.82583403196099</v>
      </c>
      <c r="CB50" s="2">
        <f>+CA50*(1+TR)</f>
        <v>426.51757569164135</v>
      </c>
      <c r="CC50" s="2">
        <f>+CB50*(1+TR)</f>
        <v>422.25239993472496</v>
      </c>
      <c r="CD50" s="2">
        <f>+CC50*(1+TR)</f>
        <v>418.02987593537773</v>
      </c>
      <c r="CE50" s="2">
        <f>+CD50*(1+TR)</f>
        <v>413.84957717602396</v>
      </c>
      <c r="CF50" s="2">
        <f>+CE50*(1+TR)</f>
        <v>409.71108140426372</v>
      </c>
      <c r="CG50" s="2">
        <f>+CF50*(1+TR)</f>
        <v>405.61397059022107</v>
      </c>
      <c r="CH50" s="2">
        <f>+CG50*(1+TR)</f>
        <v>401.55783088431883</v>
      </c>
      <c r="CI50" s="2">
        <f>+CH50*(1+TR)</f>
        <v>397.54225257547563</v>
      </c>
      <c r="CJ50" s="2">
        <f>+CI50*(1+TR)</f>
        <v>393.56683004972086</v>
      </c>
      <c r="CK50" s="2">
        <f>+CJ50*(1+TR)</f>
        <v>389.63116174922368</v>
      </c>
      <c r="CL50" s="2">
        <f>+CK50*(1+TR)</f>
        <v>385.73485013173143</v>
      </c>
      <c r="CM50" s="2">
        <f>+CL50*(1+TR)</f>
        <v>381.87750163041414</v>
      </c>
      <c r="CN50" s="2">
        <f>+CM50*(1+TR)</f>
        <v>378.05872661411001</v>
      </c>
      <c r="CO50" s="2">
        <f>+CN50*(1+TR)</f>
        <v>374.27813934796893</v>
      </c>
      <c r="CP50" s="2">
        <f>+CO50*(1+TR)</f>
        <v>370.53535795448926</v>
      </c>
      <c r="CQ50" s="2">
        <f>+CP50*(1+TR)</f>
        <v>366.83000437494434</v>
      </c>
      <c r="CR50" s="2">
        <f>+CQ50*(1+TR)</f>
        <v>363.16170433119487</v>
      </c>
      <c r="CS50" s="2">
        <f>+CR50*(1+TR)</f>
        <v>359.53008728788291</v>
      </c>
      <c r="CT50" s="2">
        <f>+CS50*(1+TR)</f>
        <v>355.93478641500406</v>
      </c>
      <c r="CU50" s="2">
        <f>+CT50*(1+TR)</f>
        <v>352.37543855085403</v>
      </c>
      <c r="CV50" s="2">
        <f>+CU50*(1+TR)</f>
        <v>348.85168416534549</v>
      </c>
      <c r="CW50" s="2">
        <f>+CV50*(1+TR)</f>
        <v>345.36316732369204</v>
      </c>
      <c r="CX50" s="2">
        <f>+CW50*(1+TR)</f>
        <v>341.9095356504551</v>
      </c>
      <c r="CY50" s="2">
        <f>+CX50*(1+TR)</f>
        <v>338.49044029395054</v>
      </c>
      <c r="CZ50" s="2">
        <f>+CY50*(1+TR)</f>
        <v>335.10553589101102</v>
      </c>
      <c r="DA50" s="2">
        <f>+CZ50*(1+TR)</f>
        <v>331.7544805321009</v>
      </c>
      <c r="DB50" s="2">
        <f>+DA50*(1+TR)</f>
        <v>328.43693572677989</v>
      </c>
      <c r="DC50" s="2">
        <f>+DB50*(1+TR)</f>
        <v>325.1525663695121</v>
      </c>
      <c r="DD50" s="2">
        <f>+DC50*(1+TR)</f>
        <v>321.90104070581697</v>
      </c>
      <c r="DE50" s="2">
        <f>+DD50*(1+TR)</f>
        <v>318.68203029875878</v>
      </c>
      <c r="DF50" s="2">
        <f>+DE50*(1+TR)</f>
        <v>315.49520999577118</v>
      </c>
      <c r="DG50" s="2">
        <f>+DF50*(1+TR)</f>
        <v>312.34025789581347</v>
      </c>
      <c r="DH50" s="2">
        <f>+DG50*(1+TR)</f>
        <v>309.21685531685534</v>
      </c>
      <c r="DI50" s="2">
        <f>+DH50*(1+TR)</f>
        <v>306.12468676368678</v>
      </c>
      <c r="DJ50" s="2">
        <f>+DI50*(1+TR)</f>
        <v>303.06343989604989</v>
      </c>
      <c r="DK50" s="2">
        <f>+DJ50*(1+TR)</f>
        <v>300.03280549708938</v>
      </c>
      <c r="DL50" s="2">
        <f>+DK50*(1+TR)</f>
        <v>297.03247744211848</v>
      </c>
      <c r="DM50" s="2">
        <f>+DL50*(1+TR)</f>
        <v>294.06215266769726</v>
      </c>
      <c r="DN50" s="2">
        <f>+DM50*(1+TR)</f>
        <v>291.12153114102028</v>
      </c>
      <c r="DO50" s="2">
        <f>+DN50*(1+TR)</f>
        <v>288.21031582961007</v>
      </c>
      <c r="DP50" s="2">
        <f>+DO50*(1+TR)</f>
        <v>285.32821267131396</v>
      </c>
      <c r="DQ50" s="2">
        <f>+DP50*(1+TR)</f>
        <v>282.4749305446008</v>
      </c>
      <c r="DR50" s="2">
        <f>+DQ50*(1+TR)</f>
        <v>279.65018123915479</v>
      </c>
      <c r="DS50" s="2">
        <f>+DR50*(1+TR)</f>
        <v>276.85367942676322</v>
      </c>
      <c r="DT50" s="2">
        <f>+DS50*(1+TR)</f>
        <v>274.0851426324956</v>
      </c>
      <c r="DU50" s="2">
        <f>+DT50*(1+TR)</f>
        <v>271.34429120617062</v>
      </c>
      <c r="DV50" s="2">
        <f>+DU50*(1+TR)</f>
        <v>268.63084829410889</v>
      </c>
      <c r="DW50" s="2">
        <f>+DV50*(1+TR)</f>
        <v>265.94453981116777</v>
      </c>
      <c r="DX50" s="2">
        <f>+DW50*(1+TR)</f>
        <v>263.28509441305607</v>
      </c>
      <c r="DY50" s="2">
        <f>+DX50*(1+TR)</f>
        <v>260.65224346892552</v>
      </c>
      <c r="DZ50" s="2">
        <f>+DY50*(1+TR)</f>
        <v>258.04572103423624</v>
      </c>
      <c r="EA50" s="2">
        <f>+DZ50*(1+TR)</f>
        <v>255.46526382389388</v>
      </c>
      <c r="EB50" s="2">
        <f>+EA50*(1+TR)</f>
        <v>252.91061118565494</v>
      </c>
      <c r="EC50" s="2">
        <f>+EB50*(1+TR)</f>
        <v>250.38150507379839</v>
      </c>
      <c r="ED50" s="2">
        <f>+EC50*(1+TR)</f>
        <v>247.87769002306041</v>
      </c>
      <c r="EE50" s="2">
        <f>+ED50*(1+TR)</f>
        <v>245.39891312282981</v>
      </c>
      <c r="EF50" s="2">
        <f>+EE50*(1+TR)</f>
        <v>242.94492399160151</v>
      </c>
      <c r="EG50" s="2">
        <f>+EF50*(1+TR)</f>
        <v>240.5154747516855</v>
      </c>
      <c r="EH50" s="2">
        <f>+EG50*(1+TR)</f>
        <v>238.11032000416864</v>
      </c>
    </row>
    <row r="51" spans="2:138" x14ac:dyDescent="0.25">
      <c r="K51" s="9"/>
    </row>
    <row r="52" spans="2:138" s="4" customFormat="1" x14ac:dyDescent="0.25">
      <c r="B52" s="4" t="s">
        <v>23</v>
      </c>
      <c r="C52" s="4">
        <f>+C44/C42</f>
        <v>0.39898348157560354</v>
      </c>
      <c r="E52" s="4">
        <f>+E44/E42</f>
        <v>0.38917197452229302</v>
      </c>
      <c r="J52" s="4">
        <f>+J44/J42</f>
        <v>0.33853769992383853</v>
      </c>
      <c r="K52" s="4">
        <f>+K44/K42</f>
        <v>0.35709459459459458</v>
      </c>
      <c r="U52" s="4" t="s">
        <v>33</v>
      </c>
      <c r="V52" s="4">
        <v>0.08</v>
      </c>
    </row>
    <row r="53" spans="2:138" s="4" customFormat="1" x14ac:dyDescent="0.25">
      <c r="B53" s="4" t="s">
        <v>24</v>
      </c>
      <c r="C53" s="4">
        <f>+C50/C42</f>
        <v>0.18424396442185514</v>
      </c>
      <c r="E53" s="4">
        <f>+E50/E42</f>
        <v>0.15923566878980891</v>
      </c>
      <c r="J53" s="4">
        <f>+J50/J42</f>
        <v>0.12071591774562071</v>
      </c>
      <c r="K53" s="4">
        <f>+K50/K42</f>
        <v>0.14222972972972972</v>
      </c>
      <c r="U53" s="4" t="s">
        <v>34</v>
      </c>
      <c r="V53" s="4">
        <v>-0.01</v>
      </c>
    </row>
    <row r="54" spans="2:138" x14ac:dyDescent="0.25">
      <c r="U54" s="1" t="s">
        <v>35</v>
      </c>
      <c r="V54" s="1">
        <f>NPV(V52,L50:EV50)</f>
        <v>8203.8724523283527</v>
      </c>
    </row>
    <row r="55" spans="2:138" x14ac:dyDescent="0.25">
      <c r="B55" s="1" t="s">
        <v>25</v>
      </c>
      <c r="C55" s="1">
        <v>483</v>
      </c>
      <c r="E55" s="1">
        <v>411</v>
      </c>
      <c r="J55" s="1">
        <v>719</v>
      </c>
      <c r="K55" s="1">
        <v>787</v>
      </c>
      <c r="U55" s="1" t="s">
        <v>36</v>
      </c>
      <c r="V55" s="1">
        <v>370</v>
      </c>
    </row>
    <row r="56" spans="2:138" x14ac:dyDescent="0.25">
      <c r="B56" s="1" t="s">
        <v>26</v>
      </c>
      <c r="C56" s="1">
        <v>122</v>
      </c>
      <c r="E56" s="1">
        <v>118</v>
      </c>
      <c r="J56" s="1">
        <v>184</v>
      </c>
      <c r="K56" s="1">
        <v>253</v>
      </c>
      <c r="U56" s="1" t="s">
        <v>37</v>
      </c>
      <c r="V56" s="1">
        <f>+V54+V55</f>
        <v>8573.8724523283527</v>
      </c>
    </row>
    <row r="57" spans="2:138" x14ac:dyDescent="0.25">
      <c r="B57" s="1" t="s">
        <v>27</v>
      </c>
      <c r="C57" s="1">
        <f>+C55-C56</f>
        <v>361</v>
      </c>
      <c r="E57" s="1">
        <f>+E55-E56</f>
        <v>293</v>
      </c>
      <c r="J57" s="1">
        <f>+J55-J56</f>
        <v>535</v>
      </c>
      <c r="K57" s="1">
        <f>+K55-K56</f>
        <v>534</v>
      </c>
      <c r="U57" s="1" t="s">
        <v>38</v>
      </c>
      <c r="V57" s="1">
        <f>+V56/180.650865</f>
        <v>47.461009679241513</v>
      </c>
    </row>
    <row r="58" spans="2:138" x14ac:dyDescent="0.25">
      <c r="U58" s="1" t="s">
        <v>39</v>
      </c>
      <c r="V58" s="1">
        <v>27.5</v>
      </c>
    </row>
    <row r="59" spans="2:138" x14ac:dyDescent="0.25">
      <c r="B59" s="1" t="s">
        <v>28</v>
      </c>
      <c r="C59" s="1">
        <v>91</v>
      </c>
      <c r="E59" s="1">
        <v>81</v>
      </c>
      <c r="J59" s="1">
        <v>362</v>
      </c>
      <c r="K59" s="1">
        <v>256</v>
      </c>
      <c r="U59" s="1" t="s">
        <v>40</v>
      </c>
      <c r="V59" s="4">
        <f>1-(V58/V57)</f>
        <v>0.42057701288162974</v>
      </c>
    </row>
    <row r="60" spans="2:138" x14ac:dyDescent="0.25">
      <c r="B60" s="1" t="s">
        <v>29</v>
      </c>
      <c r="C60" s="1">
        <v>99</v>
      </c>
      <c r="E60" s="1">
        <v>115</v>
      </c>
      <c r="J60" s="1">
        <v>119</v>
      </c>
      <c r="K60" s="1">
        <v>165</v>
      </c>
      <c r="U60" s="1" t="s">
        <v>41</v>
      </c>
      <c r="V60" s="4">
        <f>+V57/V58 -1</f>
        <v>0.72585489742696407</v>
      </c>
    </row>
    <row r="61" spans="2:138" x14ac:dyDescent="0.25">
      <c r="B61" s="1" t="s">
        <v>31</v>
      </c>
      <c r="C61" s="1">
        <v>265</v>
      </c>
      <c r="E61" s="1">
        <v>163</v>
      </c>
      <c r="J61" s="1">
        <v>591</v>
      </c>
      <c r="K61" s="1">
        <v>0</v>
      </c>
    </row>
    <row r="62" spans="2:138" x14ac:dyDescent="0.25">
      <c r="B62" s="1" t="s">
        <v>30</v>
      </c>
      <c r="C62" s="1">
        <f>+C57-C59-C60-C61</f>
        <v>-94</v>
      </c>
      <c r="E62" s="1">
        <f>+E57-E59-E60-E61</f>
        <v>-66</v>
      </c>
      <c r="J62" s="1">
        <f>+J57-J59-J60-J61</f>
        <v>-537</v>
      </c>
      <c r="K62" s="1">
        <f>+K57-K59-K60-K61</f>
        <v>113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2025-02-03T11:11:12Z</dcterms:created>
  <dcterms:modified xsi:type="dcterms:W3CDTF">2025-02-03T13:06:48Z</dcterms:modified>
</cp:coreProperties>
</file>