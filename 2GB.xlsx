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AADA80B-EED8-4292-A07F-9A91B0695447}" xr6:coauthVersionLast="47" xr6:coauthVersionMax="47" xr10:uidLastSave="{00000000-0000-0000-0000-000000000000}"/>
  <bookViews>
    <workbookView xWindow="-120" yWindow="-120" windowWidth="29040" windowHeight="15840" xr2:uid="{0E3AEC84-9C28-4CA4-8329-A2C381F89F99}"/>
  </bookViews>
  <sheets>
    <sheet name="Sheet1" sheetId="1" r:id="rId1"/>
  </sheets>
  <definedNames>
    <definedName name="TR">Sheet1!$U$30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2" i="1" l="1"/>
  <c r="U31" i="1"/>
  <c r="U33" i="1" s="1"/>
  <c r="U35" i="1" s="1"/>
  <c r="T27" i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V27" i="1" s="1"/>
  <c r="DW27" i="1" s="1"/>
  <c r="DX27" i="1" s="1"/>
  <c r="DY27" i="1" s="1"/>
  <c r="S27" i="1"/>
  <c r="K23" i="1"/>
  <c r="L23" i="1"/>
  <c r="M23" i="1"/>
  <c r="N23" i="1"/>
  <c r="O23" i="1"/>
  <c r="P23" i="1"/>
  <c r="P25" i="1" s="1"/>
  <c r="P27" i="1" s="1"/>
  <c r="Q23" i="1"/>
  <c r="Q25" i="1" s="1"/>
  <c r="Q27" i="1" s="1"/>
  <c r="R23" i="1"/>
  <c r="R25" i="1" s="1"/>
  <c r="R27" i="1" s="1"/>
  <c r="K25" i="1"/>
  <c r="K27" i="1" s="1"/>
  <c r="L25" i="1"/>
  <c r="L27" i="1" s="1"/>
  <c r="M25" i="1"/>
  <c r="M27" i="1" s="1"/>
  <c r="N25" i="1"/>
  <c r="N27" i="1" s="1"/>
  <c r="O25" i="1"/>
  <c r="O27" i="1" s="1"/>
  <c r="J25" i="1"/>
  <c r="J27" i="1" s="1"/>
  <c r="J23" i="1"/>
  <c r="K22" i="1"/>
  <c r="L22" i="1"/>
  <c r="M22" i="1"/>
  <c r="N22" i="1"/>
  <c r="O22" i="1"/>
  <c r="P22" i="1"/>
  <c r="Q22" i="1"/>
  <c r="R22" i="1"/>
  <c r="J22" i="1"/>
  <c r="H28" i="1"/>
  <c r="L21" i="1"/>
  <c r="M21" i="1" s="1"/>
  <c r="N21" i="1" s="1"/>
  <c r="O21" i="1" s="1"/>
  <c r="P21" i="1" s="1"/>
  <c r="Q21" i="1" s="1"/>
  <c r="R21" i="1" s="1"/>
  <c r="K21" i="1"/>
  <c r="K19" i="1"/>
  <c r="L19" i="1"/>
  <c r="M19" i="1"/>
  <c r="N19" i="1"/>
  <c r="O19" i="1"/>
  <c r="P19" i="1"/>
  <c r="Q19" i="1"/>
  <c r="R19" i="1"/>
  <c r="J19" i="1"/>
  <c r="L16" i="1"/>
  <c r="M16" i="1" s="1"/>
  <c r="N16" i="1" s="1"/>
  <c r="O16" i="1" s="1"/>
  <c r="P16" i="1" s="1"/>
  <c r="Q16" i="1" s="1"/>
  <c r="R16" i="1" s="1"/>
  <c r="K16" i="1"/>
  <c r="M15" i="1"/>
  <c r="N15" i="1" s="1"/>
  <c r="O15" i="1" s="1"/>
  <c r="P15" i="1" s="1"/>
  <c r="Q15" i="1" s="1"/>
  <c r="R15" i="1" s="1"/>
  <c r="L15" i="1"/>
  <c r="K15" i="1"/>
  <c r="J15" i="1"/>
  <c r="K14" i="1"/>
  <c r="L14" i="1"/>
  <c r="M14" i="1"/>
  <c r="N14" i="1"/>
  <c r="O14" i="1"/>
  <c r="P14" i="1"/>
  <c r="Q14" i="1"/>
  <c r="R14" i="1"/>
  <c r="J14" i="1"/>
  <c r="I3" i="1"/>
  <c r="H3" i="1"/>
  <c r="K11" i="1"/>
  <c r="L11" i="1"/>
  <c r="M11" i="1"/>
  <c r="N11" i="1"/>
  <c r="O11" i="1"/>
  <c r="P11" i="1"/>
  <c r="Q11" i="1"/>
  <c r="R11" i="1"/>
  <c r="J11" i="1"/>
  <c r="R7" i="1"/>
  <c r="Q7" i="1"/>
  <c r="P7" i="1"/>
  <c r="R2" i="1"/>
  <c r="Q2" i="1"/>
  <c r="P2" i="1"/>
  <c r="O2" i="1"/>
  <c r="N2" i="1"/>
  <c r="M2" i="1"/>
  <c r="L2" i="1"/>
  <c r="K2" i="1"/>
  <c r="J2" i="1"/>
  <c r="O7" i="1"/>
  <c r="H30" i="1"/>
  <c r="H29" i="1"/>
  <c r="I30" i="1"/>
  <c r="I29" i="1"/>
  <c r="I34" i="1"/>
  <c r="H34" i="1"/>
  <c r="H39" i="1"/>
  <c r="I39" i="1"/>
  <c r="I23" i="1"/>
  <c r="I25" i="1" s="1"/>
  <c r="I27" i="1" s="1"/>
  <c r="H7" i="1"/>
  <c r="H19" i="1" s="1"/>
  <c r="H23" i="1" s="1"/>
  <c r="H25" i="1" s="1"/>
  <c r="H27" i="1" s="1"/>
  <c r="I7" i="1"/>
  <c r="I19" i="1" s="1"/>
  <c r="I2" i="1"/>
</calcChain>
</file>

<file path=xl/sharedStrings.xml><?xml version="1.0" encoding="utf-8"?>
<sst xmlns="http://schemas.openxmlformats.org/spreadsheetml/2006/main" count="62" uniqueCount="41">
  <si>
    <t>EBIT</t>
  </si>
  <si>
    <t>Umsatzerlöse</t>
  </si>
  <si>
    <t>Erhöhung des Bestands an fertigen und unfertigen Erzeugnissen</t>
  </si>
  <si>
    <t>Andere aktivierte Eigenleistungen</t>
  </si>
  <si>
    <t>Gesamtleistung</t>
  </si>
  <si>
    <t>Sonstige betriebliche Erträge</t>
  </si>
  <si>
    <t>Materialaufwand - a) Aufwendungen für Roh-, Hilfs- und Betriebsstoffe und für bezogene Waren</t>
  </si>
  <si>
    <t>Materialaufwand - b) Aufwendungen für bezogene Leistungen</t>
  </si>
  <si>
    <t>Materialaufwand - Total</t>
  </si>
  <si>
    <t>Personalaufwand - a) Löhne und Gehälter</t>
  </si>
  <si>
    <t>Personalaufwand - b) Soziale Abgaben und Altersversorgung</t>
  </si>
  <si>
    <t>Personalaufwand - Total</t>
  </si>
  <si>
    <t>Abschreibungen auf immaterielle Vermögensgegenstände und Sachanlagen</t>
  </si>
  <si>
    <t>Sonstige betriebliche Aufwendungen</t>
  </si>
  <si>
    <t>Ergebnis aus Beteiligungen an assoziierten Unternehmen</t>
  </si>
  <si>
    <t>Erträge aus sonstigen Beteiligungen</t>
  </si>
  <si>
    <t>Sonstige Zinsen und ähnliche Erträge</t>
  </si>
  <si>
    <t>Zinsen und ähnliche Aufwendungen</t>
  </si>
  <si>
    <t>Steuern vom Einkommen und vom Ertrag</t>
  </si>
  <si>
    <t>Ergebnis nach Steuern</t>
  </si>
  <si>
    <t>Sonstige Steuern</t>
  </si>
  <si>
    <t>Konzernjahresüberschuss</t>
  </si>
  <si>
    <t>Nicht beherrschenden Anteilen zustehender Gewinn/Verlust</t>
  </si>
  <si>
    <t>Konzernjahresüberschuss, der dem Mutterunternehmen zuzurechnen ist</t>
  </si>
  <si>
    <t>.</t>
  </si>
  <si>
    <t>Net Margin</t>
  </si>
  <si>
    <t>CFFO</t>
  </si>
  <si>
    <t>CapEx</t>
  </si>
  <si>
    <t>FCF</t>
  </si>
  <si>
    <t>Cash</t>
  </si>
  <si>
    <t>PP&amp;E</t>
  </si>
  <si>
    <t>Debt</t>
  </si>
  <si>
    <t>NAV</t>
  </si>
  <si>
    <t>EBIT Margin</t>
  </si>
  <si>
    <t>Discount</t>
  </si>
  <si>
    <t>Terminal</t>
  </si>
  <si>
    <t>NPV</t>
  </si>
  <si>
    <t>Net Cash</t>
  </si>
  <si>
    <t>Value</t>
  </si>
  <si>
    <t>Share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</si>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</sst>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"/>
    <numFmt numFmtId="166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767953</xdr:colOff>
      <xdr:row>2</xdr:row>
      <xdr:rowOff>184547</xdr:rowOff>
    </xdr:from>
    <xdr:to>
      <xdr:col>9</xdr:col>
      <xdr:colOff>5953</xdr:colOff>
      <xdr:row>39</xdr:row>
      <xdr:rowOff>119062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89F7964-09B4-7F79-709A-71841F213443}"/>
            </a:ext>
          </a:extLst>
        </xdr:cNvPr>
        <xdr:cNvCxnSpPr/>
      </xdr:nvCxnSpPr>
      <xdr:spPr>
        <a:xfrm>
          <a:off x="6953250" y="565547"/>
          <a:ext cx="11906" cy="6983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9107-1172-484B-AB5E-D46BADFCD90C}">
  <dimension ref="B2:DY39"/>
  <sheetViews>
    <sheetView tabSelected="1" zoomScale="160" zoomScaleNormal="160" workbookViewId="0">
      <pane xSplit="2" ySplit="2" topLeftCell="L6" activePane="bottomRight" state="frozen"/>
      <selection pane="topRight" activeCell="C1" sqref="C1"/>
      <selection pane="bottomLeft" activeCell="A3" sqref="A3"/>
      <selection pane="bottomRight" activeCell="Q12" sqref="O12:Q12"/>
    </sheetView>
  </sheetViews>
  <sheetFormatPr defaultRowHeight="15" x14ac:dyDescent="0.25"/>
  <cols>
    <col min="1" max="1" width="2.85546875" style="2" customWidth="1"/>
    <col min="2" max="2" width="31.85546875" style="2" customWidth="1"/>
    <col min="3" max="3" width="9.28515625" style="2" bestFit="1" customWidth="1"/>
    <col min="4" max="7" width="9.140625" style="2"/>
    <col min="8" max="8" width="12.28515625" style="2" customWidth="1"/>
    <col min="9" max="9" width="11.5703125" style="2" bestFit="1" customWidth="1"/>
    <col min="10" max="16384" width="9.140625" style="2"/>
  </cols>
  <sheetData>
    <row r="2" spans="2:18" customFormat="1" x14ac:dyDescent="0.25">
      <c r="H2">
        <v>2022</v>
      </c>
      <c r="I2">
        <f t="shared" ref="I2:R2" si="0">+H2+1</f>
        <v>2023</v>
      </c>
      <c r="J2">
        <f t="shared" si="0"/>
        <v>2024</v>
      </c>
      <c r="K2">
        <f t="shared" si="0"/>
        <v>2025</v>
      </c>
      <c r="L2">
        <f t="shared" si="0"/>
        <v>2026</v>
      </c>
      <c r="M2">
        <f t="shared" si="0"/>
        <v>2027</v>
      </c>
      <c r="N2">
        <f t="shared" si="0"/>
        <v>2028</v>
      </c>
      <c r="O2">
        <f t="shared" si="0"/>
        <v>2029</v>
      </c>
      <c r="P2">
        <f t="shared" si="0"/>
        <v>2030</v>
      </c>
      <c r="Q2">
        <f t="shared" si="0"/>
        <v>2031</v>
      </c>
      <c r="R2">
        <f t="shared" si="0"/>
        <v>2032</v>
      </c>
    </row>
    <row r="3" spans="2:18" x14ac:dyDescent="0.25">
      <c r="H3" s="6">
        <f>+H14/H7</f>
        <v>0.16829790002002931</v>
      </c>
      <c r="I3" s="6">
        <f>+I14/I7</f>
        <v>0.17340918439117095</v>
      </c>
    </row>
    <row r="4" spans="2:18" x14ac:dyDescent="0.25">
      <c r="B4" t="s">
        <v>1</v>
      </c>
      <c r="H4" s="2">
        <v>312626961.56</v>
      </c>
      <c r="I4" s="2">
        <v>365064718.49000001</v>
      </c>
    </row>
    <row r="5" spans="2:18" x14ac:dyDescent="0.25">
      <c r="B5" t="s">
        <v>2</v>
      </c>
      <c r="C5" s="2" t="s">
        <v>24</v>
      </c>
      <c r="H5" s="2">
        <v>26023788.760000002</v>
      </c>
      <c r="I5" s="2">
        <v>5753654.3300000001</v>
      </c>
    </row>
    <row r="6" spans="2:18" x14ac:dyDescent="0.25">
      <c r="B6" t="s">
        <v>3</v>
      </c>
      <c r="C6" s="2" t="s">
        <v>24</v>
      </c>
      <c r="H6" s="2">
        <v>186808.1</v>
      </c>
      <c r="I6" s="2">
        <v>209616.36</v>
      </c>
    </row>
    <row r="7" spans="2:18" s="3" customFormat="1" x14ac:dyDescent="0.25">
      <c r="B7" s="1" t="s">
        <v>4</v>
      </c>
      <c r="C7" s="3" t="s">
        <v>24</v>
      </c>
      <c r="H7" s="3">
        <f>+H4+H5+H6</f>
        <v>338837558.42000002</v>
      </c>
      <c r="I7" s="3">
        <f>+I4+I5+I6</f>
        <v>371027989.18000001</v>
      </c>
      <c r="J7" s="3">
        <v>376640</v>
      </c>
      <c r="K7" s="3">
        <v>436260</v>
      </c>
      <c r="L7" s="3">
        <v>484060</v>
      </c>
      <c r="M7" s="3">
        <v>538650</v>
      </c>
      <c r="N7" s="3">
        <v>600000</v>
      </c>
      <c r="O7" s="3">
        <f>+N7*1.08</f>
        <v>648000</v>
      </c>
      <c r="P7" s="3">
        <f t="shared" ref="P7" si="1">+O7*1.08</f>
        <v>699840</v>
      </c>
      <c r="Q7" s="3">
        <f>+P7*1.05</f>
        <v>734832</v>
      </c>
      <c r="R7" s="3">
        <f>+Q7*1.05</f>
        <v>771573.6</v>
      </c>
    </row>
    <row r="8" spans="2:18" x14ac:dyDescent="0.25">
      <c r="B8" t="s">
        <v>5</v>
      </c>
      <c r="C8" s="2" t="s">
        <v>24</v>
      </c>
      <c r="H8" s="2">
        <v>6246272.96</v>
      </c>
      <c r="I8" s="2">
        <v>3084721.35</v>
      </c>
      <c r="J8" s="2">
        <v>3000</v>
      </c>
      <c r="K8" s="2">
        <v>3000</v>
      </c>
      <c r="L8" s="2">
        <v>3000</v>
      </c>
      <c r="M8" s="2">
        <v>3000</v>
      </c>
      <c r="N8" s="2">
        <v>3000</v>
      </c>
      <c r="O8" s="2">
        <v>3000</v>
      </c>
      <c r="P8" s="2">
        <v>3000</v>
      </c>
      <c r="Q8" s="2">
        <v>3000</v>
      </c>
      <c r="R8" s="2">
        <v>3000</v>
      </c>
    </row>
    <row r="9" spans="2:18" x14ac:dyDescent="0.25">
      <c r="B9" t="s">
        <v>6</v>
      </c>
      <c r="C9" s="2" t="s">
        <v>24</v>
      </c>
      <c r="H9" s="2">
        <v>176583988.50999999</v>
      </c>
      <c r="I9" s="2">
        <v>191846934.08000001</v>
      </c>
    </row>
    <row r="10" spans="2:18" x14ac:dyDescent="0.25">
      <c r="B10" t="s">
        <v>7</v>
      </c>
      <c r="C10" s="2" t="s">
        <v>24</v>
      </c>
      <c r="H10" s="2">
        <v>47546345.219999999</v>
      </c>
      <c r="I10" s="2">
        <v>46454425.909999996</v>
      </c>
    </row>
    <row r="11" spans="2:18" x14ac:dyDescent="0.25">
      <c r="B11" t="s">
        <v>8</v>
      </c>
      <c r="C11" s="2" t="s">
        <v>24</v>
      </c>
      <c r="H11" s="2">
        <v>224130333.72999999</v>
      </c>
      <c r="I11" s="2">
        <v>238301359.99000001</v>
      </c>
      <c r="J11" s="2">
        <f>+J7*0.65</f>
        <v>244816</v>
      </c>
      <c r="K11" s="2">
        <f t="shared" ref="K11:R11" si="2">+K7*0.65</f>
        <v>283569</v>
      </c>
      <c r="L11" s="2">
        <f t="shared" si="2"/>
        <v>314639</v>
      </c>
      <c r="M11" s="2">
        <f t="shared" si="2"/>
        <v>350122.5</v>
      </c>
      <c r="N11" s="2">
        <f t="shared" si="2"/>
        <v>390000</v>
      </c>
      <c r="O11" s="2">
        <f t="shared" si="2"/>
        <v>421200</v>
      </c>
      <c r="P11" s="2">
        <f t="shared" si="2"/>
        <v>454896</v>
      </c>
      <c r="Q11" s="2">
        <f t="shared" si="2"/>
        <v>477640.8</v>
      </c>
      <c r="R11" s="2">
        <f t="shared" si="2"/>
        <v>501522.84</v>
      </c>
    </row>
    <row r="12" spans="2:18" x14ac:dyDescent="0.25">
      <c r="B12" t="s">
        <v>9</v>
      </c>
      <c r="C12" s="2" t="s">
        <v>24</v>
      </c>
      <c r="H12" s="2">
        <v>47536995.299999997</v>
      </c>
      <c r="I12" s="2">
        <v>53889252.270000003</v>
      </c>
    </row>
    <row r="13" spans="2:18" x14ac:dyDescent="0.25">
      <c r="B13" t="s">
        <v>10</v>
      </c>
      <c r="C13" s="2" t="s">
        <v>24</v>
      </c>
      <c r="H13" s="2">
        <v>9488654.2300000004</v>
      </c>
      <c r="I13" s="2">
        <v>10450408.720000001</v>
      </c>
    </row>
    <row r="14" spans="2:18" x14ac:dyDescent="0.25">
      <c r="B14" t="s">
        <v>11</v>
      </c>
      <c r="C14" s="2" t="s">
        <v>24</v>
      </c>
      <c r="H14" s="2">
        <v>57025649.530000001</v>
      </c>
      <c r="I14" s="2">
        <v>64339660.990000002</v>
      </c>
      <c r="J14" s="2">
        <f>+J7*0.175</f>
        <v>65912</v>
      </c>
      <c r="K14" s="2">
        <f t="shared" ref="K14:R14" si="3">+K7*0.175</f>
        <v>76345.5</v>
      </c>
      <c r="L14" s="2">
        <f t="shared" si="3"/>
        <v>84710.5</v>
      </c>
      <c r="M14" s="2">
        <f t="shared" si="3"/>
        <v>94263.75</v>
      </c>
      <c r="N14" s="2">
        <f t="shared" si="3"/>
        <v>105000</v>
      </c>
      <c r="O14" s="2">
        <f t="shared" si="3"/>
        <v>113400</v>
      </c>
      <c r="P14" s="2">
        <f t="shared" si="3"/>
        <v>122471.99999999999</v>
      </c>
      <c r="Q14" s="2">
        <f t="shared" si="3"/>
        <v>128595.59999999999</v>
      </c>
      <c r="R14" s="2">
        <f t="shared" si="3"/>
        <v>135025.37999999998</v>
      </c>
    </row>
    <row r="15" spans="2:18" x14ac:dyDescent="0.25">
      <c r="B15" t="s">
        <v>12</v>
      </c>
      <c r="C15" s="2" t="s">
        <v>24</v>
      </c>
      <c r="H15" s="2">
        <v>4672085.72</v>
      </c>
      <c r="I15" s="2">
        <v>6657857.79</v>
      </c>
      <c r="J15" s="2">
        <f>+I15*1.05/1000</f>
        <v>6990.7506795000008</v>
      </c>
      <c r="K15" s="2">
        <f>+J15*1.05</f>
        <v>7340.2882134750016</v>
      </c>
      <c r="L15" s="2">
        <f>+K15*1.03</f>
        <v>7560.496859879252</v>
      </c>
      <c r="M15" s="2">
        <f t="shared" ref="M15:R15" si="4">+L15*1.03</f>
        <v>7787.3117656756294</v>
      </c>
      <c r="N15" s="2">
        <f t="shared" si="4"/>
        <v>8020.9311186458981</v>
      </c>
      <c r="O15" s="2">
        <f t="shared" si="4"/>
        <v>8261.5590522052753</v>
      </c>
      <c r="P15" s="2">
        <f t="shared" si="4"/>
        <v>8509.4058237714344</v>
      </c>
      <c r="Q15" s="2">
        <f t="shared" si="4"/>
        <v>8764.6879984845782</v>
      </c>
      <c r="R15" s="2">
        <f t="shared" si="4"/>
        <v>9027.6286384391151</v>
      </c>
    </row>
    <row r="16" spans="2:18" x14ac:dyDescent="0.25">
      <c r="B16" t="s">
        <v>13</v>
      </c>
      <c r="C16" s="2" t="s">
        <v>24</v>
      </c>
      <c r="H16" s="2">
        <v>35264247.060000002</v>
      </c>
      <c r="I16" s="2">
        <v>36902965.43</v>
      </c>
      <c r="J16" s="2">
        <v>38000</v>
      </c>
      <c r="K16" s="2">
        <f>+J16*1.03</f>
        <v>39140</v>
      </c>
      <c r="L16" s="2">
        <f t="shared" ref="L16:R16" si="5">+K16*1.03</f>
        <v>40314.200000000004</v>
      </c>
      <c r="M16" s="2">
        <f t="shared" si="5"/>
        <v>41523.626000000004</v>
      </c>
      <c r="N16" s="2">
        <f t="shared" si="5"/>
        <v>42769.334780000005</v>
      </c>
      <c r="O16" s="2">
        <f t="shared" si="5"/>
        <v>44052.414823400009</v>
      </c>
      <c r="P16" s="2">
        <f t="shared" si="5"/>
        <v>45373.987268102013</v>
      </c>
      <c r="Q16" s="2">
        <f t="shared" si="5"/>
        <v>46735.206886145075</v>
      </c>
      <c r="R16" s="2">
        <f t="shared" si="5"/>
        <v>48137.26309272943</v>
      </c>
    </row>
    <row r="17" spans="2:129" x14ac:dyDescent="0.25">
      <c r="B17" t="s">
        <v>14</v>
      </c>
      <c r="C17" s="2" t="s">
        <v>24</v>
      </c>
      <c r="H17" s="2">
        <v>-89403.24</v>
      </c>
      <c r="I17" s="2">
        <v>-72348.710000000006</v>
      </c>
      <c r="J17" s="2">
        <v>-50</v>
      </c>
      <c r="K17" s="2">
        <v>-50</v>
      </c>
      <c r="L17" s="2">
        <v>-50</v>
      </c>
      <c r="M17" s="2">
        <v>-50</v>
      </c>
      <c r="N17" s="2">
        <v>-50</v>
      </c>
      <c r="O17" s="2">
        <v>-50</v>
      </c>
      <c r="P17" s="2">
        <v>-50</v>
      </c>
      <c r="Q17" s="2">
        <v>-50</v>
      </c>
      <c r="R17" s="2">
        <v>-50</v>
      </c>
    </row>
    <row r="18" spans="2:129" x14ac:dyDescent="0.25">
      <c r="B18" t="s">
        <v>15</v>
      </c>
      <c r="C18" s="2" t="s">
        <v>24</v>
      </c>
      <c r="H18" s="2">
        <v>500</v>
      </c>
      <c r="I18" s="2">
        <v>2000</v>
      </c>
      <c r="J18" s="2">
        <v>2</v>
      </c>
      <c r="K18" s="2">
        <v>2</v>
      </c>
      <c r="L18" s="2">
        <v>2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2</v>
      </c>
    </row>
    <row r="19" spans="2:129" s="3" customFormat="1" x14ac:dyDescent="0.25">
      <c r="B19" s="1" t="s">
        <v>0</v>
      </c>
      <c r="H19" s="3">
        <f>+H7+H8-H11-H14-H15-H16+H17+H18</f>
        <v>23902612.100000005</v>
      </c>
      <c r="I19" s="3">
        <f>+I7+I8-I11-I14-I15-I16+I17+I18</f>
        <v>27840517.620000012</v>
      </c>
      <c r="J19" s="3">
        <f>+J7+J8-J11-J14-J15-J16+J17+J18</f>
        <v>23873.249320499999</v>
      </c>
      <c r="K19" s="3">
        <f t="shared" ref="K19:R19" si="6">+K7+K8-K11-K14-K15-K16+K17+K18</f>
        <v>32817.211786525004</v>
      </c>
      <c r="L19" s="3">
        <f t="shared" si="6"/>
        <v>39787.803140120748</v>
      </c>
      <c r="M19" s="3">
        <f t="shared" si="6"/>
        <v>47904.812234324359</v>
      </c>
      <c r="N19" s="3">
        <f t="shared" si="6"/>
        <v>57161.734101354101</v>
      </c>
      <c r="O19" s="3">
        <f t="shared" si="6"/>
        <v>64038.02612439471</v>
      </c>
      <c r="P19" s="3">
        <f t="shared" si="6"/>
        <v>71540.60690812656</v>
      </c>
      <c r="Q19" s="3">
        <f t="shared" si="6"/>
        <v>76047.705115370394</v>
      </c>
      <c r="R19" s="3">
        <f t="shared" si="6"/>
        <v>80812.488268831425</v>
      </c>
    </row>
    <row r="20" spans="2:129" x14ac:dyDescent="0.25">
      <c r="B20" t="s">
        <v>16</v>
      </c>
      <c r="C20" s="2" t="s">
        <v>24</v>
      </c>
      <c r="H20" s="2">
        <v>79516.460000000006</v>
      </c>
      <c r="I20" s="2">
        <v>54958.49</v>
      </c>
      <c r="J20" s="2">
        <v>55</v>
      </c>
      <c r="K20" s="2">
        <v>55</v>
      </c>
      <c r="L20" s="2">
        <v>55</v>
      </c>
      <c r="M20" s="2">
        <v>55</v>
      </c>
      <c r="N20" s="2">
        <v>55</v>
      </c>
      <c r="O20" s="2">
        <v>55</v>
      </c>
      <c r="P20" s="2">
        <v>55</v>
      </c>
      <c r="Q20" s="2">
        <v>55</v>
      </c>
      <c r="R20" s="2">
        <v>55</v>
      </c>
    </row>
    <row r="21" spans="2:129" x14ac:dyDescent="0.25">
      <c r="B21" t="s">
        <v>17</v>
      </c>
      <c r="C21" s="2" t="s">
        <v>24</v>
      </c>
      <c r="H21" s="2">
        <v>383939.72</v>
      </c>
      <c r="I21" s="2">
        <v>620675.06000000006</v>
      </c>
      <c r="J21" s="2">
        <v>800</v>
      </c>
      <c r="K21" s="2">
        <f>+J21*1.05</f>
        <v>840</v>
      </c>
      <c r="L21" s="2">
        <f t="shared" ref="L21:R21" si="7">+K21*1.05</f>
        <v>882</v>
      </c>
      <c r="M21" s="2">
        <f t="shared" si="7"/>
        <v>926.1</v>
      </c>
      <c r="N21" s="2">
        <f t="shared" si="7"/>
        <v>972.40500000000009</v>
      </c>
      <c r="O21" s="2">
        <f t="shared" si="7"/>
        <v>1021.0252500000001</v>
      </c>
      <c r="P21" s="2">
        <f t="shared" si="7"/>
        <v>1072.0765125000003</v>
      </c>
      <c r="Q21" s="2">
        <f t="shared" si="7"/>
        <v>1125.6803381250004</v>
      </c>
      <c r="R21" s="2">
        <f t="shared" si="7"/>
        <v>1181.9643550312505</v>
      </c>
    </row>
    <row r="22" spans="2:129" x14ac:dyDescent="0.25">
      <c r="B22" t="s">
        <v>18</v>
      </c>
      <c r="C22" s="2" t="s">
        <v>24</v>
      </c>
      <c r="H22" s="2">
        <v>7083291.3700000001</v>
      </c>
      <c r="I22" s="2">
        <v>9086439.8900000006</v>
      </c>
      <c r="J22" s="2">
        <f>+J7*0.022</f>
        <v>8286.08</v>
      </c>
      <c r="K22" s="2">
        <f t="shared" ref="K22:R22" si="8">+K7*0.022</f>
        <v>9597.7199999999993</v>
      </c>
      <c r="L22" s="2">
        <f t="shared" si="8"/>
        <v>10649.32</v>
      </c>
      <c r="M22" s="2">
        <f t="shared" si="8"/>
        <v>11850.3</v>
      </c>
      <c r="N22" s="2">
        <f t="shared" si="8"/>
        <v>13200</v>
      </c>
      <c r="O22" s="2">
        <f t="shared" si="8"/>
        <v>14256</v>
      </c>
      <c r="P22" s="2">
        <f t="shared" si="8"/>
        <v>15396.48</v>
      </c>
      <c r="Q22" s="2">
        <f t="shared" si="8"/>
        <v>16166.303999999998</v>
      </c>
      <c r="R22" s="2">
        <f t="shared" si="8"/>
        <v>16974.619199999997</v>
      </c>
    </row>
    <row r="23" spans="2:129" x14ac:dyDescent="0.25">
      <c r="B23" t="s">
        <v>19</v>
      </c>
      <c r="C23" s="2" t="s">
        <v>24</v>
      </c>
      <c r="H23" s="2">
        <f>+H19+H20-H21-H22</f>
        <v>16514897.470000006</v>
      </c>
      <c r="I23" s="2">
        <f>+I19+I20-I21-I22</f>
        <v>18188361.160000011</v>
      </c>
      <c r="J23" s="2">
        <f>+J19+J20-J21-J22</f>
        <v>14842.169320499999</v>
      </c>
      <c r="K23" s="2">
        <f t="shared" ref="K23:R23" si="9">+K19+K20-K21-K22</f>
        <v>22434.491786525003</v>
      </c>
      <c r="L23" s="2">
        <f t="shared" si="9"/>
        <v>28311.483140120748</v>
      </c>
      <c r="M23" s="2">
        <f t="shared" si="9"/>
        <v>35183.412234324365</v>
      </c>
      <c r="N23" s="2">
        <f t="shared" si="9"/>
        <v>43044.329101354102</v>
      </c>
      <c r="O23" s="2">
        <f t="shared" si="9"/>
        <v>48816.000874394711</v>
      </c>
      <c r="P23" s="2">
        <f t="shared" si="9"/>
        <v>55127.05039562656</v>
      </c>
      <c r="Q23" s="2">
        <f t="shared" si="9"/>
        <v>58810.720777245391</v>
      </c>
      <c r="R23" s="2">
        <f t="shared" si="9"/>
        <v>62710.904713800177</v>
      </c>
    </row>
    <row r="24" spans="2:129" x14ac:dyDescent="0.25">
      <c r="B24" t="s">
        <v>20</v>
      </c>
      <c r="C24" s="2" t="s">
        <v>24</v>
      </c>
      <c r="H24" s="2">
        <v>143048.63</v>
      </c>
      <c r="I24" s="2">
        <v>199999.84</v>
      </c>
      <c r="J24" s="2">
        <v>250</v>
      </c>
      <c r="K24" s="2">
        <v>250</v>
      </c>
      <c r="L24" s="2">
        <v>250</v>
      </c>
      <c r="M24" s="2">
        <v>250</v>
      </c>
      <c r="N24" s="2">
        <v>250</v>
      </c>
      <c r="O24" s="2">
        <v>250</v>
      </c>
      <c r="P24" s="2">
        <v>250</v>
      </c>
      <c r="Q24" s="2">
        <v>250</v>
      </c>
      <c r="R24" s="2">
        <v>250</v>
      </c>
    </row>
    <row r="25" spans="2:129" x14ac:dyDescent="0.25">
      <c r="B25" t="s">
        <v>21</v>
      </c>
      <c r="C25" s="2" t="s">
        <v>24</v>
      </c>
      <c r="H25" s="2">
        <f>+H23-H24</f>
        <v>16371848.840000005</v>
      </c>
      <c r="I25" s="2">
        <f>+I23-I24</f>
        <v>17988361.320000011</v>
      </c>
      <c r="J25" s="2">
        <f>+J23-J24</f>
        <v>14592.169320499999</v>
      </c>
      <c r="K25" s="2">
        <f t="shared" ref="K25:R25" si="10">+K23-K24</f>
        <v>22184.491786525003</v>
      </c>
      <c r="L25" s="2">
        <f t="shared" si="10"/>
        <v>28061.483140120748</v>
      </c>
      <c r="M25" s="2">
        <f t="shared" si="10"/>
        <v>34933.412234324365</v>
      </c>
      <c r="N25" s="2">
        <f t="shared" si="10"/>
        <v>42794.329101354102</v>
      </c>
      <c r="O25" s="2">
        <f t="shared" si="10"/>
        <v>48566.000874394711</v>
      </c>
      <c r="P25" s="2">
        <f t="shared" si="10"/>
        <v>54877.05039562656</v>
      </c>
      <c r="Q25" s="2">
        <f t="shared" si="10"/>
        <v>58560.720777245391</v>
      </c>
      <c r="R25" s="2">
        <f t="shared" si="10"/>
        <v>62460.904713800177</v>
      </c>
    </row>
    <row r="26" spans="2:129" x14ac:dyDescent="0.25">
      <c r="B26" t="s">
        <v>22</v>
      </c>
      <c r="C26" s="2" t="s">
        <v>24</v>
      </c>
      <c r="H26" s="2">
        <v>14055.84</v>
      </c>
      <c r="I26" s="2">
        <v>-38576.959999999999</v>
      </c>
    </row>
    <row r="27" spans="2:129" s="3" customFormat="1" x14ac:dyDescent="0.25">
      <c r="B27" s="1" t="s">
        <v>23</v>
      </c>
      <c r="C27" s="3" t="s">
        <v>24</v>
      </c>
      <c r="H27" s="3">
        <f>+H25+H26</f>
        <v>16385904.680000005</v>
      </c>
      <c r="I27" s="3">
        <f>+I25+I26</f>
        <v>17949784.360000011</v>
      </c>
      <c r="J27" s="3">
        <f>+J25+J26</f>
        <v>14592.169320499999</v>
      </c>
      <c r="K27" s="3">
        <f t="shared" ref="K27:R27" si="11">+K25+K26</f>
        <v>22184.491786525003</v>
      </c>
      <c r="L27" s="3">
        <f t="shared" si="11"/>
        <v>28061.483140120748</v>
      </c>
      <c r="M27" s="3">
        <f t="shared" si="11"/>
        <v>34933.412234324365</v>
      </c>
      <c r="N27" s="3">
        <f t="shared" si="11"/>
        <v>42794.329101354102</v>
      </c>
      <c r="O27" s="3">
        <f t="shared" si="11"/>
        <v>48566.000874394711</v>
      </c>
      <c r="P27" s="3">
        <f t="shared" si="11"/>
        <v>54877.05039562656</v>
      </c>
      <c r="Q27" s="3">
        <f t="shared" si="11"/>
        <v>58560.720777245391</v>
      </c>
      <c r="R27" s="3">
        <f t="shared" si="11"/>
        <v>62460.904713800177</v>
      </c>
      <c r="S27" s="3">
        <f t="shared" ref="S27:AX27" si="12">+R27*(1+TR)</f>
        <v>61836.295666662176</v>
      </c>
      <c r="T27" s="3">
        <f t="shared" si="12"/>
        <v>61217.932709995555</v>
      </c>
      <c r="U27" s="3">
        <f t="shared" si="12"/>
        <v>60605.7533828956</v>
      </c>
      <c r="V27" s="3">
        <f t="shared" si="12"/>
        <v>59999.695849066644</v>
      </c>
      <c r="W27" s="3">
        <f t="shared" si="12"/>
        <v>59399.698890575979</v>
      </c>
      <c r="X27" s="3">
        <f t="shared" si="12"/>
        <v>58805.701901670218</v>
      </c>
      <c r="Y27" s="3">
        <f t="shared" si="12"/>
        <v>58217.644882653512</v>
      </c>
      <c r="Z27" s="3">
        <f t="shared" si="12"/>
        <v>57635.46843382698</v>
      </c>
      <c r="AA27" s="3">
        <f t="shared" si="12"/>
        <v>57059.113749488708</v>
      </c>
      <c r="AB27" s="3">
        <f t="shared" si="12"/>
        <v>56488.522611993823</v>
      </c>
      <c r="AC27" s="3">
        <f t="shared" si="12"/>
        <v>55923.637385873888</v>
      </c>
      <c r="AD27" s="3">
        <f t="shared" si="12"/>
        <v>55364.401012015151</v>
      </c>
      <c r="AE27" s="3">
        <f t="shared" si="12"/>
        <v>54810.757001894999</v>
      </c>
      <c r="AF27" s="3">
        <f t="shared" si="12"/>
        <v>54262.649431876045</v>
      </c>
      <c r="AG27" s="3">
        <f t="shared" si="12"/>
        <v>53720.022937557282</v>
      </c>
      <c r="AH27" s="3">
        <f t="shared" si="12"/>
        <v>53182.822708181709</v>
      </c>
      <c r="AI27" s="3">
        <f t="shared" si="12"/>
        <v>52650.994481099893</v>
      </c>
      <c r="AJ27" s="3">
        <f t="shared" si="12"/>
        <v>52124.484536288895</v>
      </c>
      <c r="AK27" s="3">
        <f t="shared" si="12"/>
        <v>51603.239690926006</v>
      </c>
      <c r="AL27" s="3">
        <f t="shared" si="12"/>
        <v>51087.207294016749</v>
      </c>
      <c r="AM27" s="3">
        <f t="shared" si="12"/>
        <v>50576.335221076581</v>
      </c>
      <c r="AN27" s="3">
        <f t="shared" si="12"/>
        <v>50070.571868865816</v>
      </c>
      <c r="AO27" s="3">
        <f t="shared" si="12"/>
        <v>49569.866150177157</v>
      </c>
      <c r="AP27" s="3">
        <f t="shared" si="12"/>
        <v>49074.167488675383</v>
      </c>
      <c r="AQ27" s="3">
        <f t="shared" si="12"/>
        <v>48583.425813788628</v>
      </c>
      <c r="AR27" s="3">
        <f t="shared" si="12"/>
        <v>48097.591555650739</v>
      </c>
      <c r="AS27" s="3">
        <f t="shared" si="12"/>
        <v>47616.615640094235</v>
      </c>
      <c r="AT27" s="3">
        <f t="shared" si="12"/>
        <v>47140.449483693294</v>
      </c>
      <c r="AU27" s="3">
        <f t="shared" si="12"/>
        <v>46669.04498885636</v>
      </c>
      <c r="AV27" s="3">
        <f t="shared" si="12"/>
        <v>46202.354538967797</v>
      </c>
      <c r="AW27" s="3">
        <f t="shared" si="12"/>
        <v>45740.330993578122</v>
      </c>
      <c r="AX27" s="3">
        <f t="shared" si="12"/>
        <v>45282.927683642338</v>
      </c>
      <c r="AY27" s="3">
        <f t="shared" ref="AY27:CD27" si="13">+AX27*(1+TR)</f>
        <v>44830.098406805912</v>
      </c>
      <c r="AZ27" s="3">
        <f t="shared" si="13"/>
        <v>44381.797422737851</v>
      </c>
      <c r="BA27" s="3">
        <f t="shared" si="13"/>
        <v>43937.979448510472</v>
      </c>
      <c r="BB27" s="3">
        <f t="shared" si="13"/>
        <v>43498.599654025369</v>
      </c>
      <c r="BC27" s="3">
        <f t="shared" si="13"/>
        <v>43063.613657485112</v>
      </c>
      <c r="BD27" s="3">
        <f t="shared" si="13"/>
        <v>42632.977520910259</v>
      </c>
      <c r="BE27" s="3">
        <f t="shared" si="13"/>
        <v>42206.647745701157</v>
      </c>
      <c r="BF27" s="3">
        <f t="shared" si="13"/>
        <v>41784.581268244146</v>
      </c>
      <c r="BG27" s="3">
        <f t="shared" si="13"/>
        <v>41366.735455561706</v>
      </c>
      <c r="BH27" s="3">
        <f t="shared" si="13"/>
        <v>40953.068101006087</v>
      </c>
      <c r="BI27" s="3">
        <f t="shared" si="13"/>
        <v>40543.537419996028</v>
      </c>
      <c r="BJ27" s="3">
        <f t="shared" si="13"/>
        <v>40138.102045796069</v>
      </c>
      <c r="BK27" s="3">
        <f t="shared" si="13"/>
        <v>39736.721025338105</v>
      </c>
      <c r="BL27" s="3">
        <f t="shared" si="13"/>
        <v>39339.353815084723</v>
      </c>
      <c r="BM27" s="3">
        <f t="shared" si="13"/>
        <v>38945.960276933874</v>
      </c>
      <c r="BN27" s="3">
        <f t="shared" si="13"/>
        <v>38556.500674164534</v>
      </c>
      <c r="BO27" s="3">
        <f t="shared" si="13"/>
        <v>38170.935667422891</v>
      </c>
      <c r="BP27" s="3">
        <f t="shared" si="13"/>
        <v>37789.226310748665</v>
      </c>
      <c r="BQ27" s="3">
        <f t="shared" si="13"/>
        <v>37411.334047641176</v>
      </c>
      <c r="BR27" s="3">
        <f t="shared" si="13"/>
        <v>37037.220707164764</v>
      </c>
      <c r="BS27" s="3">
        <f t="shared" si="13"/>
        <v>36666.848500093118</v>
      </c>
      <c r="BT27" s="3">
        <f t="shared" si="13"/>
        <v>36300.180015092184</v>
      </c>
      <c r="BU27" s="3">
        <f t="shared" si="13"/>
        <v>35937.178214941261</v>
      </c>
      <c r="BV27" s="3">
        <f t="shared" si="13"/>
        <v>35577.806432791847</v>
      </c>
      <c r="BW27" s="3">
        <f t="shared" si="13"/>
        <v>35222.028368463929</v>
      </c>
      <c r="BX27" s="3">
        <f t="shared" si="13"/>
        <v>34869.808084779288</v>
      </c>
      <c r="BY27" s="3">
        <f t="shared" si="13"/>
        <v>34521.110003931492</v>
      </c>
      <c r="BZ27" s="3">
        <f t="shared" si="13"/>
        <v>34175.898903892179</v>
      </c>
      <c r="CA27" s="3">
        <f t="shared" si="13"/>
        <v>33834.139914853258</v>
      </c>
      <c r="CB27" s="3">
        <f t="shared" si="13"/>
        <v>33495.798515704722</v>
      </c>
      <c r="CC27" s="3">
        <f t="shared" si="13"/>
        <v>33160.840530547677</v>
      </c>
      <c r="CD27" s="3">
        <f t="shared" si="13"/>
        <v>32829.232125242197</v>
      </c>
      <c r="CE27" s="3">
        <f t="shared" ref="CE27:DJ27" si="14">+CD27*(1+TR)</f>
        <v>32500.939803989775</v>
      </c>
      <c r="CF27" s="3">
        <f t="shared" si="14"/>
        <v>32175.930405949875</v>
      </c>
      <c r="CG27" s="3">
        <f t="shared" si="14"/>
        <v>31854.171101890377</v>
      </c>
      <c r="CH27" s="3">
        <f t="shared" si="14"/>
        <v>31535.629390871472</v>
      </c>
      <c r="CI27" s="3">
        <f t="shared" si="14"/>
        <v>31220.273096962759</v>
      </c>
      <c r="CJ27" s="3">
        <f t="shared" si="14"/>
        <v>30908.070365993131</v>
      </c>
      <c r="CK27" s="3">
        <f t="shared" si="14"/>
        <v>30598.989662333199</v>
      </c>
      <c r="CL27" s="3">
        <f t="shared" si="14"/>
        <v>30292.999765709865</v>
      </c>
      <c r="CM27" s="3">
        <f t="shared" si="14"/>
        <v>29990.069768052766</v>
      </c>
      <c r="CN27" s="3">
        <f t="shared" si="14"/>
        <v>29690.169070372238</v>
      </c>
      <c r="CO27" s="3">
        <f t="shared" si="14"/>
        <v>29393.267379668516</v>
      </c>
      <c r="CP27" s="3">
        <f t="shared" si="14"/>
        <v>29099.334705871832</v>
      </c>
      <c r="CQ27" s="3">
        <f t="shared" si="14"/>
        <v>28808.341358813112</v>
      </c>
      <c r="CR27" s="3">
        <f t="shared" si="14"/>
        <v>28520.257945224981</v>
      </c>
      <c r="CS27" s="3">
        <f t="shared" si="14"/>
        <v>28235.055365772732</v>
      </c>
      <c r="CT27" s="3">
        <f t="shared" si="14"/>
        <v>27952.704812115004</v>
      </c>
      <c r="CU27" s="3">
        <f t="shared" si="14"/>
        <v>27673.177763993852</v>
      </c>
      <c r="CV27" s="3">
        <f t="shared" si="14"/>
        <v>27396.445986353912</v>
      </c>
      <c r="CW27" s="3">
        <f t="shared" si="14"/>
        <v>27122.481526490374</v>
      </c>
      <c r="CX27" s="3">
        <f t="shared" si="14"/>
        <v>26851.256711225469</v>
      </c>
      <c r="CY27" s="3">
        <f t="shared" si="14"/>
        <v>26582.744144113214</v>
      </c>
      <c r="CZ27" s="3">
        <f t="shared" si="14"/>
        <v>26316.916702672082</v>
      </c>
      <c r="DA27" s="3">
        <f t="shared" si="14"/>
        <v>26053.747535645361</v>
      </c>
      <c r="DB27" s="3">
        <f t="shared" si="14"/>
        <v>25793.210060288908</v>
      </c>
      <c r="DC27" s="3">
        <f t="shared" si="14"/>
        <v>25535.27795968602</v>
      </c>
      <c r="DD27" s="3">
        <f t="shared" si="14"/>
        <v>25279.925180089158</v>
      </c>
      <c r="DE27" s="3">
        <f t="shared" si="14"/>
        <v>25027.125928288267</v>
      </c>
      <c r="DF27" s="3">
        <f t="shared" si="14"/>
        <v>24776.854669005384</v>
      </c>
      <c r="DG27" s="3">
        <f t="shared" si="14"/>
        <v>24529.08612231533</v>
      </c>
      <c r="DH27" s="3">
        <f t="shared" si="14"/>
        <v>24283.795261092175</v>
      </c>
      <c r="DI27" s="3">
        <f t="shared" si="14"/>
        <v>24040.957308481255</v>
      </c>
      <c r="DJ27" s="3">
        <f t="shared" si="14"/>
        <v>23800.547735396442</v>
      </c>
      <c r="DK27" s="3">
        <f t="shared" ref="DK27:DY27" si="15">+DJ27*(1+TR)</f>
        <v>23562.542258042478</v>
      </c>
      <c r="DL27" s="3">
        <f t="shared" si="15"/>
        <v>23326.916835462052</v>
      </c>
      <c r="DM27" s="3">
        <f t="shared" si="15"/>
        <v>23093.647667107431</v>
      </c>
      <c r="DN27" s="3">
        <f t="shared" si="15"/>
        <v>22862.711190436356</v>
      </c>
      <c r="DO27" s="3">
        <f t="shared" si="15"/>
        <v>22634.084078531992</v>
      </c>
      <c r="DP27" s="3">
        <f t="shared" si="15"/>
        <v>22407.743237746672</v>
      </c>
      <c r="DQ27" s="3">
        <f t="shared" si="15"/>
        <v>22183.665805369204</v>
      </c>
      <c r="DR27" s="3">
        <f t="shared" si="15"/>
        <v>21961.829147315511</v>
      </c>
      <c r="DS27" s="3">
        <f t="shared" si="15"/>
        <v>21742.210855842357</v>
      </c>
      <c r="DT27" s="3">
        <f t="shared" si="15"/>
        <v>21524.788747283932</v>
      </c>
      <c r="DU27" s="3">
        <f t="shared" si="15"/>
        <v>21309.540859811092</v>
      </c>
      <c r="DV27" s="3">
        <f t="shared" si="15"/>
        <v>21096.445451212981</v>
      </c>
      <c r="DW27" s="3">
        <f t="shared" si="15"/>
        <v>20885.480996700851</v>
      </c>
      <c r="DX27" s="3">
        <f t="shared" si="15"/>
        <v>20676.626186733843</v>
      </c>
      <c r="DY27" s="3">
        <f t="shared" si="15"/>
        <v>20469.859924866505</v>
      </c>
    </row>
    <row r="28" spans="2:129" x14ac:dyDescent="0.25">
      <c r="H28" s="5">
        <f>+H22/H7</f>
        <v>2.0904681886593085E-2</v>
      </c>
      <c r="I28" s="5"/>
    </row>
    <row r="29" spans="2:129" s="4" customFormat="1" x14ac:dyDescent="0.25">
      <c r="B29" s="4" t="s">
        <v>33</v>
      </c>
      <c r="H29" s="4">
        <f>+H19/H7</f>
        <v>7.0542982930988873E-2</v>
      </c>
      <c r="I29" s="4">
        <f>+I19/I7</f>
        <v>7.5036165550555006E-2</v>
      </c>
      <c r="T29" s="4" t="s">
        <v>34</v>
      </c>
      <c r="U29" s="4">
        <v>0.12</v>
      </c>
    </row>
    <row r="30" spans="2:129" s="4" customFormat="1" x14ac:dyDescent="0.25">
      <c r="B30" s="4" t="s">
        <v>25</v>
      </c>
      <c r="H30" s="4">
        <f>+H27/H7</f>
        <v>4.835917469246178E-2</v>
      </c>
      <c r="I30" s="4">
        <f>+I27/I7</f>
        <v>4.8378518288257434E-2</v>
      </c>
      <c r="T30" s="4" t="s">
        <v>35</v>
      </c>
      <c r="U30" s="4">
        <v>-0.01</v>
      </c>
    </row>
    <row r="31" spans="2:129" x14ac:dyDescent="0.25">
      <c r="T31" s="2" t="s">
        <v>36</v>
      </c>
      <c r="U31" s="2">
        <f>NPV(U29,J27:DY27)</f>
        <v>364304.44513031113</v>
      </c>
    </row>
    <row r="32" spans="2:129" x14ac:dyDescent="0.25">
      <c r="B32" s="2" t="s">
        <v>26</v>
      </c>
      <c r="H32" s="2">
        <v>4981970.74</v>
      </c>
      <c r="I32" s="2">
        <v>11724007.68</v>
      </c>
      <c r="T32" s="2" t="s">
        <v>37</v>
      </c>
      <c r="U32" s="2">
        <f>+I36/1000-I38/1000</f>
        <v>4259.1253699999997</v>
      </c>
    </row>
    <row r="33" spans="2:21" x14ac:dyDescent="0.25">
      <c r="B33" s="2" t="s">
        <v>27</v>
      </c>
      <c r="H33" s="2">
        <v>1168336.8</v>
      </c>
      <c r="I33" s="2">
        <v>1430097.96</v>
      </c>
      <c r="T33" s="2" t="s">
        <v>38</v>
      </c>
      <c r="U33" s="2">
        <f>+U31+U32</f>
        <v>368563.57050031115</v>
      </c>
    </row>
    <row r="34" spans="2:21" x14ac:dyDescent="0.25">
      <c r="B34" s="2" t="s">
        <v>28</v>
      </c>
      <c r="H34" s="2">
        <f>+H32-H33</f>
        <v>3813633.9400000004</v>
      </c>
      <c r="I34" s="2">
        <f>+I32-I33</f>
        <v>10293909.719999999</v>
      </c>
      <c r="T34" s="2" t="s">
        <v>39</v>
      </c>
      <c r="U34" s="2">
        <v>17940</v>
      </c>
    </row>
    <row r="35" spans="2:21" x14ac:dyDescent="0.25">
      <c r="T35" s="2" t="s">
        <v>40</v>
      </c>
      <c r="U35" s="2">
        <f>+U33/U34</f>
        <v>20.544234699013998</v>
      </c>
    </row>
    <row r="36" spans="2:21" x14ac:dyDescent="0.25">
      <c r="B36" s="2" t="s">
        <v>29</v>
      </c>
      <c r="H36" s="2">
        <v>13481864.699999999</v>
      </c>
      <c r="I36" s="2">
        <v>12565211.34</v>
      </c>
    </row>
    <row r="37" spans="2:21" x14ac:dyDescent="0.25">
      <c r="B37" s="2" t="s">
        <v>30</v>
      </c>
      <c r="H37" s="2">
        <v>14736348.18</v>
      </c>
      <c r="I37" s="2">
        <v>14777579.1</v>
      </c>
    </row>
    <row r="38" spans="2:21" x14ac:dyDescent="0.25">
      <c r="B38" s="2" t="s">
        <v>31</v>
      </c>
      <c r="H38" s="2">
        <v>6333442.7199999997</v>
      </c>
      <c r="I38" s="2">
        <v>8306085.9699999997</v>
      </c>
    </row>
    <row r="39" spans="2:21" x14ac:dyDescent="0.25">
      <c r="B39" s="2" t="s">
        <v>32</v>
      </c>
      <c r="H39" s="2">
        <f>+H36+H37-H38</f>
        <v>21884770.16</v>
      </c>
      <c r="I39" s="2">
        <f>+I36+I37-I38</f>
        <v>19036704.469999999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2024-12-07T16:42:11Z</dcterms:created>
  <dcterms:modified xsi:type="dcterms:W3CDTF">2026-02-05T17:17:11Z</dcterms:modified>
</cp:coreProperties>
</file>