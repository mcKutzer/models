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ckut\Desktop\Stonks\Analysis\"/>
    </mc:Choice>
  </mc:AlternateContent>
  <xr:revisionPtr revIDLastSave="0" documentId="13_ncr:1_{48CF4C09-0C3E-41B2-BB9C-60C1A1CC5352}" xr6:coauthVersionLast="47" xr6:coauthVersionMax="47" xr10:uidLastSave="{00000000-0000-0000-0000-000000000000}"/>
  <bookViews>
    <workbookView xWindow="-120" yWindow="-120" windowWidth="29040" windowHeight="15840" xr2:uid="{C1ED3A7C-A80A-4F81-B361-E2DA74384273}"/>
  </bookViews>
  <sheets>
    <sheet name="Sheet1" sheetId="1" r:id="rId1"/>
  </sheets>
  <definedNames>
    <definedName name="TR">Sheet1!$AB$56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69" i="1" l="1"/>
  <c r="D48" i="1"/>
  <c r="D46" i="1"/>
  <c r="D45" i="1"/>
  <c r="D44" i="1"/>
  <c r="D42" i="1"/>
  <c r="D41" i="1"/>
  <c r="D40" i="1"/>
  <c r="D39" i="1"/>
  <c r="D38" i="1"/>
  <c r="D37" i="1"/>
  <c r="D36" i="1"/>
  <c r="D34" i="1"/>
  <c r="D33" i="1"/>
  <c r="E35" i="1"/>
  <c r="E43" i="1" s="1"/>
  <c r="E47" i="1" s="1"/>
  <c r="E49" i="1" s="1"/>
  <c r="C35" i="1"/>
  <c r="C43" i="1" s="1"/>
  <c r="C47" i="1" s="1"/>
  <c r="C49" i="1" s="1"/>
  <c r="T29" i="1"/>
  <c r="D35" i="1" l="1"/>
  <c r="D43" i="1" s="1"/>
  <c r="D47" i="1" s="1"/>
  <c r="D49" i="1" s="1"/>
  <c r="Q24" i="1"/>
  <c r="R24" i="1" s="1"/>
  <c r="S24" i="1" s="1"/>
  <c r="T24" i="1" s="1"/>
  <c r="Q45" i="1"/>
  <c r="R45" i="1" s="1"/>
  <c r="S45" i="1" s="1"/>
  <c r="T45" i="1" s="1"/>
  <c r="U45" i="1" s="1"/>
  <c r="V45" i="1" s="1"/>
  <c r="W45" i="1" s="1"/>
  <c r="X45" i="1" s="1"/>
  <c r="Y45" i="1" s="1"/>
  <c r="Q44" i="1"/>
  <c r="R44" i="1" s="1"/>
  <c r="S44" i="1" s="1"/>
  <c r="T44" i="1" s="1"/>
  <c r="U44" i="1" s="1"/>
  <c r="V44" i="1" s="1"/>
  <c r="W44" i="1" s="1"/>
  <c r="X44" i="1" s="1"/>
  <c r="Y44" i="1" s="1"/>
  <c r="Q36" i="1"/>
  <c r="R36" i="1" s="1"/>
  <c r="S36" i="1" s="1"/>
  <c r="T36" i="1" s="1"/>
  <c r="U36" i="1" s="1"/>
  <c r="V36" i="1" s="1"/>
  <c r="W36" i="1" s="1"/>
  <c r="X36" i="1" s="1"/>
  <c r="Y36" i="1" s="1"/>
  <c r="N16" i="1"/>
  <c r="M16" i="1"/>
  <c r="L16" i="1"/>
  <c r="O29" i="1"/>
  <c r="O30" i="1"/>
  <c r="P30" i="1"/>
  <c r="Q30" i="1" s="1"/>
  <c r="P29" i="1"/>
  <c r="Q29" i="1" s="1"/>
  <c r="R29" i="1" s="1"/>
  <c r="S29" i="1" s="1"/>
  <c r="U29" i="1" s="1"/>
  <c r="V29" i="1" s="1"/>
  <c r="W29" i="1" s="1"/>
  <c r="X29" i="1" s="1"/>
  <c r="Y29" i="1" s="1"/>
  <c r="L24" i="1"/>
  <c r="M24" i="1"/>
  <c r="N24" i="1"/>
  <c r="N21" i="1"/>
  <c r="L21" i="1"/>
  <c r="M21" i="1"/>
  <c r="L33" i="1"/>
  <c r="P60" i="1"/>
  <c r="O60" i="1"/>
  <c r="O70" i="1"/>
  <c r="O69" i="1"/>
  <c r="P70" i="1"/>
  <c r="P69" i="1"/>
  <c r="P72" i="1" s="1"/>
  <c r="N56" i="1"/>
  <c r="O56" i="1"/>
  <c r="P56" i="1"/>
  <c r="M35" i="1"/>
  <c r="M43" i="1" s="1"/>
  <c r="M47" i="1" s="1"/>
  <c r="M49" i="1" s="1"/>
  <c r="N35" i="1"/>
  <c r="N43" i="1" s="1"/>
  <c r="N47" i="1" s="1"/>
  <c r="N49" i="1" s="1"/>
  <c r="O35" i="1"/>
  <c r="O43" i="1" s="1"/>
  <c r="O47" i="1" s="1"/>
  <c r="P35" i="1"/>
  <c r="P53" i="1" s="1"/>
  <c r="O2" i="1"/>
  <c r="N2" i="1" s="1"/>
  <c r="M2" i="1" s="1"/>
  <c r="Q2" i="1"/>
  <c r="R2" i="1" s="1"/>
  <c r="S2" i="1" s="1"/>
  <c r="T2" i="1" s="1"/>
  <c r="U2" i="1" s="1"/>
  <c r="V2" i="1" s="1"/>
  <c r="W2" i="1" s="1"/>
  <c r="X2" i="1" s="1"/>
  <c r="Y2" i="1" s="1"/>
  <c r="Q16" i="1" l="1"/>
  <c r="U24" i="1"/>
  <c r="V24" i="1" s="1"/>
  <c r="Q19" i="1"/>
  <c r="R30" i="1"/>
  <c r="O71" i="1"/>
  <c r="L29" i="1"/>
  <c r="M29" i="1"/>
  <c r="N29" i="1"/>
  <c r="P74" i="1"/>
  <c r="O74" i="1"/>
  <c r="O72" i="1"/>
  <c r="P71" i="1"/>
  <c r="O49" i="1"/>
  <c r="O54" i="1" s="1"/>
  <c r="P43" i="1"/>
  <c r="P47" i="1" s="1"/>
  <c r="P49" i="1" s="1"/>
  <c r="N54" i="1"/>
  <c r="M54" i="1"/>
  <c r="O53" i="1"/>
  <c r="M53" i="1"/>
  <c r="N53" i="1"/>
  <c r="P54" i="1" l="1"/>
  <c r="P50" i="1"/>
  <c r="Q33" i="1"/>
  <c r="Q38" i="1" s="1"/>
  <c r="W24" i="1"/>
  <c r="X24" i="1" s="1"/>
  <c r="Y24" i="1" s="1"/>
  <c r="Y16" i="1" s="1"/>
  <c r="R16" i="1"/>
  <c r="T16" i="1"/>
  <c r="S16" i="1"/>
  <c r="U16" i="1"/>
  <c r="V16" i="1"/>
  <c r="W16" i="1"/>
  <c r="Q37" i="1"/>
  <c r="Q56" i="1"/>
  <c r="S30" i="1"/>
  <c r="R19" i="1"/>
  <c r="Q34" i="1" l="1"/>
  <c r="Q35" i="1" s="1"/>
  <c r="X16" i="1"/>
  <c r="R33" i="1"/>
  <c r="R38" i="1" s="1"/>
  <c r="T30" i="1"/>
  <c r="S19" i="1"/>
  <c r="S33" i="1" s="1"/>
  <c r="Q43" i="1"/>
  <c r="Q47" i="1" s="1"/>
  <c r="Q49" i="1" s="1"/>
  <c r="Q50" i="1" s="1"/>
  <c r="Q53" i="1"/>
  <c r="R37" i="1" l="1"/>
  <c r="R56" i="1"/>
  <c r="R34" i="1"/>
  <c r="R35" i="1" s="1"/>
  <c r="R53" i="1" s="1"/>
  <c r="S37" i="1"/>
  <c r="S56" i="1"/>
  <c r="S38" i="1"/>
  <c r="S34" i="1"/>
  <c r="S35" i="1" s="1"/>
  <c r="Q54" i="1"/>
  <c r="U30" i="1"/>
  <c r="T19" i="1"/>
  <c r="T33" i="1" s="1"/>
  <c r="R43" i="1" l="1"/>
  <c r="R47" i="1" s="1"/>
  <c r="R49" i="1" s="1"/>
  <c r="R54" i="1" s="1"/>
  <c r="S43" i="1"/>
  <c r="S47" i="1" s="1"/>
  <c r="S49" i="1" s="1"/>
  <c r="S50" i="1" s="1"/>
  <c r="S53" i="1"/>
  <c r="T37" i="1"/>
  <c r="T56" i="1"/>
  <c r="T38" i="1"/>
  <c r="T34" i="1"/>
  <c r="T35" i="1" s="1"/>
  <c r="V30" i="1"/>
  <c r="U19" i="1"/>
  <c r="U33" i="1" s="1"/>
  <c r="R50" i="1" l="1"/>
  <c r="T53" i="1"/>
  <c r="T43" i="1"/>
  <c r="T47" i="1" s="1"/>
  <c r="T49" i="1" s="1"/>
  <c r="W30" i="1"/>
  <c r="V19" i="1"/>
  <c r="V33" i="1" s="1"/>
  <c r="U37" i="1"/>
  <c r="U56" i="1"/>
  <c r="U38" i="1"/>
  <c r="U34" i="1"/>
  <c r="U35" i="1" s="1"/>
  <c r="S54" i="1"/>
  <c r="T54" i="1" l="1"/>
  <c r="T50" i="1"/>
  <c r="U43" i="1"/>
  <c r="U47" i="1" s="1"/>
  <c r="U49" i="1" s="1"/>
  <c r="U50" i="1" s="1"/>
  <c r="U53" i="1"/>
  <c r="V37" i="1"/>
  <c r="V56" i="1"/>
  <c r="V38" i="1"/>
  <c r="V34" i="1"/>
  <c r="V35" i="1" s="1"/>
  <c r="X30" i="1"/>
  <c r="W19" i="1"/>
  <c r="W33" i="1" s="1"/>
  <c r="V43" i="1" l="1"/>
  <c r="V47" i="1" s="1"/>
  <c r="V49" i="1" s="1"/>
  <c r="V53" i="1"/>
  <c r="Y30" i="1"/>
  <c r="Y19" i="1" s="1"/>
  <c r="Y33" i="1" s="1"/>
  <c r="X19" i="1"/>
  <c r="X33" i="1" s="1"/>
  <c r="W37" i="1"/>
  <c r="W56" i="1"/>
  <c r="W38" i="1"/>
  <c r="W34" i="1"/>
  <c r="W35" i="1" s="1"/>
  <c r="U54" i="1"/>
  <c r="V54" i="1" l="1"/>
  <c r="V50" i="1"/>
  <c r="W43" i="1"/>
  <c r="W47" i="1" s="1"/>
  <c r="W49" i="1" s="1"/>
  <c r="W50" i="1" s="1"/>
  <c r="W53" i="1"/>
  <c r="X34" i="1"/>
  <c r="X35" i="1" s="1"/>
  <c r="X37" i="1"/>
  <c r="X56" i="1"/>
  <c r="X38" i="1"/>
  <c r="Y34" i="1"/>
  <c r="Y35" i="1" s="1"/>
  <c r="Y37" i="1"/>
  <c r="Y56" i="1"/>
  <c r="Y38" i="1"/>
  <c r="Y53" i="1" l="1"/>
  <c r="Y43" i="1"/>
  <c r="Y47" i="1" s="1"/>
  <c r="Y49" i="1" s="1"/>
  <c r="Y50" i="1" s="1"/>
  <c r="X53" i="1"/>
  <c r="X43" i="1"/>
  <c r="X47" i="1" s="1"/>
  <c r="X49" i="1" s="1"/>
  <c r="W54" i="1"/>
  <c r="X54" i="1" l="1"/>
  <c r="X50" i="1"/>
  <c r="Y54" i="1"/>
  <c r="Z49" i="1"/>
  <c r="AA49" i="1" l="1"/>
  <c r="AB49" i="1" s="1"/>
  <c r="AC49" i="1" s="1"/>
  <c r="AD49" i="1" s="1"/>
  <c r="AE49" i="1" s="1"/>
  <c r="AF49" i="1" s="1"/>
  <c r="AG49" i="1" s="1"/>
  <c r="AH49" i="1" s="1"/>
  <c r="AI49" i="1" s="1"/>
  <c r="AJ49" i="1" s="1"/>
  <c r="AK49" i="1" s="1"/>
  <c r="AL49" i="1" s="1"/>
  <c r="AM49" i="1" s="1"/>
  <c r="AN49" i="1" s="1"/>
  <c r="AO49" i="1" s="1"/>
  <c r="AP49" i="1" s="1"/>
  <c r="AQ49" i="1" s="1"/>
  <c r="AR49" i="1" s="1"/>
  <c r="AS49" i="1" s="1"/>
  <c r="AT49" i="1" s="1"/>
  <c r="AU49" i="1" s="1"/>
  <c r="AV49" i="1" s="1"/>
  <c r="AW49" i="1" s="1"/>
  <c r="AX49" i="1" s="1"/>
  <c r="AY49" i="1" s="1"/>
  <c r="AZ49" i="1" s="1"/>
  <c r="BA49" i="1" s="1"/>
  <c r="BB49" i="1" s="1"/>
  <c r="BC49" i="1" s="1"/>
  <c r="BD49" i="1" s="1"/>
  <c r="BE49" i="1" s="1"/>
  <c r="BF49" i="1" s="1"/>
  <c r="BG49" i="1" s="1"/>
  <c r="BH49" i="1" s="1"/>
  <c r="BI49" i="1" s="1"/>
  <c r="BJ49" i="1" s="1"/>
  <c r="BK49" i="1" s="1"/>
  <c r="BL49" i="1" s="1"/>
  <c r="BM49" i="1" s="1"/>
  <c r="BN49" i="1" s="1"/>
  <c r="BO49" i="1" s="1"/>
  <c r="BP49" i="1" s="1"/>
  <c r="BQ49" i="1" s="1"/>
  <c r="BR49" i="1" s="1"/>
  <c r="BS49" i="1" s="1"/>
  <c r="BT49" i="1" s="1"/>
  <c r="BU49" i="1" s="1"/>
  <c r="BV49" i="1" s="1"/>
  <c r="BW49" i="1" s="1"/>
  <c r="BX49" i="1" s="1"/>
  <c r="BY49" i="1" s="1"/>
  <c r="BZ49" i="1" s="1"/>
  <c r="CA49" i="1" s="1"/>
  <c r="CB49" i="1" s="1"/>
  <c r="CC49" i="1" s="1"/>
  <c r="CD49" i="1" s="1"/>
  <c r="CE49" i="1" s="1"/>
  <c r="CF49" i="1" s="1"/>
  <c r="CG49" i="1" s="1"/>
  <c r="CH49" i="1" s="1"/>
  <c r="CI49" i="1" s="1"/>
  <c r="CJ49" i="1" s="1"/>
  <c r="CK49" i="1" s="1"/>
  <c r="CL49" i="1" s="1"/>
  <c r="CM49" i="1" s="1"/>
  <c r="CN49" i="1" s="1"/>
  <c r="CO49" i="1" s="1"/>
  <c r="CP49" i="1" s="1"/>
  <c r="CQ49" i="1" s="1"/>
  <c r="CR49" i="1" s="1"/>
  <c r="CS49" i="1" s="1"/>
  <c r="CT49" i="1" s="1"/>
  <c r="CU49" i="1" s="1"/>
  <c r="CV49" i="1" s="1"/>
  <c r="CW49" i="1" s="1"/>
  <c r="CX49" i="1" s="1"/>
  <c r="CY49" i="1" s="1"/>
  <c r="CZ49" i="1" s="1"/>
  <c r="AB57" i="1" l="1"/>
  <c r="AB58" i="1" s="1"/>
</calcChain>
</file>

<file path=xl/sharedStrings.xml><?xml version="1.0" encoding="utf-8"?>
<sst xmlns="http://schemas.openxmlformats.org/spreadsheetml/2006/main" count="69" uniqueCount="60">
  <si>
    <t>Revenue</t>
  </si>
  <si>
    <t>COGS</t>
  </si>
  <si>
    <t>Gross Profit</t>
  </si>
  <si>
    <t>R&amp;D</t>
  </si>
  <si>
    <t>Selling</t>
  </si>
  <si>
    <t>G&amp;A</t>
  </si>
  <si>
    <t>Other Income</t>
  </si>
  <si>
    <t>Other Expense</t>
  </si>
  <si>
    <t>Equity, net</t>
  </si>
  <si>
    <t>Pretax</t>
  </si>
  <si>
    <t>Taxes</t>
  </si>
  <si>
    <t>Net Income</t>
  </si>
  <si>
    <t>Gross Margin</t>
  </si>
  <si>
    <t>Net Margin</t>
  </si>
  <si>
    <t>Revenue Y/Y</t>
  </si>
  <si>
    <t>Cash</t>
  </si>
  <si>
    <t>AR</t>
  </si>
  <si>
    <t>Inventory</t>
  </si>
  <si>
    <t>Finance</t>
  </si>
  <si>
    <t>PP&amp;E</t>
  </si>
  <si>
    <t>NAV</t>
  </si>
  <si>
    <t>Venture</t>
  </si>
  <si>
    <t>EBIT</t>
  </si>
  <si>
    <t>Interest Income</t>
  </si>
  <si>
    <t>Interest Expense</t>
  </si>
  <si>
    <t>Other Finance</t>
  </si>
  <si>
    <t>Debt</t>
  </si>
  <si>
    <t>Liabilites</t>
  </si>
  <si>
    <t>CFFO</t>
  </si>
  <si>
    <t>CapEx</t>
  </si>
  <si>
    <t>FCF</t>
  </si>
  <si>
    <t>Net Cash</t>
  </si>
  <si>
    <t>Cost of Debt</t>
  </si>
  <si>
    <t>Equity</t>
  </si>
  <si>
    <t>Classic</t>
  </si>
  <si>
    <t>Green</t>
  </si>
  <si>
    <t>Absatz</t>
  </si>
  <si>
    <t>Compact Engines</t>
  </si>
  <si>
    <t>Customized Solutions</t>
  </si>
  <si>
    <t>Rev/Einheit Classic</t>
  </si>
  <si>
    <t>Rev/Einheit Green</t>
  </si>
  <si>
    <t>Discount</t>
  </si>
  <si>
    <t>Terminal</t>
  </si>
  <si>
    <t>NPV</t>
  </si>
  <si>
    <t>EPS</t>
  </si>
  <si>
    <t>Shares</t>
  </si>
  <si>
    <t>Price</t>
  </si>
  <si>
    <t>EMEA</t>
  </si>
  <si>
    <t>Asia Pacific</t>
  </si>
  <si>
    <t>Americas</t>
  </si>
  <si>
    <t>Baumaschinen</t>
  </si>
  <si>
    <t>Material Handling</t>
  </si>
  <si>
    <t>Landtechnik</t>
  </si>
  <si>
    <t>Stationäre Anlagen</t>
  </si>
  <si>
    <t>Service</t>
  </si>
  <si>
    <t>Sonstige/Marine</t>
  </si>
  <si>
    <t>H1 23</t>
  </si>
  <si>
    <t>H2 23</t>
  </si>
  <si>
    <t>H1 24</t>
  </si>
  <si>
    <t>H2 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</si>
</sst>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#,##0.0"/>
    <numFmt numFmtId="166" formatCode="#,##0.0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">
    <xf numFmtId="0" fontId="0" fillId="0" borderId="0" xfId="0"/>
    <xf numFmtId="3" fontId="0" fillId="0" borderId="0" xfId="0" applyNumberFormat="1"/>
    <xf numFmtId="3" fontId="2" fillId="0" borderId="0" xfId="0" applyNumberFormat="1" applyFont="1"/>
    <xf numFmtId="9" fontId="0" fillId="0" borderId="0" xfId="1" applyFont="1"/>
    <xf numFmtId="164" fontId="0" fillId="0" borderId="0" xfId="1" applyNumberFormat="1" applyFont="1"/>
    <xf numFmtId="3" fontId="0" fillId="0" borderId="0" xfId="1" applyNumberFormat="1" applyFont="1"/>
    <xf numFmtId="3" fontId="2" fillId="0" borderId="0" xfId="1" applyNumberFormat="1" applyFont="1"/>
    <xf numFmtId="165" fontId="0" fillId="0" borderId="0" xfId="0" applyNumberFormat="1"/>
    <xf numFmtId="166" fontId="0" fillId="0" borderId="0" xfId="0" applyNumberFormat="1"/>
    <xf numFmtId="4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0</xdr:colOff>
      <xdr:row>15</xdr:row>
      <xdr:rowOff>0</xdr:rowOff>
    </xdr:from>
    <xdr:to>
      <xdr:col>16</xdr:col>
      <xdr:colOff>0</xdr:colOff>
      <xdr:row>72</xdr:row>
      <xdr:rowOff>7327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9EAD3748-4DA4-EC79-5C76-22E4FD458240}"/>
            </a:ext>
          </a:extLst>
        </xdr:cNvPr>
        <xdr:cNvCxnSpPr/>
      </xdr:nvCxnSpPr>
      <xdr:spPr>
        <a:xfrm>
          <a:off x="10103069" y="571500"/>
          <a:ext cx="0" cy="1048482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5A541-1A4A-4B2E-BB83-C3A906C91DEC}">
  <dimension ref="A2:CZ100"/>
  <sheetViews>
    <sheetView tabSelected="1" zoomScale="145" zoomScaleNormal="145" workbookViewId="0">
      <pane xSplit="2" ySplit="2" topLeftCell="M42" activePane="bottomRight" state="frozen"/>
      <selection pane="topRight" activeCell="C1" sqref="C1"/>
      <selection pane="bottomLeft" activeCell="A3" sqref="A3"/>
      <selection pane="bottomRight" activeCell="AA58" sqref="AA58:AB58"/>
    </sheetView>
  </sheetViews>
  <sheetFormatPr defaultRowHeight="15" x14ac:dyDescent="0.25"/>
  <cols>
    <col min="1" max="1" width="2.85546875" customWidth="1"/>
    <col min="2" max="2" width="20.42578125" bestFit="1" customWidth="1"/>
  </cols>
  <sheetData>
    <row r="2" spans="2:25" x14ac:dyDescent="0.25">
      <c r="C2" t="s">
        <v>56</v>
      </c>
      <c r="D2" t="s">
        <v>57</v>
      </c>
      <c r="E2" t="s">
        <v>58</v>
      </c>
      <c r="F2" t="s">
        <v>59</v>
      </c>
      <c r="M2">
        <f t="shared" ref="M2:N2" si="0">+N2-1</f>
        <v>2020</v>
      </c>
      <c r="N2">
        <f t="shared" si="0"/>
        <v>2021</v>
      </c>
      <c r="O2">
        <f>+P2-1</f>
        <v>2022</v>
      </c>
      <c r="P2">
        <v>2023</v>
      </c>
      <c r="Q2">
        <f>+P2+1</f>
        <v>2024</v>
      </c>
      <c r="R2">
        <f t="shared" ref="R2:X2" si="1">+Q2+1</f>
        <v>2025</v>
      </c>
      <c r="S2">
        <f t="shared" si="1"/>
        <v>2026</v>
      </c>
      <c r="T2">
        <f t="shared" si="1"/>
        <v>2027</v>
      </c>
      <c r="U2">
        <f t="shared" si="1"/>
        <v>2028</v>
      </c>
      <c r="V2">
        <f t="shared" si="1"/>
        <v>2029</v>
      </c>
      <c r="W2">
        <f t="shared" si="1"/>
        <v>2030</v>
      </c>
      <c r="X2">
        <f t="shared" si="1"/>
        <v>2031</v>
      </c>
      <c r="Y2">
        <f>+X2+1</f>
        <v>2032</v>
      </c>
    </row>
    <row r="3" spans="2:25" s="1" customFormat="1" x14ac:dyDescent="0.25"/>
    <row r="4" spans="2:25" s="1" customFormat="1" x14ac:dyDescent="0.25">
      <c r="B4" s="1" t="s">
        <v>47</v>
      </c>
      <c r="O4" s="1">
        <v>1170.5</v>
      </c>
      <c r="P4" s="1">
        <v>1252.5999999999999</v>
      </c>
    </row>
    <row r="5" spans="2:25" s="1" customFormat="1" x14ac:dyDescent="0.25">
      <c r="B5" s="1" t="s">
        <v>49</v>
      </c>
      <c r="O5" s="1">
        <v>419.6</v>
      </c>
      <c r="P5" s="1">
        <v>504</v>
      </c>
    </row>
    <row r="6" spans="2:25" s="1" customFormat="1" x14ac:dyDescent="0.25">
      <c r="B6" s="1" t="s">
        <v>48</v>
      </c>
      <c r="O6" s="1">
        <v>302</v>
      </c>
      <c r="P6" s="1">
        <v>306.60000000000002</v>
      </c>
    </row>
    <row r="7" spans="2:25" s="1" customFormat="1" x14ac:dyDescent="0.25"/>
    <row r="8" spans="2:25" s="1" customFormat="1" x14ac:dyDescent="0.25">
      <c r="B8" s="2" t="s">
        <v>0</v>
      </c>
      <c r="C8" s="2"/>
      <c r="E8" s="2"/>
    </row>
    <row r="9" spans="2:25" s="1" customFormat="1" x14ac:dyDescent="0.25">
      <c r="B9" s="1" t="s">
        <v>50</v>
      </c>
      <c r="C9" s="1">
        <v>286.60000000000002</v>
      </c>
      <c r="E9" s="1">
        <v>211.6</v>
      </c>
      <c r="O9" s="1">
        <v>577</v>
      </c>
      <c r="P9" s="1">
        <v>586.1</v>
      </c>
    </row>
    <row r="10" spans="2:25" s="1" customFormat="1" x14ac:dyDescent="0.25">
      <c r="B10" s="1" t="s">
        <v>51</v>
      </c>
      <c r="C10" s="1">
        <v>215.2</v>
      </c>
      <c r="E10" s="1">
        <v>234.9</v>
      </c>
      <c r="O10" s="1">
        <v>355.4</v>
      </c>
      <c r="P10" s="1">
        <v>467.9</v>
      </c>
    </row>
    <row r="11" spans="2:25" s="1" customFormat="1" x14ac:dyDescent="0.25">
      <c r="B11" s="1" t="s">
        <v>52</v>
      </c>
      <c r="C11" s="1">
        <v>135.80000000000001</v>
      </c>
      <c r="E11" s="1">
        <v>92</v>
      </c>
      <c r="O11" s="1">
        <v>275.3</v>
      </c>
      <c r="P11" s="1">
        <v>272.3</v>
      </c>
    </row>
    <row r="12" spans="2:25" s="1" customFormat="1" x14ac:dyDescent="0.25">
      <c r="B12" s="1" t="s">
        <v>53</v>
      </c>
      <c r="C12" s="1">
        <v>89.9</v>
      </c>
      <c r="E12" s="1">
        <v>56.2</v>
      </c>
      <c r="O12" s="1">
        <v>179.7</v>
      </c>
      <c r="P12" s="1">
        <v>184.8</v>
      </c>
    </row>
    <row r="13" spans="2:25" s="1" customFormat="1" x14ac:dyDescent="0.25">
      <c r="B13" s="1" t="s">
        <v>54</v>
      </c>
      <c r="C13" s="1">
        <v>237.5</v>
      </c>
      <c r="E13" s="1">
        <v>252.9</v>
      </c>
      <c r="O13" s="1">
        <v>449.8</v>
      </c>
      <c r="P13" s="1">
        <v>483.8</v>
      </c>
    </row>
    <row r="14" spans="2:25" s="1" customFormat="1" x14ac:dyDescent="0.25">
      <c r="B14" s="1" t="s">
        <v>55</v>
      </c>
      <c r="C14" s="1">
        <v>36.200000000000003</v>
      </c>
      <c r="E14" s="1">
        <v>27.9</v>
      </c>
      <c r="O14" s="1">
        <v>54.9</v>
      </c>
      <c r="P14" s="1">
        <v>68.3</v>
      </c>
    </row>
    <row r="15" spans="2:25" s="1" customFormat="1" x14ac:dyDescent="0.25"/>
    <row r="16" spans="2:25" s="2" customFormat="1" x14ac:dyDescent="0.25">
      <c r="B16" s="2" t="s">
        <v>34</v>
      </c>
      <c r="L16" s="2">
        <f>+SUM(L17:L18)</f>
        <v>1486.6</v>
      </c>
      <c r="M16" s="2">
        <f>+SUM(M17:M18)</f>
        <v>1253.9000000000001</v>
      </c>
      <c r="N16" s="2">
        <f>+SUM(N17:N18)</f>
        <v>1563.6000000000001</v>
      </c>
      <c r="O16" s="2">
        <v>1889.4</v>
      </c>
      <c r="P16" s="2">
        <v>2058.1999999999998</v>
      </c>
      <c r="Q16" s="2">
        <f>+Q24*Q29/1000</f>
        <v>2013.9487000000001</v>
      </c>
      <c r="R16" s="2">
        <f t="shared" ref="R16:Y16" si="2">+R24*R29/1000</f>
        <v>2219.5728622700003</v>
      </c>
      <c r="S16" s="2">
        <f t="shared" si="2"/>
        <v>2354.7448495822432</v>
      </c>
      <c r="T16" s="2">
        <f t="shared" si="2"/>
        <v>2498.1488109218017</v>
      </c>
      <c r="U16" s="2">
        <f t="shared" si="2"/>
        <v>2650.2860735069398</v>
      </c>
      <c r="V16" s="2">
        <f t="shared" si="2"/>
        <v>2811.6884953835129</v>
      </c>
      <c r="W16" s="2">
        <f t="shared" si="2"/>
        <v>2953.9599332499183</v>
      </c>
      <c r="X16" s="2">
        <f t="shared" si="2"/>
        <v>3103.4303058723644</v>
      </c>
      <c r="Y16" s="2">
        <f t="shared" si="2"/>
        <v>3260.463879349506</v>
      </c>
    </row>
    <row r="17" spans="1:25" s="1" customFormat="1" x14ac:dyDescent="0.25">
      <c r="A17" s="1" t="s">
        <v>0</v>
      </c>
      <c r="B17" s="1" t="s">
        <v>37</v>
      </c>
      <c r="L17" s="1">
        <v>1106</v>
      </c>
      <c r="M17" s="1">
        <v>943.8</v>
      </c>
      <c r="N17" s="1">
        <v>1243.4000000000001</v>
      </c>
    </row>
    <row r="18" spans="1:25" s="1" customFormat="1" x14ac:dyDescent="0.25">
      <c r="B18" s="1" t="s">
        <v>38</v>
      </c>
      <c r="L18" s="1">
        <v>380.6</v>
      </c>
      <c r="M18" s="1">
        <v>310.10000000000002</v>
      </c>
      <c r="N18" s="1">
        <v>320.2</v>
      </c>
    </row>
    <row r="19" spans="1:25" s="1" customFormat="1" x14ac:dyDescent="0.25">
      <c r="B19" s="1" t="s">
        <v>35</v>
      </c>
      <c r="O19" s="1">
        <v>2.7</v>
      </c>
      <c r="P19" s="1">
        <v>5</v>
      </c>
      <c r="Q19" s="1">
        <f>+Q30*Q27/1000</f>
        <v>10.251256281407038</v>
      </c>
      <c r="R19" s="1">
        <f t="shared" ref="R19:Y19" si="3">+R30*R27/1000</f>
        <v>19.605527638190956</v>
      </c>
      <c r="S19" s="1">
        <f t="shared" si="3"/>
        <v>27.996693467336687</v>
      </c>
      <c r="T19" s="1">
        <f t="shared" si="3"/>
        <v>40.79518190954775</v>
      </c>
      <c r="U19" s="1">
        <f t="shared" si="3"/>
        <v>55.48144739698494</v>
      </c>
      <c r="V19" s="1">
        <f t="shared" si="3"/>
        <v>77.812729974271377</v>
      </c>
      <c r="W19" s="1">
        <f t="shared" si="3"/>
        <v>101.01507127569047</v>
      </c>
      <c r="X19" s="1">
        <f t="shared" si="3"/>
        <v>147.19338957314898</v>
      </c>
      <c r="Y19" s="1">
        <f t="shared" si="3"/>
        <v>195.17843457399556</v>
      </c>
    </row>
    <row r="20" spans="1:25" s="1" customFormat="1" x14ac:dyDescent="0.25">
      <c r="N20" s="3"/>
    </row>
    <row r="21" spans="1:25" s="1" customFormat="1" x14ac:dyDescent="0.25">
      <c r="A21" s="1" t="s">
        <v>22</v>
      </c>
      <c r="B21" s="1" t="s">
        <v>34</v>
      </c>
      <c r="L21" s="1">
        <f>-4.2+29</f>
        <v>24.8</v>
      </c>
      <c r="M21" s="1">
        <f>-80.5+19</f>
        <v>-61.5</v>
      </c>
      <c r="N21" s="1">
        <f>12.4+31</f>
        <v>43.4</v>
      </c>
      <c r="O21" s="1">
        <v>128.1</v>
      </c>
      <c r="P21" s="1">
        <v>180.1</v>
      </c>
    </row>
    <row r="22" spans="1:25" s="1" customFormat="1" x14ac:dyDescent="0.25">
      <c r="B22" s="1" t="s">
        <v>35</v>
      </c>
      <c r="O22" s="1">
        <v>-25.1</v>
      </c>
      <c r="P22" s="1">
        <v>-37.1</v>
      </c>
    </row>
    <row r="23" spans="1:25" s="1" customFormat="1" x14ac:dyDescent="0.25">
      <c r="L23" s="3"/>
      <c r="M23" s="3"/>
      <c r="N23" s="3"/>
      <c r="O23" s="3"/>
      <c r="P23" s="3"/>
    </row>
    <row r="24" spans="1:25" s="2" customFormat="1" x14ac:dyDescent="0.25">
      <c r="B24" s="2" t="s">
        <v>34</v>
      </c>
      <c r="L24" s="2">
        <f>+L25+L26</f>
        <v>159817</v>
      </c>
      <c r="M24" s="2">
        <f>+M25+M26</f>
        <v>121034</v>
      </c>
      <c r="N24" s="2">
        <f>+N25+N26</f>
        <v>160882</v>
      </c>
      <c r="O24" s="2">
        <v>181249</v>
      </c>
      <c r="P24" s="2">
        <v>186718</v>
      </c>
      <c r="Q24" s="2">
        <f>+P24*0.95</f>
        <v>177382.1</v>
      </c>
      <c r="R24" s="2">
        <f>+Q24*1.07</f>
        <v>189798.84700000001</v>
      </c>
      <c r="S24" s="2">
        <f t="shared" ref="S24:V24" si="4">+R24*1.03</f>
        <v>195492.81241000001</v>
      </c>
      <c r="T24" s="2">
        <f t="shared" si="4"/>
        <v>201357.59678230001</v>
      </c>
      <c r="U24" s="2">
        <f t="shared" si="4"/>
        <v>207398.32468576901</v>
      </c>
      <c r="V24" s="2">
        <f t="shared" si="4"/>
        <v>213620.27442634208</v>
      </c>
      <c r="W24" s="2">
        <f>+V24*1.02</f>
        <v>217892.67991486893</v>
      </c>
      <c r="X24" s="2">
        <f>+W24*1.02</f>
        <v>222250.5335131663</v>
      </c>
      <c r="Y24" s="2">
        <f>+X24*1.02</f>
        <v>226695.54418342962</v>
      </c>
    </row>
    <row r="25" spans="1:25" s="1" customFormat="1" x14ac:dyDescent="0.25">
      <c r="A25" s="1" t="s">
        <v>36</v>
      </c>
      <c r="B25" s="1" t="s">
        <v>37</v>
      </c>
      <c r="L25" s="1">
        <v>137781</v>
      </c>
      <c r="M25" s="1">
        <v>102054</v>
      </c>
      <c r="N25" s="1">
        <v>143622</v>
      </c>
    </row>
    <row r="26" spans="1:25" s="1" customFormat="1" x14ac:dyDescent="0.25">
      <c r="B26" s="1" t="s">
        <v>38</v>
      </c>
      <c r="L26" s="1">
        <v>22036</v>
      </c>
      <c r="M26" s="1">
        <v>18980</v>
      </c>
      <c r="N26" s="1">
        <v>17260</v>
      </c>
    </row>
    <row r="27" spans="1:25" s="1" customFormat="1" x14ac:dyDescent="0.25">
      <c r="B27" s="1" t="s">
        <v>35</v>
      </c>
      <c r="O27" s="1">
        <v>19</v>
      </c>
      <c r="P27" s="1">
        <v>398</v>
      </c>
      <c r="Q27" s="1">
        <v>800</v>
      </c>
      <c r="R27" s="1">
        <v>1500</v>
      </c>
      <c r="S27" s="1">
        <v>2100</v>
      </c>
      <c r="T27" s="1">
        <v>3000</v>
      </c>
      <c r="U27" s="1">
        <v>4000</v>
      </c>
      <c r="V27" s="1">
        <v>5500</v>
      </c>
      <c r="W27" s="1">
        <v>7000</v>
      </c>
      <c r="X27" s="1">
        <v>10000</v>
      </c>
      <c r="Y27" s="1">
        <v>13000</v>
      </c>
    </row>
    <row r="28" spans="1:25" s="1" customFormat="1" x14ac:dyDescent="0.25">
      <c r="O28" s="3"/>
      <c r="P28" s="3"/>
    </row>
    <row r="29" spans="1:25" s="1" customFormat="1" x14ac:dyDescent="0.25">
      <c r="B29" s="1" t="s">
        <v>39</v>
      </c>
      <c r="L29" s="7">
        <f t="shared" ref="L29:O29" si="5">+L16*1000/L24</f>
        <v>9.3018890355844501</v>
      </c>
      <c r="M29" s="7">
        <f t="shared" si="5"/>
        <v>10.359898871391509</v>
      </c>
      <c r="N29" s="7">
        <f t="shared" si="5"/>
        <v>9.718924429084673</v>
      </c>
      <c r="O29" s="7">
        <f t="shared" si="5"/>
        <v>10.424333375632417</v>
      </c>
      <c r="P29" s="7">
        <f>+P16*1000/P24</f>
        <v>11.023040092545978</v>
      </c>
      <c r="Q29" s="1">
        <f>+P29*1.03</f>
        <v>11.353731295322358</v>
      </c>
      <c r="R29" s="1">
        <f t="shared" ref="R29:Y29" si="6">+Q29*1.03</f>
        <v>11.69434323418203</v>
      </c>
      <c r="S29" s="1">
        <f t="shared" si="6"/>
        <v>12.045173531207491</v>
      </c>
      <c r="T29" s="1">
        <f>+S29*1.03</f>
        <v>12.406528737143715</v>
      </c>
      <c r="U29" s="1">
        <f t="shared" si="6"/>
        <v>12.778724599258027</v>
      </c>
      <c r="V29" s="1">
        <f t="shared" si="6"/>
        <v>13.162086337235769</v>
      </c>
      <c r="W29" s="1">
        <f t="shared" si="6"/>
        <v>13.556948927352842</v>
      </c>
      <c r="X29" s="1">
        <f t="shared" si="6"/>
        <v>13.963657395173428</v>
      </c>
      <c r="Y29" s="1">
        <f t="shared" si="6"/>
        <v>14.38256711702863</v>
      </c>
    </row>
    <row r="30" spans="1:25" s="1" customFormat="1" x14ac:dyDescent="0.25">
      <c r="B30" s="1" t="s">
        <v>40</v>
      </c>
      <c r="O30" s="1">
        <f t="shared" ref="O30" si="7">+O19*1000/O27</f>
        <v>142.10526315789474</v>
      </c>
      <c r="P30" s="7">
        <f>+P19*1000/P27</f>
        <v>12.562814070351759</v>
      </c>
      <c r="Q30" s="1">
        <f>+P30*1.02</f>
        <v>12.814070351758795</v>
      </c>
      <c r="R30" s="1">
        <f t="shared" ref="R30:Y30" si="8">+Q30*1.02</f>
        <v>13.070351758793972</v>
      </c>
      <c r="S30" s="1">
        <f t="shared" si="8"/>
        <v>13.331758793969852</v>
      </c>
      <c r="T30" s="1">
        <f t="shared" si="8"/>
        <v>13.59839396984925</v>
      </c>
      <c r="U30" s="1">
        <f t="shared" si="8"/>
        <v>13.870361849246235</v>
      </c>
      <c r="V30" s="1">
        <f t="shared" si="8"/>
        <v>14.147769086231159</v>
      </c>
      <c r="W30" s="1">
        <f t="shared" si="8"/>
        <v>14.430724467955782</v>
      </c>
      <c r="X30" s="1">
        <f t="shared" si="8"/>
        <v>14.719338957314898</v>
      </c>
      <c r="Y30" s="1">
        <f t="shared" si="8"/>
        <v>15.013725736461197</v>
      </c>
    </row>
    <row r="31" spans="1:25" s="1" customFormat="1" x14ac:dyDescent="0.25"/>
    <row r="32" spans="1:25" s="1" customFormat="1" x14ac:dyDescent="0.25">
      <c r="M32" s="8"/>
      <c r="N32" s="8"/>
      <c r="O32" s="8"/>
      <c r="P32" s="8"/>
    </row>
    <row r="33" spans="2:25" s="2" customFormat="1" x14ac:dyDescent="0.25">
      <c r="B33" s="2" t="s">
        <v>0</v>
      </c>
      <c r="C33" s="2">
        <v>1001.2</v>
      </c>
      <c r="D33" s="2">
        <f>+P33-C33</f>
        <v>1061.9999999999998</v>
      </c>
      <c r="E33" s="2">
        <v>875.5</v>
      </c>
      <c r="L33" s="2">
        <f>+SUM(L17:L18)</f>
        <v>1486.6</v>
      </c>
      <c r="M33" s="2">
        <v>1295.5999999999999</v>
      </c>
      <c r="N33" s="2">
        <v>1617.3</v>
      </c>
      <c r="O33" s="2">
        <v>1892.1</v>
      </c>
      <c r="P33" s="2">
        <v>2063.1999999999998</v>
      </c>
      <c r="Q33" s="2">
        <f>+Q16+Q19</f>
        <v>2024.1999562814071</v>
      </c>
      <c r="R33" s="2">
        <f t="shared" ref="R33:Y33" si="9">+R16+R19</f>
        <v>2239.1783899081911</v>
      </c>
      <c r="S33" s="2">
        <f t="shared" si="9"/>
        <v>2382.7415430495798</v>
      </c>
      <c r="T33" s="2">
        <f t="shared" si="9"/>
        <v>2538.9439928313495</v>
      </c>
      <c r="U33" s="2">
        <f t="shared" si="9"/>
        <v>2705.7675209039248</v>
      </c>
      <c r="V33" s="2">
        <f t="shared" si="9"/>
        <v>2889.5012253577843</v>
      </c>
      <c r="W33" s="2">
        <f t="shared" si="9"/>
        <v>3054.9750045256087</v>
      </c>
      <c r="X33" s="2">
        <f t="shared" si="9"/>
        <v>3250.6236954455135</v>
      </c>
      <c r="Y33" s="2">
        <f t="shared" si="9"/>
        <v>3455.6423139235017</v>
      </c>
    </row>
    <row r="34" spans="2:25" s="1" customFormat="1" x14ac:dyDescent="0.25">
      <c r="B34" s="1" t="s">
        <v>1</v>
      </c>
      <c r="C34" s="1">
        <v>772.4</v>
      </c>
      <c r="D34" s="1">
        <f>+P34-C34</f>
        <v>844.00000000000011</v>
      </c>
      <c r="E34" s="1">
        <v>667.3</v>
      </c>
      <c r="M34" s="1">
        <v>1105.9000000000001</v>
      </c>
      <c r="N34" s="1">
        <v>1331.7</v>
      </c>
      <c r="O34" s="1">
        <v>1524.5</v>
      </c>
      <c r="P34" s="1">
        <v>1616.4</v>
      </c>
      <c r="Q34" s="1">
        <f>+Q33*0.78</f>
        <v>1578.8759658994977</v>
      </c>
      <c r="R34" s="1">
        <f t="shared" ref="R34:Y34" si="10">+R33*0.78</f>
        <v>1746.5591441283891</v>
      </c>
      <c r="S34" s="1">
        <f t="shared" si="10"/>
        <v>1858.5384035786724</v>
      </c>
      <c r="T34" s="1">
        <f t="shared" si="10"/>
        <v>1980.3763144084528</v>
      </c>
      <c r="U34" s="1">
        <f t="shared" si="10"/>
        <v>2110.4986663050613</v>
      </c>
      <c r="V34" s="1">
        <f t="shared" si="10"/>
        <v>2253.8109557790717</v>
      </c>
      <c r="W34" s="1">
        <f t="shared" si="10"/>
        <v>2382.8805035299747</v>
      </c>
      <c r="X34" s="1">
        <f t="shared" si="10"/>
        <v>2535.4864824475007</v>
      </c>
      <c r="Y34" s="1">
        <f t="shared" si="10"/>
        <v>2695.4010048603313</v>
      </c>
    </row>
    <row r="35" spans="2:25" s="1" customFormat="1" x14ac:dyDescent="0.25">
      <c r="B35" s="1" t="s">
        <v>2</v>
      </c>
      <c r="C35" s="1">
        <f>+C33-C34</f>
        <v>228.80000000000007</v>
      </c>
      <c r="D35" s="1">
        <f>+D33-D34</f>
        <v>217.99999999999966</v>
      </c>
      <c r="E35" s="1">
        <f>+E33-E34</f>
        <v>208.20000000000005</v>
      </c>
      <c r="M35" s="1">
        <f>+M33-M34</f>
        <v>189.69999999999982</v>
      </c>
      <c r="N35" s="1">
        <f>+N33-N34</f>
        <v>285.59999999999991</v>
      </c>
      <c r="O35" s="1">
        <f>+O33-O34</f>
        <v>367.59999999999991</v>
      </c>
      <c r="P35" s="1">
        <f>+P33-P34</f>
        <v>446.79999999999973</v>
      </c>
      <c r="Q35" s="1">
        <f>+Q33-Q34</f>
        <v>445.32399038190943</v>
      </c>
      <c r="R35" s="1">
        <f t="shared" ref="R35:Y35" si="11">+R33-R34</f>
        <v>492.61924577980199</v>
      </c>
      <c r="S35" s="1">
        <f t="shared" si="11"/>
        <v>524.20313947090744</v>
      </c>
      <c r="T35" s="1">
        <f t="shared" si="11"/>
        <v>558.56767842289673</v>
      </c>
      <c r="U35" s="1">
        <f t="shared" si="11"/>
        <v>595.26885459886353</v>
      </c>
      <c r="V35" s="1">
        <f t="shared" si="11"/>
        <v>635.69026957871256</v>
      </c>
      <c r="W35" s="1">
        <f t="shared" si="11"/>
        <v>672.09450099563401</v>
      </c>
      <c r="X35" s="1">
        <f t="shared" si="11"/>
        <v>715.13721299801273</v>
      </c>
      <c r="Y35" s="1">
        <f t="shared" si="11"/>
        <v>760.24130906317032</v>
      </c>
    </row>
    <row r="36" spans="2:25" s="1" customFormat="1" x14ac:dyDescent="0.25">
      <c r="B36" s="1" t="s">
        <v>3</v>
      </c>
      <c r="C36" s="1">
        <v>53.1</v>
      </c>
      <c r="D36" s="1">
        <f t="shared" ref="D36:D42" si="12">+P36-C36</f>
        <v>56.499999999999993</v>
      </c>
      <c r="E36" s="1">
        <v>49.2</v>
      </c>
      <c r="M36" s="1">
        <v>97.7</v>
      </c>
      <c r="N36" s="1">
        <v>90.9</v>
      </c>
      <c r="O36" s="1">
        <v>97.5</v>
      </c>
      <c r="P36" s="1">
        <v>109.6</v>
      </c>
      <c r="Q36" s="1">
        <f>+P36*1.08</f>
        <v>118.36799999999999</v>
      </c>
      <c r="R36" s="1">
        <f t="shared" ref="R36:U36" si="13">+Q36*1.08</f>
        <v>127.83744</v>
      </c>
      <c r="S36" s="1">
        <f t="shared" si="13"/>
        <v>138.06443520000002</v>
      </c>
      <c r="T36" s="1">
        <f t="shared" si="13"/>
        <v>149.10959001600003</v>
      </c>
      <c r="U36" s="1">
        <f t="shared" si="13"/>
        <v>161.03835721728004</v>
      </c>
      <c r="V36" s="1">
        <f>+U36*1.05</f>
        <v>169.09027507814406</v>
      </c>
      <c r="W36" s="1">
        <f t="shared" ref="W36:Y36" si="14">+V36*1.05</f>
        <v>177.54478883205127</v>
      </c>
      <c r="X36" s="1">
        <f t="shared" si="14"/>
        <v>186.42202827365384</v>
      </c>
      <c r="Y36" s="1">
        <f t="shared" si="14"/>
        <v>195.74312968733653</v>
      </c>
    </row>
    <row r="37" spans="2:25" s="1" customFormat="1" x14ac:dyDescent="0.25">
      <c r="B37" s="1" t="s">
        <v>4</v>
      </c>
      <c r="C37" s="1">
        <v>62.7</v>
      </c>
      <c r="D37" s="1">
        <f t="shared" si="12"/>
        <v>67.100000000000009</v>
      </c>
      <c r="E37" s="1">
        <v>67.5</v>
      </c>
      <c r="M37" s="1">
        <v>100.7</v>
      </c>
      <c r="N37" s="1">
        <v>103.2</v>
      </c>
      <c r="O37" s="1">
        <v>112.3</v>
      </c>
      <c r="P37" s="1">
        <v>129.80000000000001</v>
      </c>
      <c r="Q37" s="1">
        <f>+Q33*0.065</f>
        <v>131.57299715829146</v>
      </c>
      <c r="R37" s="1">
        <f t="shared" ref="R37:Y37" si="15">+R33*0.065</f>
        <v>145.54659534403243</v>
      </c>
      <c r="S37" s="1">
        <f t="shared" si="15"/>
        <v>154.87820029822271</v>
      </c>
      <c r="T37" s="1">
        <f t="shared" si="15"/>
        <v>165.03135953403773</v>
      </c>
      <c r="U37" s="1">
        <f t="shared" si="15"/>
        <v>175.87488885875513</v>
      </c>
      <c r="V37" s="1">
        <f t="shared" si="15"/>
        <v>187.81757964825599</v>
      </c>
      <c r="W37" s="1">
        <f t="shared" si="15"/>
        <v>198.57337529416458</v>
      </c>
      <c r="X37" s="1">
        <f t="shared" si="15"/>
        <v>211.29054020395839</v>
      </c>
      <c r="Y37" s="1">
        <f t="shared" si="15"/>
        <v>224.6167504050276</v>
      </c>
    </row>
    <row r="38" spans="2:25" s="1" customFormat="1" x14ac:dyDescent="0.25">
      <c r="B38" s="1" t="s">
        <v>5</v>
      </c>
      <c r="C38" s="1">
        <v>36.6</v>
      </c>
      <c r="D38" s="1">
        <f t="shared" si="12"/>
        <v>40.999999999999993</v>
      </c>
      <c r="E38" s="1">
        <v>53.9</v>
      </c>
      <c r="M38" s="1">
        <v>45.8</v>
      </c>
      <c r="N38" s="1">
        <v>61.6</v>
      </c>
      <c r="O38" s="1">
        <v>59.7</v>
      </c>
      <c r="P38" s="1">
        <v>77.599999999999994</v>
      </c>
      <c r="Q38" s="1">
        <f>+Q33*0.036</f>
        <v>72.871198426130647</v>
      </c>
      <c r="R38" s="1">
        <f t="shared" ref="R38:Y38" si="16">+R33*0.036</f>
        <v>80.610422036694871</v>
      </c>
      <c r="S38" s="1">
        <f t="shared" si="16"/>
        <v>85.778695549784871</v>
      </c>
      <c r="T38" s="1">
        <f t="shared" si="16"/>
        <v>91.401983741928575</v>
      </c>
      <c r="U38" s="1">
        <f t="shared" si="16"/>
        <v>97.40763075254128</v>
      </c>
      <c r="V38" s="1">
        <f t="shared" si="16"/>
        <v>104.02204411288022</v>
      </c>
      <c r="W38" s="1">
        <f t="shared" si="16"/>
        <v>109.97910016292191</v>
      </c>
      <c r="X38" s="1">
        <f t="shared" si="16"/>
        <v>117.02245303603847</v>
      </c>
      <c r="Y38" s="1">
        <f t="shared" si="16"/>
        <v>124.40312330124605</v>
      </c>
    </row>
    <row r="39" spans="2:25" s="1" customFormat="1" x14ac:dyDescent="0.25">
      <c r="B39" s="1" t="s">
        <v>6</v>
      </c>
      <c r="C39" s="1">
        <v>9.1</v>
      </c>
      <c r="D39" s="1">
        <f t="shared" si="12"/>
        <v>14.9</v>
      </c>
      <c r="E39" s="1">
        <v>10.8</v>
      </c>
      <c r="M39" s="1">
        <v>15</v>
      </c>
      <c r="N39" s="1">
        <v>27</v>
      </c>
      <c r="O39" s="1">
        <v>33.6</v>
      </c>
      <c r="P39" s="1">
        <v>24</v>
      </c>
      <c r="Q39" s="1">
        <v>20</v>
      </c>
      <c r="R39" s="1">
        <v>20</v>
      </c>
      <c r="S39" s="1">
        <v>20</v>
      </c>
      <c r="T39" s="1">
        <v>20</v>
      </c>
      <c r="U39" s="1">
        <v>20</v>
      </c>
      <c r="V39" s="1">
        <v>20</v>
      </c>
      <c r="W39" s="1">
        <v>20</v>
      </c>
      <c r="X39" s="1">
        <v>20</v>
      </c>
      <c r="Y39" s="1">
        <v>20</v>
      </c>
    </row>
    <row r="40" spans="2:25" s="1" customFormat="1" x14ac:dyDescent="0.25">
      <c r="B40" s="1" t="s">
        <v>7</v>
      </c>
      <c r="C40" s="1">
        <v>16.2</v>
      </c>
      <c r="D40" s="1">
        <f t="shared" si="12"/>
        <v>9.6000000000000014</v>
      </c>
      <c r="E40" s="1">
        <v>9.6999999999999993</v>
      </c>
      <c r="M40" s="1">
        <v>68.3</v>
      </c>
      <c r="N40" s="1">
        <v>22.4</v>
      </c>
      <c r="O40" s="1">
        <v>26.2</v>
      </c>
      <c r="P40" s="1">
        <v>25.8</v>
      </c>
      <c r="Q40" s="1">
        <v>26</v>
      </c>
      <c r="R40" s="1">
        <v>26</v>
      </c>
      <c r="S40" s="1">
        <v>26</v>
      </c>
      <c r="T40" s="1">
        <v>26</v>
      </c>
      <c r="U40" s="1">
        <v>26</v>
      </c>
      <c r="V40" s="1">
        <v>26</v>
      </c>
      <c r="W40" s="1">
        <v>26</v>
      </c>
      <c r="X40" s="1">
        <v>26</v>
      </c>
      <c r="Y40" s="1">
        <v>26</v>
      </c>
    </row>
    <row r="41" spans="2:25" s="1" customFormat="1" x14ac:dyDescent="0.25">
      <c r="B41" s="1" t="s">
        <v>8</v>
      </c>
      <c r="C41" s="1">
        <v>2.4</v>
      </c>
      <c r="D41" s="1">
        <f t="shared" si="12"/>
        <v>-7.9</v>
      </c>
      <c r="E41" s="1">
        <v>0.7</v>
      </c>
      <c r="M41" s="1">
        <v>1.4</v>
      </c>
      <c r="N41" s="1">
        <v>-0.8</v>
      </c>
      <c r="O41" s="1">
        <v>-3.7</v>
      </c>
      <c r="P41" s="1">
        <v>-5.5</v>
      </c>
    </row>
    <row r="42" spans="2:25" s="1" customFormat="1" x14ac:dyDescent="0.25">
      <c r="B42" s="1" t="s">
        <v>21</v>
      </c>
      <c r="C42" s="1">
        <v>-1</v>
      </c>
      <c r="D42" s="1">
        <f t="shared" si="12"/>
        <v>1.6</v>
      </c>
      <c r="E42" s="1">
        <v>-0.2</v>
      </c>
      <c r="M42" s="1">
        <v>1.1000000000000001</v>
      </c>
      <c r="N42" s="1">
        <v>0.6</v>
      </c>
      <c r="O42" s="1">
        <v>0.2</v>
      </c>
      <c r="P42" s="1">
        <v>0.6</v>
      </c>
    </row>
    <row r="43" spans="2:25" s="1" customFormat="1" x14ac:dyDescent="0.25">
      <c r="B43" s="1" t="s">
        <v>22</v>
      </c>
      <c r="C43" s="1">
        <f>+C35-C36-C37-C38+C39-C40+C41+C42</f>
        <v>70.70000000000006</v>
      </c>
      <c r="D43" s="1">
        <f>+D35-D36-D37-D38+D39-D40+D41+D42</f>
        <v>52.399999999999658</v>
      </c>
      <c r="E43" s="1">
        <f>+E35-E36-E37-E38+E39-E40+E41+E42</f>
        <v>39.20000000000006</v>
      </c>
      <c r="M43" s="1">
        <f>+M35-M36-M37-M38+M39-M40+M41+M42</f>
        <v>-105.30000000000018</v>
      </c>
      <c r="N43" s="1">
        <f t="shared" ref="N43:Q43" si="17">+N35-N36-N37-N38+N39-N40+N41+N42</f>
        <v>34.299999999999905</v>
      </c>
      <c r="O43" s="1">
        <f>+O35-O36-O37-O38+O39-O40+O41+O42</f>
        <v>101.9999999999999</v>
      </c>
      <c r="P43" s="1">
        <f t="shared" si="17"/>
        <v>123.0999999999997</v>
      </c>
      <c r="Q43" s="1">
        <f t="shared" si="17"/>
        <v>116.51179479748731</v>
      </c>
      <c r="R43" s="1">
        <f t="shared" ref="R43" si="18">+R35-R36-R37-R38+R39-R40+R41+R42</f>
        <v>132.62478839907467</v>
      </c>
      <c r="S43" s="1">
        <f t="shared" ref="S43" si="19">+S35-S36-S37-S38+S39-S40+S41+S42</f>
        <v>139.4818084228998</v>
      </c>
      <c r="T43" s="1">
        <f t="shared" ref="T43" si="20">+T35-T36-T37-T38+T39-T40+T41+T42</f>
        <v>147.0247451309304</v>
      </c>
      <c r="U43" s="1">
        <f t="shared" ref="U43" si="21">+U35-U36-U37-U38+U39-U40+U41+U42</f>
        <v>154.94797777028711</v>
      </c>
      <c r="V43" s="1">
        <f t="shared" ref="V43" si="22">+V35-V36-V37-V38+V39-V40+V41+V42</f>
        <v>168.76037073943229</v>
      </c>
      <c r="W43" s="1">
        <f t="shared" ref="W43" si="23">+W35-W36-W37-W38+W39-W40+W41+W42</f>
        <v>179.99723670649627</v>
      </c>
      <c r="X43" s="1">
        <f t="shared" ref="X43" si="24">+X35-X36-X37-X38+X39-X40+X41+X42</f>
        <v>194.40219148436205</v>
      </c>
      <c r="Y43" s="1">
        <f t="shared" ref="Y43" si="25">+Y35-Y36-Y37-Y38+Y39-Y40+Y41+Y42</f>
        <v>209.4783056695602</v>
      </c>
    </row>
    <row r="44" spans="2:25" s="1" customFormat="1" x14ac:dyDescent="0.25">
      <c r="B44" s="1" t="s">
        <v>23</v>
      </c>
      <c r="C44" s="1">
        <v>0.7</v>
      </c>
      <c r="D44" s="1">
        <f>+P44-C44</f>
        <v>1.1000000000000001</v>
      </c>
      <c r="E44" s="1">
        <v>0.8</v>
      </c>
      <c r="M44" s="1">
        <v>0.7</v>
      </c>
      <c r="N44" s="1">
        <v>0.2</v>
      </c>
      <c r="O44" s="1">
        <v>1.3</v>
      </c>
      <c r="P44" s="1">
        <v>1.8</v>
      </c>
      <c r="Q44" s="1">
        <f>+P44*0.9</f>
        <v>1.62</v>
      </c>
      <c r="R44" s="1">
        <f t="shared" ref="R44:Y44" si="26">+Q44*0.9</f>
        <v>1.4580000000000002</v>
      </c>
      <c r="S44" s="1">
        <f t="shared" si="26"/>
        <v>1.3122000000000003</v>
      </c>
      <c r="T44" s="1">
        <f t="shared" si="26"/>
        <v>1.1809800000000004</v>
      </c>
      <c r="U44" s="1">
        <f t="shared" si="26"/>
        <v>1.0628820000000003</v>
      </c>
      <c r="V44" s="1">
        <f t="shared" si="26"/>
        <v>0.95659380000000027</v>
      </c>
      <c r="W44" s="1">
        <f t="shared" si="26"/>
        <v>0.86093442000000031</v>
      </c>
      <c r="X44" s="1">
        <f t="shared" si="26"/>
        <v>0.77484097800000029</v>
      </c>
      <c r="Y44" s="1">
        <f t="shared" si="26"/>
        <v>0.69735688020000031</v>
      </c>
    </row>
    <row r="45" spans="2:25" s="1" customFormat="1" x14ac:dyDescent="0.25">
      <c r="B45" s="1" t="s">
        <v>24</v>
      </c>
      <c r="C45" s="1">
        <v>6.7</v>
      </c>
      <c r="D45" s="1">
        <f>+P45-C45</f>
        <v>9.6999999999999993</v>
      </c>
      <c r="E45" s="1">
        <v>9.8000000000000007</v>
      </c>
      <c r="M45" s="1">
        <v>4.3</v>
      </c>
      <c r="N45" s="1">
        <v>5.2</v>
      </c>
      <c r="O45" s="1">
        <v>6.3</v>
      </c>
      <c r="P45" s="1">
        <v>16.399999999999999</v>
      </c>
      <c r="Q45" s="1">
        <f>+P45*0.9</f>
        <v>14.76</v>
      </c>
      <c r="R45" s="1">
        <f t="shared" ref="R45:T45" si="27">+Q45*0.9</f>
        <v>13.284000000000001</v>
      </c>
      <c r="S45" s="1">
        <f t="shared" si="27"/>
        <v>11.9556</v>
      </c>
      <c r="T45" s="1">
        <f t="shared" si="27"/>
        <v>10.76004</v>
      </c>
      <c r="U45" s="1">
        <f>+T45*0.95</f>
        <v>10.222038</v>
      </c>
      <c r="V45" s="1">
        <f t="shared" ref="V45:Y45" si="28">+U45*0.95</f>
        <v>9.7109360999999996</v>
      </c>
      <c r="W45" s="1">
        <f t="shared" si="28"/>
        <v>9.2253892949999994</v>
      </c>
      <c r="X45" s="1">
        <f t="shared" si="28"/>
        <v>8.7641198302499994</v>
      </c>
      <c r="Y45" s="1">
        <f t="shared" si="28"/>
        <v>8.3259138387374989</v>
      </c>
    </row>
    <row r="46" spans="2:25" s="1" customFormat="1" x14ac:dyDescent="0.25">
      <c r="B46" s="1" t="s">
        <v>25</v>
      </c>
      <c r="C46" s="1">
        <v>-0.2</v>
      </c>
      <c r="D46" s="1">
        <f>+P46-C46</f>
        <v>-0.49999999999999994</v>
      </c>
      <c r="E46" s="1">
        <v>0</v>
      </c>
      <c r="M46" s="1">
        <v>-0.4</v>
      </c>
      <c r="N46" s="1">
        <v>0</v>
      </c>
      <c r="O46" s="1">
        <v>-0.9</v>
      </c>
      <c r="P46" s="1">
        <v>-0.7</v>
      </c>
      <c r="Q46" s="1">
        <v>-1</v>
      </c>
      <c r="R46" s="1">
        <v>-1</v>
      </c>
      <c r="S46" s="1">
        <v>-1</v>
      </c>
      <c r="T46" s="1">
        <v>-1</v>
      </c>
      <c r="U46" s="1">
        <v>-1</v>
      </c>
      <c r="V46" s="1">
        <v>-1</v>
      </c>
      <c r="W46" s="1">
        <v>-1</v>
      </c>
      <c r="X46" s="1">
        <v>-1</v>
      </c>
      <c r="Y46" s="1">
        <v>-1</v>
      </c>
    </row>
    <row r="47" spans="2:25" s="1" customFormat="1" x14ac:dyDescent="0.25">
      <c r="B47" s="1" t="s">
        <v>9</v>
      </c>
      <c r="C47" s="1">
        <f>+C43+C44-C45+C46</f>
        <v>64.500000000000057</v>
      </c>
      <c r="D47" s="1">
        <f>+D43+D44-D45+D46</f>
        <v>43.299999999999656</v>
      </c>
      <c r="E47" s="1">
        <f>+E43+E44-E45+E46</f>
        <v>30.200000000000056</v>
      </c>
      <c r="M47" s="1">
        <f>+M43+M44-M45+M46</f>
        <v>-109.30000000000018</v>
      </c>
      <c r="N47" s="1">
        <f t="shared" ref="N47:Q47" si="29">+N43+N44-N45+N46</f>
        <v>29.299999999999908</v>
      </c>
      <c r="O47" s="1">
        <f>+O43+O44-O45+O46</f>
        <v>96.099999999999895</v>
      </c>
      <c r="P47" s="1">
        <f t="shared" si="29"/>
        <v>107.79999999999968</v>
      </c>
      <c r="Q47" s="1">
        <f t="shared" si="29"/>
        <v>102.37179479748731</v>
      </c>
      <c r="R47" s="1">
        <f t="shared" ref="R47" si="30">+R43+R44-R45+R46</f>
        <v>119.79878839907467</v>
      </c>
      <c r="S47" s="1">
        <f t="shared" ref="S47" si="31">+S43+S44-S45+S46</f>
        <v>127.83840842289979</v>
      </c>
      <c r="T47" s="1">
        <f t="shared" ref="T47" si="32">+T43+T44-T45+T46</f>
        <v>136.4456851309304</v>
      </c>
      <c r="U47" s="1">
        <f t="shared" ref="U47" si="33">+U43+U44-U45+U46</f>
        <v>144.78882177028711</v>
      </c>
      <c r="V47" s="1">
        <f t="shared" ref="V47" si="34">+V43+V44-V45+V46</f>
        <v>159.0060284394323</v>
      </c>
      <c r="W47" s="1">
        <f t="shared" ref="W47" si="35">+W43+W44-W45+W46</f>
        <v>170.63278183149629</v>
      </c>
      <c r="X47" s="1">
        <f t="shared" ref="X47" si="36">+X43+X44-X45+X46</f>
        <v>185.41291263211204</v>
      </c>
      <c r="Y47" s="1">
        <f t="shared" ref="Y47" si="37">+Y43+Y44-Y45+Y46</f>
        <v>200.8497487110227</v>
      </c>
    </row>
    <row r="48" spans="2:25" s="1" customFormat="1" x14ac:dyDescent="0.25">
      <c r="B48" s="1" t="s">
        <v>10</v>
      </c>
      <c r="C48" s="1">
        <v>10.7</v>
      </c>
      <c r="D48" s="1">
        <f>+P48-C48</f>
        <v>-9.3999999999999986</v>
      </c>
      <c r="E48" s="1">
        <v>4.5999999999999996</v>
      </c>
      <c r="M48" s="1">
        <v>-3</v>
      </c>
      <c r="N48" s="1">
        <v>-9.1</v>
      </c>
      <c r="O48" s="1">
        <v>-3.7</v>
      </c>
      <c r="P48" s="1">
        <v>1.3</v>
      </c>
      <c r="Q48" s="1">
        <v>5</v>
      </c>
      <c r="R48" s="1">
        <v>5</v>
      </c>
      <c r="S48" s="1">
        <v>5</v>
      </c>
      <c r="T48" s="1">
        <v>5</v>
      </c>
      <c r="U48" s="1">
        <v>5</v>
      </c>
      <c r="V48" s="1">
        <v>5</v>
      </c>
      <c r="W48" s="1">
        <v>5</v>
      </c>
      <c r="X48" s="1">
        <v>5</v>
      </c>
      <c r="Y48" s="1">
        <v>5</v>
      </c>
    </row>
    <row r="49" spans="2:104" s="2" customFormat="1" x14ac:dyDescent="0.25">
      <c r="B49" s="2" t="s">
        <v>11</v>
      </c>
      <c r="C49" s="2">
        <f>+C47-C48</f>
        <v>53.800000000000054</v>
      </c>
      <c r="D49" s="2">
        <f>+D47-D48</f>
        <v>52.699999999999655</v>
      </c>
      <c r="E49" s="2">
        <f>+E47-E48</f>
        <v>25.600000000000058</v>
      </c>
      <c r="M49" s="2">
        <f>+M47-M48</f>
        <v>-106.30000000000018</v>
      </c>
      <c r="N49" s="2">
        <f t="shared" ref="N49:Q49" si="38">+N47-N48</f>
        <v>38.399999999999906</v>
      </c>
      <c r="O49" s="2">
        <f t="shared" si="38"/>
        <v>99.799999999999898</v>
      </c>
      <c r="P49" s="2">
        <f t="shared" si="38"/>
        <v>106.49999999999969</v>
      </c>
      <c r="Q49" s="2">
        <f t="shared" si="38"/>
        <v>97.371794797487311</v>
      </c>
      <c r="R49" s="2">
        <f t="shared" ref="R49" si="39">+R47-R48</f>
        <v>114.79878839907467</v>
      </c>
      <c r="S49" s="2">
        <f t="shared" ref="S49" si="40">+S47-S48</f>
        <v>122.83840842289979</v>
      </c>
      <c r="T49" s="2">
        <f t="shared" ref="T49" si="41">+T47-T48</f>
        <v>131.4456851309304</v>
      </c>
      <c r="U49" s="2">
        <f t="shared" ref="U49" si="42">+U47-U48</f>
        <v>139.78882177028711</v>
      </c>
      <c r="V49" s="2">
        <f t="shared" ref="V49" si="43">+V47-V48</f>
        <v>154.0060284394323</v>
      </c>
      <c r="W49" s="2">
        <f t="shared" ref="W49" si="44">+W47-W48</f>
        <v>165.63278183149629</v>
      </c>
      <c r="X49" s="2">
        <f t="shared" ref="X49" si="45">+X47-X48</f>
        <v>180.41291263211204</v>
      </c>
      <c r="Y49" s="2">
        <f t="shared" ref="Y49" si="46">+Y47-Y48</f>
        <v>195.8497487110227</v>
      </c>
      <c r="Z49" s="2">
        <f t="shared" ref="Z49:BE49" si="47">+Y49*(1+TR)</f>
        <v>199.76674368524314</v>
      </c>
      <c r="AA49" s="2">
        <f t="shared" si="47"/>
        <v>203.76207855894802</v>
      </c>
      <c r="AB49" s="2">
        <f t="shared" si="47"/>
        <v>207.83732013012698</v>
      </c>
      <c r="AC49" s="2">
        <f t="shared" si="47"/>
        <v>211.99406653272953</v>
      </c>
      <c r="AD49" s="2">
        <f t="shared" si="47"/>
        <v>216.23394786338412</v>
      </c>
      <c r="AE49" s="2">
        <f t="shared" si="47"/>
        <v>220.5586268206518</v>
      </c>
      <c r="AF49" s="2">
        <f t="shared" si="47"/>
        <v>224.96979935706483</v>
      </c>
      <c r="AG49" s="2">
        <f t="shared" si="47"/>
        <v>229.46919534420613</v>
      </c>
      <c r="AH49" s="2">
        <f t="shared" si="47"/>
        <v>234.05857925109026</v>
      </c>
      <c r="AI49" s="2">
        <f t="shared" si="47"/>
        <v>238.73975083611208</v>
      </c>
      <c r="AJ49" s="2">
        <f t="shared" si="47"/>
        <v>243.51454585283432</v>
      </c>
      <c r="AK49" s="2">
        <f t="shared" si="47"/>
        <v>248.384836769891</v>
      </c>
      <c r="AL49" s="2">
        <f t="shared" si="47"/>
        <v>253.35253350528882</v>
      </c>
      <c r="AM49" s="2">
        <f t="shared" si="47"/>
        <v>258.41958417539462</v>
      </c>
      <c r="AN49" s="2">
        <f t="shared" si="47"/>
        <v>263.5879758589025</v>
      </c>
      <c r="AO49" s="2">
        <f t="shared" si="47"/>
        <v>268.85973537608055</v>
      </c>
      <c r="AP49" s="2">
        <f t="shared" si="47"/>
        <v>274.23693008360215</v>
      </c>
      <c r="AQ49" s="2">
        <f t="shared" si="47"/>
        <v>279.72166868527421</v>
      </c>
      <c r="AR49" s="2">
        <f t="shared" si="47"/>
        <v>285.31610205897971</v>
      </c>
      <c r="AS49" s="2">
        <f t="shared" si="47"/>
        <v>291.0224241001593</v>
      </c>
      <c r="AT49" s="2">
        <f t="shared" si="47"/>
        <v>296.8428725821625</v>
      </c>
      <c r="AU49" s="2">
        <f t="shared" si="47"/>
        <v>302.77973003380578</v>
      </c>
      <c r="AV49" s="2">
        <f t="shared" si="47"/>
        <v>308.83532463448188</v>
      </c>
      <c r="AW49" s="2">
        <f t="shared" si="47"/>
        <v>315.0120311271715</v>
      </c>
      <c r="AX49" s="2">
        <f t="shared" si="47"/>
        <v>321.31227174971491</v>
      </c>
      <c r="AY49" s="2">
        <f t="shared" si="47"/>
        <v>327.73851718470922</v>
      </c>
      <c r="AZ49" s="2">
        <f t="shared" si="47"/>
        <v>334.29328752840343</v>
      </c>
      <c r="BA49" s="2">
        <f t="shared" si="47"/>
        <v>340.97915327897152</v>
      </c>
      <c r="BB49" s="2">
        <f t="shared" si="47"/>
        <v>347.79873634455095</v>
      </c>
      <c r="BC49" s="2">
        <f t="shared" si="47"/>
        <v>354.75471107144199</v>
      </c>
      <c r="BD49" s="2">
        <f t="shared" si="47"/>
        <v>361.84980529287083</v>
      </c>
      <c r="BE49" s="2">
        <f t="shared" si="47"/>
        <v>369.08680139872826</v>
      </c>
      <c r="BF49" s="2">
        <f t="shared" ref="BF49:CK49" si="48">+BE49*(1+TR)</f>
        <v>376.46853742670282</v>
      </c>
      <c r="BG49" s="2">
        <f t="shared" si="48"/>
        <v>383.99790817523689</v>
      </c>
      <c r="BH49" s="2">
        <f t="shared" si="48"/>
        <v>391.67786633874164</v>
      </c>
      <c r="BI49" s="2">
        <f t="shared" si="48"/>
        <v>399.51142366551647</v>
      </c>
      <c r="BJ49" s="2">
        <f t="shared" si="48"/>
        <v>407.50165213882678</v>
      </c>
      <c r="BK49" s="2">
        <f t="shared" si="48"/>
        <v>415.65168518160334</v>
      </c>
      <c r="BL49" s="2">
        <f t="shared" si="48"/>
        <v>423.96471888523541</v>
      </c>
      <c r="BM49" s="2">
        <f t="shared" si="48"/>
        <v>432.44401326294013</v>
      </c>
      <c r="BN49" s="2">
        <f t="shared" si="48"/>
        <v>441.09289352819894</v>
      </c>
      <c r="BO49" s="2">
        <f t="shared" si="48"/>
        <v>449.91475139876292</v>
      </c>
      <c r="BP49" s="2">
        <f t="shared" si="48"/>
        <v>458.91304642673816</v>
      </c>
      <c r="BQ49" s="2">
        <f t="shared" si="48"/>
        <v>468.09130735527293</v>
      </c>
      <c r="BR49" s="2">
        <f t="shared" si="48"/>
        <v>477.45313350237842</v>
      </c>
      <c r="BS49" s="2">
        <f t="shared" si="48"/>
        <v>487.00219617242601</v>
      </c>
      <c r="BT49" s="2">
        <f t="shared" si="48"/>
        <v>496.74224009587454</v>
      </c>
      <c r="BU49" s="2">
        <f t="shared" si="48"/>
        <v>506.67708489779204</v>
      </c>
      <c r="BV49" s="2">
        <f t="shared" si="48"/>
        <v>516.81062659574786</v>
      </c>
      <c r="BW49" s="2">
        <f t="shared" si="48"/>
        <v>527.14683912766282</v>
      </c>
      <c r="BX49" s="2">
        <f t="shared" si="48"/>
        <v>537.6897759102161</v>
      </c>
      <c r="BY49" s="2">
        <f t="shared" si="48"/>
        <v>548.44357142842046</v>
      </c>
      <c r="BZ49" s="2">
        <f t="shared" si="48"/>
        <v>559.41244285698883</v>
      </c>
      <c r="CA49" s="2">
        <f t="shared" si="48"/>
        <v>570.60069171412863</v>
      </c>
      <c r="CB49" s="2">
        <f t="shared" si="48"/>
        <v>582.01270554841119</v>
      </c>
      <c r="CC49" s="2">
        <f t="shared" si="48"/>
        <v>593.65295965937946</v>
      </c>
      <c r="CD49" s="2">
        <f t="shared" si="48"/>
        <v>605.52601885256706</v>
      </c>
      <c r="CE49" s="2">
        <f t="shared" si="48"/>
        <v>617.63653922961839</v>
      </c>
      <c r="CF49" s="2">
        <f t="shared" si="48"/>
        <v>629.98927001421077</v>
      </c>
      <c r="CG49" s="2">
        <f t="shared" si="48"/>
        <v>642.58905541449496</v>
      </c>
      <c r="CH49" s="2">
        <f t="shared" si="48"/>
        <v>655.44083652278482</v>
      </c>
      <c r="CI49" s="2">
        <f t="shared" si="48"/>
        <v>668.54965325324054</v>
      </c>
      <c r="CJ49" s="2">
        <f t="shared" si="48"/>
        <v>681.92064631830533</v>
      </c>
      <c r="CK49" s="2">
        <f t="shared" si="48"/>
        <v>695.5590592446714</v>
      </c>
      <c r="CL49" s="2">
        <f t="shared" ref="CL49:CZ49" si="49">+CK49*(1+TR)</f>
        <v>709.4702404295648</v>
      </c>
      <c r="CM49" s="2">
        <f t="shared" si="49"/>
        <v>723.65964523815614</v>
      </c>
      <c r="CN49" s="2">
        <f t="shared" si="49"/>
        <v>738.13283814291924</v>
      </c>
      <c r="CO49" s="2">
        <f t="shared" si="49"/>
        <v>752.89549490577758</v>
      </c>
      <c r="CP49" s="2">
        <f t="shared" si="49"/>
        <v>767.95340480389314</v>
      </c>
      <c r="CQ49" s="2">
        <f t="shared" si="49"/>
        <v>783.312472899971</v>
      </c>
      <c r="CR49" s="2">
        <f t="shared" si="49"/>
        <v>798.97872235797047</v>
      </c>
      <c r="CS49" s="2">
        <f t="shared" si="49"/>
        <v>814.95829680512986</v>
      </c>
      <c r="CT49" s="2">
        <f t="shared" si="49"/>
        <v>831.25746274123253</v>
      </c>
      <c r="CU49" s="2">
        <f t="shared" si="49"/>
        <v>847.88261199605722</v>
      </c>
      <c r="CV49" s="2">
        <f t="shared" si="49"/>
        <v>864.84026423597834</v>
      </c>
      <c r="CW49" s="2">
        <f t="shared" si="49"/>
        <v>882.13706952069788</v>
      </c>
      <c r="CX49" s="2">
        <f t="shared" si="49"/>
        <v>899.77981091111189</v>
      </c>
      <c r="CY49" s="2">
        <f t="shared" si="49"/>
        <v>917.7754071293341</v>
      </c>
      <c r="CZ49" s="2">
        <f t="shared" si="49"/>
        <v>936.1309152719208</v>
      </c>
    </row>
    <row r="50" spans="2:104" s="9" customFormat="1" x14ac:dyDescent="0.25">
      <c r="B50" s="9" t="s">
        <v>44</v>
      </c>
      <c r="P50" s="9">
        <f>+P49/P51</f>
        <v>0.84425182819165889</v>
      </c>
      <c r="Q50" s="9">
        <f>+Q49/Q51</f>
        <v>0.77189028893973677</v>
      </c>
      <c r="R50" s="9">
        <f t="shared" ref="R50:Y50" si="50">+R49/R51</f>
        <v>0.91003837540006083</v>
      </c>
      <c r="S50" s="9">
        <f t="shared" si="50"/>
        <v>0.97377043082804804</v>
      </c>
      <c r="T50" s="9">
        <f t="shared" si="50"/>
        <v>1.0420024411238824</v>
      </c>
      <c r="U50" s="9">
        <f t="shared" si="50"/>
        <v>1.1081405477964621</v>
      </c>
      <c r="V50" s="9">
        <f t="shared" si="50"/>
        <v>1.2208438597420441</v>
      </c>
      <c r="W50" s="9">
        <f t="shared" si="50"/>
        <v>1.3130120081663037</v>
      </c>
      <c r="X50" s="9">
        <f t="shared" si="50"/>
        <v>1.4301777588642541</v>
      </c>
      <c r="Y50" s="9">
        <f t="shared" si="50"/>
        <v>1.5525493746493746</v>
      </c>
    </row>
    <row r="51" spans="2:104" s="1" customFormat="1" x14ac:dyDescent="0.25">
      <c r="B51" s="1" t="s">
        <v>45</v>
      </c>
      <c r="P51" s="1">
        <v>126.147195</v>
      </c>
      <c r="Q51" s="1">
        <v>126.147195</v>
      </c>
      <c r="R51" s="1">
        <v>126.147195</v>
      </c>
      <c r="S51" s="1">
        <v>126.147195</v>
      </c>
      <c r="T51" s="1">
        <v>126.147195</v>
      </c>
      <c r="U51" s="1">
        <v>126.147195</v>
      </c>
      <c r="V51" s="1">
        <v>126.147195</v>
      </c>
      <c r="W51" s="1">
        <v>126.147195</v>
      </c>
      <c r="X51" s="1">
        <v>126.147195</v>
      </c>
      <c r="Y51" s="1">
        <v>126.147195</v>
      </c>
    </row>
    <row r="52" spans="2:104" s="1" customFormat="1" x14ac:dyDescent="0.25"/>
    <row r="53" spans="2:104" s="3" customFormat="1" x14ac:dyDescent="0.25">
      <c r="B53" s="3" t="s">
        <v>12</v>
      </c>
      <c r="M53" s="4">
        <f>+M35/M33</f>
        <v>0.14641864773078098</v>
      </c>
      <c r="N53" s="4">
        <f>+N35/N33</f>
        <v>0.17659061398627338</v>
      </c>
      <c r="O53" s="4">
        <f>+O35/O33</f>
        <v>0.19428148617937738</v>
      </c>
      <c r="P53" s="4">
        <f>+P35/P33</f>
        <v>0.2165568049631639</v>
      </c>
      <c r="Q53" s="4">
        <f>+Q35/Q33</f>
        <v>0.21999999999999992</v>
      </c>
      <c r="R53" s="4">
        <f t="shared" ref="R53:Y53" si="51">+R35/R33</f>
        <v>0.21999999999999997</v>
      </c>
      <c r="S53" s="4">
        <f t="shared" si="51"/>
        <v>0.21999999999999995</v>
      </c>
      <c r="T53" s="4">
        <f t="shared" si="51"/>
        <v>0.21999999999999995</v>
      </c>
      <c r="U53" s="4">
        <f t="shared" si="51"/>
        <v>0.22000000000000003</v>
      </c>
      <c r="V53" s="4">
        <f t="shared" si="51"/>
        <v>0.22</v>
      </c>
      <c r="W53" s="4">
        <f t="shared" si="51"/>
        <v>0.22000000000000003</v>
      </c>
      <c r="X53" s="4">
        <f t="shared" si="51"/>
        <v>0.21999999999999992</v>
      </c>
      <c r="Y53" s="4">
        <f t="shared" si="51"/>
        <v>0.21999999999999997</v>
      </c>
    </row>
    <row r="54" spans="2:104" s="3" customFormat="1" x14ac:dyDescent="0.25">
      <c r="B54" s="3" t="s">
        <v>13</v>
      </c>
      <c r="M54" s="4">
        <f>+M49/M33</f>
        <v>-8.2046928064217498E-2</v>
      </c>
      <c r="N54" s="4">
        <f>+N49/N33</f>
        <v>2.3743275830087125E-2</v>
      </c>
      <c r="O54" s="4">
        <f>+O49/O33</f>
        <v>5.2745626552507745E-2</v>
      </c>
      <c r="P54" s="4">
        <f>+P49/P33</f>
        <v>5.161884451337713E-2</v>
      </c>
      <c r="Q54" s="4">
        <f>+Q49/Q33</f>
        <v>4.8103841962513383E-2</v>
      </c>
      <c r="R54" s="4">
        <f t="shared" ref="R54:Y54" si="52">+R49/R33</f>
        <v>5.1268263804466939E-2</v>
      </c>
      <c r="S54" s="4">
        <f t="shared" si="52"/>
        <v>5.1553391840259602E-2</v>
      </c>
      <c r="T54" s="4">
        <f t="shared" si="52"/>
        <v>5.1771793904105128E-2</v>
      </c>
      <c r="U54" s="4">
        <f t="shared" si="52"/>
        <v>5.1663278788854482E-2</v>
      </c>
      <c r="V54" s="4">
        <f t="shared" si="52"/>
        <v>5.3298481789140942E-2</v>
      </c>
      <c r="W54" s="4">
        <f t="shared" si="52"/>
        <v>5.4217393460218033E-2</v>
      </c>
      <c r="X54" s="4">
        <f t="shared" si="52"/>
        <v>5.5501014431443008E-2</v>
      </c>
      <c r="Y54" s="4">
        <f t="shared" si="52"/>
        <v>5.6675353210574868E-2</v>
      </c>
    </row>
    <row r="55" spans="2:104" s="1" customFormat="1" x14ac:dyDescent="0.25">
      <c r="AA55" s="1" t="s">
        <v>41</v>
      </c>
      <c r="AB55" s="3">
        <v>0.1</v>
      </c>
    </row>
    <row r="56" spans="2:104" s="1" customFormat="1" x14ac:dyDescent="0.25">
      <c r="B56" s="1" t="s">
        <v>14</v>
      </c>
      <c r="N56" s="4">
        <f>+N33/M33 -1</f>
        <v>0.24830194504476699</v>
      </c>
      <c r="O56" s="4">
        <f>+O33/N33 -1</f>
        <v>0.16991281765906141</v>
      </c>
      <c r="P56" s="4">
        <f>+P33/O33 -1</f>
        <v>9.0428624279900616E-2</v>
      </c>
      <c r="Q56" s="4">
        <f>+Q33/P33 -1</f>
        <v>-1.8902696645304751E-2</v>
      </c>
      <c r="R56" s="4">
        <f t="shared" ref="R56:Y56" si="53">+R33/Q33 -1</f>
        <v>0.10620414893285246</v>
      </c>
      <c r="S56" s="4">
        <f t="shared" si="53"/>
        <v>6.411420983179239E-2</v>
      </c>
      <c r="T56" s="4">
        <f t="shared" si="53"/>
        <v>6.5555767152929212E-2</v>
      </c>
      <c r="U56" s="4">
        <f t="shared" si="53"/>
        <v>6.5705871631511981E-2</v>
      </c>
      <c r="V56" s="4">
        <f t="shared" si="53"/>
        <v>6.7904468153449749E-2</v>
      </c>
      <c r="W56" s="4">
        <f t="shared" si="53"/>
        <v>5.7267246580708697E-2</v>
      </c>
      <c r="X56" s="4">
        <f t="shared" si="53"/>
        <v>6.4042648673089841E-2</v>
      </c>
      <c r="Y56" s="4">
        <f t="shared" si="53"/>
        <v>6.3070548204408272E-2</v>
      </c>
      <c r="AA56" s="1" t="s">
        <v>42</v>
      </c>
      <c r="AB56" s="3">
        <v>0.02</v>
      </c>
    </row>
    <row r="57" spans="2:104" s="1" customFormat="1" x14ac:dyDescent="0.25">
      <c r="N57" s="5"/>
      <c r="O57" s="5"/>
      <c r="P57" s="5"/>
      <c r="AA57" s="1" t="s">
        <v>43</v>
      </c>
      <c r="AB57" s="1">
        <f>NPV(AB55,Q49:CZ49)</f>
        <v>1847.7029993578551</v>
      </c>
    </row>
    <row r="58" spans="2:104" s="1" customFormat="1" x14ac:dyDescent="0.25">
      <c r="B58" s="1" t="s">
        <v>28</v>
      </c>
      <c r="N58" s="5"/>
      <c r="O58" s="5">
        <v>77.7</v>
      </c>
      <c r="P58" s="5">
        <v>151.5</v>
      </c>
      <c r="AA58" s="2" t="s">
        <v>46</v>
      </c>
      <c r="AB58" s="2">
        <f>+AB57/Y51</f>
        <v>14.647198452235543</v>
      </c>
    </row>
    <row r="59" spans="2:104" s="1" customFormat="1" x14ac:dyDescent="0.25">
      <c r="B59" s="1" t="s">
        <v>29</v>
      </c>
      <c r="N59" s="5"/>
      <c r="O59" s="5">
        <v>55.9</v>
      </c>
      <c r="P59" s="5">
        <v>65</v>
      </c>
    </row>
    <row r="60" spans="2:104" s="2" customFormat="1" x14ac:dyDescent="0.25">
      <c r="B60" s="2" t="s">
        <v>30</v>
      </c>
      <c r="N60" s="6"/>
      <c r="O60" s="6">
        <f>+O58-O59</f>
        <v>21.800000000000004</v>
      </c>
      <c r="P60" s="6">
        <f>+P58-P59</f>
        <v>86.5</v>
      </c>
    </row>
    <row r="61" spans="2:104" s="1" customFormat="1" x14ac:dyDescent="0.25"/>
    <row r="62" spans="2:104" s="1" customFormat="1" x14ac:dyDescent="0.25">
      <c r="B62" s="1" t="s">
        <v>15</v>
      </c>
      <c r="F62" s="1">
        <v>70</v>
      </c>
      <c r="O62" s="1">
        <v>20.6</v>
      </c>
      <c r="P62" s="1">
        <v>90.1</v>
      </c>
    </row>
    <row r="63" spans="2:104" s="1" customFormat="1" x14ac:dyDescent="0.25">
      <c r="B63" s="1" t="s">
        <v>16</v>
      </c>
      <c r="O63" s="1">
        <v>186.2</v>
      </c>
      <c r="P63" s="1">
        <v>201.9</v>
      </c>
    </row>
    <row r="64" spans="2:104" s="1" customFormat="1" x14ac:dyDescent="0.25">
      <c r="B64" s="1" t="s">
        <v>17</v>
      </c>
      <c r="O64" s="1">
        <v>451.6</v>
      </c>
      <c r="P64" s="1">
        <v>433.9</v>
      </c>
    </row>
    <row r="65" spans="2:16" s="1" customFormat="1" x14ac:dyDescent="0.25">
      <c r="B65" s="1" t="s">
        <v>33</v>
      </c>
      <c r="O65" s="1">
        <v>50.6</v>
      </c>
      <c r="P65" s="1">
        <v>41.4</v>
      </c>
    </row>
    <row r="66" spans="2:16" s="1" customFormat="1" x14ac:dyDescent="0.25">
      <c r="B66" s="1" t="s">
        <v>18</v>
      </c>
      <c r="O66" s="1">
        <v>14.4</v>
      </c>
      <c r="P66" s="1">
        <v>26.7</v>
      </c>
    </row>
    <row r="67" spans="2:16" s="1" customFormat="1" x14ac:dyDescent="0.25">
      <c r="B67" s="1" t="s">
        <v>19</v>
      </c>
      <c r="O67" s="1">
        <v>394.7</v>
      </c>
      <c r="P67" s="1">
        <v>379.3</v>
      </c>
    </row>
    <row r="68" spans="2:16" s="1" customFormat="1" x14ac:dyDescent="0.25"/>
    <row r="69" spans="2:16" s="1" customFormat="1" x14ac:dyDescent="0.25">
      <c r="B69" s="1" t="s">
        <v>26</v>
      </c>
      <c r="F69" s="1">
        <f>68.3+167.9</f>
        <v>236.2</v>
      </c>
      <c r="O69" s="1">
        <f>77.2+141.9</f>
        <v>219.10000000000002</v>
      </c>
      <c r="P69" s="1">
        <f>65.9+187.6</f>
        <v>253.5</v>
      </c>
    </row>
    <row r="70" spans="2:16" s="1" customFormat="1" x14ac:dyDescent="0.25">
      <c r="B70" s="1" t="s">
        <v>27</v>
      </c>
      <c r="O70" s="1">
        <f>86+28.4+2.2+11.1+81.7+291.5+79.7</f>
        <v>580.6</v>
      </c>
      <c r="P70" s="1">
        <f>87.7+23.9+19.6+10.7+73.8+256+90.6</f>
        <v>562.29999999999995</v>
      </c>
    </row>
    <row r="71" spans="2:16" s="2" customFormat="1" x14ac:dyDescent="0.25">
      <c r="B71" s="2" t="s">
        <v>20</v>
      </c>
      <c r="O71" s="2">
        <f>+SUM(O62:O67)-SUM(O69:O70)</f>
        <v>318.39999999999986</v>
      </c>
      <c r="P71" s="2">
        <f>+SUM(P62:P67)-SUM(P69:P70)</f>
        <v>357.5</v>
      </c>
    </row>
    <row r="72" spans="2:16" s="1" customFormat="1" x14ac:dyDescent="0.25">
      <c r="B72" s="1" t="s">
        <v>31</v>
      </c>
      <c r="O72" s="1">
        <f>+O62-O69</f>
        <v>-198.50000000000003</v>
      </c>
      <c r="P72" s="1">
        <f>+P62-P69</f>
        <v>-163.4</v>
      </c>
    </row>
    <row r="73" spans="2:16" s="1" customFormat="1" x14ac:dyDescent="0.25"/>
    <row r="74" spans="2:16" s="4" customFormat="1" x14ac:dyDescent="0.25">
      <c r="B74" s="4" t="s">
        <v>32</v>
      </c>
      <c r="O74" s="4">
        <f>+O45/O69</f>
        <v>2.8753993610223638E-2</v>
      </c>
      <c r="P74" s="4">
        <f>+P45/P69</f>
        <v>6.4694280078895453E-2</v>
      </c>
    </row>
    <row r="75" spans="2:16" s="4" customFormat="1" x14ac:dyDescent="0.25"/>
    <row r="76" spans="2:16" s="1" customFormat="1" x14ac:dyDescent="0.25"/>
    <row r="77" spans="2:16" s="1" customFormat="1" x14ac:dyDescent="0.25"/>
    <row r="78" spans="2:16" s="1" customFormat="1" x14ac:dyDescent="0.25"/>
    <row r="79" spans="2:16" s="1" customFormat="1" x14ac:dyDescent="0.25"/>
    <row r="80" spans="2:16" s="1" customFormat="1" x14ac:dyDescent="0.25"/>
    <row r="81" s="1" customFormat="1" x14ac:dyDescent="0.25"/>
    <row r="82" s="1" customFormat="1" x14ac:dyDescent="0.25"/>
    <row r="83" s="1" customFormat="1" x14ac:dyDescent="0.25"/>
    <row r="84" s="1" customFormat="1" x14ac:dyDescent="0.25"/>
    <row r="85" s="1" customFormat="1" x14ac:dyDescent="0.25"/>
    <row r="86" s="1" customFormat="1" x14ac:dyDescent="0.25"/>
    <row r="87" s="1" customFormat="1" x14ac:dyDescent="0.25"/>
    <row r="88" s="1" customFormat="1" x14ac:dyDescent="0.25"/>
    <row r="89" s="1" customFormat="1" x14ac:dyDescent="0.25"/>
    <row r="90" s="1" customFormat="1" x14ac:dyDescent="0.25"/>
    <row r="91" s="1" customFormat="1" x14ac:dyDescent="0.25"/>
    <row r="92" s="1" customFormat="1" x14ac:dyDescent="0.25"/>
    <row r="93" s="1" customFormat="1" x14ac:dyDescent="0.25"/>
    <row r="94" s="1" customFormat="1" x14ac:dyDescent="0.25"/>
    <row r="95" s="1" customFormat="1" x14ac:dyDescent="0.25"/>
    <row r="96" s="1" customFormat="1" x14ac:dyDescent="0.25"/>
    <row r="97" s="1" customFormat="1" x14ac:dyDescent="0.25"/>
    <row r="98" s="1" customFormat="1" x14ac:dyDescent="0.25"/>
    <row r="99" s="1" customFormat="1" x14ac:dyDescent="0.25"/>
    <row r="100" s="1" customFormat="1" x14ac:dyDescent="0.25"/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TR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Kutzer Maximilian Claudius</dc:creator>
  <cp:lastModifiedBy>Kutzer Maximilian Claudius</cp:lastModifiedBy>
  <dcterms:created xsi:type="dcterms:W3CDTF">2024-08-17T12:07:35Z</dcterms:created>
  <dcterms:modified xsi:type="dcterms:W3CDTF">2026-02-06T00:37:57Z</dcterms:modified>
</cp:coreProperties>
</file>