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kut\Desktop\Stonks\Analysis\"/>
    </mc:Choice>
  </mc:AlternateContent>
  <xr:revisionPtr revIDLastSave="0" documentId="13_ncr:1_{366325F5-E0C0-4900-890E-8BBFD264956B}" xr6:coauthVersionLast="47" xr6:coauthVersionMax="47" xr10:uidLastSave="{00000000-0000-0000-0000-000000000000}"/>
  <bookViews>
    <workbookView xWindow="-28920" yWindow="-120" windowWidth="29040" windowHeight="15840" activeTab="1" xr2:uid="{8BBBB3FF-0203-4713-9F41-7FB46F3EC7AE}"/>
  </bookViews>
  <sheets>
    <sheet name="Sheet1" sheetId="1" r:id="rId1"/>
    <sheet name="Model" sheetId="2" r:id="rId2"/>
  </sheets>
  <definedNames>
    <definedName name="MV">Model!$AF$28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22" i="2" l="1"/>
  <c r="U19" i="2"/>
  <c r="V19" i="2" s="1"/>
  <c r="W19" i="2" s="1"/>
  <c r="X19" i="2" s="1"/>
  <c r="Y19" i="2" s="1"/>
  <c r="Z19" i="2" s="1"/>
  <c r="AA19" i="2" s="1"/>
  <c r="AB19" i="2" s="1"/>
  <c r="AC19" i="2" s="1"/>
  <c r="T19" i="2"/>
  <c r="AA18" i="2"/>
  <c r="AB18" i="2"/>
  <c r="AC18" i="2"/>
  <c r="AA20" i="2"/>
  <c r="AB20" i="2"/>
  <c r="AC20" i="2"/>
  <c r="AA22" i="2"/>
  <c r="AB22" i="2"/>
  <c r="AC22" i="2"/>
  <c r="AA7" i="2"/>
  <c r="AA13" i="2" s="1"/>
  <c r="AB7" i="2"/>
  <c r="AC7" i="2"/>
  <c r="AA8" i="2"/>
  <c r="AB8" i="2"/>
  <c r="AA9" i="2"/>
  <c r="AB9" i="2" s="1"/>
  <c r="AC9" i="2" s="1"/>
  <c r="AA25" i="2"/>
  <c r="AB25" i="2"/>
  <c r="AC25" i="2"/>
  <c r="AA28" i="2"/>
  <c r="AB28" i="2"/>
  <c r="AC28" i="2"/>
  <c r="AA5" i="2"/>
  <c r="AB5" i="2"/>
  <c r="AC5" i="2"/>
  <c r="X4" i="2"/>
  <c r="Y4" i="2" s="1"/>
  <c r="Z4" i="2" s="1"/>
  <c r="AA4" i="2" s="1"/>
  <c r="AB4" i="2" s="1"/>
  <c r="AC4" i="2" s="1"/>
  <c r="W4" i="2"/>
  <c r="R21" i="2"/>
  <c r="R19" i="2"/>
  <c r="S4" i="2"/>
  <c r="P28" i="2"/>
  <c r="Q28" i="2"/>
  <c r="R28" i="2"/>
  <c r="S28" i="2"/>
  <c r="T28" i="2"/>
  <c r="U28" i="2"/>
  <c r="V28" i="2"/>
  <c r="O28" i="2"/>
  <c r="P55" i="2"/>
  <c r="Q55" i="2"/>
  <c r="Q56" i="2" s="1"/>
  <c r="Q44" i="2"/>
  <c r="Q49" i="2"/>
  <c r="Q50" i="2" s="1"/>
  <c r="Q19" i="2"/>
  <c r="S9" i="2"/>
  <c r="T9" i="2" s="1"/>
  <c r="U9" i="2" s="1"/>
  <c r="V9" i="2" s="1"/>
  <c r="W9" i="2" s="1"/>
  <c r="X9" i="2" s="1"/>
  <c r="Y9" i="2" s="1"/>
  <c r="Z9" i="2" s="1"/>
  <c r="O44" i="2"/>
  <c r="P43" i="2"/>
  <c r="P44" i="2" s="1"/>
  <c r="O50" i="2"/>
  <c r="O49" i="2"/>
  <c r="P49" i="2"/>
  <c r="P50" i="2" s="1"/>
  <c r="P33" i="2"/>
  <c r="P31" i="2"/>
  <c r="P37" i="2" s="1"/>
  <c r="P30" i="2"/>
  <c r="P36" i="2"/>
  <c r="P35" i="2"/>
  <c r="P34" i="2"/>
  <c r="P32" i="2"/>
  <c r="O37" i="2"/>
  <c r="S8" i="2"/>
  <c r="T8" i="2" s="1"/>
  <c r="U8" i="2" s="1"/>
  <c r="V8" i="2" s="1"/>
  <c r="W8" i="2" s="1"/>
  <c r="X8" i="2" s="1"/>
  <c r="Y8" i="2" s="1"/>
  <c r="Z8" i="2" s="1"/>
  <c r="S20" i="2"/>
  <c r="T20" i="2" s="1"/>
  <c r="U20" i="2" s="1"/>
  <c r="V20" i="2" s="1"/>
  <c r="W20" i="2" s="1"/>
  <c r="X20" i="2" s="1"/>
  <c r="Y20" i="2" s="1"/>
  <c r="Z20" i="2" s="1"/>
  <c r="P6" i="2"/>
  <c r="B13" i="2"/>
  <c r="B14" i="2" s="1"/>
  <c r="B18" i="2" s="1"/>
  <c r="B21" i="2" s="1"/>
  <c r="B23" i="2" s="1"/>
  <c r="C13" i="2"/>
  <c r="D13" i="2"/>
  <c r="E13" i="2"/>
  <c r="F13" i="2"/>
  <c r="G13" i="2"/>
  <c r="H13" i="2"/>
  <c r="I13" i="2"/>
  <c r="O13" i="2"/>
  <c r="N13" i="2"/>
  <c r="O6" i="2"/>
  <c r="O25" i="2" s="1"/>
  <c r="N6" i="2"/>
  <c r="N25" i="2" s="1"/>
  <c r="C6" i="2"/>
  <c r="D6" i="2"/>
  <c r="D14" i="2" s="1"/>
  <c r="D18" i="2" s="1"/>
  <c r="D21" i="2" s="1"/>
  <c r="D23" i="2" s="1"/>
  <c r="E6" i="2"/>
  <c r="F6" i="2"/>
  <c r="G6" i="2"/>
  <c r="H6" i="2"/>
  <c r="I6" i="2"/>
  <c r="B6" i="2"/>
  <c r="D6" i="1"/>
  <c r="D5" i="1"/>
  <c r="D7" i="1" s="1"/>
  <c r="AB13" i="2" l="1"/>
  <c r="AC8" i="2"/>
  <c r="AC13" i="2" s="1"/>
  <c r="AA6" i="2"/>
  <c r="AA14" i="2" s="1"/>
  <c r="AA27" i="2" s="1"/>
  <c r="S19" i="2"/>
  <c r="C14" i="2"/>
  <c r="C18" i="2" s="1"/>
  <c r="C21" i="2" s="1"/>
  <c r="C23" i="2" s="1"/>
  <c r="W28" i="2"/>
  <c r="H14" i="2"/>
  <c r="H18" i="2" s="1"/>
  <c r="H21" i="2" s="1"/>
  <c r="H23" i="2" s="1"/>
  <c r="E14" i="2"/>
  <c r="E18" i="2" s="1"/>
  <c r="E21" i="2" s="1"/>
  <c r="E23" i="2" s="1"/>
  <c r="R6" i="2"/>
  <c r="R25" i="2" s="1"/>
  <c r="Q6" i="2"/>
  <c r="Q25" i="2" s="1"/>
  <c r="Q13" i="2"/>
  <c r="P13" i="2"/>
  <c r="P14" i="2" s="1"/>
  <c r="P25" i="2"/>
  <c r="O14" i="2"/>
  <c r="G14" i="2"/>
  <c r="G18" i="2" s="1"/>
  <c r="G21" i="2" s="1"/>
  <c r="G23" i="2" s="1"/>
  <c r="I14" i="2"/>
  <c r="I18" i="2" s="1"/>
  <c r="I21" i="2" s="1"/>
  <c r="I23" i="2" s="1"/>
  <c r="F14" i="2"/>
  <c r="F18" i="2" s="1"/>
  <c r="F21" i="2" s="1"/>
  <c r="F23" i="2" s="1"/>
  <c r="N14" i="2"/>
  <c r="AA21" i="2" l="1"/>
  <c r="AB6" i="2"/>
  <c r="AB14" i="2" s="1"/>
  <c r="AB27" i="2" s="1"/>
  <c r="AC6" i="2"/>
  <c r="AC14" i="2" s="1"/>
  <c r="AC27" i="2" s="1"/>
  <c r="N27" i="2"/>
  <c r="N18" i="2"/>
  <c r="N21" i="2" s="1"/>
  <c r="N23" i="2" s="1"/>
  <c r="N26" i="2" s="1"/>
  <c r="O27" i="2"/>
  <c r="O18" i="2"/>
  <c r="O21" i="2" s="1"/>
  <c r="O23" i="2" s="1"/>
  <c r="S22" i="2"/>
  <c r="S7" i="2"/>
  <c r="P18" i="2"/>
  <c r="P21" i="2" s="1"/>
  <c r="P23" i="2" s="1"/>
  <c r="P27" i="2"/>
  <c r="Q14" i="2"/>
  <c r="S5" i="2"/>
  <c r="S6" i="2" s="1"/>
  <c r="S25" i="2" s="1"/>
  <c r="R13" i="2"/>
  <c r="R14" i="2" s="1"/>
  <c r="AB21" i="2" l="1"/>
  <c r="AC21" i="2"/>
  <c r="O40" i="2"/>
  <c r="O26" i="2"/>
  <c r="T22" i="2"/>
  <c r="T7" i="2"/>
  <c r="R18" i="2"/>
  <c r="R23" i="2" s="1"/>
  <c r="R27" i="2"/>
  <c r="Q18" i="2"/>
  <c r="Q21" i="2" s="1"/>
  <c r="Q23" i="2" s="1"/>
  <c r="Q26" i="2" s="1"/>
  <c r="Q27" i="2"/>
  <c r="P26" i="2"/>
  <c r="T5" i="2"/>
  <c r="T6" i="2" s="1"/>
  <c r="T25" i="2" s="1"/>
  <c r="S13" i="2"/>
  <c r="S14" i="2" s="1"/>
  <c r="R26" i="2" l="1"/>
  <c r="U7" i="2"/>
  <c r="S18" i="2"/>
  <c r="S21" i="2" s="1"/>
  <c r="S23" i="2" s="1"/>
  <c r="S26" i="2" s="1"/>
  <c r="S27" i="2"/>
  <c r="U5" i="2"/>
  <c r="U6" i="2" s="1"/>
  <c r="U25" i="2" s="1"/>
  <c r="T13" i="2"/>
  <c r="T14" i="2" s="1"/>
  <c r="V22" i="2" l="1"/>
  <c r="V7" i="2"/>
  <c r="T18" i="2"/>
  <c r="T21" i="2" s="1"/>
  <c r="T23" i="2" s="1"/>
  <c r="T27" i="2"/>
  <c r="V5" i="2"/>
  <c r="V6" i="2" s="1"/>
  <c r="V25" i="2" s="1"/>
  <c r="U13" i="2"/>
  <c r="U14" i="2" s="1"/>
  <c r="W22" i="2" l="1"/>
  <c r="W7" i="2"/>
  <c r="U18" i="2"/>
  <c r="U21" i="2" s="1"/>
  <c r="U23" i="2" s="1"/>
  <c r="U27" i="2"/>
  <c r="T26" i="2"/>
  <c r="W5" i="2"/>
  <c r="W6" i="2" s="1"/>
  <c r="W25" i="2" s="1"/>
  <c r="V13" i="2"/>
  <c r="V14" i="2" s="1"/>
  <c r="X28" i="2" l="1"/>
  <c r="X22" i="2"/>
  <c r="X7" i="2"/>
  <c r="X13" i="2" s="1"/>
  <c r="V18" i="2"/>
  <c r="V21" i="2" s="1"/>
  <c r="V23" i="2" s="1"/>
  <c r="V26" i="2" s="1"/>
  <c r="V27" i="2"/>
  <c r="U26" i="2"/>
  <c r="X5" i="2"/>
  <c r="X6" i="2" s="1"/>
  <c r="X25" i="2" s="1"/>
  <c r="W13" i="2"/>
  <c r="W14" i="2" s="1"/>
  <c r="Y5" i="2" l="1"/>
  <c r="Y6" i="2" s="1"/>
  <c r="Y28" i="2"/>
  <c r="Y7" i="2"/>
  <c r="Y13" i="2" s="1"/>
  <c r="Y22" i="2"/>
  <c r="W18" i="2"/>
  <c r="W21" i="2" s="1"/>
  <c r="W23" i="2" s="1"/>
  <c r="W27" i="2"/>
  <c r="X14" i="2"/>
  <c r="Z5" i="2" l="1"/>
  <c r="Z6" i="2" s="1"/>
  <c r="Z7" i="2"/>
  <c r="Z13" i="2" s="1"/>
  <c r="Z28" i="2"/>
  <c r="Z22" i="2"/>
  <c r="Y14" i="2"/>
  <c r="Y25" i="2"/>
  <c r="X18" i="2"/>
  <c r="X21" i="2" s="1"/>
  <c r="X23" i="2" s="1"/>
  <c r="X26" i="2" s="1"/>
  <c r="X27" i="2"/>
  <c r="W26" i="2"/>
  <c r="Z14" i="2" l="1"/>
  <c r="Z25" i="2"/>
  <c r="Y18" i="2"/>
  <c r="Y21" i="2" s="1"/>
  <c r="Y23" i="2" s="1"/>
  <c r="Y26" i="2" s="1"/>
  <c r="Y27" i="2"/>
  <c r="Z18" i="2" l="1"/>
  <c r="Z21" i="2" s="1"/>
  <c r="Z23" i="2" s="1"/>
  <c r="Z26" i="2" s="1"/>
  <c r="Z27" i="2"/>
  <c r="AA23" i="2" l="1"/>
  <c r="AB23" i="2" l="1"/>
  <c r="AA26" i="2"/>
  <c r="AC23" i="2" l="1"/>
  <c r="AB26" i="2"/>
  <c r="AD23" i="2" l="1"/>
  <c r="AE23" i="2" s="1"/>
  <c r="AF23" i="2" s="1"/>
  <c r="AG23" i="2" s="1"/>
  <c r="AH23" i="2" s="1"/>
  <c r="AI23" i="2" s="1"/>
  <c r="AJ23" i="2" s="1"/>
  <c r="AK23" i="2" s="1"/>
  <c r="AL23" i="2" s="1"/>
  <c r="AM23" i="2" s="1"/>
  <c r="AN23" i="2" s="1"/>
  <c r="AO23" i="2" s="1"/>
  <c r="AP23" i="2" s="1"/>
  <c r="AQ23" i="2" s="1"/>
  <c r="AR23" i="2" s="1"/>
  <c r="AS23" i="2" s="1"/>
  <c r="AT23" i="2" s="1"/>
  <c r="AU23" i="2" s="1"/>
  <c r="AV23" i="2" s="1"/>
  <c r="AW23" i="2" s="1"/>
  <c r="AX23" i="2" s="1"/>
  <c r="AY23" i="2" s="1"/>
  <c r="AZ23" i="2" s="1"/>
  <c r="BA23" i="2" s="1"/>
  <c r="BB23" i="2" s="1"/>
  <c r="BC23" i="2" s="1"/>
  <c r="BD23" i="2" s="1"/>
  <c r="BE23" i="2" s="1"/>
  <c r="BF23" i="2" s="1"/>
  <c r="BG23" i="2" s="1"/>
  <c r="BH23" i="2" s="1"/>
  <c r="BI23" i="2" s="1"/>
  <c r="BJ23" i="2" s="1"/>
  <c r="BK23" i="2" s="1"/>
  <c r="BL23" i="2" s="1"/>
  <c r="BM23" i="2" s="1"/>
  <c r="BN23" i="2" s="1"/>
  <c r="BO23" i="2" s="1"/>
  <c r="BP23" i="2" s="1"/>
  <c r="BQ23" i="2" s="1"/>
  <c r="BR23" i="2" s="1"/>
  <c r="BS23" i="2" s="1"/>
  <c r="BT23" i="2" s="1"/>
  <c r="BU23" i="2" s="1"/>
  <c r="BV23" i="2" s="1"/>
  <c r="BW23" i="2" s="1"/>
  <c r="BX23" i="2" s="1"/>
  <c r="BY23" i="2" s="1"/>
  <c r="BZ23" i="2" s="1"/>
  <c r="CA23" i="2" s="1"/>
  <c r="CB23" i="2" s="1"/>
  <c r="CC23" i="2" s="1"/>
  <c r="CD23" i="2" s="1"/>
  <c r="CE23" i="2" s="1"/>
  <c r="CF23" i="2" s="1"/>
  <c r="CG23" i="2" s="1"/>
  <c r="CH23" i="2" s="1"/>
  <c r="CI23" i="2" s="1"/>
  <c r="CJ23" i="2" s="1"/>
  <c r="CK23" i="2" s="1"/>
  <c r="CL23" i="2" s="1"/>
  <c r="CM23" i="2" s="1"/>
  <c r="CN23" i="2" s="1"/>
  <c r="CO23" i="2" s="1"/>
  <c r="CP23" i="2" s="1"/>
  <c r="CQ23" i="2" s="1"/>
  <c r="CR23" i="2" s="1"/>
  <c r="CS23" i="2" s="1"/>
  <c r="CT23" i="2" s="1"/>
  <c r="CU23" i="2" s="1"/>
  <c r="CV23" i="2" s="1"/>
  <c r="CW23" i="2" s="1"/>
  <c r="AF29" i="2" s="1"/>
  <c r="AF31" i="2" s="1"/>
  <c r="AC26" i="2"/>
</calcChain>
</file>

<file path=xl/sharedStrings.xml><?xml version="1.0" encoding="utf-8"?>
<sst xmlns="http://schemas.openxmlformats.org/spreadsheetml/2006/main" count="81" uniqueCount="77">
  <si>
    <t>Price</t>
  </si>
  <si>
    <t>Shares</t>
  </si>
  <si>
    <t>Cap</t>
  </si>
  <si>
    <t>Net Cash</t>
  </si>
  <si>
    <t>EV</t>
  </si>
  <si>
    <t>Q121</t>
  </si>
  <si>
    <t>Revenue</t>
  </si>
  <si>
    <t>COGS</t>
  </si>
  <si>
    <t>Gross Profit</t>
  </si>
  <si>
    <t>G&amp;A</t>
  </si>
  <si>
    <t>Sales</t>
  </si>
  <si>
    <t>R&amp;D</t>
  </si>
  <si>
    <t>Other</t>
  </si>
  <si>
    <t>Other Income</t>
  </si>
  <si>
    <t>Other Expense</t>
  </si>
  <si>
    <t>Equity Income</t>
  </si>
  <si>
    <t>Venture</t>
  </si>
  <si>
    <t>Interest</t>
  </si>
  <si>
    <t>Finance</t>
  </si>
  <si>
    <t>Pretax</t>
  </si>
  <si>
    <t>Taxes</t>
  </si>
  <si>
    <t>Net Income</t>
  </si>
  <si>
    <t>Q221</t>
  </si>
  <si>
    <t>Q321</t>
  </si>
  <si>
    <t>Q421</t>
  </si>
  <si>
    <t>Q122</t>
  </si>
  <si>
    <t>Q222</t>
  </si>
  <si>
    <t>Q322</t>
  </si>
  <si>
    <t>Q422</t>
  </si>
  <si>
    <t>Operating Expense</t>
  </si>
  <si>
    <t>Operating Income</t>
  </si>
  <si>
    <t>FY20</t>
  </si>
  <si>
    <t>FY21</t>
  </si>
  <si>
    <t>FY22</t>
  </si>
  <si>
    <t>FY23</t>
  </si>
  <si>
    <t>FY24</t>
  </si>
  <si>
    <t>FY25</t>
  </si>
  <si>
    <t>FY26</t>
  </si>
  <si>
    <t>FY27</t>
  </si>
  <si>
    <t>FY28</t>
  </si>
  <si>
    <t>FY29</t>
  </si>
  <si>
    <t>FY30</t>
  </si>
  <si>
    <t>Gross Margin</t>
  </si>
  <si>
    <t>Net Margin</t>
  </si>
  <si>
    <t>Discount</t>
  </si>
  <si>
    <t>Maturity</t>
  </si>
  <si>
    <t>NPV</t>
  </si>
  <si>
    <t>Chemicals</t>
  </si>
  <si>
    <t>Materials</t>
  </si>
  <si>
    <t>Industrial Solutions</t>
  </si>
  <si>
    <t>Surface Technologies</t>
  </si>
  <si>
    <t>Nutrition &amp; Care</t>
  </si>
  <si>
    <t>Agriculture</t>
  </si>
  <si>
    <t>Total</t>
  </si>
  <si>
    <t>Operating Margin</t>
  </si>
  <si>
    <t>Dividends</t>
  </si>
  <si>
    <t>Ratio</t>
  </si>
  <si>
    <t>CFFO</t>
  </si>
  <si>
    <t>CapEx</t>
  </si>
  <si>
    <t>FCf</t>
  </si>
  <si>
    <t>Cash</t>
  </si>
  <si>
    <t>Investments</t>
  </si>
  <si>
    <t>PP&amp;E</t>
  </si>
  <si>
    <t>Debt</t>
  </si>
  <si>
    <t>NAV</t>
  </si>
  <si>
    <t>Current Assets</t>
  </si>
  <si>
    <t>Current Liab.</t>
  </si>
  <si>
    <t>Working Capital</t>
  </si>
  <si>
    <t>FY31</t>
  </si>
  <si>
    <t>FY32</t>
  </si>
  <si>
    <t>Revenue Y/Y</t>
  </si>
  <si>
    <t>EBIT</t>
  </si>
  <si>
    <t>Cost of net Debt</t>
  </si>
  <si>
    <t>Q3 24</t>
  </si>
  <si>
    <t>FY33</t>
  </si>
  <si>
    <t>FY34</t>
  </si>
  <si>
    <t>FY35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</si>
</sst>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€&quot;\ * #,##0.00_-;\-&quot;€&quot;\ * #,##0.00_-;_-&quot;€&quot;\ * &quot;-&quot;??_-;_-@_-"/>
    <numFmt numFmtId="164" formatCode="#,##0.000"/>
    <numFmt numFmtId="165" formatCode="#,##0.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44" fontId="0" fillId="0" borderId="0" xfId="1" applyFont="1"/>
    <xf numFmtId="3" fontId="0" fillId="0" borderId="0" xfId="0" applyNumberFormat="1"/>
    <xf numFmtId="9" fontId="0" fillId="0" borderId="0" xfId="2" applyFont="1"/>
    <xf numFmtId="164" fontId="0" fillId="0" borderId="0" xfId="0" applyNumberFormat="1"/>
    <xf numFmtId="165" fontId="0" fillId="0" borderId="0" xfId="0" applyNumberFormat="1"/>
    <xf numFmtId="2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13139</xdr:colOff>
      <xdr:row>2</xdr:row>
      <xdr:rowOff>98535</xdr:rowOff>
    </xdr:from>
    <xdr:to>
      <xdr:col>18</xdr:col>
      <xdr:colOff>26277</xdr:colOff>
      <xdr:row>49</xdr:row>
      <xdr:rowOff>164224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23B551EF-F596-D3D0-9F8B-F75E60622FFE}"/>
            </a:ext>
          </a:extLst>
        </xdr:cNvPr>
        <xdr:cNvCxnSpPr/>
      </xdr:nvCxnSpPr>
      <xdr:spPr>
        <a:xfrm>
          <a:off x="11600794" y="479535"/>
          <a:ext cx="13138" cy="901918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D1838-B7FE-4288-A376-BBE467757EB1}">
  <dimension ref="C3:D7"/>
  <sheetViews>
    <sheetView workbookViewId="0">
      <selection activeCell="E3" sqref="E3"/>
    </sheetView>
  </sheetViews>
  <sheetFormatPr defaultRowHeight="15" x14ac:dyDescent="0.25"/>
  <sheetData>
    <row r="3" spans="3:4" x14ac:dyDescent="0.25">
      <c r="C3" t="s">
        <v>0</v>
      </c>
      <c r="D3" s="1">
        <v>47.62</v>
      </c>
    </row>
    <row r="4" spans="3:4" x14ac:dyDescent="0.25">
      <c r="C4" t="s">
        <v>1</v>
      </c>
      <c r="D4">
        <v>898.12789999999995</v>
      </c>
    </row>
    <row r="5" spans="3:4" x14ac:dyDescent="0.25">
      <c r="C5" t="s">
        <v>2</v>
      </c>
      <c r="D5">
        <f>+D3*D4</f>
        <v>42768.850597999997</v>
      </c>
    </row>
    <row r="6" spans="3:4" x14ac:dyDescent="0.25">
      <c r="C6" t="s">
        <v>3</v>
      </c>
      <c r="D6">
        <f>4971.8-16611.4</f>
        <v>-11639.600000000002</v>
      </c>
    </row>
    <row r="7" spans="3:4" x14ac:dyDescent="0.25">
      <c r="C7" t="s">
        <v>4</v>
      </c>
      <c r="D7">
        <f>+D5-D6</f>
        <v>54408.450597999996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AFF46-D6BC-473A-A87C-AFCF8262FCE6}">
  <dimension ref="A1:CW56"/>
  <sheetViews>
    <sheetView tabSelected="1" zoomScale="145" zoomScaleNormal="145" workbookViewId="0">
      <pane xSplit="1" ySplit="1" topLeftCell="Q14" activePane="bottomRight" state="frozen"/>
      <selection pane="topRight" activeCell="B1" sqref="B1"/>
      <selection pane="bottomLeft" activeCell="A2" sqref="A2"/>
      <selection pane="bottomRight" activeCell="AF29" sqref="AF29"/>
    </sheetView>
  </sheetViews>
  <sheetFormatPr defaultRowHeight="15" x14ac:dyDescent="0.25"/>
  <cols>
    <col min="1" max="1" width="18" bestFit="1" customWidth="1"/>
    <col min="27" max="27" width="9.140625" customWidth="1"/>
    <col min="28" max="29" width="9.28515625" customWidth="1"/>
    <col min="32" max="32" width="11.140625" bestFit="1" customWidth="1"/>
  </cols>
  <sheetData>
    <row r="1" spans="1:29" x14ac:dyDescent="0.25">
      <c r="B1" t="s">
        <v>5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  <c r="W1" t="s">
        <v>40</v>
      </c>
      <c r="X1" t="s">
        <v>41</v>
      </c>
      <c r="Y1" t="s">
        <v>68</v>
      </c>
      <c r="Z1" t="s">
        <v>69</v>
      </c>
      <c r="AA1" t="s">
        <v>74</v>
      </c>
      <c r="AB1" t="s">
        <v>75</v>
      </c>
      <c r="AC1" t="s">
        <v>76</v>
      </c>
    </row>
    <row r="3" spans="1:29" x14ac:dyDescent="0.25"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9" s="2" customFormat="1" x14ac:dyDescent="0.25">
      <c r="A4" s="2" t="s">
        <v>6</v>
      </c>
      <c r="N4" s="2">
        <v>59149</v>
      </c>
      <c r="O4" s="2">
        <v>78598</v>
      </c>
      <c r="P4" s="2">
        <v>87327</v>
      </c>
      <c r="Q4" s="2">
        <v>68902</v>
      </c>
      <c r="R4" s="2">
        <v>65260</v>
      </c>
      <c r="S4" s="2">
        <f>+R4*0.97</f>
        <v>63302.2</v>
      </c>
      <c r="T4" s="2">
        <v>63500</v>
      </c>
      <c r="U4" s="2">
        <v>65000</v>
      </c>
      <c r="V4" s="2">
        <v>67500</v>
      </c>
      <c r="W4" s="2">
        <f>+V4*1.03</f>
        <v>69525</v>
      </c>
      <c r="X4" s="2">
        <f t="shared" ref="X4:AC4" si="0">+W4*1.03</f>
        <v>71610.75</v>
      </c>
      <c r="Y4" s="2">
        <f t="shared" si="0"/>
        <v>73759.072499999995</v>
      </c>
      <c r="Z4" s="2">
        <f t="shared" si="0"/>
        <v>75971.844675</v>
      </c>
      <c r="AA4" s="2">
        <f t="shared" si="0"/>
        <v>78251.00001525</v>
      </c>
      <c r="AB4" s="2">
        <f t="shared" si="0"/>
        <v>80598.530015707496</v>
      </c>
      <c r="AC4" s="2">
        <f t="shared" si="0"/>
        <v>83016.485916178717</v>
      </c>
    </row>
    <row r="5" spans="1:29" s="2" customFormat="1" x14ac:dyDescent="0.25">
      <c r="A5" s="2" t="s">
        <v>7</v>
      </c>
      <c r="N5" s="2">
        <v>44040</v>
      </c>
      <c r="O5" s="2">
        <v>58801</v>
      </c>
      <c r="P5" s="2">
        <v>66260</v>
      </c>
      <c r="Q5" s="2">
        <v>52200</v>
      </c>
      <c r="R5" s="2">
        <v>48174</v>
      </c>
      <c r="S5" s="2">
        <f t="shared" ref="S5:X5" si="1">+S4*0.75</f>
        <v>47476.649999999994</v>
      </c>
      <c r="T5" s="2">
        <f t="shared" si="1"/>
        <v>47625</v>
      </c>
      <c r="U5" s="2">
        <f t="shared" si="1"/>
        <v>48750</v>
      </c>
      <c r="V5" s="2">
        <f t="shared" si="1"/>
        <v>50625</v>
      </c>
      <c r="W5" s="2">
        <f t="shared" si="1"/>
        <v>52143.75</v>
      </c>
      <c r="X5" s="2">
        <f t="shared" si="1"/>
        <v>53708.0625</v>
      </c>
      <c r="Y5" s="2">
        <f t="shared" ref="Y5:AC5" si="2">+Y4*0.75</f>
        <v>55319.304374999992</v>
      </c>
      <c r="Z5" s="2">
        <f t="shared" si="2"/>
        <v>56978.88350625</v>
      </c>
      <c r="AA5" s="2">
        <f t="shared" si="2"/>
        <v>58688.2500114375</v>
      </c>
      <c r="AB5" s="2">
        <f t="shared" si="2"/>
        <v>60448.897511780626</v>
      </c>
      <c r="AC5" s="2">
        <f t="shared" si="2"/>
        <v>62262.364437134034</v>
      </c>
    </row>
    <row r="6" spans="1:29" s="2" customFormat="1" x14ac:dyDescent="0.25">
      <c r="A6" s="2" t="s">
        <v>8</v>
      </c>
      <c r="B6" s="2">
        <f>+B4-B5</f>
        <v>0</v>
      </c>
      <c r="C6" s="2">
        <f t="shared" ref="C6:I6" si="3">+C4-C5</f>
        <v>0</v>
      </c>
      <c r="D6" s="2">
        <f t="shared" si="3"/>
        <v>0</v>
      </c>
      <c r="E6" s="2">
        <f t="shared" si="3"/>
        <v>0</v>
      </c>
      <c r="F6" s="2">
        <f t="shared" si="3"/>
        <v>0</v>
      </c>
      <c r="G6" s="2">
        <f t="shared" si="3"/>
        <v>0</v>
      </c>
      <c r="H6" s="2">
        <f t="shared" si="3"/>
        <v>0</v>
      </c>
      <c r="I6" s="2">
        <f t="shared" si="3"/>
        <v>0</v>
      </c>
      <c r="N6" s="2">
        <f>+N4-N5</f>
        <v>15109</v>
      </c>
      <c r="O6" s="2">
        <f t="shared" ref="O6" si="4">+O4-O5</f>
        <v>19797</v>
      </c>
      <c r="P6" s="2">
        <f t="shared" ref="P6" si="5">+P4-P5</f>
        <v>21067</v>
      </c>
      <c r="Q6" s="2">
        <f t="shared" ref="Q6" si="6">+Q4-Q5</f>
        <v>16702</v>
      </c>
      <c r="R6" s="2">
        <f t="shared" ref="R6" si="7">+R4-R5</f>
        <v>17086</v>
      </c>
      <c r="S6" s="2">
        <f t="shared" ref="S6" si="8">+S4-S5</f>
        <v>15825.550000000003</v>
      </c>
      <c r="T6" s="2">
        <f t="shared" ref="T6" si="9">+T4-T5</f>
        <v>15875</v>
      </c>
      <c r="U6" s="2">
        <f t="shared" ref="U6" si="10">+U4-U5</f>
        <v>16250</v>
      </c>
      <c r="V6" s="2">
        <f t="shared" ref="V6" si="11">+V4-V5</f>
        <v>16875</v>
      </c>
      <c r="W6" s="2">
        <f t="shared" ref="W6" si="12">+W4-W5</f>
        <v>17381.25</v>
      </c>
      <c r="X6" s="2">
        <f t="shared" ref="X6:Y6" si="13">+X4-X5</f>
        <v>17902.6875</v>
      </c>
      <c r="Y6" s="2">
        <f t="shared" si="13"/>
        <v>18439.768125000002</v>
      </c>
      <c r="Z6" s="2">
        <f t="shared" ref="Z6:AC6" si="14">+Z4-Z5</f>
        <v>18992.96116875</v>
      </c>
      <c r="AA6" s="2">
        <f t="shared" si="14"/>
        <v>19562.7500038125</v>
      </c>
      <c r="AB6" s="2">
        <f t="shared" si="14"/>
        <v>20149.63250392687</v>
      </c>
      <c r="AC6" s="2">
        <f t="shared" si="14"/>
        <v>20754.121479044683</v>
      </c>
    </row>
    <row r="7" spans="1:29" s="2" customFormat="1" x14ac:dyDescent="0.25">
      <c r="A7" s="2" t="s">
        <v>10</v>
      </c>
      <c r="N7" s="2">
        <v>7497</v>
      </c>
      <c r="O7" s="2">
        <v>8414</v>
      </c>
      <c r="P7" s="2">
        <v>9613</v>
      </c>
      <c r="Q7" s="2">
        <v>8788</v>
      </c>
      <c r="R7" s="2">
        <v>8782</v>
      </c>
      <c r="S7" s="2">
        <f t="shared" ref="S7:X7" si="15">+S4*0.12</f>
        <v>7596.2639999999992</v>
      </c>
      <c r="T7" s="2">
        <f t="shared" si="15"/>
        <v>7620</v>
      </c>
      <c r="U7" s="2">
        <f t="shared" si="15"/>
        <v>7800</v>
      </c>
      <c r="V7" s="2">
        <f t="shared" si="15"/>
        <v>8100</v>
      </c>
      <c r="W7" s="2">
        <f t="shared" si="15"/>
        <v>8343</v>
      </c>
      <c r="X7" s="2">
        <f t="shared" si="15"/>
        <v>8593.2899999999991</v>
      </c>
      <c r="Y7" s="2">
        <f t="shared" ref="Y7:Z7" si="16">+Y4*0.12</f>
        <v>8851.0886999999984</v>
      </c>
      <c r="Z7" s="2">
        <f t="shared" si="16"/>
        <v>9116.6213609999995</v>
      </c>
      <c r="AA7" s="2">
        <f t="shared" ref="AA7:AC7" si="17">+AA4*0.12</f>
        <v>9390.1200018299987</v>
      </c>
      <c r="AB7" s="2">
        <f t="shared" si="17"/>
        <v>9671.8236018848984</v>
      </c>
      <c r="AC7" s="2">
        <f t="shared" si="17"/>
        <v>9961.9783099414453</v>
      </c>
    </row>
    <row r="8" spans="1:29" s="2" customFormat="1" x14ac:dyDescent="0.25">
      <c r="A8" s="2" t="s">
        <v>9</v>
      </c>
      <c r="N8" s="2">
        <v>1228</v>
      </c>
      <c r="O8" s="2">
        <v>1408</v>
      </c>
      <c r="P8" s="2">
        <v>1520</v>
      </c>
      <c r="Q8" s="2">
        <v>1506</v>
      </c>
      <c r="R8" s="2">
        <v>1466</v>
      </c>
      <c r="S8" s="2">
        <f t="shared" ref="S8:Z8" si="18">+R8*1.01</f>
        <v>1480.66</v>
      </c>
      <c r="T8" s="2">
        <f t="shared" si="18"/>
        <v>1495.4666000000002</v>
      </c>
      <c r="U8" s="2">
        <f t="shared" si="18"/>
        <v>1510.4212660000003</v>
      </c>
      <c r="V8" s="2">
        <f t="shared" si="18"/>
        <v>1525.5254786600003</v>
      </c>
      <c r="W8" s="2">
        <f t="shared" si="18"/>
        <v>1540.7807334466004</v>
      </c>
      <c r="X8" s="2">
        <f t="shared" si="18"/>
        <v>1556.1885407810664</v>
      </c>
      <c r="Y8" s="2">
        <f t="shared" si="18"/>
        <v>1571.7504261888771</v>
      </c>
      <c r="Z8" s="2">
        <f t="shared" si="18"/>
        <v>1587.4679304507658</v>
      </c>
      <c r="AA8" s="2">
        <f t="shared" ref="AA8" si="19">+Z8*1.01</f>
        <v>1603.3426097552735</v>
      </c>
      <c r="AB8" s="2">
        <f t="shared" ref="AB8" si="20">+AA8*1.01</f>
        <v>1619.3760358528264</v>
      </c>
      <c r="AC8" s="2">
        <f t="shared" ref="AC8" si="21">+AB8*1.01</f>
        <v>1635.5697962113547</v>
      </c>
    </row>
    <row r="9" spans="1:29" s="2" customFormat="1" x14ac:dyDescent="0.25">
      <c r="A9" s="2" t="s">
        <v>11</v>
      </c>
      <c r="N9" s="2">
        <v>2086</v>
      </c>
      <c r="O9" s="2">
        <v>2216</v>
      </c>
      <c r="P9" s="2">
        <v>2298</v>
      </c>
      <c r="Q9" s="2">
        <v>2130</v>
      </c>
      <c r="R9" s="2">
        <v>2061</v>
      </c>
      <c r="S9" s="2">
        <f t="shared" ref="S9:Z9" si="22">+R9*1.005</f>
        <v>2071.3049999999998</v>
      </c>
      <c r="T9" s="2">
        <f t="shared" si="22"/>
        <v>2081.6615249999995</v>
      </c>
      <c r="U9" s="2">
        <f t="shared" si="22"/>
        <v>2092.0698326249994</v>
      </c>
      <c r="V9" s="2">
        <f t="shared" si="22"/>
        <v>2102.5301817881241</v>
      </c>
      <c r="W9" s="2">
        <f t="shared" si="22"/>
        <v>2113.0428326970646</v>
      </c>
      <c r="X9" s="2">
        <f t="shared" si="22"/>
        <v>2123.6080468605496</v>
      </c>
      <c r="Y9" s="2">
        <f t="shared" si="22"/>
        <v>2134.2260870948521</v>
      </c>
      <c r="Z9" s="2">
        <f t="shared" si="22"/>
        <v>2144.8972175303261</v>
      </c>
      <c r="AA9" s="2">
        <f t="shared" ref="AA9" si="23">+Z9*1.005</f>
        <v>2155.6217036179773</v>
      </c>
      <c r="AB9" s="2">
        <f t="shared" ref="AB9" si="24">+AA9*1.005</f>
        <v>2166.3998121360669</v>
      </c>
      <c r="AC9" s="2">
        <f t="shared" ref="AC9" si="25">+AB9*1.005</f>
        <v>2177.231811196747</v>
      </c>
    </row>
    <row r="10" spans="1:29" s="2" customFormat="1" x14ac:dyDescent="0.25">
      <c r="A10" s="2" t="s">
        <v>13</v>
      </c>
      <c r="N10" s="2">
        <v>1399</v>
      </c>
      <c r="O10" s="2">
        <v>1894</v>
      </c>
      <c r="P10" s="2">
        <v>1808</v>
      </c>
      <c r="Q10" s="2">
        <v>1990</v>
      </c>
      <c r="R10" s="2">
        <v>1374</v>
      </c>
      <c r="S10" s="2">
        <v>2000</v>
      </c>
      <c r="T10" s="2">
        <v>2000</v>
      </c>
      <c r="U10" s="2">
        <v>2000</v>
      </c>
      <c r="V10" s="2">
        <v>2000</v>
      </c>
      <c r="W10" s="2">
        <v>2000</v>
      </c>
      <c r="X10" s="2">
        <v>2000</v>
      </c>
      <c r="Y10" s="2">
        <v>2000</v>
      </c>
      <c r="Z10" s="2">
        <v>2000</v>
      </c>
      <c r="AA10" s="2">
        <v>2000</v>
      </c>
      <c r="AB10" s="2">
        <v>2000</v>
      </c>
      <c r="AC10" s="2">
        <v>2000</v>
      </c>
    </row>
    <row r="11" spans="1:29" s="2" customFormat="1" x14ac:dyDescent="0.25">
      <c r="A11" s="2" t="s">
        <v>14</v>
      </c>
      <c r="N11" s="2">
        <v>6108</v>
      </c>
      <c r="O11" s="2">
        <v>2650</v>
      </c>
      <c r="P11" s="2">
        <v>3283</v>
      </c>
      <c r="Q11" s="2">
        <v>4221</v>
      </c>
      <c r="R11" s="2">
        <v>4120</v>
      </c>
      <c r="S11" s="2">
        <v>3500</v>
      </c>
      <c r="T11" s="2">
        <v>3500</v>
      </c>
      <c r="U11" s="2">
        <v>3500</v>
      </c>
      <c r="V11" s="2">
        <v>3500</v>
      </c>
      <c r="W11" s="2">
        <v>3500</v>
      </c>
      <c r="X11" s="2">
        <v>3500</v>
      </c>
      <c r="Y11" s="2">
        <v>3500</v>
      </c>
      <c r="Z11" s="2">
        <v>3500</v>
      </c>
      <c r="AA11" s="2">
        <v>3500</v>
      </c>
      <c r="AB11" s="2">
        <v>3500</v>
      </c>
      <c r="AC11" s="2">
        <v>3500</v>
      </c>
    </row>
    <row r="12" spans="1:29" s="2" customFormat="1" x14ac:dyDescent="0.25">
      <c r="A12" s="2" t="s">
        <v>15</v>
      </c>
      <c r="N12" s="2">
        <v>220</v>
      </c>
      <c r="O12" s="2">
        <v>675</v>
      </c>
      <c r="P12" s="2">
        <v>386</v>
      </c>
      <c r="Q12" s="2">
        <v>192</v>
      </c>
      <c r="R12" s="2">
        <v>2</v>
      </c>
      <c r="S12" s="2">
        <v>200</v>
      </c>
      <c r="T12" s="2">
        <v>200</v>
      </c>
      <c r="U12" s="2">
        <v>200</v>
      </c>
      <c r="V12" s="2">
        <v>200</v>
      </c>
      <c r="W12" s="2">
        <v>200</v>
      </c>
      <c r="X12" s="2">
        <v>200</v>
      </c>
      <c r="Y12" s="2">
        <v>200</v>
      </c>
      <c r="Z12" s="2">
        <v>200</v>
      </c>
      <c r="AA12" s="2">
        <v>200</v>
      </c>
      <c r="AB12" s="2">
        <v>200</v>
      </c>
      <c r="AC12" s="2">
        <v>200</v>
      </c>
    </row>
    <row r="13" spans="1:29" s="2" customFormat="1" x14ac:dyDescent="0.25">
      <c r="A13" s="2" t="s">
        <v>29</v>
      </c>
      <c r="B13" s="2">
        <f t="shared" ref="B13" si="26">+B7+B8+B9-B10+B11-B12</f>
        <v>0</v>
      </c>
      <c r="C13" s="2">
        <f t="shared" ref="C13" si="27">+C7+C8+C9-C10+C11-C12</f>
        <v>0</v>
      </c>
      <c r="D13" s="2">
        <f t="shared" ref="D13" si="28">+D7+D8+D9-D10+D11-D12</f>
        <v>0</v>
      </c>
      <c r="E13" s="2">
        <f t="shared" ref="E13" si="29">+E7+E8+E9-E10+E11-E12</f>
        <v>0</v>
      </c>
      <c r="F13" s="2">
        <f t="shared" ref="F13" si="30">+F7+F8+F9-F10+F11-F12</f>
        <v>0</v>
      </c>
      <c r="G13" s="2">
        <f t="shared" ref="G13" si="31">+G7+G8+G9-G10+G11-G12</f>
        <v>0</v>
      </c>
      <c r="H13" s="2">
        <f t="shared" ref="H13" si="32">+H7+H8+H9-H10+H11-H12</f>
        <v>0</v>
      </c>
      <c r="I13" s="2">
        <f t="shared" ref="I13" si="33">+I7+I8+I9-I10+I11-I12</f>
        <v>0</v>
      </c>
      <c r="N13" s="2">
        <f>+N7+N8+N9-N10+N11-N12</f>
        <v>15300</v>
      </c>
      <c r="O13" s="2">
        <f t="shared" ref="O13:X13" si="34">+O7+O8+O9-O10+O11-O12</f>
        <v>12119</v>
      </c>
      <c r="P13" s="2">
        <f t="shared" si="34"/>
        <v>14520</v>
      </c>
      <c r="Q13" s="2">
        <f t="shared" si="34"/>
        <v>14463</v>
      </c>
      <c r="R13" s="2">
        <f t="shared" si="34"/>
        <v>15053</v>
      </c>
      <c r="S13" s="2">
        <f t="shared" si="34"/>
        <v>12448.228999999999</v>
      </c>
      <c r="T13" s="2">
        <f t="shared" si="34"/>
        <v>12497.128124999999</v>
      </c>
      <c r="U13" s="2">
        <f t="shared" si="34"/>
        <v>12702.491098625</v>
      </c>
      <c r="V13" s="2">
        <f t="shared" si="34"/>
        <v>13028.055660448124</v>
      </c>
      <c r="W13" s="2">
        <f t="shared" si="34"/>
        <v>13296.823566143665</v>
      </c>
      <c r="X13" s="2">
        <f t="shared" si="34"/>
        <v>13573.086587641614</v>
      </c>
      <c r="Y13" s="2">
        <f t="shared" ref="Y13:Z13" si="35">+Y7+Y8+Y9-Y10+Y11-Y12</f>
        <v>13857.065213283728</v>
      </c>
      <c r="Z13" s="2">
        <f t="shared" si="35"/>
        <v>14148.986508981092</v>
      </c>
      <c r="AA13" s="2">
        <f t="shared" ref="AA13:AC13" si="36">+AA7+AA8+AA9-AA10+AA11-AA12</f>
        <v>14449.084315203248</v>
      </c>
      <c r="AB13" s="2">
        <f t="shared" si="36"/>
        <v>14757.599449873793</v>
      </c>
      <c r="AC13" s="2">
        <f t="shared" si="36"/>
        <v>15074.779917349548</v>
      </c>
    </row>
    <row r="14" spans="1:29" s="2" customFormat="1" x14ac:dyDescent="0.25">
      <c r="A14" s="2" t="s">
        <v>30</v>
      </c>
      <c r="B14" s="2">
        <f>+B6-B13</f>
        <v>0</v>
      </c>
      <c r="C14" s="2">
        <f t="shared" ref="C14:I14" si="37">+C6-C13</f>
        <v>0</v>
      </c>
      <c r="D14" s="2">
        <f t="shared" si="37"/>
        <v>0</v>
      </c>
      <c r="E14" s="2">
        <f t="shared" si="37"/>
        <v>0</v>
      </c>
      <c r="F14" s="2">
        <f t="shared" si="37"/>
        <v>0</v>
      </c>
      <c r="G14" s="2">
        <f t="shared" si="37"/>
        <v>0</v>
      </c>
      <c r="H14" s="2">
        <f t="shared" si="37"/>
        <v>0</v>
      </c>
      <c r="I14" s="2">
        <f t="shared" si="37"/>
        <v>0</v>
      </c>
      <c r="N14" s="2">
        <f>+N6-N13</f>
        <v>-191</v>
      </c>
      <c r="O14" s="2">
        <f t="shared" ref="O14" si="38">+O6-O13</f>
        <v>7678</v>
      </c>
      <c r="P14" s="2">
        <f t="shared" ref="P14" si="39">+P6-P13</f>
        <v>6547</v>
      </c>
      <c r="Q14" s="2">
        <f t="shared" ref="Q14" si="40">+Q6-Q13</f>
        <v>2239</v>
      </c>
      <c r="R14" s="2">
        <f t="shared" ref="R14" si="41">+R6-R13</f>
        <v>2033</v>
      </c>
      <c r="S14" s="2">
        <f t="shared" ref="S14" si="42">+S6-S13</f>
        <v>3377.3210000000036</v>
      </c>
      <c r="T14" s="2">
        <f t="shared" ref="T14" si="43">+T6-T13</f>
        <v>3377.8718750000007</v>
      </c>
      <c r="U14" s="2">
        <f t="shared" ref="U14" si="44">+U6-U13</f>
        <v>3547.5089013750003</v>
      </c>
      <c r="V14" s="2">
        <f t="shared" ref="V14" si="45">+V6-V13</f>
        <v>3846.9443395518756</v>
      </c>
      <c r="W14" s="2">
        <f t="shared" ref="W14" si="46">+W6-W13</f>
        <v>4084.4264338563353</v>
      </c>
      <c r="X14" s="2">
        <f t="shared" ref="X14:Y14" si="47">+X6-X13</f>
        <v>4329.6009123583863</v>
      </c>
      <c r="Y14" s="2">
        <f t="shared" si="47"/>
        <v>4582.7029117162747</v>
      </c>
      <c r="Z14" s="2">
        <f t="shared" ref="Z14:AC14" si="48">+Z6-Z13</f>
        <v>4843.9746597689082</v>
      </c>
      <c r="AA14" s="2">
        <f t="shared" si="48"/>
        <v>5113.6656886092514</v>
      </c>
      <c r="AB14" s="2">
        <f t="shared" si="48"/>
        <v>5392.0330540530776</v>
      </c>
      <c r="AC14" s="2">
        <f t="shared" si="48"/>
        <v>5679.3415616951352</v>
      </c>
    </row>
    <row r="15" spans="1:29" s="2" customFormat="1" x14ac:dyDescent="0.25">
      <c r="A15" s="2" t="s">
        <v>15</v>
      </c>
      <c r="N15" s="2">
        <v>-925</v>
      </c>
      <c r="O15" s="2">
        <v>285</v>
      </c>
      <c r="P15" s="2">
        <v>-4885</v>
      </c>
      <c r="Q15" s="2">
        <v>-114</v>
      </c>
      <c r="R15" s="2">
        <v>651</v>
      </c>
    </row>
    <row r="16" spans="1:29" s="2" customFormat="1" x14ac:dyDescent="0.25">
      <c r="A16" s="2" t="s">
        <v>16</v>
      </c>
      <c r="N16" s="2">
        <v>157</v>
      </c>
      <c r="O16" s="2">
        <v>47</v>
      </c>
      <c r="P16" s="2">
        <v>34</v>
      </c>
      <c r="Q16" s="2">
        <v>55</v>
      </c>
      <c r="R16" s="2">
        <v>76</v>
      </c>
      <c r="S16" s="2">
        <v>50</v>
      </c>
      <c r="T16" s="2">
        <v>50</v>
      </c>
      <c r="U16" s="2">
        <v>50</v>
      </c>
      <c r="V16" s="2">
        <v>50</v>
      </c>
      <c r="W16" s="2">
        <v>50</v>
      </c>
      <c r="X16" s="2">
        <v>50</v>
      </c>
      <c r="Y16" s="2">
        <v>50</v>
      </c>
      <c r="Z16" s="2">
        <v>50</v>
      </c>
      <c r="AA16" s="2">
        <v>50</v>
      </c>
      <c r="AB16" s="2">
        <v>50</v>
      </c>
      <c r="AC16" s="2">
        <v>50</v>
      </c>
    </row>
    <row r="17" spans="1:101" s="2" customFormat="1" x14ac:dyDescent="0.25">
      <c r="A17" s="2" t="s">
        <v>14</v>
      </c>
      <c r="N17" s="2">
        <v>141</v>
      </c>
      <c r="O17" s="2">
        <v>125</v>
      </c>
      <c r="P17" s="2">
        <v>89</v>
      </c>
      <c r="Q17" s="2">
        <v>141</v>
      </c>
      <c r="R17" s="2">
        <v>129</v>
      </c>
      <c r="S17" s="2">
        <v>100</v>
      </c>
      <c r="T17" s="2">
        <v>100</v>
      </c>
      <c r="U17" s="2">
        <v>100</v>
      </c>
      <c r="V17" s="2">
        <v>100</v>
      </c>
      <c r="W17" s="2">
        <v>100</v>
      </c>
      <c r="X17" s="2">
        <v>100</v>
      </c>
      <c r="Y17" s="2">
        <v>100</v>
      </c>
      <c r="Z17" s="2">
        <v>100</v>
      </c>
      <c r="AA17" s="2">
        <v>100</v>
      </c>
      <c r="AB17" s="2">
        <v>100</v>
      </c>
      <c r="AC17" s="2">
        <v>100</v>
      </c>
    </row>
    <row r="18" spans="1:101" s="2" customFormat="1" x14ac:dyDescent="0.25">
      <c r="A18" s="2" t="s">
        <v>71</v>
      </c>
      <c r="B18" s="2">
        <f>+B14+B15+B16+B17</f>
        <v>0</v>
      </c>
      <c r="C18" s="2">
        <f t="shared" ref="C18:I18" si="49">+C14+C15+C16+C17</f>
        <v>0</v>
      </c>
      <c r="D18" s="2">
        <f t="shared" si="49"/>
        <v>0</v>
      </c>
      <c r="E18" s="2">
        <f t="shared" si="49"/>
        <v>0</v>
      </c>
      <c r="F18" s="2">
        <f t="shared" si="49"/>
        <v>0</v>
      </c>
      <c r="G18" s="2">
        <f t="shared" si="49"/>
        <v>0</v>
      </c>
      <c r="H18" s="2">
        <f t="shared" si="49"/>
        <v>0</v>
      </c>
      <c r="I18" s="2">
        <f t="shared" si="49"/>
        <v>0</v>
      </c>
      <c r="N18" s="2">
        <f>+N14+N15+N16-N17</f>
        <v>-1100</v>
      </c>
      <c r="O18" s="2">
        <f t="shared" ref="O18:X18" si="50">+O14+O15+O16-O17</f>
        <v>7885</v>
      </c>
      <c r="P18" s="2">
        <f t="shared" si="50"/>
        <v>1607</v>
      </c>
      <c r="Q18" s="2">
        <f t="shared" si="50"/>
        <v>2039</v>
      </c>
      <c r="R18" s="2">
        <f t="shared" si="50"/>
        <v>2631</v>
      </c>
      <c r="S18" s="2">
        <f t="shared" si="50"/>
        <v>3327.3210000000036</v>
      </c>
      <c r="T18" s="2">
        <f t="shared" si="50"/>
        <v>3327.8718750000007</v>
      </c>
      <c r="U18" s="2">
        <f t="shared" si="50"/>
        <v>3497.5089013750003</v>
      </c>
      <c r="V18" s="2">
        <f t="shared" si="50"/>
        <v>3796.9443395518756</v>
      </c>
      <c r="W18" s="2">
        <f t="shared" si="50"/>
        <v>4034.4264338563353</v>
      </c>
      <c r="X18" s="2">
        <f t="shared" si="50"/>
        <v>4279.6009123583863</v>
      </c>
      <c r="Y18" s="2">
        <f t="shared" ref="Y18:Z18" si="51">+Y14+Y15+Y16-Y17</f>
        <v>4532.7029117162747</v>
      </c>
      <c r="Z18" s="2">
        <f t="shared" si="51"/>
        <v>4793.9746597689082</v>
      </c>
      <c r="AA18" s="2">
        <f t="shared" ref="AA18:AC18" si="52">+AA14+AA15+AA16-AA17</f>
        <v>5063.6656886092514</v>
      </c>
      <c r="AB18" s="2">
        <f t="shared" si="52"/>
        <v>5342.0330540530776</v>
      </c>
      <c r="AC18" s="2">
        <f t="shared" si="52"/>
        <v>5629.3415616951352</v>
      </c>
    </row>
    <row r="19" spans="1:101" s="2" customFormat="1" x14ac:dyDescent="0.25">
      <c r="A19" s="2" t="s">
        <v>17</v>
      </c>
      <c r="N19" s="2">
        <v>373</v>
      </c>
      <c r="O19" s="2">
        <v>314</v>
      </c>
      <c r="P19" s="2">
        <v>433</v>
      </c>
      <c r="Q19" s="2">
        <f>-322+860</f>
        <v>538</v>
      </c>
      <c r="R19" s="2">
        <f>371-929</f>
        <v>-558</v>
      </c>
      <c r="S19" s="2">
        <f t="shared" ref="S19" si="53">+R19*0.95</f>
        <v>-530.1</v>
      </c>
      <c r="T19" s="2">
        <f>+S19*0.98</f>
        <v>-519.49800000000005</v>
      </c>
      <c r="U19" s="2">
        <f t="shared" ref="U19:AC19" si="54">+T19*0.98</f>
        <v>-509.10804000000002</v>
      </c>
      <c r="V19" s="2">
        <f t="shared" si="54"/>
        <v>-498.9258792</v>
      </c>
      <c r="W19" s="2">
        <f t="shared" si="54"/>
        <v>-488.94736161599997</v>
      </c>
      <c r="X19" s="2">
        <f t="shared" si="54"/>
        <v>-479.16841438367993</v>
      </c>
      <c r="Y19" s="2">
        <f t="shared" si="54"/>
        <v>-469.58504609600635</v>
      </c>
      <c r="Z19" s="2">
        <f t="shared" si="54"/>
        <v>-460.19334517408623</v>
      </c>
      <c r="AA19" s="2">
        <f t="shared" si="54"/>
        <v>-450.98947827060448</v>
      </c>
      <c r="AB19" s="2">
        <f t="shared" si="54"/>
        <v>-441.96968870519237</v>
      </c>
      <c r="AC19" s="2">
        <f t="shared" si="54"/>
        <v>-433.13029493108849</v>
      </c>
    </row>
    <row r="20" spans="1:101" s="2" customFormat="1" x14ac:dyDescent="0.25">
      <c r="A20" s="2" t="s">
        <v>18</v>
      </c>
      <c r="N20" s="2">
        <v>89</v>
      </c>
      <c r="O20" s="2">
        <v>122</v>
      </c>
      <c r="P20" s="2">
        <v>-15</v>
      </c>
      <c r="Q20" s="2">
        <v>82</v>
      </c>
      <c r="R20" s="2">
        <v>-5</v>
      </c>
      <c r="S20" s="2">
        <f t="shared" ref="S20:Z20" si="55">+R20*1.02</f>
        <v>-5.0999999999999996</v>
      </c>
      <c r="T20" s="2">
        <f t="shared" si="55"/>
        <v>-5.202</v>
      </c>
      <c r="U20" s="2">
        <f t="shared" si="55"/>
        <v>-5.3060400000000003</v>
      </c>
      <c r="V20" s="2">
        <f t="shared" si="55"/>
        <v>-5.4121608000000005</v>
      </c>
      <c r="W20" s="2">
        <f t="shared" si="55"/>
        <v>-5.5204040160000005</v>
      </c>
      <c r="X20" s="2">
        <f t="shared" si="55"/>
        <v>-5.6308120963200006</v>
      </c>
      <c r="Y20" s="2">
        <f t="shared" si="55"/>
        <v>-5.7434283382464004</v>
      </c>
      <c r="Z20" s="2">
        <f t="shared" si="55"/>
        <v>-5.8582969050113283</v>
      </c>
      <c r="AA20" s="2">
        <f t="shared" ref="AA20" si="56">+Z20*1.02</f>
        <v>-5.9754628431115551</v>
      </c>
      <c r="AB20" s="2">
        <f t="shared" ref="AB20" si="57">+AA20*1.02</f>
        <v>-6.094972099973786</v>
      </c>
      <c r="AC20" s="2">
        <f t="shared" ref="AC20" si="58">+AB20*1.02</f>
        <v>-6.2168715419732621</v>
      </c>
    </row>
    <row r="21" spans="1:101" s="2" customFormat="1" x14ac:dyDescent="0.25">
      <c r="A21" s="2" t="s">
        <v>19</v>
      </c>
      <c r="B21" s="2">
        <f>+B18-B19-B20</f>
        <v>0</v>
      </c>
      <c r="C21" s="2">
        <f t="shared" ref="C21:I21" si="59">+C18-C19-C20</f>
        <v>0</v>
      </c>
      <c r="D21" s="2">
        <f t="shared" si="59"/>
        <v>0</v>
      </c>
      <c r="E21" s="2">
        <f t="shared" si="59"/>
        <v>0</v>
      </c>
      <c r="F21" s="2">
        <f t="shared" si="59"/>
        <v>0</v>
      </c>
      <c r="G21" s="2">
        <f t="shared" si="59"/>
        <v>0</v>
      </c>
      <c r="H21" s="2">
        <f t="shared" si="59"/>
        <v>0</v>
      </c>
      <c r="I21" s="2">
        <f t="shared" si="59"/>
        <v>0</v>
      </c>
      <c r="N21" s="2">
        <f>+N18-N19-N20</f>
        <v>-1562</v>
      </c>
      <c r="O21" s="2">
        <f t="shared" ref="O21" si="60">+O18-O19-O20</f>
        <v>7449</v>
      </c>
      <c r="P21" s="2">
        <f t="shared" ref="P21" si="61">+P18-P19-P20</f>
        <v>1189</v>
      </c>
      <c r="Q21" s="2">
        <f t="shared" ref="Q21" si="62">+Q18-Q19-Q20</f>
        <v>1419</v>
      </c>
      <c r="R21" s="2">
        <f>+R18+R19-R20</f>
        <v>2078</v>
      </c>
      <c r="S21" s="2">
        <f t="shared" ref="S21" si="63">+S18-S19-S20</f>
        <v>3862.5210000000034</v>
      </c>
      <c r="T21" s="2">
        <f t="shared" ref="T21" si="64">+T18-T19-T20</f>
        <v>3852.571875000001</v>
      </c>
      <c r="U21" s="2">
        <f t="shared" ref="U21" si="65">+U18-U19-U20</f>
        <v>4011.9229813750003</v>
      </c>
      <c r="V21" s="2">
        <f t="shared" ref="V21" si="66">+V18-V19-V20</f>
        <v>4301.2823795518752</v>
      </c>
      <c r="W21" s="2">
        <f t="shared" ref="W21" si="67">+W18-W19-W20</f>
        <v>4528.8941994883353</v>
      </c>
      <c r="X21" s="2">
        <f t="shared" ref="X21:Y21" si="68">+X18-X19-X20</f>
        <v>4764.4001388383867</v>
      </c>
      <c r="Y21" s="2">
        <f t="shared" si="68"/>
        <v>5008.0313861505274</v>
      </c>
      <c r="Z21" s="2">
        <f t="shared" ref="Z21:AC21" si="69">+Z18-Z19-Z20</f>
        <v>5260.0263018480055</v>
      </c>
      <c r="AA21" s="2">
        <f t="shared" si="69"/>
        <v>5520.6306297229676</v>
      </c>
      <c r="AB21" s="2">
        <f t="shared" si="69"/>
        <v>5790.0977148582433</v>
      </c>
      <c r="AC21" s="2">
        <f t="shared" si="69"/>
        <v>6068.6887281681966</v>
      </c>
    </row>
    <row r="22" spans="1:101" s="2" customFormat="1" x14ac:dyDescent="0.25">
      <c r="A22" s="2" t="s">
        <v>20</v>
      </c>
      <c r="N22" s="2">
        <v>-91</v>
      </c>
      <c r="O22" s="2">
        <v>1430</v>
      </c>
      <c r="P22" s="2">
        <v>1581</v>
      </c>
      <c r="Q22" s="2">
        <v>1041</v>
      </c>
      <c r="R22" s="2">
        <v>616</v>
      </c>
      <c r="S22" s="2">
        <f t="shared" ref="S22:X22" si="70">+S4*0.0181</f>
        <v>1145.76982</v>
      </c>
      <c r="T22" s="2">
        <f t="shared" si="70"/>
        <v>1149.3500000000001</v>
      </c>
      <c r="U22" s="2">
        <f>+U4*0.0181</f>
        <v>1176.5</v>
      </c>
      <c r="V22" s="2">
        <f t="shared" si="70"/>
        <v>1221.75</v>
      </c>
      <c r="W22" s="2">
        <f t="shared" si="70"/>
        <v>1258.4025000000001</v>
      </c>
      <c r="X22" s="2">
        <f t="shared" si="70"/>
        <v>1296.154575</v>
      </c>
      <c r="Y22" s="2">
        <f t="shared" ref="Y22:Z22" si="71">+Y4*0.0181</f>
        <v>1335.03921225</v>
      </c>
      <c r="Z22" s="2">
        <f t="shared" si="71"/>
        <v>1375.0903886175001</v>
      </c>
      <c r="AA22" s="2">
        <f t="shared" ref="AA22:AC22" si="72">+AA4*0.0181</f>
        <v>1416.3431002760251</v>
      </c>
      <c r="AB22" s="2">
        <f t="shared" si="72"/>
        <v>1458.8333932843059</v>
      </c>
      <c r="AC22" s="2">
        <f t="shared" si="72"/>
        <v>1502.5983950828349</v>
      </c>
    </row>
    <row r="23" spans="1:101" s="2" customFormat="1" x14ac:dyDescent="0.25">
      <c r="A23" s="2" t="s">
        <v>21</v>
      </c>
      <c r="B23" s="2">
        <f>+B21-B22</f>
        <v>0</v>
      </c>
      <c r="C23" s="2">
        <f t="shared" ref="C23:I23" si="73">+C21-C22</f>
        <v>0</v>
      </c>
      <c r="D23" s="2">
        <f t="shared" si="73"/>
        <v>0</v>
      </c>
      <c r="E23" s="2">
        <f t="shared" si="73"/>
        <v>0</v>
      </c>
      <c r="F23" s="2">
        <f t="shared" si="73"/>
        <v>0</v>
      </c>
      <c r="G23" s="2">
        <f t="shared" si="73"/>
        <v>0</v>
      </c>
      <c r="H23" s="2">
        <f t="shared" si="73"/>
        <v>0</v>
      </c>
      <c r="I23" s="2">
        <f t="shared" si="73"/>
        <v>0</v>
      </c>
      <c r="N23" s="2">
        <f>+N21-N22</f>
        <v>-1471</v>
      </c>
      <c r="O23" s="2">
        <f t="shared" ref="O23" si="74">+O21-O22</f>
        <v>6019</v>
      </c>
      <c r="P23" s="2">
        <f t="shared" ref="P23" si="75">+P21-P22</f>
        <v>-392</v>
      </c>
      <c r="Q23" s="2">
        <f t="shared" ref="Q23" si="76">+Q21-Q22</f>
        <v>378</v>
      </c>
      <c r="R23" s="2">
        <f t="shared" ref="R23" si="77">+R21-R22</f>
        <v>1462</v>
      </c>
      <c r="S23" s="2">
        <f t="shared" ref="S23" si="78">+S21-S22</f>
        <v>2716.7511800000034</v>
      </c>
      <c r="T23" s="2">
        <f t="shared" ref="T23" si="79">+T21-T22</f>
        <v>2703.2218750000011</v>
      </c>
      <c r="U23" s="2">
        <f t="shared" ref="U23" si="80">+U21-U22</f>
        <v>2835.4229813750003</v>
      </c>
      <c r="V23" s="2">
        <f t="shared" ref="V23" si="81">+V21-V22</f>
        <v>3079.5323795518752</v>
      </c>
      <c r="W23" s="2">
        <f t="shared" ref="W23" si="82">+W21-W22</f>
        <v>3270.4916994883351</v>
      </c>
      <c r="X23" s="2">
        <f t="shared" ref="X23:Y23" si="83">+X21-X22</f>
        <v>3468.2455638383867</v>
      </c>
      <c r="Y23" s="2">
        <f t="shared" si="83"/>
        <v>3672.9921739005276</v>
      </c>
      <c r="Z23" s="2">
        <f t="shared" ref="Z23" si="84">+Z21-Z22</f>
        <v>3884.9359132305053</v>
      </c>
      <c r="AA23" s="2">
        <f t="shared" ref="AA23:BD23" si="85">+Z23*(1+MV)</f>
        <v>3962.6346314951156</v>
      </c>
      <c r="AB23" s="2">
        <f t="shared" si="85"/>
        <v>4041.887324125018</v>
      </c>
      <c r="AC23" s="2">
        <f t="shared" si="85"/>
        <v>4122.7250706075183</v>
      </c>
      <c r="AD23" s="2">
        <f t="shared" si="85"/>
        <v>4205.1795720196687</v>
      </c>
      <c r="AE23" s="2">
        <f t="shared" si="85"/>
        <v>4289.2831634600625</v>
      </c>
      <c r="AF23" s="2">
        <f t="shared" si="85"/>
        <v>4375.0688267292635</v>
      </c>
      <c r="AG23" s="2">
        <f t="shared" si="85"/>
        <v>4462.5702032638492</v>
      </c>
      <c r="AH23" s="2">
        <f t="shared" si="85"/>
        <v>4551.821607329126</v>
      </c>
      <c r="AI23" s="2">
        <f t="shared" si="85"/>
        <v>4642.8580394757082</v>
      </c>
      <c r="AJ23" s="2">
        <f t="shared" si="85"/>
        <v>4735.7152002652228</v>
      </c>
      <c r="AK23" s="2">
        <f t="shared" si="85"/>
        <v>4830.4295042705271</v>
      </c>
      <c r="AL23" s="2">
        <f t="shared" si="85"/>
        <v>4927.0380943559376</v>
      </c>
      <c r="AM23" s="2">
        <f t="shared" si="85"/>
        <v>5025.5788562430562</v>
      </c>
      <c r="AN23" s="2">
        <f t="shared" si="85"/>
        <v>5126.0904333679173</v>
      </c>
      <c r="AO23" s="2">
        <f t="shared" si="85"/>
        <v>5228.6122420352758</v>
      </c>
      <c r="AP23" s="2">
        <f t="shared" si="85"/>
        <v>5333.1844868759817</v>
      </c>
      <c r="AQ23" s="2">
        <f t="shared" si="85"/>
        <v>5439.8481766135019</v>
      </c>
      <c r="AR23" s="2">
        <f t="shared" si="85"/>
        <v>5548.6451401457716</v>
      </c>
      <c r="AS23" s="2">
        <f t="shared" si="85"/>
        <v>5659.6180429486867</v>
      </c>
      <c r="AT23" s="2">
        <f t="shared" si="85"/>
        <v>5772.8104038076608</v>
      </c>
      <c r="AU23" s="2">
        <f t="shared" si="85"/>
        <v>5888.2666118838142</v>
      </c>
      <c r="AV23" s="2">
        <f t="shared" si="85"/>
        <v>6006.0319441214906</v>
      </c>
      <c r="AW23" s="2">
        <f t="shared" si="85"/>
        <v>6126.1525830039209</v>
      </c>
      <c r="AX23" s="2">
        <f t="shared" si="85"/>
        <v>6248.6756346639995</v>
      </c>
      <c r="AY23" s="2">
        <f t="shared" si="85"/>
        <v>6373.6491473572796</v>
      </c>
      <c r="AZ23" s="2">
        <f t="shared" si="85"/>
        <v>6501.1221303044249</v>
      </c>
      <c r="BA23" s="2">
        <f t="shared" si="85"/>
        <v>6631.1445729105135</v>
      </c>
      <c r="BB23" s="2">
        <f t="shared" si="85"/>
        <v>6763.7674643687242</v>
      </c>
      <c r="BC23" s="2">
        <f t="shared" si="85"/>
        <v>6899.0428136560986</v>
      </c>
      <c r="BD23" s="2">
        <f t="shared" si="85"/>
        <v>7037.0236699292209</v>
      </c>
      <c r="BE23" s="2">
        <f t="shared" ref="BE23:CJ23" si="86">+BD23*(1+MV)</f>
        <v>7177.7641433278059</v>
      </c>
      <c r="BF23" s="2">
        <f t="shared" si="86"/>
        <v>7321.3194261943618</v>
      </c>
      <c r="BG23" s="2">
        <f t="shared" si="86"/>
        <v>7467.7458147182488</v>
      </c>
      <c r="BH23" s="2">
        <f t="shared" si="86"/>
        <v>7617.1007310126142</v>
      </c>
      <c r="BI23" s="2">
        <f t="shared" si="86"/>
        <v>7769.4427456328667</v>
      </c>
      <c r="BJ23" s="2">
        <f t="shared" si="86"/>
        <v>7924.8316005455245</v>
      </c>
      <c r="BK23" s="2">
        <f t="shared" si="86"/>
        <v>8083.3282325564351</v>
      </c>
      <c r="BL23" s="2">
        <f t="shared" si="86"/>
        <v>8244.9947972075643</v>
      </c>
      <c r="BM23" s="2">
        <f t="shared" si="86"/>
        <v>8409.8946931517148</v>
      </c>
      <c r="BN23" s="2">
        <f t="shared" si="86"/>
        <v>8578.0925870147494</v>
      </c>
      <c r="BO23" s="2">
        <f t="shared" si="86"/>
        <v>8749.6544387550439</v>
      </c>
      <c r="BP23" s="2">
        <f t="shared" si="86"/>
        <v>8924.6475275301455</v>
      </c>
      <c r="BQ23" s="2">
        <f t="shared" si="86"/>
        <v>9103.1404780807479</v>
      </c>
      <c r="BR23" s="2">
        <f t="shared" si="86"/>
        <v>9285.2032876423636</v>
      </c>
      <c r="BS23" s="2">
        <f t="shared" si="86"/>
        <v>9470.9073533952105</v>
      </c>
      <c r="BT23" s="2">
        <f t="shared" si="86"/>
        <v>9660.3255004631155</v>
      </c>
      <c r="BU23" s="2">
        <f t="shared" si="86"/>
        <v>9853.5320104723778</v>
      </c>
      <c r="BV23" s="2">
        <f t="shared" si="86"/>
        <v>10050.602650681825</v>
      </c>
      <c r="BW23" s="2">
        <f t="shared" si="86"/>
        <v>10251.614703695463</v>
      </c>
      <c r="BX23" s="2">
        <f t="shared" si="86"/>
        <v>10456.646997769372</v>
      </c>
      <c r="BY23" s="2">
        <f t="shared" si="86"/>
        <v>10665.779937724759</v>
      </c>
      <c r="BZ23" s="2">
        <f t="shared" si="86"/>
        <v>10879.095536479255</v>
      </c>
      <c r="CA23" s="2">
        <f t="shared" si="86"/>
        <v>11096.67744720884</v>
      </c>
      <c r="CB23" s="2">
        <f t="shared" si="86"/>
        <v>11318.610996153016</v>
      </c>
      <c r="CC23" s="2">
        <f t="shared" si="86"/>
        <v>11544.983216076076</v>
      </c>
      <c r="CD23" s="2">
        <f t="shared" si="86"/>
        <v>11775.882880397598</v>
      </c>
      <c r="CE23" s="2">
        <f t="shared" si="86"/>
        <v>12011.40053800555</v>
      </c>
      <c r="CF23" s="2">
        <f t="shared" si="86"/>
        <v>12251.628548765661</v>
      </c>
      <c r="CG23" s="2">
        <f t="shared" si="86"/>
        <v>12496.661119740975</v>
      </c>
      <c r="CH23" s="2">
        <f t="shared" si="86"/>
        <v>12746.594342135795</v>
      </c>
      <c r="CI23" s="2">
        <f t="shared" si="86"/>
        <v>13001.526228978511</v>
      </c>
      <c r="CJ23" s="2">
        <f t="shared" si="86"/>
        <v>13261.556753558081</v>
      </c>
      <c r="CK23" s="2">
        <f t="shared" ref="CK23:CW23" si="87">+CJ23*(1+MV)</f>
        <v>13526.787888629244</v>
      </c>
      <c r="CL23" s="2">
        <f t="shared" si="87"/>
        <v>13797.323646401828</v>
      </c>
      <c r="CM23" s="2">
        <f t="shared" si="87"/>
        <v>14073.270119329865</v>
      </c>
      <c r="CN23" s="2">
        <f t="shared" si="87"/>
        <v>14354.735521716462</v>
      </c>
      <c r="CO23" s="2">
        <f t="shared" si="87"/>
        <v>14641.830232150791</v>
      </c>
      <c r="CP23" s="2">
        <f t="shared" si="87"/>
        <v>14934.666836793807</v>
      </c>
      <c r="CQ23" s="2">
        <f t="shared" si="87"/>
        <v>15233.360173529683</v>
      </c>
      <c r="CR23" s="2">
        <f t="shared" si="87"/>
        <v>15538.027377000277</v>
      </c>
      <c r="CS23" s="2">
        <f t="shared" si="87"/>
        <v>15848.787924540282</v>
      </c>
      <c r="CT23" s="2">
        <f t="shared" si="87"/>
        <v>16165.763683031088</v>
      </c>
      <c r="CU23" s="2">
        <f t="shared" si="87"/>
        <v>16489.078956691708</v>
      </c>
      <c r="CV23" s="2">
        <f t="shared" si="87"/>
        <v>16818.860535825545</v>
      </c>
      <c r="CW23" s="2">
        <f t="shared" si="87"/>
        <v>17155.237746542054</v>
      </c>
    </row>
    <row r="25" spans="1:101" s="3" customFormat="1" x14ac:dyDescent="0.25">
      <c r="A25" s="3" t="s">
        <v>42</v>
      </c>
      <c r="N25" s="3">
        <f>+N6/N4</f>
        <v>0.25543965240325278</v>
      </c>
      <c r="O25" s="3">
        <f t="shared" ref="O25:X25" si="88">+O6/O4</f>
        <v>0.25187663808239397</v>
      </c>
      <c r="P25" s="3">
        <f t="shared" si="88"/>
        <v>0.24124268553826422</v>
      </c>
      <c r="Q25" s="3">
        <f t="shared" si="88"/>
        <v>0.24240225247452904</v>
      </c>
      <c r="R25" s="3">
        <f t="shared" si="88"/>
        <v>0.26181428133619367</v>
      </c>
      <c r="S25" s="3">
        <f t="shared" si="88"/>
        <v>0.25000000000000006</v>
      </c>
      <c r="T25" s="3">
        <f t="shared" si="88"/>
        <v>0.25</v>
      </c>
      <c r="U25" s="3">
        <f t="shared" si="88"/>
        <v>0.25</v>
      </c>
      <c r="V25" s="3">
        <f t="shared" si="88"/>
        <v>0.25</v>
      </c>
      <c r="W25" s="3">
        <f t="shared" si="88"/>
        <v>0.25</v>
      </c>
      <c r="X25" s="3">
        <f t="shared" si="88"/>
        <v>0.25</v>
      </c>
      <c r="Y25" s="3">
        <f t="shared" ref="Y25:Z25" si="89">+Y6/Y4</f>
        <v>0.25000000000000006</v>
      </c>
      <c r="Z25" s="3">
        <f t="shared" si="89"/>
        <v>0.25</v>
      </c>
      <c r="AA25" s="3">
        <f t="shared" ref="AA25:AC25" si="90">+AA6/AA4</f>
        <v>0.25</v>
      </c>
      <c r="AB25" s="3">
        <f t="shared" si="90"/>
        <v>0.24999999999999994</v>
      </c>
      <c r="AC25" s="3">
        <f t="shared" si="90"/>
        <v>0.25000000000000006</v>
      </c>
    </row>
    <row r="26" spans="1:101" s="3" customFormat="1" x14ac:dyDescent="0.25">
      <c r="A26" s="3" t="s">
        <v>43</v>
      </c>
      <c r="N26" s="3">
        <f>+N23/N4</f>
        <v>-2.4869397622952205E-2</v>
      </c>
      <c r="O26" s="3">
        <f t="shared" ref="O26:X26" si="91">+O23/O4</f>
        <v>7.6579556731723453E-2</v>
      </c>
      <c r="P26" s="3">
        <f t="shared" si="91"/>
        <v>-4.4888751474343562E-3</v>
      </c>
      <c r="Q26" s="3">
        <f t="shared" si="91"/>
        <v>5.4860526544947899E-3</v>
      </c>
      <c r="R26" s="3">
        <f t="shared" si="91"/>
        <v>2.2402696904688938E-2</v>
      </c>
      <c r="S26" s="3">
        <f t="shared" si="91"/>
        <v>4.2917168439643542E-2</v>
      </c>
      <c r="T26" s="3">
        <f t="shared" si="91"/>
        <v>4.2570423228346477E-2</v>
      </c>
      <c r="U26" s="3">
        <f t="shared" si="91"/>
        <v>4.3621892021153852E-2</v>
      </c>
      <c r="V26" s="3">
        <f t="shared" si="91"/>
        <v>4.5622701919287044E-2</v>
      </c>
      <c r="W26" s="3">
        <f t="shared" si="91"/>
        <v>4.704051347699871E-2</v>
      </c>
      <c r="X26" s="3">
        <f t="shared" si="91"/>
        <v>4.8431912301412659E-2</v>
      </c>
      <c r="Y26" s="3">
        <f t="shared" ref="Y26:Z26" si="92">+Y23/Y4</f>
        <v>4.9797157819474046E-2</v>
      </c>
      <c r="Z26" s="3">
        <f t="shared" si="92"/>
        <v>5.1136522087226854E-2</v>
      </c>
      <c r="AA26" s="3">
        <f t="shared" ref="AA26:AC26" si="93">+AA23/AA4</f>
        <v>5.0640050999001353E-2</v>
      </c>
      <c r="AB26" s="3">
        <f t="shared" si="93"/>
        <v>5.0148400018428525E-2</v>
      </c>
      <c r="AC26" s="3">
        <f t="shared" si="93"/>
        <v>4.9661522348346698E-2</v>
      </c>
    </row>
    <row r="27" spans="1:101" x14ac:dyDescent="0.25">
      <c r="A27" t="s">
        <v>54</v>
      </c>
      <c r="N27" s="3">
        <f t="shared" ref="N27:X27" si="94">+N14/N6</f>
        <v>-1.2641471970348799E-2</v>
      </c>
      <c r="O27" s="3">
        <f t="shared" si="94"/>
        <v>0.38783654089003383</v>
      </c>
      <c r="P27" s="3">
        <f>+P14/P6</f>
        <v>0.31077039920254429</v>
      </c>
      <c r="Q27" s="3">
        <f t="shared" si="94"/>
        <v>0.13405580170039516</v>
      </c>
      <c r="R27" s="3">
        <f t="shared" si="94"/>
        <v>0.11898630457684654</v>
      </c>
      <c r="S27" s="3">
        <f t="shared" si="94"/>
        <v>0.21340939177469365</v>
      </c>
      <c r="T27" s="3">
        <f t="shared" si="94"/>
        <v>0.21277933070866145</v>
      </c>
      <c r="U27" s="3">
        <f t="shared" si="94"/>
        <v>0.21830824008461541</v>
      </c>
      <c r="V27" s="3">
        <f t="shared" si="94"/>
        <v>0.22796707197344449</v>
      </c>
      <c r="W27" s="3">
        <f t="shared" si="94"/>
        <v>0.23499037375656728</v>
      </c>
      <c r="X27" s="3">
        <f t="shared" si="94"/>
        <v>0.24184083603975023</v>
      </c>
      <c r="Y27" s="3">
        <f t="shared" ref="Y27:Z27" si="95">+Y14/Y6</f>
        <v>0.24852280574521998</v>
      </c>
      <c r="Z27" s="3">
        <f t="shared" si="95"/>
        <v>0.25504051825993962</v>
      </c>
      <c r="AA27" s="3">
        <f t="shared" ref="AA27:AC27" si="96">+AA14/AA6</f>
        <v>0.26139810034952504</v>
      </c>
      <c r="AB27" s="3">
        <f t="shared" si="96"/>
        <v>0.26759957299480519</v>
      </c>
      <c r="AC27" s="3">
        <f t="shared" si="96"/>
        <v>0.27364885415311524</v>
      </c>
      <c r="AE27" s="3" t="s">
        <v>44</v>
      </c>
      <c r="AF27" s="3">
        <v>0.1</v>
      </c>
    </row>
    <row r="28" spans="1:101" x14ac:dyDescent="0.25">
      <c r="A28" t="s">
        <v>70</v>
      </c>
      <c r="O28" s="3">
        <f>+O4/N4 -1</f>
        <v>0.32881367394207839</v>
      </c>
      <c r="P28" s="3">
        <f t="shared" ref="P28:Z28" si="97">+P4/O4 -1</f>
        <v>0.11105880556757164</v>
      </c>
      <c r="Q28" s="3">
        <f t="shared" si="97"/>
        <v>-0.21098858314152558</v>
      </c>
      <c r="R28" s="3">
        <f t="shared" si="97"/>
        <v>-5.2857681925053024E-2</v>
      </c>
      <c r="S28" s="3">
        <f t="shared" si="97"/>
        <v>-3.0000000000000027E-2</v>
      </c>
      <c r="T28" s="3">
        <f t="shared" si="97"/>
        <v>3.1246939284890196E-3</v>
      </c>
      <c r="U28" s="3">
        <f t="shared" si="97"/>
        <v>2.3622047244094446E-2</v>
      </c>
      <c r="V28" s="3">
        <f t="shared" si="97"/>
        <v>3.8461538461538547E-2</v>
      </c>
      <c r="W28" s="3">
        <f t="shared" si="97"/>
        <v>3.0000000000000027E-2</v>
      </c>
      <c r="X28" s="3">
        <f t="shared" si="97"/>
        <v>3.0000000000000027E-2</v>
      </c>
      <c r="Y28" s="3">
        <f t="shared" si="97"/>
        <v>3.0000000000000027E-2</v>
      </c>
      <c r="Z28" s="3">
        <f t="shared" si="97"/>
        <v>3.0000000000000027E-2</v>
      </c>
      <c r="AA28" s="3">
        <f t="shared" ref="AA28" si="98">+AA4/Z4 -1</f>
        <v>3.0000000000000027E-2</v>
      </c>
      <c r="AB28" s="3">
        <f t="shared" ref="AB28" si="99">+AB4/AA4 -1</f>
        <v>3.0000000000000027E-2</v>
      </c>
      <c r="AC28" s="3">
        <f t="shared" ref="AC28" si="100">+AC4/AB4 -1</f>
        <v>3.0000000000000027E-2</v>
      </c>
      <c r="AE28" s="3" t="s">
        <v>45</v>
      </c>
      <c r="AF28" s="3">
        <v>0.02</v>
      </c>
    </row>
    <row r="29" spans="1:101" x14ac:dyDescent="0.25">
      <c r="AE29" t="s">
        <v>46</v>
      </c>
      <c r="AF29" s="6">
        <f>NPV(AF27,R23:CY23)</f>
        <v>37374.891810816735</v>
      </c>
    </row>
    <row r="30" spans="1:101" s="2" customFormat="1" x14ac:dyDescent="0.25">
      <c r="A30" s="2" t="s">
        <v>47</v>
      </c>
      <c r="O30" s="2">
        <v>13579</v>
      </c>
      <c r="P30" s="2">
        <f>+O30*0.9</f>
        <v>12221.1</v>
      </c>
      <c r="AE30" s="3" t="s">
        <v>1</v>
      </c>
      <c r="AF30" s="2">
        <v>892.52216399999998</v>
      </c>
    </row>
    <row r="31" spans="1:101" s="2" customFormat="1" x14ac:dyDescent="0.25">
      <c r="A31" s="2" t="s">
        <v>48</v>
      </c>
      <c r="O31" s="2">
        <v>15214</v>
      </c>
      <c r="P31" s="2">
        <f>+O31*1.05</f>
        <v>15974.7</v>
      </c>
      <c r="AE31" s="3" t="s">
        <v>0</v>
      </c>
      <c r="AF31" s="6">
        <f>+AF29/AF30</f>
        <v>41.875589557702831</v>
      </c>
    </row>
    <row r="32" spans="1:101" s="2" customFormat="1" x14ac:dyDescent="0.25">
      <c r="A32" s="2" t="s">
        <v>49</v>
      </c>
      <c r="O32" s="2">
        <v>8876</v>
      </c>
      <c r="P32" s="2">
        <f>+O32*0.95</f>
        <v>8432.1999999999989</v>
      </c>
      <c r="AD32" s="2" t="s">
        <v>73</v>
      </c>
    </row>
    <row r="33" spans="1:17" s="2" customFormat="1" x14ac:dyDescent="0.25">
      <c r="A33" s="2" t="s">
        <v>50</v>
      </c>
      <c r="O33" s="2">
        <v>22659</v>
      </c>
      <c r="P33" s="2">
        <f>+O33*0.85</f>
        <v>19260.149999999998</v>
      </c>
    </row>
    <row r="34" spans="1:17" s="2" customFormat="1" x14ac:dyDescent="0.25">
      <c r="A34" s="2" t="s">
        <v>51</v>
      </c>
      <c r="O34" s="2">
        <v>6442</v>
      </c>
      <c r="P34" s="2">
        <f>+O34*1.1</f>
        <v>7086.2000000000007</v>
      </c>
    </row>
    <row r="35" spans="1:17" s="2" customFormat="1" x14ac:dyDescent="0.25">
      <c r="A35" s="2" t="s">
        <v>52</v>
      </c>
      <c r="O35" s="2">
        <v>8162</v>
      </c>
      <c r="P35" s="2">
        <f>+O35*1.1</f>
        <v>8978.2000000000007</v>
      </c>
    </row>
    <row r="36" spans="1:17" s="2" customFormat="1" x14ac:dyDescent="0.25">
      <c r="A36" s="2" t="s">
        <v>12</v>
      </c>
      <c r="O36" s="2">
        <v>3666</v>
      </c>
      <c r="P36" s="2">
        <f>+O36*1.02</f>
        <v>3739.32</v>
      </c>
    </row>
    <row r="37" spans="1:17" s="2" customFormat="1" x14ac:dyDescent="0.25">
      <c r="A37" s="2" t="s">
        <v>53</v>
      </c>
      <c r="O37" s="2">
        <f>+SUM(O30:O36)</f>
        <v>78598</v>
      </c>
      <c r="P37" s="2">
        <f>+SUM(P30:P36)</f>
        <v>75691.87</v>
      </c>
    </row>
    <row r="39" spans="1:17" x14ac:dyDescent="0.25">
      <c r="A39" s="2" t="s">
        <v>55</v>
      </c>
      <c r="N39">
        <v>3702</v>
      </c>
      <c r="O39" s="2">
        <v>3449</v>
      </c>
    </row>
    <row r="40" spans="1:17" x14ac:dyDescent="0.25">
      <c r="A40" s="2" t="s">
        <v>56</v>
      </c>
      <c r="O40" s="3">
        <f>+O39/O23</f>
        <v>0.57301877388270472</v>
      </c>
    </row>
    <row r="41" spans="1:17" s="2" customFormat="1" x14ac:dyDescent="0.25"/>
    <row r="42" spans="1:17" s="2" customFormat="1" x14ac:dyDescent="0.25">
      <c r="A42" s="2" t="s">
        <v>57</v>
      </c>
      <c r="O42" s="2">
        <v>7245</v>
      </c>
      <c r="P42" s="2">
        <v>7709</v>
      </c>
      <c r="Q42" s="2">
        <v>8111</v>
      </c>
    </row>
    <row r="43" spans="1:17" s="2" customFormat="1" x14ac:dyDescent="0.25">
      <c r="A43" s="2" t="s">
        <v>58</v>
      </c>
      <c r="O43" s="2">
        <v>3532</v>
      </c>
      <c r="P43" s="2">
        <f>4375</f>
        <v>4375</v>
      </c>
      <c r="Q43" s="2">
        <v>5395</v>
      </c>
    </row>
    <row r="44" spans="1:17" s="2" customFormat="1" x14ac:dyDescent="0.25">
      <c r="A44" s="2" t="s">
        <v>59</v>
      </c>
      <c r="O44" s="2">
        <f>+O42-O43</f>
        <v>3713</v>
      </c>
      <c r="P44" s="2">
        <f>+P42-P43</f>
        <v>3334</v>
      </c>
      <c r="Q44" s="2">
        <f>+Q42-Q43</f>
        <v>2716</v>
      </c>
    </row>
    <row r="45" spans="1:17" s="2" customFormat="1" x14ac:dyDescent="0.25"/>
    <row r="46" spans="1:17" s="2" customFormat="1" x14ac:dyDescent="0.25">
      <c r="A46" s="2" t="s">
        <v>60</v>
      </c>
      <c r="O46" s="2">
        <v>2624</v>
      </c>
      <c r="P46" s="2">
        <v>2516</v>
      </c>
      <c r="Q46" s="2">
        <v>2624</v>
      </c>
    </row>
    <row r="47" spans="1:17" s="2" customFormat="1" x14ac:dyDescent="0.25">
      <c r="A47" s="2" t="s">
        <v>61</v>
      </c>
      <c r="O47" s="2">
        <v>208</v>
      </c>
      <c r="P47" s="2">
        <v>232</v>
      </c>
      <c r="Q47" s="2">
        <v>53</v>
      </c>
    </row>
    <row r="48" spans="1:17" s="2" customFormat="1" x14ac:dyDescent="0.25">
      <c r="A48" s="2" t="s">
        <v>62</v>
      </c>
      <c r="O48" s="2">
        <v>21553</v>
      </c>
      <c r="P48" s="2">
        <v>22967</v>
      </c>
      <c r="Q48" s="2">
        <v>24080</v>
      </c>
    </row>
    <row r="49" spans="1:17" s="2" customFormat="1" x14ac:dyDescent="0.25">
      <c r="A49" s="2" t="s">
        <v>63</v>
      </c>
      <c r="O49" s="2">
        <f>13764+3420</f>
        <v>17184</v>
      </c>
      <c r="P49" s="2">
        <f>3844+15171</f>
        <v>19015</v>
      </c>
      <c r="Q49" s="2">
        <f>17085+2182</f>
        <v>19267</v>
      </c>
    </row>
    <row r="50" spans="1:17" s="2" customFormat="1" x14ac:dyDescent="0.25">
      <c r="A50" s="2" t="s">
        <v>64</v>
      </c>
      <c r="O50" s="2">
        <f>+O46+O47+O48-O49</f>
        <v>7201</v>
      </c>
      <c r="P50" s="2">
        <f>+P46+P47+P48-P49</f>
        <v>6700</v>
      </c>
      <c r="Q50" s="2">
        <f>+Q46+Q47+Q48-Q49</f>
        <v>7490</v>
      </c>
    </row>
    <row r="51" spans="1:17" s="2" customFormat="1" x14ac:dyDescent="0.25">
      <c r="A51" s="2" t="s">
        <v>72</v>
      </c>
      <c r="Q51" s="4"/>
    </row>
    <row r="52" spans="1:17" s="2" customFormat="1" x14ac:dyDescent="0.25"/>
    <row r="53" spans="1:17" s="2" customFormat="1" x14ac:dyDescent="0.25">
      <c r="A53" s="2" t="s">
        <v>65</v>
      </c>
      <c r="P53" s="2">
        <v>37422</v>
      </c>
      <c r="Q53" s="2">
        <v>31472</v>
      </c>
    </row>
    <row r="54" spans="1:17" x14ac:dyDescent="0.25">
      <c r="A54" s="2" t="s">
        <v>66</v>
      </c>
      <c r="P54">
        <v>20440</v>
      </c>
      <c r="Q54">
        <v>15871</v>
      </c>
    </row>
    <row r="55" spans="1:17" x14ac:dyDescent="0.25">
      <c r="A55" s="2" t="s">
        <v>67</v>
      </c>
      <c r="P55" s="2">
        <f>+P53-P54</f>
        <v>16982</v>
      </c>
      <c r="Q55" s="2">
        <f>+Q53-Q54</f>
        <v>15601</v>
      </c>
    </row>
    <row r="56" spans="1:17" x14ac:dyDescent="0.25">
      <c r="Q56" s="2">
        <f>+Q55-P55</f>
        <v>-1381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Model</vt:lpstr>
      <vt:lpstr>MV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 Kutzer</dc:creator>
  <cp:lastModifiedBy>Kutzer Maximilian Claudius</cp:lastModifiedBy>
  <dcterms:created xsi:type="dcterms:W3CDTF">2022-05-08T17:37:31Z</dcterms:created>
  <dcterms:modified xsi:type="dcterms:W3CDTF">2026-02-05T22:27:36Z</dcterms:modified>
</cp:coreProperties>
</file>