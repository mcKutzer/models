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9B75DE8-27A9-45DA-BA71-64BB0CE4BE3C}" xr6:coauthVersionLast="47" xr6:coauthVersionMax="47" xr10:uidLastSave="{00000000-0000-0000-0000-000000000000}"/>
  <bookViews>
    <workbookView xWindow="-120" yWindow="-120" windowWidth="29040" windowHeight="15840" activeTab="1" xr2:uid="{C1B115B6-A5DA-4E29-962D-B964771833BA}"/>
  </bookViews>
  <sheets>
    <sheet name="Mai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6" i="1" l="1"/>
  <c r="C6" i="2"/>
  <c r="S34" i="1"/>
  <c r="R30" i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DM30" i="1" s="1"/>
  <c r="DN30" i="1" s="1"/>
  <c r="DO30" i="1" s="1"/>
  <c r="DP30" i="1" s="1"/>
  <c r="DQ30" i="1" s="1"/>
  <c r="DR30" i="1" s="1"/>
  <c r="DS30" i="1" s="1"/>
  <c r="DT30" i="1" s="1"/>
  <c r="DU30" i="1" s="1"/>
  <c r="DV30" i="1" s="1"/>
  <c r="DW30" i="1" s="1"/>
  <c r="Q30" i="1"/>
  <c r="G34" i="1"/>
  <c r="H34" i="1"/>
  <c r="I34" i="1"/>
  <c r="J34" i="1"/>
  <c r="K34" i="1"/>
  <c r="L34" i="1"/>
  <c r="M34" i="1"/>
  <c r="N34" i="1"/>
  <c r="O34" i="1"/>
  <c r="P34" i="1"/>
  <c r="P32" i="1"/>
  <c r="P33" i="1"/>
  <c r="G27" i="1"/>
  <c r="H27" i="1"/>
  <c r="I27" i="1"/>
  <c r="J27" i="1"/>
  <c r="K27" i="1"/>
  <c r="L27" i="1"/>
  <c r="M27" i="1"/>
  <c r="N27" i="1"/>
  <c r="O27" i="1"/>
  <c r="P27" i="1"/>
  <c r="P26" i="1"/>
  <c r="P28" i="1" s="1"/>
  <c r="P30" i="1" s="1"/>
  <c r="H22" i="1"/>
  <c r="I22" i="1" s="1"/>
  <c r="J22" i="1" s="1"/>
  <c r="K22" i="1" s="1"/>
  <c r="L22" i="1" s="1"/>
  <c r="M22" i="1" s="1"/>
  <c r="N22" i="1" s="1"/>
  <c r="O22" i="1" s="1"/>
  <c r="P22" i="1" s="1"/>
  <c r="H23" i="1"/>
  <c r="I23" i="1" s="1"/>
  <c r="J23" i="1" s="1"/>
  <c r="K23" i="1" s="1"/>
  <c r="L23" i="1" s="1"/>
  <c r="M23" i="1" s="1"/>
  <c r="N23" i="1" s="1"/>
  <c r="O23" i="1" s="1"/>
  <c r="P23" i="1" s="1"/>
  <c r="G5" i="1"/>
  <c r="H5" i="1"/>
  <c r="I5" i="1"/>
  <c r="J5" i="1"/>
  <c r="K5" i="1"/>
  <c r="L5" i="1"/>
  <c r="M5" i="1"/>
  <c r="N5" i="1"/>
  <c r="O5" i="1"/>
  <c r="P5" i="1"/>
  <c r="G6" i="1"/>
  <c r="H6" i="1"/>
  <c r="I6" i="1"/>
  <c r="J6" i="1"/>
  <c r="K6" i="1"/>
  <c r="L6" i="1"/>
  <c r="M6" i="1"/>
  <c r="N6" i="1"/>
  <c r="O6" i="1"/>
  <c r="P6" i="1"/>
  <c r="G7" i="1"/>
  <c r="H7" i="1"/>
  <c r="I7" i="1"/>
  <c r="J7" i="1"/>
  <c r="K7" i="1"/>
  <c r="L7" i="1"/>
  <c r="M7" i="1"/>
  <c r="N7" i="1"/>
  <c r="O7" i="1"/>
  <c r="P7" i="1"/>
  <c r="G8" i="1"/>
  <c r="H8" i="1"/>
  <c r="I8" i="1"/>
  <c r="J8" i="1"/>
  <c r="K8" i="1"/>
  <c r="L8" i="1"/>
  <c r="M8" i="1"/>
  <c r="N8" i="1"/>
  <c r="O8" i="1"/>
  <c r="P8" i="1"/>
  <c r="G9" i="1"/>
  <c r="H9" i="1"/>
  <c r="I9" i="1"/>
  <c r="J9" i="1"/>
  <c r="K9" i="1"/>
  <c r="L9" i="1"/>
  <c r="M9" i="1"/>
  <c r="N9" i="1"/>
  <c r="O9" i="1"/>
  <c r="P9" i="1"/>
  <c r="E9" i="1"/>
  <c r="F9" i="1"/>
  <c r="E6" i="1"/>
  <c r="E7" i="1"/>
  <c r="E8" i="1"/>
  <c r="E5" i="1"/>
  <c r="F37" i="1"/>
  <c r="F36" i="1"/>
  <c r="F29" i="1"/>
  <c r="F23" i="1"/>
  <c r="G23" i="1" s="1"/>
  <c r="F22" i="1"/>
  <c r="G22" i="1" s="1"/>
  <c r="F19" i="1"/>
  <c r="G19" i="1" s="1"/>
  <c r="H19" i="1" s="1"/>
  <c r="I19" i="1" s="1"/>
  <c r="J19" i="1" s="1"/>
  <c r="F18" i="1"/>
  <c r="F16" i="1"/>
  <c r="F14" i="1"/>
  <c r="F8" i="1" s="1"/>
  <c r="F13" i="1"/>
  <c r="F7" i="1" s="1"/>
  <c r="F12" i="1"/>
  <c r="F6" i="1" s="1"/>
  <c r="F11" i="1"/>
  <c r="G11" i="1" s="1"/>
  <c r="E43" i="1"/>
  <c r="F43" i="1"/>
  <c r="D37" i="1"/>
  <c r="D38" i="1" s="1"/>
  <c r="E37" i="1"/>
  <c r="E38" i="1" s="1"/>
  <c r="E26" i="1"/>
  <c r="E28" i="1" s="1"/>
  <c r="E30" i="1" s="1"/>
  <c r="D26" i="1"/>
  <c r="D28" i="1" s="1"/>
  <c r="D30" i="1" s="1"/>
  <c r="D15" i="1"/>
  <c r="D17" i="1" s="1"/>
  <c r="E15" i="1"/>
  <c r="E17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G14" i="1" l="1"/>
  <c r="H14" i="1" s="1"/>
  <c r="I14" i="1" s="1"/>
  <c r="J14" i="1" s="1"/>
  <c r="K14" i="1" s="1"/>
  <c r="L14" i="1" s="1"/>
  <c r="M14" i="1" s="1"/>
  <c r="N14" i="1" s="1"/>
  <c r="O14" i="1" s="1"/>
  <c r="P14" i="1" s="1"/>
  <c r="D34" i="1"/>
  <c r="E34" i="1"/>
  <c r="G12" i="1"/>
  <c r="H12" i="1" s="1"/>
  <c r="I12" i="1" s="1"/>
  <c r="J12" i="1" s="1"/>
  <c r="K12" i="1" s="1"/>
  <c r="L12" i="1" s="1"/>
  <c r="M12" i="1" s="1"/>
  <c r="N12" i="1" s="1"/>
  <c r="O12" i="1" s="1"/>
  <c r="P12" i="1" s="1"/>
  <c r="G13" i="1"/>
  <c r="H13" i="1" s="1"/>
  <c r="I13" i="1" s="1"/>
  <c r="J13" i="1" s="1"/>
  <c r="K13" i="1" s="1"/>
  <c r="L13" i="1" s="1"/>
  <c r="M13" i="1" s="1"/>
  <c r="N13" i="1" s="1"/>
  <c r="O13" i="1" s="1"/>
  <c r="P13" i="1" s="1"/>
  <c r="F38" i="1"/>
  <c r="K19" i="1"/>
  <c r="L19" i="1" s="1"/>
  <c r="F5" i="1"/>
  <c r="H11" i="1"/>
  <c r="I11" i="1" s="1"/>
  <c r="J11" i="1" s="1"/>
  <c r="E32" i="1"/>
  <c r="E20" i="1"/>
  <c r="D32" i="1"/>
  <c r="D20" i="1"/>
  <c r="D33" i="1"/>
  <c r="E33" i="1"/>
  <c r="F15" i="1"/>
  <c r="F17" i="1" s="1"/>
  <c r="F32" i="1" s="1"/>
  <c r="H15" i="1" l="1"/>
  <c r="G15" i="1"/>
  <c r="F34" i="1"/>
  <c r="M19" i="1"/>
  <c r="I15" i="1"/>
  <c r="K11" i="1"/>
  <c r="J15" i="1"/>
  <c r="F21" i="1"/>
  <c r="I16" i="1" l="1"/>
  <c r="I17" i="1" s="1"/>
  <c r="I18" i="1"/>
  <c r="J16" i="1"/>
  <c r="J17" i="1"/>
  <c r="J21" i="1" s="1"/>
  <c r="J26" i="1" s="1"/>
  <c r="J28" i="1" s="1"/>
  <c r="J30" i="1" s="1"/>
  <c r="J18" i="1"/>
  <c r="G16" i="1"/>
  <c r="G17" i="1"/>
  <c r="G21" i="1" s="1"/>
  <c r="G18" i="1"/>
  <c r="H16" i="1"/>
  <c r="H17" i="1" s="1"/>
  <c r="H21" i="1" s="1"/>
  <c r="H18" i="1"/>
  <c r="N19" i="1"/>
  <c r="L11" i="1"/>
  <c r="K15" i="1"/>
  <c r="F33" i="1"/>
  <c r="F26" i="1"/>
  <c r="J33" i="1" l="1"/>
  <c r="J32" i="1"/>
  <c r="I21" i="1"/>
  <c r="I32" i="1"/>
  <c r="H32" i="1"/>
  <c r="G26" i="1"/>
  <c r="G28" i="1" s="1"/>
  <c r="G30" i="1" s="1"/>
  <c r="G33" i="1"/>
  <c r="G32" i="1"/>
  <c r="H26" i="1"/>
  <c r="H28" i="1" s="1"/>
  <c r="H30" i="1" s="1"/>
  <c r="H33" i="1"/>
  <c r="K18" i="1"/>
  <c r="K16" i="1"/>
  <c r="K17" i="1" s="1"/>
  <c r="K21" i="1" s="1"/>
  <c r="K26" i="1" s="1"/>
  <c r="K28" i="1" s="1"/>
  <c r="K30" i="1" s="1"/>
  <c r="O19" i="1"/>
  <c r="M11" i="1"/>
  <c r="L15" i="1"/>
  <c r="F27" i="1"/>
  <c r="F28" i="1" s="1"/>
  <c r="F30" i="1" s="1"/>
  <c r="P19" i="1" l="1"/>
  <c r="K32" i="1"/>
  <c r="K33" i="1"/>
  <c r="L18" i="1"/>
  <c r="L16" i="1"/>
  <c r="L17" i="1" s="1"/>
  <c r="I26" i="1"/>
  <c r="I28" i="1" s="1"/>
  <c r="I30" i="1" s="1"/>
  <c r="I33" i="1"/>
  <c r="N11" i="1"/>
  <c r="M15" i="1"/>
  <c r="L21" i="1" l="1"/>
  <c r="L32" i="1"/>
  <c r="M16" i="1"/>
  <c r="M17" i="1" s="1"/>
  <c r="M18" i="1"/>
  <c r="O11" i="1"/>
  <c r="N15" i="1"/>
  <c r="M21" i="1" l="1"/>
  <c r="M32" i="1"/>
  <c r="N16" i="1"/>
  <c r="N17" i="1" s="1"/>
  <c r="N18" i="1"/>
  <c r="O15" i="1"/>
  <c r="P11" i="1"/>
  <c r="P15" i="1" s="1"/>
  <c r="L26" i="1"/>
  <c r="L28" i="1" s="1"/>
  <c r="L30" i="1" s="1"/>
  <c r="L33" i="1"/>
  <c r="N32" i="1"/>
  <c r="O16" i="1" l="1"/>
  <c r="O17" i="1" s="1"/>
  <c r="O18" i="1"/>
  <c r="P16" i="1"/>
  <c r="P17" i="1" s="1"/>
  <c r="P18" i="1"/>
  <c r="N21" i="1"/>
  <c r="M26" i="1"/>
  <c r="M28" i="1" s="1"/>
  <c r="M30" i="1" s="1"/>
  <c r="M33" i="1"/>
  <c r="P21" i="1" l="1"/>
  <c r="N26" i="1"/>
  <c r="N28" i="1" s="1"/>
  <c r="N30" i="1" s="1"/>
  <c r="N33" i="1"/>
  <c r="O21" i="1"/>
  <c r="O32" i="1"/>
  <c r="O26" i="1" l="1"/>
  <c r="O28" i="1" s="1"/>
  <c r="O30" i="1" s="1"/>
  <c r="O33" i="1"/>
</calcChain>
</file>

<file path=xl/sharedStrings.xml><?xml version="1.0" encoding="utf-8"?>
<sst xmlns="http://schemas.openxmlformats.org/spreadsheetml/2006/main" count="46" uniqueCount="38">
  <si>
    <t>Revenue</t>
  </si>
  <si>
    <t>Mail Revenue</t>
  </si>
  <si>
    <t>Insurance</t>
  </si>
  <si>
    <t>Financials</t>
  </si>
  <si>
    <t>Postepay</t>
  </si>
  <si>
    <t>COGS</t>
  </si>
  <si>
    <t>Gross Margin</t>
  </si>
  <si>
    <t>Personnel expenses</t>
  </si>
  <si>
    <t>D&amp;A</t>
  </si>
  <si>
    <t>Other</t>
  </si>
  <si>
    <t>Operating Profit</t>
  </si>
  <si>
    <t>Financial Cost</t>
  </si>
  <si>
    <t>Financial Income</t>
  </si>
  <si>
    <t>Impairment</t>
  </si>
  <si>
    <t>Equity Investments</t>
  </si>
  <si>
    <t>Pretax</t>
  </si>
  <si>
    <t>Taxes</t>
  </si>
  <si>
    <t>Net Income</t>
  </si>
  <si>
    <t>Minority</t>
  </si>
  <si>
    <t>Company Income</t>
  </si>
  <si>
    <t>Operating Margin</t>
  </si>
  <si>
    <t>CFFO</t>
  </si>
  <si>
    <t>CapEx</t>
  </si>
  <si>
    <t>FCF</t>
  </si>
  <si>
    <t>Cash</t>
  </si>
  <si>
    <t>PP&amp;E</t>
  </si>
  <si>
    <t>Debt</t>
  </si>
  <si>
    <t>NAV</t>
  </si>
  <si>
    <t>Growth</t>
  </si>
  <si>
    <t>Total Revenue</t>
  </si>
  <si>
    <t>Discount</t>
  </si>
  <si>
    <t>Terminal</t>
  </si>
  <si>
    <t>NPV</t>
  </si>
  <si>
    <t>Shares</t>
  </si>
  <si>
    <t>Price</t>
  </si>
  <si>
    <t>MC</t>
  </si>
  <si>
    <t>Ne Cash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</si>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</sst>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4" fontId="0" fillId="0" borderId="0" xfId="0" applyNumberFormat="1"/>
    <xf numFmtId="9" fontId="0" fillId="0" borderId="0" xfId="1" applyFont="1"/>
    <xf numFmtId="3" fontId="3" fillId="0" borderId="0" xfId="0" applyNumberFormat="1" applyFont="1"/>
    <xf numFmtId="3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4646</xdr:rowOff>
    </xdr:from>
    <xdr:to>
      <xdr:col>5</xdr:col>
      <xdr:colOff>0</xdr:colOff>
      <xdr:row>38</xdr:row>
      <xdr:rowOff>185854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C587B8C-C20F-758C-48CC-EEEFEB377021}"/>
            </a:ext>
          </a:extLst>
        </xdr:cNvPr>
        <xdr:cNvCxnSpPr/>
      </xdr:nvCxnSpPr>
      <xdr:spPr>
        <a:xfrm>
          <a:off x="3294256" y="576146"/>
          <a:ext cx="0" cy="53247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9355-838B-401F-AAD7-88BDF6EAB7B7}">
  <dimension ref="B4:C8"/>
  <sheetViews>
    <sheetView zoomScale="190" zoomScaleNormal="190" workbookViewId="0">
      <selection activeCell="B20" sqref="B20"/>
    </sheetView>
  </sheetViews>
  <sheetFormatPr defaultRowHeight="15" x14ac:dyDescent="0.25"/>
  <sheetData>
    <row r="4" spans="2:3" x14ac:dyDescent="0.25">
      <c r="B4" t="s">
        <v>34</v>
      </c>
      <c r="C4">
        <v>22.98</v>
      </c>
    </row>
    <row r="5" spans="2:3" x14ac:dyDescent="0.25">
      <c r="B5" t="s">
        <v>33</v>
      </c>
      <c r="C5" s="1">
        <v>1306</v>
      </c>
    </row>
    <row r="6" spans="2:3" x14ac:dyDescent="0.25">
      <c r="B6" t="s">
        <v>35</v>
      </c>
      <c r="C6">
        <f>+C4*C5</f>
        <v>30011.88</v>
      </c>
    </row>
    <row r="7" spans="2:3" x14ac:dyDescent="0.25">
      <c r="B7" t="s">
        <v>36</v>
      </c>
    </row>
    <row r="8" spans="2:3" x14ac:dyDescent="0.25">
      <c r="B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5526-E1E2-4CB0-B0FD-4E5EE0FB7DC3}">
  <dimension ref="B2:DW103"/>
  <sheetViews>
    <sheetView tabSelected="1" zoomScale="175" zoomScaleNormal="175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L20" sqref="L20"/>
    </sheetView>
  </sheetViews>
  <sheetFormatPr defaultRowHeight="15" x14ac:dyDescent="0.25"/>
  <cols>
    <col min="1" max="1" width="2.85546875" customWidth="1"/>
    <col min="2" max="2" width="19.140625" bestFit="1" customWidth="1"/>
  </cols>
  <sheetData>
    <row r="2" spans="2:16" x14ac:dyDescent="0.25">
      <c r="D2">
        <v>2023</v>
      </c>
      <c r="E2">
        <f>+D2+1</f>
        <v>2024</v>
      </c>
      <c r="F2">
        <f>+E2+1</f>
        <v>2025</v>
      </c>
      <c r="G2">
        <f>+F2+1</f>
        <v>2026</v>
      </c>
      <c r="H2">
        <f t="shared" ref="H2:P2" si="0">+G2+1</f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>
      <c r="B4" s="6" t="s">
        <v>28</v>
      </c>
    </row>
    <row r="5" spans="2:16" s="5" customFormat="1" x14ac:dyDescent="0.25">
      <c r="B5" s="5" t="s">
        <v>1</v>
      </c>
      <c r="E5" s="5">
        <f>+E11/D11 -1</f>
        <v>2.5894287239722313E-2</v>
      </c>
      <c r="F5" s="5">
        <f>+F11/E11 -1</f>
        <v>-1.6083788706739544E-2</v>
      </c>
      <c r="G5" s="5">
        <f t="shared" ref="G5:P5" si="1">+G11/F11 -1</f>
        <v>1.0000000000000009E-2</v>
      </c>
      <c r="H5" s="5">
        <f t="shared" si="1"/>
        <v>1.0000000000000009E-2</v>
      </c>
      <c r="I5" s="5">
        <f t="shared" si="1"/>
        <v>1.0000000000000009E-2</v>
      </c>
      <c r="J5" s="5">
        <f t="shared" si="1"/>
        <v>1.0000000000000009E-2</v>
      </c>
      <c r="K5" s="5">
        <f t="shared" si="1"/>
        <v>1.0000000000000009E-2</v>
      </c>
      <c r="L5" s="5">
        <f t="shared" si="1"/>
        <v>1.0000000000000009E-2</v>
      </c>
      <c r="M5" s="5">
        <f t="shared" si="1"/>
        <v>1.0000000000000009E-2</v>
      </c>
      <c r="N5" s="5">
        <f t="shared" si="1"/>
        <v>1.0000000000000009E-2</v>
      </c>
      <c r="O5" s="5">
        <f t="shared" si="1"/>
        <v>1.0000000000000009E-2</v>
      </c>
      <c r="P5" s="5">
        <f t="shared" si="1"/>
        <v>1.0000000000000009E-2</v>
      </c>
    </row>
    <row r="6" spans="2:16" s="5" customFormat="1" x14ac:dyDescent="0.25">
      <c r="B6" s="5" t="s">
        <v>3</v>
      </c>
      <c r="E6" s="5">
        <f t="shared" ref="E6:F6" si="2">+E12/D12 -1</f>
        <v>5.5842417288200386E-2</v>
      </c>
      <c r="F6" s="5">
        <f t="shared" si="2"/>
        <v>1.9963774678500412E-2</v>
      </c>
      <c r="G6" s="5">
        <f t="shared" ref="G6:P6" si="3">+G12/F12 -1</f>
        <v>2.0000000000000018E-2</v>
      </c>
      <c r="H6" s="5">
        <f t="shared" si="3"/>
        <v>2.0000000000000018E-2</v>
      </c>
      <c r="I6" s="5">
        <f t="shared" si="3"/>
        <v>2.0000000000000018E-2</v>
      </c>
      <c r="J6" s="5">
        <f t="shared" si="3"/>
        <v>2.0000000000000018E-2</v>
      </c>
      <c r="K6" s="5">
        <f t="shared" si="3"/>
        <v>2.0000000000000018E-2</v>
      </c>
      <c r="L6" s="5">
        <f t="shared" si="3"/>
        <v>2.0000000000000018E-2</v>
      </c>
      <c r="M6" s="5">
        <f t="shared" si="3"/>
        <v>2.0000000000000018E-2</v>
      </c>
      <c r="N6" s="5">
        <f t="shared" si="3"/>
        <v>2.0000000000000018E-2</v>
      </c>
      <c r="O6" s="5">
        <f t="shared" si="3"/>
        <v>2.0000000000000018E-2</v>
      </c>
      <c r="P6" s="5">
        <f t="shared" si="3"/>
        <v>2.0000000000000018E-2</v>
      </c>
    </row>
    <row r="7" spans="2:16" s="5" customFormat="1" x14ac:dyDescent="0.25">
      <c r="B7" s="5" t="s">
        <v>2</v>
      </c>
      <c r="E7" s="5">
        <f t="shared" ref="E7:F7" si="4">+E13/D13 -1</f>
        <v>4.6585832801531613E-2</v>
      </c>
      <c r="F7" s="5">
        <f t="shared" si="4"/>
        <v>9.6439024390243988E-2</v>
      </c>
      <c r="G7" s="5">
        <f t="shared" ref="G7:P7" si="5">+G13/F13 -1</f>
        <v>5.0000000000000044E-2</v>
      </c>
      <c r="H7" s="5">
        <f t="shared" si="5"/>
        <v>4.0000000000000036E-2</v>
      </c>
      <c r="I7" s="5">
        <f t="shared" si="5"/>
        <v>4.0000000000000036E-2</v>
      </c>
      <c r="J7" s="5">
        <f t="shared" si="5"/>
        <v>4.0000000000000036E-2</v>
      </c>
      <c r="K7" s="5">
        <f t="shared" si="5"/>
        <v>4.0000000000000036E-2</v>
      </c>
      <c r="L7" s="5">
        <f t="shared" si="5"/>
        <v>4.0000000000000036E-2</v>
      </c>
      <c r="M7" s="5">
        <f t="shared" si="5"/>
        <v>4.0000000000000036E-2</v>
      </c>
      <c r="N7" s="5">
        <f t="shared" si="5"/>
        <v>4.0000000000000036E-2</v>
      </c>
      <c r="O7" s="5">
        <f t="shared" si="5"/>
        <v>4.0000000000000036E-2</v>
      </c>
      <c r="P7" s="5">
        <f t="shared" si="5"/>
        <v>4.0000000000000036E-2</v>
      </c>
    </row>
    <row r="8" spans="2:16" s="5" customFormat="1" x14ac:dyDescent="0.25">
      <c r="B8" s="5" t="s">
        <v>4</v>
      </c>
      <c r="E8" s="5">
        <f t="shared" ref="E8:F8" si="6">+E14/D14 -1</f>
        <v>0.21248423707440112</v>
      </c>
      <c r="F8" s="5">
        <f t="shared" si="6"/>
        <v>5.8881955278211162E-2</v>
      </c>
      <c r="G8" s="5">
        <f t="shared" ref="G8:P8" si="7">+G14/F14 -1</f>
        <v>5.0000000000000044E-2</v>
      </c>
      <c r="H8" s="5">
        <f t="shared" si="7"/>
        <v>5.0000000000000044E-2</v>
      </c>
      <c r="I8" s="5">
        <f t="shared" si="7"/>
        <v>5.0000000000000044E-2</v>
      </c>
      <c r="J8" s="5">
        <f t="shared" si="7"/>
        <v>5.0000000000000044E-2</v>
      </c>
      <c r="K8" s="5">
        <f t="shared" si="7"/>
        <v>5.0000000000000044E-2</v>
      </c>
      <c r="L8" s="5">
        <f t="shared" si="7"/>
        <v>5.0000000000000044E-2</v>
      </c>
      <c r="M8" s="5">
        <f t="shared" si="7"/>
        <v>5.0000000000000044E-2</v>
      </c>
      <c r="N8" s="5">
        <f t="shared" si="7"/>
        <v>5.0000000000000044E-2</v>
      </c>
      <c r="O8" s="5">
        <f t="shared" si="7"/>
        <v>5.0000000000000044E-2</v>
      </c>
      <c r="P8" s="5">
        <f t="shared" si="7"/>
        <v>5.0000000000000044E-2</v>
      </c>
    </row>
    <row r="9" spans="2:16" s="5" customFormat="1" x14ac:dyDescent="0.25">
      <c r="B9" s="5" t="s">
        <v>29</v>
      </c>
      <c r="E9" s="5">
        <f>+E15/D15 -1</f>
        <v>6.5880606860158286E-2</v>
      </c>
      <c r="F9" s="5">
        <f>+F15/E15 -1</f>
        <v>2.4738918542585253E-2</v>
      </c>
      <c r="G9" s="5">
        <f t="shared" ref="G9:P9" si="8">+G15/F15 -1</f>
        <v>2.5829317269076446E-2</v>
      </c>
      <c r="H9" s="5">
        <f t="shared" si="8"/>
        <v>2.4688556423150487E-2</v>
      </c>
      <c r="I9" s="5">
        <f t="shared" si="8"/>
        <v>2.4886958886535915E-2</v>
      </c>
      <c r="J9" s="5">
        <f t="shared" si="8"/>
        <v>2.5087299367511307E-2</v>
      </c>
      <c r="K9" s="5">
        <f t="shared" si="8"/>
        <v>2.5289538680454582E-2</v>
      </c>
      <c r="L9" s="5">
        <f t="shared" si="8"/>
        <v>2.5493635227704647E-2</v>
      </c>
      <c r="M9" s="5">
        <f t="shared" si="8"/>
        <v>2.5699545008563307E-2</v>
      </c>
      <c r="N9" s="5">
        <f t="shared" si="8"/>
        <v>2.5907221634133837E-2</v>
      </c>
      <c r="O9" s="5">
        <f t="shared" si="8"/>
        <v>2.6116616348108357E-2</v>
      </c>
      <c r="P9" s="5">
        <f t="shared" si="8"/>
        <v>2.6327678053618131E-2</v>
      </c>
    </row>
    <row r="10" spans="2:16" s="1" customFormat="1" x14ac:dyDescent="0.25"/>
    <row r="11" spans="2:16" s="1" customFormat="1" x14ac:dyDescent="0.25">
      <c r="B11" s="1" t="s">
        <v>1</v>
      </c>
      <c r="D11" s="1">
        <v>3746</v>
      </c>
      <c r="E11" s="1">
        <v>3843</v>
      </c>
      <c r="F11" s="1">
        <f>2843*1.33</f>
        <v>3781.19</v>
      </c>
      <c r="G11" s="1">
        <f>+F11*1.01</f>
        <v>3819.0019000000002</v>
      </c>
      <c r="H11" s="1">
        <f t="shared" ref="H11:O11" si="9">+G11*1.01</f>
        <v>3857.1919190000003</v>
      </c>
      <c r="I11" s="1">
        <f t="shared" si="9"/>
        <v>3895.7638381900006</v>
      </c>
      <c r="J11" s="1">
        <f t="shared" si="9"/>
        <v>3934.7214765719004</v>
      </c>
      <c r="K11" s="1">
        <f t="shared" si="9"/>
        <v>3974.0686913376194</v>
      </c>
      <c r="L11" s="1">
        <f t="shared" si="9"/>
        <v>4013.8093782509955</v>
      </c>
      <c r="M11" s="1">
        <f t="shared" si="9"/>
        <v>4053.9474720335056</v>
      </c>
      <c r="N11" s="1">
        <f t="shared" si="9"/>
        <v>4094.4869467538406</v>
      </c>
      <c r="O11" s="1">
        <f t="shared" si="9"/>
        <v>4135.4318162213794</v>
      </c>
      <c r="P11" s="1">
        <f t="shared" ref="P11" si="10">+O11*1.01</f>
        <v>4176.786134383593</v>
      </c>
    </row>
    <row r="12" spans="2:16" s="1" customFormat="1" x14ac:dyDescent="0.25">
      <c r="B12" s="1" t="s">
        <v>3</v>
      </c>
      <c r="D12" s="1">
        <v>5229</v>
      </c>
      <c r="E12" s="1">
        <v>5521</v>
      </c>
      <c r="F12" s="1">
        <f>4234*1.33</f>
        <v>5631.22</v>
      </c>
      <c r="G12" s="1">
        <f>+F12*1.02</f>
        <v>5743.8444</v>
      </c>
      <c r="H12" s="1">
        <f t="shared" ref="H12:O12" si="11">+G12*1.02</f>
        <v>5858.7212879999997</v>
      </c>
      <c r="I12" s="1">
        <f t="shared" si="11"/>
        <v>5975.89571376</v>
      </c>
      <c r="J12" s="1">
        <f t="shared" si="11"/>
        <v>6095.4136280352004</v>
      </c>
      <c r="K12" s="1">
        <f t="shared" si="11"/>
        <v>6217.3219005959045</v>
      </c>
      <c r="L12" s="1">
        <f t="shared" si="11"/>
        <v>6341.668338607823</v>
      </c>
      <c r="M12" s="1">
        <f t="shared" si="11"/>
        <v>6468.5017053799793</v>
      </c>
      <c r="N12" s="1">
        <f t="shared" si="11"/>
        <v>6597.8717394875794</v>
      </c>
      <c r="O12" s="1">
        <f t="shared" si="11"/>
        <v>6729.8291742773308</v>
      </c>
      <c r="P12" s="1">
        <f t="shared" ref="P12" si="12">+O12*1.02</f>
        <v>6864.4257577628778</v>
      </c>
    </row>
    <row r="13" spans="2:16" s="1" customFormat="1" x14ac:dyDescent="0.25">
      <c r="B13" s="1" t="s">
        <v>2</v>
      </c>
      <c r="D13" s="1">
        <v>1567</v>
      </c>
      <c r="E13" s="1">
        <v>1640</v>
      </c>
      <c r="F13" s="1">
        <f>1352*1.33</f>
        <v>1798.16</v>
      </c>
      <c r="G13" s="1">
        <f>+F13*1.05</f>
        <v>1888.0680000000002</v>
      </c>
      <c r="H13" s="1">
        <f>+G13*1.04</f>
        <v>1963.5907200000004</v>
      </c>
      <c r="I13" s="1">
        <f t="shared" ref="I13:O13" si="13">+H13*1.04</f>
        <v>2042.1343488000005</v>
      </c>
      <c r="J13" s="1">
        <f t="shared" si="13"/>
        <v>2123.8197227520004</v>
      </c>
      <c r="K13" s="1">
        <f t="shared" si="13"/>
        <v>2208.7725116620804</v>
      </c>
      <c r="L13" s="1">
        <f t="shared" si="13"/>
        <v>2297.1234121285638</v>
      </c>
      <c r="M13" s="1">
        <f t="shared" si="13"/>
        <v>2389.0083486137064</v>
      </c>
      <c r="N13" s="1">
        <f t="shared" si="13"/>
        <v>2484.5686825582547</v>
      </c>
      <c r="O13" s="1">
        <f t="shared" si="13"/>
        <v>2583.951429860585</v>
      </c>
      <c r="P13" s="1">
        <f t="shared" ref="P13" si="14">+O13*1.04</f>
        <v>2687.3094870550085</v>
      </c>
    </row>
    <row r="14" spans="2:16" s="1" customFormat="1" x14ac:dyDescent="0.25">
      <c r="B14" s="1" t="s">
        <v>4</v>
      </c>
      <c r="D14" s="1">
        <v>1586</v>
      </c>
      <c r="E14" s="1">
        <v>1923</v>
      </c>
      <c r="F14" s="1">
        <f>1531*1.33</f>
        <v>2036.23</v>
      </c>
      <c r="G14" s="1">
        <f>+F14*1.05</f>
        <v>2138.0415000000003</v>
      </c>
      <c r="H14" s="1">
        <f t="shared" ref="H14:O14" si="15">+G14*1.05</f>
        <v>2244.9435750000002</v>
      </c>
      <c r="I14" s="1">
        <f t="shared" si="15"/>
        <v>2357.1907537500006</v>
      </c>
      <c r="J14" s="1">
        <f t="shared" si="15"/>
        <v>2475.0502914375006</v>
      </c>
      <c r="K14" s="1">
        <f t="shared" si="15"/>
        <v>2598.8028060093757</v>
      </c>
      <c r="L14" s="1">
        <f t="shared" si="15"/>
        <v>2728.7429463098447</v>
      </c>
      <c r="M14" s="1">
        <f t="shared" si="15"/>
        <v>2865.1800936253371</v>
      </c>
      <c r="N14" s="1">
        <f t="shared" si="15"/>
        <v>3008.4390983066041</v>
      </c>
      <c r="O14" s="1">
        <f t="shared" si="15"/>
        <v>3158.8610532219345</v>
      </c>
      <c r="P14" s="1">
        <f t="shared" ref="P14" si="16">+O14*1.05</f>
        <v>3316.8041058830313</v>
      </c>
    </row>
    <row r="15" spans="2:16" s="2" customFormat="1" x14ac:dyDescent="0.25">
      <c r="B15" s="2" t="s">
        <v>0</v>
      </c>
      <c r="D15" s="2">
        <f>+D11+D12+D13+D14</f>
        <v>12128</v>
      </c>
      <c r="E15" s="2">
        <f>+E11+E12+E13+E14</f>
        <v>12927</v>
      </c>
      <c r="F15" s="2">
        <f>+F11+F12+F13+F14</f>
        <v>13246.8</v>
      </c>
      <c r="G15" s="2">
        <f>+G11+G12+G13+G14</f>
        <v>13588.9558</v>
      </c>
      <c r="H15" s="2">
        <f t="shared" ref="H15:P15" si="17">+H11+H12+H13+H14</f>
        <v>13924.447501999999</v>
      </c>
      <c r="I15" s="2">
        <f t="shared" si="17"/>
        <v>14270.984654500002</v>
      </c>
      <c r="J15" s="2">
        <f t="shared" si="17"/>
        <v>14629.005118796604</v>
      </c>
      <c r="K15" s="2">
        <f t="shared" si="17"/>
        <v>14998.96590960498</v>
      </c>
      <c r="L15" s="2">
        <f t="shared" si="17"/>
        <v>15381.344075297227</v>
      </c>
      <c r="M15" s="2">
        <f t="shared" si="17"/>
        <v>15776.637619652527</v>
      </c>
      <c r="N15" s="2">
        <f t="shared" si="17"/>
        <v>16185.366467106278</v>
      </c>
      <c r="O15" s="2">
        <f t="shared" si="17"/>
        <v>16608.073473581229</v>
      </c>
      <c r="P15" s="2">
        <f t="shared" si="17"/>
        <v>17045.325485084511</v>
      </c>
    </row>
    <row r="16" spans="2:16" s="1" customFormat="1" x14ac:dyDescent="0.25">
      <c r="B16" s="1" t="s">
        <v>5</v>
      </c>
      <c r="D16" s="1">
        <v>3237</v>
      </c>
      <c r="E16" s="1">
        <v>3717</v>
      </c>
      <c r="F16" s="1">
        <f>2836*1.33</f>
        <v>3771.88</v>
      </c>
      <c r="G16" s="1">
        <f>+G15*0.28</f>
        <v>3804.9076240000004</v>
      </c>
      <c r="H16" s="1">
        <f t="shared" ref="H16:P16" si="18">+H15*0.28</f>
        <v>3898.8453005599999</v>
      </c>
      <c r="I16" s="1">
        <f t="shared" si="18"/>
        <v>3995.875703260001</v>
      </c>
      <c r="J16" s="1">
        <f t="shared" si="18"/>
        <v>4096.1214332630498</v>
      </c>
      <c r="K16" s="1">
        <f t="shared" si="18"/>
        <v>4199.7104546893952</v>
      </c>
      <c r="L16" s="1">
        <f t="shared" si="18"/>
        <v>4306.776341083224</v>
      </c>
      <c r="M16" s="1">
        <f t="shared" si="18"/>
        <v>4417.4585335027077</v>
      </c>
      <c r="N16" s="1">
        <f t="shared" si="18"/>
        <v>4531.902610789758</v>
      </c>
      <c r="O16" s="1">
        <f t="shared" si="18"/>
        <v>4650.260572602745</v>
      </c>
      <c r="P16" s="1">
        <f t="shared" si="18"/>
        <v>4772.6911358236639</v>
      </c>
    </row>
    <row r="17" spans="2:127" s="1" customFormat="1" x14ac:dyDescent="0.25">
      <c r="B17" s="1" t="s">
        <v>6</v>
      </c>
      <c r="D17" s="1">
        <f>+D15-D16</f>
        <v>8891</v>
      </c>
      <c r="E17" s="1">
        <f>+E15-E16</f>
        <v>9210</v>
      </c>
      <c r="F17" s="1">
        <f>+F15-F16</f>
        <v>9474.9199999999983</v>
      </c>
      <c r="G17" s="1">
        <f t="shared" ref="G17:P17" si="19">+G15-G16</f>
        <v>9784.0481760000002</v>
      </c>
      <c r="H17" s="1">
        <f t="shared" si="19"/>
        <v>10025.602201439999</v>
      </c>
      <c r="I17" s="1">
        <f t="shared" si="19"/>
        <v>10275.108951240001</v>
      </c>
      <c r="J17" s="1">
        <f t="shared" si="19"/>
        <v>10532.883685533554</v>
      </c>
      <c r="K17" s="1">
        <f t="shared" si="19"/>
        <v>10799.255454915585</v>
      </c>
      <c r="L17" s="1">
        <f t="shared" si="19"/>
        <v>11074.567734214004</v>
      </c>
      <c r="M17" s="1">
        <f t="shared" si="19"/>
        <v>11359.179086149819</v>
      </c>
      <c r="N17" s="1">
        <f t="shared" si="19"/>
        <v>11653.463856316521</v>
      </c>
      <c r="O17" s="1">
        <f t="shared" si="19"/>
        <v>11957.812900978484</v>
      </c>
      <c r="P17" s="1">
        <f t="shared" si="19"/>
        <v>12272.634349260847</v>
      </c>
    </row>
    <row r="18" spans="2:127" s="1" customFormat="1" x14ac:dyDescent="0.25">
      <c r="B18" s="1" t="s">
        <v>7</v>
      </c>
      <c r="D18" s="1">
        <v>5170</v>
      </c>
      <c r="E18" s="1">
        <v>5135</v>
      </c>
      <c r="F18" s="1">
        <f>3768*1.33</f>
        <v>5011.4400000000005</v>
      </c>
      <c r="G18" s="1">
        <f>+G15*0.38</f>
        <v>5163.8032039999998</v>
      </c>
      <c r="H18" s="1">
        <f t="shared" ref="H18:O18" si="20">+H15*0.38</f>
        <v>5291.2900507599998</v>
      </c>
      <c r="I18" s="1">
        <f t="shared" si="20"/>
        <v>5422.9741687100004</v>
      </c>
      <c r="J18" s="1">
        <f t="shared" si="20"/>
        <v>5559.0219451427092</v>
      </c>
      <c r="K18" s="1">
        <f t="shared" si="20"/>
        <v>5699.6070456498928</v>
      </c>
      <c r="L18" s="1">
        <f t="shared" si="20"/>
        <v>5844.9107486129469</v>
      </c>
      <c r="M18" s="1">
        <f t="shared" si="20"/>
        <v>5995.1222954679606</v>
      </c>
      <c r="N18" s="1">
        <f t="shared" si="20"/>
        <v>6150.4392575003858</v>
      </c>
      <c r="O18" s="1">
        <f t="shared" si="20"/>
        <v>6311.0679199608676</v>
      </c>
      <c r="P18" s="1">
        <f t="shared" ref="P18" si="21">+P15*0.38</f>
        <v>6477.2236843321143</v>
      </c>
    </row>
    <row r="19" spans="2:127" s="1" customFormat="1" x14ac:dyDescent="0.25">
      <c r="B19" s="1" t="s">
        <v>8</v>
      </c>
      <c r="D19" s="1">
        <v>811</v>
      </c>
      <c r="E19" s="1">
        <v>855</v>
      </c>
      <c r="F19" s="1">
        <f>679*1.33</f>
        <v>903.07</v>
      </c>
      <c r="G19" s="1">
        <f>+F19*1.03</f>
        <v>930.16210000000012</v>
      </c>
      <c r="H19" s="1">
        <f t="shared" ref="H19:O19" si="22">+G19*1.03</f>
        <v>958.0669630000001</v>
      </c>
      <c r="I19" s="1">
        <f t="shared" si="22"/>
        <v>986.80897189000018</v>
      </c>
      <c r="J19" s="1">
        <f t="shared" si="22"/>
        <v>1016.4132410467003</v>
      </c>
      <c r="K19" s="1">
        <f t="shared" si="22"/>
        <v>1046.9056382781014</v>
      </c>
      <c r="L19" s="1">
        <f t="shared" si="22"/>
        <v>1078.3128074264444</v>
      </c>
      <c r="M19" s="1">
        <f t="shared" si="22"/>
        <v>1110.6621916492377</v>
      </c>
      <c r="N19" s="1">
        <f t="shared" si="22"/>
        <v>1143.9820573987149</v>
      </c>
      <c r="O19" s="1">
        <f t="shared" si="22"/>
        <v>1178.3015191206764</v>
      </c>
      <c r="P19" s="1">
        <f t="shared" ref="P19" si="23">+O19*1.03</f>
        <v>1213.6505646942967</v>
      </c>
    </row>
    <row r="20" spans="2:127" s="1" customFormat="1" x14ac:dyDescent="0.25">
      <c r="B20" s="1" t="s">
        <v>9</v>
      </c>
      <c r="D20" s="1">
        <f>+D17-D18-D19-D21</f>
        <v>290</v>
      </c>
      <c r="E20" s="1">
        <f>+E17-E18-E19-E21</f>
        <v>674</v>
      </c>
      <c r="F20" s="1">
        <v>300</v>
      </c>
      <c r="G20" s="1">
        <v>300</v>
      </c>
      <c r="H20" s="1">
        <v>300</v>
      </c>
      <c r="I20" s="1">
        <v>300</v>
      </c>
      <c r="J20" s="1">
        <v>300</v>
      </c>
      <c r="K20" s="1">
        <v>300</v>
      </c>
      <c r="L20" s="1">
        <v>300</v>
      </c>
      <c r="M20" s="1">
        <v>300</v>
      </c>
      <c r="N20" s="1">
        <v>300</v>
      </c>
      <c r="O20" s="1">
        <v>300</v>
      </c>
      <c r="P20" s="1">
        <v>300</v>
      </c>
    </row>
    <row r="21" spans="2:127" s="2" customFormat="1" x14ac:dyDescent="0.25">
      <c r="B21" s="2" t="s">
        <v>10</v>
      </c>
      <c r="D21" s="2">
        <v>2620</v>
      </c>
      <c r="E21" s="2">
        <v>2546</v>
      </c>
      <c r="F21" s="2">
        <f>+F17-F18-F19-F20</f>
        <v>3260.4099999999976</v>
      </c>
      <c r="G21" s="2">
        <f>+G17-G18-G19-G20</f>
        <v>3390.0828720000004</v>
      </c>
      <c r="H21" s="2">
        <f t="shared" ref="H21:P21" si="24">+H17-H18-H19-H20</f>
        <v>3476.2451876799987</v>
      </c>
      <c r="I21" s="2">
        <f t="shared" si="24"/>
        <v>3565.3258106400008</v>
      </c>
      <c r="J21" s="2">
        <f t="shared" si="24"/>
        <v>3657.4484993441447</v>
      </c>
      <c r="K21" s="2">
        <f t="shared" si="24"/>
        <v>3752.7427709875906</v>
      </c>
      <c r="L21" s="2">
        <f t="shared" si="24"/>
        <v>3851.3441781746133</v>
      </c>
      <c r="M21" s="2">
        <f t="shared" si="24"/>
        <v>3953.394599032621</v>
      </c>
      <c r="N21" s="2">
        <f t="shared" si="24"/>
        <v>4059.0425414174206</v>
      </c>
      <c r="O21" s="2">
        <f t="shared" si="24"/>
        <v>4168.4434618969408</v>
      </c>
      <c r="P21" s="2">
        <f t="shared" si="24"/>
        <v>4281.7601002344354</v>
      </c>
    </row>
    <row r="22" spans="2:127" s="1" customFormat="1" x14ac:dyDescent="0.25">
      <c r="B22" s="1" t="s">
        <v>11</v>
      </c>
      <c r="D22" s="1">
        <v>119</v>
      </c>
      <c r="E22" s="1">
        <v>120</v>
      </c>
      <c r="F22" s="1">
        <f>100*1.33</f>
        <v>133</v>
      </c>
      <c r="G22" s="1">
        <f>+F22*1.03</f>
        <v>136.99</v>
      </c>
      <c r="H22" s="1">
        <f t="shared" ref="H22:P22" si="25">+G22*1.03</f>
        <v>141.09970000000001</v>
      </c>
      <c r="I22" s="1">
        <f t="shared" si="25"/>
        <v>145.33269100000001</v>
      </c>
      <c r="J22" s="1">
        <f t="shared" si="25"/>
        <v>149.69267173000003</v>
      </c>
      <c r="K22" s="1">
        <f t="shared" si="25"/>
        <v>154.18345188190003</v>
      </c>
      <c r="L22" s="1">
        <f t="shared" si="25"/>
        <v>158.80895543835703</v>
      </c>
      <c r="M22" s="1">
        <f t="shared" si="25"/>
        <v>163.57322410150775</v>
      </c>
      <c r="N22" s="1">
        <f t="shared" si="25"/>
        <v>168.48042082455299</v>
      </c>
      <c r="O22" s="1">
        <f t="shared" si="25"/>
        <v>173.53483344928958</v>
      </c>
      <c r="P22" s="1">
        <f t="shared" si="25"/>
        <v>178.74087845276827</v>
      </c>
    </row>
    <row r="23" spans="2:127" s="1" customFormat="1" x14ac:dyDescent="0.25">
      <c r="B23" s="1" t="s">
        <v>12</v>
      </c>
      <c r="D23" s="1">
        <v>181</v>
      </c>
      <c r="E23" s="1">
        <v>209</v>
      </c>
      <c r="F23" s="1">
        <f>179*1.33</f>
        <v>238.07000000000002</v>
      </c>
      <c r="G23" s="1">
        <f>+F23*1.03</f>
        <v>245.21210000000002</v>
      </c>
      <c r="H23" s="1">
        <f t="shared" ref="H23:P23" si="26">+G23*1.03</f>
        <v>252.56846300000004</v>
      </c>
      <c r="I23" s="1">
        <f t="shared" si="26"/>
        <v>260.14551689000007</v>
      </c>
      <c r="J23" s="1">
        <f t="shared" si="26"/>
        <v>267.9498823967001</v>
      </c>
      <c r="K23" s="1">
        <f t="shared" si="26"/>
        <v>275.9883788686011</v>
      </c>
      <c r="L23" s="1">
        <f t="shared" si="26"/>
        <v>284.26803023465914</v>
      </c>
      <c r="M23" s="1">
        <f t="shared" si="26"/>
        <v>292.79607114169892</v>
      </c>
      <c r="N23" s="1">
        <f t="shared" si="26"/>
        <v>301.57995327594989</v>
      </c>
      <c r="O23" s="1">
        <f t="shared" si="26"/>
        <v>310.6273518742284</v>
      </c>
      <c r="P23" s="1">
        <f t="shared" si="26"/>
        <v>319.94617243045525</v>
      </c>
    </row>
    <row r="24" spans="2:127" s="1" customFormat="1" x14ac:dyDescent="0.25">
      <c r="B24" s="1" t="s">
        <v>13</v>
      </c>
      <c r="D24" s="1">
        <v>-25</v>
      </c>
      <c r="E24" s="1">
        <v>-14</v>
      </c>
    </row>
    <row r="25" spans="2:127" s="1" customFormat="1" x14ac:dyDescent="0.25">
      <c r="B25" s="1" t="s">
        <v>14</v>
      </c>
      <c r="D25" s="1">
        <v>20</v>
      </c>
      <c r="E25" s="1">
        <v>22</v>
      </c>
      <c r="F25" s="1">
        <v>20</v>
      </c>
      <c r="G25" s="1">
        <v>20</v>
      </c>
      <c r="H25" s="1">
        <v>20</v>
      </c>
      <c r="I25" s="1">
        <v>20</v>
      </c>
      <c r="J25" s="1">
        <v>20</v>
      </c>
      <c r="K25" s="1">
        <v>20</v>
      </c>
      <c r="L25" s="1">
        <v>20</v>
      </c>
      <c r="M25" s="1">
        <v>20</v>
      </c>
      <c r="N25" s="1">
        <v>20</v>
      </c>
      <c r="O25" s="1">
        <v>20</v>
      </c>
      <c r="P25" s="1">
        <v>20</v>
      </c>
    </row>
    <row r="26" spans="2:127" s="1" customFormat="1" x14ac:dyDescent="0.25">
      <c r="B26" s="1" t="s">
        <v>15</v>
      </c>
      <c r="D26" s="1">
        <f>+D21-D22+D23-D24+D25</f>
        <v>2727</v>
      </c>
      <c r="E26" s="1">
        <f>+E21-E22+E23-E24+E25</f>
        <v>2671</v>
      </c>
      <c r="F26" s="1">
        <f>+F21-F22+F23-F24+F25</f>
        <v>3385.4799999999977</v>
      </c>
      <c r="G26" s="1">
        <f>+G21-G22+G23-G24+G25</f>
        <v>3518.3049720000004</v>
      </c>
      <c r="H26" s="1">
        <f t="shared" ref="H26:P26" si="27">+H21-H22+H23-H24+H25</f>
        <v>3607.7139506799986</v>
      </c>
      <c r="I26" s="1">
        <f t="shared" si="27"/>
        <v>3700.1386365300009</v>
      </c>
      <c r="J26" s="1">
        <f t="shared" si="27"/>
        <v>3795.7057100108445</v>
      </c>
      <c r="K26" s="1">
        <f t="shared" si="27"/>
        <v>3894.5476979742916</v>
      </c>
      <c r="L26" s="1">
        <f t="shared" si="27"/>
        <v>3996.8032529709153</v>
      </c>
      <c r="M26" s="1">
        <f t="shared" si="27"/>
        <v>4102.6174460728125</v>
      </c>
      <c r="N26" s="1">
        <f t="shared" si="27"/>
        <v>4212.1420738688175</v>
      </c>
      <c r="O26" s="1">
        <f t="shared" si="27"/>
        <v>4325.5359803218798</v>
      </c>
      <c r="P26" s="1">
        <f t="shared" si="27"/>
        <v>4442.9653942121231</v>
      </c>
    </row>
    <row r="27" spans="2:127" s="1" customFormat="1" x14ac:dyDescent="0.25">
      <c r="B27" s="1" t="s">
        <v>16</v>
      </c>
      <c r="D27" s="1">
        <v>794</v>
      </c>
      <c r="E27" s="1">
        <v>658</v>
      </c>
      <c r="F27" s="1">
        <f>+F26*0.25</f>
        <v>846.36999999999944</v>
      </c>
      <c r="G27" s="1">
        <f t="shared" ref="G27:P27" si="28">+G26*0.25</f>
        <v>879.57624300000009</v>
      </c>
      <c r="H27" s="1">
        <f t="shared" si="28"/>
        <v>901.92848766999964</v>
      </c>
      <c r="I27" s="1">
        <f t="shared" si="28"/>
        <v>925.03465913250022</v>
      </c>
      <c r="J27" s="1">
        <f t="shared" si="28"/>
        <v>948.92642750271114</v>
      </c>
      <c r="K27" s="1">
        <f t="shared" si="28"/>
        <v>973.63692449357291</v>
      </c>
      <c r="L27" s="1">
        <f t="shared" si="28"/>
        <v>999.20081324272883</v>
      </c>
      <c r="M27" s="1">
        <f t="shared" si="28"/>
        <v>1025.6543615182031</v>
      </c>
      <c r="N27" s="1">
        <f t="shared" si="28"/>
        <v>1053.0355184672044</v>
      </c>
      <c r="O27" s="1">
        <f t="shared" si="28"/>
        <v>1081.38399508047</v>
      </c>
      <c r="P27" s="1">
        <f t="shared" si="28"/>
        <v>1110.7413485530308</v>
      </c>
    </row>
    <row r="28" spans="2:127" s="2" customFormat="1" x14ac:dyDescent="0.25">
      <c r="B28" s="2" t="s">
        <v>17</v>
      </c>
      <c r="D28" s="2">
        <f>+D26-D27</f>
        <v>1933</v>
      </c>
      <c r="E28" s="2">
        <f>+E26-E27</f>
        <v>2013</v>
      </c>
      <c r="F28" s="2">
        <f>+F26-F27</f>
        <v>2539.1099999999983</v>
      </c>
      <c r="G28" s="2">
        <f>+G26-G27</f>
        <v>2638.7287290000004</v>
      </c>
      <c r="H28" s="2">
        <f t="shared" ref="H28:P28" si="29">+H26-H27</f>
        <v>2705.7854630099991</v>
      </c>
      <c r="I28" s="2">
        <f t="shared" si="29"/>
        <v>2775.1039773975008</v>
      </c>
      <c r="J28" s="2">
        <f t="shared" si="29"/>
        <v>2846.7792825081333</v>
      </c>
      <c r="K28" s="2">
        <f t="shared" si="29"/>
        <v>2920.9107734807185</v>
      </c>
      <c r="L28" s="2">
        <f t="shared" si="29"/>
        <v>2997.6024397281863</v>
      </c>
      <c r="M28" s="2">
        <f t="shared" si="29"/>
        <v>3076.9630845546094</v>
      </c>
      <c r="N28" s="2">
        <f t="shared" si="29"/>
        <v>3159.1065554016132</v>
      </c>
      <c r="O28" s="2">
        <f t="shared" si="29"/>
        <v>3244.1519852414099</v>
      </c>
      <c r="P28" s="2">
        <f t="shared" si="29"/>
        <v>3332.2240456590926</v>
      </c>
    </row>
    <row r="29" spans="2:127" s="1" customFormat="1" x14ac:dyDescent="0.25">
      <c r="B29" s="1" t="s">
        <v>18</v>
      </c>
      <c r="D29" s="1">
        <v>11</v>
      </c>
      <c r="E29" s="1">
        <v>19</v>
      </c>
      <c r="F29" s="1">
        <f>18*1.33</f>
        <v>23.94</v>
      </c>
      <c r="G29" s="1">
        <v>25</v>
      </c>
      <c r="H29" s="1">
        <v>25</v>
      </c>
      <c r="I29" s="1">
        <v>25</v>
      </c>
      <c r="J29" s="1">
        <v>25</v>
      </c>
      <c r="K29" s="1">
        <v>25</v>
      </c>
      <c r="L29" s="1">
        <v>25</v>
      </c>
      <c r="M29" s="1">
        <v>25</v>
      </c>
      <c r="N29" s="1">
        <v>25</v>
      </c>
      <c r="O29" s="1">
        <v>25</v>
      </c>
      <c r="P29" s="1">
        <v>25</v>
      </c>
    </row>
    <row r="30" spans="2:127" s="1" customFormat="1" x14ac:dyDescent="0.25">
      <c r="B30" s="1" t="s">
        <v>19</v>
      </c>
      <c r="D30" s="1">
        <f>+D28-D29</f>
        <v>1922</v>
      </c>
      <c r="E30" s="1">
        <f>+E28-E29</f>
        <v>1994</v>
      </c>
      <c r="F30" s="1">
        <f>+F28-F29</f>
        <v>2515.1699999999983</v>
      </c>
      <c r="G30" s="1">
        <f>+G28-G29</f>
        <v>2613.7287290000004</v>
      </c>
      <c r="H30" s="1">
        <f t="shared" ref="H30:P30" si="30">+H28-H29</f>
        <v>2680.7854630099991</v>
      </c>
      <c r="I30" s="1">
        <f t="shared" si="30"/>
        <v>2750.1039773975008</v>
      </c>
      <c r="J30" s="1">
        <f t="shared" si="30"/>
        <v>2821.7792825081333</v>
      </c>
      <c r="K30" s="1">
        <f t="shared" si="30"/>
        <v>2895.9107734807185</v>
      </c>
      <c r="L30" s="1">
        <f t="shared" si="30"/>
        <v>2972.6024397281863</v>
      </c>
      <c r="M30" s="1">
        <f t="shared" si="30"/>
        <v>3051.9630845546094</v>
      </c>
      <c r="N30" s="1">
        <f t="shared" si="30"/>
        <v>3134.1065554016132</v>
      </c>
      <c r="O30" s="1">
        <f t="shared" si="30"/>
        <v>3219.1519852414099</v>
      </c>
      <c r="P30" s="1">
        <f t="shared" si="30"/>
        <v>3307.2240456590926</v>
      </c>
      <c r="Q30" s="1">
        <f>+P30*(1+$S33)</f>
        <v>3340.2962861156834</v>
      </c>
      <c r="R30" s="1">
        <f t="shared" ref="R30:CC30" si="31">+Q30*(1+$S33)</f>
        <v>3373.6992489768404</v>
      </c>
      <c r="S30" s="1">
        <f t="shared" si="31"/>
        <v>3407.4362414666089</v>
      </c>
      <c r="T30" s="1">
        <f t="shared" si="31"/>
        <v>3441.5106038812751</v>
      </c>
      <c r="U30" s="1">
        <f t="shared" si="31"/>
        <v>3475.9257099200877</v>
      </c>
      <c r="V30" s="1">
        <f t="shared" si="31"/>
        <v>3510.6849670192887</v>
      </c>
      <c r="W30" s="1">
        <f t="shared" si="31"/>
        <v>3545.7918166894815</v>
      </c>
      <c r="X30" s="1">
        <f t="shared" si="31"/>
        <v>3581.2497348563766</v>
      </c>
      <c r="Y30" s="1">
        <f t="shared" si="31"/>
        <v>3617.0622322049403</v>
      </c>
      <c r="Z30" s="1">
        <f t="shared" si="31"/>
        <v>3653.2328545269897</v>
      </c>
      <c r="AA30" s="1">
        <f t="shared" si="31"/>
        <v>3689.7651830722598</v>
      </c>
      <c r="AB30" s="1">
        <f t="shared" si="31"/>
        <v>3726.6628349029825</v>
      </c>
      <c r="AC30" s="1">
        <f t="shared" si="31"/>
        <v>3763.9294632520123</v>
      </c>
      <c r="AD30" s="1">
        <f t="shared" si="31"/>
        <v>3801.5687578845323</v>
      </c>
      <c r="AE30" s="1">
        <f t="shared" si="31"/>
        <v>3839.5844454633775</v>
      </c>
      <c r="AF30" s="1">
        <f t="shared" si="31"/>
        <v>3877.9802899180113</v>
      </c>
      <c r="AG30" s="1">
        <f t="shared" si="31"/>
        <v>3916.7600928171914</v>
      </c>
      <c r="AH30" s="1">
        <f t="shared" si="31"/>
        <v>3955.9276937453633</v>
      </c>
      <c r="AI30" s="1">
        <f t="shared" si="31"/>
        <v>3995.4869706828172</v>
      </c>
      <c r="AJ30" s="1">
        <f t="shared" si="31"/>
        <v>4035.4418403896452</v>
      </c>
      <c r="AK30" s="1">
        <f t="shared" si="31"/>
        <v>4075.7962587935417</v>
      </c>
      <c r="AL30" s="1">
        <f t="shared" si="31"/>
        <v>4116.554221381477</v>
      </c>
      <c r="AM30" s="1">
        <f t="shared" si="31"/>
        <v>4157.7197635952916</v>
      </c>
      <c r="AN30" s="1">
        <f t="shared" si="31"/>
        <v>4199.2969612312445</v>
      </c>
      <c r="AO30" s="1">
        <f t="shared" si="31"/>
        <v>4241.2899308435572</v>
      </c>
      <c r="AP30" s="1">
        <f t="shared" si="31"/>
        <v>4283.7028301519931</v>
      </c>
      <c r="AQ30" s="1">
        <f t="shared" si="31"/>
        <v>4326.5398584535133</v>
      </c>
      <c r="AR30" s="1">
        <f t="shared" si="31"/>
        <v>4369.8052570380487</v>
      </c>
      <c r="AS30" s="1">
        <f t="shared" si="31"/>
        <v>4413.5033096084289</v>
      </c>
      <c r="AT30" s="1">
        <f t="shared" si="31"/>
        <v>4457.638342704513</v>
      </c>
      <c r="AU30" s="1">
        <f t="shared" si="31"/>
        <v>4502.2147261315586</v>
      </c>
      <c r="AV30" s="1">
        <f t="shared" si="31"/>
        <v>4547.2368733928743</v>
      </c>
      <c r="AW30" s="1">
        <f t="shared" si="31"/>
        <v>4592.7092421268035</v>
      </c>
      <c r="AX30" s="1">
        <f t="shared" si="31"/>
        <v>4638.6363345480713</v>
      </c>
      <c r="AY30" s="1">
        <f t="shared" si="31"/>
        <v>4685.0226978935525</v>
      </c>
      <c r="AZ30" s="1">
        <f t="shared" si="31"/>
        <v>4731.8729248724885</v>
      </c>
      <c r="BA30" s="1">
        <f t="shared" si="31"/>
        <v>4779.1916541212131</v>
      </c>
      <c r="BB30" s="1">
        <f t="shared" si="31"/>
        <v>4826.9835706624253</v>
      </c>
      <c r="BC30" s="1">
        <f t="shared" si="31"/>
        <v>4875.25340636905</v>
      </c>
      <c r="BD30" s="1">
        <f t="shared" si="31"/>
        <v>4924.0059404327403</v>
      </c>
      <c r="BE30" s="1">
        <f t="shared" si="31"/>
        <v>4973.2459998370678</v>
      </c>
      <c r="BF30" s="1">
        <f t="shared" si="31"/>
        <v>5022.9784598354381</v>
      </c>
      <c r="BG30" s="1">
        <f t="shared" si="31"/>
        <v>5073.208244433793</v>
      </c>
      <c r="BH30" s="1">
        <f t="shared" si="31"/>
        <v>5123.9403268781307</v>
      </c>
      <c r="BI30" s="1">
        <f t="shared" si="31"/>
        <v>5175.1797301469123</v>
      </c>
      <c r="BJ30" s="1">
        <f t="shared" si="31"/>
        <v>5226.9315274483815</v>
      </c>
      <c r="BK30" s="1">
        <f t="shared" si="31"/>
        <v>5279.2008427228657</v>
      </c>
      <c r="BL30" s="1">
        <f t="shared" si="31"/>
        <v>5331.9928511500948</v>
      </c>
      <c r="BM30" s="1">
        <f t="shared" si="31"/>
        <v>5385.3127796615954</v>
      </c>
      <c r="BN30" s="1">
        <f t="shared" si="31"/>
        <v>5439.1659074582112</v>
      </c>
      <c r="BO30" s="1">
        <f t="shared" si="31"/>
        <v>5493.5575665327933</v>
      </c>
      <c r="BP30" s="1">
        <f t="shared" si="31"/>
        <v>5548.4931421981209</v>
      </c>
      <c r="BQ30" s="1">
        <f t="shared" si="31"/>
        <v>5603.9780736201019</v>
      </c>
      <c r="BR30" s="1">
        <f t="shared" si="31"/>
        <v>5660.0178543563034</v>
      </c>
      <c r="BS30" s="1">
        <f t="shared" si="31"/>
        <v>5716.6180328998662</v>
      </c>
      <c r="BT30" s="1">
        <f t="shared" si="31"/>
        <v>5773.7842132288652</v>
      </c>
      <c r="BU30" s="1">
        <f t="shared" si="31"/>
        <v>5831.5220553611534</v>
      </c>
      <c r="BV30" s="1">
        <f t="shared" si="31"/>
        <v>5889.8372759147651</v>
      </c>
      <c r="BW30" s="1">
        <f t="shared" si="31"/>
        <v>5948.7356486739127</v>
      </c>
      <c r="BX30" s="1">
        <f t="shared" si="31"/>
        <v>6008.2230051606521</v>
      </c>
      <c r="BY30" s="1">
        <f t="shared" si="31"/>
        <v>6068.3052352122586</v>
      </c>
      <c r="BZ30" s="1">
        <f t="shared" si="31"/>
        <v>6128.9882875643816</v>
      </c>
      <c r="CA30" s="1">
        <f t="shared" si="31"/>
        <v>6190.2781704400259</v>
      </c>
      <c r="CB30" s="1">
        <f t="shared" si="31"/>
        <v>6252.1809521444266</v>
      </c>
      <c r="CC30" s="1">
        <f t="shared" si="31"/>
        <v>6314.7027616658706</v>
      </c>
      <c r="CD30" s="1">
        <f t="shared" ref="CD30:DW30" si="32">+CC30*(1+$S33)</f>
        <v>6377.8497892825299</v>
      </c>
      <c r="CE30" s="1">
        <f t="shared" si="32"/>
        <v>6441.6282871753556</v>
      </c>
      <c r="CF30" s="1">
        <f t="shared" si="32"/>
        <v>6506.0445700471091</v>
      </c>
      <c r="CG30" s="1">
        <f t="shared" si="32"/>
        <v>6571.1050157475802</v>
      </c>
      <c r="CH30" s="1">
        <f t="shared" si="32"/>
        <v>6636.8160659050563</v>
      </c>
      <c r="CI30" s="1">
        <f t="shared" si="32"/>
        <v>6703.1842265641071</v>
      </c>
      <c r="CJ30" s="1">
        <f t="shared" si="32"/>
        <v>6770.2160688297481</v>
      </c>
      <c r="CK30" s="1">
        <f t="shared" si="32"/>
        <v>6837.9182295180453</v>
      </c>
      <c r="CL30" s="1">
        <f t="shared" si="32"/>
        <v>6906.2974118132261</v>
      </c>
      <c r="CM30" s="1">
        <f t="shared" si="32"/>
        <v>6975.360385931358</v>
      </c>
      <c r="CN30" s="1">
        <f t="shared" si="32"/>
        <v>7045.1139897906714</v>
      </c>
      <c r="CO30" s="1">
        <f t="shared" si="32"/>
        <v>7115.5651296885781</v>
      </c>
      <c r="CP30" s="1">
        <f t="shared" si="32"/>
        <v>7186.7207809854635</v>
      </c>
      <c r="CQ30" s="1">
        <f t="shared" si="32"/>
        <v>7258.5879887953179</v>
      </c>
      <c r="CR30" s="1">
        <f t="shared" si="32"/>
        <v>7331.1738686832714</v>
      </c>
      <c r="CS30" s="1">
        <f t="shared" si="32"/>
        <v>7404.4856073701039</v>
      </c>
      <c r="CT30" s="1">
        <f t="shared" si="32"/>
        <v>7478.5304634438053</v>
      </c>
      <c r="CU30" s="1">
        <f t="shared" si="32"/>
        <v>7553.3157680782433</v>
      </c>
      <c r="CV30" s="1">
        <f t="shared" si="32"/>
        <v>7628.8489257590254</v>
      </c>
      <c r="CW30" s="1">
        <f t="shared" si="32"/>
        <v>7705.1374150166157</v>
      </c>
      <c r="CX30" s="1">
        <f t="shared" si="32"/>
        <v>7782.188789166782</v>
      </c>
      <c r="CY30" s="1">
        <f t="shared" si="32"/>
        <v>7860.0106770584498</v>
      </c>
      <c r="CZ30" s="1">
        <f t="shared" si="32"/>
        <v>7938.6107838290345</v>
      </c>
      <c r="DA30" s="1">
        <f t="shared" si="32"/>
        <v>8017.9968916673251</v>
      </c>
      <c r="DB30" s="1">
        <f t="shared" si="32"/>
        <v>8098.1768605839989</v>
      </c>
      <c r="DC30" s="1">
        <f t="shared" si="32"/>
        <v>8179.1586291898393</v>
      </c>
      <c r="DD30" s="1">
        <f t="shared" si="32"/>
        <v>8260.9502154817383</v>
      </c>
      <c r="DE30" s="1">
        <f t="shared" si="32"/>
        <v>8343.5597176365554</v>
      </c>
      <c r="DF30" s="1">
        <f t="shared" si="32"/>
        <v>8426.9953148129207</v>
      </c>
      <c r="DG30" s="1">
        <f t="shared" si="32"/>
        <v>8511.2652679610492</v>
      </c>
      <c r="DH30" s="1">
        <f t="shared" si="32"/>
        <v>8596.3779206406598</v>
      </c>
      <c r="DI30" s="1">
        <f t="shared" si="32"/>
        <v>8682.3416998470657</v>
      </c>
      <c r="DJ30" s="1">
        <f t="shared" si="32"/>
        <v>8769.1651168455355</v>
      </c>
      <c r="DK30" s="1">
        <f t="shared" si="32"/>
        <v>8856.8567680139913</v>
      </c>
      <c r="DL30" s="1">
        <f t="shared" si="32"/>
        <v>8945.4253356941317</v>
      </c>
      <c r="DM30" s="1">
        <f t="shared" si="32"/>
        <v>9034.8795890510737</v>
      </c>
      <c r="DN30" s="1">
        <f t="shared" si="32"/>
        <v>9125.2283849415853</v>
      </c>
      <c r="DO30" s="1">
        <f t="shared" si="32"/>
        <v>9216.4806687910004</v>
      </c>
      <c r="DP30" s="1">
        <f t="shared" si="32"/>
        <v>9308.6454754789102</v>
      </c>
      <c r="DQ30" s="1">
        <f t="shared" si="32"/>
        <v>9401.7319302337</v>
      </c>
      <c r="DR30" s="1">
        <f t="shared" si="32"/>
        <v>9495.7492495360366</v>
      </c>
      <c r="DS30" s="1">
        <f t="shared" si="32"/>
        <v>9590.7067420313979</v>
      </c>
      <c r="DT30" s="1">
        <f t="shared" si="32"/>
        <v>9686.6138094517119</v>
      </c>
      <c r="DU30" s="1">
        <f t="shared" si="32"/>
        <v>9783.4799475462296</v>
      </c>
      <c r="DV30" s="1">
        <f t="shared" si="32"/>
        <v>9881.3147470216918</v>
      </c>
      <c r="DW30" s="1">
        <f t="shared" si="32"/>
        <v>9980.1278944919086</v>
      </c>
    </row>
    <row r="31" spans="2:127" s="1" customFormat="1" x14ac:dyDescent="0.25">
      <c r="D31" s="4"/>
      <c r="E31" s="4"/>
      <c r="F31" s="4"/>
    </row>
    <row r="32" spans="2:127" s="5" customFormat="1" x14ac:dyDescent="0.25">
      <c r="B32" s="5" t="s">
        <v>6</v>
      </c>
      <c r="D32" s="5">
        <f>+D17/D15</f>
        <v>0.73309696569920846</v>
      </c>
      <c r="E32" s="5">
        <f>+E17/E15</f>
        <v>0.71246228823392899</v>
      </c>
      <c r="F32" s="5">
        <f>+F17/F15</f>
        <v>0.71526104417670677</v>
      </c>
      <c r="G32" s="5">
        <f t="shared" ref="G32:O32" si="33">+G17/G15</f>
        <v>0.72000000000000008</v>
      </c>
      <c r="H32" s="5">
        <f t="shared" si="33"/>
        <v>0.72</v>
      </c>
      <c r="I32" s="5">
        <f t="shared" si="33"/>
        <v>0.72</v>
      </c>
      <c r="J32" s="5">
        <f t="shared" si="33"/>
        <v>0.72</v>
      </c>
      <c r="K32" s="5">
        <f t="shared" si="33"/>
        <v>0.72</v>
      </c>
      <c r="L32" s="5">
        <f t="shared" si="33"/>
        <v>0.72000000000000008</v>
      </c>
      <c r="M32" s="5">
        <f t="shared" si="33"/>
        <v>0.72</v>
      </c>
      <c r="N32" s="5">
        <f t="shared" si="33"/>
        <v>0.72000000000000008</v>
      </c>
      <c r="O32" s="5">
        <f t="shared" si="33"/>
        <v>0.72</v>
      </c>
      <c r="P32" s="5">
        <f t="shared" ref="P32" si="34">+P17/P15</f>
        <v>0.71999999999999986</v>
      </c>
      <c r="R32" s="5" t="s">
        <v>30</v>
      </c>
      <c r="S32" s="5">
        <v>0.1</v>
      </c>
    </row>
    <row r="33" spans="2:19" s="5" customFormat="1" x14ac:dyDescent="0.25">
      <c r="B33" s="5" t="s">
        <v>20</v>
      </c>
      <c r="D33" s="5">
        <f>+D21/D15</f>
        <v>0.21602902374670185</v>
      </c>
      <c r="E33" s="5">
        <f>+E21/E15</f>
        <v>0.19695211572677343</v>
      </c>
      <c r="F33" s="5">
        <f>+F21/F15</f>
        <v>0.24612812150859059</v>
      </c>
      <c r="G33" s="5">
        <f t="shared" ref="G33:O33" si="35">+G21/G15</f>
        <v>0.24947339014819669</v>
      </c>
      <c r="H33" s="5">
        <f t="shared" si="35"/>
        <v>0.24965049329107658</v>
      </c>
      <c r="I33" s="5">
        <f t="shared" si="35"/>
        <v>0.24983040042130264</v>
      </c>
      <c r="J33" s="5">
        <f t="shared" si="35"/>
        <v>0.25001348141198887</v>
      </c>
      <c r="K33" s="5">
        <f t="shared" si="35"/>
        <v>0.2502001000338579</v>
      </c>
      <c r="L33" s="5">
        <f t="shared" si="35"/>
        <v>0.25039061341589486</v>
      </c>
      <c r="M33" s="5">
        <f t="shared" si="35"/>
        <v>0.25058537150577542</v>
      </c>
      <c r="N33" s="5">
        <f t="shared" si="35"/>
        <v>0.25078471653185386</v>
      </c>
      <c r="O33" s="5">
        <f t="shared" si="35"/>
        <v>0.25098898246854223</v>
      </c>
      <c r="P33" s="5">
        <f t="shared" ref="P33" si="36">+P21/P15</f>
        <v>0.25119849450696519</v>
      </c>
      <c r="R33" s="5" t="s">
        <v>31</v>
      </c>
      <c r="S33" s="5">
        <v>0.01</v>
      </c>
    </row>
    <row r="34" spans="2:19" s="5" customFormat="1" x14ac:dyDescent="0.25">
      <c r="B34" s="1" t="s">
        <v>7</v>
      </c>
      <c r="D34" s="5">
        <f>+D18/D15</f>
        <v>0.42628627968337729</v>
      </c>
      <c r="E34" s="5">
        <f>+E18/E15</f>
        <v>0.39723060261468246</v>
      </c>
      <c r="F34" s="5">
        <f>+F18/F15</f>
        <v>0.37831325301204827</v>
      </c>
      <c r="G34" s="5">
        <f t="shared" ref="G34:P34" si="37">+G18/G15</f>
        <v>0.38</v>
      </c>
      <c r="H34" s="5">
        <f t="shared" si="37"/>
        <v>0.38</v>
      </c>
      <c r="I34" s="5">
        <f t="shared" si="37"/>
        <v>0.38</v>
      </c>
      <c r="J34" s="5">
        <f t="shared" si="37"/>
        <v>0.38</v>
      </c>
      <c r="K34" s="5">
        <f t="shared" si="37"/>
        <v>0.38</v>
      </c>
      <c r="L34" s="5">
        <f t="shared" si="37"/>
        <v>0.38000000000000006</v>
      </c>
      <c r="M34" s="5">
        <f t="shared" si="37"/>
        <v>0.38</v>
      </c>
      <c r="N34" s="5">
        <f t="shared" si="37"/>
        <v>0.38</v>
      </c>
      <c r="O34" s="5">
        <f t="shared" si="37"/>
        <v>0.38</v>
      </c>
      <c r="P34" s="5">
        <f t="shared" si="37"/>
        <v>0.38</v>
      </c>
      <c r="R34" s="5" t="s">
        <v>32</v>
      </c>
      <c r="S34" s="7">
        <f>NPV(S32,F30:EA30)</f>
        <v>31411.868738549445</v>
      </c>
    </row>
    <row r="35" spans="2:19" s="1" customFormat="1" x14ac:dyDescent="0.25">
      <c r="R35" s="1" t="s">
        <v>33</v>
      </c>
      <c r="S35" s="1">
        <v>1306</v>
      </c>
    </row>
    <row r="36" spans="2:19" s="1" customFormat="1" x14ac:dyDescent="0.25">
      <c r="B36" s="1" t="s">
        <v>21</v>
      </c>
      <c r="D36" s="1">
        <v>3272</v>
      </c>
      <c r="E36" s="1">
        <v>3063</v>
      </c>
      <c r="F36" s="1">
        <f>2246*1.33</f>
        <v>2987.1800000000003</v>
      </c>
      <c r="R36" s="1" t="s">
        <v>34</v>
      </c>
      <c r="S36" s="3">
        <f>+S34/S35</f>
        <v>24.051966874846435</v>
      </c>
    </row>
    <row r="37" spans="2:19" s="1" customFormat="1" x14ac:dyDescent="0.25">
      <c r="B37" s="1" t="s">
        <v>22</v>
      </c>
      <c r="D37" s="1">
        <f>373+473</f>
        <v>846</v>
      </c>
      <c r="E37" s="1">
        <f>498+467</f>
        <v>965</v>
      </c>
      <c r="F37" s="1">
        <f>658*1.33</f>
        <v>875.1400000000001</v>
      </c>
    </row>
    <row r="38" spans="2:19" s="1" customFormat="1" x14ac:dyDescent="0.25">
      <c r="B38" s="1" t="s">
        <v>23</v>
      </c>
      <c r="D38" s="1">
        <f>+D36-D37</f>
        <v>2426</v>
      </c>
      <c r="E38" s="1">
        <f>+E36-E37</f>
        <v>2098</v>
      </c>
      <c r="F38" s="1">
        <f>+F36-F37</f>
        <v>2112.04</v>
      </c>
    </row>
    <row r="39" spans="2:19" s="1" customFormat="1" x14ac:dyDescent="0.25"/>
    <row r="40" spans="2:19" s="1" customFormat="1" x14ac:dyDescent="0.25">
      <c r="B40" s="1" t="s">
        <v>24</v>
      </c>
      <c r="E40" s="1">
        <v>4680</v>
      </c>
      <c r="F40" s="1">
        <v>5152</v>
      </c>
    </row>
    <row r="41" spans="2:19" s="1" customFormat="1" x14ac:dyDescent="0.25">
      <c r="B41" s="1" t="s">
        <v>25</v>
      </c>
      <c r="E41" s="1">
        <v>2783</v>
      </c>
      <c r="F41" s="1">
        <v>2968</v>
      </c>
    </row>
    <row r="42" spans="2:19" s="1" customFormat="1" x14ac:dyDescent="0.25">
      <c r="B42" s="1" t="s">
        <v>26</v>
      </c>
      <c r="E42" s="1">
        <v>8711</v>
      </c>
      <c r="F42" s="1">
        <v>6146</v>
      </c>
    </row>
    <row r="43" spans="2:19" s="1" customFormat="1" x14ac:dyDescent="0.25">
      <c r="B43" s="1" t="s">
        <v>27</v>
      </c>
      <c r="E43" s="1">
        <f>+E40+E41-E42</f>
        <v>-1248</v>
      </c>
      <c r="F43" s="1">
        <f>+F40+F41-F42</f>
        <v>1974</v>
      </c>
    </row>
    <row r="44" spans="2:19" s="1" customFormat="1" x14ac:dyDescent="0.25"/>
    <row r="45" spans="2:19" s="1" customFormat="1" x14ac:dyDescent="0.25"/>
    <row r="46" spans="2:19" s="1" customFormat="1" x14ac:dyDescent="0.25"/>
    <row r="47" spans="2:19" s="1" customFormat="1" x14ac:dyDescent="0.25"/>
    <row r="48" spans="2:19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2026-02-06T12:27:09Z</dcterms:created>
  <dcterms:modified xsi:type="dcterms:W3CDTF">2026-02-06T12:55:15Z</dcterms:modified>
</cp:coreProperties>
</file>