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51FBF665-CD0E-4082-A39A-61D09C0D6601}" xr6:coauthVersionLast="47" xr6:coauthVersionMax="47" xr10:uidLastSave="{00000000-0000-0000-0000-000000000000}"/>
  <bookViews>
    <workbookView xWindow="-120" yWindow="-120" windowWidth="29040" windowHeight="15840" xr2:uid="{D3AA611C-CE02-4ACE-8799-A7470311B692}"/>
  </bookViews>
  <sheets>
    <sheet name="Sheet1" sheetId="1" r:id="rId1"/>
  </sheets>
  <definedNames>
    <definedName name="TR">Sheet1!$S$46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" i="1" l="1"/>
  <c r="S48" i="1"/>
  <c r="H25" i="1"/>
  <c r="P24" i="1"/>
  <c r="O24" i="1"/>
  <c r="N24" i="1"/>
  <c r="M24" i="1"/>
  <c r="L24" i="1"/>
  <c r="K24" i="1"/>
  <c r="J24" i="1"/>
  <c r="I24" i="1"/>
  <c r="H24" i="1"/>
  <c r="G24" i="1"/>
  <c r="F24" i="1"/>
  <c r="J5" i="1"/>
  <c r="K5" i="1" s="1"/>
  <c r="L5" i="1" s="1"/>
  <c r="M5" i="1" s="1"/>
  <c r="N5" i="1" s="1"/>
  <c r="O5" i="1" s="1"/>
  <c r="P5" i="1" s="1"/>
  <c r="J6" i="1"/>
  <c r="K6" i="1"/>
  <c r="L6" i="1"/>
  <c r="M6" i="1" s="1"/>
  <c r="N6" i="1" s="1"/>
  <c r="O6" i="1" s="1"/>
  <c r="P6" i="1" s="1"/>
  <c r="K7" i="1"/>
  <c r="L7" i="1" s="1"/>
  <c r="M7" i="1" s="1"/>
  <c r="N7" i="1" s="1"/>
  <c r="O7" i="1" s="1"/>
  <c r="P7" i="1" s="1"/>
  <c r="H27" i="1"/>
  <c r="H30" i="1" s="1"/>
  <c r="H33" i="1" s="1"/>
  <c r="I6" i="1"/>
  <c r="I15" i="1"/>
  <c r="I10" i="1"/>
  <c r="I12" i="1"/>
  <c r="J12" i="1" s="1"/>
  <c r="J11" i="1"/>
  <c r="K11" i="1" s="1"/>
  <c r="L11" i="1" s="1"/>
  <c r="M11" i="1" s="1"/>
  <c r="N11" i="1" s="1"/>
  <c r="O11" i="1" s="1"/>
  <c r="P11" i="1" s="1"/>
  <c r="J10" i="1"/>
  <c r="K10" i="1" s="1"/>
  <c r="I39" i="1"/>
  <c r="J39" i="1" s="1"/>
  <c r="K39" i="1" s="1"/>
  <c r="L39" i="1" s="1"/>
  <c r="M39" i="1" s="1"/>
  <c r="N39" i="1" s="1"/>
  <c r="O39" i="1" s="1"/>
  <c r="P39" i="1" s="1"/>
  <c r="H39" i="1"/>
  <c r="F63" i="1"/>
  <c r="G63" i="1"/>
  <c r="J38" i="1"/>
  <c r="K38" i="1" s="1"/>
  <c r="L38" i="1" s="1"/>
  <c r="M38" i="1" s="1"/>
  <c r="N38" i="1" s="1"/>
  <c r="O38" i="1" s="1"/>
  <c r="P38" i="1" s="1"/>
  <c r="I38" i="1"/>
  <c r="P34" i="1"/>
  <c r="I34" i="1"/>
  <c r="J34" i="1" s="1"/>
  <c r="K34" i="1" s="1"/>
  <c r="L34" i="1" s="1"/>
  <c r="M34" i="1" s="1"/>
  <c r="H34" i="1"/>
  <c r="H26" i="1"/>
  <c r="I7" i="1"/>
  <c r="J7" i="1" s="1"/>
  <c r="I22" i="1"/>
  <c r="H12" i="1"/>
  <c r="H22" i="1" s="1"/>
  <c r="I11" i="1"/>
  <c r="H11" i="1"/>
  <c r="H21" i="1" s="1"/>
  <c r="I20" i="1"/>
  <c r="I25" i="1" s="1"/>
  <c r="I21" i="1"/>
  <c r="H20" i="1"/>
  <c r="F21" i="1"/>
  <c r="F22" i="1"/>
  <c r="F20" i="1"/>
  <c r="G22" i="1"/>
  <c r="G21" i="1"/>
  <c r="G20" i="1"/>
  <c r="I17" i="1"/>
  <c r="J17" i="1" s="1"/>
  <c r="K17" i="1" s="1"/>
  <c r="L17" i="1" s="1"/>
  <c r="M17" i="1" s="1"/>
  <c r="N17" i="1" s="1"/>
  <c r="O17" i="1" s="1"/>
  <c r="P17" i="1" s="1"/>
  <c r="I16" i="1"/>
  <c r="J16" i="1" s="1"/>
  <c r="K16" i="1" s="1"/>
  <c r="L16" i="1" s="1"/>
  <c r="M16" i="1" s="1"/>
  <c r="N16" i="1" s="1"/>
  <c r="O16" i="1" s="1"/>
  <c r="P16" i="1" s="1"/>
  <c r="J15" i="1"/>
  <c r="K15" i="1" s="1"/>
  <c r="L15" i="1" s="1"/>
  <c r="M15" i="1" s="1"/>
  <c r="N15" i="1" s="1"/>
  <c r="O15" i="1" s="1"/>
  <c r="P15" i="1" s="1"/>
  <c r="H2" i="1"/>
  <c r="I2" i="1" s="1"/>
  <c r="J2" i="1" s="1"/>
  <c r="K2" i="1" s="1"/>
  <c r="L2" i="1" s="1"/>
  <c r="M2" i="1" s="1"/>
  <c r="N2" i="1" s="1"/>
  <c r="O2" i="1" s="1"/>
  <c r="P2" i="1" s="1"/>
  <c r="G5" i="1"/>
  <c r="G6" i="1"/>
  <c r="G7" i="1"/>
  <c r="F6" i="1"/>
  <c r="F7" i="1"/>
  <c r="F5" i="1"/>
  <c r="G46" i="1"/>
  <c r="F50" i="1"/>
  <c r="G50" i="1"/>
  <c r="F60" i="1"/>
  <c r="G60" i="1"/>
  <c r="G55" i="1"/>
  <c r="G56" i="1" s="1"/>
  <c r="F55" i="1"/>
  <c r="F56" i="1" s="1"/>
  <c r="G32" i="1"/>
  <c r="G37" i="1" s="1"/>
  <c r="G40" i="1" s="1"/>
  <c r="G42" i="1" s="1"/>
  <c r="G45" i="1" s="1"/>
  <c r="F32" i="1"/>
  <c r="F37" i="1" s="1"/>
  <c r="F40" i="1" s="1"/>
  <c r="F42" i="1" s="1"/>
  <c r="F45" i="1" s="1"/>
  <c r="C32" i="1"/>
  <c r="C37" i="1" s="1"/>
  <c r="C40" i="1" s="1"/>
  <c r="C42" i="1" s="1"/>
  <c r="I27" i="1" l="1"/>
  <c r="I26" i="1"/>
  <c r="H31" i="1"/>
  <c r="H32" i="1" s="1"/>
  <c r="J20" i="1"/>
  <c r="J25" i="1" s="1"/>
  <c r="L10" i="1"/>
  <c r="M10" i="1" s="1"/>
  <c r="N10" i="1" s="1"/>
  <c r="O10" i="1" s="1"/>
  <c r="P10" i="1" s="1"/>
  <c r="K20" i="1"/>
  <c r="K25" i="1" s="1"/>
  <c r="I30" i="1"/>
  <c r="I33" i="1" s="1"/>
  <c r="K12" i="1"/>
  <c r="L12" i="1" s="1"/>
  <c r="M12" i="1" s="1"/>
  <c r="N12" i="1" s="1"/>
  <c r="O12" i="1" s="1"/>
  <c r="P12" i="1" s="1"/>
  <c r="J22" i="1"/>
  <c r="J27" i="1" s="1"/>
  <c r="N34" i="1"/>
  <c r="O34" i="1" s="1"/>
  <c r="K22" i="1"/>
  <c r="K27" i="1" s="1"/>
  <c r="K21" i="1"/>
  <c r="K26" i="1" s="1"/>
  <c r="J21" i="1"/>
  <c r="J26" i="1" s="1"/>
  <c r="G61" i="1"/>
  <c r="G44" i="1"/>
  <c r="F44" i="1"/>
  <c r="J30" i="1" l="1"/>
  <c r="H37" i="1"/>
  <c r="H40" i="1" s="1"/>
  <c r="H44" i="1"/>
  <c r="K30" i="1"/>
  <c r="K31" i="1" s="1"/>
  <c r="K32" i="1" s="1"/>
  <c r="K44" i="1" s="1"/>
  <c r="I31" i="1"/>
  <c r="I32" i="1" s="1"/>
  <c r="I44" i="1" s="1"/>
  <c r="J31" i="1"/>
  <c r="J32" i="1" s="1"/>
  <c r="J44" i="1" s="1"/>
  <c r="J33" i="1"/>
  <c r="L22" i="1"/>
  <c r="L27" i="1" s="1"/>
  <c r="L20" i="1"/>
  <c r="L25" i="1" s="1"/>
  <c r="L21" i="1"/>
  <c r="L26" i="1" s="1"/>
  <c r="K33" i="1" l="1"/>
  <c r="J37" i="1"/>
  <c r="J40" i="1" s="1"/>
  <c r="H41" i="1"/>
  <c r="H42" i="1" s="1"/>
  <c r="K37" i="1"/>
  <c r="K40" i="1" s="1"/>
  <c r="K41" i="1" s="1"/>
  <c r="K42" i="1" s="1"/>
  <c r="I37" i="1"/>
  <c r="I40" i="1" s="1"/>
  <c r="I41" i="1" s="1"/>
  <c r="I42" i="1" s="1"/>
  <c r="L30" i="1"/>
  <c r="L33" i="1" s="1"/>
  <c r="J41" i="1"/>
  <c r="J42" i="1" s="1"/>
  <c r="M22" i="1"/>
  <c r="M27" i="1" s="1"/>
  <c r="M20" i="1"/>
  <c r="M25" i="1" s="1"/>
  <c r="M21" i="1"/>
  <c r="M26" i="1" s="1"/>
  <c r="L31" i="1" l="1"/>
  <c r="L32" i="1" s="1"/>
  <c r="L37" i="1" s="1"/>
  <c r="L40" i="1" s="1"/>
  <c r="M30" i="1"/>
  <c r="M33" i="1" s="1"/>
  <c r="N22" i="1"/>
  <c r="N27" i="1" s="1"/>
  <c r="N20" i="1"/>
  <c r="N25" i="1" s="1"/>
  <c r="N21" i="1"/>
  <c r="N26" i="1" s="1"/>
  <c r="M31" i="1" l="1"/>
  <c r="M32" i="1" s="1"/>
  <c r="M44" i="1" s="1"/>
  <c r="L44" i="1"/>
  <c r="N30" i="1"/>
  <c r="N31" i="1" s="1"/>
  <c r="N32" i="1" s="1"/>
  <c r="M37" i="1"/>
  <c r="M40" i="1" s="1"/>
  <c r="L41" i="1"/>
  <c r="L42" i="1" s="1"/>
  <c r="P22" i="1"/>
  <c r="P27" i="1" s="1"/>
  <c r="O22" i="1"/>
  <c r="O27" i="1" s="1"/>
  <c r="O20" i="1"/>
  <c r="O25" i="1" s="1"/>
  <c r="P20" i="1"/>
  <c r="P25" i="1" s="1"/>
  <c r="O21" i="1"/>
  <c r="O26" i="1" s="1"/>
  <c r="P21" i="1"/>
  <c r="P26" i="1" s="1"/>
  <c r="N33" i="1" l="1"/>
  <c r="O30" i="1"/>
  <c r="O31" i="1" s="1"/>
  <c r="O32" i="1" s="1"/>
  <c r="P30" i="1"/>
  <c r="P31" i="1" s="1"/>
  <c r="P32" i="1" s="1"/>
  <c r="N44" i="1"/>
  <c r="N37" i="1"/>
  <c r="N40" i="1" s="1"/>
  <c r="M41" i="1"/>
  <c r="M42" i="1" s="1"/>
  <c r="P33" i="1" l="1"/>
  <c r="P37" i="1" s="1"/>
  <c r="P40" i="1" s="1"/>
  <c r="O33" i="1"/>
  <c r="O44" i="1"/>
  <c r="O37" i="1"/>
  <c r="O40" i="1" s="1"/>
  <c r="N41" i="1"/>
  <c r="N42" i="1" s="1"/>
  <c r="P44" i="1"/>
  <c r="P41" i="1" l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S47" i="1" s="1"/>
  <c r="S49" i="1" s="1"/>
  <c r="O41" i="1"/>
  <c r="O42" i="1" s="1"/>
</calcChain>
</file>

<file path=xl/sharedStrings.xml><?xml version="1.0" encoding="utf-8"?>
<sst xmlns="http://schemas.openxmlformats.org/spreadsheetml/2006/main" count="55" uniqueCount="42">
  <si>
    <t>Revenue</t>
  </si>
  <si>
    <t>Other</t>
  </si>
  <si>
    <t>COGS</t>
  </si>
  <si>
    <t>Gross Profit</t>
  </si>
  <si>
    <t>Selling</t>
  </si>
  <si>
    <t>Admin</t>
  </si>
  <si>
    <t>Other operations</t>
  </si>
  <si>
    <t>Profit Share</t>
  </si>
  <si>
    <t>Operating Income</t>
  </si>
  <si>
    <t>Financial Income</t>
  </si>
  <si>
    <t>Financial Expense</t>
  </si>
  <si>
    <t>Pretax</t>
  </si>
  <si>
    <t>Taxes</t>
  </si>
  <si>
    <t>Net Income</t>
  </si>
  <si>
    <t>Gross Margin</t>
  </si>
  <si>
    <t>Net Margin</t>
  </si>
  <si>
    <t>Revenue Y/Y</t>
  </si>
  <si>
    <t>CFFO</t>
  </si>
  <si>
    <t>CapEx</t>
  </si>
  <si>
    <t>FCF</t>
  </si>
  <si>
    <t>Cash</t>
  </si>
  <si>
    <t>Investments</t>
  </si>
  <si>
    <t>PP&amp;E</t>
  </si>
  <si>
    <t>Debt</t>
  </si>
  <si>
    <t>NAV</t>
  </si>
  <si>
    <t>Current Assets</t>
  </si>
  <si>
    <t>Current Liab.</t>
  </si>
  <si>
    <t>Working Capital</t>
  </si>
  <si>
    <t>Delta</t>
  </si>
  <si>
    <t>Beer (million hl)</t>
  </si>
  <si>
    <t>Western Europe</t>
  </si>
  <si>
    <t>Asia</t>
  </si>
  <si>
    <t>Central &amp; Eastern Europe</t>
  </si>
  <si>
    <t>Other (million hl)</t>
  </si>
  <si>
    <t>Price</t>
  </si>
  <si>
    <t>Price per l</t>
  </si>
  <si>
    <t>Total Volume</t>
  </si>
  <si>
    <t>Cost of Debt</t>
  </si>
  <si>
    <t>Discount</t>
  </si>
  <si>
    <t>Terminal</t>
  </si>
  <si>
    <t>NPV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</si>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</sst>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#,##0.0000"/>
    <numFmt numFmtId="167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166" fontId="0" fillId="0" borderId="0" xfId="0" applyNumberFormat="1"/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157655</xdr:rowOff>
    </xdr:from>
    <xdr:to>
      <xdr:col>7</xdr:col>
      <xdr:colOff>19707</xdr:colOff>
      <xdr:row>62</xdr:row>
      <xdr:rowOff>111672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C0A3689-A3AC-BAFC-4D56-37873F1A8FCA}"/>
            </a:ext>
          </a:extLst>
        </xdr:cNvPr>
        <xdr:cNvCxnSpPr/>
      </xdr:nvCxnSpPr>
      <xdr:spPr>
        <a:xfrm>
          <a:off x="4328948" y="157655"/>
          <a:ext cx="19707" cy="108125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91A5-D8D0-4975-B1D4-6EB3030FD4C2}">
  <dimension ref="B2:CL63"/>
  <sheetViews>
    <sheetView tabSelected="1" zoomScale="145" zoomScaleNormal="145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S47" sqref="S47"/>
    </sheetView>
  </sheetViews>
  <sheetFormatPr defaultRowHeight="15" x14ac:dyDescent="0.25"/>
  <cols>
    <col min="1" max="1" width="2.85546875" style="1" customWidth="1"/>
    <col min="2" max="2" width="16.28515625" style="1" bestFit="1" customWidth="1"/>
    <col min="3" max="16384" width="9.140625" style="1"/>
  </cols>
  <sheetData>
    <row r="2" spans="2:16" customFormat="1" x14ac:dyDescent="0.25">
      <c r="F2">
        <v>2022</v>
      </c>
      <c r="G2">
        <v>2023</v>
      </c>
      <c r="H2">
        <f t="shared" ref="H2:P2" si="0">+G2+1</f>
        <v>2024</v>
      </c>
      <c r="I2">
        <f t="shared" si="0"/>
        <v>2025</v>
      </c>
      <c r="J2">
        <f t="shared" si="0"/>
        <v>2026</v>
      </c>
      <c r="K2">
        <f t="shared" si="0"/>
        <v>2027</v>
      </c>
      <c r="L2">
        <f t="shared" si="0"/>
        <v>2028</v>
      </c>
      <c r="M2">
        <f t="shared" si="0"/>
        <v>2029</v>
      </c>
      <c r="N2">
        <f t="shared" si="0"/>
        <v>2030</v>
      </c>
      <c r="O2">
        <f t="shared" si="0"/>
        <v>2031</v>
      </c>
      <c r="P2">
        <f t="shared" si="0"/>
        <v>2032</v>
      </c>
    </row>
    <row r="4" spans="2:16" x14ac:dyDescent="0.25">
      <c r="B4" s="2" t="s">
        <v>35</v>
      </c>
    </row>
    <row r="5" spans="2:16" s="5" customFormat="1" x14ac:dyDescent="0.25">
      <c r="B5" s="5" t="s">
        <v>30</v>
      </c>
      <c r="F5" s="5">
        <f t="shared" ref="F5:G7" si="1">+F25/F10 /100</f>
        <v>11.668227424749164</v>
      </c>
      <c r="G5" s="5">
        <f t="shared" si="1"/>
        <v>13.002439024390243</v>
      </c>
      <c r="H5" s="5">
        <v>8.8000000000000007</v>
      </c>
      <c r="I5" s="5">
        <v>8.5</v>
      </c>
      <c r="J5" s="5">
        <f t="shared" ref="J5:P5" si="2">+I5*1.03</f>
        <v>8.7550000000000008</v>
      </c>
      <c r="K5" s="5">
        <f t="shared" si="2"/>
        <v>9.0176500000000015</v>
      </c>
      <c r="L5" s="5">
        <f t="shared" si="2"/>
        <v>9.2881795000000018</v>
      </c>
      <c r="M5" s="5">
        <f t="shared" si="2"/>
        <v>9.5668248850000026</v>
      </c>
      <c r="N5" s="5">
        <f t="shared" si="2"/>
        <v>9.8538296315500027</v>
      </c>
      <c r="O5" s="5">
        <f t="shared" si="2"/>
        <v>10.149444520496504</v>
      </c>
      <c r="P5" s="5">
        <f t="shared" si="2"/>
        <v>10.453927856111399</v>
      </c>
    </row>
    <row r="6" spans="2:16" s="5" customFormat="1" x14ac:dyDescent="0.25">
      <c r="B6" s="5" t="s">
        <v>31</v>
      </c>
      <c r="F6" s="5">
        <f t="shared" si="1"/>
        <v>5.6385714285714288</v>
      </c>
      <c r="G6" s="5">
        <f t="shared" si="1"/>
        <v>5.2807256235827662</v>
      </c>
      <c r="H6" s="5">
        <v>4.5</v>
      </c>
      <c r="I6" s="5">
        <f>+H6*1.03</f>
        <v>4.6349999999999998</v>
      </c>
      <c r="J6" s="5">
        <f t="shared" ref="J6:P6" si="3">+I6*1.03</f>
        <v>4.7740499999999999</v>
      </c>
      <c r="K6" s="5">
        <f t="shared" si="3"/>
        <v>4.9172715</v>
      </c>
      <c r="L6" s="5">
        <f t="shared" si="3"/>
        <v>5.0647896450000003</v>
      </c>
      <c r="M6" s="5">
        <f t="shared" si="3"/>
        <v>5.2167333343500006</v>
      </c>
      <c r="N6" s="5">
        <f t="shared" si="3"/>
        <v>5.3732353343805004</v>
      </c>
      <c r="O6" s="5">
        <f t="shared" si="3"/>
        <v>5.5344323944119154</v>
      </c>
      <c r="P6" s="5">
        <f t="shared" si="3"/>
        <v>5.7004653662442726</v>
      </c>
    </row>
    <row r="7" spans="2:16" s="5" customFormat="1" x14ac:dyDescent="0.25">
      <c r="B7" s="5" t="s">
        <v>32</v>
      </c>
      <c r="F7" s="5">
        <f t="shared" si="1"/>
        <v>4.0134020618556701</v>
      </c>
      <c r="G7" s="5">
        <f t="shared" si="1"/>
        <v>4.5953900709219857</v>
      </c>
      <c r="H7" s="5">
        <v>4.4000000000000004</v>
      </c>
      <c r="I7" s="5">
        <f>+H7*1.03</f>
        <v>4.5320000000000009</v>
      </c>
      <c r="J7" s="5">
        <f t="shared" ref="J7:P7" si="4">+I7*1.03</f>
        <v>4.6679600000000008</v>
      </c>
      <c r="K7" s="5">
        <f t="shared" si="4"/>
        <v>4.8079988000000009</v>
      </c>
      <c r="L7" s="5">
        <f t="shared" si="4"/>
        <v>4.9522387640000014</v>
      </c>
      <c r="M7" s="5">
        <f t="shared" si="4"/>
        <v>5.1008059269200015</v>
      </c>
      <c r="N7" s="5">
        <f t="shared" si="4"/>
        <v>5.2538301047276015</v>
      </c>
      <c r="O7" s="5">
        <f t="shared" si="4"/>
        <v>5.4114450078694301</v>
      </c>
      <c r="P7" s="5">
        <f t="shared" si="4"/>
        <v>5.5737883581055128</v>
      </c>
    </row>
    <row r="9" spans="2:16" x14ac:dyDescent="0.25">
      <c r="B9" s="2" t="s">
        <v>29</v>
      </c>
    </row>
    <row r="10" spans="2:16" s="4" customFormat="1" x14ac:dyDescent="0.25">
      <c r="B10" s="4" t="s">
        <v>30</v>
      </c>
      <c r="F10" s="4">
        <v>29.9</v>
      </c>
      <c r="G10" s="4">
        <v>28.7</v>
      </c>
      <c r="H10" s="4">
        <v>28.2</v>
      </c>
      <c r="I10" s="4">
        <f>+H10</f>
        <v>28.2</v>
      </c>
      <c r="J10" s="4">
        <f>+I10*1.02</f>
        <v>28.763999999999999</v>
      </c>
      <c r="K10" s="4">
        <f t="shared" ref="K10:P10" si="5">+J10*1.02</f>
        <v>29.339279999999999</v>
      </c>
      <c r="L10" s="4">
        <f t="shared" si="5"/>
        <v>29.926065599999998</v>
      </c>
      <c r="M10" s="4">
        <f t="shared" si="5"/>
        <v>30.524586911999997</v>
      </c>
      <c r="N10" s="4">
        <f t="shared" si="5"/>
        <v>31.135078650239997</v>
      </c>
      <c r="O10" s="4">
        <f t="shared" si="5"/>
        <v>31.757780223244797</v>
      </c>
      <c r="P10" s="4">
        <f t="shared" si="5"/>
        <v>32.392935827709692</v>
      </c>
    </row>
    <row r="11" spans="2:16" s="4" customFormat="1" x14ac:dyDescent="0.25">
      <c r="B11" s="4" t="s">
        <v>31</v>
      </c>
      <c r="F11" s="4">
        <v>42</v>
      </c>
      <c r="G11" s="4">
        <v>44.1</v>
      </c>
      <c r="H11" s="4">
        <f>+G11*0.9</f>
        <v>39.690000000000005</v>
      </c>
      <c r="I11" s="4">
        <f>+H11*1.03</f>
        <v>40.880700000000004</v>
      </c>
      <c r="J11" s="4">
        <f t="shared" ref="J11:P11" si="6">+I11*1.02</f>
        <v>41.698314000000003</v>
      </c>
      <c r="K11" s="4">
        <f t="shared" si="6"/>
        <v>42.532280280000002</v>
      </c>
      <c r="L11" s="4">
        <f t="shared" si="6"/>
        <v>43.382925885600002</v>
      </c>
      <c r="M11" s="4">
        <f t="shared" si="6"/>
        <v>44.250584403312004</v>
      </c>
      <c r="N11" s="4">
        <f t="shared" si="6"/>
        <v>45.135596091378247</v>
      </c>
      <c r="O11" s="4">
        <f t="shared" si="6"/>
        <v>46.038308013205814</v>
      </c>
      <c r="P11" s="4">
        <f t="shared" si="6"/>
        <v>46.959074173469929</v>
      </c>
    </row>
    <row r="12" spans="2:16" s="4" customFormat="1" x14ac:dyDescent="0.25">
      <c r="B12" s="4" t="s">
        <v>32</v>
      </c>
      <c r="F12" s="4">
        <v>29.1</v>
      </c>
      <c r="G12" s="4">
        <v>28.2</v>
      </c>
      <c r="H12" s="4">
        <f>+G12+6</f>
        <v>34.200000000000003</v>
      </c>
      <c r="I12" s="4">
        <f t="shared" ref="I12:P12" si="7">+H12*1.02</f>
        <v>34.884</v>
      </c>
      <c r="J12" s="4">
        <f t="shared" si="7"/>
        <v>35.581679999999999</v>
      </c>
      <c r="K12" s="4">
        <f t="shared" si="7"/>
        <v>36.293313599999998</v>
      </c>
      <c r="L12" s="4">
        <f t="shared" si="7"/>
        <v>37.019179871999995</v>
      </c>
      <c r="M12" s="4">
        <f t="shared" si="7"/>
        <v>37.759563469439996</v>
      </c>
      <c r="N12" s="4">
        <f t="shared" si="7"/>
        <v>38.514754738828799</v>
      </c>
      <c r="O12" s="4">
        <f t="shared" si="7"/>
        <v>39.285049833605378</v>
      </c>
      <c r="P12" s="4">
        <f t="shared" si="7"/>
        <v>40.070750830277483</v>
      </c>
    </row>
    <row r="13" spans="2:16" s="4" customFormat="1" x14ac:dyDescent="0.25"/>
    <row r="14" spans="2:16" s="4" customFormat="1" x14ac:dyDescent="0.25">
      <c r="B14" s="7" t="s">
        <v>33</v>
      </c>
    </row>
    <row r="15" spans="2:16" s="4" customFormat="1" x14ac:dyDescent="0.25">
      <c r="B15" s="4" t="s">
        <v>30</v>
      </c>
      <c r="F15" s="4">
        <v>14.5</v>
      </c>
      <c r="G15" s="4">
        <v>14.7</v>
      </c>
      <c r="H15" s="4">
        <v>15</v>
      </c>
      <c r="I15" s="4">
        <f>+H15+18</f>
        <v>33</v>
      </c>
      <c r="J15" s="4">
        <f t="shared" ref="J15:P15" si="8">+I15+0.2</f>
        <v>33.200000000000003</v>
      </c>
      <c r="K15" s="4">
        <f t="shared" si="8"/>
        <v>33.400000000000006</v>
      </c>
      <c r="L15" s="4">
        <f t="shared" si="8"/>
        <v>33.600000000000009</v>
      </c>
      <c r="M15" s="4">
        <f t="shared" si="8"/>
        <v>33.800000000000011</v>
      </c>
      <c r="N15" s="4">
        <f t="shared" si="8"/>
        <v>34.000000000000014</v>
      </c>
      <c r="O15" s="4">
        <f t="shared" si="8"/>
        <v>34.200000000000017</v>
      </c>
      <c r="P15" s="4">
        <f t="shared" si="8"/>
        <v>34.40000000000002</v>
      </c>
    </row>
    <row r="16" spans="2:16" s="4" customFormat="1" x14ac:dyDescent="0.25">
      <c r="B16" s="4" t="s">
        <v>31</v>
      </c>
      <c r="F16" s="4">
        <v>6.3</v>
      </c>
      <c r="G16" s="4">
        <v>5.9</v>
      </c>
      <c r="H16" s="4">
        <v>6</v>
      </c>
      <c r="I16" s="4">
        <f>+H16*1.01</f>
        <v>6.0600000000000005</v>
      </c>
      <c r="J16" s="4">
        <f t="shared" ref="J16:P16" si="9">+I16*1.01</f>
        <v>6.1206000000000005</v>
      </c>
      <c r="K16" s="4">
        <f t="shared" si="9"/>
        <v>6.1818060000000008</v>
      </c>
      <c r="L16" s="4">
        <f t="shared" si="9"/>
        <v>6.243624060000001</v>
      </c>
      <c r="M16" s="4">
        <f t="shared" si="9"/>
        <v>6.3060603006000013</v>
      </c>
      <c r="N16" s="4">
        <f t="shared" si="9"/>
        <v>6.3691209036060012</v>
      </c>
      <c r="O16" s="4">
        <f t="shared" si="9"/>
        <v>6.4328121126420612</v>
      </c>
      <c r="P16" s="4">
        <f t="shared" si="9"/>
        <v>6.4971402337684818</v>
      </c>
    </row>
    <row r="17" spans="2:16" s="4" customFormat="1" x14ac:dyDescent="0.25">
      <c r="B17" s="4" t="s">
        <v>32</v>
      </c>
      <c r="F17" s="4">
        <v>3.6</v>
      </c>
      <c r="G17" s="4">
        <v>3.5</v>
      </c>
      <c r="H17" s="4">
        <v>3.5</v>
      </c>
      <c r="I17" s="4">
        <f>+H17*1.01</f>
        <v>3.5350000000000001</v>
      </c>
      <c r="J17" s="4">
        <f t="shared" ref="J17:P17" si="10">+I17*1.01</f>
        <v>3.5703500000000004</v>
      </c>
      <c r="K17" s="4">
        <f t="shared" si="10"/>
        <v>3.6060535000000002</v>
      </c>
      <c r="L17" s="4">
        <f t="shared" si="10"/>
        <v>3.6421140350000001</v>
      </c>
      <c r="M17" s="4">
        <f t="shared" si="10"/>
        <v>3.67853517535</v>
      </c>
      <c r="N17" s="4">
        <f t="shared" si="10"/>
        <v>3.7153205271035001</v>
      </c>
      <c r="O17" s="4">
        <f t="shared" si="10"/>
        <v>3.752473732374535</v>
      </c>
      <c r="P17" s="4">
        <f t="shared" si="10"/>
        <v>3.7899984696982805</v>
      </c>
    </row>
    <row r="18" spans="2:16" x14ac:dyDescent="0.25">
      <c r="F18" s="4"/>
      <c r="G18" s="4"/>
    </row>
    <row r="19" spans="2:16" x14ac:dyDescent="0.25">
      <c r="B19" s="2" t="s">
        <v>36</v>
      </c>
      <c r="F19" s="4"/>
      <c r="G19" s="4"/>
    </row>
    <row r="20" spans="2:16" x14ac:dyDescent="0.25">
      <c r="B20" s="4" t="s">
        <v>30</v>
      </c>
      <c r="F20" s="4">
        <f t="shared" ref="F20:H22" si="11">+F15+F10</f>
        <v>44.4</v>
      </c>
      <c r="G20" s="4">
        <f t="shared" si="11"/>
        <v>43.4</v>
      </c>
      <c r="H20" s="4">
        <f t="shared" si="11"/>
        <v>43.2</v>
      </c>
      <c r="I20" s="4">
        <f t="shared" ref="I20:P20" si="12">+I15+I10</f>
        <v>61.2</v>
      </c>
      <c r="J20" s="4">
        <f t="shared" si="12"/>
        <v>61.963999999999999</v>
      </c>
      <c r="K20" s="4">
        <f t="shared" si="12"/>
        <v>62.739280000000008</v>
      </c>
      <c r="L20" s="4">
        <f t="shared" si="12"/>
        <v>63.52606560000001</v>
      </c>
      <c r="M20" s="4">
        <f t="shared" si="12"/>
        <v>64.324586912000001</v>
      </c>
      <c r="N20" s="4">
        <f t="shared" si="12"/>
        <v>65.135078650240018</v>
      </c>
      <c r="O20" s="4">
        <f t="shared" si="12"/>
        <v>65.957780223244811</v>
      </c>
      <c r="P20" s="4">
        <f t="shared" si="12"/>
        <v>66.792935827709712</v>
      </c>
    </row>
    <row r="21" spans="2:16" x14ac:dyDescent="0.25">
      <c r="B21" s="4" t="s">
        <v>31</v>
      </c>
      <c r="F21" s="4">
        <f t="shared" si="11"/>
        <v>48.3</v>
      </c>
      <c r="G21" s="4">
        <f t="shared" si="11"/>
        <v>50</v>
      </c>
      <c r="H21" s="4">
        <f t="shared" si="11"/>
        <v>45.690000000000005</v>
      </c>
      <c r="I21" s="4">
        <f t="shared" ref="I21:P21" si="13">+I16+I11</f>
        <v>46.940700000000007</v>
      </c>
      <c r="J21" s="4">
        <f t="shared" si="13"/>
        <v>47.818914000000007</v>
      </c>
      <c r="K21" s="4">
        <f t="shared" si="13"/>
        <v>48.714086280000004</v>
      </c>
      <c r="L21" s="4">
        <f t="shared" si="13"/>
        <v>49.626549945600004</v>
      </c>
      <c r="M21" s="4">
        <f t="shared" si="13"/>
        <v>50.556644703912006</v>
      </c>
      <c r="N21" s="4">
        <f t="shared" si="13"/>
        <v>51.50471699498425</v>
      </c>
      <c r="O21" s="4">
        <f t="shared" si="13"/>
        <v>52.471120125847875</v>
      </c>
      <c r="P21" s="4">
        <f t="shared" si="13"/>
        <v>53.456214407238413</v>
      </c>
    </row>
    <row r="22" spans="2:16" x14ac:dyDescent="0.25">
      <c r="B22" s="4" t="s">
        <v>32</v>
      </c>
      <c r="F22" s="4">
        <f t="shared" si="11"/>
        <v>32.700000000000003</v>
      </c>
      <c r="G22" s="4">
        <f t="shared" si="11"/>
        <v>31.7</v>
      </c>
      <c r="H22" s="4">
        <f t="shared" si="11"/>
        <v>37.700000000000003</v>
      </c>
      <c r="I22" s="4">
        <f t="shared" ref="I22:P22" si="14">+I17+I12</f>
        <v>38.418999999999997</v>
      </c>
      <c r="J22" s="4">
        <f t="shared" si="14"/>
        <v>39.152029999999996</v>
      </c>
      <c r="K22" s="4">
        <f t="shared" si="14"/>
        <v>39.899367099999999</v>
      </c>
      <c r="L22" s="4">
        <f t="shared" si="14"/>
        <v>40.661293906999994</v>
      </c>
      <c r="M22" s="4">
        <f t="shared" si="14"/>
        <v>41.438098644789996</v>
      </c>
      <c r="N22" s="4">
        <f t="shared" si="14"/>
        <v>42.2300752659323</v>
      </c>
      <c r="O22" s="4">
        <f t="shared" si="14"/>
        <v>43.03752356597991</v>
      </c>
      <c r="P22" s="4">
        <f t="shared" si="14"/>
        <v>43.860749299975765</v>
      </c>
    </row>
    <row r="23" spans="2:16" x14ac:dyDescent="0.25">
      <c r="F23" s="4"/>
      <c r="G23" s="4"/>
    </row>
    <row r="24" spans="2:16" s="2" customFormat="1" x14ac:dyDescent="0.25">
      <c r="B24" s="2" t="s">
        <v>0</v>
      </c>
      <c r="F24" s="2">
        <f t="shared" ref="F24:P24" si="15">+SUM(F25:F28)</f>
        <v>70265</v>
      </c>
      <c r="G24" s="2">
        <f t="shared" si="15"/>
        <v>73585</v>
      </c>
      <c r="H24" s="2">
        <f t="shared" si="15"/>
        <v>75189.500000000015</v>
      </c>
      <c r="I24" s="2">
        <f t="shared" si="15"/>
        <v>91213.505250000017</v>
      </c>
      <c r="J24" s="2">
        <f t="shared" si="15"/>
        <v>95379.481634050011</v>
      </c>
      <c r="K24" s="2">
        <f t="shared" si="15"/>
        <v>99738.736554274481</v>
      </c>
      <c r="L24" s="2">
        <f t="shared" si="15"/>
        <v>104300.39723837681</v>
      </c>
      <c r="M24" s="2">
        <f t="shared" si="15"/>
        <v>109074.02916544948</v>
      </c>
      <c r="N24" s="2">
        <f t="shared" si="15"/>
        <v>114069.65740588598</v>
      </c>
      <c r="O24" s="2">
        <f t="shared" si="15"/>
        <v>119297.78901186812</v>
      </c>
      <c r="P24" s="2">
        <f t="shared" si="15"/>
        <v>124769.43651057358</v>
      </c>
    </row>
    <row r="25" spans="2:16" x14ac:dyDescent="0.25">
      <c r="B25" s="1" t="s">
        <v>30</v>
      </c>
      <c r="F25" s="1">
        <v>34888</v>
      </c>
      <c r="G25" s="1">
        <v>37317</v>
      </c>
      <c r="H25" s="1">
        <f>+H20*H5 *100</f>
        <v>38016.000000000007</v>
      </c>
      <c r="I25" s="1">
        <f t="shared" ref="I25:P25" si="16">+I20*I5 *100</f>
        <v>52020.000000000007</v>
      </c>
      <c r="J25" s="1">
        <f t="shared" si="16"/>
        <v>54249.482000000004</v>
      </c>
      <c r="K25" s="1">
        <f t="shared" si="16"/>
        <v>56576.086829200016</v>
      </c>
      <c r="L25" s="1">
        <f t="shared" si="16"/>
        <v>59004.150022157548</v>
      </c>
      <c r="M25" s="1">
        <f t="shared" si="16"/>
        <v>61538.205878706707</v>
      </c>
      <c r="N25" s="1">
        <f t="shared" si="16"/>
        <v>64182.996805707502</v>
      </c>
      <c r="O25" s="1">
        <f t="shared" si="16"/>
        <v>66943.48310709247</v>
      </c>
      <c r="P25" s="1">
        <f t="shared" si="16"/>
        <v>69824.853244075566</v>
      </c>
    </row>
    <row r="26" spans="2:16" x14ac:dyDescent="0.25">
      <c r="B26" s="1" t="s">
        <v>31</v>
      </c>
      <c r="F26" s="1">
        <v>23682</v>
      </c>
      <c r="G26" s="1">
        <v>23288</v>
      </c>
      <c r="H26" s="1">
        <f t="shared" ref="H26:P27" si="17">+H21*H6 *100</f>
        <v>20560.5</v>
      </c>
      <c r="I26" s="1">
        <f t="shared" si="17"/>
        <v>21757.014450000002</v>
      </c>
      <c r="J26" s="1">
        <f t="shared" si="17"/>
        <v>22828.988638170002</v>
      </c>
      <c r="K26" s="1">
        <f t="shared" si="17"/>
        <v>23954.038811318504</v>
      </c>
      <c r="L26" s="1">
        <f t="shared" si="17"/>
        <v>25134.803628155023</v>
      </c>
      <c r="M26" s="1">
        <f t="shared" si="17"/>
        <v>26374.053369978719</v>
      </c>
      <c r="N26" s="1">
        <f t="shared" si="17"/>
        <v>27674.696524471721</v>
      </c>
      <c r="O26" s="1">
        <f t="shared" si="17"/>
        <v>29039.786699557153</v>
      </c>
      <c r="P26" s="1">
        <f t="shared" si="17"/>
        <v>30472.529883899067</v>
      </c>
    </row>
    <row r="27" spans="2:16" x14ac:dyDescent="0.25">
      <c r="B27" s="1" t="s">
        <v>32</v>
      </c>
      <c r="F27" s="1">
        <v>11679</v>
      </c>
      <c r="G27" s="1">
        <v>12959</v>
      </c>
      <c r="H27" s="1">
        <f t="shared" si="17"/>
        <v>16588.000000000004</v>
      </c>
      <c r="I27" s="1">
        <f t="shared" si="17"/>
        <v>17411.4908</v>
      </c>
      <c r="J27" s="1">
        <f t="shared" si="17"/>
        <v>18276.010995879999</v>
      </c>
      <c r="K27" s="1">
        <f t="shared" si="17"/>
        <v>19183.610913755951</v>
      </c>
      <c r="L27" s="1">
        <f t="shared" si="17"/>
        <v>20136.443588064245</v>
      </c>
      <c r="M27" s="1">
        <f t="shared" si="17"/>
        <v>21136.769916764049</v>
      </c>
      <c r="N27" s="1">
        <f t="shared" si="17"/>
        <v>22186.964075706761</v>
      </c>
      <c r="O27" s="1">
        <f t="shared" si="17"/>
        <v>23289.519205218494</v>
      </c>
      <c r="P27" s="1">
        <f t="shared" si="17"/>
        <v>24447.053382598944</v>
      </c>
    </row>
    <row r="28" spans="2:16" x14ac:dyDescent="0.25">
      <c r="B28" s="1" t="s">
        <v>1</v>
      </c>
      <c r="F28" s="1">
        <v>16</v>
      </c>
      <c r="G28" s="1">
        <v>21</v>
      </c>
      <c r="H28" s="1">
        <v>25</v>
      </c>
      <c r="I28" s="1">
        <v>25</v>
      </c>
      <c r="J28" s="1">
        <v>25</v>
      </c>
      <c r="K28" s="1">
        <v>25</v>
      </c>
      <c r="L28" s="1">
        <v>25</v>
      </c>
      <c r="M28" s="1">
        <v>25</v>
      </c>
      <c r="N28" s="1">
        <v>25</v>
      </c>
      <c r="O28" s="1">
        <v>25</v>
      </c>
      <c r="P28" s="1">
        <v>25</v>
      </c>
    </row>
    <row r="29" spans="2:16" x14ac:dyDescent="0.25">
      <c r="F29" s="8"/>
      <c r="G29" s="8"/>
    </row>
    <row r="30" spans="2:16" s="2" customFormat="1" x14ac:dyDescent="0.25">
      <c r="B30" s="2" t="s">
        <v>0</v>
      </c>
      <c r="F30" s="2">
        <v>70265</v>
      </c>
      <c r="G30" s="2">
        <v>73585</v>
      </c>
      <c r="H30" s="2">
        <f>+SUM(H25:H28)</f>
        <v>75189.500000000015</v>
      </c>
      <c r="I30" s="2">
        <f t="shared" ref="I30:P30" si="18">+SUM(I25:I28)</f>
        <v>91213.505250000017</v>
      </c>
      <c r="J30" s="2">
        <f t="shared" si="18"/>
        <v>95379.481634050011</v>
      </c>
      <c r="K30" s="2">
        <f t="shared" si="18"/>
        <v>99738.736554274481</v>
      </c>
      <c r="L30" s="2">
        <f t="shared" si="18"/>
        <v>104300.39723837681</v>
      </c>
      <c r="M30" s="2">
        <f t="shared" si="18"/>
        <v>109074.02916544948</v>
      </c>
      <c r="N30" s="2">
        <f t="shared" si="18"/>
        <v>114069.65740588598</v>
      </c>
      <c r="O30" s="2">
        <f t="shared" si="18"/>
        <v>119297.78901186812</v>
      </c>
      <c r="P30" s="2">
        <f t="shared" si="18"/>
        <v>124769.43651057358</v>
      </c>
    </row>
    <row r="31" spans="2:16" x14ac:dyDescent="0.25">
      <c r="B31" s="1" t="s">
        <v>2</v>
      </c>
      <c r="F31" s="1">
        <v>38198</v>
      </c>
      <c r="G31" s="1">
        <v>40753</v>
      </c>
      <c r="H31" s="1">
        <f>+H30*0.55</f>
        <v>41354.225000000013</v>
      </c>
      <c r="I31" s="1">
        <f t="shared" ref="I31:P31" si="19">+I30*0.55</f>
        <v>50167.427887500016</v>
      </c>
      <c r="J31" s="1">
        <f t="shared" si="19"/>
        <v>52458.714898727507</v>
      </c>
      <c r="K31" s="1">
        <f t="shared" si="19"/>
        <v>54856.305104850966</v>
      </c>
      <c r="L31" s="1">
        <f t="shared" si="19"/>
        <v>57365.218481107251</v>
      </c>
      <c r="M31" s="1">
        <f t="shared" si="19"/>
        <v>59990.71604099722</v>
      </c>
      <c r="N31" s="1">
        <f t="shared" si="19"/>
        <v>62738.311573237297</v>
      </c>
      <c r="O31" s="1">
        <f t="shared" si="19"/>
        <v>65613.783956527477</v>
      </c>
      <c r="P31" s="1">
        <f t="shared" si="19"/>
        <v>68623.190080815475</v>
      </c>
    </row>
    <row r="32" spans="2:16" x14ac:dyDescent="0.25">
      <c r="B32" s="1" t="s">
        <v>3</v>
      </c>
      <c r="C32" s="1">
        <f>+C30-C31</f>
        <v>0</v>
      </c>
      <c r="F32" s="1">
        <f>+F30-F31</f>
        <v>32067</v>
      </c>
      <c r="G32" s="1">
        <f>+G30-G31</f>
        <v>32832</v>
      </c>
      <c r="H32" s="1">
        <f>+H30-H31</f>
        <v>33835.275000000001</v>
      </c>
      <c r="I32" s="1">
        <f>+I30-I31</f>
        <v>41046.0773625</v>
      </c>
      <c r="J32" s="1">
        <f t="shared" ref="J32:P32" si="20">+J30-J31</f>
        <v>42920.766735322504</v>
      </c>
      <c r="K32" s="1">
        <f t="shared" si="20"/>
        <v>44882.431449423515</v>
      </c>
      <c r="L32" s="1">
        <f t="shared" si="20"/>
        <v>46935.178757269561</v>
      </c>
      <c r="M32" s="1">
        <f t="shared" si="20"/>
        <v>49083.313124452259</v>
      </c>
      <c r="N32" s="1">
        <f t="shared" si="20"/>
        <v>51331.345832648687</v>
      </c>
      <c r="O32" s="1">
        <f t="shared" si="20"/>
        <v>53684.005055340647</v>
      </c>
      <c r="P32" s="1">
        <f t="shared" si="20"/>
        <v>56146.246429758103</v>
      </c>
    </row>
    <row r="33" spans="2:90" x14ac:dyDescent="0.25">
      <c r="B33" s="1" t="s">
        <v>4</v>
      </c>
      <c r="F33" s="1">
        <v>17337</v>
      </c>
      <c r="G33" s="1">
        <v>18355</v>
      </c>
      <c r="H33" s="1">
        <f>+H30*0.25</f>
        <v>18797.375000000004</v>
      </c>
      <c r="I33" s="1">
        <f t="shared" ref="I33:P33" si="21">+I30*0.25</f>
        <v>22803.376312500004</v>
      </c>
      <c r="J33" s="1">
        <f t="shared" si="21"/>
        <v>23844.870408512503</v>
      </c>
      <c r="K33" s="1">
        <f t="shared" si="21"/>
        <v>24934.68413856862</v>
      </c>
      <c r="L33" s="1">
        <f t="shared" si="21"/>
        <v>26075.099309594203</v>
      </c>
      <c r="M33" s="1">
        <f t="shared" si="21"/>
        <v>27268.50729136237</v>
      </c>
      <c r="N33" s="1">
        <f t="shared" si="21"/>
        <v>28517.414351471496</v>
      </c>
      <c r="O33" s="1">
        <f t="shared" si="21"/>
        <v>29824.447252967031</v>
      </c>
      <c r="P33" s="1">
        <f t="shared" si="21"/>
        <v>31192.359127643394</v>
      </c>
    </row>
    <row r="34" spans="2:90" x14ac:dyDescent="0.25">
      <c r="B34" s="1" t="s">
        <v>5</v>
      </c>
      <c r="F34" s="1">
        <v>4229</v>
      </c>
      <c r="G34" s="1">
        <v>4077</v>
      </c>
      <c r="H34" s="1">
        <f>+G34*1.02</f>
        <v>4158.54</v>
      </c>
      <c r="I34" s="1">
        <f t="shared" ref="I34:P34" si="22">+H34*1.02</f>
        <v>4241.7107999999998</v>
      </c>
      <c r="J34" s="1">
        <f t="shared" si="22"/>
        <v>4326.545016</v>
      </c>
      <c r="K34" s="1">
        <f t="shared" si="22"/>
        <v>4413.07591632</v>
      </c>
      <c r="L34" s="1">
        <f t="shared" si="22"/>
        <v>4501.3374346463997</v>
      </c>
      <c r="M34" s="1">
        <f t="shared" si="22"/>
        <v>4591.3641833393276</v>
      </c>
      <c r="N34" s="1">
        <f t="shared" si="22"/>
        <v>4683.1914670061142</v>
      </c>
      <c r="O34" s="1">
        <f t="shared" si="22"/>
        <v>4776.8552963462362</v>
      </c>
      <c r="P34" s="1">
        <f t="shared" si="22"/>
        <v>4872.3924022731608</v>
      </c>
    </row>
    <row r="35" spans="2:90" x14ac:dyDescent="0.25">
      <c r="B35" s="1" t="s">
        <v>6</v>
      </c>
      <c r="F35" s="1">
        <v>68</v>
      </c>
      <c r="G35" s="1">
        <v>124</v>
      </c>
      <c r="H35" s="1">
        <v>150</v>
      </c>
      <c r="I35" s="1">
        <v>150</v>
      </c>
      <c r="J35" s="1">
        <v>150</v>
      </c>
      <c r="K35" s="1">
        <v>150</v>
      </c>
      <c r="L35" s="1">
        <v>150</v>
      </c>
      <c r="M35" s="1">
        <v>150</v>
      </c>
      <c r="N35" s="1">
        <v>150</v>
      </c>
      <c r="O35" s="1">
        <v>150</v>
      </c>
      <c r="P35" s="1">
        <v>150</v>
      </c>
    </row>
    <row r="36" spans="2:90" x14ac:dyDescent="0.25">
      <c r="B36" s="1" t="s">
        <v>7</v>
      </c>
      <c r="F36" s="1">
        <v>901</v>
      </c>
      <c r="G36" s="1">
        <v>581</v>
      </c>
      <c r="H36" s="1">
        <v>500</v>
      </c>
      <c r="I36" s="1">
        <v>500</v>
      </c>
      <c r="J36" s="1">
        <v>500</v>
      </c>
      <c r="K36" s="1">
        <v>500</v>
      </c>
      <c r="L36" s="1">
        <v>500</v>
      </c>
      <c r="M36" s="1">
        <v>500</v>
      </c>
      <c r="N36" s="1">
        <v>500</v>
      </c>
      <c r="O36" s="1">
        <v>500</v>
      </c>
      <c r="P36" s="1">
        <v>500</v>
      </c>
    </row>
    <row r="37" spans="2:90" x14ac:dyDescent="0.25">
      <c r="B37" s="1" t="s">
        <v>8</v>
      </c>
      <c r="C37" s="1">
        <f>+C32-C33-C34+C35+C36</f>
        <v>0</v>
      </c>
      <c r="F37" s="1">
        <f>+F32-F33-F34+F35+F36</f>
        <v>11470</v>
      </c>
      <c r="G37" s="1">
        <f>+G32-G33-G34+G35+G36</f>
        <v>11105</v>
      </c>
      <c r="H37" s="1">
        <f>+H32-H33-H34+H35+H36</f>
        <v>11529.359999999997</v>
      </c>
      <c r="I37" s="1">
        <f>+I32-I33-I34+I35+I36</f>
        <v>14650.990249999995</v>
      </c>
      <c r="J37" s="1">
        <f t="shared" ref="J37:P37" si="23">+J32-J33-J34+J35+J36</f>
        <v>15399.351310810001</v>
      </c>
      <c r="K37" s="1">
        <f t="shared" si="23"/>
        <v>16184.671394534895</v>
      </c>
      <c r="L37" s="1">
        <f t="shared" si="23"/>
        <v>17008.742013028957</v>
      </c>
      <c r="M37" s="1">
        <f t="shared" si="23"/>
        <v>17873.441649750563</v>
      </c>
      <c r="N37" s="1">
        <f t="shared" si="23"/>
        <v>18780.740014171075</v>
      </c>
      <c r="O37" s="1">
        <f t="shared" si="23"/>
        <v>19732.702506027381</v>
      </c>
      <c r="P37" s="1">
        <f t="shared" si="23"/>
        <v>20731.494899841549</v>
      </c>
    </row>
    <row r="38" spans="2:90" x14ac:dyDescent="0.25">
      <c r="B38" s="1" t="s">
        <v>9</v>
      </c>
      <c r="F38" s="1">
        <v>347</v>
      </c>
      <c r="G38" s="1">
        <v>695</v>
      </c>
      <c r="H38" s="1">
        <v>800</v>
      </c>
      <c r="I38" s="1">
        <f>+H38*0.9</f>
        <v>720</v>
      </c>
      <c r="J38" s="1">
        <f t="shared" ref="J38:P38" si="24">+I38*0.9</f>
        <v>648</v>
      </c>
      <c r="K38" s="1">
        <f t="shared" si="24"/>
        <v>583.20000000000005</v>
      </c>
      <c r="L38" s="1">
        <f t="shared" si="24"/>
        <v>524.88000000000011</v>
      </c>
      <c r="M38" s="1">
        <f t="shared" si="24"/>
        <v>472.39200000000011</v>
      </c>
      <c r="N38" s="1">
        <f t="shared" si="24"/>
        <v>425.15280000000013</v>
      </c>
      <c r="O38" s="1">
        <f t="shared" si="24"/>
        <v>382.63752000000011</v>
      </c>
      <c r="P38" s="1">
        <f t="shared" si="24"/>
        <v>344.3737680000001</v>
      </c>
    </row>
    <row r="39" spans="2:90" x14ac:dyDescent="0.25">
      <c r="B39" s="1" t="s">
        <v>10</v>
      </c>
      <c r="F39" s="1">
        <v>1072</v>
      </c>
      <c r="G39" s="1">
        <v>1539</v>
      </c>
      <c r="H39" s="1">
        <f>+G39*1.02</f>
        <v>1569.78</v>
      </c>
      <c r="I39" s="1">
        <f t="shared" ref="I39:P39" si="25">+H39*1.02</f>
        <v>1601.1756</v>
      </c>
      <c r="J39" s="1">
        <f t="shared" si="25"/>
        <v>1633.199112</v>
      </c>
      <c r="K39" s="1">
        <f t="shared" si="25"/>
        <v>1665.86309424</v>
      </c>
      <c r="L39" s="1">
        <f t="shared" si="25"/>
        <v>1699.1803561248</v>
      </c>
      <c r="M39" s="1">
        <f t="shared" si="25"/>
        <v>1733.1639632472961</v>
      </c>
      <c r="N39" s="1">
        <f t="shared" si="25"/>
        <v>1767.827242512242</v>
      </c>
      <c r="O39" s="1">
        <f t="shared" si="25"/>
        <v>1803.183787362487</v>
      </c>
      <c r="P39" s="1">
        <f t="shared" si="25"/>
        <v>1839.2474631097368</v>
      </c>
    </row>
    <row r="40" spans="2:90" x14ac:dyDescent="0.25">
      <c r="B40" s="1" t="s">
        <v>11</v>
      </c>
      <c r="C40" s="1">
        <f>+C37+C38-C39</f>
        <v>0</v>
      </c>
      <c r="F40" s="1">
        <f>+F37+F38-F39</f>
        <v>10745</v>
      </c>
      <c r="G40" s="1">
        <f>+G37+G38-G39</f>
        <v>10261</v>
      </c>
      <c r="H40" s="1">
        <f>+H37+H38-H39</f>
        <v>10759.579999999996</v>
      </c>
      <c r="I40" s="1">
        <f>+I37+I38-I39</f>
        <v>13769.814649999995</v>
      </c>
      <c r="J40" s="1">
        <f t="shared" ref="J40:P40" si="26">+J37+J38-J39</f>
        <v>14414.152198810001</v>
      </c>
      <c r="K40" s="1">
        <f t="shared" si="26"/>
        <v>15102.008300294894</v>
      </c>
      <c r="L40" s="1">
        <f t="shared" si="26"/>
        <v>15834.441656904159</v>
      </c>
      <c r="M40" s="1">
        <f t="shared" si="26"/>
        <v>16612.669686503265</v>
      </c>
      <c r="N40" s="1">
        <f t="shared" si="26"/>
        <v>17438.065571658834</v>
      </c>
      <c r="O40" s="1">
        <f t="shared" si="26"/>
        <v>18312.156238664895</v>
      </c>
      <c r="P40" s="1">
        <f t="shared" si="26"/>
        <v>19236.621204731815</v>
      </c>
    </row>
    <row r="41" spans="2:90" x14ac:dyDescent="0.25">
      <c r="B41" s="1" t="s">
        <v>12</v>
      </c>
      <c r="F41" s="1">
        <v>1778</v>
      </c>
      <c r="G41" s="1">
        <v>1859</v>
      </c>
      <c r="H41" s="1">
        <f>+H40*0.18</f>
        <v>1936.7243999999992</v>
      </c>
      <c r="I41" s="1">
        <f t="shared" ref="I41:P41" si="27">+I40*0.18</f>
        <v>2478.566636999999</v>
      </c>
      <c r="J41" s="1">
        <f t="shared" si="27"/>
        <v>2594.5473957858003</v>
      </c>
      <c r="K41" s="1">
        <f t="shared" si="27"/>
        <v>2718.3614940530806</v>
      </c>
      <c r="L41" s="1">
        <f t="shared" si="27"/>
        <v>2850.1994982427486</v>
      </c>
      <c r="M41" s="1">
        <f t="shared" si="27"/>
        <v>2990.2805435705877</v>
      </c>
      <c r="N41" s="1">
        <f t="shared" si="27"/>
        <v>3138.85180289859</v>
      </c>
      <c r="O41" s="1">
        <f t="shared" si="27"/>
        <v>3296.1881229596811</v>
      </c>
      <c r="P41" s="1">
        <f t="shared" si="27"/>
        <v>3462.5918168517264</v>
      </c>
    </row>
    <row r="42" spans="2:90" s="2" customFormat="1" x14ac:dyDescent="0.25">
      <c r="B42" s="2" t="s">
        <v>13</v>
      </c>
      <c r="C42" s="2">
        <f>+C40-C41</f>
        <v>0</v>
      </c>
      <c r="F42" s="2">
        <f>+F40-F41</f>
        <v>8967</v>
      </c>
      <c r="G42" s="2">
        <f>+G40-G41</f>
        <v>8402</v>
      </c>
      <c r="H42" s="2">
        <f>+H40-H41</f>
        <v>8822.8555999999971</v>
      </c>
      <c r="I42" s="2">
        <f>+I40-I41</f>
        <v>11291.248012999997</v>
      </c>
      <c r="J42" s="2">
        <f t="shared" ref="J42:P42" si="28">+J40-J41</f>
        <v>11819.604803024202</v>
      </c>
      <c r="K42" s="2">
        <f t="shared" si="28"/>
        <v>12383.646806241813</v>
      </c>
      <c r="L42" s="2">
        <f t="shared" si="28"/>
        <v>12984.242158661411</v>
      </c>
      <c r="M42" s="2">
        <f t="shared" si="28"/>
        <v>13622.389142932676</v>
      </c>
      <c r="N42" s="2">
        <f t="shared" si="28"/>
        <v>14299.213768760244</v>
      </c>
      <c r="O42" s="2">
        <f t="shared" si="28"/>
        <v>15015.968115705215</v>
      </c>
      <c r="P42" s="2">
        <f t="shared" si="28"/>
        <v>15774.029387880088</v>
      </c>
      <c r="Q42" s="2">
        <f t="shared" ref="Q42:AV42" si="29">+P42*(1+TR)</f>
        <v>16010.639828698288</v>
      </c>
      <c r="R42" s="2">
        <f t="shared" si="29"/>
        <v>16250.79942612876</v>
      </c>
      <c r="S42" s="2">
        <f t="shared" si="29"/>
        <v>16494.56141752069</v>
      </c>
      <c r="T42" s="2">
        <f t="shared" si="29"/>
        <v>16741.9798387835</v>
      </c>
      <c r="U42" s="2">
        <f t="shared" si="29"/>
        <v>16993.109536365249</v>
      </c>
      <c r="V42" s="2">
        <f t="shared" si="29"/>
        <v>17248.006179410728</v>
      </c>
      <c r="W42" s="2">
        <f t="shared" si="29"/>
        <v>17506.726272101889</v>
      </c>
      <c r="X42" s="2">
        <f t="shared" si="29"/>
        <v>17769.327166183415</v>
      </c>
      <c r="Y42" s="2">
        <f t="shared" si="29"/>
        <v>18035.867073676163</v>
      </c>
      <c r="Z42" s="2">
        <f t="shared" si="29"/>
        <v>18306.405079781303</v>
      </c>
      <c r="AA42" s="2">
        <f t="shared" si="29"/>
        <v>18581.001155978021</v>
      </c>
      <c r="AB42" s="2">
        <f t="shared" si="29"/>
        <v>18859.716173317691</v>
      </c>
      <c r="AC42" s="2">
        <f t="shared" si="29"/>
        <v>19142.611915917456</v>
      </c>
      <c r="AD42" s="2">
        <f t="shared" si="29"/>
        <v>19429.751094656214</v>
      </c>
      <c r="AE42" s="2">
        <f t="shared" si="29"/>
        <v>19721.197361076054</v>
      </c>
      <c r="AF42" s="2">
        <f t="shared" si="29"/>
        <v>20017.015321492192</v>
      </c>
      <c r="AG42" s="2">
        <f t="shared" si="29"/>
        <v>20317.270551314574</v>
      </c>
      <c r="AH42" s="2">
        <f t="shared" si="29"/>
        <v>20622.02960958429</v>
      </c>
      <c r="AI42" s="2">
        <f t="shared" si="29"/>
        <v>20931.360053728051</v>
      </c>
      <c r="AJ42" s="2">
        <f t="shared" si="29"/>
        <v>21245.330454533971</v>
      </c>
      <c r="AK42" s="2">
        <f t="shared" si="29"/>
        <v>21564.010411351977</v>
      </c>
      <c r="AL42" s="2">
        <f t="shared" si="29"/>
        <v>21887.470567522254</v>
      </c>
      <c r="AM42" s="2">
        <f t="shared" si="29"/>
        <v>22215.782626035085</v>
      </c>
      <c r="AN42" s="2">
        <f t="shared" si="29"/>
        <v>22549.019365425607</v>
      </c>
      <c r="AO42" s="2">
        <f t="shared" si="29"/>
        <v>22887.254655906989</v>
      </c>
      <c r="AP42" s="2">
        <f t="shared" si="29"/>
        <v>23230.563475745592</v>
      </c>
      <c r="AQ42" s="2">
        <f t="shared" si="29"/>
        <v>23579.021927881775</v>
      </c>
      <c r="AR42" s="2">
        <f t="shared" si="29"/>
        <v>23932.7072568</v>
      </c>
      <c r="AS42" s="2">
        <f t="shared" si="29"/>
        <v>24291.697865651997</v>
      </c>
      <c r="AT42" s="2">
        <f t="shared" si="29"/>
        <v>24656.073333636774</v>
      </c>
      <c r="AU42" s="2">
        <f t="shared" si="29"/>
        <v>25025.914433641323</v>
      </c>
      <c r="AV42" s="2">
        <f t="shared" si="29"/>
        <v>25401.303150145941</v>
      </c>
      <c r="AW42" s="2">
        <f t="shared" ref="AW42:CB42" si="30">+AV42*(1+TR)</f>
        <v>25782.322697398129</v>
      </c>
      <c r="AX42" s="2">
        <f t="shared" si="30"/>
        <v>26169.057537859098</v>
      </c>
      <c r="AY42" s="2">
        <f t="shared" si="30"/>
        <v>26561.593400926984</v>
      </c>
      <c r="AZ42" s="2">
        <f t="shared" si="30"/>
        <v>26960.017301940887</v>
      </c>
      <c r="BA42" s="2">
        <f t="shared" si="30"/>
        <v>27364.417561469996</v>
      </c>
      <c r="BB42" s="2">
        <f t="shared" si="30"/>
        <v>27774.883824892044</v>
      </c>
      <c r="BC42" s="2">
        <f t="shared" si="30"/>
        <v>28191.507082265423</v>
      </c>
      <c r="BD42" s="2">
        <f t="shared" si="30"/>
        <v>28614.379688499401</v>
      </c>
      <c r="BE42" s="2">
        <f t="shared" si="30"/>
        <v>29043.595383826891</v>
      </c>
      <c r="BF42" s="2">
        <f t="shared" si="30"/>
        <v>29479.249314584293</v>
      </c>
      <c r="BG42" s="2">
        <f t="shared" si="30"/>
        <v>29921.438054303053</v>
      </c>
      <c r="BH42" s="2">
        <f t="shared" si="30"/>
        <v>30370.259625117596</v>
      </c>
      <c r="BI42" s="2">
        <f t="shared" si="30"/>
        <v>30825.813519494357</v>
      </c>
      <c r="BJ42" s="2">
        <f t="shared" si="30"/>
        <v>31288.200722286769</v>
      </c>
      <c r="BK42" s="2">
        <f t="shared" si="30"/>
        <v>31757.523733121066</v>
      </c>
      <c r="BL42" s="2">
        <f t="shared" si="30"/>
        <v>32233.886589117879</v>
      </c>
      <c r="BM42" s="2">
        <f t="shared" si="30"/>
        <v>32717.394887954644</v>
      </c>
      <c r="BN42" s="2">
        <f t="shared" si="30"/>
        <v>33208.155811273959</v>
      </c>
      <c r="BO42" s="2">
        <f t="shared" si="30"/>
        <v>33706.278148443067</v>
      </c>
      <c r="BP42" s="2">
        <f t="shared" si="30"/>
        <v>34211.87232066971</v>
      </c>
      <c r="BQ42" s="2">
        <f t="shared" si="30"/>
        <v>34725.050405479749</v>
      </c>
      <c r="BR42" s="2">
        <f t="shared" si="30"/>
        <v>35245.92616156194</v>
      </c>
      <c r="BS42" s="2">
        <f t="shared" si="30"/>
        <v>35774.615053985362</v>
      </c>
      <c r="BT42" s="2">
        <f t="shared" si="30"/>
        <v>36311.234279795142</v>
      </c>
      <c r="BU42" s="2">
        <f t="shared" si="30"/>
        <v>36855.902793992063</v>
      </c>
      <c r="BV42" s="2">
        <f t="shared" si="30"/>
        <v>37408.741335901941</v>
      </c>
      <c r="BW42" s="2">
        <f t="shared" si="30"/>
        <v>37969.872455940465</v>
      </c>
      <c r="BX42" s="2">
        <f t="shared" si="30"/>
        <v>38539.420542779568</v>
      </c>
      <c r="BY42" s="2">
        <f t="shared" si="30"/>
        <v>39117.511850921255</v>
      </c>
      <c r="BZ42" s="2">
        <f t="shared" si="30"/>
        <v>39704.27452868507</v>
      </c>
      <c r="CA42" s="2">
        <f t="shared" si="30"/>
        <v>40299.838646615339</v>
      </c>
      <c r="CB42" s="2">
        <f t="shared" si="30"/>
        <v>40904.336226314568</v>
      </c>
      <c r="CC42" s="2">
        <f t="shared" ref="CC42:CL42" si="31">+CB42*(1+TR)</f>
        <v>41517.901269709284</v>
      </c>
      <c r="CD42" s="2">
        <f t="shared" si="31"/>
        <v>42140.669788754916</v>
      </c>
      <c r="CE42" s="2">
        <f t="shared" si="31"/>
        <v>42772.779835586232</v>
      </c>
      <c r="CF42" s="2">
        <f t="shared" si="31"/>
        <v>43414.371533120022</v>
      </c>
      <c r="CG42" s="2">
        <f t="shared" si="31"/>
        <v>44065.587106116815</v>
      </c>
      <c r="CH42" s="2">
        <f t="shared" si="31"/>
        <v>44726.570912708565</v>
      </c>
      <c r="CI42" s="2">
        <f t="shared" si="31"/>
        <v>45397.469476399187</v>
      </c>
      <c r="CJ42" s="2">
        <f t="shared" si="31"/>
        <v>46078.431518545171</v>
      </c>
      <c r="CK42" s="2">
        <f t="shared" si="31"/>
        <v>46769.607991323341</v>
      </c>
      <c r="CL42" s="2">
        <f t="shared" si="31"/>
        <v>47471.152111193187</v>
      </c>
    </row>
    <row r="43" spans="2:90" x14ac:dyDescent="0.25">
      <c r="F43" s="6"/>
      <c r="G43" s="6"/>
    </row>
    <row r="44" spans="2:90" s="3" customFormat="1" x14ac:dyDescent="0.25">
      <c r="B44" s="3" t="s">
        <v>14</v>
      </c>
      <c r="F44" s="3">
        <f>+F32/F30</f>
        <v>0.45637230484594038</v>
      </c>
      <c r="G44" s="3">
        <f>+G32/G30</f>
        <v>0.44617788951552628</v>
      </c>
      <c r="H44" s="3">
        <f>+H32/H30</f>
        <v>0.44999999999999996</v>
      </c>
      <c r="I44" s="3">
        <f t="shared" ref="I44:P44" si="32">+I32/I30</f>
        <v>0.4499999999999999</v>
      </c>
      <c r="J44" s="3">
        <f t="shared" si="32"/>
        <v>0.45</v>
      </c>
      <c r="K44" s="3">
        <f t="shared" si="32"/>
        <v>0.45</v>
      </c>
      <c r="L44" s="3">
        <f t="shared" si="32"/>
        <v>0.44999999999999996</v>
      </c>
      <c r="M44" s="3">
        <f t="shared" si="32"/>
        <v>0.44999999999999996</v>
      </c>
      <c r="N44" s="3">
        <f t="shared" si="32"/>
        <v>0.44999999999999996</v>
      </c>
      <c r="O44" s="3">
        <f t="shared" si="32"/>
        <v>0.4499999999999999</v>
      </c>
      <c r="P44" s="3">
        <f t="shared" si="32"/>
        <v>0.44999999999999996</v>
      </c>
    </row>
    <row r="45" spans="2:90" s="3" customFormat="1" x14ac:dyDescent="0.25">
      <c r="B45" s="3" t="s">
        <v>15</v>
      </c>
      <c r="F45" s="3">
        <f>+F42/F30</f>
        <v>0.12761687895822957</v>
      </c>
      <c r="G45" s="3">
        <f>+G42/G30</f>
        <v>0.114180879255283</v>
      </c>
      <c r="R45" s="3" t="s">
        <v>38</v>
      </c>
      <c r="S45" s="3">
        <v>0.1</v>
      </c>
    </row>
    <row r="46" spans="2:90" s="3" customFormat="1" x14ac:dyDescent="0.25">
      <c r="B46" s="3" t="s">
        <v>16</v>
      </c>
      <c r="G46" s="3">
        <f>+G30/F30 -1</f>
        <v>4.7249697573471749E-2</v>
      </c>
      <c r="R46" s="3" t="s">
        <v>39</v>
      </c>
      <c r="S46" s="3">
        <v>1.4999999999999999E-2</v>
      </c>
    </row>
    <row r="47" spans="2:90" x14ac:dyDescent="0.25">
      <c r="R47" s="1" t="s">
        <v>40</v>
      </c>
      <c r="S47" s="1">
        <f>NPV(S45,H42:CL42)</f>
        <v>151150.3633793793</v>
      </c>
    </row>
    <row r="48" spans="2:90" x14ac:dyDescent="0.25">
      <c r="B48" s="1" t="s">
        <v>17</v>
      </c>
      <c r="F48" s="1">
        <v>12949</v>
      </c>
      <c r="G48" s="1">
        <v>11607</v>
      </c>
      <c r="R48" s="1" t="s">
        <v>41</v>
      </c>
      <c r="S48" s="1">
        <f>103.657554+33.699252</f>
        <v>137.35680600000001</v>
      </c>
    </row>
    <row r="49" spans="2:19" x14ac:dyDescent="0.25">
      <c r="B49" s="1" t="s">
        <v>18</v>
      </c>
      <c r="F49" s="1">
        <v>4018</v>
      </c>
      <c r="G49" s="1">
        <v>4243</v>
      </c>
      <c r="R49" s="1" t="s">
        <v>34</v>
      </c>
      <c r="S49" s="1">
        <f>+S47/S48</f>
        <v>1100.4213608416264</v>
      </c>
    </row>
    <row r="50" spans="2:19" x14ac:dyDescent="0.25">
      <c r="B50" s="1" t="s">
        <v>19</v>
      </c>
      <c r="F50" s="1">
        <f>+F48-F49</f>
        <v>8931</v>
      </c>
      <c r="G50" s="1">
        <f>+G48-G49</f>
        <v>7364</v>
      </c>
    </row>
    <row r="51" spans="2:19" x14ac:dyDescent="0.25">
      <c r="S51" s="3"/>
    </row>
    <row r="52" spans="2:19" x14ac:dyDescent="0.25">
      <c r="B52" s="1" t="s">
        <v>20</v>
      </c>
      <c r="F52" s="1">
        <v>8163</v>
      </c>
      <c r="G52" s="1">
        <v>13382</v>
      </c>
      <c r="H52" s="1">
        <v>10709</v>
      </c>
    </row>
    <row r="53" spans="2:19" x14ac:dyDescent="0.25">
      <c r="B53" s="1" t="s">
        <v>21</v>
      </c>
      <c r="F53" s="1">
        <v>8190</v>
      </c>
      <c r="G53" s="1">
        <v>8128</v>
      </c>
      <c r="H53" s="1">
        <v>8474</v>
      </c>
    </row>
    <row r="54" spans="2:19" x14ac:dyDescent="0.25">
      <c r="B54" s="1" t="s">
        <v>22</v>
      </c>
      <c r="F54" s="1">
        <v>49223</v>
      </c>
      <c r="G54" s="1">
        <v>49100</v>
      </c>
    </row>
    <row r="55" spans="2:19" x14ac:dyDescent="0.25">
      <c r="B55" s="1" t="s">
        <v>23</v>
      </c>
      <c r="F55" s="1">
        <f>22865+5781</f>
        <v>28646</v>
      </c>
      <c r="G55" s="1">
        <f>30763+8338</f>
        <v>39101</v>
      </c>
      <c r="H55" s="1">
        <f>6284+30794</f>
        <v>37078</v>
      </c>
    </row>
    <row r="56" spans="2:19" x14ac:dyDescent="0.25">
      <c r="B56" s="1" t="s">
        <v>24</v>
      </c>
      <c r="F56" s="1">
        <f>+F52+F53+F54-F55</f>
        <v>36930</v>
      </c>
      <c r="G56" s="1">
        <f>+G52+G53+G54-G55</f>
        <v>31509</v>
      </c>
    </row>
    <row r="58" spans="2:19" x14ac:dyDescent="0.25">
      <c r="B58" s="1" t="s">
        <v>25</v>
      </c>
      <c r="F58" s="1">
        <v>22631</v>
      </c>
      <c r="G58" s="1">
        <v>30198</v>
      </c>
    </row>
    <row r="59" spans="2:19" x14ac:dyDescent="0.25">
      <c r="B59" s="1" t="s">
        <v>26</v>
      </c>
      <c r="F59" s="1">
        <v>44647</v>
      </c>
      <c r="G59" s="1">
        <v>47230</v>
      </c>
    </row>
    <row r="60" spans="2:19" x14ac:dyDescent="0.25">
      <c r="B60" s="1" t="s">
        <v>27</v>
      </c>
      <c r="F60" s="1">
        <f>+F58-F59</f>
        <v>-22016</v>
      </c>
      <c r="G60" s="1">
        <f>+G58-G59</f>
        <v>-17032</v>
      </c>
    </row>
    <row r="61" spans="2:19" x14ac:dyDescent="0.25">
      <c r="B61" s="1" t="s">
        <v>28</v>
      </c>
      <c r="G61" s="1">
        <f>+G60-F60</f>
        <v>4984</v>
      </c>
    </row>
    <row r="63" spans="2:19" x14ac:dyDescent="0.25">
      <c r="B63" s="1" t="s">
        <v>37</v>
      </c>
      <c r="F63" s="9">
        <f>+F39/F55</f>
        <v>3.7422327724638695E-2</v>
      </c>
      <c r="G63" s="9">
        <f>+G39/G55</f>
        <v>3.9359607171172095E-2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2024-11-27T12:01:22Z</dcterms:created>
  <dcterms:modified xsi:type="dcterms:W3CDTF">2026-02-05T20:51:41Z</dcterms:modified>
</cp:coreProperties>
</file>