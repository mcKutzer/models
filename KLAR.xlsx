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3C4C8250-C8F8-4065-B737-9DAFAB2D9FDF}" xr6:coauthVersionLast="47" xr6:coauthVersionMax="47" xr10:uidLastSave="{00000000-0000-0000-0000-000000000000}"/>
  <bookViews>
    <workbookView xWindow="14400" yWindow="0" windowWidth="14400" windowHeight="15600" xr2:uid="{AFB1D339-8AF0-4249-9495-AABCBBD92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G27" i="1"/>
  <c r="G26" i="1"/>
  <c r="F28" i="1"/>
  <c r="E28" i="1"/>
  <c r="F26" i="1"/>
  <c r="E26" i="1"/>
  <c r="F25" i="1"/>
  <c r="E25" i="1"/>
  <c r="G20" i="1"/>
  <c r="G19" i="1"/>
  <c r="G15" i="1"/>
  <c r="G13" i="1"/>
  <c r="G12" i="1"/>
  <c r="G10" i="1"/>
  <c r="G9" i="1"/>
  <c r="G8" i="1"/>
  <c r="G7" i="1"/>
  <c r="G5" i="1"/>
  <c r="G4" i="1"/>
  <c r="E19" i="1"/>
  <c r="F19" i="1"/>
  <c r="H6" i="1"/>
  <c r="H11" i="1" s="1"/>
  <c r="H14" i="1" s="1"/>
  <c r="H16" i="1" s="1"/>
  <c r="H18" i="1" s="1"/>
  <c r="Q2" i="1"/>
  <c r="P2" i="1"/>
  <c r="J2" i="1"/>
  <c r="K2" i="1" s="1"/>
  <c r="L2" i="1" s="1"/>
  <c r="M2" i="1" s="1"/>
  <c r="N2" i="1" s="1"/>
  <c r="O2" i="1" s="1"/>
  <c r="G2" i="1"/>
  <c r="H2" i="1" s="1"/>
  <c r="I2" i="1" s="1"/>
  <c r="F6" i="1"/>
  <c r="F11" i="1" s="1"/>
  <c r="F14" i="1" s="1"/>
  <c r="F16" i="1" s="1"/>
  <c r="F18" i="1" s="1"/>
  <c r="E6" i="1"/>
  <c r="E11" i="1" s="1"/>
  <c r="E14" i="1" s="1"/>
  <c r="E16" i="1" s="1"/>
  <c r="E18" i="1" s="1"/>
  <c r="F2" i="1"/>
  <c r="G6" i="1" l="1"/>
  <c r="G11" i="1" s="1"/>
  <c r="G14" i="1" s="1"/>
  <c r="G16" i="1" s="1"/>
  <c r="G18" i="1" s="1"/>
</calcChain>
</file>

<file path=xl/sharedStrings.xml><?xml version="1.0" encoding="utf-8"?>
<sst xmlns="http://schemas.openxmlformats.org/spreadsheetml/2006/main" count="22" uniqueCount="22">
  <si>
    <t>Interest Income</t>
  </si>
  <si>
    <t>Interest Expense</t>
  </si>
  <si>
    <t>Net Interest Income</t>
  </si>
  <si>
    <t>Commission Income</t>
  </si>
  <si>
    <t>Commission Expenses</t>
  </si>
  <si>
    <t>Other Income</t>
  </si>
  <si>
    <t>Total Profit</t>
  </si>
  <si>
    <t>G&amp;A</t>
  </si>
  <si>
    <t>D&amp;A</t>
  </si>
  <si>
    <t>Operating Income</t>
  </si>
  <si>
    <t>Credit Losses</t>
  </si>
  <si>
    <t>Pretax</t>
  </si>
  <si>
    <t>Taxes</t>
  </si>
  <si>
    <t>Net Income</t>
  </si>
  <si>
    <t>Finance cost</t>
  </si>
  <si>
    <t xml:space="preserve">Minority </t>
  </si>
  <si>
    <t>Shareholder</t>
  </si>
  <si>
    <t>CFFO</t>
  </si>
  <si>
    <t>CapEx</t>
  </si>
  <si>
    <t>FCF</t>
  </si>
  <si>
    <t>Adj. FCF</t>
  </si>
  <si>
    <t>Share Based Comps.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</si>
</sst>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F85E-75AE-4F11-8C00-F09136E389EE}">
  <dimension ref="B2:Q105"/>
  <sheetViews>
    <sheetView tabSelected="1" zoomScale="175" zoomScaleNormal="175" workbookViewId="0">
      <pane xSplit="2" ySplit="2" topLeftCell="D12" activePane="bottomRight" state="frozen"/>
      <selection pane="topRight" activeCell="C1" sqref="C1"/>
      <selection pane="bottomLeft" activeCell="A3" sqref="A3"/>
      <selection pane="bottomRight" activeCell="F17" sqref="F16:F17"/>
    </sheetView>
  </sheetViews>
  <sheetFormatPr defaultRowHeight="15" x14ac:dyDescent="0.25"/>
  <cols>
    <col min="1" max="1" width="2.85546875" customWidth="1"/>
    <col min="2" max="2" width="20.85546875" bestFit="1" customWidth="1"/>
  </cols>
  <sheetData>
    <row r="2" spans="2:17" x14ac:dyDescent="0.25">
      <c r="E2">
        <v>2023</v>
      </c>
      <c r="F2">
        <f>+E2+1</f>
        <v>2024</v>
      </c>
      <c r="G2">
        <f t="shared" ref="G2:Q2" si="0">+F2+1</f>
        <v>2025</v>
      </c>
      <c r="H2">
        <f t="shared" si="0"/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7" s="1" customFormat="1" x14ac:dyDescent="0.25"/>
    <row r="4" spans="2:17" s="1" customFormat="1" x14ac:dyDescent="0.25">
      <c r="B4" s="1" t="s">
        <v>0</v>
      </c>
      <c r="E4" s="1">
        <v>5725</v>
      </c>
      <c r="F4" s="1">
        <v>7153</v>
      </c>
      <c r="G4" s="1">
        <f>4067*2</f>
        <v>8134</v>
      </c>
    </row>
    <row r="5" spans="2:17" s="1" customFormat="1" x14ac:dyDescent="0.25">
      <c r="B5" s="1" t="s">
        <v>1</v>
      </c>
      <c r="E5" s="1">
        <v>2860</v>
      </c>
      <c r="F5" s="1">
        <v>4302</v>
      </c>
      <c r="G5" s="1">
        <f>1984*2</f>
        <v>3968</v>
      </c>
    </row>
    <row r="6" spans="2:17" s="2" customFormat="1" x14ac:dyDescent="0.25">
      <c r="B6" s="2" t="s">
        <v>2</v>
      </c>
      <c r="E6" s="2">
        <f>+E4-E5</f>
        <v>2865</v>
      </c>
      <c r="F6" s="2">
        <f t="shared" ref="F6:H6" si="1">+F4-F5</f>
        <v>2851</v>
      </c>
      <c r="G6" s="2">
        <f t="shared" si="1"/>
        <v>4166</v>
      </c>
      <c r="H6" s="2">
        <f t="shared" si="1"/>
        <v>0</v>
      </c>
    </row>
    <row r="7" spans="2:17" s="1" customFormat="1" x14ac:dyDescent="0.25">
      <c r="B7" s="1" t="s">
        <v>3</v>
      </c>
      <c r="E7" s="1">
        <v>16805</v>
      </c>
      <c r="F7" s="1">
        <v>20342</v>
      </c>
      <c r="G7" s="1">
        <f>10276*2</f>
        <v>20552</v>
      </c>
    </row>
    <row r="8" spans="2:17" s="1" customFormat="1" x14ac:dyDescent="0.25">
      <c r="B8" s="1" t="s">
        <v>4</v>
      </c>
      <c r="E8" s="1">
        <v>862</v>
      </c>
      <c r="F8" s="1">
        <v>1202</v>
      </c>
      <c r="G8" s="1">
        <f>641*2</f>
        <v>1282</v>
      </c>
    </row>
    <row r="9" spans="2:17" s="1" customFormat="1" x14ac:dyDescent="0.25">
      <c r="B9" s="1" t="s">
        <v>14</v>
      </c>
      <c r="E9" s="1">
        <v>150</v>
      </c>
      <c r="F9" s="1">
        <v>773</v>
      </c>
      <c r="G9" s="1">
        <f>706*2</f>
        <v>1412</v>
      </c>
    </row>
    <row r="10" spans="2:17" s="1" customFormat="1" x14ac:dyDescent="0.25">
      <c r="B10" s="1" t="s">
        <v>5</v>
      </c>
      <c r="E10" s="1">
        <v>1971</v>
      </c>
      <c r="F10" s="1">
        <v>4444</v>
      </c>
      <c r="G10" s="1">
        <f>1300*2</f>
        <v>2600</v>
      </c>
    </row>
    <row r="11" spans="2:17" s="2" customFormat="1" x14ac:dyDescent="0.25">
      <c r="B11" s="2" t="s">
        <v>6</v>
      </c>
      <c r="E11" s="2">
        <f>+E6+E7-E8-E9+E10</f>
        <v>20629</v>
      </c>
      <c r="F11" s="2">
        <f t="shared" ref="F11:H11" si="2">+F6+F7-F8-F9+F10</f>
        <v>25662</v>
      </c>
      <c r="G11" s="2">
        <f t="shared" si="2"/>
        <v>24624</v>
      </c>
      <c r="H11" s="2">
        <f t="shared" si="2"/>
        <v>0</v>
      </c>
    </row>
    <row r="12" spans="2:17" s="1" customFormat="1" x14ac:dyDescent="0.25">
      <c r="B12" s="1" t="s">
        <v>7</v>
      </c>
      <c r="E12" s="1">
        <v>17409</v>
      </c>
      <c r="F12" s="1">
        <v>17848</v>
      </c>
      <c r="G12" s="1">
        <f>9444*2</f>
        <v>18888</v>
      </c>
    </row>
    <row r="13" spans="2:17" s="1" customFormat="1" x14ac:dyDescent="0.25">
      <c r="B13" s="1" t="s">
        <v>8</v>
      </c>
      <c r="E13" s="1">
        <v>2392</v>
      </c>
      <c r="F13" s="1">
        <v>1996</v>
      </c>
      <c r="G13" s="1">
        <f>764*2</f>
        <v>1528</v>
      </c>
    </row>
    <row r="14" spans="2:17" s="1" customFormat="1" x14ac:dyDescent="0.25">
      <c r="B14" s="1" t="s">
        <v>9</v>
      </c>
      <c r="E14" s="1">
        <f>+E11-E12-E13</f>
        <v>828</v>
      </c>
      <c r="F14" s="1">
        <f t="shared" ref="F14:H14" si="3">+F11-F12-F13</f>
        <v>5818</v>
      </c>
      <c r="G14" s="1">
        <f t="shared" si="3"/>
        <v>4208</v>
      </c>
      <c r="H14" s="1">
        <f t="shared" si="3"/>
        <v>0</v>
      </c>
    </row>
    <row r="15" spans="2:17" s="1" customFormat="1" x14ac:dyDescent="0.25">
      <c r="B15" s="1" t="s">
        <v>10</v>
      </c>
      <c r="E15" s="1">
        <v>4032</v>
      </c>
      <c r="F15" s="1">
        <v>5402</v>
      </c>
      <c r="G15" s="1">
        <f>3243*2</f>
        <v>6486</v>
      </c>
    </row>
    <row r="16" spans="2:17" s="1" customFormat="1" x14ac:dyDescent="0.25">
      <c r="B16" s="1" t="s">
        <v>11</v>
      </c>
      <c r="E16" s="1">
        <f>+E14-E15</f>
        <v>-3204</v>
      </c>
      <c r="F16" s="1">
        <f t="shared" ref="F16:H16" si="4">+F14-F15</f>
        <v>416</v>
      </c>
      <c r="G16" s="1">
        <f t="shared" si="4"/>
        <v>-2278</v>
      </c>
      <c r="H16" s="1">
        <f t="shared" si="4"/>
        <v>0</v>
      </c>
    </row>
    <row r="17" spans="2:8" s="1" customFormat="1" x14ac:dyDescent="0.25">
      <c r="B17" s="1" t="s">
        <v>12</v>
      </c>
      <c r="E17" s="1">
        <v>665</v>
      </c>
      <c r="F17" s="1">
        <v>143</v>
      </c>
      <c r="G17" s="1">
        <v>144</v>
      </c>
    </row>
    <row r="18" spans="2:8" s="1" customFormat="1" x14ac:dyDescent="0.25">
      <c r="B18" s="1" t="s">
        <v>13</v>
      </c>
      <c r="E18" s="1">
        <f>+E16-E17</f>
        <v>-3869</v>
      </c>
      <c r="F18" s="1">
        <f t="shared" ref="F18:H18" si="5">+F16-F17</f>
        <v>273</v>
      </c>
      <c r="G18" s="1">
        <f t="shared" si="5"/>
        <v>-2422</v>
      </c>
      <c r="H18" s="1">
        <f t="shared" si="5"/>
        <v>0</v>
      </c>
    </row>
    <row r="19" spans="2:8" s="1" customFormat="1" x14ac:dyDescent="0.25">
      <c r="B19" s="1" t="s">
        <v>15</v>
      </c>
      <c r="E19" s="1">
        <f>-3+48</f>
        <v>45</v>
      </c>
      <c r="F19" s="1">
        <f>30+165</f>
        <v>195</v>
      </c>
      <c r="G19" s="1">
        <f>3+142</f>
        <v>145</v>
      </c>
    </row>
    <row r="20" spans="2:8" s="1" customFormat="1" x14ac:dyDescent="0.25">
      <c r="B20" s="1" t="s">
        <v>16</v>
      </c>
      <c r="E20" s="1">
        <v>-2584</v>
      </c>
      <c r="F20" s="1">
        <v>78</v>
      </c>
      <c r="G20" s="1">
        <f>+G18-G19</f>
        <v>-2567</v>
      </c>
    </row>
    <row r="21" spans="2:8" s="1" customFormat="1" x14ac:dyDescent="0.25"/>
    <row r="22" spans="2:8" s="1" customFormat="1" x14ac:dyDescent="0.25"/>
    <row r="23" spans="2:8" s="1" customFormat="1" x14ac:dyDescent="0.25"/>
    <row r="24" spans="2:8" s="1" customFormat="1" x14ac:dyDescent="0.25">
      <c r="B24" s="1" t="s">
        <v>17</v>
      </c>
      <c r="E24" s="1">
        <v>8550</v>
      </c>
      <c r="F24" s="1">
        <v>5700</v>
      </c>
      <c r="G24" s="1">
        <v>12664</v>
      </c>
    </row>
    <row r="25" spans="2:8" s="1" customFormat="1" x14ac:dyDescent="0.25">
      <c r="B25" s="1" t="s">
        <v>18</v>
      </c>
      <c r="E25" s="1">
        <f>890+7</f>
        <v>897</v>
      </c>
      <c r="F25" s="1">
        <f>467+10</f>
        <v>477</v>
      </c>
      <c r="G25" s="1">
        <v>300</v>
      </c>
    </row>
    <row r="26" spans="2:8" s="1" customFormat="1" x14ac:dyDescent="0.25">
      <c r="B26" s="1" t="s">
        <v>19</v>
      </c>
      <c r="E26" s="1">
        <f>+E24-E25</f>
        <v>7653</v>
      </c>
      <c r="F26" s="1">
        <f>+F24-F25</f>
        <v>5223</v>
      </c>
      <c r="G26" s="1">
        <f>+G24-G25</f>
        <v>12364</v>
      </c>
    </row>
    <row r="27" spans="2:8" s="1" customFormat="1" x14ac:dyDescent="0.25">
      <c r="B27" s="1" t="s">
        <v>21</v>
      </c>
      <c r="E27" s="1">
        <v>457</v>
      </c>
      <c r="F27" s="1">
        <v>901</v>
      </c>
      <c r="G27" s="1">
        <f>797*2</f>
        <v>1594</v>
      </c>
    </row>
    <row r="28" spans="2:8" s="1" customFormat="1" x14ac:dyDescent="0.25">
      <c r="B28" s="1" t="s">
        <v>20</v>
      </c>
      <c r="E28" s="1">
        <f>+E26-E27</f>
        <v>7196</v>
      </c>
      <c r="F28" s="1">
        <f>+F26-F27</f>
        <v>4322</v>
      </c>
      <c r="G28" s="1">
        <f>+G26-G27</f>
        <v>10770</v>
      </c>
    </row>
    <row r="29" spans="2:8" s="1" customFormat="1" x14ac:dyDescent="0.25"/>
    <row r="30" spans="2:8" s="1" customFormat="1" x14ac:dyDescent="0.25"/>
    <row r="31" spans="2:8" s="1" customFormat="1" x14ac:dyDescent="0.25"/>
    <row r="32" spans="2:8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2026-01-18T20:38:19Z</dcterms:created>
  <dcterms:modified xsi:type="dcterms:W3CDTF">2026-01-18T21:51:02Z</dcterms:modified>
</cp:coreProperties>
</file>