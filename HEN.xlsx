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E58E9EB4-AFEA-40AA-9E49-557183022281}" xr6:coauthVersionLast="47" xr6:coauthVersionMax="47" xr10:uidLastSave="{00000000-0000-0000-0000-000000000000}"/>
  <bookViews>
    <workbookView xWindow="-120" yWindow="-120" windowWidth="29040" windowHeight="15840" tabRatio="916" firstSheet="1" activeTab="1" xr2:uid="{667A309B-7831-4FE3-A70F-307A84044293}"/>
  </bookViews>
  <sheets>
    <sheet name="Sheet1" sheetId="1" r:id="rId1"/>
    <sheet name="Sheet2" sheetId="2" r:id="rId2"/>
  </sheets>
  <definedNames>
    <definedName name="MV">Sheet2!$AB$22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8" i="2" l="1"/>
  <c r="AB27" i="2"/>
  <c r="Q25" i="2"/>
  <c r="R25" i="2"/>
  <c r="S25" i="2"/>
  <c r="T25" i="2"/>
  <c r="U25" i="2"/>
  <c r="V25" i="2"/>
  <c r="W25" i="2"/>
  <c r="X25" i="2"/>
  <c r="Y25" i="2"/>
  <c r="AB25" i="2"/>
  <c r="AB26" i="2" s="1"/>
  <c r="U8" i="2"/>
  <c r="V8" i="2" s="1"/>
  <c r="W8" i="2" s="1"/>
  <c r="X8" i="2" s="1"/>
  <c r="Y8" i="2" s="1"/>
  <c r="T8" i="2"/>
  <c r="S8" i="2"/>
  <c r="R8" i="2"/>
  <c r="S6" i="2"/>
  <c r="S7" i="2"/>
  <c r="Q8" i="2"/>
  <c r="R6" i="2"/>
  <c r="R15" i="2"/>
  <c r="S15" i="2" s="1"/>
  <c r="T15" i="2" s="1"/>
  <c r="U15" i="2" s="1"/>
  <c r="V15" i="2" s="1"/>
  <c r="W15" i="2" s="1"/>
  <c r="X15" i="2" s="1"/>
  <c r="Y15" i="2" s="1"/>
  <c r="Q15" i="2"/>
  <c r="R12" i="2"/>
  <c r="S12" i="2"/>
  <c r="T12" i="2" s="1"/>
  <c r="U12" i="2" s="1"/>
  <c r="V12" i="2" s="1"/>
  <c r="W12" i="2" s="1"/>
  <c r="X12" i="2" s="1"/>
  <c r="Y12" i="2" s="1"/>
  <c r="Q12" i="2"/>
  <c r="S11" i="2"/>
  <c r="T11" i="2" s="1"/>
  <c r="U11" i="2" s="1"/>
  <c r="V11" i="2" s="1"/>
  <c r="W11" i="2" s="1"/>
  <c r="X11" i="2" s="1"/>
  <c r="Y11" i="2" s="1"/>
  <c r="R11" i="2"/>
  <c r="Q11" i="2"/>
  <c r="R10" i="2"/>
  <c r="S10" i="2" s="1"/>
  <c r="T10" i="2" s="1"/>
  <c r="U10" i="2" s="1"/>
  <c r="V10" i="2" s="1"/>
  <c r="W10" i="2" s="1"/>
  <c r="X10" i="2" s="1"/>
  <c r="Y10" i="2" s="1"/>
  <c r="Q10" i="2"/>
  <c r="R9" i="2"/>
  <c r="S9" i="2" s="1"/>
  <c r="T9" i="2" s="1"/>
  <c r="U9" i="2" s="1"/>
  <c r="V9" i="2" s="1"/>
  <c r="W9" i="2" s="1"/>
  <c r="X9" i="2" s="1"/>
  <c r="Y9" i="2" s="1"/>
  <c r="Q9" i="2"/>
  <c r="Q6" i="2"/>
  <c r="Q7" i="2" s="1"/>
  <c r="Q22" i="2"/>
  <c r="R22" i="2"/>
  <c r="S22" i="2"/>
  <c r="T22" i="2"/>
  <c r="U22" i="2"/>
  <c r="V22" i="2"/>
  <c r="W22" i="2"/>
  <c r="X22" i="2"/>
  <c r="Y22" i="2"/>
  <c r="S5" i="2"/>
  <c r="R5" i="2"/>
  <c r="Q5" i="2"/>
  <c r="P21" i="2"/>
  <c r="O21" i="2"/>
  <c r="P22" i="2"/>
  <c r="P20" i="2"/>
  <c r="O20" i="2"/>
  <c r="P25" i="2"/>
  <c r="O25" i="2"/>
  <c r="P13" i="2"/>
  <c r="O13" i="2"/>
  <c r="P7" i="2"/>
  <c r="O7" i="2"/>
  <c r="D7" i="2"/>
  <c r="E7" i="2"/>
  <c r="E14" i="2" s="1"/>
  <c r="E16" i="2" s="1"/>
  <c r="E18" i="2" s="1"/>
  <c r="F7" i="2"/>
  <c r="F14" i="2" s="1"/>
  <c r="F16" i="2" s="1"/>
  <c r="F18" i="2" s="1"/>
  <c r="G7" i="2"/>
  <c r="H7" i="2"/>
  <c r="I7" i="2"/>
  <c r="I14" i="2" s="1"/>
  <c r="I16" i="2" s="1"/>
  <c r="I18" i="2" s="1"/>
  <c r="J7" i="2"/>
  <c r="D13" i="2"/>
  <c r="E13" i="2"/>
  <c r="F13" i="2"/>
  <c r="G13" i="2"/>
  <c r="G14" i="2" s="1"/>
  <c r="G16" i="2" s="1"/>
  <c r="G18" i="2" s="1"/>
  <c r="H13" i="2"/>
  <c r="H14" i="2" s="1"/>
  <c r="H16" i="2" s="1"/>
  <c r="H18" i="2" s="1"/>
  <c r="I13" i="2"/>
  <c r="J13" i="2"/>
  <c r="J14" i="2" s="1"/>
  <c r="J16" i="2" s="1"/>
  <c r="J18" i="2" s="1"/>
  <c r="D14" i="2"/>
  <c r="D16" i="2" s="1"/>
  <c r="D18" i="2" s="1"/>
  <c r="C18" i="2"/>
  <c r="C16" i="2"/>
  <c r="C14" i="2"/>
  <c r="C13" i="2"/>
  <c r="C7" i="2"/>
  <c r="D8" i="1"/>
  <c r="D7" i="1"/>
  <c r="D6" i="1"/>
  <c r="T6" i="2" l="1"/>
  <c r="R7" i="2"/>
  <c r="R20" i="2" s="1"/>
  <c r="S20" i="2"/>
  <c r="R13" i="2"/>
  <c r="Q13" i="2"/>
  <c r="S13" i="2"/>
  <c r="S14" i="2" s="1"/>
  <c r="R14" i="2"/>
  <c r="Q14" i="2"/>
  <c r="Q16" i="2" s="1"/>
  <c r="Q20" i="2"/>
  <c r="T5" i="2"/>
  <c r="P14" i="2"/>
  <c r="P16" i="2" s="1"/>
  <c r="P18" i="2" s="1"/>
  <c r="O14" i="2"/>
  <c r="O16" i="2" s="1"/>
  <c r="O18" i="2" s="1"/>
  <c r="U6" i="2" l="1"/>
  <c r="V6" i="2" s="1"/>
  <c r="W6" i="2" s="1"/>
  <c r="X6" i="2" s="1"/>
  <c r="Y6" i="2" s="1"/>
  <c r="T7" i="2"/>
  <c r="T20" i="2" s="1"/>
  <c r="Q17" i="2"/>
  <c r="Q18" i="2" s="1"/>
  <c r="Q21" i="2"/>
  <c r="S16" i="2"/>
  <c r="S21" i="2"/>
  <c r="R16" i="2"/>
  <c r="R21" i="2"/>
  <c r="T13" i="2"/>
  <c r="T14" i="2" s="1"/>
  <c r="U5" i="2"/>
  <c r="U7" i="2"/>
  <c r="U20" i="2" s="1"/>
  <c r="V5" i="2"/>
  <c r="S17" i="2" l="1"/>
  <c r="S18" i="2" s="1"/>
  <c r="R17" i="2"/>
  <c r="R18" i="2" s="1"/>
  <c r="T16" i="2"/>
  <c r="T21" i="2"/>
  <c r="U13" i="2"/>
  <c r="U14" i="2" s="1"/>
  <c r="W5" i="2"/>
  <c r="V7" i="2"/>
  <c r="V20" i="2" s="1"/>
  <c r="T17" i="2" l="1"/>
  <c r="T18" i="2" s="1"/>
  <c r="U16" i="2"/>
  <c r="U21" i="2"/>
  <c r="V13" i="2"/>
  <c r="V14" i="2" s="1"/>
  <c r="X5" i="2"/>
  <c r="W7" i="2"/>
  <c r="W20" i="2" s="1"/>
  <c r="U17" i="2" l="1"/>
  <c r="U18" i="2" s="1"/>
  <c r="V16" i="2"/>
  <c r="V21" i="2"/>
  <c r="W13" i="2"/>
  <c r="W14" i="2" s="1"/>
  <c r="Y5" i="2"/>
  <c r="Y7" i="2" s="1"/>
  <c r="Y20" i="2" s="1"/>
  <c r="X7" i="2"/>
  <c r="X20" i="2" s="1"/>
  <c r="V17" i="2" l="1"/>
  <c r="V18" i="2" s="1"/>
  <c r="W16" i="2"/>
  <c r="W21" i="2"/>
  <c r="X13" i="2"/>
  <c r="X14" i="2" s="1"/>
  <c r="Y13" i="2"/>
  <c r="Y14" i="2" s="1"/>
  <c r="W17" i="2" l="1"/>
  <c r="W18" i="2" s="1"/>
  <c r="Y16" i="2"/>
  <c r="Y21" i="2"/>
  <c r="X16" i="2"/>
  <c r="X21" i="2"/>
  <c r="X17" i="2" l="1"/>
  <c r="X18" i="2" s="1"/>
  <c r="Y17" i="2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AB23" i="2" s="1"/>
</calcChain>
</file>

<file path=xl/sharedStrings.xml><?xml version="1.0" encoding="utf-8"?>
<sst xmlns="http://schemas.openxmlformats.org/spreadsheetml/2006/main" count="54" uniqueCount="52">
  <si>
    <t>Price</t>
  </si>
  <si>
    <t>Shares</t>
  </si>
  <si>
    <t>Cap</t>
  </si>
  <si>
    <t>Net Cash</t>
  </si>
  <si>
    <t>EV</t>
  </si>
  <si>
    <t>Revenue</t>
  </si>
  <si>
    <t>COGS</t>
  </si>
  <si>
    <t>Gross Profit</t>
  </si>
  <si>
    <t>Sales</t>
  </si>
  <si>
    <t>R&amp;D</t>
  </si>
  <si>
    <t>G&amp;A</t>
  </si>
  <si>
    <t>Other Income</t>
  </si>
  <si>
    <t>Other Expenses</t>
  </si>
  <si>
    <t>Operating Expense</t>
  </si>
  <si>
    <t>Operating Income</t>
  </si>
  <si>
    <t>Finance</t>
  </si>
  <si>
    <t>Pretax</t>
  </si>
  <si>
    <t>Taxes</t>
  </si>
  <si>
    <t>Net Income</t>
  </si>
  <si>
    <t>Q121</t>
  </si>
  <si>
    <t>Q221</t>
  </si>
  <si>
    <t>Q321</t>
  </si>
  <si>
    <t>Q421</t>
  </si>
  <si>
    <t>Q122</t>
  </si>
  <si>
    <t>Q222</t>
  </si>
  <si>
    <t>Q322</t>
  </si>
  <si>
    <t>Q422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</si>
  <si>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</si>
  <si>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</si>
  <si>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</si>
  <si>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</si>
  <si>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</si>
  <si>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</si>
  <si>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</si>
  <si>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</si>
  <si>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</si>
  <si>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</si>
  <si>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</si>
  <si>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Gross Margin</t>
  </si>
  <si>
    <t>Revenue Y/Y</t>
  </si>
  <si>
    <t>Dividends Paid</t>
  </si>
  <si>
    <t>Ratio</t>
  </si>
  <si>
    <t>Notes</t>
  </si>
  <si>
    <t>Clear Pricing Power -&gt; Manegment Jerks of to their Pricing power</t>
  </si>
  <si>
    <t>Operating Margin</t>
  </si>
  <si>
    <t>Discount</t>
  </si>
  <si>
    <t>Maturity</t>
  </si>
  <si>
    <t>NPV</t>
  </si>
  <si>
    <t>Value</t>
  </si>
  <si>
    <t>Yield</t>
  </si>
  <si>
    <t>Per Share</t>
  </si>
  <si>
    <t>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</si>
</sst>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%"/>
    <numFmt numFmtId="165" formatCode="_-[$€-C07]\ * #,##0.00_-;\-[$€-C07]\ * #,##0.00_-;_-[$€-C07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9" fontId="0" fillId="0" borderId="0" xfId="1" applyFont="1"/>
    <xf numFmtId="0" fontId="0" fillId="0" borderId="0" xfId="1" applyNumberFormat="1" applyFont="1"/>
    <xf numFmtId="8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E6DF-6903-416C-9FA7-68C7FFF8E9EB}">
  <dimension ref="C4:D13"/>
  <sheetViews>
    <sheetView workbookViewId="0">
      <selection activeCell="D6" sqref="D6"/>
    </sheetView>
  </sheetViews>
  <sheetFormatPr defaultRowHeight="15" x14ac:dyDescent="0.25"/>
  <sheetData>
    <row r="4" spans="3:4" x14ac:dyDescent="0.25">
      <c r="C4" t="s">
        <v>0</v>
      </c>
      <c r="D4">
        <v>63</v>
      </c>
    </row>
    <row r="5" spans="3:4" x14ac:dyDescent="0.25">
      <c r="C5" t="s">
        <v>1</v>
      </c>
      <c r="D5">
        <v>430.43</v>
      </c>
    </row>
    <row r="6" spans="3:4" x14ac:dyDescent="0.25">
      <c r="C6" t="s">
        <v>2</v>
      </c>
      <c r="D6">
        <f>+D4*D5</f>
        <v>27117.09</v>
      </c>
    </row>
    <row r="7" spans="3:4" x14ac:dyDescent="0.25">
      <c r="C7" t="s">
        <v>3</v>
      </c>
      <c r="D7">
        <f>2408-1756-1159</f>
        <v>-507</v>
      </c>
    </row>
    <row r="8" spans="3:4" x14ac:dyDescent="0.25">
      <c r="C8" t="s">
        <v>4</v>
      </c>
      <c r="D8">
        <f>+D6-D7</f>
        <v>27624.09</v>
      </c>
    </row>
    <row r="12" spans="3:4" x14ac:dyDescent="0.25">
      <c r="C12" t="s">
        <v>42</v>
      </c>
    </row>
    <row r="13" spans="3:4" x14ac:dyDescent="0.25">
      <c r="C1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6B81-052D-4E79-A120-A7CDD760D0DD}">
  <dimension ref="A1:DQ28"/>
  <sheetViews>
    <sheetView tabSelected="1" zoomScale="115" zoomScaleNormal="115" workbookViewId="0">
      <pane xSplit="2685" ySplit="690" topLeftCell="N4" activePane="bottomRight"/>
      <selection pane="topRight" activeCell="B1" sqref="B1"/>
      <selection pane="bottomLeft" activeCell="A26" sqref="A26"/>
      <selection pane="bottomRight" activeCell="AB24" sqref="AB24"/>
    </sheetView>
  </sheetViews>
  <sheetFormatPr defaultRowHeight="15" x14ac:dyDescent="0.25"/>
  <cols>
    <col min="1" max="1" width="18" bestFit="1" customWidth="1"/>
    <col min="2" max="2" width="4.140625" customWidth="1"/>
    <col min="28" max="28" width="11.5703125" bestFit="1" customWidth="1"/>
  </cols>
  <sheetData>
    <row r="1" spans="1:25" x14ac:dyDescent="0.25"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5" spans="1:25" s="1" customFormat="1" x14ac:dyDescent="0.25">
      <c r="A5" s="1" t="s">
        <v>5</v>
      </c>
      <c r="O5" s="1">
        <v>19250</v>
      </c>
      <c r="P5" s="1">
        <v>20066</v>
      </c>
      <c r="Q5" s="1">
        <f>+P5*1.03</f>
        <v>20667.98</v>
      </c>
      <c r="R5" s="1">
        <f>+Q5*1.02</f>
        <v>21081.339599999999</v>
      </c>
      <c r="S5" s="1">
        <f>+R5*1.02</f>
        <v>21502.966391999998</v>
      </c>
      <c r="T5" s="1">
        <f>+S5*1.02</f>
        <v>21933.02571984</v>
      </c>
      <c r="U5" s="1">
        <f t="shared" ref="U5:Y5" si="0">+T5*1.02</f>
        <v>22371.6862342368</v>
      </c>
      <c r="V5" s="1">
        <f t="shared" si="0"/>
        <v>22819.119958921536</v>
      </c>
      <c r="W5" s="1">
        <f t="shared" si="0"/>
        <v>23275.502358099966</v>
      </c>
      <c r="X5" s="1">
        <f t="shared" si="0"/>
        <v>23741.012405261965</v>
      </c>
      <c r="Y5" s="1">
        <f t="shared" si="0"/>
        <v>24215.832653367204</v>
      </c>
    </row>
    <row r="6" spans="1:25" s="1" customFormat="1" x14ac:dyDescent="0.25">
      <c r="A6" s="1" t="s">
        <v>6</v>
      </c>
      <c r="O6" s="1">
        <v>10378</v>
      </c>
      <c r="P6" s="1">
        <v>11092</v>
      </c>
      <c r="Q6" s="1">
        <f>+P6*1.06</f>
        <v>11757.52</v>
      </c>
      <c r="R6" s="1">
        <f>+Q6*1.03</f>
        <v>12110.2456</v>
      </c>
      <c r="S6" s="1">
        <f>+R6*1.018</f>
        <v>12328.2300208</v>
      </c>
      <c r="T6" s="1">
        <f t="shared" ref="T6:Y6" si="1">+S6*1.015</f>
        <v>12513.153471111998</v>
      </c>
      <c r="U6" s="1">
        <f t="shared" si="1"/>
        <v>12700.850773178678</v>
      </c>
      <c r="V6" s="1">
        <f t="shared" si="1"/>
        <v>12891.363534776356</v>
      </c>
      <c r="W6" s="1">
        <f t="shared" si="1"/>
        <v>13084.733987797999</v>
      </c>
      <c r="X6" s="1">
        <f t="shared" si="1"/>
        <v>13281.004997614968</v>
      </c>
      <c r="Y6" s="1">
        <f t="shared" si="1"/>
        <v>13480.22007257919</v>
      </c>
    </row>
    <row r="7" spans="1:25" s="1" customFormat="1" x14ac:dyDescent="0.25">
      <c r="A7" s="1" t="s">
        <v>7</v>
      </c>
      <c r="C7" s="1">
        <f>+C5-C6</f>
        <v>0</v>
      </c>
      <c r="D7" s="1">
        <f t="shared" ref="D7:J7" si="2">+D5-D6</f>
        <v>0</v>
      </c>
      <c r="E7" s="1">
        <f t="shared" si="2"/>
        <v>0</v>
      </c>
      <c r="F7" s="1">
        <f t="shared" si="2"/>
        <v>0</v>
      </c>
      <c r="G7" s="1">
        <f t="shared" si="2"/>
        <v>0</v>
      </c>
      <c r="H7" s="1">
        <f t="shared" si="2"/>
        <v>0</v>
      </c>
      <c r="I7" s="1">
        <f t="shared" si="2"/>
        <v>0</v>
      </c>
      <c r="J7" s="1">
        <f t="shared" si="2"/>
        <v>0</v>
      </c>
      <c r="O7" s="1">
        <f>+O5-O6</f>
        <v>8872</v>
      </c>
      <c r="P7" s="1">
        <f t="shared" ref="P7" si="3">+P5-P6</f>
        <v>8974</v>
      </c>
      <c r="Q7" s="1">
        <f t="shared" ref="Q7" si="4">+Q5-Q6</f>
        <v>8910.4599999999991</v>
      </c>
      <c r="R7" s="1">
        <f t="shared" ref="R7" si="5">+R5-R6</f>
        <v>8971.0939999999991</v>
      </c>
      <c r="S7" s="1">
        <f>+S5-S6</f>
        <v>9174.7363711999988</v>
      </c>
      <c r="T7" s="1">
        <f>+T5-T6</f>
        <v>9419.8722487280011</v>
      </c>
      <c r="U7" s="1">
        <f t="shared" ref="U7" si="6">+U5-U6</f>
        <v>9670.8354610581227</v>
      </c>
      <c r="V7" s="1">
        <f t="shared" ref="V7" si="7">+V5-V6</f>
        <v>9927.7564241451801</v>
      </c>
      <c r="W7" s="1">
        <f t="shared" ref="W7" si="8">+W5-W6</f>
        <v>10190.768370301967</v>
      </c>
      <c r="X7" s="1">
        <f t="shared" ref="X7" si="9">+X5-X6</f>
        <v>10460.007407646997</v>
      </c>
      <c r="Y7" s="1">
        <f t="shared" ref="Y7" si="10">+Y5-Y6</f>
        <v>10735.612580788014</v>
      </c>
    </row>
    <row r="8" spans="1:25" s="1" customFormat="1" x14ac:dyDescent="0.25">
      <c r="A8" s="1" t="s">
        <v>8</v>
      </c>
      <c r="O8" s="1">
        <v>5377</v>
      </c>
      <c r="P8" s="1">
        <v>5186</v>
      </c>
      <c r="Q8" s="1">
        <f>+P8*1.03</f>
        <v>5341.58</v>
      </c>
      <c r="R8" s="1">
        <f>+Q8*0.98</f>
        <v>5234.7483999999995</v>
      </c>
      <c r="S8" s="1">
        <f t="shared" ref="S8" si="11">+R8*0.98</f>
        <v>5130.0534319999997</v>
      </c>
      <c r="T8" s="1">
        <f>+S8*0.99</f>
        <v>5078.7528976799995</v>
      </c>
      <c r="U8" s="1">
        <f t="shared" ref="U8:Y8" si="12">+T8*0.99</f>
        <v>5027.9653687031996</v>
      </c>
      <c r="V8" s="1">
        <f t="shared" si="12"/>
        <v>4977.6857150161677</v>
      </c>
      <c r="W8" s="1">
        <f t="shared" si="12"/>
        <v>4927.9088578660057</v>
      </c>
      <c r="X8" s="1">
        <f t="shared" si="12"/>
        <v>4878.6297692873459</v>
      </c>
      <c r="Y8" s="1">
        <f t="shared" si="12"/>
        <v>4829.8434715944722</v>
      </c>
    </row>
    <row r="9" spans="1:25" s="1" customFormat="1" x14ac:dyDescent="0.25">
      <c r="A9" s="1" t="s">
        <v>9</v>
      </c>
      <c r="O9" s="1">
        <v>501</v>
      </c>
      <c r="P9" s="1">
        <v>727</v>
      </c>
      <c r="Q9" s="1">
        <f>+P9*1.02</f>
        <v>741.54</v>
      </c>
      <c r="R9" s="1">
        <f t="shared" ref="R9:Y9" si="13">+Q9*1.02</f>
        <v>756.37080000000003</v>
      </c>
      <c r="S9" s="1">
        <f t="shared" si="13"/>
        <v>771.49821600000007</v>
      </c>
      <c r="T9" s="1">
        <f t="shared" si="13"/>
        <v>786.92818032000014</v>
      </c>
      <c r="U9" s="1">
        <f t="shared" si="13"/>
        <v>802.66674392640016</v>
      </c>
      <c r="V9" s="1">
        <f t="shared" si="13"/>
        <v>818.72007880492822</v>
      </c>
      <c r="W9" s="1">
        <f t="shared" si="13"/>
        <v>835.09448038102676</v>
      </c>
      <c r="X9" s="1">
        <f t="shared" si="13"/>
        <v>851.79636998864726</v>
      </c>
      <c r="Y9" s="1">
        <f t="shared" si="13"/>
        <v>868.83229738842022</v>
      </c>
    </row>
    <row r="10" spans="1:25" s="1" customFormat="1" x14ac:dyDescent="0.25">
      <c r="A10" s="1" t="s">
        <v>10</v>
      </c>
      <c r="O10" s="1">
        <v>950</v>
      </c>
      <c r="P10" s="1">
        <v>955</v>
      </c>
      <c r="Q10" s="1">
        <f>+P10*1.01</f>
        <v>964.55</v>
      </c>
      <c r="R10" s="1">
        <f t="shared" ref="R10:Y10" si="14">+Q10*1.01</f>
        <v>974.19549999999992</v>
      </c>
      <c r="S10" s="1">
        <f t="shared" si="14"/>
        <v>983.93745499999989</v>
      </c>
      <c r="T10" s="1">
        <f t="shared" si="14"/>
        <v>993.77682954999989</v>
      </c>
      <c r="U10" s="1">
        <f t="shared" si="14"/>
        <v>1003.7145978455</v>
      </c>
      <c r="V10" s="1">
        <f t="shared" si="14"/>
        <v>1013.7517438239549</v>
      </c>
      <c r="W10" s="1">
        <f t="shared" si="14"/>
        <v>1023.8892612621945</v>
      </c>
      <c r="X10" s="1">
        <f t="shared" si="14"/>
        <v>1034.1281538748165</v>
      </c>
      <c r="Y10" s="1">
        <f t="shared" si="14"/>
        <v>1044.4694354135647</v>
      </c>
    </row>
    <row r="11" spans="1:25" s="1" customFormat="1" x14ac:dyDescent="0.25">
      <c r="A11" s="1" t="s">
        <v>11</v>
      </c>
      <c r="O11" s="1">
        <v>115</v>
      </c>
      <c r="P11" s="1">
        <v>210</v>
      </c>
      <c r="Q11" s="1">
        <f>+P11*0.9</f>
        <v>189</v>
      </c>
      <c r="R11" s="1">
        <f>+Q11*1.03</f>
        <v>194.67000000000002</v>
      </c>
      <c r="S11" s="1">
        <f t="shared" ref="S11:Y11" si="15">+R11*1.03</f>
        <v>200.51010000000002</v>
      </c>
      <c r="T11" s="1">
        <f t="shared" si="15"/>
        <v>206.52540300000004</v>
      </c>
      <c r="U11" s="1">
        <f t="shared" si="15"/>
        <v>212.72116509000006</v>
      </c>
      <c r="V11" s="1">
        <f t="shared" si="15"/>
        <v>219.10280004270007</v>
      </c>
      <c r="W11" s="1">
        <f t="shared" si="15"/>
        <v>225.67588404398109</v>
      </c>
      <c r="X11" s="1">
        <f t="shared" si="15"/>
        <v>232.44616056530052</v>
      </c>
      <c r="Y11" s="1">
        <f t="shared" si="15"/>
        <v>239.41954538225954</v>
      </c>
    </row>
    <row r="12" spans="1:25" s="1" customFormat="1" x14ac:dyDescent="0.25">
      <c r="A12" s="1" t="s">
        <v>12</v>
      </c>
      <c r="O12" s="1">
        <v>139</v>
      </c>
      <c r="P12" s="1">
        <v>103</v>
      </c>
      <c r="Q12" s="1">
        <f>+P12*1.03</f>
        <v>106.09</v>
      </c>
      <c r="R12" s="1">
        <f t="shared" ref="R12:Y12" si="16">+Q12*1.03</f>
        <v>109.2727</v>
      </c>
      <c r="S12" s="1">
        <f t="shared" si="16"/>
        <v>112.550881</v>
      </c>
      <c r="T12" s="1">
        <f t="shared" si="16"/>
        <v>115.92740743</v>
      </c>
      <c r="U12" s="1">
        <f t="shared" si="16"/>
        <v>119.4052296529</v>
      </c>
      <c r="V12" s="1">
        <f t="shared" si="16"/>
        <v>122.987386542487</v>
      </c>
      <c r="W12" s="1">
        <f t="shared" si="16"/>
        <v>126.67700813876162</v>
      </c>
      <c r="X12" s="1">
        <f t="shared" si="16"/>
        <v>130.47731838292447</v>
      </c>
      <c r="Y12" s="1">
        <f t="shared" si="16"/>
        <v>134.39163793441222</v>
      </c>
    </row>
    <row r="13" spans="1:25" s="1" customFormat="1" x14ac:dyDescent="0.25">
      <c r="A13" s="1" t="s">
        <v>13</v>
      </c>
      <c r="C13" s="1">
        <f>+C8+C9+C10-C11+C12</f>
        <v>0</v>
      </c>
      <c r="D13" s="1">
        <f t="shared" ref="D13:J13" si="17">+D8+D9+D10-D11+D12</f>
        <v>0</v>
      </c>
      <c r="E13" s="1">
        <f t="shared" si="17"/>
        <v>0</v>
      </c>
      <c r="F13" s="1">
        <f t="shared" si="17"/>
        <v>0</v>
      </c>
      <c r="G13" s="1">
        <f t="shared" si="17"/>
        <v>0</v>
      </c>
      <c r="H13" s="1">
        <f t="shared" si="17"/>
        <v>0</v>
      </c>
      <c r="I13" s="1">
        <f t="shared" si="17"/>
        <v>0</v>
      </c>
      <c r="J13" s="1">
        <f t="shared" si="17"/>
        <v>0</v>
      </c>
      <c r="O13" s="1">
        <f>+O8+O9+O10-O11+O12</f>
        <v>6852</v>
      </c>
      <c r="P13" s="1">
        <f t="shared" ref="P13" si="18">+P8+P9+P10-P11+P12</f>
        <v>6761</v>
      </c>
      <c r="Q13" s="1">
        <f t="shared" ref="Q13" si="19">+Q8+Q9+Q10-Q11+Q12</f>
        <v>6964.76</v>
      </c>
      <c r="R13" s="1">
        <f t="shared" ref="R13" si="20">+R8+R9+R10-R11+R12</f>
        <v>6879.9173999999994</v>
      </c>
      <c r="S13" s="1">
        <f t="shared" ref="S13" si="21">+S8+S9+S10-S11+S12</f>
        <v>6797.5298839999996</v>
      </c>
      <c r="T13" s="1">
        <f t="shared" ref="T13" si="22">+T8+T9+T10-T11+T12</f>
        <v>6768.8599119800001</v>
      </c>
      <c r="U13" s="1">
        <f t="shared" ref="U13" si="23">+U8+U9+U10-U11+U12</f>
        <v>6741.0307750379998</v>
      </c>
      <c r="V13" s="1">
        <f t="shared" ref="V13" si="24">+V8+V9+V10-V11+V12</f>
        <v>6714.0421241448375</v>
      </c>
      <c r="W13" s="1">
        <f t="shared" ref="W13" si="25">+W8+W9+W10-W11+W12</f>
        <v>6687.8937236040083</v>
      </c>
      <c r="X13" s="1">
        <f t="shared" ref="X13" si="26">+X8+X9+X10-X11+X12</f>
        <v>6662.5854509684332</v>
      </c>
      <c r="Y13" s="1">
        <f t="shared" ref="Y13" si="27">+Y8+Y9+Y10-Y11+Y12</f>
        <v>6638.1172969486097</v>
      </c>
    </row>
    <row r="14" spans="1:25" s="1" customFormat="1" x14ac:dyDescent="0.25">
      <c r="A14" s="1" t="s">
        <v>14</v>
      </c>
      <c r="C14" s="1">
        <f>+C7-C13</f>
        <v>0</v>
      </c>
      <c r="D14" s="1">
        <f t="shared" ref="D14:J14" si="28">+D7-D13</f>
        <v>0</v>
      </c>
      <c r="E14" s="1">
        <f t="shared" si="28"/>
        <v>0</v>
      </c>
      <c r="F14" s="1">
        <f t="shared" si="28"/>
        <v>0</v>
      </c>
      <c r="G14" s="1">
        <f t="shared" si="28"/>
        <v>0</v>
      </c>
      <c r="H14" s="1">
        <f t="shared" si="28"/>
        <v>0</v>
      </c>
      <c r="I14" s="1">
        <f t="shared" si="28"/>
        <v>0</v>
      </c>
      <c r="J14" s="1">
        <f t="shared" si="28"/>
        <v>0</v>
      </c>
      <c r="O14" s="1">
        <f>+O7-O13</f>
        <v>2020</v>
      </c>
      <c r="P14" s="1">
        <f t="shared" ref="P14" si="29">+P7-P13</f>
        <v>2213</v>
      </c>
      <c r="Q14" s="1">
        <f t="shared" ref="Q14" si="30">+Q7-Q13</f>
        <v>1945.6999999999989</v>
      </c>
      <c r="R14" s="1">
        <f t="shared" ref="R14" si="31">+R7-R13</f>
        <v>2091.1765999999998</v>
      </c>
      <c r="S14" s="1">
        <f t="shared" ref="S14" si="32">+S7-S13</f>
        <v>2377.2064871999992</v>
      </c>
      <c r="T14" s="1">
        <f t="shared" ref="T14" si="33">+T7-T13</f>
        <v>2651.012336748001</v>
      </c>
      <c r="U14" s="1">
        <f t="shared" ref="U14" si="34">+U7-U13</f>
        <v>2929.804686020123</v>
      </c>
      <c r="V14" s="1">
        <f t="shared" ref="V14" si="35">+V7-V13</f>
        <v>3213.7143000003425</v>
      </c>
      <c r="W14" s="1">
        <f t="shared" ref="W14" si="36">+W7-W13</f>
        <v>3502.8746466979583</v>
      </c>
      <c r="X14" s="1">
        <f t="shared" ref="X14" si="37">+X7-X13</f>
        <v>3797.4219566785641</v>
      </c>
      <c r="Y14" s="1">
        <f t="shared" ref="Y14" si="38">+Y7-Y13</f>
        <v>4097.4952838394047</v>
      </c>
    </row>
    <row r="15" spans="1:25" s="1" customFormat="1" x14ac:dyDescent="0.25">
      <c r="A15" s="1" t="s">
        <v>15</v>
      </c>
      <c r="O15" s="1">
        <v>-94</v>
      </c>
      <c r="P15" s="1">
        <v>-64</v>
      </c>
      <c r="Q15" s="1">
        <f>+P15*0.95</f>
        <v>-60.8</v>
      </c>
      <c r="R15" s="1">
        <f t="shared" ref="R15:Y15" si="39">+Q15*0.95</f>
        <v>-57.76</v>
      </c>
      <c r="S15" s="1">
        <f t="shared" si="39"/>
        <v>-54.871999999999993</v>
      </c>
      <c r="T15" s="1">
        <f t="shared" si="39"/>
        <v>-52.128399999999992</v>
      </c>
      <c r="U15" s="1">
        <f t="shared" si="39"/>
        <v>-49.521979999999992</v>
      </c>
      <c r="V15" s="1">
        <f t="shared" si="39"/>
        <v>-47.045880999999987</v>
      </c>
      <c r="W15" s="1">
        <f t="shared" si="39"/>
        <v>-44.693586949999982</v>
      </c>
      <c r="X15" s="1">
        <f t="shared" si="39"/>
        <v>-42.458907602499984</v>
      </c>
      <c r="Y15" s="1">
        <f t="shared" si="39"/>
        <v>-40.335962222374981</v>
      </c>
    </row>
    <row r="16" spans="1:25" s="1" customFormat="1" x14ac:dyDescent="0.25">
      <c r="A16" s="1" t="s">
        <v>16</v>
      </c>
      <c r="C16" s="1">
        <f>+C14+C15</f>
        <v>0</v>
      </c>
      <c r="D16" s="1">
        <f t="shared" ref="D16:J16" si="40">+D14+D15</f>
        <v>0</v>
      </c>
      <c r="E16" s="1">
        <f t="shared" si="40"/>
        <v>0</v>
      </c>
      <c r="F16" s="1">
        <f t="shared" si="40"/>
        <v>0</v>
      </c>
      <c r="G16" s="1">
        <f t="shared" si="40"/>
        <v>0</v>
      </c>
      <c r="H16" s="1">
        <f t="shared" si="40"/>
        <v>0</v>
      </c>
      <c r="I16" s="1">
        <f t="shared" si="40"/>
        <v>0</v>
      </c>
      <c r="J16" s="1">
        <f t="shared" si="40"/>
        <v>0</v>
      </c>
      <c r="O16" s="1">
        <f>+O14+O15</f>
        <v>1926</v>
      </c>
      <c r="P16" s="1">
        <f t="shared" ref="P16" si="41">+P14+P15</f>
        <v>2149</v>
      </c>
      <c r="Q16" s="1">
        <f t="shared" ref="Q16" si="42">+Q14+Q15</f>
        <v>1884.899999999999</v>
      </c>
      <c r="R16" s="1">
        <f t="shared" ref="R16" si="43">+R14+R15</f>
        <v>2033.4165999999998</v>
      </c>
      <c r="S16" s="1">
        <f t="shared" ref="S16" si="44">+S14+S15</f>
        <v>2322.3344871999993</v>
      </c>
      <c r="T16" s="1">
        <f t="shared" ref="T16" si="45">+T14+T15</f>
        <v>2598.8839367480009</v>
      </c>
      <c r="U16" s="1">
        <f t="shared" ref="U16" si="46">+U14+U15</f>
        <v>2880.282706020123</v>
      </c>
      <c r="V16" s="1">
        <f t="shared" ref="V16" si="47">+V14+V15</f>
        <v>3166.6684190003425</v>
      </c>
      <c r="W16" s="1">
        <f t="shared" ref="W16" si="48">+W14+W15</f>
        <v>3458.1810597479584</v>
      </c>
      <c r="X16" s="1">
        <f t="shared" ref="X16" si="49">+X14+X15</f>
        <v>3754.9630490760642</v>
      </c>
      <c r="Y16" s="1">
        <f t="shared" ref="Y16" si="50">+Y14+Y15</f>
        <v>4057.1593216170295</v>
      </c>
    </row>
    <row r="17" spans="1:121" s="1" customFormat="1" x14ac:dyDescent="0.25">
      <c r="A17" s="1" t="s">
        <v>17</v>
      </c>
      <c r="O17" s="1">
        <v>501</v>
      </c>
      <c r="P17" s="1">
        <v>519</v>
      </c>
      <c r="Q17" s="1">
        <f>+Q16*0.25</f>
        <v>471.22499999999974</v>
      </c>
      <c r="R17" s="1">
        <f t="shared" ref="R17:Y17" si="51">+R16*0.25</f>
        <v>508.35414999999995</v>
      </c>
      <c r="S17" s="1">
        <f t="shared" si="51"/>
        <v>580.58362179999983</v>
      </c>
      <c r="T17" s="1">
        <f t="shared" si="51"/>
        <v>649.72098418700023</v>
      </c>
      <c r="U17" s="1">
        <f t="shared" si="51"/>
        <v>720.07067650503075</v>
      </c>
      <c r="V17" s="1">
        <f t="shared" si="51"/>
        <v>791.66710475008563</v>
      </c>
      <c r="W17" s="1">
        <f t="shared" si="51"/>
        <v>864.54526493698961</v>
      </c>
      <c r="X17" s="1">
        <f t="shared" si="51"/>
        <v>938.74076226901605</v>
      </c>
      <c r="Y17" s="1">
        <f t="shared" si="51"/>
        <v>1014.2898304042574</v>
      </c>
    </row>
    <row r="18" spans="1:121" s="1" customFormat="1" x14ac:dyDescent="0.25">
      <c r="A18" s="1" t="s">
        <v>18</v>
      </c>
      <c r="C18" s="1">
        <f>+C16-C17</f>
        <v>0</v>
      </c>
      <c r="D18" s="1">
        <f t="shared" ref="D18:J18" si="52">+D16-D17</f>
        <v>0</v>
      </c>
      <c r="E18" s="1">
        <f t="shared" si="52"/>
        <v>0</v>
      </c>
      <c r="F18" s="1">
        <f t="shared" si="52"/>
        <v>0</v>
      </c>
      <c r="G18" s="1">
        <f t="shared" si="52"/>
        <v>0</v>
      </c>
      <c r="H18" s="1">
        <f t="shared" si="52"/>
        <v>0</v>
      </c>
      <c r="I18" s="1">
        <f t="shared" si="52"/>
        <v>0</v>
      </c>
      <c r="J18" s="1">
        <f t="shared" si="52"/>
        <v>0</v>
      </c>
      <c r="O18" s="1">
        <f>+O16-O17</f>
        <v>1425</v>
      </c>
      <c r="P18" s="1">
        <f t="shared" ref="P18" si="53">+P16-P17</f>
        <v>1630</v>
      </c>
      <c r="Q18" s="1">
        <f t="shared" ref="Q18" si="54">+Q16-Q17</f>
        <v>1413.6749999999993</v>
      </c>
      <c r="R18" s="1">
        <f t="shared" ref="R18" si="55">+R16-R17</f>
        <v>1525.0624499999999</v>
      </c>
      <c r="S18" s="1">
        <f t="shared" ref="S18" si="56">+S16-S17</f>
        <v>1741.7508653999994</v>
      </c>
      <c r="T18" s="1">
        <f t="shared" ref="T18" si="57">+T16-T17</f>
        <v>1949.1629525610006</v>
      </c>
      <c r="U18" s="1">
        <f t="shared" ref="U18" si="58">+U16-U17</f>
        <v>2160.2120295150921</v>
      </c>
      <c r="V18" s="1">
        <f t="shared" ref="V18" si="59">+V16-V17</f>
        <v>2375.0013142502567</v>
      </c>
      <c r="W18" s="1">
        <f t="shared" ref="W18" si="60">+W16-W17</f>
        <v>2593.6357948109689</v>
      </c>
      <c r="X18" s="1">
        <f t="shared" ref="X18" si="61">+X16-X17</f>
        <v>2816.222286807048</v>
      </c>
      <c r="Y18" s="1">
        <f t="shared" ref="Y18" si="62">+Y16-Y17</f>
        <v>3042.8694912127721</v>
      </c>
      <c r="Z18" s="1">
        <f t="shared" ref="Z18:BE18" si="63">+Y18*(1+MV)</f>
        <v>2982.0121013885168</v>
      </c>
      <c r="AA18" s="1">
        <f t="shared" si="63"/>
        <v>2922.3718593607464</v>
      </c>
      <c r="AB18" s="1">
        <f t="shared" si="63"/>
        <v>2863.9244221735312</v>
      </c>
      <c r="AC18" s="1">
        <f t="shared" si="63"/>
        <v>2806.6459337300607</v>
      </c>
      <c r="AD18" s="1">
        <f t="shared" si="63"/>
        <v>2750.5130150554596</v>
      </c>
      <c r="AE18" s="1">
        <f t="shared" si="63"/>
        <v>2695.5027547543505</v>
      </c>
      <c r="AF18" s="1">
        <f t="shared" si="63"/>
        <v>2641.5926996592634</v>
      </c>
      <c r="AG18" s="1">
        <f t="shared" si="63"/>
        <v>2588.7608456660782</v>
      </c>
      <c r="AH18" s="1">
        <f t="shared" si="63"/>
        <v>2536.9856287527568</v>
      </c>
      <c r="AI18" s="1">
        <f t="shared" si="63"/>
        <v>2486.2459161777015</v>
      </c>
      <c r="AJ18" s="1">
        <f t="shared" si="63"/>
        <v>2436.5209978541475</v>
      </c>
      <c r="AK18" s="1">
        <f t="shared" si="63"/>
        <v>2387.7905778970644</v>
      </c>
      <c r="AL18" s="1">
        <f t="shared" si="63"/>
        <v>2340.0347663391231</v>
      </c>
      <c r="AM18" s="1">
        <f t="shared" si="63"/>
        <v>2293.2340710123403</v>
      </c>
      <c r="AN18" s="1">
        <f t="shared" si="63"/>
        <v>2247.3693895920933</v>
      </c>
      <c r="AO18" s="1">
        <f t="shared" si="63"/>
        <v>2202.4220018002516</v>
      </c>
      <c r="AP18" s="1">
        <f t="shared" si="63"/>
        <v>2158.3735617642465</v>
      </c>
      <c r="AQ18" s="1">
        <f t="shared" si="63"/>
        <v>2115.2060905289613</v>
      </c>
      <c r="AR18" s="1">
        <f t="shared" si="63"/>
        <v>2072.9019687183822</v>
      </c>
      <c r="AS18" s="1">
        <f t="shared" si="63"/>
        <v>2031.4439293440146</v>
      </c>
      <c r="AT18" s="1">
        <f t="shared" si="63"/>
        <v>1990.8150507571343</v>
      </c>
      <c r="AU18" s="1">
        <f t="shared" si="63"/>
        <v>1950.9987497419916</v>
      </c>
      <c r="AV18" s="1">
        <f t="shared" si="63"/>
        <v>1911.9787747471516</v>
      </c>
      <c r="AW18" s="1">
        <f t="shared" si="63"/>
        <v>1873.7391992522087</v>
      </c>
      <c r="AX18" s="1">
        <f t="shared" si="63"/>
        <v>1836.2644152671644</v>
      </c>
      <c r="AY18" s="1">
        <f t="shared" si="63"/>
        <v>1799.539126961821</v>
      </c>
      <c r="AZ18" s="1">
        <f t="shared" si="63"/>
        <v>1763.5483444225845</v>
      </c>
      <c r="BA18" s="1">
        <f t="shared" si="63"/>
        <v>1728.2773775341327</v>
      </c>
      <c r="BB18" s="1">
        <f t="shared" si="63"/>
        <v>1693.7118299834501</v>
      </c>
      <c r="BC18" s="1">
        <f t="shared" si="63"/>
        <v>1659.837593383781</v>
      </c>
      <c r="BD18" s="1">
        <f t="shared" si="63"/>
        <v>1626.6408415161054</v>
      </c>
      <c r="BE18" s="1">
        <f t="shared" si="63"/>
        <v>1594.1080246857832</v>
      </c>
      <c r="BF18" s="1">
        <f t="shared" ref="BF18:CK18" si="64">+BE18*(1+MV)</f>
        <v>1562.2258641920675</v>
      </c>
      <c r="BG18" s="1">
        <f t="shared" si="64"/>
        <v>1530.9813469082262</v>
      </c>
      <c r="BH18" s="1">
        <f t="shared" si="64"/>
        <v>1500.3617199700616</v>
      </c>
      <c r="BI18" s="1">
        <f t="shared" si="64"/>
        <v>1470.3544855706602</v>
      </c>
      <c r="BJ18" s="1">
        <f t="shared" si="64"/>
        <v>1440.9473958592471</v>
      </c>
      <c r="BK18" s="1">
        <f t="shared" si="64"/>
        <v>1412.1284479420622</v>
      </c>
      <c r="BL18" s="1">
        <f t="shared" si="64"/>
        <v>1383.8858789832209</v>
      </c>
      <c r="BM18" s="1">
        <f t="shared" si="64"/>
        <v>1356.2081614035565</v>
      </c>
      <c r="BN18" s="1">
        <f t="shared" si="64"/>
        <v>1329.0839981754852</v>
      </c>
      <c r="BO18" s="1">
        <f t="shared" si="64"/>
        <v>1302.5023182119755</v>
      </c>
      <c r="BP18" s="1">
        <f t="shared" si="64"/>
        <v>1276.452271847736</v>
      </c>
      <c r="BQ18" s="1">
        <f t="shared" si="64"/>
        <v>1250.9232264107814</v>
      </c>
      <c r="BR18" s="1">
        <f t="shared" si="64"/>
        <v>1225.9047618825657</v>
      </c>
      <c r="BS18" s="1">
        <f t="shared" si="64"/>
        <v>1201.3866666449144</v>
      </c>
      <c r="BT18" s="1">
        <f t="shared" si="64"/>
        <v>1177.358933312016</v>
      </c>
      <c r="BU18" s="1">
        <f t="shared" si="64"/>
        <v>1153.8117546457756</v>
      </c>
      <c r="BV18" s="1">
        <f t="shared" si="64"/>
        <v>1130.7355195528601</v>
      </c>
      <c r="BW18" s="1">
        <f t="shared" si="64"/>
        <v>1108.1208091618028</v>
      </c>
      <c r="BX18" s="1">
        <f t="shared" si="64"/>
        <v>1085.9583929785667</v>
      </c>
      <c r="BY18" s="1">
        <f t="shared" si="64"/>
        <v>1064.2392251189954</v>
      </c>
      <c r="BZ18" s="1">
        <f t="shared" si="64"/>
        <v>1042.9544406166153</v>
      </c>
      <c r="CA18" s="1">
        <f t="shared" si="64"/>
        <v>1022.095351804283</v>
      </c>
      <c r="CB18" s="1">
        <f t="shared" si="64"/>
        <v>1001.6534447681973</v>
      </c>
      <c r="CC18" s="1">
        <f t="shared" si="64"/>
        <v>981.62037587283339</v>
      </c>
      <c r="CD18" s="1">
        <f t="shared" si="64"/>
        <v>961.98796835537667</v>
      </c>
      <c r="CE18" s="1">
        <f t="shared" si="64"/>
        <v>942.74820898826908</v>
      </c>
      <c r="CF18" s="1">
        <f t="shared" si="64"/>
        <v>923.89324480850371</v>
      </c>
      <c r="CG18" s="1">
        <f t="shared" si="64"/>
        <v>905.41537991233361</v>
      </c>
      <c r="CH18" s="1">
        <f t="shared" si="64"/>
        <v>887.30707231408689</v>
      </c>
      <c r="CI18" s="1">
        <f t="shared" si="64"/>
        <v>869.56093086780515</v>
      </c>
      <c r="CJ18" s="1">
        <f t="shared" si="64"/>
        <v>852.16971225044904</v>
      </c>
      <c r="CK18" s="1">
        <f t="shared" si="64"/>
        <v>835.12631800544</v>
      </c>
      <c r="CL18" s="1">
        <f t="shared" ref="CL18:DQ18" si="65">+CK18*(1+MV)</f>
        <v>818.42379164533122</v>
      </c>
      <c r="CM18" s="1">
        <f t="shared" si="65"/>
        <v>802.05531581242462</v>
      </c>
      <c r="CN18" s="1">
        <f t="shared" si="65"/>
        <v>786.01420949617614</v>
      </c>
      <c r="CO18" s="1">
        <f t="shared" si="65"/>
        <v>770.29392530625262</v>
      </c>
      <c r="CP18" s="1">
        <f t="shared" si="65"/>
        <v>754.88804680012754</v>
      </c>
      <c r="CQ18" s="1">
        <f t="shared" si="65"/>
        <v>739.79028586412494</v>
      </c>
      <c r="CR18" s="1">
        <f t="shared" si="65"/>
        <v>724.99448014684242</v>
      </c>
      <c r="CS18" s="1">
        <f t="shared" si="65"/>
        <v>710.49459054390559</v>
      </c>
      <c r="CT18" s="1">
        <f t="shared" si="65"/>
        <v>696.28469873302743</v>
      </c>
      <c r="CU18" s="1">
        <f t="shared" si="65"/>
        <v>682.35900475836684</v>
      </c>
      <c r="CV18" s="1">
        <f t="shared" si="65"/>
        <v>668.71182466319954</v>
      </c>
      <c r="CW18" s="1">
        <f t="shared" si="65"/>
        <v>655.33758816993554</v>
      </c>
      <c r="CX18" s="1">
        <f t="shared" si="65"/>
        <v>642.23083640653681</v>
      </c>
      <c r="CY18" s="1">
        <f t="shared" si="65"/>
        <v>629.38621967840606</v>
      </c>
      <c r="CZ18" s="1">
        <f t="shared" si="65"/>
        <v>616.79849528483794</v>
      </c>
      <c r="DA18" s="1">
        <f t="shared" si="65"/>
        <v>604.4625253791412</v>
      </c>
      <c r="DB18" s="1">
        <f t="shared" si="65"/>
        <v>592.37327487155835</v>
      </c>
      <c r="DC18" s="1">
        <f t="shared" si="65"/>
        <v>580.52580937412722</v>
      </c>
      <c r="DD18" s="1">
        <f t="shared" si="65"/>
        <v>568.9152931866447</v>
      </c>
      <c r="DE18" s="1">
        <f t="shared" si="65"/>
        <v>557.53698732291184</v>
      </c>
      <c r="DF18" s="1">
        <f t="shared" si="65"/>
        <v>546.38624757645357</v>
      </c>
      <c r="DG18" s="1">
        <f t="shared" si="65"/>
        <v>535.45852262492451</v>
      </c>
      <c r="DH18" s="1">
        <f t="shared" si="65"/>
        <v>524.74935217242603</v>
      </c>
      <c r="DI18" s="1">
        <f t="shared" si="65"/>
        <v>514.2543651289775</v>
      </c>
      <c r="DJ18" s="1">
        <f t="shared" si="65"/>
        <v>503.96927782639796</v>
      </c>
      <c r="DK18" s="1">
        <f t="shared" si="65"/>
        <v>493.88989226986996</v>
      </c>
      <c r="DL18" s="1">
        <f t="shared" si="65"/>
        <v>484.01209442447254</v>
      </c>
      <c r="DM18" s="1">
        <f t="shared" si="65"/>
        <v>474.3318525359831</v>
      </c>
      <c r="DN18" s="1">
        <f t="shared" si="65"/>
        <v>464.84521548526345</v>
      </c>
      <c r="DO18" s="1">
        <f t="shared" si="65"/>
        <v>455.54831117555818</v>
      </c>
      <c r="DP18" s="1">
        <f t="shared" si="65"/>
        <v>446.437344952047</v>
      </c>
      <c r="DQ18" s="1">
        <f t="shared" si="65"/>
        <v>437.50859805300604</v>
      </c>
    </row>
    <row r="20" spans="1:121" s="2" customFormat="1" x14ac:dyDescent="0.25">
      <c r="A20" s="2" t="s">
        <v>38</v>
      </c>
      <c r="O20" s="2">
        <f>+O7/O5</f>
        <v>0.46088311688311689</v>
      </c>
      <c r="P20" s="2">
        <f>+P7/P5</f>
        <v>0.44722416027110534</v>
      </c>
      <c r="Q20" s="2">
        <f t="shared" ref="Q20:Y20" si="66">+Q7/Q5</f>
        <v>0.43112389309453558</v>
      </c>
      <c r="R20" s="2">
        <f t="shared" si="66"/>
        <v>0.4255466763601683</v>
      </c>
      <c r="S20" s="2">
        <f t="shared" si="66"/>
        <v>0.42667305542612871</v>
      </c>
      <c r="T20" s="2">
        <f t="shared" si="66"/>
        <v>0.42948348162502037</v>
      </c>
      <c r="U20" s="2">
        <f t="shared" si="66"/>
        <v>0.43228013122489778</v>
      </c>
      <c r="V20" s="2">
        <f t="shared" si="66"/>
        <v>0.4350630717581091</v>
      </c>
      <c r="W20" s="2">
        <f t="shared" si="66"/>
        <v>0.43783237042596157</v>
      </c>
      <c r="X20" s="2">
        <f t="shared" si="66"/>
        <v>0.44058809410034416</v>
      </c>
      <c r="Y20" s="2">
        <f t="shared" si="66"/>
        <v>0.44333030932534262</v>
      </c>
    </row>
    <row r="21" spans="1:121" s="2" customFormat="1" x14ac:dyDescent="0.25">
      <c r="A21" s="2" t="s">
        <v>44</v>
      </c>
      <c r="O21" s="2">
        <f>+O14/O5</f>
        <v>0.10493506493506494</v>
      </c>
      <c r="P21" s="2">
        <f>+P14/P5</f>
        <v>0.11028605601515</v>
      </c>
      <c r="Q21" s="2">
        <f t="shared" ref="Q21:Y21" si="67">+Q14/Q5</f>
        <v>9.4140791698075904E-2</v>
      </c>
      <c r="R21" s="2">
        <f t="shared" si="67"/>
        <v>9.9195622274402331E-2</v>
      </c>
      <c r="S21" s="2">
        <f t="shared" si="67"/>
        <v>0.11055249047333392</v>
      </c>
      <c r="T21" s="2">
        <f t="shared" si="67"/>
        <v>0.12086851903656728</v>
      </c>
      <c r="U21" s="2">
        <f t="shared" si="67"/>
        <v>0.13096038695270357</v>
      </c>
      <c r="V21" s="2">
        <f t="shared" si="67"/>
        <v>0.14083427870073861</v>
      </c>
      <c r="W21" s="2">
        <f t="shared" si="67"/>
        <v>0.15049619951506413</v>
      </c>
      <c r="X21" s="2">
        <f t="shared" si="67"/>
        <v>0.15995198064244734</v>
      </c>
      <c r="Y21" s="2">
        <f t="shared" si="67"/>
        <v>0.16920728444452846</v>
      </c>
      <c r="AA21" s="2" t="s">
        <v>45</v>
      </c>
      <c r="AB21" s="2">
        <v>0.08</v>
      </c>
    </row>
    <row r="22" spans="1:121" s="2" customFormat="1" x14ac:dyDescent="0.25">
      <c r="A22" s="2" t="s">
        <v>39</v>
      </c>
      <c r="P22" s="2">
        <f>+P5/O5 -1</f>
        <v>4.2389610389610421E-2</v>
      </c>
      <c r="Q22" s="2">
        <f t="shared" ref="Q22:Y22" si="68">+Q5/P5 -1</f>
        <v>3.0000000000000027E-2</v>
      </c>
      <c r="R22" s="2">
        <f t="shared" si="68"/>
        <v>2.0000000000000018E-2</v>
      </c>
      <c r="S22" s="2">
        <f t="shared" si="68"/>
        <v>2.0000000000000018E-2</v>
      </c>
      <c r="T22" s="2">
        <f t="shared" si="68"/>
        <v>2.0000000000000018E-2</v>
      </c>
      <c r="U22" s="2">
        <f t="shared" si="68"/>
        <v>2.0000000000000018E-2</v>
      </c>
      <c r="V22" s="2">
        <f t="shared" si="68"/>
        <v>2.0000000000000018E-2</v>
      </c>
      <c r="W22" s="2">
        <f t="shared" si="68"/>
        <v>2.0000000000000018E-2</v>
      </c>
      <c r="X22" s="2">
        <f t="shared" si="68"/>
        <v>2.0000000000000018E-2</v>
      </c>
      <c r="Y22" s="2">
        <f t="shared" si="68"/>
        <v>2.0000000000000018E-2</v>
      </c>
      <c r="AA22" s="2" t="s">
        <v>46</v>
      </c>
      <c r="AB22" s="2">
        <v>-0.02</v>
      </c>
    </row>
    <row r="23" spans="1:121" x14ac:dyDescent="0.25">
      <c r="AA23" t="s">
        <v>47</v>
      </c>
      <c r="AB23" s="4">
        <f>+NPV(AB21,Q18:DQ18)</f>
        <v>27871.891598988699</v>
      </c>
    </row>
    <row r="24" spans="1:121" x14ac:dyDescent="0.25">
      <c r="A24" t="s">
        <v>40</v>
      </c>
      <c r="O24">
        <v>798</v>
      </c>
      <c r="P24">
        <v>798</v>
      </c>
      <c r="Q24">
        <v>798</v>
      </c>
      <c r="R24">
        <v>798</v>
      </c>
      <c r="S24">
        <v>798</v>
      </c>
      <c r="T24">
        <v>798</v>
      </c>
      <c r="U24">
        <v>798</v>
      </c>
      <c r="V24">
        <v>798</v>
      </c>
      <c r="W24">
        <v>798</v>
      </c>
      <c r="X24">
        <v>798</v>
      </c>
      <c r="Y24">
        <v>798</v>
      </c>
      <c r="AA24" s="2" t="s">
        <v>3</v>
      </c>
    </row>
    <row r="25" spans="1:121" s="2" customFormat="1" x14ac:dyDescent="0.25">
      <c r="A25" s="2" t="s">
        <v>41</v>
      </c>
      <c r="O25" s="2">
        <f>+O24/O18</f>
        <v>0.56000000000000005</v>
      </c>
      <c r="P25" s="2">
        <f>+P24/P18</f>
        <v>0.48957055214723927</v>
      </c>
      <c r="Q25" s="2">
        <f t="shared" ref="Q25:Y25" si="69">+Q24/Q18</f>
        <v>0.56448617963817738</v>
      </c>
      <c r="R25" s="2">
        <f t="shared" si="69"/>
        <v>0.52325726071086465</v>
      </c>
      <c r="S25" s="2">
        <f t="shared" si="69"/>
        <v>0.45815966901600269</v>
      </c>
      <c r="T25" s="2">
        <f t="shared" si="69"/>
        <v>0.40940650906149723</v>
      </c>
      <c r="U25" s="2">
        <f t="shared" si="69"/>
        <v>0.36940818266766567</v>
      </c>
      <c r="V25" s="2">
        <f t="shared" si="69"/>
        <v>0.33599981406827711</v>
      </c>
      <c r="W25" s="2">
        <f t="shared" si="69"/>
        <v>0.30767619786731093</v>
      </c>
      <c r="X25" s="2">
        <f t="shared" si="69"/>
        <v>0.28335831434128356</v>
      </c>
      <c r="Y25" s="2">
        <f t="shared" si="69"/>
        <v>0.26225245686825283</v>
      </c>
      <c r="Z25" s="3"/>
      <c r="AA25" s="3" t="s">
        <v>48</v>
      </c>
      <c r="AB25" s="5">
        <f>+AB23+AB24</f>
        <v>27871.891598988699</v>
      </c>
      <c r="AC25" s="3"/>
      <c r="AD25" s="3"/>
    </row>
    <row r="26" spans="1:121" x14ac:dyDescent="0.25">
      <c r="A26" s="2" t="s">
        <v>50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AA26" s="2" t="s">
        <v>0</v>
      </c>
      <c r="AB26" s="7">
        <f>+AB25/Sheet1!D5</f>
        <v>64.753598956830842</v>
      </c>
    </row>
    <row r="27" spans="1:121" x14ac:dyDescent="0.25">
      <c r="AA27" s="3" t="s">
        <v>49</v>
      </c>
      <c r="AB27" s="6">
        <f>+Q26/Sheet1!D4</f>
        <v>3.1746031746031744E-2</v>
      </c>
    </row>
    <row r="28" spans="1:121" x14ac:dyDescent="0.25">
      <c r="AA28" s="2" t="s">
        <v>51</v>
      </c>
      <c r="AB28">
        <f>+Sheet1!D6/Sheet2!Q18</f>
        <v>19.181983129078475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cp:lastPrinted>2022-05-18T10:02:59Z</cp:lastPrinted>
  <dcterms:created xsi:type="dcterms:W3CDTF">2022-05-18T10:02:34Z</dcterms:created>
  <dcterms:modified xsi:type="dcterms:W3CDTF">2026-02-06T13:30:35Z</dcterms:modified>
</cp:coreProperties>
</file>