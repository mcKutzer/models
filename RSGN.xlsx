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8A6D513-C4AB-4C37-85CF-8FFB76DB15B2}" xr6:coauthVersionLast="47" xr6:coauthVersionMax="47" xr10:uidLastSave="{00000000-0000-0000-0000-000000000000}"/>
  <bookViews>
    <workbookView xWindow="-120" yWindow="-120" windowWidth="29040" windowHeight="15840" xr2:uid="{403A701A-2760-40FF-B806-96D3B735B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8" i="1" l="1"/>
  <c r="S34" i="1"/>
  <c r="S36" i="1" s="1"/>
  <c r="S33" i="1"/>
  <c r="S32" i="1"/>
  <c r="R27" i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Q27" i="1"/>
  <c r="H26" i="1"/>
  <c r="I26" i="1"/>
  <c r="J26" i="1"/>
  <c r="K26" i="1"/>
  <c r="L26" i="1"/>
  <c r="M26" i="1"/>
  <c r="N26" i="1"/>
  <c r="O26" i="1"/>
  <c r="P26" i="1"/>
  <c r="G26" i="1"/>
  <c r="H24" i="1"/>
  <c r="I24" i="1" s="1"/>
  <c r="J24" i="1" s="1"/>
  <c r="K24" i="1" s="1"/>
  <c r="L24" i="1" s="1"/>
  <c r="M24" i="1" s="1"/>
  <c r="N24" i="1" s="1"/>
  <c r="O24" i="1" s="1"/>
  <c r="P24" i="1" s="1"/>
  <c r="G24" i="1"/>
  <c r="D48" i="1"/>
  <c r="E48" i="1"/>
  <c r="F48" i="1"/>
  <c r="D46" i="1"/>
  <c r="E46" i="1"/>
  <c r="F46" i="1"/>
  <c r="F45" i="1"/>
  <c r="E45" i="1"/>
  <c r="D45" i="1"/>
  <c r="H22" i="1"/>
  <c r="I22" i="1" s="1"/>
  <c r="J22" i="1" s="1"/>
  <c r="K22" i="1" s="1"/>
  <c r="L22" i="1" s="1"/>
  <c r="M22" i="1" s="1"/>
  <c r="N22" i="1" s="1"/>
  <c r="O22" i="1" s="1"/>
  <c r="P22" i="1" s="1"/>
  <c r="E31" i="1"/>
  <c r="F34" i="1"/>
  <c r="F33" i="1"/>
  <c r="F35" i="1" s="1"/>
  <c r="F26" i="1"/>
  <c r="F24" i="1"/>
  <c r="F22" i="1"/>
  <c r="F20" i="1"/>
  <c r="F14" i="1"/>
  <c r="F13" i="1"/>
  <c r="F40" i="1" s="1"/>
  <c r="F12" i="1"/>
  <c r="F9" i="1"/>
  <c r="F31" i="1" s="1"/>
  <c r="E34" i="1"/>
  <c r="E35" i="1" s="1"/>
  <c r="D34" i="1"/>
  <c r="D35" i="1" s="1"/>
  <c r="G9" i="1" l="1"/>
  <c r="G31" i="1" s="1"/>
  <c r="G12" i="1"/>
  <c r="H9" i="1"/>
  <c r="G13" i="1"/>
  <c r="G11" i="1"/>
  <c r="G14" i="1"/>
  <c r="G21" i="1" l="1"/>
  <c r="I9" i="1"/>
  <c r="H11" i="1"/>
  <c r="H14" i="1"/>
  <c r="H13" i="1"/>
  <c r="H12" i="1"/>
  <c r="H31" i="1"/>
  <c r="G23" i="1" l="1"/>
  <c r="G25" i="1" s="1"/>
  <c r="G27" i="1" s="1"/>
  <c r="G30" i="1" s="1"/>
  <c r="G29" i="1"/>
  <c r="H21" i="1"/>
  <c r="J9" i="1"/>
  <c r="I14" i="1"/>
  <c r="I11" i="1"/>
  <c r="I13" i="1"/>
  <c r="I12" i="1"/>
  <c r="I31" i="1"/>
  <c r="I21" i="1" l="1"/>
  <c r="I29" i="1"/>
  <c r="I23" i="1"/>
  <c r="I25" i="1" s="1"/>
  <c r="I27" i="1" s="1"/>
  <c r="I30" i="1" s="1"/>
  <c r="K9" i="1"/>
  <c r="J14" i="1"/>
  <c r="J11" i="1"/>
  <c r="J13" i="1"/>
  <c r="J31" i="1"/>
  <c r="J12" i="1"/>
  <c r="H29" i="1"/>
  <c r="H23" i="1"/>
  <c r="H25" i="1" s="1"/>
  <c r="H27" i="1" s="1"/>
  <c r="H30" i="1" s="1"/>
  <c r="J21" i="1" l="1"/>
  <c r="L9" i="1"/>
  <c r="K31" i="1"/>
  <c r="K14" i="1"/>
  <c r="K11" i="1"/>
  <c r="K13" i="1"/>
  <c r="K12" i="1"/>
  <c r="M9" i="1" l="1"/>
  <c r="L31" i="1"/>
  <c r="L14" i="1"/>
  <c r="L11" i="1"/>
  <c r="L13" i="1"/>
  <c r="L12" i="1"/>
  <c r="K21" i="1"/>
  <c r="J29" i="1"/>
  <c r="J23" i="1"/>
  <c r="J25" i="1" s="1"/>
  <c r="J27" i="1" s="1"/>
  <c r="J30" i="1" s="1"/>
  <c r="K23" i="1" l="1"/>
  <c r="K25" i="1" s="1"/>
  <c r="K27" i="1" s="1"/>
  <c r="K30" i="1" s="1"/>
  <c r="K29" i="1"/>
  <c r="L21" i="1"/>
  <c r="N9" i="1"/>
  <c r="M31" i="1"/>
  <c r="M14" i="1"/>
  <c r="M11" i="1"/>
  <c r="M13" i="1"/>
  <c r="M12" i="1"/>
  <c r="M21" i="1" l="1"/>
  <c r="O9" i="1"/>
  <c r="N31" i="1"/>
  <c r="N12" i="1"/>
  <c r="N14" i="1"/>
  <c r="N11" i="1"/>
  <c r="N21" i="1" s="1"/>
  <c r="N13" i="1"/>
  <c r="L29" i="1"/>
  <c r="L23" i="1"/>
  <c r="L25" i="1" s="1"/>
  <c r="L27" i="1" s="1"/>
  <c r="L30" i="1" s="1"/>
  <c r="N29" i="1" l="1"/>
  <c r="N23" i="1"/>
  <c r="N25" i="1" s="1"/>
  <c r="N27" i="1" s="1"/>
  <c r="N30" i="1" s="1"/>
  <c r="P9" i="1"/>
  <c r="O12" i="1"/>
  <c r="O31" i="1"/>
  <c r="O14" i="1"/>
  <c r="O11" i="1"/>
  <c r="O21" i="1" s="1"/>
  <c r="O13" i="1"/>
  <c r="M23" i="1"/>
  <c r="M25" i="1" s="1"/>
  <c r="M27" i="1" s="1"/>
  <c r="M30" i="1" s="1"/>
  <c r="M29" i="1"/>
  <c r="O23" i="1" l="1"/>
  <c r="O25" i="1" s="1"/>
  <c r="O27" i="1" s="1"/>
  <c r="O30" i="1" s="1"/>
  <c r="O29" i="1"/>
  <c r="P12" i="1"/>
  <c r="P31" i="1"/>
  <c r="P14" i="1"/>
  <c r="P11" i="1"/>
  <c r="P13" i="1"/>
  <c r="P21" i="1" l="1"/>
  <c r="P23" i="1" s="1"/>
  <c r="P25" i="1" s="1"/>
  <c r="P27" i="1" s="1"/>
  <c r="P30" i="1" s="1"/>
  <c r="P29" i="1"/>
  <c r="E10" i="1" l="1"/>
  <c r="E11" i="1" s="1"/>
  <c r="E21" i="1" s="1"/>
  <c r="D10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F11" i="1"/>
  <c r="F21" i="1" s="1"/>
  <c r="F23" i="1" l="1"/>
  <c r="F25" i="1" s="1"/>
  <c r="F27" i="1" s="1"/>
  <c r="F30" i="1" s="1"/>
  <c r="F29" i="1"/>
  <c r="D11" i="1"/>
  <c r="D21" i="1" s="1"/>
  <c r="D23" i="1" s="1"/>
  <c r="D25" i="1" s="1"/>
  <c r="D27" i="1" s="1"/>
  <c r="D30" i="1" s="1"/>
  <c r="E23" i="1"/>
  <c r="E25" i="1" s="1"/>
  <c r="E27" i="1" s="1"/>
  <c r="E30" i="1" s="1"/>
  <c r="E29" i="1"/>
  <c r="D29" i="1" l="1"/>
</calcChain>
</file>

<file path=xl/sharedStrings.xml><?xml version="1.0" encoding="utf-8"?>
<sst xmlns="http://schemas.openxmlformats.org/spreadsheetml/2006/main" count="53" uniqueCount="49">
  <si>
    <t>CHF</t>
  </si>
  <si>
    <t>Revenue</t>
  </si>
  <si>
    <t>Other</t>
  </si>
  <si>
    <t>Total Revenue</t>
  </si>
  <si>
    <t>Material Cost</t>
  </si>
  <si>
    <t>Personnel Cost</t>
  </si>
  <si>
    <t>Operating Expense</t>
  </si>
  <si>
    <t>Other Expense</t>
  </si>
  <si>
    <t>EBITDA</t>
  </si>
  <si>
    <t>D&amp;A</t>
  </si>
  <si>
    <t>Financial Results</t>
  </si>
  <si>
    <t>Pretax</t>
  </si>
  <si>
    <t>Taxes</t>
  </si>
  <si>
    <t>net Income</t>
  </si>
  <si>
    <t xml:space="preserve">EBIT </t>
  </si>
  <si>
    <t>Net Margin</t>
  </si>
  <si>
    <t>EBITDA Margin</t>
  </si>
  <si>
    <t>CFFO</t>
  </si>
  <si>
    <t>CapEx</t>
  </si>
  <si>
    <t>FCF</t>
  </si>
  <si>
    <t>Europe</t>
  </si>
  <si>
    <t>Asia</t>
  </si>
  <si>
    <t>America</t>
  </si>
  <si>
    <t>Africa/Oceania</t>
  </si>
  <si>
    <t>ot</t>
  </si>
  <si>
    <t xml:space="preserve"> Energy</t>
  </si>
  <si>
    <t xml:space="preserve"> Maintenance</t>
  </si>
  <si>
    <t xml:space="preserve"> Insurance</t>
  </si>
  <si>
    <t xml:space="preserve"> Marketing &amp; Sales</t>
  </si>
  <si>
    <t xml:space="preserve"> R&amp;D</t>
  </si>
  <si>
    <t>Acquisitions</t>
  </si>
  <si>
    <t>Revenue Y/Y</t>
  </si>
  <si>
    <t>Empleyees</t>
  </si>
  <si>
    <t>Average Salary</t>
  </si>
  <si>
    <t>Cash</t>
  </si>
  <si>
    <t>Debt</t>
  </si>
  <si>
    <t>PP&amp;E</t>
  </si>
  <si>
    <t>Inventory</t>
  </si>
  <si>
    <t>Cost of Debt</t>
  </si>
  <si>
    <t>net Debt</t>
  </si>
  <si>
    <t>Terminal</t>
  </si>
  <si>
    <t>Discount</t>
  </si>
  <si>
    <t>NPV</t>
  </si>
  <si>
    <t>net CASh</t>
  </si>
  <si>
    <t>value</t>
  </si>
  <si>
    <t>Shares</t>
  </si>
  <si>
    <t>Price</t>
  </si>
  <si>
    <t>Current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</si>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</sst>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3" fontId="3" fillId="0" borderId="0" xfId="0" applyNumberFormat="1" applyFont="1"/>
    <xf numFmtId="9" fontId="0" fillId="0" borderId="0" xfId="0" applyNumberFormat="1"/>
    <xf numFmtId="9" fontId="0" fillId="0" borderId="0" xfId="1" applyNumberFormat="1" applyFon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43543</xdr:colOff>
      <xdr:row>2</xdr:row>
      <xdr:rowOff>163286</xdr:rowOff>
    </xdr:from>
    <xdr:to>
      <xdr:col>5</xdr:col>
      <xdr:colOff>48986</xdr:colOff>
      <xdr:row>38</xdr:row>
      <xdr:rowOff>108858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1E40F1-FDC6-4509-AC47-B4D7D5B8D080}"/>
            </a:ext>
          </a:extLst>
        </xdr:cNvPr>
        <xdr:cNvCxnSpPr/>
      </xdr:nvCxnSpPr>
      <xdr:spPr>
        <a:xfrm>
          <a:off x="3369129" y="544286"/>
          <a:ext cx="5443" cy="68035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B4A5-4D13-4A83-8724-F6F59DDC24DD}">
  <dimension ref="A1:DJ145"/>
  <sheetViews>
    <sheetView tabSelected="1" zoomScale="175" zoomScaleNormal="175" workbookViewId="0">
      <pane xSplit="2" ySplit="2" topLeftCell="G26" activePane="bottomRight" state="frozen"/>
      <selection pane="topRight" activeCell="C1" sqref="C1"/>
      <selection pane="bottomLeft" activeCell="A3" sqref="A3"/>
      <selection pane="bottomRight" activeCell="N35" sqref="N35"/>
    </sheetView>
  </sheetViews>
  <sheetFormatPr defaultRowHeight="15" x14ac:dyDescent="0.25"/>
  <cols>
    <col min="1" max="1" width="4.42578125" bestFit="1" customWidth="1"/>
    <col min="2" max="2" width="18" bestFit="1" customWidth="1"/>
  </cols>
  <sheetData>
    <row r="1" spans="1:16" x14ac:dyDescent="0.25">
      <c r="A1" t="s">
        <v>0</v>
      </c>
    </row>
    <row r="2" spans="1:16" x14ac:dyDescent="0.25">
      <c r="D2">
        <v>2023</v>
      </c>
      <c r="E2">
        <f>+D2+1</f>
        <v>2024</v>
      </c>
      <c r="F2">
        <f>+E2+1</f>
        <v>2025</v>
      </c>
      <c r="G2">
        <f t="shared" ref="G2:P2" si="0">+F2+1</f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1:16" s="1" customFormat="1" x14ac:dyDescent="0.25">
      <c r="D3" s="5"/>
      <c r="E3" s="5"/>
      <c r="F3" s="5"/>
    </row>
    <row r="4" spans="1:16" s="1" customFormat="1" x14ac:dyDescent="0.25">
      <c r="D4" s="6"/>
      <c r="E4" s="6"/>
      <c r="F4" s="6"/>
      <c r="G4" s="3"/>
    </row>
    <row r="5" spans="1:16" s="1" customFormat="1" x14ac:dyDescent="0.25">
      <c r="B5" s="1" t="s">
        <v>20</v>
      </c>
      <c r="D5" s="1">
        <v>198092</v>
      </c>
      <c r="E5" s="1">
        <v>263521</v>
      </c>
    </row>
    <row r="6" spans="1:16" s="1" customFormat="1" x14ac:dyDescent="0.25">
      <c r="B6" s="1" t="s">
        <v>21</v>
      </c>
      <c r="D6" s="1">
        <v>21225</v>
      </c>
      <c r="E6" s="1">
        <v>20103</v>
      </c>
    </row>
    <row r="7" spans="1:16" s="1" customFormat="1" x14ac:dyDescent="0.25">
      <c r="B7" s="1" t="s">
        <v>22</v>
      </c>
      <c r="D7" s="1">
        <v>1083</v>
      </c>
      <c r="E7" s="1">
        <v>674</v>
      </c>
    </row>
    <row r="8" spans="1:16" s="1" customFormat="1" x14ac:dyDescent="0.25">
      <c r="B8" s="1" t="s">
        <v>23</v>
      </c>
      <c r="D8" s="1">
        <v>1107</v>
      </c>
      <c r="E8" s="1">
        <v>1981</v>
      </c>
    </row>
    <row r="9" spans="1:16" s="2" customFormat="1" x14ac:dyDescent="0.25">
      <c r="B9" s="2" t="s">
        <v>1</v>
      </c>
      <c r="D9" s="2">
        <v>216907</v>
      </c>
      <c r="E9" s="2">
        <v>282626</v>
      </c>
      <c r="F9" s="2">
        <f>206342*2</f>
        <v>412684</v>
      </c>
      <c r="G9" s="2">
        <f>+F9*1.05</f>
        <v>433318.2</v>
      </c>
      <c r="H9" s="2">
        <f t="shared" ref="H9:P9" si="1">+G9*1.05</f>
        <v>454984.11000000004</v>
      </c>
      <c r="I9" s="2">
        <f t="shared" si="1"/>
        <v>477733.31550000008</v>
      </c>
      <c r="J9" s="2">
        <f t="shared" si="1"/>
        <v>501619.98127500009</v>
      </c>
      <c r="K9" s="2">
        <f t="shared" si="1"/>
        <v>526700.98033875006</v>
      </c>
      <c r="L9" s="2">
        <f t="shared" si="1"/>
        <v>553036.02935568755</v>
      </c>
      <c r="M9" s="2">
        <f t="shared" si="1"/>
        <v>580687.830823472</v>
      </c>
      <c r="N9" s="2">
        <f t="shared" si="1"/>
        <v>609722.22236464568</v>
      </c>
      <c r="O9" s="2">
        <f t="shared" si="1"/>
        <v>640208.33348287805</v>
      </c>
      <c r="P9" s="2">
        <f t="shared" si="1"/>
        <v>672218.75015702203</v>
      </c>
    </row>
    <row r="10" spans="1:16" s="1" customFormat="1" x14ac:dyDescent="0.25">
      <c r="B10" s="1" t="s">
        <v>2</v>
      </c>
      <c r="D10" s="1">
        <f>-114+691</f>
        <v>577</v>
      </c>
      <c r="E10" s="1">
        <f>15532+426</f>
        <v>15958</v>
      </c>
      <c r="F10" s="1">
        <v>5000</v>
      </c>
      <c r="G10" s="1">
        <v>5000</v>
      </c>
      <c r="H10" s="1">
        <v>5000</v>
      </c>
      <c r="I10" s="1">
        <v>5000</v>
      </c>
      <c r="J10" s="1">
        <v>5000</v>
      </c>
      <c r="K10" s="1">
        <v>5000</v>
      </c>
      <c r="L10" s="1">
        <v>5000</v>
      </c>
      <c r="M10" s="1">
        <v>5000</v>
      </c>
      <c r="N10" s="1">
        <v>5000</v>
      </c>
      <c r="O10" s="1">
        <v>5000</v>
      </c>
      <c r="P10" s="1">
        <v>5000</v>
      </c>
    </row>
    <row r="11" spans="1:16" s="1" customFormat="1" x14ac:dyDescent="0.25">
      <c r="B11" s="1" t="s">
        <v>3</v>
      </c>
      <c r="D11" s="1">
        <f>+D9+D10</f>
        <v>217484</v>
      </c>
      <c r="E11" s="1">
        <f t="shared" ref="E11:G11" si="2">+E9+E10</f>
        <v>298584</v>
      </c>
      <c r="F11" s="1">
        <f t="shared" si="2"/>
        <v>417684</v>
      </c>
      <c r="G11" s="1">
        <f t="shared" si="2"/>
        <v>438318.2</v>
      </c>
      <c r="H11" s="1">
        <f t="shared" ref="H11" si="3">+H9+H10</f>
        <v>459984.11000000004</v>
      </c>
      <c r="I11" s="1">
        <f t="shared" ref="I11" si="4">+I9+I10</f>
        <v>482733.31550000008</v>
      </c>
      <c r="J11" s="1">
        <f t="shared" ref="J11" si="5">+J9+J10</f>
        <v>506619.98127500009</v>
      </c>
      <c r="K11" s="1">
        <f t="shared" ref="K11" si="6">+K9+K10</f>
        <v>531700.98033875006</v>
      </c>
      <c r="L11" s="1">
        <f t="shared" ref="L11" si="7">+L9+L10</f>
        <v>558036.02935568755</v>
      </c>
      <c r="M11" s="1">
        <f t="shared" ref="M11" si="8">+M9+M10</f>
        <v>585687.830823472</v>
      </c>
      <c r="N11" s="1">
        <f t="shared" ref="N11" si="9">+N9+N10</f>
        <v>614722.22236464568</v>
      </c>
      <c r="O11" s="1">
        <f t="shared" ref="O11" si="10">+O9+O10</f>
        <v>645208.33348287805</v>
      </c>
      <c r="P11" s="1">
        <f t="shared" ref="P11" si="11">+P9+P10</f>
        <v>677218.75015702203</v>
      </c>
    </row>
    <row r="12" spans="1:16" s="1" customFormat="1" x14ac:dyDescent="0.25">
      <c r="B12" s="1" t="s">
        <v>4</v>
      </c>
      <c r="D12" s="1">
        <v>124226</v>
      </c>
      <c r="E12" s="1">
        <v>154745</v>
      </c>
      <c r="F12" s="1">
        <f>112990*2</f>
        <v>225980</v>
      </c>
      <c r="G12" s="1">
        <f>+G9*0.55</f>
        <v>238325.01000000004</v>
      </c>
      <c r="H12" s="1">
        <f t="shared" ref="H12:P12" si="12">+H9*0.55</f>
        <v>250241.26050000003</v>
      </c>
      <c r="I12" s="1">
        <f t="shared" si="12"/>
        <v>262753.32352500007</v>
      </c>
      <c r="J12" s="1">
        <f t="shared" si="12"/>
        <v>275890.98970125004</v>
      </c>
      <c r="K12" s="1">
        <f t="shared" si="12"/>
        <v>289685.53918631258</v>
      </c>
      <c r="L12" s="1">
        <f t="shared" si="12"/>
        <v>304169.81614562817</v>
      </c>
      <c r="M12" s="1">
        <f t="shared" si="12"/>
        <v>319378.30695290962</v>
      </c>
      <c r="N12" s="1">
        <f t="shared" si="12"/>
        <v>335347.22230055515</v>
      </c>
      <c r="O12" s="1">
        <f t="shared" si="12"/>
        <v>352114.58341558295</v>
      </c>
      <c r="P12" s="1">
        <f t="shared" si="12"/>
        <v>369720.31258636212</v>
      </c>
    </row>
    <row r="13" spans="1:16" s="1" customFormat="1" x14ac:dyDescent="0.25">
      <c r="B13" s="1" t="s">
        <v>5</v>
      </c>
      <c r="D13" s="1">
        <v>38413</v>
      </c>
      <c r="E13" s="1">
        <v>52069</v>
      </c>
      <c r="F13" s="1">
        <f>37317*2</f>
        <v>74634</v>
      </c>
      <c r="G13" s="1">
        <f>+G9*0.18</f>
        <v>77997.275999999998</v>
      </c>
      <c r="H13" s="1">
        <f t="shared" ref="H13:P13" si="13">+H9*0.18</f>
        <v>81897.139800000004</v>
      </c>
      <c r="I13" s="1">
        <f t="shared" si="13"/>
        <v>85991.996790000019</v>
      </c>
      <c r="J13" s="1">
        <f t="shared" si="13"/>
        <v>90291.596629500011</v>
      </c>
      <c r="K13" s="1">
        <f t="shared" si="13"/>
        <v>94806.17646097501</v>
      </c>
      <c r="L13" s="1">
        <f t="shared" si="13"/>
        <v>99546.485284023758</v>
      </c>
      <c r="M13" s="1">
        <f t="shared" si="13"/>
        <v>104523.80954822496</v>
      </c>
      <c r="N13" s="1">
        <f t="shared" si="13"/>
        <v>109750.00002563623</v>
      </c>
      <c r="O13" s="1">
        <f t="shared" si="13"/>
        <v>115237.50002691805</v>
      </c>
      <c r="P13" s="1">
        <f t="shared" si="13"/>
        <v>120999.37502826397</v>
      </c>
    </row>
    <row r="14" spans="1:16" s="1" customFormat="1" x14ac:dyDescent="0.25">
      <c r="B14" s="1" t="s">
        <v>6</v>
      </c>
      <c r="D14" s="1">
        <v>13891</v>
      </c>
      <c r="E14" s="1">
        <v>22475</v>
      </c>
      <c r="F14" s="1">
        <f>14131*2</f>
        <v>28262</v>
      </c>
      <c r="G14" s="1">
        <f>+G9*0.07</f>
        <v>30332.274000000005</v>
      </c>
      <c r="H14" s="1">
        <f t="shared" ref="H14:P14" si="14">+H9*0.07</f>
        <v>31848.887700000007</v>
      </c>
      <c r="I14" s="1">
        <f t="shared" si="14"/>
        <v>33441.332085000009</v>
      </c>
      <c r="J14" s="1">
        <f t="shared" si="14"/>
        <v>35113.398689250011</v>
      </c>
      <c r="K14" s="1">
        <f t="shared" si="14"/>
        <v>36869.068623712505</v>
      </c>
      <c r="L14" s="1">
        <f t="shared" si="14"/>
        <v>38712.522054898131</v>
      </c>
      <c r="M14" s="1">
        <f t="shared" si="14"/>
        <v>40648.148157643045</v>
      </c>
      <c r="N14" s="1">
        <f t="shared" si="14"/>
        <v>42680.555565525203</v>
      </c>
      <c r="O14" s="1">
        <f t="shared" si="14"/>
        <v>44814.583343801467</v>
      </c>
      <c r="P14" s="1">
        <f t="shared" si="14"/>
        <v>47055.312510991549</v>
      </c>
    </row>
    <row r="15" spans="1:16" s="4" customFormat="1" x14ac:dyDescent="0.25">
      <c r="A15" s="4" t="s">
        <v>24</v>
      </c>
      <c r="B15" s="4" t="s">
        <v>25</v>
      </c>
      <c r="D15" s="4">
        <v>5922</v>
      </c>
      <c r="E15" s="4">
        <v>7760</v>
      </c>
    </row>
    <row r="16" spans="1:16" s="4" customFormat="1" x14ac:dyDescent="0.25">
      <c r="A16" s="4" t="s">
        <v>24</v>
      </c>
      <c r="B16" s="4" t="s">
        <v>26</v>
      </c>
      <c r="D16" s="4">
        <v>2048</v>
      </c>
      <c r="E16" s="4">
        <v>5106</v>
      </c>
    </row>
    <row r="17" spans="1:114" s="4" customFormat="1" x14ac:dyDescent="0.25">
      <c r="A17" s="4" t="s">
        <v>24</v>
      </c>
      <c r="B17" s="4" t="s">
        <v>27</v>
      </c>
      <c r="D17" s="4">
        <v>4207</v>
      </c>
      <c r="E17" s="4">
        <v>8073</v>
      </c>
    </row>
    <row r="18" spans="1:114" s="4" customFormat="1" x14ac:dyDescent="0.25">
      <c r="A18" s="4" t="s">
        <v>24</v>
      </c>
      <c r="B18" s="4" t="s">
        <v>28</v>
      </c>
      <c r="D18" s="4">
        <v>1235</v>
      </c>
      <c r="E18" s="4">
        <v>998</v>
      </c>
    </row>
    <row r="19" spans="1:114" s="4" customFormat="1" x14ac:dyDescent="0.25">
      <c r="A19" s="4" t="s">
        <v>24</v>
      </c>
      <c r="B19" s="4" t="s">
        <v>29</v>
      </c>
      <c r="D19" s="4">
        <v>479</v>
      </c>
      <c r="E19" s="4">
        <v>538</v>
      </c>
    </row>
    <row r="20" spans="1:114" s="1" customFormat="1" x14ac:dyDescent="0.25">
      <c r="B20" s="1" t="s">
        <v>7</v>
      </c>
      <c r="D20" s="1">
        <v>9938</v>
      </c>
      <c r="E20" s="1">
        <v>1767</v>
      </c>
      <c r="F20" s="1">
        <f>345*2</f>
        <v>690</v>
      </c>
      <c r="G20" s="1">
        <v>500</v>
      </c>
      <c r="H20" s="1">
        <v>500</v>
      </c>
      <c r="I20" s="1">
        <v>500</v>
      </c>
      <c r="J20" s="1">
        <v>500</v>
      </c>
      <c r="K20" s="1">
        <v>500</v>
      </c>
      <c r="L20" s="1">
        <v>500</v>
      </c>
      <c r="M20" s="1">
        <v>500</v>
      </c>
      <c r="N20" s="1">
        <v>500</v>
      </c>
      <c r="O20" s="1">
        <v>500</v>
      </c>
      <c r="P20" s="1">
        <v>500</v>
      </c>
    </row>
    <row r="21" spans="1:114" s="1" customFormat="1" x14ac:dyDescent="0.25">
      <c r="B21" s="1" t="s">
        <v>8</v>
      </c>
      <c r="D21" s="1">
        <f>+D11-D12-D13-D14-D20</f>
        <v>31016</v>
      </c>
      <c r="E21" s="1">
        <f t="shared" ref="E21:G21" si="15">+E11-E12-E13-E14-E20</f>
        <v>67528</v>
      </c>
      <c r="F21" s="1">
        <f t="shared" si="15"/>
        <v>88118</v>
      </c>
      <c r="G21" s="1">
        <f t="shared" si="15"/>
        <v>91163.63999999997</v>
      </c>
      <c r="H21" s="1">
        <f t="shared" ref="H21" si="16">+H11-H12-H13-H14-H20</f>
        <v>95496.822</v>
      </c>
      <c r="I21" s="1">
        <f t="shared" ref="I21" si="17">+I11-I12-I13-I14-I20</f>
        <v>100046.66310000001</v>
      </c>
      <c r="J21" s="1">
        <f t="shared" ref="J21" si="18">+J11-J12-J13-J14-J20</f>
        <v>104823.99625500002</v>
      </c>
      <c r="K21" s="1">
        <f t="shared" ref="K21" si="19">+K11-K12-K13-K14-K20</f>
        <v>109840.19606774994</v>
      </c>
      <c r="L21" s="1">
        <f t="shared" ref="L21" si="20">+L11-L12-L13-L14-L20</f>
        <v>115107.20587113751</v>
      </c>
      <c r="M21" s="1">
        <f t="shared" ref="M21" si="21">+M11-M12-M13-M14-M20</f>
        <v>120637.56616469438</v>
      </c>
      <c r="N21" s="1">
        <f t="shared" ref="N21" si="22">+N11-N12-N13-N14-N20</f>
        <v>126444.44447292911</v>
      </c>
      <c r="O21" s="1">
        <f t="shared" ref="O21" si="23">+O11-O12-O13-O14-O20</f>
        <v>132541.66669657559</v>
      </c>
      <c r="P21" s="1">
        <f t="shared" ref="P21" si="24">+P11-P12-P13-P14-P20</f>
        <v>138943.7500314044</v>
      </c>
    </row>
    <row r="22" spans="1:114" s="1" customFormat="1" x14ac:dyDescent="0.25">
      <c r="B22" s="1" t="s">
        <v>9</v>
      </c>
      <c r="D22" s="1">
        <v>2332</v>
      </c>
      <c r="E22" s="1">
        <v>4808</v>
      </c>
      <c r="F22" s="1">
        <f>3693*2</f>
        <v>7386</v>
      </c>
      <c r="G22" s="1">
        <v>8000</v>
      </c>
      <c r="H22" s="1">
        <f>+G22*0.99</f>
        <v>7920</v>
      </c>
      <c r="I22" s="1">
        <f t="shared" ref="I22:P22" si="25">+H22*0.99</f>
        <v>7840.8</v>
      </c>
      <c r="J22" s="1">
        <f t="shared" si="25"/>
        <v>7762.3919999999998</v>
      </c>
      <c r="K22" s="1">
        <f t="shared" si="25"/>
        <v>7684.7680799999998</v>
      </c>
      <c r="L22" s="1">
        <f t="shared" si="25"/>
        <v>7607.9203991999993</v>
      </c>
      <c r="M22" s="1">
        <f t="shared" si="25"/>
        <v>7531.8411952079996</v>
      </c>
      <c r="N22" s="1">
        <f t="shared" si="25"/>
        <v>7456.5227832559194</v>
      </c>
      <c r="O22" s="1">
        <f t="shared" si="25"/>
        <v>7381.9575554233597</v>
      </c>
      <c r="P22" s="1">
        <f t="shared" si="25"/>
        <v>7308.137979869126</v>
      </c>
    </row>
    <row r="23" spans="1:114" s="2" customFormat="1" x14ac:dyDescent="0.25">
      <c r="B23" s="2" t="s">
        <v>14</v>
      </c>
      <c r="D23" s="2">
        <f>+D21-D22</f>
        <v>28684</v>
      </c>
      <c r="E23" s="2">
        <f t="shared" ref="E23:G23" si="26">+E21-E22</f>
        <v>62720</v>
      </c>
      <c r="F23" s="2">
        <f t="shared" si="26"/>
        <v>80732</v>
      </c>
      <c r="G23" s="2">
        <f t="shared" si="26"/>
        <v>83163.63999999997</v>
      </c>
      <c r="H23" s="2">
        <f t="shared" ref="H23" si="27">+H21-H22</f>
        <v>87576.822</v>
      </c>
      <c r="I23" s="2">
        <f t="shared" ref="I23" si="28">+I21-I22</f>
        <v>92205.863100000002</v>
      </c>
      <c r="J23" s="2">
        <f t="shared" ref="J23" si="29">+J21-J22</f>
        <v>97061.604255000013</v>
      </c>
      <c r="K23" s="2">
        <f t="shared" ref="K23" si="30">+K21-K22</f>
        <v>102155.42798774995</v>
      </c>
      <c r="L23" s="2">
        <f t="shared" ref="L23" si="31">+L21-L22</f>
        <v>107499.28547193752</v>
      </c>
      <c r="M23" s="2">
        <f t="shared" ref="M23" si="32">+M21-M22</f>
        <v>113105.72496948637</v>
      </c>
      <c r="N23" s="2">
        <f t="shared" ref="N23" si="33">+N21-N22</f>
        <v>118987.9216896732</v>
      </c>
      <c r="O23" s="2">
        <f t="shared" ref="O23" si="34">+O21-O22</f>
        <v>125159.70914115223</v>
      </c>
      <c r="P23" s="2">
        <f t="shared" ref="P23" si="35">+P21-P22</f>
        <v>131635.61205153528</v>
      </c>
    </row>
    <row r="24" spans="1:114" s="1" customFormat="1" x14ac:dyDescent="0.25">
      <c r="B24" s="1" t="s">
        <v>10</v>
      </c>
      <c r="D24" s="1">
        <v>9572</v>
      </c>
      <c r="E24" s="1">
        <v>4437</v>
      </c>
      <c r="F24" s="1">
        <f>3741*2</f>
        <v>7482</v>
      </c>
      <c r="G24" s="1">
        <f>+F24*0.98</f>
        <v>7332.36</v>
      </c>
      <c r="H24" s="1">
        <f t="shared" ref="H24:P24" si="36">+G24*0.98</f>
        <v>7185.7127999999993</v>
      </c>
      <c r="I24" s="1">
        <f t="shared" si="36"/>
        <v>7041.9985439999991</v>
      </c>
      <c r="J24" s="1">
        <f t="shared" si="36"/>
        <v>6901.1585731199993</v>
      </c>
      <c r="K24" s="1">
        <f t="shared" si="36"/>
        <v>6763.1354016575997</v>
      </c>
      <c r="L24" s="1">
        <f t="shared" si="36"/>
        <v>6627.8726936244475</v>
      </c>
      <c r="M24" s="1">
        <f t="shared" si="36"/>
        <v>6495.3152397519589</v>
      </c>
      <c r="N24" s="1">
        <f t="shared" si="36"/>
        <v>6365.4089349569194</v>
      </c>
      <c r="O24" s="1">
        <f t="shared" si="36"/>
        <v>6238.1007562577806</v>
      </c>
      <c r="P24" s="1">
        <f t="shared" si="36"/>
        <v>6113.3387411326248</v>
      </c>
    </row>
    <row r="25" spans="1:114" s="1" customFormat="1" x14ac:dyDescent="0.25">
      <c r="B25" s="1" t="s">
        <v>11</v>
      </c>
      <c r="D25" s="1">
        <f>+D23-D24</f>
        <v>19112</v>
      </c>
      <c r="E25" s="1">
        <f t="shared" ref="E25:G25" si="37">+E23-E24</f>
        <v>58283</v>
      </c>
      <c r="F25" s="1">
        <f t="shared" si="37"/>
        <v>73250</v>
      </c>
      <c r="G25" s="1">
        <f t="shared" si="37"/>
        <v>75831.27999999997</v>
      </c>
      <c r="H25" s="1">
        <f t="shared" ref="H25" si="38">+H23-H24</f>
        <v>80391.109200000006</v>
      </c>
      <c r="I25" s="1">
        <f t="shared" ref="I25" si="39">+I23-I24</f>
        <v>85163.864556</v>
      </c>
      <c r="J25" s="1">
        <f t="shared" ref="J25" si="40">+J23-J24</f>
        <v>90160.44568188001</v>
      </c>
      <c r="K25" s="1">
        <f t="shared" ref="K25" si="41">+K23-K24</f>
        <v>95392.292586092357</v>
      </c>
      <c r="L25" s="1">
        <f t="shared" ref="L25" si="42">+L23-L24</f>
        <v>100871.41277831307</v>
      </c>
      <c r="M25" s="1">
        <f t="shared" ref="M25" si="43">+M23-M24</f>
        <v>106610.40972973441</v>
      </c>
      <c r="N25" s="1">
        <f t="shared" ref="N25" si="44">+N23-N24</f>
        <v>112622.51275471627</v>
      </c>
      <c r="O25" s="1">
        <f t="shared" ref="O25" si="45">+O23-O24</f>
        <v>118921.60838489444</v>
      </c>
      <c r="P25" s="1">
        <f t="shared" ref="P25" si="46">+P23-P24</f>
        <v>125522.27331040266</v>
      </c>
    </row>
    <row r="26" spans="1:114" s="1" customFormat="1" x14ac:dyDescent="0.25">
      <c r="B26" s="1" t="s">
        <v>12</v>
      </c>
      <c r="D26" s="1">
        <v>7478</v>
      </c>
      <c r="E26" s="1">
        <v>17076</v>
      </c>
      <c r="F26" s="1">
        <f>7692*2</f>
        <v>15384</v>
      </c>
      <c r="G26" s="1">
        <f>+G25*0.25</f>
        <v>18957.819999999992</v>
      </c>
      <c r="H26" s="1">
        <f t="shared" ref="H26:P26" si="47">+H25*0.25</f>
        <v>20097.777300000002</v>
      </c>
      <c r="I26" s="1">
        <f t="shared" si="47"/>
        <v>21290.966139</v>
      </c>
      <c r="J26" s="1">
        <f t="shared" si="47"/>
        <v>22540.111420470002</v>
      </c>
      <c r="K26" s="1">
        <f t="shared" si="47"/>
        <v>23848.073146523089</v>
      </c>
      <c r="L26" s="1">
        <f t="shared" si="47"/>
        <v>25217.853194578267</v>
      </c>
      <c r="M26" s="1">
        <f t="shared" si="47"/>
        <v>26652.602432433603</v>
      </c>
      <c r="N26" s="1">
        <f t="shared" si="47"/>
        <v>28155.628188679068</v>
      </c>
      <c r="O26" s="1">
        <f t="shared" si="47"/>
        <v>29730.40209622361</v>
      </c>
      <c r="P26" s="1">
        <f t="shared" si="47"/>
        <v>31380.568327600664</v>
      </c>
    </row>
    <row r="27" spans="1:114" s="1" customFormat="1" x14ac:dyDescent="0.25">
      <c r="B27" s="1" t="s">
        <v>13</v>
      </c>
      <c r="D27" s="1">
        <f>+D25-D26</f>
        <v>11634</v>
      </c>
      <c r="E27" s="1">
        <f t="shared" ref="E27:G27" si="48">+E25-E26</f>
        <v>41207</v>
      </c>
      <c r="F27" s="1">
        <f t="shared" si="48"/>
        <v>57866</v>
      </c>
      <c r="G27" s="1">
        <f t="shared" si="48"/>
        <v>56873.459999999977</v>
      </c>
      <c r="H27" s="1">
        <f t="shared" ref="H27" si="49">+H25-H26</f>
        <v>60293.331900000005</v>
      </c>
      <c r="I27" s="1">
        <f t="shared" ref="I27" si="50">+I25-I26</f>
        <v>63872.898417000004</v>
      </c>
      <c r="J27" s="1">
        <f t="shared" ref="J27" si="51">+J25-J26</f>
        <v>67620.334261410011</v>
      </c>
      <c r="K27" s="1">
        <f t="shared" ref="K27" si="52">+K25-K26</f>
        <v>71544.219439569264</v>
      </c>
      <c r="L27" s="1">
        <f t="shared" ref="L27" si="53">+L25-L26</f>
        <v>75653.559583734808</v>
      </c>
      <c r="M27" s="1">
        <f t="shared" ref="M27" si="54">+M25-M26</f>
        <v>79957.807297300809</v>
      </c>
      <c r="N27" s="1">
        <f t="shared" ref="N27" si="55">+N25-N26</f>
        <v>84466.884566037203</v>
      </c>
      <c r="O27" s="1">
        <f t="shared" ref="O27" si="56">+O25-O26</f>
        <v>89191.20628867083</v>
      </c>
      <c r="P27" s="1">
        <f t="shared" ref="P27" si="57">+P25-P26</f>
        <v>94141.704982801995</v>
      </c>
      <c r="Q27" s="1">
        <f>+P27*(1+$S30)</f>
        <v>93200.287932973981</v>
      </c>
      <c r="R27" s="1">
        <f t="shared" ref="R27:CC27" si="58">+Q27*(1+$S30)</f>
        <v>92268.285053644242</v>
      </c>
      <c r="S27" s="1">
        <f t="shared" si="58"/>
        <v>91345.602203107803</v>
      </c>
      <c r="T27" s="1">
        <f t="shared" si="58"/>
        <v>90432.146181076721</v>
      </c>
      <c r="U27" s="1">
        <f t="shared" si="58"/>
        <v>89527.824719265947</v>
      </c>
      <c r="V27" s="1">
        <f t="shared" si="58"/>
        <v>88632.546472073285</v>
      </c>
      <c r="W27" s="1">
        <f t="shared" si="58"/>
        <v>87746.221007352549</v>
      </c>
      <c r="X27" s="1">
        <f t="shared" si="58"/>
        <v>86868.758797279021</v>
      </c>
      <c r="Y27" s="1">
        <f t="shared" si="58"/>
        <v>86000.071209306232</v>
      </c>
      <c r="Z27" s="1">
        <f t="shared" si="58"/>
        <v>85140.070497213164</v>
      </c>
      <c r="AA27" s="1">
        <f t="shared" si="58"/>
        <v>84288.669792241039</v>
      </c>
      <c r="AB27" s="1">
        <f t="shared" si="58"/>
        <v>83445.783094318627</v>
      </c>
      <c r="AC27" s="1">
        <f t="shared" si="58"/>
        <v>82611.325263375446</v>
      </c>
      <c r="AD27" s="1">
        <f t="shared" si="58"/>
        <v>81785.212010741685</v>
      </c>
      <c r="AE27" s="1">
        <f t="shared" si="58"/>
        <v>80967.359890634267</v>
      </c>
      <c r="AF27" s="1">
        <f t="shared" si="58"/>
        <v>80157.686291727921</v>
      </c>
      <c r="AG27" s="1">
        <f t="shared" si="58"/>
        <v>79356.10942881064</v>
      </c>
      <c r="AH27" s="1">
        <f t="shared" si="58"/>
        <v>78562.548334522537</v>
      </c>
      <c r="AI27" s="1">
        <f t="shared" si="58"/>
        <v>77776.922851177311</v>
      </c>
      <c r="AJ27" s="1">
        <f t="shared" si="58"/>
        <v>76999.15362266553</v>
      </c>
      <c r="AK27" s="1">
        <f t="shared" si="58"/>
        <v>76229.162086438868</v>
      </c>
      <c r="AL27" s="1">
        <f t="shared" si="58"/>
        <v>75466.87046557448</v>
      </c>
      <c r="AM27" s="1">
        <f t="shared" si="58"/>
        <v>74712.201760918731</v>
      </c>
      <c r="AN27" s="1">
        <f t="shared" si="58"/>
        <v>73965.079743309543</v>
      </c>
      <c r="AO27" s="1">
        <f t="shared" si="58"/>
        <v>73225.428945876454</v>
      </c>
      <c r="AP27" s="1">
        <f t="shared" si="58"/>
        <v>72493.174656417686</v>
      </c>
      <c r="AQ27" s="1">
        <f t="shared" si="58"/>
        <v>71768.242909853507</v>
      </c>
      <c r="AR27" s="1">
        <f t="shared" si="58"/>
        <v>71050.560480754968</v>
      </c>
      <c r="AS27" s="1">
        <f t="shared" si="58"/>
        <v>70340.054875947419</v>
      </c>
      <c r="AT27" s="1">
        <f t="shared" si="58"/>
        <v>69636.654327187949</v>
      </c>
      <c r="AU27" s="1">
        <f t="shared" si="58"/>
        <v>68940.287783916065</v>
      </c>
      <c r="AV27" s="1">
        <f t="shared" si="58"/>
        <v>68250.884906076899</v>
      </c>
      <c r="AW27" s="1">
        <f t="shared" si="58"/>
        <v>67568.376057016125</v>
      </c>
      <c r="AX27" s="1">
        <f t="shared" si="58"/>
        <v>66892.692296445966</v>
      </c>
      <c r="AY27" s="1">
        <f t="shared" si="58"/>
        <v>66223.76537348151</v>
      </c>
      <c r="AZ27" s="1">
        <f t="shared" si="58"/>
        <v>65561.527719746693</v>
      </c>
      <c r="BA27" s="1">
        <f t="shared" si="58"/>
        <v>64905.912442549226</v>
      </c>
      <c r="BB27" s="1">
        <f t="shared" si="58"/>
        <v>64256.853318123736</v>
      </c>
      <c r="BC27" s="1">
        <f t="shared" si="58"/>
        <v>63614.284784942502</v>
      </c>
      <c r="BD27" s="1">
        <f t="shared" si="58"/>
        <v>62978.141937093074</v>
      </c>
      <c r="BE27" s="1">
        <f t="shared" si="58"/>
        <v>62348.36051772214</v>
      </c>
      <c r="BF27" s="1">
        <f t="shared" si="58"/>
        <v>61724.876912544918</v>
      </c>
      <c r="BG27" s="1">
        <f t="shared" si="58"/>
        <v>61107.628143419468</v>
      </c>
      <c r="BH27" s="1">
        <f t="shared" si="58"/>
        <v>60496.551861985274</v>
      </c>
      <c r="BI27" s="1">
        <f t="shared" si="58"/>
        <v>59891.586343365423</v>
      </c>
      <c r="BJ27" s="1">
        <f t="shared" si="58"/>
        <v>59292.670479931767</v>
      </c>
      <c r="BK27" s="1">
        <f t="shared" si="58"/>
        <v>58699.743775132447</v>
      </c>
      <c r="BL27" s="1">
        <f t="shared" si="58"/>
        <v>58112.746337381119</v>
      </c>
      <c r="BM27" s="1">
        <f t="shared" si="58"/>
        <v>57531.618874007305</v>
      </c>
      <c r="BN27" s="1">
        <f t="shared" si="58"/>
        <v>56956.302685267234</v>
      </c>
      <c r="BO27" s="1">
        <f t="shared" si="58"/>
        <v>56386.739658414561</v>
      </c>
      <c r="BP27" s="1">
        <f t="shared" si="58"/>
        <v>55822.872261830416</v>
      </c>
      <c r="BQ27" s="1">
        <f t="shared" si="58"/>
        <v>55264.643539212113</v>
      </c>
      <c r="BR27" s="1">
        <f t="shared" si="58"/>
        <v>54711.997103819995</v>
      </c>
      <c r="BS27" s="1">
        <f t="shared" si="58"/>
        <v>54164.877132781796</v>
      </c>
      <c r="BT27" s="1">
        <f t="shared" si="58"/>
        <v>53623.228361453977</v>
      </c>
      <c r="BU27" s="1">
        <f t="shared" si="58"/>
        <v>53086.996077839438</v>
      </c>
      <c r="BV27" s="1">
        <f t="shared" si="58"/>
        <v>52556.126117061045</v>
      </c>
      <c r="BW27" s="1">
        <f t="shared" si="58"/>
        <v>52030.564855890436</v>
      </c>
      <c r="BX27" s="1">
        <f t="shared" si="58"/>
        <v>51510.259207331532</v>
      </c>
      <c r="BY27" s="1">
        <f t="shared" si="58"/>
        <v>50995.156615258216</v>
      </c>
      <c r="BZ27" s="1">
        <f t="shared" si="58"/>
        <v>50485.205049105636</v>
      </c>
      <c r="CA27" s="1">
        <f t="shared" si="58"/>
        <v>49980.35299861458</v>
      </c>
      <c r="CB27" s="1">
        <f t="shared" si="58"/>
        <v>49480.549468628436</v>
      </c>
      <c r="CC27" s="1">
        <f t="shared" si="58"/>
        <v>48985.743973942153</v>
      </c>
      <c r="CD27" s="1">
        <f t="shared" ref="CD27:DJ27" si="59">+CC27*(1+$S30)</f>
        <v>48495.886534202735</v>
      </c>
      <c r="CE27" s="1">
        <f t="shared" si="59"/>
        <v>48010.927668860706</v>
      </c>
      <c r="CF27" s="1">
        <f t="shared" si="59"/>
        <v>47530.818392172099</v>
      </c>
      <c r="CG27" s="1">
        <f t="shared" si="59"/>
        <v>47055.51020825038</v>
      </c>
      <c r="CH27" s="1">
        <f t="shared" si="59"/>
        <v>46584.955106167872</v>
      </c>
      <c r="CI27" s="1">
        <f t="shared" si="59"/>
        <v>46119.105555106195</v>
      </c>
      <c r="CJ27" s="1">
        <f t="shared" si="59"/>
        <v>45657.914499555132</v>
      </c>
      <c r="CK27" s="1">
        <f t="shared" si="59"/>
        <v>45201.335354559582</v>
      </c>
      <c r="CL27" s="1">
        <f t="shared" si="59"/>
        <v>44749.322001013985</v>
      </c>
      <c r="CM27" s="1">
        <f t="shared" si="59"/>
        <v>44301.828781003846</v>
      </c>
      <c r="CN27" s="1">
        <f t="shared" si="59"/>
        <v>43858.810493193807</v>
      </c>
      <c r="CO27" s="1">
        <f t="shared" si="59"/>
        <v>43420.222388261871</v>
      </c>
      <c r="CP27" s="1">
        <f t="shared" si="59"/>
        <v>42986.020164379253</v>
      </c>
      <c r="CQ27" s="1">
        <f t="shared" si="59"/>
        <v>42556.159962735459</v>
      </c>
      <c r="CR27" s="1">
        <f t="shared" si="59"/>
        <v>42130.598363108104</v>
      </c>
      <c r="CS27" s="1">
        <f t="shared" si="59"/>
        <v>41709.292379477025</v>
      </c>
      <c r="CT27" s="1">
        <f t="shared" si="59"/>
        <v>41292.199455682254</v>
      </c>
      <c r="CU27" s="1">
        <f t="shared" si="59"/>
        <v>40879.277461125428</v>
      </c>
      <c r="CV27" s="1">
        <f t="shared" si="59"/>
        <v>40470.484686514174</v>
      </c>
      <c r="CW27" s="1">
        <f t="shared" si="59"/>
        <v>40065.779839649033</v>
      </c>
      <c r="CX27" s="1">
        <f t="shared" si="59"/>
        <v>39665.122041252544</v>
      </c>
      <c r="CY27" s="1">
        <f t="shared" si="59"/>
        <v>39268.470820840019</v>
      </c>
      <c r="CZ27" s="1">
        <f t="shared" si="59"/>
        <v>38875.78611263162</v>
      </c>
      <c r="DA27" s="1">
        <f t="shared" si="59"/>
        <v>38487.028251505304</v>
      </c>
      <c r="DB27" s="1">
        <f t="shared" si="59"/>
        <v>38102.15796899025</v>
      </c>
      <c r="DC27" s="1">
        <f t="shared" si="59"/>
        <v>37721.136389300351</v>
      </c>
      <c r="DD27" s="1">
        <f t="shared" si="59"/>
        <v>37343.925025407349</v>
      </c>
      <c r="DE27" s="1">
        <f t="shared" si="59"/>
        <v>36970.485775153276</v>
      </c>
      <c r="DF27" s="1">
        <f t="shared" si="59"/>
        <v>36600.780917401746</v>
      </c>
      <c r="DG27" s="1">
        <f t="shared" si="59"/>
        <v>36234.773108227731</v>
      </c>
      <c r="DH27" s="1">
        <f t="shared" si="59"/>
        <v>35872.425377145453</v>
      </c>
      <c r="DI27" s="1">
        <f t="shared" si="59"/>
        <v>35513.701123373998</v>
      </c>
      <c r="DJ27" s="1">
        <f t="shared" si="59"/>
        <v>35158.564112140259</v>
      </c>
    </row>
    <row r="28" spans="1:114" s="1" customFormat="1" x14ac:dyDescent="0.25">
      <c r="D28" s="8"/>
      <c r="E28" s="8"/>
      <c r="F28" s="8"/>
    </row>
    <row r="29" spans="1:114" s="3" customFormat="1" x14ac:dyDescent="0.25">
      <c r="B29" s="3" t="s">
        <v>16</v>
      </c>
      <c r="D29" s="3">
        <f>+D21/D9</f>
        <v>0.1429921579294352</v>
      </c>
      <c r="E29" s="3">
        <f>+E21/E9</f>
        <v>0.23893060086474704</v>
      </c>
      <c r="F29" s="3">
        <f>+F21/F9</f>
        <v>0.21352414922798074</v>
      </c>
      <c r="G29" s="3">
        <f>+G21/G9</f>
        <v>0.21038497806000295</v>
      </c>
      <c r="H29" s="3">
        <f t="shared" ref="H29:P29" si="60">+H21/H9</f>
        <v>0.20989045529524095</v>
      </c>
      <c r="I29" s="3">
        <f t="shared" si="60"/>
        <v>0.2094194812335628</v>
      </c>
      <c r="J29" s="3">
        <f t="shared" si="60"/>
        <v>0.20897093450815507</v>
      </c>
      <c r="K29" s="3">
        <f t="shared" si="60"/>
        <v>0.20854374715062376</v>
      </c>
      <c r="L29" s="3">
        <f t="shared" si="60"/>
        <v>0.20813690204821322</v>
      </c>
      <c r="M29" s="3">
        <f t="shared" si="60"/>
        <v>0.20774943052210779</v>
      </c>
      <c r="N29" s="3">
        <f t="shared" si="60"/>
        <v>0.20738041002105503</v>
      </c>
      <c r="O29" s="3">
        <f t="shared" si="60"/>
        <v>0.20702896192481432</v>
      </c>
      <c r="P29" s="3">
        <f t="shared" si="60"/>
        <v>0.20669424945220413</v>
      </c>
    </row>
    <row r="30" spans="1:114" s="3" customFormat="1" x14ac:dyDescent="0.25">
      <c r="B30" s="3" t="s">
        <v>15</v>
      </c>
      <c r="D30" s="3">
        <f>+D27/D9</f>
        <v>5.3635890035821802E-2</v>
      </c>
      <c r="E30" s="3">
        <f>+E27/E9</f>
        <v>0.14580045714123965</v>
      </c>
      <c r="F30" s="3">
        <f>+F27/F9</f>
        <v>0.14021866609803144</v>
      </c>
      <c r="G30" s="3">
        <f>+G27/G9</f>
        <v>0.13125102984365755</v>
      </c>
      <c r="H30" s="3">
        <f t="shared" ref="H30:P30" si="61">+H27/H9</f>
        <v>0.13251744527957252</v>
      </c>
      <c r="I30" s="3">
        <f t="shared" si="61"/>
        <v>0.1336999039938214</v>
      </c>
      <c r="J30" s="3">
        <f t="shared" si="61"/>
        <v>0.13480390890636976</v>
      </c>
      <c r="K30" s="3">
        <f t="shared" si="61"/>
        <v>0.13583460466231767</v>
      </c>
      <c r="L30" s="3">
        <f t="shared" si="61"/>
        <v>0.13679680087366947</v>
      </c>
      <c r="M30" s="3">
        <f t="shared" si="61"/>
        <v>0.13769499385567086</v>
      </c>
      <c r="N30" s="3">
        <f t="shared" si="61"/>
        <v>0.13853338695521844</v>
      </c>
      <c r="O30" s="3">
        <f t="shared" si="61"/>
        <v>0.13931590956251774</v>
      </c>
      <c r="P30" s="3">
        <f t="shared" si="61"/>
        <v>0.14004623489126367</v>
      </c>
      <c r="R30" s="3" t="s">
        <v>40</v>
      </c>
      <c r="S30" s="3">
        <v>-0.01</v>
      </c>
    </row>
    <row r="31" spans="1:114" s="3" customFormat="1" x14ac:dyDescent="0.25">
      <c r="B31" s="3" t="s">
        <v>31</v>
      </c>
      <c r="E31" s="3">
        <f>+E9/D9 -1</f>
        <v>0.30298238415542156</v>
      </c>
      <c r="F31" s="3">
        <f>+F9/E9 -1</f>
        <v>0.46017705377424578</v>
      </c>
      <c r="G31" s="3">
        <f>+G9/F9 -1</f>
        <v>5.0000000000000044E-2</v>
      </c>
      <c r="H31" s="3">
        <f t="shared" ref="H31:P31" si="62">+H9/G9 -1</f>
        <v>5.0000000000000044E-2</v>
      </c>
      <c r="I31" s="3">
        <f t="shared" si="62"/>
        <v>5.0000000000000044E-2</v>
      </c>
      <c r="J31" s="3">
        <f t="shared" si="62"/>
        <v>5.0000000000000044E-2</v>
      </c>
      <c r="K31" s="3">
        <f t="shared" si="62"/>
        <v>5.0000000000000044E-2</v>
      </c>
      <c r="L31" s="3">
        <f t="shared" si="62"/>
        <v>5.0000000000000044E-2</v>
      </c>
      <c r="M31" s="3">
        <f t="shared" si="62"/>
        <v>5.0000000000000044E-2</v>
      </c>
      <c r="N31" s="3">
        <f t="shared" si="62"/>
        <v>5.0000000000000044E-2</v>
      </c>
      <c r="O31" s="3">
        <f t="shared" si="62"/>
        <v>5.0000000000000044E-2</v>
      </c>
      <c r="P31" s="3">
        <f t="shared" si="62"/>
        <v>5.0000000000000044E-2</v>
      </c>
      <c r="R31" s="3" t="s">
        <v>41</v>
      </c>
      <c r="S31" s="3">
        <v>0.08</v>
      </c>
    </row>
    <row r="32" spans="1:114" s="1" customFormat="1" x14ac:dyDescent="0.25">
      <c r="R32" s="1" t="s">
        <v>42</v>
      </c>
      <c r="S32" s="1">
        <f>NPV(S31,F27:DJ27)</f>
        <v>943587.30209909391</v>
      </c>
    </row>
    <row r="33" spans="2:19" s="1" customFormat="1" x14ac:dyDescent="0.25">
      <c r="B33" s="1" t="s">
        <v>17</v>
      </c>
      <c r="D33" s="1">
        <v>38053</v>
      </c>
      <c r="E33" s="1">
        <v>48654</v>
      </c>
      <c r="F33" s="1">
        <f>14139*2</f>
        <v>28278</v>
      </c>
      <c r="R33" s="1" t="s">
        <v>43</v>
      </c>
      <c r="S33" s="1">
        <f>+F42-F45</f>
        <v>-103992</v>
      </c>
    </row>
    <row r="34" spans="2:19" s="1" customFormat="1" x14ac:dyDescent="0.25">
      <c r="B34" s="1" t="s">
        <v>18</v>
      </c>
      <c r="D34" s="1">
        <f>5233+326</f>
        <v>5559</v>
      </c>
      <c r="E34" s="1">
        <f>6665+862</f>
        <v>7527</v>
      </c>
      <c r="F34" s="1">
        <f>8961*2</f>
        <v>17922</v>
      </c>
      <c r="R34" s="1" t="s">
        <v>44</v>
      </c>
      <c r="S34" s="1">
        <f>+S32+S33</f>
        <v>839595.30209909391</v>
      </c>
    </row>
    <row r="35" spans="2:19" s="1" customFormat="1" x14ac:dyDescent="0.25">
      <c r="B35" s="1" t="s">
        <v>19</v>
      </c>
      <c r="D35" s="1">
        <f>+D33-D34</f>
        <v>32494</v>
      </c>
      <c r="E35" s="1">
        <f>+E33-E34</f>
        <v>41127</v>
      </c>
      <c r="F35" s="1">
        <f>+F33-F34</f>
        <v>10356</v>
      </c>
      <c r="R35" s="1" t="s">
        <v>45</v>
      </c>
      <c r="S35" s="1">
        <v>37239</v>
      </c>
    </row>
    <row r="36" spans="2:19" s="1" customFormat="1" x14ac:dyDescent="0.25">
      <c r="R36" s="1" t="s">
        <v>46</v>
      </c>
      <c r="S36" s="7">
        <f>+S34/S35</f>
        <v>22.546129114613549</v>
      </c>
    </row>
    <row r="37" spans="2:19" s="1" customFormat="1" x14ac:dyDescent="0.25">
      <c r="B37" s="1" t="s">
        <v>30</v>
      </c>
      <c r="E37" s="1">
        <v>217467</v>
      </c>
      <c r="R37" s="1" t="s">
        <v>47</v>
      </c>
      <c r="S37" s="8">
        <v>16.27</v>
      </c>
    </row>
    <row r="38" spans="2:19" s="1" customFormat="1" x14ac:dyDescent="0.25">
      <c r="R38" s="1" t="s">
        <v>48</v>
      </c>
      <c r="S38" s="3">
        <f>+S36/S37 -1</f>
        <v>0.38574856266831903</v>
      </c>
    </row>
    <row r="39" spans="2:19" s="1" customFormat="1" x14ac:dyDescent="0.25">
      <c r="B39" s="1" t="s">
        <v>32</v>
      </c>
      <c r="F39" s="1">
        <v>1192</v>
      </c>
    </row>
    <row r="40" spans="2:19" s="1" customFormat="1" x14ac:dyDescent="0.25">
      <c r="B40" s="1" t="s">
        <v>33</v>
      </c>
      <c r="F40" s="1">
        <f>+F13/F39</f>
        <v>62.61241610738255</v>
      </c>
      <c r="Q40" s="9"/>
    </row>
    <row r="41" spans="2:19" s="1" customFormat="1" x14ac:dyDescent="0.25"/>
    <row r="42" spans="2:19" s="1" customFormat="1" x14ac:dyDescent="0.25">
      <c r="B42" s="1" t="s">
        <v>34</v>
      </c>
      <c r="D42" s="1">
        <v>52999</v>
      </c>
      <c r="E42" s="1">
        <v>76795</v>
      </c>
      <c r="F42" s="1">
        <v>55997</v>
      </c>
    </row>
    <row r="43" spans="2:19" s="1" customFormat="1" x14ac:dyDescent="0.25">
      <c r="B43" s="1" t="s">
        <v>37</v>
      </c>
      <c r="D43" s="1">
        <v>31663</v>
      </c>
      <c r="E43" s="1">
        <v>62022</v>
      </c>
      <c r="F43" s="1">
        <v>71300</v>
      </c>
    </row>
    <row r="44" spans="2:19" s="1" customFormat="1" x14ac:dyDescent="0.25">
      <c r="B44" s="1" t="s">
        <v>36</v>
      </c>
      <c r="D44" s="1">
        <v>18791</v>
      </c>
      <c r="E44" s="1">
        <v>37011</v>
      </c>
      <c r="F44" s="1">
        <v>44528</v>
      </c>
    </row>
    <row r="45" spans="2:19" s="1" customFormat="1" x14ac:dyDescent="0.25">
      <c r="B45" s="1" t="s">
        <v>35</v>
      </c>
      <c r="D45" s="1">
        <f>33690+12629</f>
        <v>46319</v>
      </c>
      <c r="E45" s="1">
        <f>138630+29421</f>
        <v>168051</v>
      </c>
      <c r="F45" s="1">
        <f>33658+126331</f>
        <v>159989</v>
      </c>
    </row>
    <row r="46" spans="2:19" s="1" customFormat="1" x14ac:dyDescent="0.25">
      <c r="B46" s="1" t="s">
        <v>39</v>
      </c>
      <c r="D46" s="1">
        <f>+D45-D42</f>
        <v>-6680</v>
      </c>
      <c r="E46" s="1">
        <f>+E45-E42</f>
        <v>91256</v>
      </c>
      <c r="F46" s="1">
        <f>+F45-F42</f>
        <v>103992</v>
      </c>
    </row>
    <row r="47" spans="2:19" s="1" customFormat="1" x14ac:dyDescent="0.25"/>
    <row r="48" spans="2:19" s="8" customFormat="1" x14ac:dyDescent="0.25">
      <c r="B48" s="8" t="s">
        <v>38</v>
      </c>
      <c r="D48" s="8">
        <f>+D24/D45</f>
        <v>0.20665385694855243</v>
      </c>
      <c r="E48" s="8">
        <f>+E24/E45</f>
        <v>2.6402699180605886E-2</v>
      </c>
      <c r="F48" s="8">
        <f>+F24/F45</f>
        <v>4.6765715142916074E-2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2025-12-12T13:25:47Z</dcterms:created>
  <dcterms:modified xsi:type="dcterms:W3CDTF">2025-12-12T16:24:23Z</dcterms:modified>
</cp:coreProperties>
</file>