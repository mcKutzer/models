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573D54F-F1F6-4135-9B41-499330D71F96}" xr6:coauthVersionLast="47" xr6:coauthVersionMax="47" xr10:uidLastSave="{00000000-0000-0000-0000-000000000000}"/>
  <bookViews>
    <workbookView xWindow="-120" yWindow="-120" windowWidth="29040" windowHeight="15840" activeTab="1" xr2:uid="{0D6327A2-4CD2-47EC-9048-04B05443F19C}"/>
  </bookViews>
  <sheets>
    <sheet name="Main" sheetId="1" r:id="rId1"/>
    <sheet name="Modell" sheetId="2" r:id="rId2"/>
    <sheet name="Products" sheetId="3" r:id="rId3"/>
  </sheets>
  <definedNames>
    <definedName name="MV">Modell!$AM$41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" l="1"/>
  <c r="G38" i="2"/>
  <c r="G47" i="2"/>
  <c r="G48" i="2"/>
  <c r="G49" i="2"/>
  <c r="AA35" i="2"/>
  <c r="Q38" i="2"/>
  <c r="R38" i="2"/>
  <c r="S38" i="2"/>
  <c r="T38" i="2"/>
  <c r="U38" i="2"/>
  <c r="W38" i="2"/>
  <c r="X38" i="2"/>
  <c r="Y38" i="2"/>
  <c r="Z38" i="2"/>
  <c r="P38" i="2"/>
  <c r="AA14" i="2"/>
  <c r="AB14" i="2" s="1"/>
  <c r="AC14" i="2" s="1"/>
  <c r="AD14" i="2" s="1"/>
  <c r="AE14" i="2" s="1"/>
  <c r="AF14" i="2" s="1"/>
  <c r="AG14" i="2" s="1"/>
  <c r="AH14" i="2" s="1"/>
  <c r="AI14" i="2" s="1"/>
  <c r="AJ14" i="2" s="1"/>
  <c r="Y67" i="2" l="1"/>
  <c r="Z67" i="2"/>
  <c r="Z63" i="2"/>
  <c r="Z58" i="2"/>
  <c r="E5" i="1" s="1"/>
  <c r="AM44" i="2" s="1"/>
  <c r="E3" i="1"/>
  <c r="E4" i="1" s="1"/>
  <c r="I3" i="1" s="1"/>
  <c r="I4" i="1" s="1"/>
  <c r="Z52" i="2"/>
  <c r="Z53" i="2" s="1"/>
  <c r="Z55" i="2" s="1"/>
  <c r="AB35" i="2"/>
  <c r="AC35" i="2" s="1"/>
  <c r="AD35" i="2" s="1"/>
  <c r="AE35" i="2" s="1"/>
  <c r="AF35" i="2" s="1"/>
  <c r="AG35" i="2" s="1"/>
  <c r="AH35" i="2" s="1"/>
  <c r="AI35" i="2" s="1"/>
  <c r="AJ35" i="2" s="1"/>
  <c r="AA22" i="2"/>
  <c r="AB22" i="2" s="1"/>
  <c r="AC22" i="2" s="1"/>
  <c r="X63" i="2"/>
  <c r="Y63" i="2"/>
  <c r="Y59" i="2"/>
  <c r="X58" i="2"/>
  <c r="Y58" i="2"/>
  <c r="Y52" i="2"/>
  <c r="Y53" i="2" s="1"/>
  <c r="Y55" i="2" s="1"/>
  <c r="X52" i="2"/>
  <c r="X53" i="2" s="1"/>
  <c r="X55" i="2" s="1"/>
  <c r="W52" i="2"/>
  <c r="W53" i="2" s="1"/>
  <c r="Y29" i="2"/>
  <c r="AA12" i="2"/>
  <c r="V28" i="2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V27" i="2"/>
  <c r="V24" i="2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H48" i="2"/>
  <c r="I48" i="2"/>
  <c r="H49" i="2"/>
  <c r="I49" i="2"/>
  <c r="H47" i="2"/>
  <c r="I47" i="2"/>
  <c r="R15" i="2"/>
  <c r="R48" i="2" s="1"/>
  <c r="S15" i="2"/>
  <c r="S48" i="2" s="1"/>
  <c r="T15" i="2"/>
  <c r="T48" i="2" s="1"/>
  <c r="U15" i="2"/>
  <c r="U48" i="2" s="1"/>
  <c r="R19" i="2"/>
  <c r="S19" i="2"/>
  <c r="T19" i="2"/>
  <c r="U19" i="2"/>
  <c r="R25" i="2"/>
  <c r="S25" i="2"/>
  <c r="T25" i="2"/>
  <c r="U25" i="2"/>
  <c r="Q15" i="2"/>
  <c r="Q49" i="2" s="1"/>
  <c r="Q19" i="2"/>
  <c r="Q25" i="2"/>
  <c r="P25" i="2"/>
  <c r="P19" i="2"/>
  <c r="P15" i="2"/>
  <c r="I25" i="2"/>
  <c r="I19" i="2"/>
  <c r="I15" i="2"/>
  <c r="H25" i="2"/>
  <c r="H19" i="2"/>
  <c r="H15" i="2"/>
  <c r="G25" i="2"/>
  <c r="G19" i="2"/>
  <c r="G15" i="2"/>
  <c r="E25" i="2"/>
  <c r="E19" i="2"/>
  <c r="E15" i="2"/>
  <c r="D25" i="2"/>
  <c r="D19" i="2"/>
  <c r="D15" i="2"/>
  <c r="C25" i="2"/>
  <c r="C19" i="2"/>
  <c r="C15" i="2"/>
  <c r="G45" i="2" l="1"/>
  <c r="E8" i="1"/>
  <c r="AA16" i="2"/>
  <c r="AA38" i="2" s="1"/>
  <c r="AB12" i="2"/>
  <c r="AB16" i="2" s="1"/>
  <c r="AB38" i="2" s="1"/>
  <c r="Z64" i="2"/>
  <c r="U47" i="2"/>
  <c r="U49" i="2"/>
  <c r="T47" i="2"/>
  <c r="T49" i="2"/>
  <c r="S47" i="2"/>
  <c r="S49" i="2"/>
  <c r="R47" i="2"/>
  <c r="R49" i="2"/>
  <c r="Q47" i="2"/>
  <c r="Q48" i="2"/>
  <c r="Y64" i="2"/>
  <c r="AA21" i="2"/>
  <c r="R45" i="2"/>
  <c r="H45" i="2"/>
  <c r="AA27" i="2"/>
  <c r="AB27" i="2" s="1"/>
  <c r="AC27" i="2" s="1"/>
  <c r="AD27" i="2" s="1"/>
  <c r="AE27" i="2" s="1"/>
  <c r="AF27" i="2" s="1"/>
  <c r="AG27" i="2" s="1"/>
  <c r="AH27" i="2" s="1"/>
  <c r="AI27" i="2" s="1"/>
  <c r="AJ27" i="2" s="1"/>
  <c r="F25" i="2"/>
  <c r="U45" i="2"/>
  <c r="S45" i="2"/>
  <c r="Q45" i="2"/>
  <c r="I45" i="2"/>
  <c r="J49" i="2"/>
  <c r="V23" i="2"/>
  <c r="J48" i="2"/>
  <c r="V22" i="2"/>
  <c r="V14" i="2"/>
  <c r="V18" i="2"/>
  <c r="J25" i="2"/>
  <c r="T45" i="2"/>
  <c r="F15" i="2"/>
  <c r="Q20" i="2"/>
  <c r="Q26" i="2" s="1"/>
  <c r="Q39" i="2" s="1"/>
  <c r="R20" i="2"/>
  <c r="R26" i="2" s="1"/>
  <c r="R39" i="2" s="1"/>
  <c r="P20" i="2"/>
  <c r="P26" i="2" s="1"/>
  <c r="P39" i="2" s="1"/>
  <c r="F19" i="2"/>
  <c r="U20" i="2"/>
  <c r="U26" i="2" s="1"/>
  <c r="U39" i="2" s="1"/>
  <c r="T20" i="2"/>
  <c r="T26" i="2" s="1"/>
  <c r="T39" i="2" s="1"/>
  <c r="S20" i="2"/>
  <c r="S26" i="2" s="1"/>
  <c r="S39" i="2" s="1"/>
  <c r="C20" i="2"/>
  <c r="C26" i="2" s="1"/>
  <c r="C39" i="2" s="1"/>
  <c r="G20" i="2"/>
  <c r="D20" i="2"/>
  <c r="D26" i="2" s="1"/>
  <c r="H20" i="2"/>
  <c r="H26" i="2" s="1"/>
  <c r="E20" i="2"/>
  <c r="E26" i="2" s="1"/>
  <c r="I20" i="2"/>
  <c r="I26" i="2" s="1"/>
  <c r="G26" i="2" l="1"/>
  <c r="G39" i="2" s="1"/>
  <c r="G37" i="2"/>
  <c r="AC12" i="2"/>
  <c r="AC16" i="2" s="1"/>
  <c r="AC38" i="2" s="1"/>
  <c r="AB21" i="2"/>
  <c r="AC21" i="2"/>
  <c r="E6" i="1"/>
  <c r="J15" i="2"/>
  <c r="J45" i="2" s="1"/>
  <c r="D30" i="2"/>
  <c r="D31" i="2" s="1"/>
  <c r="D37" i="2"/>
  <c r="J47" i="2"/>
  <c r="V21" i="2"/>
  <c r="R30" i="2"/>
  <c r="R31" i="2" s="1"/>
  <c r="R37" i="2"/>
  <c r="S30" i="2"/>
  <c r="S31" i="2" s="1"/>
  <c r="S37" i="2"/>
  <c r="G30" i="2"/>
  <c r="G31" i="2" s="1"/>
  <c r="G41" i="2" s="1"/>
  <c r="C30" i="2"/>
  <c r="C31" i="2" s="1"/>
  <c r="C37" i="2"/>
  <c r="T30" i="2"/>
  <c r="T31" i="2" s="1"/>
  <c r="T37" i="2"/>
  <c r="U30" i="2"/>
  <c r="U31" i="2" s="1"/>
  <c r="U37" i="2"/>
  <c r="F20" i="2"/>
  <c r="F26" i="2" s="1"/>
  <c r="P30" i="2"/>
  <c r="P31" i="2" s="1"/>
  <c r="P37" i="2"/>
  <c r="V13" i="2"/>
  <c r="Q30" i="2"/>
  <c r="Q31" i="2" s="1"/>
  <c r="Q37" i="2"/>
  <c r="I30" i="2"/>
  <c r="I31" i="2" s="1"/>
  <c r="I41" i="2" s="1"/>
  <c r="I37" i="2"/>
  <c r="E30" i="2"/>
  <c r="E31" i="2" s="1"/>
  <c r="E37" i="2"/>
  <c r="H30" i="2"/>
  <c r="H31" i="2" s="1"/>
  <c r="H37" i="2"/>
  <c r="V12" i="2"/>
  <c r="AD12" i="2" l="1"/>
  <c r="E9" i="1"/>
  <c r="E10" i="1" s="1"/>
  <c r="Z56" i="2"/>
  <c r="Y56" i="2"/>
  <c r="X56" i="2"/>
  <c r="W68" i="2"/>
  <c r="X68" i="2"/>
  <c r="Y68" i="2"/>
  <c r="Z68" i="2"/>
  <c r="G33" i="2"/>
  <c r="I33" i="2"/>
  <c r="I40" i="2" s="1"/>
  <c r="T33" i="2"/>
  <c r="T41" i="2"/>
  <c r="V16" i="2"/>
  <c r="V38" i="2" s="1"/>
  <c r="J19" i="2"/>
  <c r="J20" i="2" s="1"/>
  <c r="J26" i="2" s="1"/>
  <c r="R33" i="2"/>
  <c r="R41" i="2"/>
  <c r="E33" i="2"/>
  <c r="E40" i="2" s="1"/>
  <c r="E41" i="2"/>
  <c r="Q33" i="2"/>
  <c r="Q41" i="2"/>
  <c r="C33" i="2"/>
  <c r="C41" i="2"/>
  <c r="V25" i="2"/>
  <c r="S33" i="2"/>
  <c r="S41" i="2"/>
  <c r="V17" i="2"/>
  <c r="F30" i="2"/>
  <c r="F31" i="2" s="1"/>
  <c r="F37" i="2"/>
  <c r="V15" i="2"/>
  <c r="V47" i="2" s="1"/>
  <c r="P33" i="2"/>
  <c r="P40" i="2" s="1"/>
  <c r="P41" i="2"/>
  <c r="U33" i="2"/>
  <c r="U41" i="2"/>
  <c r="H33" i="2"/>
  <c r="H40" i="2" s="1"/>
  <c r="H41" i="2"/>
  <c r="D33" i="2"/>
  <c r="D40" i="2" s="1"/>
  <c r="D41" i="2"/>
  <c r="G34" i="2" l="1"/>
  <c r="G40" i="2"/>
  <c r="C40" i="2"/>
  <c r="C34" i="2"/>
  <c r="AD16" i="2"/>
  <c r="AD38" i="2" s="1"/>
  <c r="AD22" i="2"/>
  <c r="AE12" i="2"/>
  <c r="AD21" i="2"/>
  <c r="V49" i="2"/>
  <c r="V48" i="2"/>
  <c r="Q40" i="2"/>
  <c r="T40" i="2"/>
  <c r="R40" i="2"/>
  <c r="U40" i="2"/>
  <c r="S40" i="2"/>
  <c r="V19" i="2"/>
  <c r="V20" i="2" s="1"/>
  <c r="V26" i="2" s="1"/>
  <c r="V39" i="2" s="1"/>
  <c r="W25" i="2"/>
  <c r="F33" i="2"/>
  <c r="F40" i="2" s="1"/>
  <c r="F41" i="2"/>
  <c r="J37" i="2"/>
  <c r="J30" i="2"/>
  <c r="J31" i="2" s="1"/>
  <c r="V45" i="2"/>
  <c r="W15" i="2"/>
  <c r="AE16" i="2" l="1"/>
  <c r="AE38" i="2" s="1"/>
  <c r="AE22" i="2"/>
  <c r="AF12" i="2"/>
  <c r="AE21" i="2"/>
  <c r="W47" i="2"/>
  <c r="W49" i="2"/>
  <c r="W48" i="2"/>
  <c r="W19" i="2"/>
  <c r="W20" i="2" s="1"/>
  <c r="X15" i="2"/>
  <c r="V30" i="2"/>
  <c r="V31" i="2" s="1"/>
  <c r="V37" i="2"/>
  <c r="W45" i="2"/>
  <c r="X25" i="2"/>
  <c r="AF22" i="2" l="1"/>
  <c r="AF16" i="2"/>
  <c r="AF38" i="2" s="1"/>
  <c r="X43" i="2"/>
  <c r="X42" i="2"/>
  <c r="AG12" i="2"/>
  <c r="AF21" i="2"/>
  <c r="W30" i="2"/>
  <c r="W31" i="2" s="1"/>
  <c r="W26" i="2"/>
  <c r="W39" i="2" s="1"/>
  <c r="X49" i="2"/>
  <c r="X47" i="2"/>
  <c r="X48" i="2"/>
  <c r="X19" i="2"/>
  <c r="X20" i="2" s="1"/>
  <c r="X26" i="2" s="1"/>
  <c r="X39" i="2" s="1"/>
  <c r="AA18" i="2"/>
  <c r="V32" i="2"/>
  <c r="V41" i="2" s="1"/>
  <c r="J41" i="2"/>
  <c r="J33" i="2"/>
  <c r="J40" i="2" s="1"/>
  <c r="AA23" i="2"/>
  <c r="W37" i="2"/>
  <c r="Y15" i="2"/>
  <c r="Y25" i="2"/>
  <c r="X45" i="2"/>
  <c r="AG16" i="2" l="1"/>
  <c r="AG38" i="2" s="1"/>
  <c r="AG22" i="2"/>
  <c r="Y43" i="2"/>
  <c r="Y42" i="2"/>
  <c r="AH12" i="2"/>
  <c r="AG21" i="2"/>
  <c r="Y49" i="2"/>
  <c r="Y47" i="2"/>
  <c r="Y48" i="2"/>
  <c r="Y19" i="2"/>
  <c r="Y20" i="2" s="1"/>
  <c r="Y26" i="2" s="1"/>
  <c r="Y39" i="2" s="1"/>
  <c r="Y45" i="2"/>
  <c r="V33" i="2"/>
  <c r="AA13" i="2"/>
  <c r="AA15" i="2" s="1"/>
  <c r="Z15" i="2"/>
  <c r="AB18" i="2"/>
  <c r="W41" i="2"/>
  <c r="X30" i="2"/>
  <c r="X31" i="2" s="1"/>
  <c r="X37" i="2"/>
  <c r="Z25" i="2"/>
  <c r="AH16" i="2" l="1"/>
  <c r="AH38" i="2" s="1"/>
  <c r="AH22" i="2"/>
  <c r="AI12" i="2"/>
  <c r="AH21" i="2"/>
  <c r="Z43" i="2"/>
  <c r="Z42" i="2"/>
  <c r="Z48" i="2"/>
  <c r="Z49" i="2"/>
  <c r="Z47" i="2"/>
  <c r="AA48" i="2"/>
  <c r="AA47" i="2"/>
  <c r="AA49" i="2"/>
  <c r="V40" i="2"/>
  <c r="W33" i="2"/>
  <c r="X41" i="2"/>
  <c r="AA25" i="2"/>
  <c r="AA17" i="2"/>
  <c r="AB13" i="2"/>
  <c r="Z45" i="2"/>
  <c r="AC18" i="2"/>
  <c r="Z19" i="2"/>
  <c r="Z20" i="2" s="1"/>
  <c r="Z26" i="2" s="1"/>
  <c r="Z39" i="2" s="1"/>
  <c r="Y37" i="2"/>
  <c r="Y30" i="2"/>
  <c r="Y31" i="2" s="1"/>
  <c r="AI22" i="2" l="1"/>
  <c r="AI16" i="2"/>
  <c r="AI38" i="2" s="1"/>
  <c r="AJ12" i="2"/>
  <c r="AI21" i="2"/>
  <c r="W40" i="2"/>
  <c r="X33" i="2"/>
  <c r="Z37" i="2"/>
  <c r="Z30" i="2"/>
  <c r="Z31" i="2" s="1"/>
  <c r="AB15" i="2"/>
  <c r="AB23" i="2" s="1"/>
  <c r="AB25" i="2" s="1"/>
  <c r="AB17" i="2"/>
  <c r="AC13" i="2"/>
  <c r="AD18" i="2"/>
  <c r="Y41" i="2"/>
  <c r="AA45" i="2"/>
  <c r="AA19" i="2"/>
  <c r="AA20" i="2" s="1"/>
  <c r="AA30" i="2" s="1"/>
  <c r="X34" i="2" l="1"/>
  <c r="X46" i="2"/>
  <c r="AJ22" i="2"/>
  <c r="AJ16" i="2"/>
  <c r="AJ38" i="2" s="1"/>
  <c r="AJ21" i="2"/>
  <c r="AA31" i="2"/>
  <c r="AA32" i="2" s="1"/>
  <c r="AA37" i="2"/>
  <c r="AA26" i="2"/>
  <c r="AA39" i="2" s="1"/>
  <c r="AB48" i="2"/>
  <c r="AB47" i="2"/>
  <c r="AB49" i="2"/>
  <c r="X40" i="2"/>
  <c r="Y33" i="2"/>
  <c r="AB19" i="2"/>
  <c r="AB20" i="2" s="1"/>
  <c r="AC15" i="2"/>
  <c r="AC23" i="2" s="1"/>
  <c r="AC25" i="2"/>
  <c r="AC17" i="2"/>
  <c r="AC19" i="2" s="1"/>
  <c r="AD13" i="2"/>
  <c r="AB45" i="2"/>
  <c r="Z41" i="2"/>
  <c r="Y34" i="2" l="1"/>
  <c r="Y46" i="2"/>
  <c r="AB37" i="2"/>
  <c r="AB26" i="2"/>
  <c r="AB39" i="2" s="1"/>
  <c r="AC48" i="2"/>
  <c r="AC47" i="2"/>
  <c r="AC49" i="2"/>
  <c r="AF18" i="2"/>
  <c r="AE18" i="2"/>
  <c r="Y40" i="2"/>
  <c r="AG18" i="2"/>
  <c r="Z33" i="2"/>
  <c r="Z34" i="2" s="1"/>
  <c r="Z46" i="2" s="1"/>
  <c r="AC20" i="2"/>
  <c r="AC45" i="2"/>
  <c r="AD15" i="2"/>
  <c r="AD17" i="2"/>
  <c r="AE13" i="2"/>
  <c r="AF13" i="2" s="1"/>
  <c r="AB30" i="2"/>
  <c r="AD23" i="2" l="1"/>
  <c r="AD25" i="2" s="1"/>
  <c r="AA41" i="2"/>
  <c r="AA51" i="2"/>
  <c r="AA53" i="2" s="1"/>
  <c r="AB31" i="2"/>
  <c r="AB32" i="2" s="1"/>
  <c r="AC37" i="2"/>
  <c r="AC26" i="2"/>
  <c r="AC39" i="2" s="1"/>
  <c r="AD48" i="2"/>
  <c r="AD47" i="2"/>
  <c r="Z40" i="2"/>
  <c r="AF17" i="2"/>
  <c r="AF19" i="2" s="1"/>
  <c r="AF15" i="2"/>
  <c r="AG13" i="2"/>
  <c r="AH18" i="2"/>
  <c r="AA33" i="2"/>
  <c r="AD19" i="2"/>
  <c r="AD20" i="2" s="1"/>
  <c r="AD45" i="2"/>
  <c r="AB41" i="2"/>
  <c r="AE15" i="2"/>
  <c r="AE23" i="2" s="1"/>
  <c r="AE17" i="2"/>
  <c r="AE19" i="2" s="1"/>
  <c r="AC30" i="2"/>
  <c r="AE25" i="2"/>
  <c r="AD49" i="2" l="1"/>
  <c r="AD26" i="2"/>
  <c r="AD39" i="2" s="1"/>
  <c r="AF23" i="2"/>
  <c r="AF49" i="2" s="1"/>
  <c r="AB51" i="2"/>
  <c r="AB53" i="2" s="1"/>
  <c r="AC31" i="2"/>
  <c r="AF45" i="2"/>
  <c r="AE47" i="2"/>
  <c r="AE48" i="2"/>
  <c r="AE49" i="2"/>
  <c r="AF20" i="2"/>
  <c r="AF37" i="2" s="1"/>
  <c r="AF47" i="2"/>
  <c r="AF48" i="2"/>
  <c r="AA34" i="2"/>
  <c r="AA46" i="2" s="1"/>
  <c r="AA40" i="2"/>
  <c r="AB33" i="2"/>
  <c r="AB40" i="2" s="1"/>
  <c r="AI18" i="2"/>
  <c r="AG15" i="2"/>
  <c r="AH13" i="2"/>
  <c r="AH15" i="2" s="1"/>
  <c r="AH23" i="2" s="1"/>
  <c r="AG17" i="2"/>
  <c r="AG19" i="2" s="1"/>
  <c r="AD37" i="2"/>
  <c r="AD30" i="2"/>
  <c r="AE20" i="2"/>
  <c r="AE26" i="2" s="1"/>
  <c r="AE39" i="2" s="1"/>
  <c r="AE45" i="2"/>
  <c r="AC32" i="2" l="1"/>
  <c r="AC41" i="2" s="1"/>
  <c r="AG23" i="2"/>
  <c r="AG25" i="2" s="1"/>
  <c r="AF25" i="2"/>
  <c r="AF30" i="2" s="1"/>
  <c r="AC51" i="2"/>
  <c r="AC53" i="2" s="1"/>
  <c r="AD31" i="2"/>
  <c r="AF26" i="2"/>
  <c r="AF39" i="2" s="1"/>
  <c r="AG45" i="2"/>
  <c r="AG48" i="2"/>
  <c r="AG47" i="2"/>
  <c r="AH48" i="2"/>
  <c r="AH47" i="2"/>
  <c r="AH49" i="2"/>
  <c r="AB34" i="2"/>
  <c r="AB46" i="2" s="1"/>
  <c r="AC33" i="2"/>
  <c r="AH45" i="2"/>
  <c r="AJ18" i="2"/>
  <c r="AH17" i="2"/>
  <c r="AH19" i="2" s="1"/>
  <c r="AH20" i="2" s="1"/>
  <c r="AH37" i="2" s="1"/>
  <c r="AI13" i="2"/>
  <c r="AG20" i="2"/>
  <c r="AG37" i="2" s="1"/>
  <c r="AH25" i="2"/>
  <c r="AE37" i="2"/>
  <c r="AE30" i="2"/>
  <c r="AD32" i="2" l="1"/>
  <c r="AD41" i="2" s="1"/>
  <c r="AG49" i="2"/>
  <c r="AH26" i="2"/>
  <c r="AH39" i="2" s="1"/>
  <c r="AD51" i="2"/>
  <c r="AD53" i="2" s="1"/>
  <c r="AE31" i="2"/>
  <c r="AF31" i="2"/>
  <c r="AC40" i="2"/>
  <c r="AG26" i="2"/>
  <c r="AG39" i="2" s="1"/>
  <c r="AC34" i="2"/>
  <c r="AC46" i="2" s="1"/>
  <c r="AD33" i="2"/>
  <c r="AD34" i="2" s="1"/>
  <c r="AI15" i="2"/>
  <c r="AI17" i="2"/>
  <c r="AI19" i="2" s="1"/>
  <c r="AJ13" i="2"/>
  <c r="AH30" i="2"/>
  <c r="AG30" i="2"/>
  <c r="AF32" i="2" l="1"/>
  <c r="AF41" i="2" s="1"/>
  <c r="AE32" i="2"/>
  <c r="AE33" i="2" s="1"/>
  <c r="AE34" i="2" s="1"/>
  <c r="AE46" i="2" s="1"/>
  <c r="AD46" i="2"/>
  <c r="AI23" i="2"/>
  <c r="AI25" i="2" s="1"/>
  <c r="AF51" i="2"/>
  <c r="AF53" i="2" s="1"/>
  <c r="AE51" i="2"/>
  <c r="AE53" i="2" s="1"/>
  <c r="AF33" i="2"/>
  <c r="AF34" i="2" s="1"/>
  <c r="AG31" i="2"/>
  <c r="AG32" i="2" s="1"/>
  <c r="AH31" i="2"/>
  <c r="AH32" i="2" s="1"/>
  <c r="AI48" i="2"/>
  <c r="AI47" i="2"/>
  <c r="AD40" i="2"/>
  <c r="AJ17" i="2"/>
  <c r="AJ19" i="2" s="1"/>
  <c r="AJ15" i="2"/>
  <c r="AI45" i="2"/>
  <c r="AI20" i="2"/>
  <c r="AI37" i="2" s="1"/>
  <c r="AE41" i="2" l="1"/>
  <c r="AI49" i="2"/>
  <c r="AF46" i="2"/>
  <c r="AJ23" i="2"/>
  <c r="AJ25" i="2" s="1"/>
  <c r="AH41" i="2"/>
  <c r="AH51" i="2"/>
  <c r="AH53" i="2" s="1"/>
  <c r="AG41" i="2"/>
  <c r="AG51" i="2"/>
  <c r="AG53" i="2" s="1"/>
  <c r="AI26" i="2"/>
  <c r="AI39" i="2" s="1"/>
  <c r="AJ48" i="2"/>
  <c r="AJ47" i="2"/>
  <c r="AG33" i="2"/>
  <c r="AH33" i="2"/>
  <c r="AH34" i="2" s="1"/>
  <c r="AJ45" i="2"/>
  <c r="AJ20" i="2"/>
  <c r="AJ37" i="2" s="1"/>
  <c r="AI30" i="2"/>
  <c r="AE40" i="2"/>
  <c r="AJ49" i="2" l="1"/>
  <c r="AI31" i="2"/>
  <c r="AI32" i="2" s="1"/>
  <c r="AJ26" i="2"/>
  <c r="AJ39" i="2" s="1"/>
  <c r="AG34" i="2"/>
  <c r="AG46" i="2" s="1"/>
  <c r="AI41" i="2"/>
  <c r="AJ30" i="2"/>
  <c r="AF40" i="2"/>
  <c r="AH46" i="2" l="1"/>
  <c r="AI51" i="2"/>
  <c r="AI53" i="2" s="1"/>
  <c r="AI33" i="2"/>
  <c r="AJ31" i="2"/>
  <c r="AJ32" i="2" s="1"/>
  <c r="AG40" i="2"/>
  <c r="AI34" i="2" l="1"/>
  <c r="AI46" i="2" s="1"/>
  <c r="AH40" i="2"/>
  <c r="AJ41" i="2" l="1"/>
  <c r="AJ51" i="2"/>
  <c r="AJ53" i="2" s="1"/>
  <c r="AK53" i="2" s="1"/>
  <c r="AL53" i="2" s="1"/>
  <c r="AM53" i="2" s="1"/>
  <c r="AN53" i="2" s="1"/>
  <c r="AO53" i="2" s="1"/>
  <c r="AP53" i="2" s="1"/>
  <c r="AQ53" i="2" s="1"/>
  <c r="AR53" i="2" s="1"/>
  <c r="AS53" i="2" s="1"/>
  <c r="AT53" i="2" s="1"/>
  <c r="AU53" i="2" s="1"/>
  <c r="AV53" i="2" s="1"/>
  <c r="AW53" i="2" s="1"/>
  <c r="AX53" i="2" s="1"/>
  <c r="AY53" i="2" s="1"/>
  <c r="AZ53" i="2" s="1"/>
  <c r="BA53" i="2" s="1"/>
  <c r="BB53" i="2" s="1"/>
  <c r="BC53" i="2" s="1"/>
  <c r="BD53" i="2" s="1"/>
  <c r="BE53" i="2" s="1"/>
  <c r="BF53" i="2" s="1"/>
  <c r="BG53" i="2" s="1"/>
  <c r="BH53" i="2" s="1"/>
  <c r="BI53" i="2" s="1"/>
  <c r="BJ53" i="2" s="1"/>
  <c r="BK53" i="2" s="1"/>
  <c r="BL53" i="2" s="1"/>
  <c r="BM53" i="2" s="1"/>
  <c r="BN53" i="2" s="1"/>
  <c r="BO53" i="2" s="1"/>
  <c r="BP53" i="2" s="1"/>
  <c r="BQ53" i="2" s="1"/>
  <c r="BR53" i="2" s="1"/>
  <c r="BS53" i="2" s="1"/>
  <c r="BT53" i="2" s="1"/>
  <c r="BU53" i="2" s="1"/>
  <c r="BV53" i="2" s="1"/>
  <c r="BW53" i="2" s="1"/>
  <c r="BX53" i="2" s="1"/>
  <c r="BY53" i="2" s="1"/>
  <c r="BZ53" i="2" s="1"/>
  <c r="CA53" i="2" s="1"/>
  <c r="CB53" i="2" s="1"/>
  <c r="CC53" i="2" s="1"/>
  <c r="CD53" i="2" s="1"/>
  <c r="CE53" i="2" s="1"/>
  <c r="CF53" i="2" s="1"/>
  <c r="CG53" i="2" s="1"/>
  <c r="CH53" i="2" s="1"/>
  <c r="CI53" i="2" s="1"/>
  <c r="CJ53" i="2" s="1"/>
  <c r="CK53" i="2" s="1"/>
  <c r="CL53" i="2" s="1"/>
  <c r="CM53" i="2" s="1"/>
  <c r="CN53" i="2" s="1"/>
  <c r="CO53" i="2" s="1"/>
  <c r="CP53" i="2" s="1"/>
  <c r="CQ53" i="2" s="1"/>
  <c r="CR53" i="2" s="1"/>
  <c r="CS53" i="2" s="1"/>
  <c r="CT53" i="2" s="1"/>
  <c r="CU53" i="2" s="1"/>
  <c r="CV53" i="2" s="1"/>
  <c r="CW53" i="2" s="1"/>
  <c r="CX53" i="2" s="1"/>
  <c r="CY53" i="2" s="1"/>
  <c r="CZ53" i="2" s="1"/>
  <c r="DA53" i="2" s="1"/>
  <c r="DB53" i="2" s="1"/>
  <c r="DC53" i="2" s="1"/>
  <c r="DD53" i="2" s="1"/>
  <c r="DE53" i="2" s="1"/>
  <c r="DF53" i="2" s="1"/>
  <c r="DG53" i="2" s="1"/>
  <c r="DH53" i="2" s="1"/>
  <c r="DI53" i="2" s="1"/>
  <c r="DJ53" i="2" s="1"/>
  <c r="DK53" i="2" s="1"/>
  <c r="DL53" i="2" s="1"/>
  <c r="DM53" i="2" s="1"/>
  <c r="DN53" i="2" s="1"/>
  <c r="DO53" i="2" s="1"/>
  <c r="DP53" i="2" s="1"/>
  <c r="AM43" i="2" s="1"/>
  <c r="AJ33" i="2"/>
  <c r="AI40" i="2"/>
  <c r="AJ34" i="2" l="1"/>
  <c r="AK33" i="2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G33" i="2" s="1"/>
  <c r="BH33" i="2" s="1"/>
  <c r="BI33" i="2" s="1"/>
  <c r="BJ33" i="2" s="1"/>
  <c r="BK33" i="2" s="1"/>
  <c r="BL33" i="2" s="1"/>
  <c r="BM33" i="2" s="1"/>
  <c r="BN33" i="2" s="1"/>
  <c r="BO33" i="2" s="1"/>
  <c r="BP33" i="2" s="1"/>
  <c r="BQ33" i="2" s="1"/>
  <c r="BR33" i="2" s="1"/>
  <c r="BS33" i="2" s="1"/>
  <c r="BT33" i="2" s="1"/>
  <c r="BU33" i="2" s="1"/>
  <c r="BV33" i="2" s="1"/>
  <c r="BW33" i="2" s="1"/>
  <c r="BX33" i="2" s="1"/>
  <c r="BY33" i="2" s="1"/>
  <c r="BZ33" i="2" s="1"/>
  <c r="CA33" i="2" s="1"/>
  <c r="CB33" i="2" s="1"/>
  <c r="CC33" i="2" s="1"/>
  <c r="CD33" i="2" s="1"/>
  <c r="CE33" i="2" s="1"/>
  <c r="CF33" i="2" s="1"/>
  <c r="CG33" i="2" s="1"/>
  <c r="CH33" i="2" s="1"/>
  <c r="CI33" i="2" s="1"/>
  <c r="CJ33" i="2" s="1"/>
  <c r="CK33" i="2" s="1"/>
  <c r="CL33" i="2" s="1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X33" i="2" s="1"/>
  <c r="CY33" i="2" s="1"/>
  <c r="CZ33" i="2" s="1"/>
  <c r="DA33" i="2" s="1"/>
  <c r="DB33" i="2" s="1"/>
  <c r="DC33" i="2" s="1"/>
  <c r="DD33" i="2" s="1"/>
  <c r="DE33" i="2" s="1"/>
  <c r="DF33" i="2" s="1"/>
  <c r="DG33" i="2" s="1"/>
  <c r="DH33" i="2" s="1"/>
  <c r="DI33" i="2" s="1"/>
  <c r="DJ33" i="2" s="1"/>
  <c r="DK33" i="2" s="1"/>
  <c r="DL33" i="2" s="1"/>
  <c r="DM33" i="2" s="1"/>
  <c r="DN33" i="2" s="1"/>
  <c r="DO33" i="2" s="1"/>
  <c r="DP33" i="2" s="1"/>
  <c r="AJ40" i="2"/>
  <c r="AJ46" i="2" l="1"/>
  <c r="AM45" i="2"/>
  <c r="AM46" i="2" s="1"/>
  <c r="AM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Y29" authorId="0" shapeId="0" xr:uid="{50B182AE-0CBC-4AF0-AFD1-C9CB656DB7D7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1Bn termination Sales</t>
        </r>
      </text>
    </comment>
  </commentList>
</comments>
</file>

<file path=xl/sharedStrings.xml><?xml version="1.0" encoding="utf-8"?>
<sst xmlns="http://schemas.openxmlformats.org/spreadsheetml/2006/main" count="166" uniqueCount="125">
  <si>
    <t xml:space="preserve">Price </t>
  </si>
  <si>
    <t>Shares</t>
  </si>
  <si>
    <t>Market Cap</t>
  </si>
  <si>
    <t>Net Cash</t>
  </si>
  <si>
    <t>Value</t>
  </si>
  <si>
    <t>Total Revenue</t>
  </si>
  <si>
    <t>Cost of Subs</t>
  </si>
  <si>
    <t>Cost of Product</t>
  </si>
  <si>
    <t>Cost of Service</t>
  </si>
  <si>
    <t>Sales from Subs</t>
  </si>
  <si>
    <t>Sales from Product</t>
  </si>
  <si>
    <t>Sales from Service</t>
  </si>
  <si>
    <t>COGS</t>
  </si>
  <si>
    <t>Gross Profit</t>
  </si>
  <si>
    <t>R&amp;D</t>
  </si>
  <si>
    <t>Sales and Marketing</t>
  </si>
  <si>
    <t>G&amp;A</t>
  </si>
  <si>
    <t>Amortization</t>
  </si>
  <si>
    <t>Operating Expense</t>
  </si>
  <si>
    <t>Interest</t>
  </si>
  <si>
    <t>Investment</t>
  </si>
  <si>
    <t>Other income</t>
  </si>
  <si>
    <t>EBITDA</t>
  </si>
  <si>
    <t>Income b4 Taxes</t>
  </si>
  <si>
    <t>Taxes</t>
  </si>
  <si>
    <t>Net Income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</si>
  <si>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</si>
  <si>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</si>
  <si>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</si>
  <si>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</si>
  <si>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</si>
  <si>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</si>
  <si>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</si>
  <si>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</si>
  <si>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</si>
  <si>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</si>
  <si>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</si>
  <si>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Gross Margin</t>
  </si>
  <si>
    <t>Net Income Margin</t>
  </si>
  <si>
    <t>Revenue Y/Y</t>
  </si>
  <si>
    <t>FY26</t>
  </si>
  <si>
    <t>FY27</t>
  </si>
  <si>
    <t>FY28</t>
  </si>
  <si>
    <t>FY29</t>
  </si>
  <si>
    <t>FY30</t>
  </si>
  <si>
    <t>Maturiy</t>
  </si>
  <si>
    <t>Discount</t>
  </si>
  <si>
    <t>NPV</t>
  </si>
  <si>
    <t>Price</t>
  </si>
  <si>
    <t>CFFO</t>
  </si>
  <si>
    <t>CapEx</t>
  </si>
  <si>
    <t>Stock Repurchase</t>
  </si>
  <si>
    <t>Cash</t>
  </si>
  <si>
    <t>Debt</t>
  </si>
  <si>
    <t>Current Assets</t>
  </si>
  <si>
    <t>Current Liabilities</t>
  </si>
  <si>
    <t>Working Capital</t>
  </si>
  <si>
    <t>Delta</t>
  </si>
  <si>
    <t>FY31</t>
  </si>
  <si>
    <t>FY32</t>
  </si>
  <si>
    <t>FY33</t>
  </si>
  <si>
    <t>FY34</t>
  </si>
  <si>
    <t>FY35</t>
  </si>
  <si>
    <t>EPS</t>
  </si>
  <si>
    <t>Rep. Yield</t>
  </si>
  <si>
    <t>Share count decrease</t>
  </si>
  <si>
    <t>S&amp;M</t>
  </si>
  <si>
    <t>Operating Margins</t>
  </si>
  <si>
    <t>Operating Income</t>
  </si>
  <si>
    <t>Stock Based Comps.</t>
  </si>
  <si>
    <t>Adj. FCF</t>
  </si>
  <si>
    <t>Adj. FCF yield</t>
  </si>
  <si>
    <t>Buyback Yield</t>
  </si>
  <si>
    <t>Years till all</t>
  </si>
  <si>
    <t>Proj. Buybacks</t>
  </si>
  <si>
    <t>FCF pS</t>
  </si>
  <si>
    <t>EV/FCF</t>
  </si>
  <si>
    <t>EV</t>
  </si>
  <si>
    <t>FCFF</t>
  </si>
  <si>
    <t>Digital Media</t>
  </si>
  <si>
    <t>Digital Experience</t>
  </si>
  <si>
    <t>Subs</t>
  </si>
  <si>
    <t>Publishing</t>
  </si>
  <si>
    <t>Creative &amp; Marketing</t>
  </si>
  <si>
    <t>Businesses</t>
  </si>
  <si>
    <t>Adobe Creative Cloud Pro</t>
  </si>
  <si>
    <t>Adobe Photoshop and Lightroom</t>
  </si>
  <si>
    <t>Adobe Illustrator</t>
  </si>
  <si>
    <t>Adobe Premiere Pro</t>
  </si>
  <si>
    <t>Adobe After Effects</t>
  </si>
  <si>
    <t>Adobe Substance 3D Collection</t>
  </si>
  <si>
    <t>Adobe Stock</t>
  </si>
  <si>
    <t>Adobe Firefly Solutions</t>
  </si>
  <si>
    <t>Adobe GenStudio</t>
  </si>
  <si>
    <t>Creative &amp; Marketing Professionals</t>
  </si>
  <si>
    <t>Adobe Experience Platform</t>
  </si>
  <si>
    <t>Adobe Agent Orchestrator</t>
  </si>
  <si>
    <t>Adobe Brand Concierge</t>
  </si>
  <si>
    <t>Adobe Analytics and Adobe Customer Journey Analytics</t>
  </si>
  <si>
    <t>Adobe Mix Modeler</t>
  </si>
  <si>
    <t>Adobe Real-Time Customer Data Platform</t>
  </si>
  <si>
    <t>Adobe Experience Manager</t>
  </si>
  <si>
    <t>Adobe LLM Optimizer</t>
  </si>
  <si>
    <t>Adobe Commerce</t>
  </si>
  <si>
    <t>Adobe Journey Optimizer</t>
  </si>
  <si>
    <t>Adobe Marketo Engage</t>
  </si>
  <si>
    <t>Adobe Workfront</t>
  </si>
  <si>
    <t>Business Professionals &amp; Consumers</t>
  </si>
  <si>
    <t>Acrobat Studio</t>
  </si>
  <si>
    <t>Adobe Acrobat</t>
  </si>
  <si>
    <t>Adobe Acrobat Reader</t>
  </si>
  <si>
    <t>Adobe Express</t>
  </si>
  <si>
    <t>Digital Exp.</t>
  </si>
  <si>
    <t>Sub Margin</t>
  </si>
  <si>
    <t>EPS Y/Y</t>
  </si>
  <si>
    <t>FCF Yield</t>
  </si>
  <si>
    <t>Upside</t>
  </si>
  <si>
    <t>Q124</t>
  </si>
  <si>
    <t>Q224</t>
  </si>
  <si>
    <t>Q324</t>
  </si>
  <si>
    <t>Q424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</si>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</sst>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0" borderId="0" xfId="1" applyNumberFormat="1" applyFont="1"/>
    <xf numFmtId="4" fontId="0" fillId="0" borderId="0" xfId="0" applyNumberFormat="1"/>
    <xf numFmtId="9" fontId="0" fillId="0" borderId="0" xfId="1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/>
    <xf numFmtId="3" fontId="5" fillId="0" borderId="0" xfId="0" applyNumberFormat="1" applyFont="1"/>
    <xf numFmtId="165" fontId="6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58616</xdr:colOff>
      <xdr:row>1</xdr:row>
      <xdr:rowOff>153865</xdr:rowOff>
    </xdr:from>
    <xdr:to>
      <xdr:col>26</xdr:col>
      <xdr:colOff>65943</xdr:colOff>
      <xdr:row>67</xdr:row>
      <xdr:rowOff>14655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AF88C42-81EE-6BEC-DB74-CFC8EF312831}"/>
            </a:ext>
          </a:extLst>
        </xdr:cNvPr>
        <xdr:cNvCxnSpPr/>
      </xdr:nvCxnSpPr>
      <xdr:spPr>
        <a:xfrm>
          <a:off x="17672539" y="344365"/>
          <a:ext cx="7327" cy="105287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93FB-3F01-4DA8-82A7-AB216BAB6095}">
  <dimension ref="D2:M10"/>
  <sheetViews>
    <sheetView zoomScale="190" zoomScaleNormal="190" workbookViewId="0">
      <selection activeCell="E3" sqref="E3"/>
    </sheetView>
  </sheetViews>
  <sheetFormatPr defaultRowHeight="15" x14ac:dyDescent="0.25"/>
  <cols>
    <col min="4" max="4" width="11" bestFit="1" customWidth="1"/>
    <col min="5" max="5" width="12.42578125" style="1" bestFit="1" customWidth="1"/>
    <col min="8" max="8" width="13.28515625" bestFit="1" customWidth="1"/>
  </cols>
  <sheetData>
    <row r="2" spans="4:13" x14ac:dyDescent="0.25">
      <c r="D2" t="s">
        <v>0</v>
      </c>
      <c r="E2" s="10">
        <v>250</v>
      </c>
      <c r="H2" t="s">
        <v>74</v>
      </c>
      <c r="I2">
        <v>10000</v>
      </c>
      <c r="M2" t="s">
        <v>85</v>
      </c>
    </row>
    <row r="3" spans="4:13" x14ac:dyDescent="0.25">
      <c r="D3" t="s">
        <v>1</v>
      </c>
      <c r="E3" s="10">
        <f>+Modell!Z35</f>
        <v>426</v>
      </c>
      <c r="H3" t="s">
        <v>72</v>
      </c>
      <c r="I3" s="2">
        <f>+I2/E4</f>
        <v>9.3896713615023469E-2</v>
      </c>
      <c r="M3" t="s">
        <v>86</v>
      </c>
    </row>
    <row r="4" spans="4:13" x14ac:dyDescent="0.25">
      <c r="D4" t="s">
        <v>2</v>
      </c>
      <c r="E4" s="11">
        <f>+E2*E3</f>
        <v>106500</v>
      </c>
      <c r="H4" t="s">
        <v>73</v>
      </c>
      <c r="I4" s="12">
        <f>1/I3</f>
        <v>10.65</v>
      </c>
      <c r="M4" t="s">
        <v>87</v>
      </c>
    </row>
    <row r="5" spans="4:13" x14ac:dyDescent="0.25">
      <c r="D5" t="s">
        <v>3</v>
      </c>
      <c r="E5" s="11">
        <f>+Modell!Z58-Modell!Z59</f>
        <v>385</v>
      </c>
      <c r="M5" t="s">
        <v>88</v>
      </c>
    </row>
    <row r="6" spans="4:13" x14ac:dyDescent="0.25">
      <c r="D6" t="s">
        <v>77</v>
      </c>
      <c r="E6" s="11">
        <f>+E4-E5</f>
        <v>106115</v>
      </c>
      <c r="M6" t="s">
        <v>89</v>
      </c>
    </row>
    <row r="7" spans="4:13" x14ac:dyDescent="0.25">
      <c r="M7" t="s">
        <v>90</v>
      </c>
    </row>
    <row r="8" spans="4:13" x14ac:dyDescent="0.25">
      <c r="D8" t="s">
        <v>75</v>
      </c>
      <c r="E8" s="12">
        <f>+Modell!Z55/Main!E3</f>
        <v>18.253521126760564</v>
      </c>
      <c r="M8" t="s">
        <v>91</v>
      </c>
    </row>
    <row r="9" spans="4:13" x14ac:dyDescent="0.25">
      <c r="D9" t="s">
        <v>76</v>
      </c>
      <c r="E9" s="12">
        <f>+E6/Modell!Z55</f>
        <v>13.64647633744856</v>
      </c>
      <c r="M9" t="s">
        <v>92</v>
      </c>
    </row>
    <row r="10" spans="4:13" x14ac:dyDescent="0.25">
      <c r="D10" t="s">
        <v>115</v>
      </c>
      <c r="E10" s="2">
        <f>1/E9</f>
        <v>7.3278989775243844E-2</v>
      </c>
      <c r="M10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FCE6-0308-42E7-B520-7CD41B44A512}">
  <dimension ref="B2:DP80"/>
  <sheetViews>
    <sheetView tabSelected="1" zoomScale="130" zoomScaleNormal="130" workbookViewId="0">
      <pane xSplit="2" ySplit="2" topLeftCell="AC25" activePane="bottomRight" state="frozen"/>
      <selection pane="topRight" activeCell="B1" sqref="B1"/>
      <selection pane="bottomLeft" activeCell="A2" sqref="A2"/>
      <selection pane="bottomRight" activeCell="AM43" sqref="AM43"/>
    </sheetView>
  </sheetViews>
  <sheetFormatPr defaultRowHeight="15" x14ac:dyDescent="0.25"/>
  <cols>
    <col min="1" max="1" width="4.5703125" customWidth="1"/>
    <col min="2" max="2" width="19" bestFit="1" customWidth="1"/>
    <col min="3" max="10" width="9.85546875" bestFit="1" customWidth="1"/>
    <col min="16" max="19" width="9.85546875" bestFit="1" customWidth="1"/>
    <col min="20" max="22" width="10.7109375" bestFit="1" customWidth="1"/>
    <col min="23" max="31" width="11" bestFit="1" customWidth="1"/>
    <col min="32" max="33" width="12.5703125" bestFit="1" customWidth="1"/>
    <col min="34" max="34" width="13" bestFit="1" customWidth="1"/>
    <col min="35" max="38" width="12.5703125" bestFit="1" customWidth="1"/>
    <col min="39" max="39" width="13" bestFit="1" customWidth="1"/>
    <col min="40" max="43" width="12.5703125" bestFit="1" customWidth="1"/>
    <col min="44" max="120" width="11.42578125" bestFit="1" customWidth="1"/>
  </cols>
  <sheetData>
    <row r="2" spans="2:36" x14ac:dyDescent="0.25"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</row>
    <row r="3" spans="2:36" s="3" customFormat="1" x14ac:dyDescent="0.25"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s="3" customFormat="1" x14ac:dyDescent="0.25"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2:36" s="3" customFormat="1" x14ac:dyDescent="0.25">
      <c r="B5" s="3" t="s">
        <v>79</v>
      </c>
      <c r="T5" s="6"/>
      <c r="U5" s="6"/>
      <c r="V5" s="6"/>
      <c r="W5" s="6"/>
      <c r="X5" s="6">
        <v>14220</v>
      </c>
      <c r="Y5" s="6">
        <v>15860</v>
      </c>
      <c r="Z5" s="6">
        <v>17650</v>
      </c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2:36" s="3" customFormat="1" x14ac:dyDescent="0.25">
      <c r="B6" s="3" t="s">
        <v>81</v>
      </c>
      <c r="T6" s="6"/>
      <c r="U6" s="6"/>
      <c r="V6" s="6"/>
      <c r="W6" s="6"/>
      <c r="X6" s="6">
        <v>13840</v>
      </c>
      <c r="Y6" s="6">
        <v>15550</v>
      </c>
      <c r="Z6" s="6">
        <v>17390</v>
      </c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2:36" s="3" customFormat="1" x14ac:dyDescent="0.25">
      <c r="B7" s="3" t="s">
        <v>80</v>
      </c>
      <c r="T7" s="6"/>
      <c r="U7" s="6"/>
      <c r="V7" s="6"/>
      <c r="W7" s="6"/>
      <c r="X7" s="6">
        <v>4890</v>
      </c>
      <c r="Y7" s="6">
        <v>5370</v>
      </c>
      <c r="Z7" s="6">
        <v>5860</v>
      </c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2:36" s="3" customFormat="1" x14ac:dyDescent="0.25">
      <c r="B8" s="3" t="s">
        <v>81</v>
      </c>
      <c r="T8" s="6"/>
      <c r="U8" s="6"/>
      <c r="V8" s="6"/>
      <c r="W8" s="6"/>
      <c r="X8" s="6">
        <v>4330</v>
      </c>
      <c r="Y8" s="6">
        <v>4860</v>
      </c>
      <c r="Z8" s="6">
        <v>5410</v>
      </c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2:36" s="3" customFormat="1" x14ac:dyDescent="0.25">
      <c r="B9" s="3" t="s">
        <v>82</v>
      </c>
      <c r="T9" s="6"/>
      <c r="U9" s="6"/>
      <c r="V9" s="6"/>
      <c r="W9" s="6"/>
      <c r="X9" s="6">
        <v>300</v>
      </c>
      <c r="Y9" s="6">
        <v>280</v>
      </c>
      <c r="Z9" s="6">
        <v>260</v>
      </c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2:36" s="3" customFormat="1" x14ac:dyDescent="0.25">
      <c r="B10" s="3" t="s">
        <v>83</v>
      </c>
      <c r="T10" s="6"/>
      <c r="U10" s="6"/>
      <c r="V10" s="6"/>
      <c r="W10" s="6"/>
      <c r="X10" s="6">
        <v>13425</v>
      </c>
      <c r="Y10" s="6">
        <v>14749</v>
      </c>
      <c r="Z10" s="6">
        <v>16303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2:36" s="3" customFormat="1" x14ac:dyDescent="0.25">
      <c r="B11" s="3" t="s">
        <v>84</v>
      </c>
      <c r="T11" s="6"/>
      <c r="U11" s="6"/>
      <c r="V11" s="6"/>
      <c r="W11" s="6"/>
      <c r="X11" s="6">
        <v>4744</v>
      </c>
      <c r="Y11" s="6">
        <v>5662</v>
      </c>
      <c r="Z11" s="6">
        <v>6495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2:36" s="3" customFormat="1" x14ac:dyDescent="0.25">
      <c r="B12" s="3" t="s">
        <v>9</v>
      </c>
      <c r="C12" s="4">
        <v>5483</v>
      </c>
      <c r="D12" s="4"/>
      <c r="E12" s="4"/>
      <c r="F12" s="4"/>
      <c r="G12" s="4">
        <v>6198</v>
      </c>
      <c r="H12" s="4"/>
      <c r="I12" s="4"/>
      <c r="J12" s="4"/>
      <c r="P12" s="4">
        <v>3223.904</v>
      </c>
      <c r="Q12" s="4">
        <v>4584.8329999999996</v>
      </c>
      <c r="R12" s="4">
        <v>6133.8689999999997</v>
      </c>
      <c r="S12" s="4">
        <v>7604</v>
      </c>
      <c r="T12" s="4">
        <v>9634</v>
      </c>
      <c r="U12" s="4">
        <v>11626</v>
      </c>
      <c r="V12" s="4">
        <f>+SUM(G12:J12)</f>
        <v>6198</v>
      </c>
      <c r="W12" s="4">
        <v>16388</v>
      </c>
      <c r="X12" s="4">
        <v>18284</v>
      </c>
      <c r="Y12" s="4">
        <v>20521</v>
      </c>
      <c r="Z12" s="4">
        <v>22904</v>
      </c>
      <c r="AA12" s="4">
        <f>+Z12*1.1</f>
        <v>25194.400000000001</v>
      </c>
      <c r="AB12" s="4">
        <f>+AA12*1.09</f>
        <v>27461.896000000004</v>
      </c>
      <c r="AC12" s="4">
        <f t="shared" ref="AC12:AJ12" si="0">+AB12*1.09</f>
        <v>29933.466640000006</v>
      </c>
      <c r="AD12" s="4">
        <f t="shared" si="0"/>
        <v>32627.478637600008</v>
      </c>
      <c r="AE12" s="4">
        <f t="shared" si="0"/>
        <v>35563.95171498401</v>
      </c>
      <c r="AF12" s="4">
        <f t="shared" si="0"/>
        <v>38764.707369332573</v>
      </c>
      <c r="AG12" s="4">
        <f t="shared" si="0"/>
        <v>42253.531032572508</v>
      </c>
      <c r="AH12" s="4">
        <f t="shared" si="0"/>
        <v>46056.348825504036</v>
      </c>
      <c r="AI12" s="4">
        <f t="shared" si="0"/>
        <v>50201.420219799402</v>
      </c>
      <c r="AJ12" s="4">
        <f t="shared" si="0"/>
        <v>54719.54803958135</v>
      </c>
    </row>
    <row r="13" spans="2:36" s="3" customFormat="1" x14ac:dyDescent="0.25">
      <c r="B13" s="3" t="s">
        <v>10</v>
      </c>
      <c r="C13" s="4">
        <v>95</v>
      </c>
      <c r="D13" s="4"/>
      <c r="E13" s="4"/>
      <c r="F13" s="4"/>
      <c r="G13" s="4">
        <v>90</v>
      </c>
      <c r="H13" s="4"/>
      <c r="I13" s="4"/>
      <c r="J13" s="4"/>
      <c r="P13" s="4">
        <v>1125.146</v>
      </c>
      <c r="Q13" s="4">
        <v>800.49800000000005</v>
      </c>
      <c r="R13" s="4">
        <v>706.76700000000005</v>
      </c>
      <c r="S13" s="4">
        <v>622</v>
      </c>
      <c r="T13" s="4">
        <v>648</v>
      </c>
      <c r="U13" s="4">
        <v>507</v>
      </c>
      <c r="V13" s="4">
        <f t="shared" ref="V13:V18" si="1">+SUM(G13:J13)</f>
        <v>90</v>
      </c>
      <c r="W13" s="4">
        <v>532</v>
      </c>
      <c r="X13" s="4">
        <v>460</v>
      </c>
      <c r="Y13" s="4">
        <v>386</v>
      </c>
      <c r="Z13" s="4">
        <v>325</v>
      </c>
      <c r="AA13" s="4">
        <f t="shared" ref="AA13:AE13" si="2">+Z13*0.9</f>
        <v>292.5</v>
      </c>
      <c r="AB13" s="4">
        <f t="shared" si="2"/>
        <v>263.25</v>
      </c>
      <c r="AC13" s="4">
        <f t="shared" si="2"/>
        <v>236.92500000000001</v>
      </c>
      <c r="AD13" s="4">
        <f t="shared" si="2"/>
        <v>213.23250000000002</v>
      </c>
      <c r="AE13" s="4">
        <f t="shared" si="2"/>
        <v>191.90925000000001</v>
      </c>
      <c r="AF13" s="4">
        <f t="shared" ref="AF13" si="3">+AE13*0.9</f>
        <v>172.71832500000002</v>
      </c>
      <c r="AG13" s="4">
        <f t="shared" ref="AG13" si="4">+AF13*0.9</f>
        <v>155.44649250000003</v>
      </c>
      <c r="AH13" s="4">
        <f t="shared" ref="AH13" si="5">+AG13*0.9</f>
        <v>139.90184325000004</v>
      </c>
      <c r="AI13" s="4">
        <f t="shared" ref="AI13" si="6">+AH13*0.9</f>
        <v>125.91165892500004</v>
      </c>
      <c r="AJ13" s="4">
        <f t="shared" ref="AJ13" si="7">+AI13*0.9</f>
        <v>113.32049303250004</v>
      </c>
    </row>
    <row r="14" spans="2:36" s="3" customFormat="1" x14ac:dyDescent="0.25">
      <c r="B14" s="3" t="s">
        <v>11</v>
      </c>
      <c r="C14" s="4">
        <v>136</v>
      </c>
      <c r="D14" s="4"/>
      <c r="E14" s="4"/>
      <c r="F14" s="4"/>
      <c r="G14" s="4">
        <v>110</v>
      </c>
      <c r="H14" s="4"/>
      <c r="I14" s="4"/>
      <c r="J14" s="4"/>
      <c r="P14" s="4">
        <v>446.46100000000001</v>
      </c>
      <c r="Q14" s="4">
        <v>469.09899999999999</v>
      </c>
      <c r="R14" s="4">
        <v>460.86900000000003</v>
      </c>
      <c r="S14" s="4">
        <v>804</v>
      </c>
      <c r="T14" s="4">
        <v>889</v>
      </c>
      <c r="U14" s="4">
        <v>735</v>
      </c>
      <c r="V14" s="4">
        <f t="shared" si="1"/>
        <v>110</v>
      </c>
      <c r="W14" s="4">
        <v>686</v>
      </c>
      <c r="X14" s="4">
        <v>665</v>
      </c>
      <c r="Y14" s="4">
        <v>598</v>
      </c>
      <c r="Z14" s="4">
        <v>540</v>
      </c>
      <c r="AA14" s="4">
        <f>+Z14*0.98</f>
        <v>529.20000000000005</v>
      </c>
      <c r="AB14" s="4">
        <f t="shared" ref="AB14:AJ14" si="8">+AA14*0.98</f>
        <v>518.61599999999999</v>
      </c>
      <c r="AC14" s="4">
        <f t="shared" si="8"/>
        <v>508.24367999999998</v>
      </c>
      <c r="AD14" s="4">
        <f t="shared" si="8"/>
        <v>498.07880639999996</v>
      </c>
      <c r="AE14" s="4">
        <f t="shared" si="8"/>
        <v>488.11723027199997</v>
      </c>
      <c r="AF14" s="4">
        <f t="shared" si="8"/>
        <v>478.35488566655994</v>
      </c>
      <c r="AG14" s="4">
        <f t="shared" si="8"/>
        <v>468.78778795322876</v>
      </c>
      <c r="AH14" s="4">
        <f t="shared" si="8"/>
        <v>459.41203219416417</v>
      </c>
      <c r="AI14" s="4">
        <f t="shared" si="8"/>
        <v>450.22379155028085</v>
      </c>
      <c r="AJ14" s="4">
        <f t="shared" si="8"/>
        <v>441.21931571927524</v>
      </c>
    </row>
    <row r="15" spans="2:36" s="14" customFormat="1" x14ac:dyDescent="0.25">
      <c r="B15" s="14" t="s">
        <v>5</v>
      </c>
      <c r="C15" s="14">
        <f t="shared" ref="C15:J15" si="9">+C12+C13+C14</f>
        <v>5714</v>
      </c>
      <c r="D15" s="14">
        <f t="shared" si="9"/>
        <v>0</v>
      </c>
      <c r="E15" s="14">
        <f t="shared" si="9"/>
        <v>0</v>
      </c>
      <c r="F15" s="14">
        <f t="shared" si="9"/>
        <v>0</v>
      </c>
      <c r="G15" s="14">
        <f t="shared" si="9"/>
        <v>6398</v>
      </c>
      <c r="H15" s="14">
        <f t="shared" si="9"/>
        <v>0</v>
      </c>
      <c r="I15" s="14">
        <f t="shared" si="9"/>
        <v>0</v>
      </c>
      <c r="J15" s="14">
        <f t="shared" si="9"/>
        <v>0</v>
      </c>
      <c r="P15" s="14">
        <f>+P12+P13+P14</f>
        <v>4795.5110000000004</v>
      </c>
      <c r="Q15" s="14">
        <f>+Q12+Q13+Q14</f>
        <v>5854.43</v>
      </c>
      <c r="R15" s="14">
        <f t="shared" ref="R15:V15" si="10">+R12+R13+R14</f>
        <v>7301.5049999999992</v>
      </c>
      <c r="S15" s="14">
        <f t="shared" si="10"/>
        <v>9030</v>
      </c>
      <c r="T15" s="14">
        <f t="shared" si="10"/>
        <v>11171</v>
      </c>
      <c r="U15" s="14">
        <f t="shared" si="10"/>
        <v>12868</v>
      </c>
      <c r="V15" s="14">
        <f t="shared" si="10"/>
        <v>6398</v>
      </c>
      <c r="W15" s="14">
        <f t="shared" ref="W15" si="11">+W12+W13+W14</f>
        <v>17606</v>
      </c>
      <c r="X15" s="14">
        <f t="shared" ref="X15" si="12">+X12+X13+X14</f>
        <v>19409</v>
      </c>
      <c r="Y15" s="14">
        <f t="shared" ref="Y15" si="13">+Y12+Y13+Y14</f>
        <v>21505</v>
      </c>
      <c r="Z15" s="14">
        <f t="shared" ref="Z15" si="14">+Z12+Z13+Z14</f>
        <v>23769</v>
      </c>
      <c r="AA15" s="14">
        <f>+AA12+AA13+AA14</f>
        <v>26016.100000000002</v>
      </c>
      <c r="AB15" s="14">
        <f t="shared" ref="AB15" si="15">+AB12+AB13+AB14</f>
        <v>28243.762000000002</v>
      </c>
      <c r="AC15" s="14">
        <f t="shared" ref="AC15" si="16">+AC12+AC13+AC14</f>
        <v>30678.635320000005</v>
      </c>
      <c r="AD15" s="14">
        <f t="shared" ref="AD15" si="17">+AD12+AD13+AD14</f>
        <v>33338.789944000011</v>
      </c>
      <c r="AE15" s="14">
        <f t="shared" ref="AE15" si="18">+AE12+AE13+AE14</f>
        <v>36243.978195256008</v>
      </c>
      <c r="AF15" s="14">
        <f t="shared" ref="AF15:AJ15" si="19">+AF12+AF13+AF14</f>
        <v>39415.780579999133</v>
      </c>
      <c r="AG15" s="14">
        <f t="shared" si="19"/>
        <v>42877.765313025739</v>
      </c>
      <c r="AH15" s="14">
        <f t="shared" si="19"/>
        <v>46655.662700948204</v>
      </c>
      <c r="AI15" s="14">
        <f t="shared" si="19"/>
        <v>50777.555670274676</v>
      </c>
      <c r="AJ15" s="14">
        <f t="shared" si="19"/>
        <v>55274.087848333125</v>
      </c>
    </row>
    <row r="16" spans="2:36" s="3" customFormat="1" x14ac:dyDescent="0.25">
      <c r="B16" s="3" t="s">
        <v>6</v>
      </c>
      <c r="C16" s="4">
        <v>490</v>
      </c>
      <c r="D16" s="4"/>
      <c r="E16" s="4"/>
      <c r="F16" s="4"/>
      <c r="G16" s="4">
        <v>540</v>
      </c>
      <c r="H16" s="4"/>
      <c r="I16" s="4"/>
      <c r="J16" s="4"/>
      <c r="P16" s="4">
        <v>409.19400000000002</v>
      </c>
      <c r="Q16" s="4">
        <v>461.86</v>
      </c>
      <c r="R16" s="4">
        <v>623.048</v>
      </c>
      <c r="S16" s="4">
        <v>574</v>
      </c>
      <c r="T16" s="4">
        <v>926</v>
      </c>
      <c r="U16" s="4">
        <v>1108</v>
      </c>
      <c r="V16" s="4">
        <f t="shared" si="1"/>
        <v>540</v>
      </c>
      <c r="W16" s="4">
        <v>1646</v>
      </c>
      <c r="X16" s="4">
        <v>1822</v>
      </c>
      <c r="Y16" s="4">
        <v>1799</v>
      </c>
      <c r="Z16" s="4">
        <v>2027</v>
      </c>
      <c r="AA16" s="4">
        <f>+AA12*(1-0.9)</f>
        <v>2519.4399999999996</v>
      </c>
      <c r="AB16" s="4">
        <f>+AB12*(1-0.87)</f>
        <v>3570.0464800000009</v>
      </c>
      <c r="AC16" s="4">
        <f>+AC12*(1-0.87)</f>
        <v>3891.3506632000008</v>
      </c>
      <c r="AD16" s="4">
        <f>+AD12*(1-0.88)</f>
        <v>3915.2974365120008</v>
      </c>
      <c r="AE16" s="4">
        <f>+AE12*(1-0.88)</f>
        <v>4267.6742057980809</v>
      </c>
      <c r="AF16" s="4">
        <f>+AF12*(1-0.88)</f>
        <v>4651.7648843199086</v>
      </c>
      <c r="AG16" s="4">
        <f>+AG12*(1-0.885)</f>
        <v>4859.1560687458377</v>
      </c>
      <c r="AH16" s="4">
        <f>+AH12*(1-0.885)</f>
        <v>5296.4801149329633</v>
      </c>
      <c r="AI16" s="4">
        <f>+AI12*(1-0.885)</f>
        <v>5773.1633252769307</v>
      </c>
      <c r="AJ16" s="4">
        <f>+AJ12*(1-0.885)</f>
        <v>6292.7480245518545</v>
      </c>
    </row>
    <row r="17" spans="2:36" s="3" customFormat="1" x14ac:dyDescent="0.25">
      <c r="B17" s="3" t="s">
        <v>7</v>
      </c>
      <c r="C17" s="4">
        <v>6</v>
      </c>
      <c r="D17" s="4"/>
      <c r="E17" s="4"/>
      <c r="F17" s="4"/>
      <c r="G17" s="4">
        <v>6</v>
      </c>
      <c r="H17" s="4"/>
      <c r="I17" s="4"/>
      <c r="J17" s="4"/>
      <c r="P17" s="4">
        <v>90.034999999999997</v>
      </c>
      <c r="Q17" s="4">
        <v>68.917000000000002</v>
      </c>
      <c r="R17" s="4">
        <v>57.082000000000001</v>
      </c>
      <c r="S17" s="4">
        <v>46</v>
      </c>
      <c r="T17" s="4">
        <v>40</v>
      </c>
      <c r="U17" s="4">
        <v>36</v>
      </c>
      <c r="V17" s="4">
        <f t="shared" si="1"/>
        <v>6</v>
      </c>
      <c r="W17" s="4">
        <v>35</v>
      </c>
      <c r="X17" s="4">
        <v>29</v>
      </c>
      <c r="Y17" s="4">
        <v>25</v>
      </c>
      <c r="Z17" s="4">
        <v>23</v>
      </c>
      <c r="AA17" s="4">
        <f t="shared" ref="AA17:AE17" si="20">+AA13*0.07</f>
        <v>20.475000000000001</v>
      </c>
      <c r="AB17" s="4">
        <f t="shared" si="20"/>
        <v>18.427500000000002</v>
      </c>
      <c r="AC17" s="4">
        <f t="shared" si="20"/>
        <v>16.584750000000003</v>
      </c>
      <c r="AD17" s="4">
        <f t="shared" si="20"/>
        <v>14.926275000000002</v>
      </c>
      <c r="AE17" s="4">
        <f t="shared" si="20"/>
        <v>13.433647500000003</v>
      </c>
      <c r="AF17" s="4">
        <f t="shared" ref="AF17:AJ17" si="21">+AF13*0.07</f>
        <v>12.090282750000002</v>
      </c>
      <c r="AG17" s="4">
        <f t="shared" si="21"/>
        <v>10.881254475000004</v>
      </c>
      <c r="AH17" s="4">
        <f t="shared" si="21"/>
        <v>9.7931290275000045</v>
      </c>
      <c r="AI17" s="4">
        <f t="shared" si="21"/>
        <v>8.8138161247500033</v>
      </c>
      <c r="AJ17" s="4">
        <f t="shared" si="21"/>
        <v>7.9324345122750035</v>
      </c>
    </row>
    <row r="18" spans="2:36" s="3" customFormat="1" x14ac:dyDescent="0.25">
      <c r="B18" s="3" t="s">
        <v>8</v>
      </c>
      <c r="C18" s="4">
        <v>126</v>
      </c>
      <c r="D18" s="4"/>
      <c r="E18" s="4"/>
      <c r="F18" s="4"/>
      <c r="G18" s="4">
        <v>118</v>
      </c>
      <c r="H18" s="4"/>
      <c r="I18" s="4"/>
      <c r="J18" s="4"/>
      <c r="P18" s="4">
        <v>245.08799999999999</v>
      </c>
      <c r="Q18" s="4">
        <v>289.13099999999997</v>
      </c>
      <c r="R18" s="4">
        <v>330.36099999999999</v>
      </c>
      <c r="S18" s="4">
        <v>575</v>
      </c>
      <c r="T18" s="4">
        <v>707</v>
      </c>
      <c r="U18" s="4">
        <v>578</v>
      </c>
      <c r="V18" s="4">
        <f t="shared" si="1"/>
        <v>118</v>
      </c>
      <c r="W18" s="4">
        <v>484</v>
      </c>
      <c r="X18" s="4">
        <v>503</v>
      </c>
      <c r="Y18" s="4">
        <v>534</v>
      </c>
      <c r="Z18" s="4">
        <v>501</v>
      </c>
      <c r="AA18" s="4">
        <f>+AA14*0.9</f>
        <v>476.28000000000003</v>
      </c>
      <c r="AB18" s="4">
        <f t="shared" ref="AB18:AJ18" si="22">+AB14*0.9</f>
        <v>466.75439999999998</v>
      </c>
      <c r="AC18" s="4">
        <f t="shared" si="22"/>
        <v>457.41931199999999</v>
      </c>
      <c r="AD18" s="4">
        <f t="shared" si="22"/>
        <v>448.27092575999995</v>
      </c>
      <c r="AE18" s="4">
        <f t="shared" si="22"/>
        <v>439.30550724479997</v>
      </c>
      <c r="AF18" s="4">
        <f t="shared" si="22"/>
        <v>430.51939709990393</v>
      </c>
      <c r="AG18" s="4">
        <f t="shared" si="22"/>
        <v>421.90900915790587</v>
      </c>
      <c r="AH18" s="4">
        <f t="shared" si="22"/>
        <v>413.47082897474775</v>
      </c>
      <c r="AI18" s="4">
        <f t="shared" si="22"/>
        <v>405.20141239525276</v>
      </c>
      <c r="AJ18" s="4">
        <f t="shared" si="22"/>
        <v>397.09738414734773</v>
      </c>
    </row>
    <row r="19" spans="2:36" s="3" customFormat="1" x14ac:dyDescent="0.25">
      <c r="B19" s="3" t="s">
        <v>12</v>
      </c>
      <c r="C19" s="3">
        <f t="shared" ref="C19:J19" si="23">+C16+C17+C18</f>
        <v>622</v>
      </c>
      <c r="D19" s="3">
        <f t="shared" si="23"/>
        <v>0</v>
      </c>
      <c r="E19" s="3">
        <f t="shared" si="23"/>
        <v>0</v>
      </c>
      <c r="F19" s="3">
        <f t="shared" si="23"/>
        <v>0</v>
      </c>
      <c r="G19" s="3">
        <f t="shared" si="23"/>
        <v>664</v>
      </c>
      <c r="H19" s="3">
        <f t="shared" si="23"/>
        <v>0</v>
      </c>
      <c r="I19" s="3">
        <f t="shared" si="23"/>
        <v>0</v>
      </c>
      <c r="J19" s="3">
        <f t="shared" si="23"/>
        <v>0</v>
      </c>
      <c r="P19" s="3">
        <f>+P16+P17+P18</f>
        <v>744.31700000000001</v>
      </c>
      <c r="Q19" s="3">
        <f>+Q16+Q17+Q18</f>
        <v>819.90800000000002</v>
      </c>
      <c r="R19" s="3">
        <f t="shared" ref="R19:V19" si="24">+R16+R17+R18</f>
        <v>1010.491</v>
      </c>
      <c r="S19" s="3">
        <f t="shared" si="24"/>
        <v>1195</v>
      </c>
      <c r="T19" s="3">
        <f t="shared" si="24"/>
        <v>1673</v>
      </c>
      <c r="U19" s="3">
        <f t="shared" si="24"/>
        <v>1722</v>
      </c>
      <c r="V19" s="3">
        <f t="shared" si="24"/>
        <v>664</v>
      </c>
      <c r="W19" s="3">
        <f t="shared" ref="W19" si="25">+W16+W17+W18</f>
        <v>2165</v>
      </c>
      <c r="X19" s="3">
        <f t="shared" ref="X19" si="26">+X16+X17+X18</f>
        <v>2354</v>
      </c>
      <c r="Y19" s="3">
        <f t="shared" ref="Y19" si="27">+Y16+Y17+Y18</f>
        <v>2358</v>
      </c>
      <c r="Z19" s="3">
        <f t="shared" ref="Z19" si="28">+Z16+Z17+Z18</f>
        <v>2551</v>
      </c>
      <c r="AA19" s="3">
        <f t="shared" ref="AA19" si="29">+AA16+AA17+AA18</f>
        <v>3016.1949999999997</v>
      </c>
      <c r="AB19" s="3">
        <f t="shared" ref="AB19" si="30">+AB16+AB17+AB18</f>
        <v>4055.2283800000005</v>
      </c>
      <c r="AC19" s="3">
        <f t="shared" ref="AC19" si="31">+AC16+AC17+AC18</f>
        <v>4365.3547252000008</v>
      </c>
      <c r="AD19" s="3">
        <f t="shared" ref="AD19" si="32">+AD16+AD17+AD18</f>
        <v>4378.4946372720005</v>
      </c>
      <c r="AE19" s="3">
        <f t="shared" ref="AE19" si="33">+AE16+AE17+AE18</f>
        <v>4720.4133605428806</v>
      </c>
      <c r="AF19" s="3">
        <f t="shared" ref="AF19:AJ19" si="34">+AF16+AF17+AF18</f>
        <v>5094.3745641698133</v>
      </c>
      <c r="AG19" s="3">
        <f t="shared" si="34"/>
        <v>5291.9463323787431</v>
      </c>
      <c r="AH19" s="3">
        <f t="shared" si="34"/>
        <v>5719.7440729352111</v>
      </c>
      <c r="AI19" s="3">
        <f t="shared" si="34"/>
        <v>6187.1785537969336</v>
      </c>
      <c r="AJ19" s="3">
        <f t="shared" si="34"/>
        <v>6697.7778432114774</v>
      </c>
    </row>
    <row r="20" spans="2:36" s="3" customFormat="1" x14ac:dyDescent="0.25">
      <c r="B20" s="3" t="s">
        <v>13</v>
      </c>
      <c r="C20" s="3">
        <f t="shared" ref="C20:J20" si="35">+C15-C19</f>
        <v>5092</v>
      </c>
      <c r="D20" s="3">
        <f t="shared" si="35"/>
        <v>0</v>
      </c>
      <c r="E20" s="3">
        <f t="shared" si="35"/>
        <v>0</v>
      </c>
      <c r="F20" s="3">
        <f t="shared" si="35"/>
        <v>0</v>
      </c>
      <c r="G20" s="3">
        <f t="shared" si="35"/>
        <v>5734</v>
      </c>
      <c r="H20" s="3">
        <f t="shared" si="35"/>
        <v>0</v>
      </c>
      <c r="I20" s="3">
        <f t="shared" si="35"/>
        <v>0</v>
      </c>
      <c r="J20" s="3">
        <f t="shared" si="35"/>
        <v>0</v>
      </c>
      <c r="P20" s="3">
        <f>+P15-P19</f>
        <v>4051.1940000000004</v>
      </c>
      <c r="Q20" s="3">
        <f>+Q15-Q19</f>
        <v>5034.5219999999999</v>
      </c>
      <c r="R20" s="3">
        <f t="shared" ref="R20:V20" si="36">+R15-R19</f>
        <v>6291.0139999999992</v>
      </c>
      <c r="S20" s="3">
        <f t="shared" si="36"/>
        <v>7835</v>
      </c>
      <c r="T20" s="3">
        <f t="shared" si="36"/>
        <v>9498</v>
      </c>
      <c r="U20" s="3">
        <f t="shared" si="36"/>
        <v>11146</v>
      </c>
      <c r="V20" s="3">
        <f t="shared" si="36"/>
        <v>5734</v>
      </c>
      <c r="W20" s="3">
        <f t="shared" ref="W20" si="37">+W15-W19</f>
        <v>15441</v>
      </c>
      <c r="X20" s="3">
        <f t="shared" ref="X20" si="38">+X15-X19</f>
        <v>17055</v>
      </c>
      <c r="Y20" s="3">
        <f t="shared" ref="Y20" si="39">+Y15-Y19</f>
        <v>19147</v>
      </c>
      <c r="Z20" s="3">
        <f t="shared" ref="Z20" si="40">+Z15-Z19</f>
        <v>21218</v>
      </c>
      <c r="AA20" s="3">
        <f t="shared" ref="AA20" si="41">+AA15-AA19</f>
        <v>22999.905000000002</v>
      </c>
      <c r="AB20" s="3">
        <f t="shared" ref="AB20" si="42">+AB15-AB19</f>
        <v>24188.533620000002</v>
      </c>
      <c r="AC20" s="3">
        <f t="shared" ref="AC20" si="43">+AC15-AC19</f>
        <v>26313.280594800002</v>
      </c>
      <c r="AD20" s="3">
        <f t="shared" ref="AD20" si="44">+AD15-AD19</f>
        <v>28960.29530672801</v>
      </c>
      <c r="AE20" s="3">
        <f t="shared" ref="AE20" si="45">+AE15-AE19</f>
        <v>31523.564834713128</v>
      </c>
      <c r="AF20" s="3">
        <f t="shared" ref="AF20:AJ20" si="46">+AF15-AF19</f>
        <v>34321.406015829321</v>
      </c>
      <c r="AG20" s="3">
        <f t="shared" si="46"/>
        <v>37585.818980646996</v>
      </c>
      <c r="AH20" s="3">
        <f t="shared" si="46"/>
        <v>40935.918628012994</v>
      </c>
      <c r="AI20" s="3">
        <f t="shared" si="46"/>
        <v>44590.377116477743</v>
      </c>
      <c r="AJ20" s="3">
        <f t="shared" si="46"/>
        <v>48576.310005121646</v>
      </c>
    </row>
    <row r="21" spans="2:36" s="3" customFormat="1" x14ac:dyDescent="0.25">
      <c r="B21" s="3" t="s">
        <v>14</v>
      </c>
      <c r="C21" s="4">
        <v>1026</v>
      </c>
      <c r="D21" s="4"/>
      <c r="E21" s="4"/>
      <c r="F21" s="4"/>
      <c r="G21" s="4">
        <v>1110</v>
      </c>
      <c r="H21" s="4"/>
      <c r="I21" s="4"/>
      <c r="J21" s="4"/>
      <c r="P21" s="4">
        <v>862.73</v>
      </c>
      <c r="Q21" s="4">
        <v>975.98699999999997</v>
      </c>
      <c r="R21" s="4">
        <v>1224.059</v>
      </c>
      <c r="S21" s="4">
        <v>1538</v>
      </c>
      <c r="T21" s="4">
        <v>1930</v>
      </c>
      <c r="U21" s="4">
        <v>2188</v>
      </c>
      <c r="V21" s="4">
        <f t="shared" ref="V21:V28" si="47">+SUM(G21:J21)</f>
        <v>1110</v>
      </c>
      <c r="W21" s="4">
        <v>2987</v>
      </c>
      <c r="X21" s="4">
        <v>3473</v>
      </c>
      <c r="Y21" s="4">
        <v>3944</v>
      </c>
      <c r="Z21" s="4">
        <v>4294</v>
      </c>
      <c r="AA21" s="4">
        <f t="shared" ref="AA21:AJ21" si="48">+AA12*0.2</f>
        <v>5038.880000000001</v>
      </c>
      <c r="AB21" s="4">
        <f t="shared" si="48"/>
        <v>5492.3792000000012</v>
      </c>
      <c r="AC21" s="4">
        <f t="shared" si="48"/>
        <v>5986.6933280000012</v>
      </c>
      <c r="AD21" s="4">
        <f t="shared" si="48"/>
        <v>6525.4957275200022</v>
      </c>
      <c r="AE21" s="4">
        <f t="shared" si="48"/>
        <v>7112.7903429968028</v>
      </c>
      <c r="AF21" s="4">
        <f t="shared" si="48"/>
        <v>7752.9414738665146</v>
      </c>
      <c r="AG21" s="4">
        <f t="shared" si="48"/>
        <v>8450.7062065145019</v>
      </c>
      <c r="AH21" s="4">
        <f t="shared" si="48"/>
        <v>9211.2697651008075</v>
      </c>
      <c r="AI21" s="4">
        <f t="shared" si="48"/>
        <v>10040.28404395988</v>
      </c>
      <c r="AJ21" s="4">
        <f t="shared" si="48"/>
        <v>10943.90960791627</v>
      </c>
    </row>
    <row r="22" spans="2:36" s="3" customFormat="1" x14ac:dyDescent="0.25">
      <c r="B22" s="3" t="s">
        <v>15</v>
      </c>
      <c r="C22" s="4">
        <v>1495</v>
      </c>
      <c r="D22" s="4"/>
      <c r="E22" s="4"/>
      <c r="F22" s="4"/>
      <c r="G22" s="4">
        <v>1708</v>
      </c>
      <c r="H22" s="4"/>
      <c r="I22" s="4"/>
      <c r="J22" s="4"/>
      <c r="P22" s="4">
        <v>1683.242</v>
      </c>
      <c r="Q22" s="4">
        <v>1910.1969999999999</v>
      </c>
      <c r="R22" s="4">
        <v>2197.5920000000001</v>
      </c>
      <c r="S22" s="4">
        <v>2621</v>
      </c>
      <c r="T22" s="4">
        <v>3244</v>
      </c>
      <c r="U22" s="4">
        <v>3591</v>
      </c>
      <c r="V22" s="4">
        <f t="shared" si="47"/>
        <v>1708</v>
      </c>
      <c r="W22" s="4">
        <v>4968</v>
      </c>
      <c r="X22" s="4">
        <v>5351</v>
      </c>
      <c r="Y22" s="4">
        <v>5764</v>
      </c>
      <c r="Z22" s="4">
        <v>6488</v>
      </c>
      <c r="AA22" s="4">
        <f t="shared" ref="AA22:AC22" si="49">+Z22*1.07</f>
        <v>6942.1600000000008</v>
      </c>
      <c r="AB22" s="4">
        <f t="shared" si="49"/>
        <v>7428.1112000000012</v>
      </c>
      <c r="AC22" s="4">
        <f t="shared" si="49"/>
        <v>7948.0789840000016</v>
      </c>
      <c r="AD22" s="4">
        <f>+AD12*0.24</f>
        <v>7830.5948730240016</v>
      </c>
      <c r="AE22" s="4">
        <f t="shared" ref="AE22:AJ22" si="50">+AE12*0.24</f>
        <v>8535.3484115961619</v>
      </c>
      <c r="AF22" s="4">
        <f t="shared" si="50"/>
        <v>9303.5297686398171</v>
      </c>
      <c r="AG22" s="4">
        <f t="shared" si="50"/>
        <v>10140.847447817401</v>
      </c>
      <c r="AH22" s="4">
        <f t="shared" si="50"/>
        <v>11053.523718120969</v>
      </c>
      <c r="AI22" s="4">
        <f t="shared" si="50"/>
        <v>12048.340852751857</v>
      </c>
      <c r="AJ22" s="4">
        <f t="shared" si="50"/>
        <v>13132.691529499523</v>
      </c>
    </row>
    <row r="23" spans="2:36" s="3" customFormat="1" x14ac:dyDescent="0.25">
      <c r="B23" s="3" t="s">
        <v>16</v>
      </c>
      <c r="C23" s="4">
        <v>367</v>
      </c>
      <c r="D23" s="4"/>
      <c r="E23" s="4"/>
      <c r="F23" s="4"/>
      <c r="G23" s="4">
        <v>463</v>
      </c>
      <c r="H23" s="4"/>
      <c r="I23" s="4"/>
      <c r="J23" s="4"/>
      <c r="P23" s="4">
        <v>533.47799999999995</v>
      </c>
      <c r="Q23" s="4">
        <v>576.202</v>
      </c>
      <c r="R23" s="4">
        <v>624.70600000000002</v>
      </c>
      <c r="S23" s="4">
        <v>745</v>
      </c>
      <c r="T23" s="4">
        <v>881</v>
      </c>
      <c r="U23" s="4">
        <v>968</v>
      </c>
      <c r="V23" s="4">
        <f t="shared" si="47"/>
        <v>463</v>
      </c>
      <c r="W23" s="4">
        <v>1219</v>
      </c>
      <c r="X23" s="4">
        <v>1413</v>
      </c>
      <c r="Y23" s="4">
        <v>1529</v>
      </c>
      <c r="Z23" s="4">
        <v>1573</v>
      </c>
      <c r="AA23" s="4">
        <f t="shared" ref="AA23" si="51">+Z23*1.08</f>
        <v>1698.8400000000001</v>
      </c>
      <c r="AB23" s="4">
        <f>+AB15*0.065</f>
        <v>1835.8445300000003</v>
      </c>
      <c r="AC23" s="4">
        <f t="shared" ref="AC23:AJ23" si="52">+AC15*0.065</f>
        <v>1994.1112958000003</v>
      </c>
      <c r="AD23" s="4">
        <f t="shared" si="52"/>
        <v>2167.0213463600007</v>
      </c>
      <c r="AE23" s="4">
        <f t="shared" si="52"/>
        <v>2355.8585826916405</v>
      </c>
      <c r="AF23" s="4">
        <f t="shared" si="52"/>
        <v>2562.0257376999439</v>
      </c>
      <c r="AG23" s="4">
        <f t="shared" si="52"/>
        <v>2787.0547453466729</v>
      </c>
      <c r="AH23" s="4">
        <f t="shared" si="52"/>
        <v>3032.6180755616333</v>
      </c>
      <c r="AI23" s="4">
        <f t="shared" si="52"/>
        <v>3300.541118567854</v>
      </c>
      <c r="AJ23" s="4">
        <f t="shared" si="52"/>
        <v>3592.8157101416532</v>
      </c>
    </row>
    <row r="24" spans="2:36" s="3" customFormat="1" x14ac:dyDescent="0.25">
      <c r="B24" s="3" t="s">
        <v>17</v>
      </c>
      <c r="C24" s="4">
        <v>41</v>
      </c>
      <c r="D24" s="4"/>
      <c r="E24" s="4"/>
      <c r="F24" s="4"/>
      <c r="G24" s="4">
        <v>35</v>
      </c>
      <c r="H24" s="4"/>
      <c r="I24" s="4"/>
      <c r="J24" s="4"/>
      <c r="P24" s="4">
        <v>68.649000000000001</v>
      </c>
      <c r="Q24" s="4">
        <v>78.534000000000006</v>
      </c>
      <c r="R24" s="4">
        <v>76.561999999999998</v>
      </c>
      <c r="S24" s="4">
        <v>91</v>
      </c>
      <c r="T24" s="4">
        <v>175</v>
      </c>
      <c r="U24" s="4">
        <v>162</v>
      </c>
      <c r="V24" s="4">
        <f t="shared" si="47"/>
        <v>35</v>
      </c>
      <c r="W24" s="4">
        <v>169</v>
      </c>
      <c r="X24" s="4">
        <v>168</v>
      </c>
      <c r="Y24" s="4">
        <v>169</v>
      </c>
      <c r="Z24" s="4">
        <v>157</v>
      </c>
      <c r="AA24" s="4">
        <f t="shared" ref="AA24:AE24" si="53">+Z24*1.03</f>
        <v>161.71</v>
      </c>
      <c r="AB24" s="4">
        <f t="shared" si="53"/>
        <v>166.56130000000002</v>
      </c>
      <c r="AC24" s="4">
        <f t="shared" si="53"/>
        <v>171.55813900000001</v>
      </c>
      <c r="AD24" s="4">
        <f t="shared" si="53"/>
        <v>176.70488317000002</v>
      </c>
      <c r="AE24" s="4">
        <f t="shared" si="53"/>
        <v>182.00602966510002</v>
      </c>
      <c r="AF24" s="4">
        <f t="shared" ref="AF24" si="54">+AE24*1.03</f>
        <v>187.46621055505301</v>
      </c>
      <c r="AG24" s="4">
        <f t="shared" ref="AG24" si="55">+AF24*1.03</f>
        <v>193.09019687170459</v>
      </c>
      <c r="AH24" s="4">
        <f t="shared" ref="AH24" si="56">+AG24*1.03</f>
        <v>198.88290277785575</v>
      </c>
      <c r="AI24" s="4">
        <f t="shared" ref="AI24" si="57">+AH24*1.03</f>
        <v>204.84938986119141</v>
      </c>
      <c r="AJ24" s="4">
        <f t="shared" ref="AJ24" si="58">+AI24*1.03</f>
        <v>210.99487155702715</v>
      </c>
    </row>
    <row r="25" spans="2:36" s="3" customFormat="1" x14ac:dyDescent="0.25">
      <c r="B25" s="3" t="s">
        <v>18</v>
      </c>
      <c r="C25" s="3">
        <f t="shared" ref="C25:J25" si="59">+C21+C22+C23+C24</f>
        <v>2929</v>
      </c>
      <c r="D25" s="3">
        <f t="shared" si="59"/>
        <v>0</v>
      </c>
      <c r="E25" s="3">
        <f t="shared" si="59"/>
        <v>0</v>
      </c>
      <c r="F25" s="3">
        <f t="shared" si="59"/>
        <v>0</v>
      </c>
      <c r="G25" s="3">
        <f t="shared" si="59"/>
        <v>3316</v>
      </c>
      <c r="H25" s="3">
        <f t="shared" si="59"/>
        <v>0</v>
      </c>
      <c r="I25" s="3">
        <f t="shared" si="59"/>
        <v>0</v>
      </c>
      <c r="J25" s="3">
        <f t="shared" si="59"/>
        <v>0</v>
      </c>
      <c r="P25" s="3">
        <f>+P21+P22+P23+P24</f>
        <v>3148.0989999999997</v>
      </c>
      <c r="Q25" s="3">
        <f>+Q21+Q22+Q23+Q24</f>
        <v>3540.9199999999996</v>
      </c>
      <c r="R25" s="3">
        <f t="shared" ref="R25:V25" si="60">+R21+R22+R23+R24</f>
        <v>4122.9189999999999</v>
      </c>
      <c r="S25" s="3">
        <f t="shared" si="60"/>
        <v>4995</v>
      </c>
      <c r="T25" s="3">
        <f t="shared" si="60"/>
        <v>6230</v>
      </c>
      <c r="U25" s="3">
        <f t="shared" si="60"/>
        <v>6909</v>
      </c>
      <c r="V25" s="3">
        <f t="shared" si="60"/>
        <v>3316</v>
      </c>
      <c r="W25" s="3">
        <f t="shared" ref="W25" si="61">+W21+W22+W23+W24</f>
        <v>9343</v>
      </c>
      <c r="X25" s="3">
        <f t="shared" ref="X25" si="62">+X21+X22+X23+X24</f>
        <v>10405</v>
      </c>
      <c r="Y25" s="3">
        <f t="shared" ref="Y25" si="63">+Y21+Y22+Y23+Y24</f>
        <v>11406</v>
      </c>
      <c r="Z25" s="3">
        <f t="shared" ref="Z25" si="64">+Z21+Z22+Z23+Z24</f>
        <v>12512</v>
      </c>
      <c r="AA25" s="3">
        <f t="shared" ref="AA25" si="65">+AA21+AA22+AA23+AA24</f>
        <v>13841.59</v>
      </c>
      <c r="AB25" s="3">
        <f t="shared" ref="AB25" si="66">+AB21+AB22+AB23+AB24</f>
        <v>14922.896230000002</v>
      </c>
      <c r="AC25" s="3">
        <f t="shared" ref="AC25" si="67">+AC21+AC22+AC23+AC24</f>
        <v>16100.441746800003</v>
      </c>
      <c r="AD25" s="3">
        <f t="shared" ref="AD25" si="68">+AD21+AD22+AD23+AD24</f>
        <v>16699.816830074007</v>
      </c>
      <c r="AE25" s="3">
        <f t="shared" ref="AE25" si="69">+AE21+AE22+AE23+AE24</f>
        <v>18186.003366949706</v>
      </c>
      <c r="AF25" s="3">
        <f t="shared" ref="AF25:AI25" si="70">+AF21+AF22+AF23+AF24</f>
        <v>19805.963190761329</v>
      </c>
      <c r="AG25" s="3">
        <f t="shared" si="70"/>
        <v>21571.698596550279</v>
      </c>
      <c r="AH25" s="3">
        <f t="shared" si="70"/>
        <v>23496.294461561265</v>
      </c>
      <c r="AI25" s="3">
        <f t="shared" si="70"/>
        <v>25594.015405140781</v>
      </c>
      <c r="AJ25" s="3">
        <f>+AJ21+AJ22+AJ23+AJ24</f>
        <v>27880.411719114476</v>
      </c>
    </row>
    <row r="26" spans="2:36" s="14" customFormat="1" x14ac:dyDescent="0.25">
      <c r="B26" s="14" t="s">
        <v>68</v>
      </c>
      <c r="C26" s="14">
        <f t="shared" ref="C26:J26" si="71">+C20-C25</f>
        <v>2163</v>
      </c>
      <c r="D26" s="14">
        <f t="shared" si="71"/>
        <v>0</v>
      </c>
      <c r="E26" s="14">
        <f t="shared" si="71"/>
        <v>0</v>
      </c>
      <c r="F26" s="14">
        <f t="shared" si="71"/>
        <v>0</v>
      </c>
      <c r="G26" s="14">
        <f t="shared" si="71"/>
        <v>2418</v>
      </c>
      <c r="H26" s="14">
        <f t="shared" si="71"/>
        <v>0</v>
      </c>
      <c r="I26" s="14">
        <f t="shared" si="71"/>
        <v>0</v>
      </c>
      <c r="J26" s="14">
        <f t="shared" si="71"/>
        <v>0</v>
      </c>
      <c r="P26" s="14">
        <f>+P20-P25</f>
        <v>903.09500000000071</v>
      </c>
      <c r="Q26" s="14">
        <f t="shared" ref="Q26:AJ26" si="72">+Q20-Q25</f>
        <v>1493.6020000000003</v>
      </c>
      <c r="R26" s="14">
        <f t="shared" si="72"/>
        <v>2168.0949999999993</v>
      </c>
      <c r="S26" s="14">
        <f t="shared" si="72"/>
        <v>2840</v>
      </c>
      <c r="T26" s="14">
        <f t="shared" si="72"/>
        <v>3268</v>
      </c>
      <c r="U26" s="14">
        <f t="shared" si="72"/>
        <v>4237</v>
      </c>
      <c r="V26" s="14">
        <f t="shared" si="72"/>
        <v>2418</v>
      </c>
      <c r="W26" s="14">
        <f t="shared" si="72"/>
        <v>6098</v>
      </c>
      <c r="X26" s="14">
        <f t="shared" si="72"/>
        <v>6650</v>
      </c>
      <c r="Y26" s="14">
        <f t="shared" si="72"/>
        <v>7741</v>
      </c>
      <c r="Z26" s="14">
        <f t="shared" si="72"/>
        <v>8706</v>
      </c>
      <c r="AA26" s="14">
        <f t="shared" si="72"/>
        <v>9158.3150000000023</v>
      </c>
      <c r="AB26" s="14">
        <f t="shared" si="72"/>
        <v>9265.6373899999999</v>
      </c>
      <c r="AC26" s="14">
        <f t="shared" si="72"/>
        <v>10212.838847999999</v>
      </c>
      <c r="AD26" s="14">
        <f t="shared" si="72"/>
        <v>12260.478476654003</v>
      </c>
      <c r="AE26" s="14">
        <f t="shared" si="72"/>
        <v>13337.561467763422</v>
      </c>
      <c r="AF26" s="14">
        <f t="shared" si="72"/>
        <v>14515.442825067992</v>
      </c>
      <c r="AG26" s="14">
        <f t="shared" si="72"/>
        <v>16014.120384096717</v>
      </c>
      <c r="AH26" s="14">
        <f t="shared" si="72"/>
        <v>17439.624166451729</v>
      </c>
      <c r="AI26" s="14">
        <f t="shared" si="72"/>
        <v>18996.361711336962</v>
      </c>
      <c r="AJ26" s="14">
        <f t="shared" si="72"/>
        <v>20695.89828600717</v>
      </c>
    </row>
    <row r="27" spans="2:36" s="3" customFormat="1" x14ac:dyDescent="0.25">
      <c r="B27" s="3" t="s">
        <v>19</v>
      </c>
      <c r="C27" s="4">
        <v>62</v>
      </c>
      <c r="D27" s="4"/>
      <c r="E27" s="4"/>
      <c r="F27" s="4"/>
      <c r="G27" s="4">
        <v>63</v>
      </c>
      <c r="H27" s="4"/>
      <c r="I27" s="4"/>
      <c r="J27" s="4"/>
      <c r="P27" s="4">
        <v>64.183999999999997</v>
      </c>
      <c r="Q27" s="4">
        <v>70.441999999999993</v>
      </c>
      <c r="R27" s="4">
        <v>74.402000000000001</v>
      </c>
      <c r="S27" s="4">
        <v>89</v>
      </c>
      <c r="T27" s="4">
        <v>157</v>
      </c>
      <c r="U27" s="4">
        <v>116</v>
      </c>
      <c r="V27" s="4">
        <f t="shared" si="47"/>
        <v>63</v>
      </c>
      <c r="W27" s="4">
        <v>112</v>
      </c>
      <c r="X27" s="4">
        <v>113</v>
      </c>
      <c r="Y27" s="4">
        <v>169</v>
      </c>
      <c r="Z27" s="4">
        <v>263</v>
      </c>
      <c r="AA27" s="4">
        <f t="shared" ref="AA27:AE27" si="73">+Z27*0.98</f>
        <v>257.74</v>
      </c>
      <c r="AB27" s="4">
        <f t="shared" si="73"/>
        <v>252.58520000000001</v>
      </c>
      <c r="AC27" s="4">
        <f t="shared" si="73"/>
        <v>247.53349600000001</v>
      </c>
      <c r="AD27" s="4">
        <f t="shared" si="73"/>
        <v>242.58282608000002</v>
      </c>
      <c r="AE27" s="4">
        <f t="shared" si="73"/>
        <v>237.73116955840001</v>
      </c>
      <c r="AF27" s="4">
        <f t="shared" ref="AF27" si="74">+AE27*0.98</f>
        <v>232.97654616723202</v>
      </c>
      <c r="AG27" s="4">
        <f t="shared" ref="AG27" si="75">+AF27*0.98</f>
        <v>228.31701524388737</v>
      </c>
      <c r="AH27" s="4">
        <f t="shared" ref="AH27" si="76">+AG27*0.98</f>
        <v>223.75067493900963</v>
      </c>
      <c r="AI27" s="4">
        <f t="shared" ref="AI27" si="77">+AH27*0.98</f>
        <v>219.27566144022944</v>
      </c>
      <c r="AJ27" s="4">
        <f t="shared" ref="AJ27" si="78">+AI27*0.98</f>
        <v>214.89014821142484</v>
      </c>
    </row>
    <row r="28" spans="2:36" s="3" customFormat="1" x14ac:dyDescent="0.25">
      <c r="B28" s="3" t="s">
        <v>20</v>
      </c>
      <c r="C28" s="4">
        <v>6</v>
      </c>
      <c r="D28" s="4"/>
      <c r="E28" s="4"/>
      <c r="F28" s="4"/>
      <c r="G28" s="4">
        <v>5</v>
      </c>
      <c r="H28" s="4"/>
      <c r="I28" s="4"/>
      <c r="J28" s="4"/>
      <c r="P28" s="4">
        <v>0.96099999999999997</v>
      </c>
      <c r="Q28" s="4">
        <v>-1.57</v>
      </c>
      <c r="R28" s="4">
        <v>7.5529999999999999</v>
      </c>
      <c r="S28" s="4">
        <v>3</v>
      </c>
      <c r="T28" s="4">
        <v>52</v>
      </c>
      <c r="U28" s="4">
        <v>13</v>
      </c>
      <c r="V28" s="4">
        <f t="shared" si="47"/>
        <v>5</v>
      </c>
      <c r="W28" s="4">
        <v>-19</v>
      </c>
      <c r="X28" s="4">
        <v>16</v>
      </c>
      <c r="Y28" s="4">
        <v>48</v>
      </c>
      <c r="Z28" s="4">
        <v>43</v>
      </c>
      <c r="AA28" s="4">
        <f t="shared" ref="AA28:AE28" si="79">+Z28*1.015</f>
        <v>43.644999999999996</v>
      </c>
      <c r="AB28" s="4">
        <f t="shared" si="79"/>
        <v>44.299674999999993</v>
      </c>
      <c r="AC28" s="4">
        <f t="shared" si="79"/>
        <v>44.964170124999988</v>
      </c>
      <c r="AD28" s="4">
        <f t="shared" si="79"/>
        <v>45.638632676874984</v>
      </c>
      <c r="AE28" s="4">
        <f t="shared" si="79"/>
        <v>46.323212167028103</v>
      </c>
      <c r="AF28" s="4">
        <f t="shared" ref="AF28" si="80">+AE28*1.015</f>
        <v>47.018060349533521</v>
      </c>
      <c r="AG28" s="4">
        <f t="shared" ref="AG28" si="81">+AF28*1.015</f>
        <v>47.723331254776518</v>
      </c>
      <c r="AH28" s="4">
        <f t="shared" ref="AH28" si="82">+AG28*1.015</f>
        <v>48.439181223598162</v>
      </c>
      <c r="AI28" s="4">
        <f t="shared" ref="AI28" si="83">+AH28*1.015</f>
        <v>49.16576894195213</v>
      </c>
      <c r="AJ28" s="4">
        <f t="shared" ref="AJ28" si="84">+AI28*1.015</f>
        <v>49.903255476081405</v>
      </c>
    </row>
    <row r="29" spans="2:36" s="3" customFormat="1" x14ac:dyDescent="0.25">
      <c r="B29" s="3" t="s">
        <v>21</v>
      </c>
      <c r="C29" s="4">
        <v>75</v>
      </c>
      <c r="D29" s="4"/>
      <c r="E29" s="4"/>
      <c r="F29" s="4"/>
      <c r="G29" s="4">
        <v>62</v>
      </c>
      <c r="H29" s="4"/>
      <c r="I29" s="4"/>
      <c r="J29" s="4"/>
      <c r="P29" s="4">
        <v>33.908999999999999</v>
      </c>
      <c r="Q29" s="4">
        <v>13.548</v>
      </c>
      <c r="R29" s="4">
        <v>36.395000000000003</v>
      </c>
      <c r="S29" s="4">
        <v>40</v>
      </c>
      <c r="T29" s="4">
        <v>42</v>
      </c>
      <c r="U29" s="4">
        <v>42</v>
      </c>
      <c r="V29" s="4">
        <v>42</v>
      </c>
      <c r="W29" s="4">
        <v>41</v>
      </c>
      <c r="X29" s="4">
        <v>246</v>
      </c>
      <c r="Y29" s="4">
        <f>311-1000</f>
        <v>-689</v>
      </c>
      <c r="Z29" s="4">
        <v>248</v>
      </c>
      <c r="AA29" s="4">
        <v>42</v>
      </c>
      <c r="AB29" s="4">
        <v>42</v>
      </c>
      <c r="AC29" s="4">
        <v>42</v>
      </c>
      <c r="AD29" s="4">
        <v>42</v>
      </c>
      <c r="AE29" s="4">
        <v>42</v>
      </c>
      <c r="AF29" s="4">
        <v>43</v>
      </c>
      <c r="AG29" s="4">
        <v>44</v>
      </c>
      <c r="AH29" s="4">
        <v>45</v>
      </c>
      <c r="AI29" s="4">
        <v>46</v>
      </c>
      <c r="AJ29" s="4">
        <v>47</v>
      </c>
    </row>
    <row r="30" spans="2:36" s="3" customFormat="1" x14ac:dyDescent="0.25">
      <c r="B30" s="3" t="s">
        <v>22</v>
      </c>
      <c r="C30" s="3">
        <f t="shared" ref="C30:J30" si="85">+C20-C25+C28+C29</f>
        <v>2244</v>
      </c>
      <c r="D30" s="3">
        <f t="shared" si="85"/>
        <v>0</v>
      </c>
      <c r="E30" s="3">
        <f t="shared" si="85"/>
        <v>0</v>
      </c>
      <c r="F30" s="3">
        <f t="shared" si="85"/>
        <v>0</v>
      </c>
      <c r="G30" s="3">
        <f t="shared" si="85"/>
        <v>2485</v>
      </c>
      <c r="H30" s="3">
        <f t="shared" si="85"/>
        <v>0</v>
      </c>
      <c r="I30" s="3">
        <f t="shared" si="85"/>
        <v>0</v>
      </c>
      <c r="J30" s="3">
        <f t="shared" si="85"/>
        <v>0</v>
      </c>
      <c r="P30" s="3">
        <f>+P20-P25+P28+P29</f>
        <v>937.96500000000071</v>
      </c>
      <c r="Q30" s="3">
        <f>+Q20-Q25+Q28+Q29</f>
        <v>1505.5800000000004</v>
      </c>
      <c r="R30" s="3">
        <f t="shared" ref="R30:V30" si="86">+R20-R25+R28+R29</f>
        <v>2212.0429999999992</v>
      </c>
      <c r="S30" s="3">
        <f t="shared" si="86"/>
        <v>2883</v>
      </c>
      <c r="T30" s="3">
        <f t="shared" si="86"/>
        <v>3362</v>
      </c>
      <c r="U30" s="3">
        <f t="shared" si="86"/>
        <v>4292</v>
      </c>
      <c r="V30" s="3">
        <f t="shared" si="86"/>
        <v>2465</v>
      </c>
      <c r="W30" s="3">
        <f>+W20-W25+W28+W29</f>
        <v>6120</v>
      </c>
      <c r="X30" s="3">
        <f t="shared" ref="X30" si="87">+X20-X25+X28+X29</f>
        <v>6912</v>
      </c>
      <c r="Y30" s="3">
        <f t="shared" ref="Y30" si="88">+Y20-Y25+Y28+Y29</f>
        <v>7100</v>
      </c>
      <c r="Z30" s="3">
        <f t="shared" ref="Z30" si="89">+Z20-Z25+Z28+Z29</f>
        <v>8997</v>
      </c>
      <c r="AA30" s="3">
        <f>+AA20-AA25+AA28+AA29</f>
        <v>9243.9600000000028</v>
      </c>
      <c r="AB30" s="3">
        <f t="shared" ref="AB30" si="90">+AB20-AB25+AB28+AB29</f>
        <v>9351.9370650000001</v>
      </c>
      <c r="AC30" s="3">
        <f t="shared" ref="AC30" si="91">+AC20-AC25+AC28+AC29</f>
        <v>10299.803018125</v>
      </c>
      <c r="AD30" s="3">
        <f t="shared" ref="AD30" si="92">+AD20-AD25+AD28+AD29</f>
        <v>12348.117109330879</v>
      </c>
      <c r="AE30" s="3">
        <f t="shared" ref="AE30:AJ30" si="93">+AE20-AE25+AE28+AE29</f>
        <v>13425.88467993045</v>
      </c>
      <c r="AF30" s="3">
        <f t="shared" si="93"/>
        <v>14605.460885417526</v>
      </c>
      <c r="AG30" s="3">
        <f t="shared" si="93"/>
        <v>16105.843715351493</v>
      </c>
      <c r="AH30" s="3">
        <f t="shared" si="93"/>
        <v>17533.063347675328</v>
      </c>
      <c r="AI30" s="3">
        <f t="shared" si="93"/>
        <v>19091.527480278914</v>
      </c>
      <c r="AJ30" s="3">
        <f t="shared" si="93"/>
        <v>20792.801541483252</v>
      </c>
    </row>
    <row r="31" spans="2:36" s="3" customFormat="1" x14ac:dyDescent="0.25">
      <c r="B31" s="3" t="s">
        <v>23</v>
      </c>
      <c r="C31" s="3">
        <f t="shared" ref="C31:J31" si="94">+C30-C27</f>
        <v>2182</v>
      </c>
      <c r="D31" s="3">
        <f t="shared" si="94"/>
        <v>0</v>
      </c>
      <c r="E31" s="3">
        <f t="shared" si="94"/>
        <v>0</v>
      </c>
      <c r="F31" s="3">
        <f t="shared" si="94"/>
        <v>0</v>
      </c>
      <c r="G31" s="3">
        <f t="shared" si="94"/>
        <v>2422</v>
      </c>
      <c r="H31" s="3">
        <f t="shared" si="94"/>
        <v>0</v>
      </c>
      <c r="I31" s="3">
        <f t="shared" si="94"/>
        <v>0</v>
      </c>
      <c r="J31" s="3">
        <f t="shared" si="94"/>
        <v>0</v>
      </c>
      <c r="P31" s="3">
        <f>+P30-P27</f>
        <v>873.78100000000074</v>
      </c>
      <c r="Q31" s="3">
        <f>+Q30-Q27</f>
        <v>1435.1380000000004</v>
      </c>
      <c r="R31" s="3">
        <f t="shared" ref="R31:V31" si="95">+R30-R27</f>
        <v>2137.6409999999992</v>
      </c>
      <c r="S31" s="3">
        <f t="shared" si="95"/>
        <v>2794</v>
      </c>
      <c r="T31" s="3">
        <f t="shared" si="95"/>
        <v>3205</v>
      </c>
      <c r="U31" s="3">
        <f t="shared" si="95"/>
        <v>4176</v>
      </c>
      <c r="V31" s="3">
        <f t="shared" si="95"/>
        <v>2402</v>
      </c>
      <c r="W31" s="3">
        <f t="shared" ref="W31" si="96">+W30-W27</f>
        <v>6008</v>
      </c>
      <c r="X31" s="3">
        <f t="shared" ref="X31" si="97">+X30-X27</f>
        <v>6799</v>
      </c>
      <c r="Y31" s="3">
        <f t="shared" ref="Y31" si="98">+Y30-Y27</f>
        <v>6931</v>
      </c>
      <c r="Z31" s="3">
        <f t="shared" ref="Z31" si="99">+Z30-Z27</f>
        <v>8734</v>
      </c>
      <c r="AA31" s="3">
        <f>+AA30-AA27</f>
        <v>8986.220000000003</v>
      </c>
      <c r="AB31" s="3">
        <f t="shared" ref="AB31" si="100">+AB30-AB27</f>
        <v>9099.3518650000005</v>
      </c>
      <c r="AC31" s="3">
        <f t="shared" ref="AC31" si="101">+AC30-AC27</f>
        <v>10052.269522125</v>
      </c>
      <c r="AD31" s="3">
        <f t="shared" ref="AD31" si="102">+AD30-AD27</f>
        <v>12105.534283250878</v>
      </c>
      <c r="AE31" s="3">
        <f t="shared" ref="AE31:AI31" si="103">+AE30-AE27</f>
        <v>13188.153510372051</v>
      </c>
      <c r="AF31" s="3">
        <f t="shared" si="103"/>
        <v>14372.484339250293</v>
      </c>
      <c r="AG31" s="3">
        <f t="shared" si="103"/>
        <v>15877.526700107606</v>
      </c>
      <c r="AH31" s="3">
        <f t="shared" si="103"/>
        <v>17309.31267273632</v>
      </c>
      <c r="AI31" s="3">
        <f t="shared" si="103"/>
        <v>18872.251818838686</v>
      </c>
      <c r="AJ31" s="3">
        <f>+AJ30-AJ27</f>
        <v>20577.911393271828</v>
      </c>
    </row>
    <row r="32" spans="2:36" s="3" customFormat="1" x14ac:dyDescent="0.25">
      <c r="B32" s="3" t="s">
        <v>24</v>
      </c>
      <c r="C32" s="4">
        <v>372</v>
      </c>
      <c r="D32" s="4"/>
      <c r="E32" s="4"/>
      <c r="F32" s="4"/>
      <c r="G32" s="4">
        <v>533</v>
      </c>
      <c r="H32" s="4"/>
      <c r="I32" s="4"/>
      <c r="J32" s="4"/>
      <c r="P32" s="4">
        <v>244.23</v>
      </c>
      <c r="Q32" s="4">
        <v>266.25599999999997</v>
      </c>
      <c r="R32" s="4">
        <v>443.68700000000001</v>
      </c>
      <c r="S32" s="4">
        <v>203</v>
      </c>
      <c r="T32" s="4">
        <v>254</v>
      </c>
      <c r="U32" s="4">
        <v>-1084</v>
      </c>
      <c r="V32" s="4">
        <f t="shared" ref="V32" si="104">+SUM(G32:J32)</f>
        <v>533</v>
      </c>
      <c r="W32" s="4">
        <v>1252</v>
      </c>
      <c r="X32" s="4">
        <v>1371</v>
      </c>
      <c r="Y32" s="4">
        <v>1371</v>
      </c>
      <c r="Z32" s="4">
        <v>1604</v>
      </c>
      <c r="AA32" s="4">
        <f>+AA31*0.2</f>
        <v>1797.2440000000006</v>
      </c>
      <c r="AB32" s="4">
        <f t="shared" ref="AB32:AJ32" si="105">+AB31*0.2</f>
        <v>1819.8703730000002</v>
      </c>
      <c r="AC32" s="4">
        <f t="shared" si="105"/>
        <v>2010.453904425</v>
      </c>
      <c r="AD32" s="4">
        <f t="shared" si="105"/>
        <v>2421.1068566501758</v>
      </c>
      <c r="AE32" s="4">
        <f t="shared" si="105"/>
        <v>2637.6307020744102</v>
      </c>
      <c r="AF32" s="4">
        <f t="shared" si="105"/>
        <v>2874.4968678500591</v>
      </c>
      <c r="AG32" s="4">
        <f t="shared" si="105"/>
        <v>3175.5053400215215</v>
      </c>
      <c r="AH32" s="4">
        <f t="shared" si="105"/>
        <v>3461.8625345472642</v>
      </c>
      <c r="AI32" s="4">
        <f t="shared" si="105"/>
        <v>3774.4503637677371</v>
      </c>
      <c r="AJ32" s="4">
        <f t="shared" si="105"/>
        <v>4115.5822786543658</v>
      </c>
    </row>
    <row r="33" spans="2:120" s="3" customFormat="1" x14ac:dyDescent="0.25">
      <c r="B33" s="3" t="s">
        <v>25</v>
      </c>
      <c r="C33" s="5">
        <f t="shared" ref="C33:J33" si="106">+C31-C32</f>
        <v>1810</v>
      </c>
      <c r="D33" s="5">
        <f t="shared" si="106"/>
        <v>0</v>
      </c>
      <c r="E33" s="5">
        <f t="shared" si="106"/>
        <v>0</v>
      </c>
      <c r="F33" s="5">
        <f t="shared" si="106"/>
        <v>0</v>
      </c>
      <c r="G33" s="5">
        <f t="shared" si="106"/>
        <v>1889</v>
      </c>
      <c r="H33" s="5">
        <f t="shared" si="106"/>
        <v>0</v>
      </c>
      <c r="I33" s="5">
        <f t="shared" si="106"/>
        <v>0</v>
      </c>
      <c r="J33" s="5">
        <f t="shared" si="106"/>
        <v>0</v>
      </c>
      <c r="P33" s="5">
        <f>+P31-P32</f>
        <v>629.55100000000073</v>
      </c>
      <c r="Q33" s="5">
        <f>+Q31-Q32</f>
        <v>1168.8820000000005</v>
      </c>
      <c r="R33" s="5">
        <f t="shared" ref="R33:V33" si="107">+R31-R32</f>
        <v>1693.9539999999993</v>
      </c>
      <c r="S33" s="5">
        <f t="shared" si="107"/>
        <v>2591</v>
      </c>
      <c r="T33" s="5">
        <f t="shared" si="107"/>
        <v>2951</v>
      </c>
      <c r="U33" s="5">
        <f t="shared" si="107"/>
        <v>5260</v>
      </c>
      <c r="V33" s="5">
        <f t="shared" si="107"/>
        <v>1869</v>
      </c>
      <c r="W33" s="5">
        <f t="shared" ref="W33" si="108">+W31-W32</f>
        <v>4756</v>
      </c>
      <c r="X33" s="5">
        <f t="shared" ref="X33" si="109">+X31-X32</f>
        <v>5428</v>
      </c>
      <c r="Y33" s="5">
        <f t="shared" ref="Y33" si="110">+Y31-Y32</f>
        <v>5560</v>
      </c>
      <c r="Z33" s="5">
        <f t="shared" ref="Z33" si="111">+Z31-Z32</f>
        <v>7130</v>
      </c>
      <c r="AA33" s="5">
        <f t="shared" ref="AA33:AJ33" si="112">+AA31-AA32</f>
        <v>7188.9760000000024</v>
      </c>
      <c r="AB33" s="5">
        <f t="shared" si="112"/>
        <v>7279.4814920000008</v>
      </c>
      <c r="AC33" s="5">
        <f t="shared" si="112"/>
        <v>8041.8156177000001</v>
      </c>
      <c r="AD33" s="5">
        <f t="shared" si="112"/>
        <v>9684.4274266007014</v>
      </c>
      <c r="AE33" s="5">
        <f t="shared" si="112"/>
        <v>10550.522808297641</v>
      </c>
      <c r="AF33" s="5">
        <f t="shared" si="112"/>
        <v>11497.987471400234</v>
      </c>
      <c r="AG33" s="5">
        <f t="shared" si="112"/>
        <v>12702.021360086084</v>
      </c>
      <c r="AH33" s="5">
        <f t="shared" si="112"/>
        <v>13847.450138189055</v>
      </c>
      <c r="AI33" s="5">
        <f t="shared" si="112"/>
        <v>15097.801455070949</v>
      </c>
      <c r="AJ33" s="5">
        <f t="shared" si="112"/>
        <v>16462.329114617463</v>
      </c>
      <c r="AK33" s="5">
        <f t="shared" ref="AK33:BK33" si="113">+AJ33*(1+MV)</f>
        <v>16956.198988055989</v>
      </c>
      <c r="AL33" s="5">
        <f t="shared" si="113"/>
        <v>17464.884957697668</v>
      </c>
      <c r="AM33" s="5">
        <f t="shared" si="113"/>
        <v>17988.8315064286</v>
      </c>
      <c r="AN33" s="5">
        <f t="shared" si="113"/>
        <v>18528.496451621457</v>
      </c>
      <c r="AO33" s="5">
        <f t="shared" si="113"/>
        <v>19084.3513451701</v>
      </c>
      <c r="AP33" s="5">
        <f t="shared" si="113"/>
        <v>19656.881885525203</v>
      </c>
      <c r="AQ33" s="5">
        <f t="shared" si="113"/>
        <v>20246.588342090959</v>
      </c>
      <c r="AR33" s="5">
        <f t="shared" si="113"/>
        <v>20853.98599235369</v>
      </c>
      <c r="AS33" s="5">
        <f t="shared" si="113"/>
        <v>21479.605572124299</v>
      </c>
      <c r="AT33" s="5">
        <f t="shared" si="113"/>
        <v>22123.993739288027</v>
      </c>
      <c r="AU33" s="5">
        <f t="shared" si="113"/>
        <v>22787.71355146667</v>
      </c>
      <c r="AV33" s="5">
        <f t="shared" si="113"/>
        <v>23471.344958010672</v>
      </c>
      <c r="AW33" s="5">
        <f t="shared" si="113"/>
        <v>24175.485306750994</v>
      </c>
      <c r="AX33" s="5">
        <f t="shared" si="113"/>
        <v>24900.749865953523</v>
      </c>
      <c r="AY33" s="5">
        <f t="shared" si="113"/>
        <v>25647.77236193213</v>
      </c>
      <c r="AZ33" s="5">
        <f t="shared" si="113"/>
        <v>26417.205532790093</v>
      </c>
      <c r="BA33" s="5">
        <f t="shared" si="113"/>
        <v>27209.721698773796</v>
      </c>
      <c r="BB33" s="5">
        <f t="shared" si="113"/>
        <v>28026.013349737012</v>
      </c>
      <c r="BC33" s="5">
        <f t="shared" si="113"/>
        <v>28866.793750229124</v>
      </c>
      <c r="BD33" s="5">
        <f t="shared" si="113"/>
        <v>29732.797562735999</v>
      </c>
      <c r="BE33" s="5">
        <f t="shared" si="113"/>
        <v>30624.781489618079</v>
      </c>
      <c r="BF33" s="5">
        <f t="shared" si="113"/>
        <v>31543.524934306621</v>
      </c>
      <c r="BG33" s="5">
        <f t="shared" si="113"/>
        <v>32489.830682335822</v>
      </c>
      <c r="BH33" s="5">
        <f t="shared" si="113"/>
        <v>33464.525602805894</v>
      </c>
      <c r="BI33" s="5">
        <f t="shared" si="113"/>
        <v>34468.461370890072</v>
      </c>
      <c r="BJ33" s="5">
        <f t="shared" si="113"/>
        <v>35502.515212016777</v>
      </c>
      <c r="BK33" s="5">
        <f t="shared" si="113"/>
        <v>36567.590668377285</v>
      </c>
      <c r="BL33" s="5">
        <f t="shared" ref="BL33:CQ33" si="114">+BK33*(1+MV)</f>
        <v>37664.618388428607</v>
      </c>
      <c r="BM33" s="5">
        <f t="shared" si="114"/>
        <v>38794.556940081464</v>
      </c>
      <c r="BN33" s="5">
        <f t="shared" si="114"/>
        <v>39958.393648283905</v>
      </c>
      <c r="BO33" s="5">
        <f t="shared" si="114"/>
        <v>41157.145457732426</v>
      </c>
      <c r="BP33" s="5">
        <f t="shared" si="114"/>
        <v>42391.859821464401</v>
      </c>
      <c r="BQ33" s="5">
        <f t="shared" si="114"/>
        <v>43663.615616108335</v>
      </c>
      <c r="BR33" s="5">
        <f t="shared" si="114"/>
        <v>44973.524084591583</v>
      </c>
      <c r="BS33" s="5">
        <f t="shared" si="114"/>
        <v>46322.729807129333</v>
      </c>
      <c r="BT33" s="5">
        <f t="shared" si="114"/>
        <v>47712.411701343211</v>
      </c>
      <c r="BU33" s="5">
        <f t="shared" si="114"/>
        <v>49143.784052383511</v>
      </c>
      <c r="BV33" s="5">
        <f t="shared" si="114"/>
        <v>50618.097573955019</v>
      </c>
      <c r="BW33" s="5">
        <f t="shared" si="114"/>
        <v>52136.640501173672</v>
      </c>
      <c r="BX33" s="5">
        <f t="shared" si="114"/>
        <v>53700.739716208882</v>
      </c>
      <c r="BY33" s="5">
        <f t="shared" si="114"/>
        <v>55311.761907695152</v>
      </c>
      <c r="BZ33" s="5">
        <f t="shared" si="114"/>
        <v>56971.114764926009</v>
      </c>
      <c r="CA33" s="5">
        <f t="shared" si="114"/>
        <v>58680.248207873788</v>
      </c>
      <c r="CB33" s="5">
        <f t="shared" si="114"/>
        <v>60440.655654110007</v>
      </c>
      <c r="CC33" s="5">
        <f t="shared" si="114"/>
        <v>62253.875323733308</v>
      </c>
      <c r="CD33" s="5">
        <f t="shared" si="114"/>
        <v>64121.491583445306</v>
      </c>
      <c r="CE33" s="5">
        <f t="shared" si="114"/>
        <v>66045.136330948662</v>
      </c>
      <c r="CF33" s="5">
        <f t="shared" si="114"/>
        <v>68026.490420877119</v>
      </c>
      <c r="CG33" s="5">
        <f t="shared" si="114"/>
        <v>70067.285133503436</v>
      </c>
      <c r="CH33" s="5">
        <f t="shared" si="114"/>
        <v>72169.303687508538</v>
      </c>
      <c r="CI33" s="5">
        <f t="shared" si="114"/>
        <v>74334.382798133796</v>
      </c>
      <c r="CJ33" s="5">
        <f t="shared" si="114"/>
        <v>76564.414282077807</v>
      </c>
      <c r="CK33" s="5">
        <f t="shared" si="114"/>
        <v>78861.346710540151</v>
      </c>
      <c r="CL33" s="5">
        <f t="shared" si="114"/>
        <v>81227.187111856358</v>
      </c>
      <c r="CM33" s="5">
        <f t="shared" si="114"/>
        <v>83664.002725212049</v>
      </c>
      <c r="CN33" s="5">
        <f t="shared" si="114"/>
        <v>86173.922806968418</v>
      </c>
      <c r="CO33" s="5">
        <f t="shared" si="114"/>
        <v>88759.140491177473</v>
      </c>
      <c r="CP33" s="5">
        <f t="shared" si="114"/>
        <v>91421.914705912801</v>
      </c>
      <c r="CQ33" s="5">
        <f t="shared" si="114"/>
        <v>94164.572147090192</v>
      </c>
      <c r="CR33" s="5">
        <f t="shared" ref="CR33:DP33" si="115">+CQ33*(1+MV)</f>
        <v>96989.509311502901</v>
      </c>
      <c r="CS33" s="5">
        <f t="shared" si="115"/>
        <v>99899.194590847997</v>
      </c>
      <c r="CT33" s="5">
        <f t="shared" si="115"/>
        <v>102896.17042857344</v>
      </c>
      <c r="CU33" s="5">
        <f t="shared" si="115"/>
        <v>105983.05554143066</v>
      </c>
      <c r="CV33" s="5">
        <f t="shared" si="115"/>
        <v>109162.54720767358</v>
      </c>
      <c r="CW33" s="5">
        <f t="shared" si="115"/>
        <v>112437.42362390379</v>
      </c>
      <c r="CX33" s="5">
        <f t="shared" si="115"/>
        <v>115810.5463326209</v>
      </c>
      <c r="CY33" s="5">
        <f t="shared" si="115"/>
        <v>119284.86272259953</v>
      </c>
      <c r="CZ33" s="5">
        <f t="shared" si="115"/>
        <v>122863.40860427752</v>
      </c>
      <c r="DA33" s="5">
        <f t="shared" si="115"/>
        <v>126549.31086240585</v>
      </c>
      <c r="DB33" s="5">
        <f t="shared" si="115"/>
        <v>130345.79018827803</v>
      </c>
      <c r="DC33" s="5">
        <f t="shared" si="115"/>
        <v>134256.16389392636</v>
      </c>
      <c r="DD33" s="5">
        <f t="shared" si="115"/>
        <v>138283.84881074415</v>
      </c>
      <c r="DE33" s="5">
        <f t="shared" si="115"/>
        <v>142432.36427506647</v>
      </c>
      <c r="DF33" s="5">
        <f t="shared" si="115"/>
        <v>146705.33520331848</v>
      </c>
      <c r="DG33" s="5">
        <f t="shared" si="115"/>
        <v>151106.49525941804</v>
      </c>
      <c r="DH33" s="5">
        <f t="shared" si="115"/>
        <v>155639.69011720057</v>
      </c>
      <c r="DI33" s="5">
        <f t="shared" si="115"/>
        <v>160308.88082071659</v>
      </c>
      <c r="DJ33" s="5">
        <f t="shared" si="115"/>
        <v>165118.1472453381</v>
      </c>
      <c r="DK33" s="5">
        <f t="shared" si="115"/>
        <v>170071.69166269826</v>
      </c>
      <c r="DL33" s="5">
        <f t="shared" si="115"/>
        <v>175173.84241257922</v>
      </c>
      <c r="DM33" s="5">
        <f t="shared" si="115"/>
        <v>180429.05768495661</v>
      </c>
      <c r="DN33" s="5">
        <f t="shared" si="115"/>
        <v>185841.92941550532</v>
      </c>
      <c r="DO33" s="5">
        <f t="shared" si="115"/>
        <v>191417.18729797049</v>
      </c>
      <c r="DP33" s="5">
        <f t="shared" si="115"/>
        <v>197159.70291690962</v>
      </c>
    </row>
    <row r="34" spans="2:120" s="7" customFormat="1" x14ac:dyDescent="0.25">
      <c r="B34" s="7" t="s">
        <v>63</v>
      </c>
      <c r="C34" s="7">
        <f>+C33/C35</f>
        <v>4.1324200913242013</v>
      </c>
      <c r="G34" s="7">
        <f>+G33/G35</f>
        <v>4.5961070559610704</v>
      </c>
      <c r="X34" s="7">
        <f>+X33/X35</f>
        <v>11.87746170678337</v>
      </c>
      <c r="Y34" s="7">
        <f>+Y33/Y35</f>
        <v>12.438478747203579</v>
      </c>
      <c r="Z34" s="7">
        <f>+Z33/Z35</f>
        <v>16.737089201877936</v>
      </c>
      <c r="AA34" s="7">
        <f t="shared" ref="AA34:AJ34" si="116">+AA33/AA35</f>
        <v>17.491425790754263</v>
      </c>
      <c r="AB34" s="7">
        <f t="shared" si="116"/>
        <v>17.71163380048662</v>
      </c>
      <c r="AC34" s="7">
        <f t="shared" si="116"/>
        <v>19.566461356934308</v>
      </c>
      <c r="AD34" s="7">
        <f t="shared" si="116"/>
        <v>23.563083763018739</v>
      </c>
      <c r="AE34" s="7">
        <f t="shared" si="116"/>
        <v>25.670371796344625</v>
      </c>
      <c r="AF34" s="7">
        <f t="shared" si="116"/>
        <v>27.975638616545581</v>
      </c>
      <c r="AG34" s="7">
        <f t="shared" si="116"/>
        <v>30.905161460063464</v>
      </c>
      <c r="AH34" s="7">
        <f t="shared" si="116"/>
        <v>33.692092793647333</v>
      </c>
      <c r="AI34" s="7">
        <f t="shared" si="116"/>
        <v>36.734310109661678</v>
      </c>
      <c r="AJ34" s="7">
        <f t="shared" si="116"/>
        <v>40.054328746027892</v>
      </c>
    </row>
    <row r="35" spans="2:120" s="9" customFormat="1" x14ac:dyDescent="0.25">
      <c r="B35" s="9" t="s">
        <v>1</v>
      </c>
      <c r="C35" s="9">
        <v>438</v>
      </c>
      <c r="G35" s="9">
        <v>411</v>
      </c>
      <c r="X35" s="9">
        <v>457</v>
      </c>
      <c r="Y35" s="9">
        <v>447</v>
      </c>
      <c r="Z35" s="9">
        <v>426</v>
      </c>
      <c r="AA35" s="9">
        <f>+G35</f>
        <v>411</v>
      </c>
      <c r="AB35" s="9">
        <f t="shared" ref="AB35:AJ35" si="117">+AA35</f>
        <v>411</v>
      </c>
      <c r="AC35" s="9">
        <f t="shared" si="117"/>
        <v>411</v>
      </c>
      <c r="AD35" s="9">
        <f t="shared" si="117"/>
        <v>411</v>
      </c>
      <c r="AE35" s="9">
        <f t="shared" si="117"/>
        <v>411</v>
      </c>
      <c r="AF35" s="9">
        <f t="shared" si="117"/>
        <v>411</v>
      </c>
      <c r="AG35" s="9">
        <f t="shared" si="117"/>
        <v>411</v>
      </c>
      <c r="AH35" s="9">
        <f t="shared" si="117"/>
        <v>411</v>
      </c>
      <c r="AI35" s="9">
        <f t="shared" si="117"/>
        <v>411</v>
      </c>
      <c r="AJ35" s="9">
        <f t="shared" si="117"/>
        <v>411</v>
      </c>
    </row>
    <row r="36" spans="2:120" s="3" customFormat="1" x14ac:dyDescent="0.25">
      <c r="Z36" s="8"/>
    </row>
    <row r="37" spans="2:120" s="2" customFormat="1" x14ac:dyDescent="0.25">
      <c r="B37" s="2" t="s">
        <v>37</v>
      </c>
      <c r="C37" s="2">
        <f t="shared" ref="C37:J37" si="118">+C20/C15</f>
        <v>0.89114455722786134</v>
      </c>
      <c r="D37" s="2" t="e">
        <f t="shared" si="118"/>
        <v>#DIV/0!</v>
      </c>
      <c r="E37" s="2" t="e">
        <f t="shared" si="118"/>
        <v>#DIV/0!</v>
      </c>
      <c r="F37" s="2" t="e">
        <f t="shared" si="118"/>
        <v>#DIV/0!</v>
      </c>
      <c r="G37" s="2">
        <f t="shared" si="118"/>
        <v>0.89621756798999686</v>
      </c>
      <c r="H37" s="2" t="e">
        <f t="shared" si="118"/>
        <v>#DIV/0!</v>
      </c>
      <c r="I37" s="2" t="e">
        <f t="shared" si="118"/>
        <v>#DIV/0!</v>
      </c>
      <c r="J37" s="2" t="e">
        <f t="shared" si="118"/>
        <v>#DIV/0!</v>
      </c>
      <c r="P37" s="2">
        <f t="shared" ref="P37:AJ37" si="119">+P20/P15</f>
        <v>0.84478880352896701</v>
      </c>
      <c r="Q37" s="2">
        <f t="shared" si="119"/>
        <v>0.8599508406454599</v>
      </c>
      <c r="R37" s="2">
        <f t="shared" si="119"/>
        <v>0.86160510744017837</v>
      </c>
      <c r="S37" s="2">
        <f t="shared" si="119"/>
        <v>0.86766334440753046</v>
      </c>
      <c r="T37" s="2">
        <f t="shared" si="119"/>
        <v>0.85023722137677915</v>
      </c>
      <c r="U37" s="2">
        <f t="shared" si="119"/>
        <v>0.86617967050046629</v>
      </c>
      <c r="V37" s="2">
        <f t="shared" si="119"/>
        <v>0.89621756798999686</v>
      </c>
      <c r="W37" s="2">
        <f t="shared" si="119"/>
        <v>0.87703055776439853</v>
      </c>
      <c r="X37" s="2">
        <f t="shared" si="119"/>
        <v>0.87871605955999799</v>
      </c>
      <c r="Y37" s="2">
        <f t="shared" si="119"/>
        <v>0.89035108114392003</v>
      </c>
      <c r="Z37" s="2">
        <f t="shared" si="119"/>
        <v>0.89267533341747651</v>
      </c>
      <c r="AA37" s="2">
        <f t="shared" si="119"/>
        <v>0.8840642909582912</v>
      </c>
      <c r="AB37" s="2">
        <f t="shared" si="119"/>
        <v>0.85642038833212086</v>
      </c>
      <c r="AC37" s="2">
        <f t="shared" si="119"/>
        <v>0.85770701076934341</v>
      </c>
      <c r="AD37" s="2">
        <f t="shared" si="119"/>
        <v>0.86866665992896963</v>
      </c>
      <c r="AE37" s="2">
        <f t="shared" si="119"/>
        <v>0.86976006510342907</v>
      </c>
      <c r="AF37" s="2">
        <f t="shared" si="119"/>
        <v>0.87075291953611933</v>
      </c>
      <c r="AG37" s="2">
        <f t="shared" si="119"/>
        <v>0.87658064048475226</v>
      </c>
      <c r="AH37" s="2">
        <f t="shared" si="119"/>
        <v>0.87740514780387069</v>
      </c>
      <c r="AI37" s="2">
        <f t="shared" si="119"/>
        <v>0.87815131169421523</v>
      </c>
      <c r="AJ37" s="2">
        <f t="shared" si="119"/>
        <v>0.8788260810094316</v>
      </c>
    </row>
    <row r="38" spans="2:120" s="2" customFormat="1" x14ac:dyDescent="0.25">
      <c r="B38" s="2" t="s">
        <v>113</v>
      </c>
      <c r="C38" s="2">
        <f>+(C12-C16)/C12</f>
        <v>0.91063286521977016</v>
      </c>
      <c r="G38" s="2">
        <f>+(G12-G16)/G12</f>
        <v>0.91287512100677637</v>
      </c>
      <c r="P38" s="2">
        <f t="shared" ref="P38:AJ38" si="120">+(P12-P16)/P12</f>
        <v>0.87307500471478061</v>
      </c>
      <c r="Q38" s="2">
        <f t="shared" si="120"/>
        <v>0.89926350643523989</v>
      </c>
      <c r="R38" s="2">
        <f t="shared" si="120"/>
        <v>0.89842495821153012</v>
      </c>
      <c r="S38" s="2">
        <f t="shared" si="120"/>
        <v>0.92451341399263542</v>
      </c>
      <c r="T38" s="2">
        <f t="shared" si="120"/>
        <v>0.90388208428482453</v>
      </c>
      <c r="U38" s="2">
        <f t="shared" si="120"/>
        <v>0.90469637020471361</v>
      </c>
      <c r="V38" s="2">
        <f t="shared" si="120"/>
        <v>0.91287512100677637</v>
      </c>
      <c r="W38" s="2">
        <f t="shared" si="120"/>
        <v>0.89956065413717357</v>
      </c>
      <c r="X38" s="2">
        <f t="shared" si="120"/>
        <v>0.90035003281557646</v>
      </c>
      <c r="Y38" s="2">
        <f t="shared" si="120"/>
        <v>0.91233370693435989</v>
      </c>
      <c r="Z38" s="2">
        <f t="shared" si="120"/>
        <v>0.91150017464198396</v>
      </c>
      <c r="AA38" s="2">
        <f t="shared" si="120"/>
        <v>0.9</v>
      </c>
      <c r="AB38" s="2">
        <f t="shared" si="120"/>
        <v>0.87</v>
      </c>
      <c r="AC38" s="2">
        <f t="shared" si="120"/>
        <v>0.87000000000000011</v>
      </c>
      <c r="AD38" s="2">
        <f t="shared" si="120"/>
        <v>0.88000000000000012</v>
      </c>
      <c r="AE38" s="2">
        <f t="shared" si="120"/>
        <v>0.88</v>
      </c>
      <c r="AF38" s="2">
        <f t="shared" si="120"/>
        <v>0.88000000000000012</v>
      </c>
      <c r="AG38" s="2">
        <f t="shared" si="120"/>
        <v>0.8849999999999999</v>
      </c>
      <c r="AH38" s="2">
        <f t="shared" si="120"/>
        <v>0.88500000000000001</v>
      </c>
      <c r="AI38" s="2">
        <f t="shared" si="120"/>
        <v>0.88500000000000001</v>
      </c>
      <c r="AJ38" s="2">
        <f t="shared" si="120"/>
        <v>0.88500000000000001</v>
      </c>
    </row>
    <row r="39" spans="2:120" s="2" customFormat="1" x14ac:dyDescent="0.25">
      <c r="B39" s="2" t="s">
        <v>67</v>
      </c>
      <c r="C39" s="2">
        <f>+C26/C15</f>
        <v>0.37854392719635982</v>
      </c>
      <c r="G39" s="2">
        <f>+G26/G15</f>
        <v>0.37793060331353551</v>
      </c>
      <c r="P39" s="2">
        <f t="shared" ref="P39:AJ39" si="121">+P26/P15</f>
        <v>0.18832091095192996</v>
      </c>
      <c r="Q39" s="2">
        <f t="shared" si="121"/>
        <v>0.25512338519719258</v>
      </c>
      <c r="R39" s="2">
        <f t="shared" si="121"/>
        <v>0.29693809700876733</v>
      </c>
      <c r="S39" s="2">
        <f t="shared" si="121"/>
        <v>0.31450719822812845</v>
      </c>
      <c r="T39" s="2">
        <f t="shared" si="121"/>
        <v>0.29254319219407393</v>
      </c>
      <c r="U39" s="2">
        <f t="shared" si="121"/>
        <v>0.32926639726453216</v>
      </c>
      <c r="V39" s="2">
        <f t="shared" si="121"/>
        <v>0.37793060331353551</v>
      </c>
      <c r="W39" s="2">
        <f t="shared" si="121"/>
        <v>0.34635919572872886</v>
      </c>
      <c r="X39" s="2">
        <f t="shared" si="121"/>
        <v>0.3426245556185275</v>
      </c>
      <c r="Y39" s="2">
        <f t="shared" si="121"/>
        <v>0.35996279934898862</v>
      </c>
      <c r="Z39" s="2">
        <f t="shared" si="121"/>
        <v>0.36627540073204595</v>
      </c>
      <c r="AA39" s="2">
        <f t="shared" si="121"/>
        <v>0.35202489996579045</v>
      </c>
      <c r="AB39" s="2">
        <f t="shared" si="121"/>
        <v>0.32805960445354265</v>
      </c>
      <c r="AC39" s="2">
        <f t="shared" si="121"/>
        <v>0.33289742980653542</v>
      </c>
      <c r="AD39" s="2">
        <f t="shared" si="121"/>
        <v>0.36775415356250879</v>
      </c>
      <c r="AE39" s="2">
        <f t="shared" si="121"/>
        <v>0.36799386082593943</v>
      </c>
      <c r="AF39" s="2">
        <f t="shared" si="121"/>
        <v>0.36826475618330407</v>
      </c>
      <c r="AG39" s="2">
        <f t="shared" si="121"/>
        <v>0.37348309239501865</v>
      </c>
      <c r="AH39" s="2">
        <f t="shared" si="121"/>
        <v>0.37379437257671394</v>
      </c>
      <c r="AI39" s="2">
        <f t="shared" si="121"/>
        <v>0.37410941626828809</v>
      </c>
      <c r="AJ39" s="2">
        <f t="shared" si="121"/>
        <v>0.37442315362660999</v>
      </c>
    </row>
    <row r="40" spans="2:120" s="2" customFormat="1" x14ac:dyDescent="0.25">
      <c r="B40" s="2" t="s">
        <v>38</v>
      </c>
      <c r="C40" s="2">
        <f t="shared" ref="C40:J40" si="122">+C33/C15</f>
        <v>0.31676583829191457</v>
      </c>
      <c r="D40" s="2" t="e">
        <f t="shared" si="122"/>
        <v>#DIV/0!</v>
      </c>
      <c r="E40" s="2" t="e">
        <f t="shared" si="122"/>
        <v>#DIV/0!</v>
      </c>
      <c r="F40" s="2" t="e">
        <f t="shared" si="122"/>
        <v>#DIV/0!</v>
      </c>
      <c r="G40" s="2">
        <f t="shared" si="122"/>
        <v>0.29524851516098782</v>
      </c>
      <c r="H40" s="2" t="e">
        <f t="shared" si="122"/>
        <v>#DIV/0!</v>
      </c>
      <c r="I40" s="2" t="e">
        <f t="shared" si="122"/>
        <v>#DIV/0!</v>
      </c>
      <c r="J40" s="2" t="e">
        <f t="shared" si="122"/>
        <v>#DIV/0!</v>
      </c>
      <c r="P40" s="2">
        <f t="shared" ref="P40:AJ40" si="123">+P33/P15</f>
        <v>0.13127923176487358</v>
      </c>
      <c r="Q40" s="2">
        <f t="shared" si="123"/>
        <v>0.19965769511293166</v>
      </c>
      <c r="R40" s="2">
        <f t="shared" si="123"/>
        <v>0.23200066287703691</v>
      </c>
      <c r="S40" s="2">
        <f t="shared" si="123"/>
        <v>0.28693244739756368</v>
      </c>
      <c r="T40" s="2">
        <f t="shared" si="123"/>
        <v>0.26416614448124609</v>
      </c>
      <c r="U40" s="2">
        <f t="shared" si="123"/>
        <v>0.40876593099160707</v>
      </c>
      <c r="V40" s="2">
        <f t="shared" si="123"/>
        <v>0.2921225382932166</v>
      </c>
      <c r="W40" s="2">
        <f t="shared" si="123"/>
        <v>0.27013518118823127</v>
      </c>
      <c r="X40" s="2">
        <f t="shared" si="123"/>
        <v>0.27966407336802512</v>
      </c>
      <c r="Y40" s="2">
        <f t="shared" si="123"/>
        <v>0.25854452452917925</v>
      </c>
      <c r="Z40" s="2">
        <f t="shared" si="123"/>
        <v>0.29997054987588878</v>
      </c>
      <c r="AA40" s="2">
        <f t="shared" si="123"/>
        <v>0.27632796614404165</v>
      </c>
      <c r="AB40" s="2">
        <f t="shared" si="123"/>
        <v>0.25773767290632177</v>
      </c>
      <c r="AC40" s="2">
        <f t="shared" si="123"/>
        <v>0.26213081298493685</v>
      </c>
      <c r="AD40" s="2">
        <f t="shared" si="123"/>
        <v>0.2904852708471985</v>
      </c>
      <c r="AE40" s="2">
        <f t="shared" si="123"/>
        <v>0.29109726177019396</v>
      </c>
      <c r="AF40" s="2">
        <f t="shared" si="123"/>
        <v>0.29171025670958534</v>
      </c>
      <c r="AG40" s="2">
        <f t="shared" si="123"/>
        <v>0.29623795147335641</v>
      </c>
      <c r="AH40" s="2">
        <f t="shared" si="123"/>
        <v>0.29680105986164951</v>
      </c>
      <c r="AI40" s="2">
        <f t="shared" si="123"/>
        <v>0.29733218261053956</v>
      </c>
      <c r="AJ40" s="2">
        <f t="shared" si="123"/>
        <v>0.29783085991013619</v>
      </c>
    </row>
    <row r="41" spans="2:120" s="2" customFormat="1" x14ac:dyDescent="0.25">
      <c r="B41" s="2" t="s">
        <v>24</v>
      </c>
      <c r="C41" s="2">
        <f t="shared" ref="C41:J41" si="124">+C32/C31</f>
        <v>0.17048579285059579</v>
      </c>
      <c r="D41" s="2" t="e">
        <f t="shared" si="124"/>
        <v>#DIV/0!</v>
      </c>
      <c r="E41" s="2" t="e">
        <f t="shared" si="124"/>
        <v>#DIV/0!</v>
      </c>
      <c r="F41" s="2" t="e">
        <f t="shared" si="124"/>
        <v>#DIV/0!</v>
      </c>
      <c r="G41" s="2">
        <f t="shared" si="124"/>
        <v>0.22006606110652355</v>
      </c>
      <c r="H41" s="2" t="e">
        <f t="shared" si="124"/>
        <v>#DIV/0!</v>
      </c>
      <c r="I41" s="2" t="e">
        <f t="shared" si="124"/>
        <v>#DIV/0!</v>
      </c>
      <c r="J41" s="2" t="e">
        <f t="shared" si="124"/>
        <v>#DIV/0!</v>
      </c>
      <c r="P41" s="2">
        <f t="shared" ref="P41:AJ41" si="125">+P32/P31</f>
        <v>0.27950939651926487</v>
      </c>
      <c r="Q41" s="2">
        <f t="shared" si="125"/>
        <v>0.18552640930697947</v>
      </c>
      <c r="R41" s="2">
        <f t="shared" si="125"/>
        <v>0.20755917387437844</v>
      </c>
      <c r="S41" s="2">
        <f t="shared" si="125"/>
        <v>7.2655690765926983E-2</v>
      </c>
      <c r="T41" s="2">
        <f t="shared" si="125"/>
        <v>7.9251170046801878E-2</v>
      </c>
      <c r="U41" s="2">
        <f t="shared" si="125"/>
        <v>-0.25957854406130271</v>
      </c>
      <c r="V41" s="2">
        <f t="shared" si="125"/>
        <v>0.2218984179850125</v>
      </c>
      <c r="W41" s="2">
        <f t="shared" si="125"/>
        <v>0.20838881491344874</v>
      </c>
      <c r="X41" s="2">
        <f t="shared" si="125"/>
        <v>0.20164730107368731</v>
      </c>
      <c r="Y41" s="2">
        <f t="shared" si="125"/>
        <v>0.19780695426345404</v>
      </c>
      <c r="Z41" s="2">
        <f t="shared" si="125"/>
        <v>0.18365010304556903</v>
      </c>
      <c r="AA41" s="2">
        <f t="shared" si="125"/>
        <v>0.2</v>
      </c>
      <c r="AB41" s="2">
        <f t="shared" si="125"/>
        <v>0.2</v>
      </c>
      <c r="AC41" s="2">
        <f t="shared" si="125"/>
        <v>0.2</v>
      </c>
      <c r="AD41" s="2">
        <f t="shared" si="125"/>
        <v>0.2</v>
      </c>
      <c r="AE41" s="2">
        <f t="shared" si="125"/>
        <v>0.2</v>
      </c>
      <c r="AF41" s="2">
        <f t="shared" si="125"/>
        <v>0.20000000000000004</v>
      </c>
      <c r="AG41" s="2">
        <f t="shared" si="125"/>
        <v>0.2</v>
      </c>
      <c r="AH41" s="2">
        <f t="shared" si="125"/>
        <v>0.2</v>
      </c>
      <c r="AI41" s="2">
        <f t="shared" si="125"/>
        <v>0.2</v>
      </c>
      <c r="AJ41" s="2">
        <f t="shared" si="125"/>
        <v>0.2</v>
      </c>
      <c r="AL41" s="2" t="s">
        <v>45</v>
      </c>
      <c r="AM41" s="2">
        <v>0.03</v>
      </c>
    </row>
    <row r="42" spans="2:120" s="2" customFormat="1" x14ac:dyDescent="0.25">
      <c r="B42" s="3" t="s">
        <v>83</v>
      </c>
      <c r="X42" s="2">
        <f>+X10/X15</f>
        <v>0.691689422432892</v>
      </c>
      <c r="Y42" s="2">
        <f>+Y10/Y15</f>
        <v>0.68584050220878867</v>
      </c>
      <c r="Z42" s="2">
        <f>+Z10/Z15</f>
        <v>0.6858933905507173</v>
      </c>
      <c r="AL42" s="2" t="s">
        <v>46</v>
      </c>
      <c r="AM42" s="2">
        <v>0.1</v>
      </c>
    </row>
    <row r="43" spans="2:120" s="2" customFormat="1" x14ac:dyDescent="0.25">
      <c r="B43" s="3" t="s">
        <v>84</v>
      </c>
      <c r="X43" s="2">
        <f>+X11/X15</f>
        <v>0.24442269050440518</v>
      </c>
      <c r="Y43" s="2">
        <f>+Y11/Y15</f>
        <v>0.26328760753313185</v>
      </c>
      <c r="Z43" s="2">
        <f>+Z11/Z15</f>
        <v>0.2732550801464092</v>
      </c>
      <c r="AL43" s="2" t="s">
        <v>47</v>
      </c>
      <c r="AM43" s="6">
        <f>NPV(AM42,AA53:DT53)</f>
        <v>155552.35194293031</v>
      </c>
    </row>
    <row r="44" spans="2:120" s="2" customFormat="1" x14ac:dyDescent="0.25">
      <c r="AL44" s="2" t="s">
        <v>3</v>
      </c>
      <c r="AM44" s="6">
        <f>+Main!E5</f>
        <v>385</v>
      </c>
    </row>
    <row r="45" spans="2:120" s="2" customFormat="1" x14ac:dyDescent="0.25">
      <c r="B45" s="2" t="s">
        <v>39</v>
      </c>
      <c r="G45" s="2">
        <f>+G15/C15 -1</f>
        <v>0.11970598529926502</v>
      </c>
      <c r="H45" s="2" t="e">
        <f>+H15/D15 -1</f>
        <v>#DIV/0!</v>
      </c>
      <c r="I45" s="2" t="e">
        <f>+I15/E15 -1</f>
        <v>#DIV/0!</v>
      </c>
      <c r="J45" s="2" t="e">
        <f>+J15/F15 -1</f>
        <v>#DIV/0!</v>
      </c>
      <c r="Q45" s="2">
        <f t="shared" ref="Q45:AJ45" si="126">+Q15/P15 -1</f>
        <v>0.22081463268460855</v>
      </c>
      <c r="R45" s="2">
        <f t="shared" si="126"/>
        <v>0.24717607008709619</v>
      </c>
      <c r="S45" s="2">
        <f t="shared" si="126"/>
        <v>0.23673133141729008</v>
      </c>
      <c r="T45" s="2">
        <f t="shared" si="126"/>
        <v>0.23709856035437427</v>
      </c>
      <c r="U45" s="2">
        <f t="shared" si="126"/>
        <v>0.151911198639334</v>
      </c>
      <c r="V45" s="2">
        <f t="shared" si="126"/>
        <v>-0.50279763755051288</v>
      </c>
      <c r="W45" s="2">
        <f t="shared" si="126"/>
        <v>1.7517974366989684</v>
      </c>
      <c r="X45" s="2">
        <f t="shared" si="126"/>
        <v>0.10240826990798602</v>
      </c>
      <c r="Y45" s="2">
        <f t="shared" si="126"/>
        <v>0.10799113813179462</v>
      </c>
      <c r="Z45" s="2">
        <f t="shared" si="126"/>
        <v>0.10527784236224136</v>
      </c>
      <c r="AA45" s="2">
        <f t="shared" si="126"/>
        <v>9.4539105557659209E-2</v>
      </c>
      <c r="AB45" s="2">
        <f t="shared" si="126"/>
        <v>8.5626285261818591E-2</v>
      </c>
      <c r="AC45" s="2">
        <f t="shared" si="126"/>
        <v>8.6209242239047468E-2</v>
      </c>
      <c r="AD45" s="2">
        <f t="shared" si="126"/>
        <v>8.6710331025246168E-2</v>
      </c>
      <c r="AE45" s="2">
        <f t="shared" si="126"/>
        <v>8.7141382639739362E-2</v>
      </c>
      <c r="AF45" s="2">
        <f t="shared" si="126"/>
        <v>8.7512534293442634E-2</v>
      </c>
      <c r="AG45" s="2">
        <f t="shared" si="126"/>
        <v>8.7832453958385681E-2</v>
      </c>
      <c r="AH45" s="2">
        <f t="shared" si="126"/>
        <v>8.810854204602836E-2</v>
      </c>
      <c r="AI45" s="2">
        <f t="shared" si="126"/>
        <v>8.8347110097799497E-2</v>
      </c>
      <c r="AJ45" s="2">
        <f t="shared" si="126"/>
        <v>8.8553537457706666E-2</v>
      </c>
      <c r="AL45" s="2" t="s">
        <v>4</v>
      </c>
      <c r="AM45" s="6">
        <f>+AM43+AM44</f>
        <v>155937.35194293031</v>
      </c>
    </row>
    <row r="46" spans="2:120" s="2" customFormat="1" x14ac:dyDescent="0.25">
      <c r="B46" s="2" t="s">
        <v>114</v>
      </c>
      <c r="W46" s="15">
        <v>0.02</v>
      </c>
      <c r="X46" s="2">
        <f>+X33/W33 -1</f>
        <v>0.14129520605550883</v>
      </c>
      <c r="Y46" s="2">
        <f>+Y33/X33 -1</f>
        <v>2.4318349299926378E-2</v>
      </c>
      <c r="Z46" s="2">
        <f t="shared" ref="Z46:AJ46" si="127">+Z34/Y34 -1</f>
        <v>0.34558972540277644</v>
      </c>
      <c r="AA46" s="2">
        <f t="shared" si="127"/>
        <v>4.5069759728094683E-2</v>
      </c>
      <c r="AB46" s="2">
        <f t="shared" si="127"/>
        <v>1.2589483119709755E-2</v>
      </c>
      <c r="AC46" s="2">
        <f t="shared" si="127"/>
        <v>0.10472368485829509</v>
      </c>
      <c r="AD46" s="2">
        <f t="shared" si="127"/>
        <v>0.20425882499535541</v>
      </c>
      <c r="AE46" s="2">
        <f t="shared" si="127"/>
        <v>8.9431759209428474E-2</v>
      </c>
      <c r="AF46" s="2">
        <f t="shared" si="127"/>
        <v>8.9802626876219094E-2</v>
      </c>
      <c r="AG46" s="2">
        <f t="shared" si="127"/>
        <v>0.10471692473841432</v>
      </c>
      <c r="AH46" s="2">
        <f t="shared" si="127"/>
        <v>9.0176889617134659E-2</v>
      </c>
      <c r="AI46" s="2">
        <f t="shared" si="127"/>
        <v>9.0294697175592464E-2</v>
      </c>
      <c r="AJ46" s="2">
        <f t="shared" si="127"/>
        <v>9.0379229294223151E-2</v>
      </c>
      <c r="AL46" s="2" t="s">
        <v>48</v>
      </c>
      <c r="AM46" s="6">
        <f>+AM45/Main!E3</f>
        <v>366.05012193176128</v>
      </c>
    </row>
    <row r="47" spans="2:120" s="2" customFormat="1" x14ac:dyDescent="0.25">
      <c r="B47" s="2" t="s">
        <v>14</v>
      </c>
      <c r="G47" s="2">
        <f t="shared" ref="G47:J49" si="128">+G21/C21 -1</f>
        <v>8.1871345029239873E-2</v>
      </c>
      <c r="H47" s="2" t="e">
        <f t="shared" si="128"/>
        <v>#DIV/0!</v>
      </c>
      <c r="I47" s="2" t="e">
        <f t="shared" si="128"/>
        <v>#DIV/0!</v>
      </c>
      <c r="J47" s="2" t="e">
        <f t="shared" si="128"/>
        <v>#DIV/0!</v>
      </c>
      <c r="Q47" s="2">
        <f t="shared" ref="Q47:AJ47" si="129">+Q21/Q15</f>
        <v>0.16670914162437675</v>
      </c>
      <c r="R47" s="2">
        <f t="shared" si="129"/>
        <v>0.1676447526913972</v>
      </c>
      <c r="S47" s="2">
        <f t="shared" si="129"/>
        <v>0.17032115171650056</v>
      </c>
      <c r="T47" s="2">
        <f t="shared" si="129"/>
        <v>0.17276877629576581</v>
      </c>
      <c r="U47" s="2">
        <f t="shared" si="129"/>
        <v>0.17003419334783959</v>
      </c>
      <c r="V47" s="2">
        <f t="shared" si="129"/>
        <v>0.17349171616130041</v>
      </c>
      <c r="W47" s="2">
        <f t="shared" si="129"/>
        <v>0.16965807111212086</v>
      </c>
      <c r="X47" s="2">
        <f t="shared" si="129"/>
        <v>0.17893760626513472</v>
      </c>
      <c r="Y47" s="2">
        <f t="shared" si="129"/>
        <v>0.183399209486166</v>
      </c>
      <c r="Z47" s="2">
        <f t="shared" si="129"/>
        <v>0.1806554756195044</v>
      </c>
      <c r="AA47" s="2">
        <f t="shared" si="129"/>
        <v>0.1936831423618452</v>
      </c>
      <c r="AB47" s="2">
        <f t="shared" si="129"/>
        <v>0.19446344293653234</v>
      </c>
      <c r="AC47" s="2">
        <f t="shared" si="129"/>
        <v>0.19514210021255926</v>
      </c>
      <c r="AD47" s="2">
        <f t="shared" si="129"/>
        <v>0.19573283069004721</v>
      </c>
      <c r="AE47" s="2">
        <f t="shared" si="129"/>
        <v>0.19624750640446526</v>
      </c>
      <c r="AF47" s="2">
        <f t="shared" si="129"/>
        <v>0.19669638301672029</v>
      </c>
      <c r="AG47" s="2">
        <f t="shared" si="129"/>
        <v>0.19708830777025782</v>
      </c>
      <c r="AH47" s="2">
        <f t="shared" si="129"/>
        <v>0.19743090617194475</v>
      </c>
      <c r="AI47" s="2">
        <f t="shared" si="129"/>
        <v>0.19773074759952439</v>
      </c>
      <c r="AJ47" s="2">
        <f t="shared" si="129"/>
        <v>0.19799349087307103</v>
      </c>
      <c r="AL47" s="2" t="s">
        <v>116</v>
      </c>
      <c r="AM47" s="2">
        <f>+AM46/Main!E2 -1</f>
        <v>0.46420048772704514</v>
      </c>
    </row>
    <row r="48" spans="2:120" s="2" customFormat="1" x14ac:dyDescent="0.25">
      <c r="B48" s="2" t="s">
        <v>66</v>
      </c>
      <c r="G48" s="2">
        <f t="shared" si="128"/>
        <v>0.14247491638795995</v>
      </c>
      <c r="H48" s="2" t="e">
        <f t="shared" si="128"/>
        <v>#DIV/0!</v>
      </c>
      <c r="I48" s="2" t="e">
        <f t="shared" si="128"/>
        <v>#DIV/0!</v>
      </c>
      <c r="J48" s="2" t="e">
        <f t="shared" si="128"/>
        <v>#DIV/0!</v>
      </c>
      <c r="Q48" s="2">
        <f t="shared" ref="Q48:AJ48" si="130">+Q22/Q15</f>
        <v>0.32628231954263692</v>
      </c>
      <c r="R48" s="2">
        <f t="shared" si="130"/>
        <v>0.30097794906666508</v>
      </c>
      <c r="S48" s="2">
        <f t="shared" si="130"/>
        <v>0.29025470653377627</v>
      </c>
      <c r="T48" s="2">
        <f t="shared" si="130"/>
        <v>0.29039477217796078</v>
      </c>
      <c r="U48" s="2">
        <f t="shared" si="130"/>
        <v>0.27906434566366178</v>
      </c>
      <c r="V48" s="2">
        <f t="shared" si="130"/>
        <v>0.26695842450765866</v>
      </c>
      <c r="W48" s="2">
        <f t="shared" si="130"/>
        <v>0.28217653072816085</v>
      </c>
      <c r="X48" s="2">
        <f t="shared" si="130"/>
        <v>0.27569684167138958</v>
      </c>
      <c r="Y48" s="2">
        <f t="shared" si="130"/>
        <v>0.26803069053708439</v>
      </c>
      <c r="Z48" s="2">
        <f t="shared" si="130"/>
        <v>0.27296057890529679</v>
      </c>
      <c r="AA48" s="2">
        <f t="shared" si="130"/>
        <v>0.26684091773939983</v>
      </c>
      <c r="AB48" s="2">
        <f t="shared" si="130"/>
        <v>0.26300006351845057</v>
      </c>
      <c r="AC48" s="2">
        <f t="shared" si="130"/>
        <v>0.25907537610770098</v>
      </c>
      <c r="AD48" s="2">
        <f t="shared" si="130"/>
        <v>0.23487939682805661</v>
      </c>
      <c r="AE48" s="2">
        <f t="shared" si="130"/>
        <v>0.23549700768535828</v>
      </c>
      <c r="AF48" s="2">
        <f t="shared" si="130"/>
        <v>0.23603565962006434</v>
      </c>
      <c r="AG48" s="2">
        <f t="shared" si="130"/>
        <v>0.23650596932430937</v>
      </c>
      <c r="AH48" s="2">
        <f t="shared" si="130"/>
        <v>0.23691708740633369</v>
      </c>
      <c r="AI48" s="2">
        <f t="shared" si="130"/>
        <v>0.23727689711942926</v>
      </c>
      <c r="AJ48" s="2">
        <f t="shared" si="130"/>
        <v>0.2375921890476852</v>
      </c>
      <c r="AM48" s="6"/>
    </row>
    <row r="49" spans="2:120" s="2" customFormat="1" x14ac:dyDescent="0.25">
      <c r="B49" s="2" t="s">
        <v>16</v>
      </c>
      <c r="G49" s="2">
        <f t="shared" si="128"/>
        <v>0.26158038147138973</v>
      </c>
      <c r="H49" s="2" t="e">
        <f t="shared" si="128"/>
        <v>#DIV/0!</v>
      </c>
      <c r="I49" s="2" t="e">
        <f t="shared" si="128"/>
        <v>#DIV/0!</v>
      </c>
      <c r="J49" s="2" t="e">
        <f t="shared" si="128"/>
        <v>#DIV/0!</v>
      </c>
      <c r="Q49" s="2">
        <f t="shared" ref="Q49:AJ49" si="131">+Q23/Q15</f>
        <v>9.8421537194910522E-2</v>
      </c>
      <c r="R49" s="2">
        <f t="shared" si="131"/>
        <v>8.5558525262942373E-2</v>
      </c>
      <c r="S49" s="2">
        <f t="shared" si="131"/>
        <v>8.2502768549280181E-2</v>
      </c>
      <c r="T49" s="2">
        <f t="shared" si="131"/>
        <v>7.886491809148688E-2</v>
      </c>
      <c r="U49" s="2">
        <f t="shared" si="131"/>
        <v>7.5225365247124656E-2</v>
      </c>
      <c r="V49" s="2">
        <f t="shared" si="131"/>
        <v>7.2366364488902782E-2</v>
      </c>
      <c r="W49" s="2">
        <f t="shared" si="131"/>
        <v>6.923775985459503E-2</v>
      </c>
      <c r="X49" s="2">
        <f t="shared" si="131"/>
        <v>7.2801277757741256E-2</v>
      </c>
      <c r="Y49" s="2">
        <f t="shared" si="131"/>
        <v>7.1099744245524302E-2</v>
      </c>
      <c r="Z49" s="2">
        <f t="shared" si="131"/>
        <v>6.6178636038537589E-2</v>
      </c>
      <c r="AA49" s="2">
        <f t="shared" si="131"/>
        <v>6.5299564500443955E-2</v>
      </c>
      <c r="AB49" s="2">
        <f t="shared" si="131"/>
        <v>6.5000000000000002E-2</v>
      </c>
      <c r="AC49" s="2">
        <f t="shared" si="131"/>
        <v>6.5000000000000002E-2</v>
      </c>
      <c r="AD49" s="2">
        <f t="shared" si="131"/>
        <v>6.5000000000000002E-2</v>
      </c>
      <c r="AE49" s="2">
        <f t="shared" si="131"/>
        <v>6.5000000000000002E-2</v>
      </c>
      <c r="AF49" s="2">
        <f t="shared" si="131"/>
        <v>6.5000000000000002E-2</v>
      </c>
      <c r="AG49" s="2">
        <f t="shared" si="131"/>
        <v>6.5000000000000002E-2</v>
      </c>
      <c r="AH49" s="2">
        <f t="shared" si="131"/>
        <v>6.5000000000000002E-2</v>
      </c>
      <c r="AI49" s="2">
        <f t="shared" si="131"/>
        <v>6.5000000000000002E-2</v>
      </c>
      <c r="AJ49" s="2">
        <f t="shared" si="131"/>
        <v>6.5000000000000002E-2</v>
      </c>
    </row>
    <row r="51" spans="2:120" s="3" customFormat="1" x14ac:dyDescent="0.25">
      <c r="B51" s="6" t="s">
        <v>49</v>
      </c>
      <c r="W51" s="3">
        <v>7838</v>
      </c>
      <c r="X51" s="3">
        <v>7302</v>
      </c>
      <c r="Y51" s="3">
        <v>8056</v>
      </c>
      <c r="Z51" s="3">
        <v>10031</v>
      </c>
      <c r="AA51" s="3">
        <f t="shared" ref="AA51:AJ51" si="132">+AA30-AA32</f>
        <v>7446.7160000000022</v>
      </c>
      <c r="AB51" s="3">
        <f t="shared" si="132"/>
        <v>7532.0666920000003</v>
      </c>
      <c r="AC51" s="3">
        <f t="shared" si="132"/>
        <v>8289.3491137000001</v>
      </c>
      <c r="AD51" s="3">
        <f t="shared" si="132"/>
        <v>9927.0102526807023</v>
      </c>
      <c r="AE51" s="3">
        <f t="shared" si="132"/>
        <v>10788.25397785604</v>
      </c>
      <c r="AF51" s="3">
        <f t="shared" si="132"/>
        <v>11730.964017567467</v>
      </c>
      <c r="AG51" s="3">
        <f t="shared" si="132"/>
        <v>12930.338375329971</v>
      </c>
      <c r="AH51" s="3">
        <f t="shared" si="132"/>
        <v>14071.200813128064</v>
      </c>
      <c r="AI51" s="3">
        <f t="shared" si="132"/>
        <v>15317.077116511176</v>
      </c>
      <c r="AJ51" s="3">
        <f t="shared" si="132"/>
        <v>16677.219262828887</v>
      </c>
    </row>
    <row r="52" spans="2:120" s="3" customFormat="1" x14ac:dyDescent="0.25">
      <c r="B52" s="6" t="s">
        <v>50</v>
      </c>
      <c r="W52" s="3">
        <f>442+46</f>
        <v>488</v>
      </c>
      <c r="X52" s="3">
        <f>360+53</f>
        <v>413</v>
      </c>
      <c r="Y52" s="3">
        <f>183+108</f>
        <v>291</v>
      </c>
      <c r="Z52" s="3">
        <f>179+134</f>
        <v>313</v>
      </c>
      <c r="AA52" s="3">
        <v>350</v>
      </c>
      <c r="AB52" s="3">
        <v>350</v>
      </c>
      <c r="AC52" s="3">
        <v>350</v>
      </c>
      <c r="AD52" s="3">
        <v>350</v>
      </c>
      <c r="AE52" s="3">
        <v>350</v>
      </c>
      <c r="AF52" s="3">
        <v>350</v>
      </c>
      <c r="AG52" s="3">
        <v>350</v>
      </c>
      <c r="AH52" s="3">
        <v>350</v>
      </c>
      <c r="AI52" s="3">
        <v>350</v>
      </c>
      <c r="AJ52" s="3">
        <v>350</v>
      </c>
    </row>
    <row r="53" spans="2:120" s="3" customFormat="1" x14ac:dyDescent="0.25">
      <c r="B53" s="6" t="s">
        <v>78</v>
      </c>
      <c r="W53" s="3">
        <f>+W51-W52</f>
        <v>7350</v>
      </c>
      <c r="X53" s="3">
        <f>+X51-X52</f>
        <v>6889</v>
      </c>
      <c r="Y53" s="3">
        <f>+Y51-Y52</f>
        <v>7765</v>
      </c>
      <c r="Z53" s="3">
        <f>+Z51-Z52</f>
        <v>9718</v>
      </c>
      <c r="AA53" s="3">
        <f>+AA51-AA52</f>
        <v>7096.7160000000022</v>
      </c>
      <c r="AB53" s="3">
        <f t="shared" ref="AB53:AJ53" si="133">+AB51-AB52</f>
        <v>7182.0666920000003</v>
      </c>
      <c r="AC53" s="3">
        <f t="shared" si="133"/>
        <v>7939.3491137000001</v>
      </c>
      <c r="AD53" s="3">
        <f t="shared" si="133"/>
        <v>9577.0102526807023</v>
      </c>
      <c r="AE53" s="3">
        <f t="shared" si="133"/>
        <v>10438.25397785604</v>
      </c>
      <c r="AF53" s="3">
        <f t="shared" si="133"/>
        <v>11380.964017567467</v>
      </c>
      <c r="AG53" s="3">
        <f t="shared" si="133"/>
        <v>12580.338375329971</v>
      </c>
      <c r="AH53" s="3">
        <f t="shared" si="133"/>
        <v>13721.200813128064</v>
      </c>
      <c r="AI53" s="3">
        <f t="shared" si="133"/>
        <v>14967.077116511176</v>
      </c>
      <c r="AJ53" s="3">
        <f t="shared" si="133"/>
        <v>16327.219262828887</v>
      </c>
      <c r="AK53" s="3">
        <f t="shared" ref="AK53:BP53" si="134">+AJ53*(1+MV)</f>
        <v>16817.035840713754</v>
      </c>
      <c r="AL53" s="3">
        <f t="shared" si="134"/>
        <v>17321.546915935167</v>
      </c>
      <c r="AM53" s="3">
        <f t="shared" si="134"/>
        <v>17841.193323413223</v>
      </c>
      <c r="AN53" s="3">
        <f t="shared" si="134"/>
        <v>18376.42912311562</v>
      </c>
      <c r="AO53" s="3">
        <f t="shared" si="134"/>
        <v>18927.72199680909</v>
      </c>
      <c r="AP53" s="3">
        <f t="shared" si="134"/>
        <v>19495.553656713364</v>
      </c>
      <c r="AQ53" s="3">
        <f t="shared" si="134"/>
        <v>20080.420266414767</v>
      </c>
      <c r="AR53" s="3">
        <f t="shared" si="134"/>
        <v>20682.83287440721</v>
      </c>
      <c r="AS53" s="3">
        <f t="shared" si="134"/>
        <v>21303.317860639425</v>
      </c>
      <c r="AT53" s="3">
        <f t="shared" si="134"/>
        <v>21942.417396458608</v>
      </c>
      <c r="AU53" s="3">
        <f t="shared" si="134"/>
        <v>22600.689918352367</v>
      </c>
      <c r="AV53" s="3">
        <f t="shared" si="134"/>
        <v>23278.710615902939</v>
      </c>
      <c r="AW53" s="3">
        <f t="shared" si="134"/>
        <v>23977.071934380027</v>
      </c>
      <c r="AX53" s="3">
        <f t="shared" si="134"/>
        <v>24696.384092411427</v>
      </c>
      <c r="AY53" s="3">
        <f t="shared" si="134"/>
        <v>25437.275615183771</v>
      </c>
      <c r="AZ53" s="3">
        <f t="shared" si="134"/>
        <v>26200.393883639284</v>
      </c>
      <c r="BA53" s="3">
        <f t="shared" si="134"/>
        <v>26986.405700148465</v>
      </c>
      <c r="BB53" s="3">
        <f t="shared" si="134"/>
        <v>27795.997871152918</v>
      </c>
      <c r="BC53" s="3">
        <f t="shared" si="134"/>
        <v>28629.877807287507</v>
      </c>
      <c r="BD53" s="3">
        <f t="shared" si="134"/>
        <v>29488.774141506132</v>
      </c>
      <c r="BE53" s="3">
        <f t="shared" si="134"/>
        <v>30373.437365751317</v>
      </c>
      <c r="BF53" s="3">
        <f t="shared" si="134"/>
        <v>31284.640486723856</v>
      </c>
      <c r="BG53" s="3">
        <f t="shared" si="134"/>
        <v>32223.179701325571</v>
      </c>
      <c r="BH53" s="3">
        <f t="shared" si="134"/>
        <v>33189.875092365342</v>
      </c>
      <c r="BI53" s="3">
        <f t="shared" si="134"/>
        <v>34185.571345136304</v>
      </c>
      <c r="BJ53" s="3">
        <f t="shared" si="134"/>
        <v>35211.138485490395</v>
      </c>
      <c r="BK53" s="3">
        <f t="shared" si="134"/>
        <v>36267.472640055108</v>
      </c>
      <c r="BL53" s="3">
        <f t="shared" si="134"/>
        <v>37355.496819256761</v>
      </c>
      <c r="BM53" s="3">
        <f t="shared" si="134"/>
        <v>38476.161723834462</v>
      </c>
      <c r="BN53" s="3">
        <f t="shared" si="134"/>
        <v>39630.446575549497</v>
      </c>
      <c r="BO53" s="3">
        <f t="shared" si="134"/>
        <v>40819.359972815982</v>
      </c>
      <c r="BP53" s="3">
        <f t="shared" si="134"/>
        <v>42043.94077200046</v>
      </c>
      <c r="BQ53" s="3">
        <f t="shared" ref="BQ53:CV53" si="135">+BP53*(1+MV)</f>
        <v>43305.258995160475</v>
      </c>
      <c r="BR53" s="3">
        <f t="shared" si="135"/>
        <v>44604.416765015289</v>
      </c>
      <c r="BS53" s="3">
        <f t="shared" si="135"/>
        <v>45942.549267965747</v>
      </c>
      <c r="BT53" s="3">
        <f t="shared" si="135"/>
        <v>47320.825746004724</v>
      </c>
      <c r="BU53" s="3">
        <f t="shared" si="135"/>
        <v>48740.450518384867</v>
      </c>
      <c r="BV53" s="3">
        <f t="shared" si="135"/>
        <v>50202.664033936417</v>
      </c>
      <c r="BW53" s="3">
        <f t="shared" si="135"/>
        <v>51708.743954954509</v>
      </c>
      <c r="BX53" s="3">
        <f t="shared" si="135"/>
        <v>53260.006273603147</v>
      </c>
      <c r="BY53" s="3">
        <f t="shared" si="135"/>
        <v>54857.80646181124</v>
      </c>
      <c r="BZ53" s="3">
        <f t="shared" si="135"/>
        <v>56503.54065566558</v>
      </c>
      <c r="CA53" s="3">
        <f t="shared" si="135"/>
        <v>58198.646875335551</v>
      </c>
      <c r="CB53" s="3">
        <f t="shared" si="135"/>
        <v>59944.606281595617</v>
      </c>
      <c r="CC53" s="3">
        <f t="shared" si="135"/>
        <v>61742.944470043491</v>
      </c>
      <c r="CD53" s="3">
        <f t="shared" si="135"/>
        <v>63595.232804144798</v>
      </c>
      <c r="CE53" s="3">
        <f t="shared" si="135"/>
        <v>65503.089788269142</v>
      </c>
      <c r="CF53" s="3">
        <f t="shared" si="135"/>
        <v>67468.182481917218</v>
      </c>
      <c r="CG53" s="3">
        <f t="shared" si="135"/>
        <v>69492.227956374743</v>
      </c>
      <c r="CH53" s="3">
        <f t="shared" si="135"/>
        <v>71576.994795065984</v>
      </c>
      <c r="CI53" s="3">
        <f t="shared" si="135"/>
        <v>73724.304638917965</v>
      </c>
      <c r="CJ53" s="3">
        <f t="shared" si="135"/>
        <v>75936.033778085504</v>
      </c>
      <c r="CK53" s="3">
        <f t="shared" si="135"/>
        <v>78214.114791428074</v>
      </c>
      <c r="CL53" s="3">
        <f t="shared" si="135"/>
        <v>80560.538235170912</v>
      </c>
      <c r="CM53" s="3">
        <f t="shared" si="135"/>
        <v>82977.35438222604</v>
      </c>
      <c r="CN53" s="3">
        <f t="shared" si="135"/>
        <v>85466.675013692817</v>
      </c>
      <c r="CO53" s="3">
        <f t="shared" si="135"/>
        <v>88030.6752641036</v>
      </c>
      <c r="CP53" s="3">
        <f t="shared" si="135"/>
        <v>90671.595522026706</v>
      </c>
      <c r="CQ53" s="3">
        <f t="shared" si="135"/>
        <v>93391.743387687515</v>
      </c>
      <c r="CR53" s="3">
        <f t="shared" si="135"/>
        <v>96193.495689318137</v>
      </c>
      <c r="CS53" s="3">
        <f t="shared" si="135"/>
        <v>99079.30055999769</v>
      </c>
      <c r="CT53" s="3">
        <f t="shared" si="135"/>
        <v>102051.67957679763</v>
      </c>
      <c r="CU53" s="3">
        <f t="shared" si="135"/>
        <v>105113.22996410156</v>
      </c>
      <c r="CV53" s="3">
        <f t="shared" si="135"/>
        <v>108266.6268630246</v>
      </c>
      <c r="CW53" s="3">
        <f t="shared" ref="CW53:DP53" si="136">+CV53*(1+MV)</f>
        <v>111514.62566891535</v>
      </c>
      <c r="CX53" s="3">
        <f t="shared" si="136"/>
        <v>114860.06443898282</v>
      </c>
      <c r="CY53" s="3">
        <f t="shared" si="136"/>
        <v>118305.8663721523</v>
      </c>
      <c r="CZ53" s="3">
        <f t="shared" si="136"/>
        <v>121855.04236331688</v>
      </c>
      <c r="DA53" s="3">
        <f t="shared" si="136"/>
        <v>125510.6936342164</v>
      </c>
      <c r="DB53" s="3">
        <f t="shared" si="136"/>
        <v>129276.01444324289</v>
      </c>
      <c r="DC53" s="3">
        <f t="shared" si="136"/>
        <v>133154.2948765402</v>
      </c>
      <c r="DD53" s="3">
        <f t="shared" si="136"/>
        <v>137148.92372283639</v>
      </c>
      <c r="DE53" s="3">
        <f t="shared" si="136"/>
        <v>141263.3914345215</v>
      </c>
      <c r="DF53" s="3">
        <f t="shared" si="136"/>
        <v>145501.29317755715</v>
      </c>
      <c r="DG53" s="3">
        <f t="shared" si="136"/>
        <v>149866.33197288387</v>
      </c>
      <c r="DH53" s="3">
        <f t="shared" si="136"/>
        <v>154362.32193207039</v>
      </c>
      <c r="DI53" s="3">
        <f t="shared" si="136"/>
        <v>158993.19159003251</v>
      </c>
      <c r="DJ53" s="3">
        <f t="shared" si="136"/>
        <v>163762.9873377335</v>
      </c>
      <c r="DK53" s="3">
        <f t="shared" si="136"/>
        <v>168675.87695786552</v>
      </c>
      <c r="DL53" s="3">
        <f t="shared" si="136"/>
        <v>173736.1532666015</v>
      </c>
      <c r="DM53" s="3">
        <f t="shared" si="136"/>
        <v>178948.23786459953</v>
      </c>
      <c r="DN53" s="3">
        <f t="shared" si="136"/>
        <v>184316.68500053752</v>
      </c>
      <c r="DO53" s="3">
        <f t="shared" si="136"/>
        <v>189846.18555055364</v>
      </c>
      <c r="DP53" s="3">
        <f t="shared" si="136"/>
        <v>195541.57111707024</v>
      </c>
    </row>
    <row r="54" spans="2:120" s="3" customFormat="1" x14ac:dyDescent="0.25">
      <c r="B54" s="6" t="s">
        <v>69</v>
      </c>
      <c r="X54" s="3">
        <v>1718</v>
      </c>
      <c r="Y54" s="3">
        <v>1833</v>
      </c>
      <c r="Z54" s="3">
        <v>1942</v>
      </c>
    </row>
    <row r="55" spans="2:120" s="3" customFormat="1" x14ac:dyDescent="0.25">
      <c r="B55" s="6" t="s">
        <v>70</v>
      </c>
      <c r="X55" s="3">
        <f>+X53-X54</f>
        <v>5171</v>
      </c>
      <c r="Y55" s="3">
        <f>+Y53-Y54</f>
        <v>5932</v>
      </c>
      <c r="Z55" s="3">
        <f>+Z53-Z54</f>
        <v>7776</v>
      </c>
    </row>
    <row r="56" spans="2:120" s="2" customFormat="1" x14ac:dyDescent="0.25">
      <c r="B56" s="2" t="s">
        <v>71</v>
      </c>
      <c r="X56" s="2">
        <f>+X55/Main!$E6</f>
        <v>4.8730151251001275E-2</v>
      </c>
      <c r="Y56" s="2">
        <f>+Y55/Main!$E6</f>
        <v>5.5901616171135086E-2</v>
      </c>
      <c r="Z56" s="2">
        <f>+Z55/Main!$E6</f>
        <v>7.3278989775243844E-2</v>
      </c>
    </row>
    <row r="57" spans="2:120" s="3" customFormat="1" x14ac:dyDescent="0.25"/>
    <row r="58" spans="2:120" s="3" customFormat="1" x14ac:dyDescent="0.25">
      <c r="B58" s="3" t="s">
        <v>52</v>
      </c>
      <c r="X58" s="3">
        <f>7141+701</f>
        <v>7842</v>
      </c>
      <c r="Y58" s="3">
        <f>7613+273</f>
        <v>7886</v>
      </c>
      <c r="Z58" s="3">
        <f>5431+1164</f>
        <v>6595</v>
      </c>
    </row>
    <row r="59" spans="2:120" s="3" customFormat="1" x14ac:dyDescent="0.25">
      <c r="B59" s="3" t="s">
        <v>53</v>
      </c>
      <c r="X59" s="3">
        <v>3634</v>
      </c>
      <c r="Y59" s="3">
        <f>4129+1499</f>
        <v>5628</v>
      </c>
      <c r="Z59" s="3">
        <v>6210</v>
      </c>
    </row>
    <row r="60" spans="2:120" s="3" customFormat="1" x14ac:dyDescent="0.25"/>
    <row r="61" spans="2:120" s="3" customFormat="1" x14ac:dyDescent="0.25">
      <c r="B61" s="3" t="s">
        <v>54</v>
      </c>
      <c r="X61" s="3">
        <v>11084</v>
      </c>
      <c r="Y61" s="3">
        <v>11232</v>
      </c>
      <c r="Z61" s="3">
        <v>10163</v>
      </c>
    </row>
    <row r="62" spans="2:120" s="3" customFormat="1" x14ac:dyDescent="0.25">
      <c r="B62" s="3" t="s">
        <v>55</v>
      </c>
      <c r="X62" s="3">
        <v>8251</v>
      </c>
      <c r="Y62" s="3">
        <v>10521</v>
      </c>
      <c r="Z62" s="3">
        <v>10200</v>
      </c>
    </row>
    <row r="63" spans="2:120" s="3" customFormat="1" x14ac:dyDescent="0.25">
      <c r="B63" s="3" t="s">
        <v>56</v>
      </c>
      <c r="X63" s="3">
        <f>+X61-X62</f>
        <v>2833</v>
      </c>
      <c r="Y63" s="3">
        <f>+Y61-Y62</f>
        <v>711</v>
      </c>
      <c r="Z63" s="3">
        <f>+Z61-Z62</f>
        <v>-37</v>
      </c>
    </row>
    <row r="64" spans="2:120" s="3" customFormat="1" x14ac:dyDescent="0.25">
      <c r="B64" s="3" t="s">
        <v>57</v>
      </c>
      <c r="Y64" s="3">
        <f>+Y63-X63</f>
        <v>-2122</v>
      </c>
      <c r="Z64" s="3">
        <f>+Z63-Y63</f>
        <v>-748</v>
      </c>
    </row>
    <row r="65" spans="2:26" s="3" customFormat="1" x14ac:dyDescent="0.25"/>
    <row r="66" spans="2:26" s="3" customFormat="1" x14ac:dyDescent="0.25">
      <c r="B66" s="3" t="s">
        <v>51</v>
      </c>
      <c r="W66" s="3">
        <v>6550</v>
      </c>
      <c r="X66" s="3">
        <v>4400</v>
      </c>
      <c r="Y66" s="3">
        <v>9500</v>
      </c>
      <c r="Z66" s="3">
        <v>11281</v>
      </c>
    </row>
    <row r="67" spans="2:26" s="3" customFormat="1" x14ac:dyDescent="0.25">
      <c r="B67" s="3" t="s">
        <v>65</v>
      </c>
      <c r="Y67" s="3">
        <f>+X35-Y35</f>
        <v>10</v>
      </c>
      <c r="Z67" s="3">
        <f>+Y35-Z35</f>
        <v>21</v>
      </c>
    </row>
    <row r="68" spans="2:26" s="3" customFormat="1" x14ac:dyDescent="0.25">
      <c r="B68" s="3" t="s">
        <v>64</v>
      </c>
      <c r="W68" s="8">
        <f>+W66/Main!$E6</f>
        <v>6.1725486500494746E-2</v>
      </c>
      <c r="X68" s="8">
        <f>+X66/Main!$E6</f>
        <v>4.1464448946897235E-2</v>
      </c>
      <c r="Y68" s="8">
        <f>+Y66/Main!$E6</f>
        <v>8.9525514771709933E-2</v>
      </c>
      <c r="Z68" s="8">
        <f>+Z66/Main!$E6</f>
        <v>0.10630919285680629</v>
      </c>
    </row>
    <row r="69" spans="2:26" s="3" customFormat="1" x14ac:dyDescent="0.25">
      <c r="Z69" s="8"/>
    </row>
    <row r="70" spans="2:26" s="3" customFormat="1" x14ac:dyDescent="0.25"/>
    <row r="71" spans="2:26" s="3" customFormat="1" x14ac:dyDescent="0.25"/>
    <row r="72" spans="2:26" s="3" customFormat="1" x14ac:dyDescent="0.25"/>
    <row r="73" spans="2:26" s="3" customFormat="1" x14ac:dyDescent="0.25"/>
    <row r="74" spans="2:26" s="3" customFormat="1" x14ac:dyDescent="0.25"/>
    <row r="75" spans="2:26" s="3" customFormat="1" x14ac:dyDescent="0.25"/>
    <row r="76" spans="2:26" s="3" customFormat="1" x14ac:dyDescent="0.25"/>
    <row r="77" spans="2:26" s="3" customFormat="1" x14ac:dyDescent="0.25"/>
    <row r="78" spans="2:26" s="3" customFormat="1" x14ac:dyDescent="0.25"/>
    <row r="79" spans="2:26" s="3" customFormat="1" x14ac:dyDescent="0.25"/>
    <row r="80" spans="2:26" s="3" customFormat="1" x14ac:dyDescent="0.25"/>
  </sheetData>
  <phoneticPr fontId="2" type="noConversion"/>
  <pageMargins left="0.7" right="0.7" top="0.75" bottom="0.75" header="0.3" footer="0.3"/>
  <pageSetup paperSize="9" orientation="portrait" r:id="rId1"/>
  <ignoredErrors>
    <ignoredError sqref="F15 V15:V25 F19:F20 F25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05D7-1606-45ED-AD11-B122695C9D02}">
  <dimension ref="B3:C32"/>
  <sheetViews>
    <sheetView zoomScale="160" zoomScaleNormal="160" workbookViewId="0">
      <selection activeCell="B25" sqref="B25"/>
    </sheetView>
  </sheetViews>
  <sheetFormatPr defaultRowHeight="15" x14ac:dyDescent="0.25"/>
  <cols>
    <col min="2" max="2" width="12.7109375" bestFit="1" customWidth="1"/>
    <col min="3" max="3" width="51.5703125" bestFit="1" customWidth="1"/>
  </cols>
  <sheetData>
    <row r="3" spans="2:3" x14ac:dyDescent="0.25">
      <c r="C3" s="13" t="s">
        <v>94</v>
      </c>
    </row>
    <row r="5" spans="2:3" x14ac:dyDescent="0.25">
      <c r="B5" t="s">
        <v>79</v>
      </c>
      <c r="C5" t="s">
        <v>85</v>
      </c>
    </row>
    <row r="6" spans="2:3" x14ac:dyDescent="0.25">
      <c r="B6" t="s">
        <v>79</v>
      </c>
      <c r="C6" t="s">
        <v>86</v>
      </c>
    </row>
    <row r="7" spans="2:3" x14ac:dyDescent="0.25">
      <c r="B7" t="s">
        <v>79</v>
      </c>
      <c r="C7" t="s">
        <v>87</v>
      </c>
    </row>
    <row r="8" spans="2:3" x14ac:dyDescent="0.25">
      <c r="B8" t="s">
        <v>79</v>
      </c>
      <c r="C8" t="s">
        <v>88</v>
      </c>
    </row>
    <row r="9" spans="2:3" x14ac:dyDescent="0.25">
      <c r="B9" t="s">
        <v>79</v>
      </c>
      <c r="C9" t="s">
        <v>89</v>
      </c>
    </row>
    <row r="10" spans="2:3" x14ac:dyDescent="0.25">
      <c r="B10" t="s">
        <v>79</v>
      </c>
      <c r="C10" t="s">
        <v>90</v>
      </c>
    </row>
    <row r="11" spans="2:3" x14ac:dyDescent="0.25">
      <c r="B11" t="s">
        <v>79</v>
      </c>
      <c r="C11" t="s">
        <v>91</v>
      </c>
    </row>
    <row r="12" spans="2:3" x14ac:dyDescent="0.25">
      <c r="B12" t="s">
        <v>79</v>
      </c>
      <c r="C12" t="s">
        <v>92</v>
      </c>
    </row>
    <row r="13" spans="2:3" x14ac:dyDescent="0.25">
      <c r="B13" t="s">
        <v>112</v>
      </c>
      <c r="C13" t="s">
        <v>93</v>
      </c>
    </row>
    <row r="14" spans="2:3" x14ac:dyDescent="0.25">
      <c r="B14" t="s">
        <v>112</v>
      </c>
      <c r="C14" t="s">
        <v>95</v>
      </c>
    </row>
    <row r="15" spans="2:3" x14ac:dyDescent="0.25">
      <c r="B15" t="s">
        <v>112</v>
      </c>
      <c r="C15" t="s">
        <v>96</v>
      </c>
    </row>
    <row r="16" spans="2:3" x14ac:dyDescent="0.25">
      <c r="B16" t="s">
        <v>112</v>
      </c>
      <c r="C16" t="s">
        <v>97</v>
      </c>
    </row>
    <row r="17" spans="2:3" x14ac:dyDescent="0.25">
      <c r="B17" t="s">
        <v>112</v>
      </c>
      <c r="C17" t="s">
        <v>98</v>
      </c>
    </row>
    <row r="18" spans="2:3" x14ac:dyDescent="0.25">
      <c r="B18" t="s">
        <v>112</v>
      </c>
      <c r="C18" t="s">
        <v>99</v>
      </c>
    </row>
    <row r="19" spans="2:3" x14ac:dyDescent="0.25">
      <c r="B19" t="s">
        <v>112</v>
      </c>
      <c r="C19" t="s">
        <v>100</v>
      </c>
    </row>
    <row r="20" spans="2:3" x14ac:dyDescent="0.25">
      <c r="B20" t="s">
        <v>112</v>
      </c>
      <c r="C20" t="s">
        <v>101</v>
      </c>
    </row>
    <row r="21" spans="2:3" x14ac:dyDescent="0.25">
      <c r="B21" t="s">
        <v>112</v>
      </c>
      <c r="C21" t="s">
        <v>102</v>
      </c>
    </row>
    <row r="22" spans="2:3" x14ac:dyDescent="0.25">
      <c r="B22" t="s">
        <v>112</v>
      </c>
      <c r="C22" t="s">
        <v>103</v>
      </c>
    </row>
    <row r="23" spans="2:3" x14ac:dyDescent="0.25">
      <c r="B23" t="s">
        <v>112</v>
      </c>
      <c r="C23" t="s">
        <v>104</v>
      </c>
    </row>
    <row r="24" spans="2:3" x14ac:dyDescent="0.25">
      <c r="B24" t="s">
        <v>112</v>
      </c>
      <c r="C24" t="s">
        <v>105</v>
      </c>
    </row>
    <row r="25" spans="2:3" x14ac:dyDescent="0.25">
      <c r="B25" t="s">
        <v>112</v>
      </c>
      <c r="C25" t="s">
        <v>106</v>
      </c>
    </row>
    <row r="28" spans="2:3" x14ac:dyDescent="0.25">
      <c r="C28" s="13" t="s">
        <v>107</v>
      </c>
    </row>
    <row r="29" spans="2:3" x14ac:dyDescent="0.25">
      <c r="B29" t="s">
        <v>79</v>
      </c>
      <c r="C29" t="s">
        <v>108</v>
      </c>
    </row>
    <row r="30" spans="2:3" x14ac:dyDescent="0.25">
      <c r="B30" t="s">
        <v>79</v>
      </c>
      <c r="C30" t="s">
        <v>109</v>
      </c>
    </row>
    <row r="31" spans="2:3" x14ac:dyDescent="0.25">
      <c r="B31" t="s">
        <v>79</v>
      </c>
      <c r="C31" t="s">
        <v>110</v>
      </c>
    </row>
    <row r="32" spans="2:3" x14ac:dyDescent="0.25">
      <c r="B32" t="s">
        <v>79</v>
      </c>
      <c r="C3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</vt:lpstr>
      <vt:lpstr>Modell</vt:lpstr>
      <vt:lpstr>Products</vt:lpstr>
      <vt:lpstr>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2022-01-10T18:11:04Z</dcterms:created>
  <dcterms:modified xsi:type="dcterms:W3CDTF">2026-05-20T13:48:24Z</dcterms:modified>
</cp:coreProperties>
</file>