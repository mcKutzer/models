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7C6F80EC-D9DD-4AED-8D66-8D3EBA26B876}" xr6:coauthVersionLast="47" xr6:coauthVersionMax="47" xr10:uidLastSave="{00000000-0000-0000-0000-000000000000}"/>
  <bookViews>
    <workbookView xWindow="-120" yWindow="-120" windowWidth="29040" windowHeight="15840" xr2:uid="{4E5FFD85-298B-486E-880B-B18F6780B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1" l="1"/>
  <c r="J28" i="1"/>
  <c r="K28" i="1"/>
  <c r="L28" i="1"/>
  <c r="M28" i="1"/>
  <c r="N28" i="1"/>
  <c r="O28" i="1"/>
  <c r="P28" i="1"/>
  <c r="Q28" i="1"/>
  <c r="H28" i="1"/>
  <c r="I24" i="1"/>
  <c r="J24" i="1"/>
  <c r="K24" i="1"/>
  <c r="L24" i="1"/>
  <c r="M24" i="1"/>
  <c r="N24" i="1"/>
  <c r="O24" i="1"/>
  <c r="P24" i="1"/>
  <c r="Q24" i="1"/>
  <c r="H24" i="1"/>
  <c r="G24" i="1"/>
  <c r="F24" i="1"/>
  <c r="T6" i="1"/>
  <c r="T5" i="1"/>
  <c r="T26" i="1"/>
  <c r="R19" i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I20" i="1"/>
  <c r="J20" i="1"/>
  <c r="K20" i="1"/>
  <c r="L20" i="1"/>
  <c r="M20" i="1"/>
  <c r="N20" i="1"/>
  <c r="O20" i="1"/>
  <c r="P20" i="1"/>
  <c r="Q20" i="1"/>
  <c r="H20" i="1"/>
  <c r="I21" i="1"/>
  <c r="J21" i="1"/>
  <c r="K21" i="1"/>
  <c r="L21" i="1"/>
  <c r="M21" i="1"/>
  <c r="N21" i="1"/>
  <c r="O21" i="1"/>
  <c r="P21" i="1"/>
  <c r="Q21" i="1"/>
  <c r="H21" i="1"/>
  <c r="I18" i="1"/>
  <c r="J18" i="1"/>
  <c r="K18" i="1"/>
  <c r="L18" i="1"/>
  <c r="M18" i="1"/>
  <c r="N18" i="1"/>
  <c r="O18" i="1"/>
  <c r="P18" i="1"/>
  <c r="Q18" i="1"/>
  <c r="K11" i="1"/>
  <c r="L11" i="1"/>
  <c r="M11" i="1"/>
  <c r="N11" i="1"/>
  <c r="O11" i="1"/>
  <c r="P11" i="1"/>
  <c r="P27" i="1" s="1"/>
  <c r="Q11" i="1"/>
  <c r="J11" i="1"/>
  <c r="I11" i="1"/>
  <c r="I27" i="1" s="1"/>
  <c r="J10" i="1"/>
  <c r="K10" i="1"/>
  <c r="L10" i="1"/>
  <c r="L26" i="1" s="1"/>
  <c r="M10" i="1"/>
  <c r="M26" i="1" s="1"/>
  <c r="N10" i="1"/>
  <c r="N26" i="1" s="1"/>
  <c r="O10" i="1"/>
  <c r="O26" i="1" s="1"/>
  <c r="P10" i="1"/>
  <c r="P26" i="1" s="1"/>
  <c r="Q10" i="1"/>
  <c r="Q26" i="1" s="1"/>
  <c r="I10" i="1"/>
  <c r="I26" i="1" s="1"/>
  <c r="G25" i="1"/>
  <c r="H25" i="1"/>
  <c r="I25" i="1"/>
  <c r="J25" i="1"/>
  <c r="K25" i="1"/>
  <c r="L25" i="1"/>
  <c r="M25" i="1"/>
  <c r="N25" i="1"/>
  <c r="O25" i="1"/>
  <c r="P25" i="1"/>
  <c r="Q25" i="1"/>
  <c r="G26" i="1"/>
  <c r="H26" i="1"/>
  <c r="J26" i="1"/>
  <c r="K26" i="1"/>
  <c r="G27" i="1"/>
  <c r="H27" i="1"/>
  <c r="J27" i="1"/>
  <c r="K27" i="1"/>
  <c r="L27" i="1"/>
  <c r="M27" i="1"/>
  <c r="N27" i="1"/>
  <c r="O27" i="1"/>
  <c r="Q27" i="1"/>
  <c r="F26" i="1"/>
  <c r="F27" i="1"/>
  <c r="F25" i="1"/>
  <c r="K9" i="1"/>
  <c r="H16" i="1"/>
  <c r="H15" i="1"/>
  <c r="H11" i="1"/>
  <c r="H10" i="1"/>
  <c r="H9" i="1"/>
  <c r="H7" i="1"/>
  <c r="J7" i="1"/>
  <c r="L4" i="1"/>
  <c r="L6" i="1" s="1"/>
  <c r="K6" i="1"/>
  <c r="H6" i="1"/>
  <c r="F31" i="1"/>
  <c r="F32" i="1" s="1"/>
  <c r="F34" i="1" s="1"/>
  <c r="G31" i="1"/>
  <c r="G32" i="1" s="1"/>
  <c r="G34" i="1" s="1"/>
  <c r="G6" i="1"/>
  <c r="G8" i="1" s="1"/>
  <c r="G23" i="1" s="1"/>
  <c r="I6" i="1"/>
  <c r="I7" i="1" s="1"/>
  <c r="J6" i="1"/>
  <c r="G12" i="1"/>
  <c r="H12" i="1"/>
  <c r="J12" i="1"/>
  <c r="F12" i="1"/>
  <c r="F6" i="1"/>
  <c r="F8" i="1" s="1"/>
  <c r="F23" i="1" s="1"/>
  <c r="H2" i="1"/>
  <c r="I2" i="1" s="1"/>
  <c r="J2" i="1" s="1"/>
  <c r="K2" i="1" s="1"/>
  <c r="L2" i="1" s="1"/>
  <c r="M2" i="1" s="1"/>
  <c r="N2" i="1" s="1"/>
  <c r="O2" i="1" s="1"/>
  <c r="P2" i="1" s="1"/>
  <c r="Q2" i="1" s="1"/>
  <c r="T25" i="1" l="1"/>
  <c r="T27" i="1" s="1"/>
  <c r="T28" i="1" s="1"/>
  <c r="T30" i="1" s="1"/>
  <c r="I12" i="1"/>
  <c r="I13" i="1" s="1"/>
  <c r="I17" i="1" s="1"/>
  <c r="I19" i="1" s="1"/>
  <c r="M4" i="1"/>
  <c r="K7" i="1"/>
  <c r="K8" i="1" s="1"/>
  <c r="L9" i="1"/>
  <c r="J8" i="1"/>
  <c r="L7" i="1"/>
  <c r="L8" i="1" s="1"/>
  <c r="I8" i="1"/>
  <c r="H8" i="1"/>
  <c r="H13" i="1" s="1"/>
  <c r="H17" i="1" s="1"/>
  <c r="K12" i="1"/>
  <c r="G28" i="1"/>
  <c r="J13" i="1"/>
  <c r="J17" i="1" s="1"/>
  <c r="J19" i="1" s="1"/>
  <c r="G13" i="1"/>
  <c r="G17" i="1" s="1"/>
  <c r="G19" i="1" s="1"/>
  <c r="F13" i="1"/>
  <c r="F17" i="1" s="1"/>
  <c r="F19" i="1" s="1"/>
  <c r="K13" i="1" l="1"/>
  <c r="K17" i="1" s="1"/>
  <c r="K19" i="1" s="1"/>
  <c r="H18" i="1"/>
  <c r="H19" i="1" s="1"/>
  <c r="G20" i="1"/>
  <c r="M9" i="1"/>
  <c r="L12" i="1"/>
  <c r="L13" i="1" s="1"/>
  <c r="L17" i="1" s="1"/>
  <c r="L19" i="1" s="1"/>
  <c r="F20" i="1"/>
  <c r="M6" i="1"/>
  <c r="N4" i="1"/>
  <c r="M7" i="1" l="1"/>
  <c r="M8" i="1" s="1"/>
  <c r="N6" i="1"/>
  <c r="O4" i="1"/>
  <c r="M12" i="1"/>
  <c r="N9" i="1"/>
  <c r="M13" i="1" l="1"/>
  <c r="M17" i="1" s="1"/>
  <c r="M19" i="1" s="1"/>
  <c r="O9" i="1"/>
  <c r="N12" i="1"/>
  <c r="O6" i="1"/>
  <c r="P4" i="1"/>
  <c r="N7" i="1"/>
  <c r="N8" i="1" s="1"/>
  <c r="N13" i="1" l="1"/>
  <c r="N17" i="1" s="1"/>
  <c r="N19" i="1" s="1"/>
  <c r="O7" i="1"/>
  <c r="O8" i="1"/>
  <c r="P6" i="1"/>
  <c r="Q4" i="1"/>
  <c r="Q6" i="1" s="1"/>
  <c r="O12" i="1"/>
  <c r="P9" i="1"/>
  <c r="Q9" i="1" l="1"/>
  <c r="Q12" i="1" s="1"/>
  <c r="P12" i="1"/>
  <c r="P7" i="1"/>
  <c r="P8" i="1"/>
  <c r="P13" i="1" s="1"/>
  <c r="P17" i="1" s="1"/>
  <c r="P19" i="1" s="1"/>
  <c r="O13" i="1"/>
  <c r="O17" i="1" s="1"/>
  <c r="O19" i="1" s="1"/>
  <c r="Q7" i="1"/>
  <c r="Q8" i="1" s="1"/>
  <c r="Q13" i="1" s="1"/>
  <c r="Q17" i="1" s="1"/>
  <c r="Q19" i="1" s="1"/>
</calcChain>
</file>

<file path=xl/sharedStrings.xml><?xml version="1.0" encoding="utf-8"?>
<sst xmlns="http://schemas.openxmlformats.org/spreadsheetml/2006/main" count="40" uniqueCount="37">
  <si>
    <t>Subscription</t>
  </si>
  <si>
    <t>Other</t>
  </si>
  <si>
    <t>Total Revenue</t>
  </si>
  <si>
    <t>COGS</t>
  </si>
  <si>
    <t>Gross Profit</t>
  </si>
  <si>
    <t>R&amp;D</t>
  </si>
  <si>
    <t>M&amp;S</t>
  </si>
  <si>
    <t>G&amp;A</t>
  </si>
  <si>
    <t>Operating Expenses</t>
  </si>
  <si>
    <t>Operating Income</t>
  </si>
  <si>
    <t>Other income</t>
  </si>
  <si>
    <t>Interest Income</t>
  </si>
  <si>
    <t>Interest Expenses</t>
  </si>
  <si>
    <t>Pretax</t>
  </si>
  <si>
    <t>Taxes</t>
  </si>
  <si>
    <t>Net Income</t>
  </si>
  <si>
    <t>Gross Margin</t>
  </si>
  <si>
    <t>Revenue Y/Y</t>
  </si>
  <si>
    <t>CFFO</t>
  </si>
  <si>
    <t>CapEx</t>
  </si>
  <si>
    <t>FCF</t>
  </si>
  <si>
    <t>Stock Based Comp.</t>
  </si>
  <si>
    <t>Adj. FCF</t>
  </si>
  <si>
    <t>Shares</t>
  </si>
  <si>
    <t>EPS</t>
  </si>
  <si>
    <t>NPV</t>
  </si>
  <si>
    <t>DR</t>
  </si>
  <si>
    <t>TR</t>
  </si>
  <si>
    <t>Net Cash</t>
  </si>
  <si>
    <t>Value</t>
  </si>
  <si>
    <t>Cash</t>
  </si>
  <si>
    <t>Securities</t>
  </si>
  <si>
    <t>Debt</t>
  </si>
  <si>
    <t>Price</t>
  </si>
  <si>
    <t>Current</t>
  </si>
  <si>
    <t>Diff</t>
  </si>
  <si>
    <t>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</si>
</sst>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€&quot;\ #,##0.00;[Red]\-&quot;€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9" fontId="0" fillId="0" borderId="0" xfId="1" applyFont="1"/>
    <xf numFmtId="4" fontId="0" fillId="0" borderId="0" xfId="0" applyNumberFormat="1"/>
    <xf numFmtId="8" fontId="0" fillId="0" borderId="0" xfId="1" applyNumberFormat="1" applyFont="1"/>
    <xf numFmtId="3" fontId="0" fillId="0" borderId="0" xfId="1" applyNumberFormat="1" applyFon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21980</xdr:colOff>
      <xdr:row>2</xdr:row>
      <xdr:rowOff>175846</xdr:rowOff>
    </xdr:from>
    <xdr:to>
      <xdr:col>7</xdr:col>
      <xdr:colOff>21980</xdr:colOff>
      <xdr:row>34</xdr:row>
      <xdr:rowOff>146538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E8B606E-0281-368A-DA05-D535B8F1F6F4}"/>
            </a:ext>
          </a:extLst>
        </xdr:cNvPr>
        <xdr:cNvCxnSpPr/>
      </xdr:nvCxnSpPr>
      <xdr:spPr>
        <a:xfrm>
          <a:off x="4703884" y="556846"/>
          <a:ext cx="0" cy="56856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A8E1-76BC-4B2C-A513-F1F8072D3989}">
  <dimension ref="B2:BR98"/>
  <sheetViews>
    <sheetView tabSelected="1" zoomScale="130" zoomScaleNormal="130" workbookViewId="0">
      <pane xSplit="2" ySplit="2" topLeftCell="E9" activePane="bottomRight" state="frozen"/>
      <selection pane="topRight" activeCell="C1" sqref="C1"/>
      <selection pane="bottomLeft" activeCell="A3" sqref="A3"/>
      <selection pane="bottomRight" activeCell="T24" sqref="T24"/>
    </sheetView>
  </sheetViews>
  <sheetFormatPr defaultRowHeight="15" x14ac:dyDescent="0.25"/>
  <cols>
    <col min="1" max="1" width="2.85546875" customWidth="1"/>
    <col min="2" max="2" width="18.85546875" bestFit="1" customWidth="1"/>
    <col min="6" max="17" width="10.5703125" customWidth="1"/>
    <col min="18" max="19" width="9.5703125" bestFit="1" customWidth="1"/>
    <col min="20" max="20" width="15.140625" bestFit="1" customWidth="1"/>
    <col min="21" max="52" width="9.5703125" bestFit="1" customWidth="1"/>
    <col min="53" max="70" width="10.7109375" bestFit="1" customWidth="1"/>
  </cols>
  <sheetData>
    <row r="2" spans="2:20" x14ac:dyDescent="0.25">
      <c r="F2">
        <v>2024</v>
      </c>
      <c r="G2">
        <v>2025</v>
      </c>
      <c r="H2">
        <f t="shared" ref="H2:Q2" si="0">+G2+1</f>
        <v>2026</v>
      </c>
      <c r="I2">
        <f t="shared" si="0"/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2:20" s="1" customFormat="1" x14ac:dyDescent="0.25">
      <c r="G3" s="2"/>
      <c r="H3" s="2"/>
      <c r="I3" s="2"/>
      <c r="J3" s="2"/>
      <c r="K3" s="2"/>
    </row>
    <row r="4" spans="2:20" s="1" customFormat="1" x14ac:dyDescent="0.25">
      <c r="B4" s="1" t="s">
        <v>0</v>
      </c>
      <c r="F4" s="1">
        <v>3924389</v>
      </c>
      <c r="G4" s="1">
        <v>4930604</v>
      </c>
      <c r="H4" s="1">
        <v>6000000</v>
      </c>
      <c r="I4" s="1">
        <v>7000000</v>
      </c>
      <c r="J4" s="1">
        <v>8500000</v>
      </c>
      <c r="K4" s="1">
        <v>10000000</v>
      </c>
      <c r="L4" s="1">
        <f>+K4*1.15</f>
        <v>11500000</v>
      </c>
      <c r="M4" s="1">
        <f>+L4*1.12</f>
        <v>12880000.000000002</v>
      </c>
      <c r="N4" s="1">
        <f>+M4*1.1</f>
        <v>14168000.000000004</v>
      </c>
      <c r="O4" s="1">
        <f>+N4*1.08</f>
        <v>15301440.000000006</v>
      </c>
      <c r="P4" s="1">
        <f>+O4*1.08</f>
        <v>16525555.200000007</v>
      </c>
      <c r="Q4" s="1">
        <f>+P4*1.08</f>
        <v>17847599.616000008</v>
      </c>
      <c r="T4" s="1">
        <v>80000</v>
      </c>
    </row>
    <row r="5" spans="2:20" s="1" customFormat="1" x14ac:dyDescent="0.25">
      <c r="B5" s="1" t="s">
        <v>1</v>
      </c>
      <c r="F5" s="1">
        <v>434214</v>
      </c>
      <c r="G5" s="1">
        <v>284700</v>
      </c>
      <c r="H5" s="1">
        <v>200000</v>
      </c>
      <c r="I5" s="1">
        <v>200000</v>
      </c>
      <c r="J5" s="1">
        <v>200000</v>
      </c>
      <c r="K5" s="1">
        <v>200000</v>
      </c>
      <c r="L5" s="1">
        <v>200000</v>
      </c>
      <c r="M5" s="1">
        <v>200000</v>
      </c>
      <c r="N5" s="1">
        <v>200000</v>
      </c>
      <c r="O5" s="1">
        <v>200000</v>
      </c>
      <c r="P5" s="1">
        <v>200000</v>
      </c>
      <c r="Q5" s="1">
        <v>200000</v>
      </c>
      <c r="T5" s="1">
        <f>+T4*0.02</f>
        <v>1600</v>
      </c>
    </row>
    <row r="6" spans="2:20" s="1" customFormat="1" x14ac:dyDescent="0.25">
      <c r="B6" s="1" t="s">
        <v>2</v>
      </c>
      <c r="F6" s="1">
        <f>+F4+F5</f>
        <v>4358603</v>
      </c>
      <c r="G6" s="1">
        <f t="shared" ref="G6:J6" si="1">+G4+G5</f>
        <v>5215304</v>
      </c>
      <c r="H6" s="1">
        <f t="shared" si="1"/>
        <v>6200000</v>
      </c>
      <c r="I6" s="1">
        <f t="shared" si="1"/>
        <v>7200000</v>
      </c>
      <c r="J6" s="1">
        <f t="shared" si="1"/>
        <v>8700000</v>
      </c>
      <c r="K6" s="1">
        <f t="shared" ref="K6" si="2">+K4+K5</f>
        <v>10200000</v>
      </c>
      <c r="L6" s="1">
        <f t="shared" ref="L6" si="3">+L4+L5</f>
        <v>11700000</v>
      </c>
      <c r="M6" s="1">
        <f t="shared" ref="M6" si="4">+M4+M5</f>
        <v>13080000.000000002</v>
      </c>
      <c r="N6" s="1">
        <f t="shared" ref="N6" si="5">+N4+N5</f>
        <v>14368000.000000004</v>
      </c>
      <c r="O6" s="1">
        <f t="shared" ref="O6" si="6">+O4+O5</f>
        <v>15501440.000000006</v>
      </c>
      <c r="P6" s="1">
        <f t="shared" ref="P6" si="7">+P4+P5</f>
        <v>16725555.200000007</v>
      </c>
      <c r="Q6" s="1">
        <f t="shared" ref="Q6" si="8">+Q4+Q5</f>
        <v>18047599.616000008</v>
      </c>
      <c r="T6" s="1">
        <f>+T5*1.16</f>
        <v>1855.9999999999998</v>
      </c>
    </row>
    <row r="7" spans="2:20" s="1" customFormat="1" x14ac:dyDescent="0.25">
      <c r="B7" s="1" t="s">
        <v>3</v>
      </c>
      <c r="F7" s="1">
        <v>803495</v>
      </c>
      <c r="G7" s="1">
        <v>894851</v>
      </c>
      <c r="H7" s="1">
        <f>+H6*0.15</f>
        <v>930000</v>
      </c>
      <c r="I7" s="1">
        <f t="shared" ref="I7:Q7" si="9">+I6*0.12</f>
        <v>864000</v>
      </c>
      <c r="J7" s="1">
        <f t="shared" si="9"/>
        <v>1044000</v>
      </c>
      <c r="K7" s="1">
        <f t="shared" si="9"/>
        <v>1224000</v>
      </c>
      <c r="L7" s="1">
        <f t="shared" si="9"/>
        <v>1404000</v>
      </c>
      <c r="M7" s="1">
        <f t="shared" si="9"/>
        <v>1569600.0000000002</v>
      </c>
      <c r="N7" s="1">
        <f t="shared" si="9"/>
        <v>1724160.0000000005</v>
      </c>
      <c r="O7" s="1">
        <f t="shared" si="9"/>
        <v>1860172.8000000005</v>
      </c>
      <c r="P7" s="1">
        <f t="shared" si="9"/>
        <v>2007066.6240000008</v>
      </c>
      <c r="Q7" s="1">
        <f t="shared" si="9"/>
        <v>2165711.9539200007</v>
      </c>
    </row>
    <row r="8" spans="2:20" s="1" customFormat="1" x14ac:dyDescent="0.25">
      <c r="B8" s="1" t="s">
        <v>4</v>
      </c>
      <c r="F8" s="1">
        <f>+F6-F7</f>
        <v>3555108</v>
      </c>
      <c r="G8" s="1">
        <f t="shared" ref="G8:J8" si="10">+G6-G7</f>
        <v>4320453</v>
      </c>
      <c r="H8" s="1">
        <f t="shared" si="10"/>
        <v>5270000</v>
      </c>
      <c r="I8" s="1">
        <f t="shared" si="10"/>
        <v>6336000</v>
      </c>
      <c r="J8" s="1">
        <f t="shared" si="10"/>
        <v>7656000</v>
      </c>
      <c r="K8" s="1">
        <f t="shared" ref="K8" si="11">+K6-K7</f>
        <v>8976000</v>
      </c>
      <c r="L8" s="1">
        <f t="shared" ref="L8" si="12">+L6-L7</f>
        <v>10296000</v>
      </c>
      <c r="M8" s="1">
        <f t="shared" ref="M8" si="13">+M6-M7</f>
        <v>11510400.000000002</v>
      </c>
      <c r="N8" s="1">
        <f t="shared" ref="N8" si="14">+N6-N7</f>
        <v>12643840.000000004</v>
      </c>
      <c r="O8" s="1">
        <f t="shared" ref="O8" si="15">+O6-O7</f>
        <v>13641267.200000005</v>
      </c>
      <c r="P8" s="1">
        <f t="shared" ref="P8" si="16">+P6-P7</f>
        <v>14718488.576000005</v>
      </c>
      <c r="Q8" s="1">
        <f t="shared" ref="Q8" si="17">+Q6-Q7</f>
        <v>15881887.662080007</v>
      </c>
    </row>
    <row r="9" spans="2:20" s="1" customFormat="1" x14ac:dyDescent="0.25">
      <c r="B9" s="1" t="s">
        <v>5</v>
      </c>
      <c r="F9" s="1">
        <v>2184111</v>
      </c>
      <c r="G9" s="1">
        <v>2669312</v>
      </c>
      <c r="H9" s="1">
        <f>755000*4</f>
        <v>3020000</v>
      </c>
      <c r="I9" s="1">
        <v>3200000</v>
      </c>
      <c r="J9" s="1">
        <v>3500000</v>
      </c>
      <c r="K9" s="1">
        <f t="shared" ref="K9:Q9" si="18">+J9+200000</f>
        <v>3700000</v>
      </c>
      <c r="L9" s="1">
        <f t="shared" si="18"/>
        <v>3900000</v>
      </c>
      <c r="M9" s="1">
        <f t="shared" si="18"/>
        <v>4100000</v>
      </c>
      <c r="N9" s="1">
        <f t="shared" si="18"/>
        <v>4300000</v>
      </c>
      <c r="O9" s="1">
        <f t="shared" si="18"/>
        <v>4500000</v>
      </c>
      <c r="P9" s="1">
        <f t="shared" si="18"/>
        <v>4700000</v>
      </c>
      <c r="Q9" s="1">
        <f t="shared" si="18"/>
        <v>4900000</v>
      </c>
    </row>
    <row r="10" spans="2:20" s="1" customFormat="1" x14ac:dyDescent="0.25">
      <c r="B10" s="1" t="s">
        <v>6</v>
      </c>
      <c r="F10" s="1">
        <v>877497</v>
      </c>
      <c r="G10" s="1">
        <v>1134535</v>
      </c>
      <c r="H10" s="1">
        <f>335000*4</f>
        <v>1340000</v>
      </c>
      <c r="I10" s="1">
        <f>+I6*0.2</f>
        <v>1440000</v>
      </c>
      <c r="J10" s="1">
        <f t="shared" ref="J10:Q10" si="19">+J6*0.2</f>
        <v>1740000</v>
      </c>
      <c r="K10" s="1">
        <f t="shared" si="19"/>
        <v>2040000</v>
      </c>
      <c r="L10" s="1">
        <f t="shared" si="19"/>
        <v>2340000</v>
      </c>
      <c r="M10" s="1">
        <f t="shared" si="19"/>
        <v>2616000.0000000005</v>
      </c>
      <c r="N10" s="1">
        <f t="shared" si="19"/>
        <v>2873600.0000000009</v>
      </c>
      <c r="O10" s="1">
        <f t="shared" si="19"/>
        <v>3100288.0000000014</v>
      </c>
      <c r="P10" s="1">
        <f t="shared" si="19"/>
        <v>3345111.0400000014</v>
      </c>
      <c r="Q10" s="1">
        <f t="shared" si="19"/>
        <v>3609519.9232000019</v>
      </c>
    </row>
    <row r="11" spans="2:20" s="1" customFormat="1" x14ac:dyDescent="0.25">
      <c r="B11" s="1" t="s">
        <v>7</v>
      </c>
      <c r="F11" s="1">
        <v>610577</v>
      </c>
      <c r="G11" s="1">
        <v>646998</v>
      </c>
      <c r="H11" s="1">
        <f>175000*4</f>
        <v>700000</v>
      </c>
      <c r="I11" s="1">
        <f>+I6*0.1</f>
        <v>720000</v>
      </c>
      <c r="J11" s="1">
        <f>+J6*0.09</f>
        <v>783000</v>
      </c>
      <c r="K11" s="1">
        <f t="shared" ref="K11:Q11" si="20">+K6*0.09</f>
        <v>918000</v>
      </c>
      <c r="L11" s="1">
        <f t="shared" si="20"/>
        <v>1053000</v>
      </c>
      <c r="M11" s="1">
        <f t="shared" si="20"/>
        <v>1177200.0000000002</v>
      </c>
      <c r="N11" s="1">
        <f t="shared" si="20"/>
        <v>1293120.0000000002</v>
      </c>
      <c r="O11" s="1">
        <f t="shared" si="20"/>
        <v>1395129.6000000006</v>
      </c>
      <c r="P11" s="1">
        <f t="shared" si="20"/>
        <v>1505299.9680000006</v>
      </c>
      <c r="Q11" s="1">
        <f t="shared" si="20"/>
        <v>1624283.9654400006</v>
      </c>
    </row>
    <row r="12" spans="2:20" s="1" customFormat="1" x14ac:dyDescent="0.25">
      <c r="B12" s="1" t="s">
        <v>8</v>
      </c>
      <c r="F12" s="1">
        <f>+F9+F10+F11</f>
        <v>3672185</v>
      </c>
      <c r="G12" s="1">
        <f t="shared" ref="G12:J12" si="21">+G9+G10+G11</f>
        <v>4450845</v>
      </c>
      <c r="H12" s="1">
        <f t="shared" si="21"/>
        <v>5060000</v>
      </c>
      <c r="I12" s="1">
        <f t="shared" si="21"/>
        <v>5360000</v>
      </c>
      <c r="J12" s="1">
        <f t="shared" si="21"/>
        <v>6023000</v>
      </c>
      <c r="K12" s="1">
        <f t="shared" ref="K12" si="22">+K9+K10+K11</f>
        <v>6658000</v>
      </c>
      <c r="L12" s="1">
        <f t="shared" ref="L12" si="23">+L9+L10+L11</f>
        <v>7293000</v>
      </c>
      <c r="M12" s="1">
        <f t="shared" ref="M12" si="24">+M9+M10+M11</f>
        <v>7893200</v>
      </c>
      <c r="N12" s="1">
        <f t="shared" ref="N12" si="25">+N9+N10+N11</f>
        <v>8466720.0000000019</v>
      </c>
      <c r="O12" s="1">
        <f t="shared" ref="O12" si="26">+O9+O10+O11</f>
        <v>8995417.6000000015</v>
      </c>
      <c r="P12" s="1">
        <f t="shared" ref="P12" si="27">+P9+P10+P11</f>
        <v>9550411.0080000013</v>
      </c>
      <c r="Q12" s="1">
        <f t="shared" ref="Q12" si="28">+Q9+Q10+Q11</f>
        <v>10133803.888640003</v>
      </c>
    </row>
    <row r="13" spans="2:20" s="1" customFormat="1" x14ac:dyDescent="0.25">
      <c r="B13" s="1" t="s">
        <v>9</v>
      </c>
      <c r="F13" s="1">
        <f>+F8-F12</f>
        <v>-117077</v>
      </c>
      <c r="G13" s="1">
        <f t="shared" ref="G13:J13" si="29">+G8-G12</f>
        <v>-130392</v>
      </c>
      <c r="H13" s="1">
        <f t="shared" si="29"/>
        <v>210000</v>
      </c>
      <c r="I13" s="1">
        <f t="shared" si="29"/>
        <v>976000</v>
      </c>
      <c r="J13" s="1">
        <f t="shared" si="29"/>
        <v>1633000</v>
      </c>
      <c r="K13" s="1">
        <f t="shared" ref="K13" si="30">+K8-K12</f>
        <v>2318000</v>
      </c>
      <c r="L13" s="1">
        <f t="shared" ref="L13" si="31">+L8-L12</f>
        <v>3003000</v>
      </c>
      <c r="M13" s="1">
        <f t="shared" ref="M13" si="32">+M8-M12</f>
        <v>3617200.0000000019</v>
      </c>
      <c r="N13" s="1">
        <f t="shared" ref="N13" si="33">+N8-N12</f>
        <v>4177120.0000000019</v>
      </c>
      <c r="O13" s="1">
        <f t="shared" ref="O13" si="34">+O8-O12</f>
        <v>4645849.6000000034</v>
      </c>
      <c r="P13" s="1">
        <f t="shared" ref="P13" si="35">+P8-P12</f>
        <v>5168077.5680000037</v>
      </c>
      <c r="Q13" s="1">
        <f t="shared" ref="Q13" si="36">+Q8-Q12</f>
        <v>5748083.7734400034</v>
      </c>
    </row>
    <row r="14" spans="2:20" s="1" customFormat="1" x14ac:dyDescent="0.25">
      <c r="B14" s="1" t="s">
        <v>10</v>
      </c>
      <c r="F14" s="1">
        <v>-30916</v>
      </c>
      <c r="G14" s="1">
        <v>-50277</v>
      </c>
    </row>
    <row r="15" spans="2:20" s="1" customFormat="1" x14ac:dyDescent="0.25">
      <c r="B15" s="1" t="s">
        <v>11</v>
      </c>
      <c r="F15" s="1">
        <v>96663</v>
      </c>
      <c r="G15" s="1">
        <v>112324</v>
      </c>
      <c r="H15" s="1">
        <f>30000*4</f>
        <v>120000</v>
      </c>
      <c r="I15" s="1">
        <v>120000</v>
      </c>
      <c r="J15" s="1">
        <v>120000</v>
      </c>
      <c r="K15" s="1">
        <v>120000</v>
      </c>
      <c r="L15" s="1">
        <v>120000</v>
      </c>
      <c r="M15" s="1">
        <v>120000</v>
      </c>
      <c r="N15" s="1">
        <v>120000</v>
      </c>
      <c r="O15" s="1">
        <v>120000</v>
      </c>
      <c r="P15" s="1">
        <v>120000</v>
      </c>
      <c r="Q15" s="1">
        <v>120000</v>
      </c>
    </row>
    <row r="16" spans="2:20" s="1" customFormat="1" x14ac:dyDescent="0.25">
      <c r="B16" s="1" t="s">
        <v>12</v>
      </c>
      <c r="F16" s="1">
        <v>34077</v>
      </c>
      <c r="G16" s="1">
        <v>30550</v>
      </c>
      <c r="H16" s="1">
        <f>8500*4</f>
        <v>34000</v>
      </c>
      <c r="I16" s="1">
        <v>35000</v>
      </c>
      <c r="J16" s="1">
        <v>35000</v>
      </c>
      <c r="K16" s="1">
        <v>35000</v>
      </c>
      <c r="L16" s="1">
        <v>35000</v>
      </c>
      <c r="M16" s="1">
        <v>35000</v>
      </c>
      <c r="N16" s="1">
        <v>35000</v>
      </c>
      <c r="O16" s="1">
        <v>35000</v>
      </c>
      <c r="P16" s="1">
        <v>35000</v>
      </c>
      <c r="Q16" s="1">
        <v>35000</v>
      </c>
    </row>
    <row r="17" spans="2:70" s="1" customFormat="1" x14ac:dyDescent="0.25">
      <c r="B17" s="1" t="s">
        <v>13</v>
      </c>
      <c r="F17" s="1">
        <f>+F13+F14+F15-F16</f>
        <v>-85407</v>
      </c>
      <c r="G17" s="1">
        <f t="shared" ref="G17:J17" si="37">+G13+G14+G15-G16</f>
        <v>-98895</v>
      </c>
      <c r="H17" s="1">
        <f t="shared" si="37"/>
        <v>296000</v>
      </c>
      <c r="I17" s="1">
        <f t="shared" si="37"/>
        <v>1061000</v>
      </c>
      <c r="J17" s="1">
        <f t="shared" si="37"/>
        <v>1718000</v>
      </c>
      <c r="K17" s="1">
        <f t="shared" ref="K17" si="38">+K13+K14+K15-K16</f>
        <v>2403000</v>
      </c>
      <c r="L17" s="1">
        <f t="shared" ref="L17" si="39">+L13+L14+L15-L16</f>
        <v>3088000</v>
      </c>
      <c r="M17" s="1">
        <f t="shared" ref="M17" si="40">+M13+M14+M15-M16</f>
        <v>3702200.0000000019</v>
      </c>
      <c r="N17" s="1">
        <f t="shared" ref="N17" si="41">+N13+N14+N15-N16</f>
        <v>4262120.0000000019</v>
      </c>
      <c r="O17" s="1">
        <f t="shared" ref="O17" si="42">+O13+O14+O15-O16</f>
        <v>4730849.6000000034</v>
      </c>
      <c r="P17" s="1">
        <f t="shared" ref="P17" si="43">+P13+P14+P15-P16</f>
        <v>5253077.5680000037</v>
      </c>
      <c r="Q17" s="1">
        <f t="shared" ref="Q17" si="44">+Q13+Q14+Q15-Q16</f>
        <v>5833083.7734400034</v>
      </c>
    </row>
    <row r="18" spans="2:70" s="1" customFormat="1" x14ac:dyDescent="0.25">
      <c r="B18" s="1" t="s">
        <v>14</v>
      </c>
      <c r="F18" s="1">
        <v>215112</v>
      </c>
      <c r="G18" s="1">
        <v>157792</v>
      </c>
      <c r="H18" s="1">
        <f>+H17*0.15</f>
        <v>44400</v>
      </c>
      <c r="I18" s="1">
        <f t="shared" ref="I18:Q18" si="45">+I17*0.15</f>
        <v>159150</v>
      </c>
      <c r="J18" s="1">
        <f t="shared" si="45"/>
        <v>257700</v>
      </c>
      <c r="K18" s="1">
        <f t="shared" si="45"/>
        <v>360450</v>
      </c>
      <c r="L18" s="1">
        <f t="shared" si="45"/>
        <v>463200</v>
      </c>
      <c r="M18" s="1">
        <f t="shared" si="45"/>
        <v>555330.00000000023</v>
      </c>
      <c r="N18" s="1">
        <f t="shared" si="45"/>
        <v>639318.00000000023</v>
      </c>
      <c r="O18" s="1">
        <f t="shared" si="45"/>
        <v>709627.44000000053</v>
      </c>
      <c r="P18" s="1">
        <f t="shared" si="45"/>
        <v>787961.63520000048</v>
      </c>
      <c r="Q18" s="1">
        <f t="shared" si="45"/>
        <v>874962.56601600046</v>
      </c>
    </row>
    <row r="19" spans="2:70" s="1" customFormat="1" x14ac:dyDescent="0.25">
      <c r="B19" s="1" t="s">
        <v>15</v>
      </c>
      <c r="F19" s="1">
        <f>+F17-F18</f>
        <v>-300519</v>
      </c>
      <c r="G19" s="1">
        <f t="shared" ref="G19:J19" si="46">+G17-G18</f>
        <v>-256687</v>
      </c>
      <c r="H19" s="1">
        <f t="shared" si="46"/>
        <v>251600</v>
      </c>
      <c r="I19" s="1">
        <f t="shared" si="46"/>
        <v>901850</v>
      </c>
      <c r="J19" s="1">
        <f t="shared" si="46"/>
        <v>1460300</v>
      </c>
      <c r="K19" s="1">
        <f t="shared" ref="K19" si="47">+K17-K18</f>
        <v>2042550</v>
      </c>
      <c r="L19" s="1">
        <f t="shared" ref="L19" si="48">+L17-L18</f>
        <v>2624800</v>
      </c>
      <c r="M19" s="1">
        <f t="shared" ref="M19" si="49">+M17-M18</f>
        <v>3146870.0000000019</v>
      </c>
      <c r="N19" s="1">
        <f t="shared" ref="N19" si="50">+N17-N18</f>
        <v>3622802.0000000019</v>
      </c>
      <c r="O19" s="1">
        <f t="shared" ref="O19" si="51">+O17-O18</f>
        <v>4021222.1600000029</v>
      </c>
      <c r="P19" s="1">
        <f t="shared" ref="P19" si="52">+P17-P18</f>
        <v>4465115.9328000033</v>
      </c>
      <c r="Q19" s="1">
        <f t="shared" ref="Q19" si="53">+Q17-Q18</f>
        <v>4958121.2074240027</v>
      </c>
      <c r="R19" s="1">
        <f>+Q19*(1+$T24)</f>
        <v>5057283.6315724831</v>
      </c>
      <c r="S19" s="1">
        <f t="shared" ref="S19:BR19" si="54">+R19*(1+$T24)</f>
        <v>5158429.3042039331</v>
      </c>
      <c r="T19" s="1">
        <f t="shared" si="54"/>
        <v>5261597.8902880121</v>
      </c>
      <c r="U19" s="1">
        <f t="shared" si="54"/>
        <v>5366829.8480937723</v>
      </c>
      <c r="V19" s="1">
        <f t="shared" si="54"/>
        <v>5474166.4450556478</v>
      </c>
      <c r="W19" s="1">
        <f t="shared" si="54"/>
        <v>5583649.7739567608</v>
      </c>
      <c r="X19" s="1">
        <f t="shared" si="54"/>
        <v>5695322.7694358965</v>
      </c>
      <c r="Y19" s="1">
        <f t="shared" si="54"/>
        <v>5809229.2248246148</v>
      </c>
      <c r="Z19" s="1">
        <f t="shared" si="54"/>
        <v>5925413.8093211073</v>
      </c>
      <c r="AA19" s="1">
        <f t="shared" si="54"/>
        <v>6043922.0855075298</v>
      </c>
      <c r="AB19" s="1">
        <f t="shared" si="54"/>
        <v>6164800.5272176806</v>
      </c>
      <c r="AC19" s="1">
        <f t="shared" si="54"/>
        <v>6288096.5377620347</v>
      </c>
      <c r="AD19" s="1">
        <f t="shared" si="54"/>
        <v>6413858.4685172755</v>
      </c>
      <c r="AE19" s="1">
        <f t="shared" si="54"/>
        <v>6542135.6378876213</v>
      </c>
      <c r="AF19" s="1">
        <f t="shared" si="54"/>
        <v>6672978.3506453736</v>
      </c>
      <c r="AG19" s="1">
        <f t="shared" si="54"/>
        <v>6806437.9176582815</v>
      </c>
      <c r="AH19" s="1">
        <f t="shared" si="54"/>
        <v>6942566.6760114469</v>
      </c>
      <c r="AI19" s="1">
        <f t="shared" si="54"/>
        <v>7081418.0095316758</v>
      </c>
      <c r="AJ19" s="1">
        <f t="shared" si="54"/>
        <v>7223046.3697223095</v>
      </c>
      <c r="AK19" s="1">
        <f t="shared" si="54"/>
        <v>7367507.2971167555</v>
      </c>
      <c r="AL19" s="1">
        <f t="shared" si="54"/>
        <v>7514857.4430590905</v>
      </c>
      <c r="AM19" s="1">
        <f t="shared" si="54"/>
        <v>7665154.5919202724</v>
      </c>
      <c r="AN19" s="1">
        <f t="shared" si="54"/>
        <v>7818457.6837586779</v>
      </c>
      <c r="AO19" s="1">
        <f t="shared" si="54"/>
        <v>7974826.8374338513</v>
      </c>
      <c r="AP19" s="1">
        <f t="shared" si="54"/>
        <v>8134323.3741825288</v>
      </c>
      <c r="AQ19" s="1">
        <f t="shared" si="54"/>
        <v>8297009.8416661797</v>
      </c>
      <c r="AR19" s="1">
        <f t="shared" si="54"/>
        <v>8462950.0384995043</v>
      </c>
      <c r="AS19" s="1">
        <f t="shared" si="54"/>
        <v>8632209.0392694939</v>
      </c>
      <c r="AT19" s="1">
        <f t="shared" si="54"/>
        <v>8804853.2200548835</v>
      </c>
      <c r="AU19" s="1">
        <f t="shared" si="54"/>
        <v>8980950.2844559811</v>
      </c>
      <c r="AV19" s="1">
        <f t="shared" si="54"/>
        <v>9160569.290145101</v>
      </c>
      <c r="AW19" s="1">
        <f t="shared" si="54"/>
        <v>9343780.6759480033</v>
      </c>
      <c r="AX19" s="1">
        <f t="shared" si="54"/>
        <v>9530656.2894669641</v>
      </c>
      <c r="AY19" s="1">
        <f t="shared" si="54"/>
        <v>9721269.4152563028</v>
      </c>
      <c r="AZ19" s="1">
        <f t="shared" si="54"/>
        <v>9915694.8035614286</v>
      </c>
      <c r="BA19" s="1">
        <f t="shared" si="54"/>
        <v>10114008.699632658</v>
      </c>
      <c r="BB19" s="1">
        <f t="shared" si="54"/>
        <v>10316288.87362531</v>
      </c>
      <c r="BC19" s="1">
        <f t="shared" si="54"/>
        <v>10522614.651097817</v>
      </c>
      <c r="BD19" s="1">
        <f t="shared" si="54"/>
        <v>10733066.944119774</v>
      </c>
      <c r="BE19" s="1">
        <f t="shared" si="54"/>
        <v>10947728.28300217</v>
      </c>
      <c r="BF19" s="1">
        <f t="shared" si="54"/>
        <v>11166682.848662212</v>
      </c>
      <c r="BG19" s="1">
        <f t="shared" si="54"/>
        <v>11390016.505635457</v>
      </c>
      <c r="BH19" s="1">
        <f t="shared" si="54"/>
        <v>11617816.835748166</v>
      </c>
      <c r="BI19" s="1">
        <f t="shared" si="54"/>
        <v>11850173.17246313</v>
      </c>
      <c r="BJ19" s="1">
        <f t="shared" si="54"/>
        <v>12087176.635912392</v>
      </c>
      <c r="BK19" s="1">
        <f t="shared" si="54"/>
        <v>12328920.168630641</v>
      </c>
      <c r="BL19" s="1">
        <f t="shared" si="54"/>
        <v>12575498.572003255</v>
      </c>
      <c r="BM19" s="1">
        <f t="shared" si="54"/>
        <v>12827008.54344332</v>
      </c>
      <c r="BN19" s="1">
        <f t="shared" si="54"/>
        <v>13083548.714312186</v>
      </c>
      <c r="BO19" s="1">
        <f t="shared" si="54"/>
        <v>13345219.68859843</v>
      </c>
      <c r="BP19" s="1">
        <f t="shared" si="54"/>
        <v>13612124.082370399</v>
      </c>
      <c r="BQ19" s="1">
        <f t="shared" si="54"/>
        <v>13884366.564017806</v>
      </c>
      <c r="BR19" s="1">
        <f t="shared" si="54"/>
        <v>14162053.895298162</v>
      </c>
    </row>
    <row r="20" spans="2:70" s="3" customFormat="1" x14ac:dyDescent="0.25">
      <c r="B20" s="3" t="s">
        <v>24</v>
      </c>
      <c r="F20" s="3">
        <f>+F19/F21</f>
        <v>-1.1597094928087122</v>
      </c>
      <c r="G20" s="3">
        <f>+G19/G21</f>
        <v>-0.98051851314236382</v>
      </c>
      <c r="H20" s="3">
        <f>+H19/H21</f>
        <v>0.96108668497671768</v>
      </c>
      <c r="I20" s="3">
        <f t="shared" ref="I20:Q20" si="55">+I19/I21</f>
        <v>3.4449762593253292</v>
      </c>
      <c r="J20" s="3">
        <f t="shared" si="55"/>
        <v>5.5781990702364901</v>
      </c>
      <c r="K20" s="3">
        <f t="shared" si="55"/>
        <v>7.8023354864832859</v>
      </c>
      <c r="L20" s="3">
        <f t="shared" si="55"/>
        <v>10.026471902730082</v>
      </c>
      <c r="M20" s="3">
        <f t="shared" si="55"/>
        <v>12.020726774056778</v>
      </c>
      <c r="N20" s="3">
        <f t="shared" si="55"/>
        <v>13.838739127611387</v>
      </c>
      <c r="O20" s="3">
        <f t="shared" si="55"/>
        <v>15.3606640513089</v>
      </c>
      <c r="P20" s="3">
        <f t="shared" si="55"/>
        <v>17.056293600522576</v>
      </c>
      <c r="Q20" s="3">
        <f t="shared" si="55"/>
        <v>18.939524145293703</v>
      </c>
    </row>
    <row r="21" spans="2:70" s="1" customFormat="1" x14ac:dyDescent="0.25">
      <c r="B21" s="1" t="s">
        <v>23</v>
      </c>
      <c r="F21" s="1">
        <v>259133</v>
      </c>
      <c r="G21" s="1">
        <v>261787</v>
      </c>
      <c r="H21" s="1">
        <f>+G21+0</f>
        <v>261787</v>
      </c>
      <c r="I21" s="1">
        <f t="shared" ref="I21:Q21" si="56">+H21+0</f>
        <v>261787</v>
      </c>
      <c r="J21" s="1">
        <f t="shared" si="56"/>
        <v>261787</v>
      </c>
      <c r="K21" s="1">
        <f t="shared" si="56"/>
        <v>261787</v>
      </c>
      <c r="L21" s="1">
        <f t="shared" si="56"/>
        <v>261787</v>
      </c>
      <c r="M21" s="1">
        <f t="shared" si="56"/>
        <v>261787</v>
      </c>
      <c r="N21" s="1">
        <f t="shared" si="56"/>
        <v>261787</v>
      </c>
      <c r="O21" s="1">
        <f t="shared" si="56"/>
        <v>261787</v>
      </c>
      <c r="P21" s="1">
        <f t="shared" si="56"/>
        <v>261787</v>
      </c>
      <c r="Q21" s="1">
        <f t="shared" si="56"/>
        <v>261787</v>
      </c>
    </row>
    <row r="22" spans="2:70" s="1" customFormat="1" x14ac:dyDescent="0.25"/>
    <row r="23" spans="2:70" s="2" customFormat="1" x14ac:dyDescent="0.25">
      <c r="B23" s="2" t="s">
        <v>16</v>
      </c>
      <c r="F23" s="2">
        <f>+F8/F6</f>
        <v>0.81565308884521026</v>
      </c>
      <c r="G23" s="2">
        <f>+G8/G6</f>
        <v>0.82841824752689397</v>
      </c>
      <c r="S23" s="2" t="s">
        <v>26</v>
      </c>
      <c r="T23" s="2">
        <v>0.12</v>
      </c>
    </row>
    <row r="24" spans="2:70" s="2" customFormat="1" x14ac:dyDescent="0.25">
      <c r="B24" s="2" t="s">
        <v>36</v>
      </c>
      <c r="F24" s="2">
        <f>+F13/F6</f>
        <v>-2.6861129586704731E-2</v>
      </c>
      <c r="G24" s="2">
        <f>+G13/G6</f>
        <v>-2.5001802387741922E-2</v>
      </c>
      <c r="H24" s="2">
        <f>+H13/H6</f>
        <v>3.3870967741935487E-2</v>
      </c>
      <c r="I24" s="2">
        <f t="shared" ref="I24:Q24" si="57">+I13/I6</f>
        <v>0.13555555555555557</v>
      </c>
      <c r="J24" s="2">
        <f t="shared" si="57"/>
        <v>0.18770114942528734</v>
      </c>
      <c r="K24" s="2">
        <f t="shared" si="57"/>
        <v>0.22725490196078432</v>
      </c>
      <c r="L24" s="2">
        <f t="shared" si="57"/>
        <v>0.25666666666666665</v>
      </c>
      <c r="M24" s="2">
        <f t="shared" si="57"/>
        <v>0.27654434250764537</v>
      </c>
      <c r="N24" s="2">
        <f t="shared" si="57"/>
        <v>0.29072383073496666</v>
      </c>
      <c r="O24" s="2">
        <f t="shared" si="57"/>
        <v>0.29970438875356109</v>
      </c>
      <c r="P24" s="2">
        <f t="shared" si="57"/>
        <v>0.30899288580865775</v>
      </c>
      <c r="Q24" s="2">
        <f t="shared" si="57"/>
        <v>0.31849574989152957</v>
      </c>
      <c r="S24" s="2" t="s">
        <v>27</v>
      </c>
      <c r="T24" s="2">
        <v>0.02</v>
      </c>
    </row>
    <row r="25" spans="2:70" s="2" customFormat="1" x14ac:dyDescent="0.25">
      <c r="B25" s="1" t="s">
        <v>5</v>
      </c>
      <c r="F25" s="2">
        <f>+F9/F6</f>
        <v>0.50110344988979272</v>
      </c>
      <c r="G25" s="2">
        <f t="shared" ref="G25:Q25" si="58">+G9/G6</f>
        <v>0.51182289661350522</v>
      </c>
      <c r="H25" s="2">
        <f t="shared" si="58"/>
        <v>0.48709677419354841</v>
      </c>
      <c r="I25" s="2">
        <f t="shared" si="58"/>
        <v>0.44444444444444442</v>
      </c>
      <c r="J25" s="2">
        <f t="shared" si="58"/>
        <v>0.40229885057471265</v>
      </c>
      <c r="K25" s="2">
        <f t="shared" si="58"/>
        <v>0.36274509803921567</v>
      </c>
      <c r="L25" s="2">
        <f t="shared" si="58"/>
        <v>0.33333333333333331</v>
      </c>
      <c r="M25" s="2">
        <f t="shared" si="58"/>
        <v>0.31345565749235471</v>
      </c>
      <c r="N25" s="2">
        <f t="shared" si="58"/>
        <v>0.29927616926503331</v>
      </c>
      <c r="O25" s="2">
        <f t="shared" si="58"/>
        <v>0.29029561124643893</v>
      </c>
      <c r="P25" s="2">
        <f t="shared" si="58"/>
        <v>0.28100711419134222</v>
      </c>
      <c r="Q25" s="2">
        <f t="shared" si="58"/>
        <v>0.27150425010847035</v>
      </c>
      <c r="S25" s="2" t="s">
        <v>25</v>
      </c>
      <c r="T25" s="4">
        <f>NPV(T23,H19:BR19)</f>
        <v>29002741.194242433</v>
      </c>
    </row>
    <row r="26" spans="2:70" s="2" customFormat="1" x14ac:dyDescent="0.25">
      <c r="B26" s="1" t="s">
        <v>6</v>
      </c>
      <c r="F26" s="2">
        <f>+F10/F6</f>
        <v>0.20132528702430572</v>
      </c>
      <c r="G26" s="2">
        <f t="shared" ref="G26:Q26" si="59">+G10/G6</f>
        <v>0.21753957199810403</v>
      </c>
      <c r="H26" s="2">
        <f t="shared" si="59"/>
        <v>0.21612903225806451</v>
      </c>
      <c r="I26" s="2">
        <f t="shared" si="59"/>
        <v>0.2</v>
      </c>
      <c r="J26" s="2">
        <f t="shared" si="59"/>
        <v>0.2</v>
      </c>
      <c r="K26" s="2">
        <f t="shared" si="59"/>
        <v>0.2</v>
      </c>
      <c r="L26" s="2">
        <f t="shared" si="59"/>
        <v>0.2</v>
      </c>
      <c r="M26" s="2">
        <f t="shared" si="59"/>
        <v>0.2</v>
      </c>
      <c r="N26" s="2">
        <f t="shared" si="59"/>
        <v>0.2</v>
      </c>
      <c r="O26" s="2">
        <f t="shared" si="59"/>
        <v>0.2</v>
      </c>
      <c r="P26" s="2">
        <f t="shared" si="59"/>
        <v>0.2</v>
      </c>
      <c r="Q26" s="2">
        <f t="shared" si="59"/>
        <v>0.2</v>
      </c>
      <c r="S26" s="2" t="s">
        <v>28</v>
      </c>
      <c r="T26" s="5">
        <f>+G36+G37-G38</f>
        <v>1790257</v>
      </c>
    </row>
    <row r="27" spans="2:70" s="2" customFormat="1" x14ac:dyDescent="0.25">
      <c r="B27" s="1" t="s">
        <v>7</v>
      </c>
      <c r="F27" s="2">
        <f>+F11/F6</f>
        <v>0.14008548151781661</v>
      </c>
      <c r="G27" s="2">
        <f t="shared" ref="G27:Q27" si="60">+G11/G6</f>
        <v>0.12405758130302663</v>
      </c>
      <c r="H27" s="2">
        <f t="shared" si="60"/>
        <v>0.11290322580645161</v>
      </c>
      <c r="I27" s="2">
        <f t="shared" si="60"/>
        <v>0.1</v>
      </c>
      <c r="J27" s="2">
        <f t="shared" si="60"/>
        <v>0.09</v>
      </c>
      <c r="K27" s="2">
        <f t="shared" si="60"/>
        <v>0.09</v>
      </c>
      <c r="L27" s="2">
        <f t="shared" si="60"/>
        <v>0.09</v>
      </c>
      <c r="M27" s="2">
        <f t="shared" si="60"/>
        <v>9.0000000000000011E-2</v>
      </c>
      <c r="N27" s="2">
        <f t="shared" si="60"/>
        <v>0.09</v>
      </c>
      <c r="O27" s="2">
        <f t="shared" si="60"/>
        <v>0.09</v>
      </c>
      <c r="P27" s="2">
        <f t="shared" si="60"/>
        <v>0.09</v>
      </c>
      <c r="Q27" s="2">
        <f t="shared" si="60"/>
        <v>0.09</v>
      </c>
      <c r="S27" s="2" t="s">
        <v>29</v>
      </c>
      <c r="T27" s="5">
        <f>+T25+T26</f>
        <v>30792998.194242433</v>
      </c>
    </row>
    <row r="28" spans="2:70" s="2" customFormat="1" x14ac:dyDescent="0.25">
      <c r="B28" s="2" t="s">
        <v>17</v>
      </c>
      <c r="G28" s="2">
        <f>+G6/F6 -1</f>
        <v>0.19655403348274669</v>
      </c>
      <c r="H28" s="2">
        <f>+H6/G6 -1</f>
        <v>0.18880893616172711</v>
      </c>
      <c r="I28" s="2">
        <f t="shared" ref="I28:Q28" si="61">+I6/H6 -1</f>
        <v>0.16129032258064524</v>
      </c>
      <c r="J28" s="2">
        <f t="shared" si="61"/>
        <v>0.20833333333333326</v>
      </c>
      <c r="K28" s="2">
        <f t="shared" si="61"/>
        <v>0.17241379310344818</v>
      </c>
      <c r="L28" s="2">
        <f t="shared" si="61"/>
        <v>0.14705882352941169</v>
      </c>
      <c r="M28" s="2">
        <f t="shared" si="61"/>
        <v>0.1179487179487182</v>
      </c>
      <c r="N28" s="2">
        <f t="shared" si="61"/>
        <v>9.8470948012232551E-2</v>
      </c>
      <c r="O28" s="2">
        <f t="shared" si="61"/>
        <v>7.8886414253897641E-2</v>
      </c>
      <c r="P28" s="2">
        <f t="shared" si="61"/>
        <v>7.8967837826679377E-2</v>
      </c>
      <c r="Q28" s="2">
        <f t="shared" si="61"/>
        <v>7.9043380036795563E-2</v>
      </c>
      <c r="S28" s="2" t="s">
        <v>33</v>
      </c>
      <c r="T28" s="6">
        <f>+T27/Q21</f>
        <v>117.62615482908789</v>
      </c>
    </row>
    <row r="29" spans="2:70" s="1" customFormat="1" x14ac:dyDescent="0.25">
      <c r="S29" s="1" t="s">
        <v>34</v>
      </c>
      <c r="T29" s="1">
        <v>120</v>
      </c>
    </row>
    <row r="30" spans="2:70" s="1" customFormat="1" x14ac:dyDescent="0.25">
      <c r="B30" s="1" t="s">
        <v>18</v>
      </c>
      <c r="F30" s="1">
        <v>1448159</v>
      </c>
      <c r="G30" s="1">
        <v>1460393</v>
      </c>
      <c r="S30" s="1" t="s">
        <v>35</v>
      </c>
      <c r="T30" s="2">
        <f>+T28/T29 -1</f>
        <v>-1.9782043090934232E-2</v>
      </c>
    </row>
    <row r="31" spans="2:70" s="1" customFormat="1" x14ac:dyDescent="0.25">
      <c r="B31" s="1" t="s">
        <v>19</v>
      </c>
      <c r="F31" s="1">
        <f>33112+14400</f>
        <v>47512</v>
      </c>
      <c r="G31" s="1">
        <f>44850+27430</f>
        <v>72280</v>
      </c>
    </row>
    <row r="32" spans="2:70" s="1" customFormat="1" x14ac:dyDescent="0.25">
      <c r="B32" s="1" t="s">
        <v>20</v>
      </c>
      <c r="F32" s="1">
        <f>+F30-F31</f>
        <v>1400647</v>
      </c>
      <c r="G32" s="1">
        <f>+G30-G31</f>
        <v>1388113</v>
      </c>
    </row>
    <row r="33" spans="2:7" s="1" customFormat="1" x14ac:dyDescent="0.25">
      <c r="B33" s="1" t="s">
        <v>21</v>
      </c>
      <c r="F33" s="1">
        <v>1081433</v>
      </c>
      <c r="G33" s="1">
        <v>1362222</v>
      </c>
    </row>
    <row r="34" spans="2:7" s="1" customFormat="1" x14ac:dyDescent="0.25">
      <c r="B34" s="1" t="s">
        <v>22</v>
      </c>
      <c r="F34" s="1">
        <f>+F32-F33</f>
        <v>319214</v>
      </c>
      <c r="G34" s="1">
        <f>+G32-G33</f>
        <v>25891</v>
      </c>
    </row>
    <row r="35" spans="2:7" s="1" customFormat="1" x14ac:dyDescent="0.25"/>
    <row r="36" spans="2:7" s="1" customFormat="1" x14ac:dyDescent="0.25">
      <c r="B36" s="1" t="s">
        <v>30</v>
      </c>
      <c r="F36" s="1">
        <v>2512874</v>
      </c>
      <c r="G36" s="1">
        <v>2322360</v>
      </c>
    </row>
    <row r="37" spans="2:7" s="1" customFormat="1" x14ac:dyDescent="0.25">
      <c r="B37" s="1" t="s">
        <v>31</v>
      </c>
      <c r="F37" s="1">
        <v>424268</v>
      </c>
      <c r="G37" s="1">
        <v>456040</v>
      </c>
    </row>
    <row r="38" spans="2:7" s="1" customFormat="1" x14ac:dyDescent="0.25">
      <c r="B38" s="1" t="s">
        <v>32</v>
      </c>
      <c r="F38" s="1">
        <v>987684</v>
      </c>
      <c r="G38" s="1">
        <v>988143</v>
      </c>
    </row>
    <row r="39" spans="2:7" s="1" customFormat="1" x14ac:dyDescent="0.25"/>
    <row r="40" spans="2:7" s="1" customFormat="1" x14ac:dyDescent="0.25"/>
    <row r="41" spans="2:7" s="1" customFormat="1" x14ac:dyDescent="0.25"/>
    <row r="42" spans="2:7" s="1" customFormat="1" x14ac:dyDescent="0.25"/>
    <row r="43" spans="2:7" s="1" customFormat="1" x14ac:dyDescent="0.25"/>
    <row r="44" spans="2:7" s="1" customFormat="1" x14ac:dyDescent="0.25"/>
    <row r="45" spans="2:7" s="1" customFormat="1" x14ac:dyDescent="0.25"/>
    <row r="46" spans="2:7" s="1" customFormat="1" x14ac:dyDescent="0.25"/>
    <row r="47" spans="2:7" s="1" customFormat="1" x14ac:dyDescent="0.25"/>
    <row r="48" spans="2:7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2026-01-15T22:07:35Z</dcterms:created>
  <dcterms:modified xsi:type="dcterms:W3CDTF">2026-01-20T00:25:44Z</dcterms:modified>
</cp:coreProperties>
</file>