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ckut\Desktop\Stonks\Analysis\"/>
    </mc:Choice>
  </mc:AlternateContent>
  <xr:revisionPtr revIDLastSave="0" documentId="13_ncr:1_{ABD6B593-D1CC-47D8-BE37-D35592E3BDED}" xr6:coauthVersionLast="47" xr6:coauthVersionMax="47" xr10:uidLastSave="{00000000-0000-0000-0000-000000000000}"/>
  <bookViews>
    <workbookView xWindow="-120" yWindow="-120" windowWidth="29040" windowHeight="15840" xr2:uid="{ADE25C32-5216-43A0-9FF0-E26B4343E665}"/>
  </bookViews>
  <sheets>
    <sheet name="Sheet1" sheetId="1" r:id="rId1"/>
    <sheet name="Sheet2" sheetId="2" r:id="rId2"/>
  </sheets>
  <definedNames>
    <definedName name="TR">Sheet1!$AF$46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U30" i="1" l="1"/>
  <c r="V30" i="1"/>
  <c r="W30" i="1"/>
  <c r="X30" i="1"/>
  <c r="Y30" i="1"/>
  <c r="Z30" i="1"/>
  <c r="AA30" i="1"/>
  <c r="AB30" i="1"/>
  <c r="AB43" i="1" s="1"/>
  <c r="AC30" i="1"/>
  <c r="AC43" i="1" s="1"/>
  <c r="T30" i="1"/>
  <c r="X31" i="1"/>
  <c r="Y31" i="1"/>
  <c r="Z31" i="1"/>
  <c r="AA31" i="1"/>
  <c r="AB31" i="1"/>
  <c r="AC31" i="1"/>
  <c r="W31" i="1"/>
  <c r="W44" i="1" s="1"/>
  <c r="U43" i="1"/>
  <c r="T43" i="1"/>
  <c r="Q42" i="1"/>
  <c r="R42" i="1"/>
  <c r="S42" i="1"/>
  <c r="T42" i="1"/>
  <c r="U42" i="1"/>
  <c r="V42" i="1"/>
  <c r="W42" i="1"/>
  <c r="X42" i="1"/>
  <c r="Y42" i="1"/>
  <c r="Z42" i="1"/>
  <c r="AA42" i="1"/>
  <c r="AB42" i="1"/>
  <c r="AC42" i="1"/>
  <c r="Q43" i="1"/>
  <c r="R43" i="1"/>
  <c r="S43" i="1"/>
  <c r="V43" i="1"/>
  <c r="W43" i="1"/>
  <c r="X43" i="1"/>
  <c r="Y43" i="1"/>
  <c r="Z43" i="1"/>
  <c r="AA43" i="1"/>
  <c r="Q44" i="1"/>
  <c r="R44" i="1"/>
  <c r="S44" i="1"/>
  <c r="T44" i="1"/>
  <c r="U44" i="1"/>
  <c r="V44" i="1"/>
  <c r="P44" i="1"/>
  <c r="P43" i="1"/>
  <c r="P42" i="1"/>
  <c r="S49" i="1"/>
  <c r="T14" i="1"/>
  <c r="U14" i="1" s="1"/>
  <c r="V14" i="1" s="1"/>
  <c r="W14" i="1" s="1"/>
  <c r="X14" i="1" s="1"/>
  <c r="Y14" i="1" s="1"/>
  <c r="Z14" i="1" s="1"/>
  <c r="AA14" i="1" s="1"/>
  <c r="AB14" i="1" s="1"/>
  <c r="P30" i="2"/>
  <c r="Q30" i="2"/>
  <c r="R30" i="2"/>
  <c r="P46" i="2"/>
  <c r="Q46" i="2"/>
  <c r="R46" i="2"/>
  <c r="P38" i="2"/>
  <c r="Q38" i="2"/>
  <c r="R38" i="2"/>
  <c r="S40" i="2"/>
  <c r="S20" i="1"/>
  <c r="S7" i="1"/>
  <c r="S6" i="1"/>
  <c r="S5" i="1"/>
  <c r="Q53" i="2"/>
  <c r="R53" i="2"/>
  <c r="P53" i="2"/>
  <c r="Q45" i="2"/>
  <c r="R45" i="2"/>
  <c r="P45" i="2"/>
  <c r="Q37" i="2"/>
  <c r="R37" i="2"/>
  <c r="P37" i="2"/>
  <c r="R29" i="2"/>
  <c r="Q29" i="2"/>
  <c r="P29" i="2"/>
  <c r="Q2" i="2"/>
  <c r="R2" i="2" s="1"/>
  <c r="S2" i="2" s="1"/>
  <c r="R14" i="2"/>
  <c r="Q14" i="2"/>
  <c r="P14" i="2"/>
  <c r="R9" i="2"/>
  <c r="Q9" i="2"/>
  <c r="P9" i="2"/>
  <c r="S7" i="2"/>
  <c r="S6" i="2"/>
  <c r="S5" i="2"/>
  <c r="R4" i="2"/>
  <c r="Q4" i="2"/>
  <c r="P4" i="2"/>
  <c r="P25" i="1"/>
  <c r="P24" i="1"/>
  <c r="P23" i="1"/>
  <c r="Q25" i="1"/>
  <c r="Q24" i="1"/>
  <c r="Q23" i="1"/>
  <c r="R25" i="1"/>
  <c r="R24" i="1"/>
  <c r="R23" i="1"/>
  <c r="R4" i="1"/>
  <c r="Q4" i="1"/>
  <c r="P4" i="1"/>
  <c r="R9" i="1"/>
  <c r="S9" i="1" s="1"/>
  <c r="T9" i="1" s="1"/>
  <c r="U9" i="1" s="1"/>
  <c r="V9" i="1" s="1"/>
  <c r="W9" i="1" s="1"/>
  <c r="X9" i="1" s="1"/>
  <c r="Y9" i="1" s="1"/>
  <c r="Z9" i="1" s="1"/>
  <c r="AA9" i="1" s="1"/>
  <c r="AB9" i="1" s="1"/>
  <c r="AC9" i="1" s="1"/>
  <c r="Q9" i="1"/>
  <c r="P9" i="1"/>
  <c r="R14" i="1"/>
  <c r="Q14" i="1"/>
  <c r="P14" i="1"/>
  <c r="S50" i="1"/>
  <c r="R50" i="1"/>
  <c r="R51" i="1" s="1"/>
  <c r="Q50" i="1"/>
  <c r="Q51" i="1" s="1"/>
  <c r="P50" i="1"/>
  <c r="P51" i="1" s="1"/>
  <c r="R56" i="1"/>
  <c r="R58" i="1" s="1"/>
  <c r="S56" i="1"/>
  <c r="AF49" i="1" s="1"/>
  <c r="R47" i="1"/>
  <c r="Q47" i="1"/>
  <c r="S36" i="1"/>
  <c r="S31" i="1"/>
  <c r="T31" i="1" s="1"/>
  <c r="U31" i="1" s="1"/>
  <c r="V31" i="1" s="1"/>
  <c r="Q28" i="1"/>
  <c r="Q32" i="1" s="1"/>
  <c r="Q35" i="1" s="1"/>
  <c r="Q37" i="1" s="1"/>
  <c r="Q45" i="1" s="1"/>
  <c r="R28" i="1"/>
  <c r="R32" i="1" s="1"/>
  <c r="R35" i="1" s="1"/>
  <c r="R37" i="1" s="1"/>
  <c r="R45" i="1" s="1"/>
  <c r="P28" i="1"/>
  <c r="P32" i="1" s="1"/>
  <c r="P35" i="1" s="1"/>
  <c r="P37" i="1" s="1"/>
  <c r="P45" i="1" s="1"/>
  <c r="Q2" i="1"/>
  <c r="R2" i="1" s="1"/>
  <c r="S2" i="1" s="1"/>
  <c r="T2" i="1" s="1"/>
  <c r="U2" i="1" s="1"/>
  <c r="V2" i="1" s="1"/>
  <c r="W2" i="1" s="1"/>
  <c r="X2" i="1" s="1"/>
  <c r="Y2" i="1" s="1"/>
  <c r="Z2" i="1" s="1"/>
  <c r="AA2" i="1" s="1"/>
  <c r="AB2" i="1" s="1"/>
  <c r="AC2" i="1" s="1"/>
  <c r="X44" i="1" l="1"/>
  <c r="R38" i="1"/>
  <c r="T20" i="1"/>
  <c r="S48" i="2"/>
  <c r="S53" i="2" s="1"/>
  <c r="AC14" i="1"/>
  <c r="S32" i="2"/>
  <c r="S33" i="2" s="1"/>
  <c r="S41" i="2"/>
  <c r="S45" i="2" s="1"/>
  <c r="S4" i="1"/>
  <c r="S58" i="1"/>
  <c r="P41" i="1"/>
  <c r="R41" i="1"/>
  <c r="Q41" i="1"/>
  <c r="S51" i="1"/>
  <c r="U20" i="1" l="1"/>
  <c r="Y44" i="1"/>
  <c r="S37" i="2"/>
  <c r="T4" i="1"/>
  <c r="S24" i="2"/>
  <c r="S25" i="2" s="1"/>
  <c r="S27" i="1" s="1"/>
  <c r="S28" i="1" s="1"/>
  <c r="S26" i="1"/>
  <c r="V20" i="1" l="1"/>
  <c r="S47" i="1"/>
  <c r="S30" i="1"/>
  <c r="S29" i="1"/>
  <c r="S32" i="1"/>
  <c r="S35" i="1" s="1"/>
  <c r="S37" i="1" s="1"/>
  <c r="S38" i="1" s="1"/>
  <c r="Z44" i="1"/>
  <c r="S29" i="2"/>
  <c r="U4" i="1"/>
  <c r="T26" i="1"/>
  <c r="S41" i="1"/>
  <c r="T56" i="1" l="1"/>
  <c r="T34" i="1" s="1"/>
  <c r="S45" i="1"/>
  <c r="W20" i="1"/>
  <c r="T27" i="1"/>
  <c r="T29" i="1"/>
  <c r="AA44" i="1"/>
  <c r="T28" i="1"/>
  <c r="T47" i="1"/>
  <c r="V4" i="1"/>
  <c r="U26" i="1"/>
  <c r="X20" i="1" l="1"/>
  <c r="U27" i="1"/>
  <c r="U28" i="1" s="1"/>
  <c r="U29" i="1"/>
  <c r="AB44" i="1"/>
  <c r="T32" i="1"/>
  <c r="T41" i="1"/>
  <c r="W4" i="1"/>
  <c r="V26" i="1"/>
  <c r="U47" i="1"/>
  <c r="Y20" i="1" l="1"/>
  <c r="V27" i="1"/>
  <c r="V28" i="1" s="1"/>
  <c r="V29" i="1"/>
  <c r="AC44" i="1"/>
  <c r="T35" i="1"/>
  <c r="T36" i="1" s="1"/>
  <c r="T37" i="1" s="1"/>
  <c r="U32" i="1"/>
  <c r="U41" i="1"/>
  <c r="V47" i="1"/>
  <c r="X4" i="1"/>
  <c r="W26" i="1"/>
  <c r="Z20" i="1" l="1"/>
  <c r="W27" i="1"/>
  <c r="W28" i="1" s="1"/>
  <c r="W29" i="1"/>
  <c r="T38" i="1"/>
  <c r="U56" i="1"/>
  <c r="U34" i="1" s="1"/>
  <c r="U35" i="1" s="1"/>
  <c r="U36" i="1" s="1"/>
  <c r="U37" i="1" s="1"/>
  <c r="U38" i="1" s="1"/>
  <c r="T45" i="1"/>
  <c r="V32" i="1"/>
  <c r="V41" i="1"/>
  <c r="W47" i="1"/>
  <c r="Y4" i="1"/>
  <c r="X26" i="1"/>
  <c r="AA20" i="1" l="1"/>
  <c r="U45" i="1"/>
  <c r="X27" i="1"/>
  <c r="X28" i="1" s="1"/>
  <c r="X29" i="1"/>
  <c r="V56" i="1"/>
  <c r="V34" i="1" s="1"/>
  <c r="V35" i="1" s="1"/>
  <c r="V36" i="1" s="1"/>
  <c r="V37" i="1" s="1"/>
  <c r="W56" i="1" s="1"/>
  <c r="W34" i="1" s="1"/>
  <c r="W32" i="1"/>
  <c r="W41" i="1"/>
  <c r="X47" i="1"/>
  <c r="Z4" i="1"/>
  <c r="Y26" i="1"/>
  <c r="AB20" i="1" l="1"/>
  <c r="Y27" i="1"/>
  <c r="Y28" i="1" s="1"/>
  <c r="Y29" i="1"/>
  <c r="V45" i="1"/>
  <c r="V38" i="1"/>
  <c r="W35" i="1"/>
  <c r="W36" i="1" s="1"/>
  <c r="W37" i="1" s="1"/>
  <c r="X56" i="1" s="1"/>
  <c r="X34" i="1" s="1"/>
  <c r="X32" i="1"/>
  <c r="X41" i="1"/>
  <c r="Y47" i="1"/>
  <c r="AA4" i="1"/>
  <c r="Z26" i="1"/>
  <c r="AC20" i="1" l="1"/>
  <c r="X35" i="1"/>
  <c r="X36" i="1" s="1"/>
  <c r="X37" i="1" s="1"/>
  <c r="Y56" i="1" s="1"/>
  <c r="Y34" i="1" s="1"/>
  <c r="W45" i="1"/>
  <c r="W38" i="1"/>
  <c r="Z27" i="1"/>
  <c r="Z28" i="1" s="1"/>
  <c r="Z29" i="1"/>
  <c r="Y32" i="1"/>
  <c r="Y41" i="1"/>
  <c r="Z47" i="1"/>
  <c r="AB4" i="1"/>
  <c r="AA26" i="1"/>
  <c r="Y35" i="1" l="1"/>
  <c r="Y36" i="1" s="1"/>
  <c r="Y37" i="1" s="1"/>
  <c r="X45" i="1"/>
  <c r="X38" i="1"/>
  <c r="AA27" i="1"/>
  <c r="AA28" i="1" s="1"/>
  <c r="AA29" i="1"/>
  <c r="Z32" i="1"/>
  <c r="Z41" i="1"/>
  <c r="Z56" i="1"/>
  <c r="Z34" i="1" s="1"/>
  <c r="Y38" i="1"/>
  <c r="Y45" i="1"/>
  <c r="AA47" i="1"/>
  <c r="AC4" i="1"/>
  <c r="AC26" i="1" s="1"/>
  <c r="AB26" i="1"/>
  <c r="AC27" i="1" l="1"/>
  <c r="AC29" i="1"/>
  <c r="AB27" i="1"/>
  <c r="AB29" i="1"/>
  <c r="Z35" i="1"/>
  <c r="Z36" i="1" s="1"/>
  <c r="Z37" i="1" s="1"/>
  <c r="Z45" i="1" s="1"/>
  <c r="AA32" i="1"/>
  <c r="AA41" i="1"/>
  <c r="AB28" i="1"/>
  <c r="AB47" i="1"/>
  <c r="AC47" i="1"/>
  <c r="AC28" i="1"/>
  <c r="AA56" i="1" l="1"/>
  <c r="AA34" i="1" s="1"/>
  <c r="AA35" i="1" s="1"/>
  <c r="AA36" i="1" s="1"/>
  <c r="AA37" i="1" s="1"/>
  <c r="AB56" i="1" s="1"/>
  <c r="AB34" i="1" s="1"/>
  <c r="Z38" i="1"/>
  <c r="AB32" i="1"/>
  <c r="AB41" i="1"/>
  <c r="AC32" i="1"/>
  <c r="AC41" i="1"/>
  <c r="AB35" i="1" l="1"/>
  <c r="AB36" i="1" s="1"/>
  <c r="AB37" i="1" s="1"/>
  <c r="AA45" i="1"/>
  <c r="AA38" i="1"/>
  <c r="AC56" i="1"/>
  <c r="AC34" i="1" s="1"/>
  <c r="AC35" i="1" s="1"/>
  <c r="AC36" i="1" s="1"/>
  <c r="AC37" i="1" s="1"/>
  <c r="AB38" i="1"/>
  <c r="AB45" i="1"/>
  <c r="AD37" i="1" l="1"/>
  <c r="AE37" i="1" s="1"/>
  <c r="AF37" i="1" s="1"/>
  <c r="AG37" i="1" s="1"/>
  <c r="AH37" i="1" s="1"/>
  <c r="AI37" i="1" s="1"/>
  <c r="AJ37" i="1" s="1"/>
  <c r="AK37" i="1" s="1"/>
  <c r="AL37" i="1" s="1"/>
  <c r="AM37" i="1" s="1"/>
  <c r="AN37" i="1" s="1"/>
  <c r="AO37" i="1" s="1"/>
  <c r="AP37" i="1" s="1"/>
  <c r="AQ37" i="1" s="1"/>
  <c r="AR37" i="1" s="1"/>
  <c r="AS37" i="1" s="1"/>
  <c r="AT37" i="1" s="1"/>
  <c r="AU37" i="1" s="1"/>
  <c r="AV37" i="1" s="1"/>
  <c r="AW37" i="1" s="1"/>
  <c r="AX37" i="1" s="1"/>
  <c r="AY37" i="1" s="1"/>
  <c r="AZ37" i="1" s="1"/>
  <c r="BA37" i="1" s="1"/>
  <c r="BB37" i="1" s="1"/>
  <c r="BC37" i="1" s="1"/>
  <c r="BD37" i="1" s="1"/>
  <c r="BE37" i="1" s="1"/>
  <c r="BF37" i="1" s="1"/>
  <c r="BG37" i="1" s="1"/>
  <c r="BH37" i="1" s="1"/>
  <c r="BI37" i="1" s="1"/>
  <c r="BJ37" i="1" s="1"/>
  <c r="BK37" i="1" s="1"/>
  <c r="BL37" i="1" s="1"/>
  <c r="BM37" i="1" s="1"/>
  <c r="BN37" i="1" s="1"/>
  <c r="BO37" i="1" s="1"/>
  <c r="BP37" i="1" s="1"/>
  <c r="BQ37" i="1" s="1"/>
  <c r="BR37" i="1" s="1"/>
  <c r="BS37" i="1" s="1"/>
  <c r="BT37" i="1" s="1"/>
  <c r="BU37" i="1" s="1"/>
  <c r="BV37" i="1" s="1"/>
  <c r="BW37" i="1" s="1"/>
  <c r="BX37" i="1" s="1"/>
  <c r="BY37" i="1" s="1"/>
  <c r="BZ37" i="1" s="1"/>
  <c r="CA37" i="1" s="1"/>
  <c r="CB37" i="1" s="1"/>
  <c r="CC37" i="1" s="1"/>
  <c r="CD37" i="1" s="1"/>
  <c r="CE37" i="1" s="1"/>
  <c r="CF37" i="1" s="1"/>
  <c r="CG37" i="1" s="1"/>
  <c r="CH37" i="1" s="1"/>
  <c r="CI37" i="1" s="1"/>
  <c r="CJ37" i="1" s="1"/>
  <c r="CK37" i="1" s="1"/>
  <c r="CL37" i="1" s="1"/>
  <c r="CM37" i="1" s="1"/>
  <c r="CN37" i="1" s="1"/>
  <c r="CO37" i="1" s="1"/>
  <c r="CP37" i="1" s="1"/>
  <c r="CQ37" i="1" s="1"/>
  <c r="CR37" i="1" s="1"/>
  <c r="CS37" i="1" s="1"/>
  <c r="CT37" i="1" s="1"/>
  <c r="CU37" i="1" s="1"/>
  <c r="CV37" i="1" s="1"/>
  <c r="CW37" i="1" s="1"/>
  <c r="CX37" i="1" s="1"/>
  <c r="CY37" i="1" s="1"/>
  <c r="CZ37" i="1" s="1"/>
  <c r="DA37" i="1" s="1"/>
  <c r="AF48" i="1" s="1"/>
  <c r="AF50" i="1" s="1"/>
  <c r="AF51" i="1" s="1"/>
  <c r="AC38" i="1"/>
  <c r="AC45" i="1"/>
</calcChain>
</file>

<file path=xl/sharedStrings.xml><?xml version="1.0" encoding="utf-8"?>
<sst xmlns="http://schemas.openxmlformats.org/spreadsheetml/2006/main" count="98" uniqueCount="43">
  <si>
    <t>Revenue</t>
  </si>
  <si>
    <t>COGS</t>
  </si>
  <si>
    <t>Profit</t>
  </si>
  <si>
    <t>R&amp;D</t>
  </si>
  <si>
    <t>Sales</t>
  </si>
  <si>
    <t>G&amp;A</t>
  </si>
  <si>
    <t>Operating Income</t>
  </si>
  <si>
    <t>Other Income</t>
  </si>
  <si>
    <t>Interest, net</t>
  </si>
  <si>
    <t>Pretax</t>
  </si>
  <si>
    <t>Taxes</t>
  </si>
  <si>
    <t>Net Income</t>
  </si>
  <si>
    <t>Gross Margin</t>
  </si>
  <si>
    <t>Net Margin</t>
  </si>
  <si>
    <t>Revenue Y/Y</t>
  </si>
  <si>
    <t>CFFO</t>
  </si>
  <si>
    <t>CapEx</t>
  </si>
  <si>
    <t>FCF</t>
  </si>
  <si>
    <t>Cash</t>
  </si>
  <si>
    <t>PP&amp;E</t>
  </si>
  <si>
    <t>Goodwill</t>
  </si>
  <si>
    <t>Debt</t>
  </si>
  <si>
    <t>Cost of Debt</t>
  </si>
  <si>
    <t>US</t>
  </si>
  <si>
    <t>Sportsbook</t>
  </si>
  <si>
    <t xml:space="preserve">IGaming </t>
  </si>
  <si>
    <t>Other</t>
  </si>
  <si>
    <t>UK</t>
  </si>
  <si>
    <t>International</t>
  </si>
  <si>
    <t>Australia</t>
  </si>
  <si>
    <t xml:space="preserve">Revenue </t>
  </si>
  <si>
    <t>EBITDA</t>
  </si>
  <si>
    <t>UKI</t>
  </si>
  <si>
    <t>Internation</t>
  </si>
  <si>
    <t>TR</t>
  </si>
  <si>
    <t>DR</t>
  </si>
  <si>
    <t>NPV</t>
  </si>
  <si>
    <t>Net Cash</t>
  </si>
  <si>
    <t>Value</t>
  </si>
  <si>
    <t>Shares</t>
  </si>
  <si>
    <t>EPS</t>
  </si>
  <si>
    <t>Price</t>
  </si>
  <si>
    <t xml:space="preserve">Sales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</si>
</sst>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">
    <xf numFmtId="0" fontId="0" fillId="0" borderId="0" xfId="0"/>
    <xf numFmtId="3" fontId="0" fillId="0" borderId="0" xfId="0" applyNumberFormat="1"/>
    <xf numFmtId="9" fontId="0" fillId="0" borderId="0" xfId="1" applyFont="1"/>
    <xf numFmtId="164" fontId="0" fillId="0" borderId="0" xfId="1" applyNumberFormat="1" applyFont="1"/>
    <xf numFmtId="3" fontId="2" fillId="0" borderId="0" xfId="0" applyNumberFormat="1" applyFont="1"/>
    <xf numFmtId="4" fontId="0" fillId="0" borderId="0" xfId="0" applyNumberFormat="1"/>
    <xf numFmtId="2" fontId="2" fillId="0" borderId="0" xfId="0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604157</xdr:colOff>
      <xdr:row>25</xdr:row>
      <xdr:rowOff>5443</xdr:rowOff>
    </xdr:from>
    <xdr:to>
      <xdr:col>18</xdr:col>
      <xdr:colOff>5443</xdr:colOff>
      <xdr:row>51</xdr:row>
      <xdr:rowOff>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7EEC994D-5014-14FF-7F36-302F4B9ED219}"/>
            </a:ext>
          </a:extLst>
        </xdr:cNvPr>
        <xdr:cNvCxnSpPr/>
      </xdr:nvCxnSpPr>
      <xdr:spPr>
        <a:xfrm flipH="1">
          <a:off x="11070771" y="576943"/>
          <a:ext cx="10886" cy="3995057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598715</xdr:colOff>
      <xdr:row>2</xdr:row>
      <xdr:rowOff>163286</xdr:rowOff>
    </xdr:from>
    <xdr:to>
      <xdr:col>18</xdr:col>
      <xdr:colOff>32657</xdr:colOff>
      <xdr:row>20</xdr:row>
      <xdr:rowOff>125186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129B77FF-DA0C-962F-4959-9FC5EAF483AD}"/>
            </a:ext>
          </a:extLst>
        </xdr:cNvPr>
        <xdr:cNvCxnSpPr/>
      </xdr:nvCxnSpPr>
      <xdr:spPr>
        <a:xfrm>
          <a:off x="10836729" y="544286"/>
          <a:ext cx="43542" cy="33909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F0E1A-4B31-44C8-90FD-EDEF238CCE6B}">
  <dimension ref="B2:DA126"/>
  <sheetViews>
    <sheetView tabSelected="1" zoomScale="175" zoomScaleNormal="175" workbookViewId="0">
      <pane xSplit="2" ySplit="2" topLeftCell="R32" activePane="bottomRight" state="frozen"/>
      <selection pane="topRight" activeCell="C1" sqref="C1"/>
      <selection pane="bottomLeft" activeCell="A3" sqref="A3"/>
      <selection pane="bottomRight" activeCell="AA41" sqref="AA41"/>
    </sheetView>
  </sheetViews>
  <sheetFormatPr defaultRowHeight="15" x14ac:dyDescent="0.25"/>
  <cols>
    <col min="1" max="1" width="2.85546875" customWidth="1"/>
    <col min="2" max="2" width="17" bestFit="1" customWidth="1"/>
  </cols>
  <sheetData>
    <row r="2" spans="2:29" x14ac:dyDescent="0.25">
      <c r="P2">
        <v>2022</v>
      </c>
      <c r="Q2">
        <f>+P2+1</f>
        <v>2023</v>
      </c>
      <c r="R2">
        <f>+Q2+1</f>
        <v>2024</v>
      </c>
      <c r="S2">
        <f>+R2+1</f>
        <v>2025</v>
      </c>
      <c r="T2">
        <f>+S2+1</f>
        <v>2026</v>
      </c>
      <c r="U2">
        <f t="shared" ref="U2:AC2" si="0">+T2+1</f>
        <v>2027</v>
      </c>
      <c r="V2">
        <f t="shared" si="0"/>
        <v>2028</v>
      </c>
      <c r="W2">
        <f t="shared" si="0"/>
        <v>2029</v>
      </c>
      <c r="X2">
        <f t="shared" si="0"/>
        <v>2030</v>
      </c>
      <c r="Y2">
        <f t="shared" si="0"/>
        <v>2031</v>
      </c>
      <c r="Z2">
        <f t="shared" si="0"/>
        <v>2032</v>
      </c>
      <c r="AA2">
        <f t="shared" si="0"/>
        <v>2033</v>
      </c>
      <c r="AB2">
        <f t="shared" si="0"/>
        <v>2034</v>
      </c>
      <c r="AC2">
        <f t="shared" si="0"/>
        <v>2035</v>
      </c>
    </row>
    <row r="3" spans="2:29" s="1" customFormat="1" x14ac:dyDescent="0.25"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</row>
    <row r="4" spans="2:29" s="4" customFormat="1" x14ac:dyDescent="0.25">
      <c r="B4" s="4" t="s">
        <v>23</v>
      </c>
      <c r="P4" s="4">
        <f>+SUM(P5:P7)</f>
        <v>3103</v>
      </c>
      <c r="Q4" s="4">
        <f>+SUM(Q5:Q7)</f>
        <v>4404</v>
      </c>
      <c r="R4" s="4">
        <f>+SUM(R5:R7)</f>
        <v>5798</v>
      </c>
      <c r="S4" s="4">
        <f>+SUM(S5:S7)</f>
        <v>6914</v>
      </c>
      <c r="T4" s="4">
        <f>+S4*1.15</f>
        <v>7951.0999999999995</v>
      </c>
      <c r="U4" s="4">
        <f>+T4*1.12</f>
        <v>8905.232</v>
      </c>
      <c r="V4" s="4">
        <f>+U4*1.1</f>
        <v>9795.7552000000014</v>
      </c>
      <c r="W4" s="4">
        <f>+V4*1.08</f>
        <v>10579.415616000002</v>
      </c>
      <c r="X4" s="4">
        <f t="shared" ref="X4:AC4" si="1">+W4*1.08</f>
        <v>11425.768865280003</v>
      </c>
      <c r="Y4" s="4">
        <f t="shared" si="1"/>
        <v>12339.830374502404</v>
      </c>
      <c r="Z4" s="4">
        <f t="shared" si="1"/>
        <v>13327.016804462597</v>
      </c>
      <c r="AA4" s="4">
        <f t="shared" si="1"/>
        <v>14393.178148819607</v>
      </c>
      <c r="AB4" s="4">
        <f t="shared" si="1"/>
        <v>15544.632400725177</v>
      </c>
      <c r="AC4" s="4">
        <f t="shared" si="1"/>
        <v>16788.202992783194</v>
      </c>
    </row>
    <row r="5" spans="2:29" s="1" customFormat="1" x14ac:dyDescent="0.25">
      <c r="B5" s="1" t="s">
        <v>24</v>
      </c>
      <c r="P5" s="1">
        <v>2100</v>
      </c>
      <c r="Q5" s="1">
        <v>3072</v>
      </c>
      <c r="R5" s="1">
        <v>4013</v>
      </c>
      <c r="S5" s="1">
        <f>2353*2</f>
        <v>4706</v>
      </c>
    </row>
    <row r="6" spans="2:29" s="1" customFormat="1" x14ac:dyDescent="0.25">
      <c r="B6" s="1" t="s">
        <v>25</v>
      </c>
      <c r="P6" s="1">
        <v>687</v>
      </c>
      <c r="Q6" s="1">
        <v>1045</v>
      </c>
      <c r="R6" s="1">
        <v>1524</v>
      </c>
      <c r="S6" s="1">
        <f>979*2</f>
        <v>1958</v>
      </c>
    </row>
    <row r="7" spans="2:29" s="1" customFormat="1" x14ac:dyDescent="0.25">
      <c r="B7" s="1" t="s">
        <v>26</v>
      </c>
      <c r="P7" s="1">
        <v>316</v>
      </c>
      <c r="Q7" s="1">
        <v>287</v>
      </c>
      <c r="R7" s="1">
        <v>261</v>
      </c>
      <c r="S7" s="1">
        <f>125*2</f>
        <v>250</v>
      </c>
    </row>
    <row r="8" spans="2:29" s="1" customFormat="1" x14ac:dyDescent="0.25"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</row>
    <row r="9" spans="2:29" s="4" customFormat="1" x14ac:dyDescent="0.25">
      <c r="B9" s="4" t="s">
        <v>27</v>
      </c>
      <c r="P9" s="4">
        <f>+SUM(P10:P12)</f>
        <v>2664</v>
      </c>
      <c r="Q9" s="4">
        <f>+SUM(Q10:Q12)</f>
        <v>3047</v>
      </c>
      <c r="R9" s="4">
        <f>+SUM(R10:R12)</f>
        <v>3598</v>
      </c>
      <c r="S9" s="4">
        <f>+R9*1.15</f>
        <v>4137.7</v>
      </c>
      <c r="T9" s="4">
        <f>+S9*1.12</f>
        <v>4634.2240000000002</v>
      </c>
      <c r="U9" s="4">
        <f t="shared" ref="U9" si="2">+T9*1.12</f>
        <v>5190.3308800000004</v>
      </c>
      <c r="V9" s="4">
        <f>+U9*1.1</f>
        <v>5709.3639680000006</v>
      </c>
      <c r="W9" s="4">
        <f>+V9*1.08</f>
        <v>6166.1130854400008</v>
      </c>
      <c r="X9" s="4">
        <f t="shared" ref="X9:AC9" si="3">+W9*1.08</f>
        <v>6659.4021322752014</v>
      </c>
      <c r="Y9" s="4">
        <f t="shared" si="3"/>
        <v>7192.1543028572178</v>
      </c>
      <c r="Z9" s="4">
        <f t="shared" si="3"/>
        <v>7767.526647085796</v>
      </c>
      <c r="AA9" s="4">
        <f t="shared" si="3"/>
        <v>8388.9287788526599</v>
      </c>
      <c r="AB9" s="4">
        <f t="shared" si="3"/>
        <v>9060.043081160873</v>
      </c>
      <c r="AC9" s="4">
        <f t="shared" si="3"/>
        <v>9784.8465276537427</v>
      </c>
    </row>
    <row r="10" spans="2:29" s="1" customFormat="1" x14ac:dyDescent="0.25">
      <c r="B10" s="1" t="s">
        <v>24</v>
      </c>
      <c r="P10" s="1">
        <v>1323</v>
      </c>
      <c r="Q10" s="1">
        <v>1463</v>
      </c>
      <c r="R10" s="1">
        <v>1691</v>
      </c>
    </row>
    <row r="11" spans="2:29" s="1" customFormat="1" x14ac:dyDescent="0.25">
      <c r="B11" s="1" t="s">
        <v>25</v>
      </c>
      <c r="P11" s="1">
        <v>1189</v>
      </c>
      <c r="Q11" s="1">
        <v>1404</v>
      </c>
      <c r="R11" s="1">
        <v>1741</v>
      </c>
    </row>
    <row r="12" spans="2:29" s="1" customFormat="1" x14ac:dyDescent="0.25">
      <c r="B12" s="1" t="s">
        <v>26</v>
      </c>
      <c r="P12" s="1">
        <v>152</v>
      </c>
      <c r="Q12" s="1">
        <v>180</v>
      </c>
      <c r="R12" s="1">
        <v>166</v>
      </c>
    </row>
    <row r="13" spans="2:29" s="1" customFormat="1" x14ac:dyDescent="0.25"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</row>
    <row r="14" spans="2:29" s="4" customFormat="1" x14ac:dyDescent="0.25">
      <c r="B14" s="4" t="s">
        <v>28</v>
      </c>
      <c r="P14" s="4">
        <f>+SUM(P15:P17)</f>
        <v>2138</v>
      </c>
      <c r="Q14" s="4">
        <f>+SUM(Q15:Q17)</f>
        <v>2892</v>
      </c>
      <c r="R14" s="4">
        <f>+SUM(R15:R17)</f>
        <v>3257</v>
      </c>
      <c r="S14" s="4">
        <v>3829</v>
      </c>
      <c r="T14" s="4">
        <f>+S14*1.15</f>
        <v>4403.3499999999995</v>
      </c>
      <c r="U14" s="4">
        <f>+T14*1.12</f>
        <v>4931.7519999999995</v>
      </c>
      <c r="V14" s="4">
        <f>+U14*1.1</f>
        <v>5424.9272000000001</v>
      </c>
      <c r="W14" s="4">
        <f>+V14*1.08</f>
        <v>5858.9213760000002</v>
      </c>
      <c r="X14" s="4">
        <f>+W14*1.08</f>
        <v>6327.6350860800003</v>
      </c>
      <c r="Y14" s="4">
        <f>+X14*1.06</f>
        <v>6707.2931912448003</v>
      </c>
      <c r="Z14" s="4">
        <f>+Y14*1.06</f>
        <v>7109.7307827194891</v>
      </c>
      <c r="AA14" s="4">
        <f t="shared" ref="AA14:AC14" si="4">+Z14*1.06</f>
        <v>7536.314629682659</v>
      </c>
      <c r="AB14" s="4">
        <f t="shared" si="4"/>
        <v>7988.4935074636187</v>
      </c>
      <c r="AC14" s="4">
        <f t="shared" si="4"/>
        <v>8467.8031179114369</v>
      </c>
    </row>
    <row r="15" spans="2:29" s="1" customFormat="1" x14ac:dyDescent="0.25">
      <c r="B15" s="1" t="s">
        <v>24</v>
      </c>
      <c r="P15" s="1">
        <v>335</v>
      </c>
      <c r="Q15" s="1">
        <v>603</v>
      </c>
      <c r="R15" s="1">
        <v>730</v>
      </c>
    </row>
    <row r="16" spans="2:29" s="1" customFormat="1" x14ac:dyDescent="0.25">
      <c r="B16" s="1" t="s">
        <v>25</v>
      </c>
      <c r="P16" s="1">
        <v>1696</v>
      </c>
      <c r="Q16" s="1">
        <v>2172</v>
      </c>
      <c r="R16" s="1">
        <v>2389</v>
      </c>
    </row>
    <row r="17" spans="2:29" s="1" customFormat="1" x14ac:dyDescent="0.25">
      <c r="B17" s="1" t="s">
        <v>26</v>
      </c>
      <c r="P17" s="1">
        <v>107</v>
      </c>
      <c r="Q17" s="1">
        <v>117</v>
      </c>
      <c r="R17" s="1">
        <v>138</v>
      </c>
    </row>
    <row r="18" spans="2:29" s="1" customFormat="1" x14ac:dyDescent="0.25"/>
    <row r="19" spans="2:29" s="4" customFormat="1" x14ac:dyDescent="0.25">
      <c r="B19" s="4" t="s">
        <v>29</v>
      </c>
    </row>
    <row r="20" spans="2:29" s="1" customFormat="1" x14ac:dyDescent="0.25">
      <c r="B20" s="1" t="s">
        <v>24</v>
      </c>
      <c r="P20" s="1">
        <v>1558</v>
      </c>
      <c r="Q20" s="1">
        <v>1447</v>
      </c>
      <c r="R20" s="1">
        <v>1395</v>
      </c>
      <c r="S20" s="1">
        <f>+R20*0.95</f>
        <v>1325.25</v>
      </c>
      <c r="T20" s="1">
        <f>+S20*0.98</f>
        <v>1298.7449999999999</v>
      </c>
      <c r="U20" s="1">
        <f t="shared" ref="U20:AC20" si="5">+T20*0.98</f>
        <v>1272.7701</v>
      </c>
      <c r="V20" s="1">
        <f t="shared" si="5"/>
        <v>1247.3146979999999</v>
      </c>
      <c r="W20" s="1">
        <f t="shared" si="5"/>
        <v>1222.3684040399999</v>
      </c>
      <c r="X20" s="1">
        <f t="shared" si="5"/>
        <v>1197.9210359591998</v>
      </c>
      <c r="Y20" s="1">
        <f t="shared" si="5"/>
        <v>1173.9626152400158</v>
      </c>
      <c r="Z20" s="1">
        <f t="shared" si="5"/>
        <v>1150.4833629352154</v>
      </c>
      <c r="AA20" s="1">
        <f t="shared" si="5"/>
        <v>1127.4736956765109</v>
      </c>
      <c r="AB20" s="1">
        <f t="shared" si="5"/>
        <v>1104.9242217629808</v>
      </c>
      <c r="AC20" s="1">
        <f t="shared" si="5"/>
        <v>1082.8257373277211</v>
      </c>
    </row>
    <row r="21" spans="2:29" s="1" customFormat="1" x14ac:dyDescent="0.25">
      <c r="Q21" s="5"/>
      <c r="R21" s="5"/>
    </row>
    <row r="22" spans="2:29" s="1" customFormat="1" x14ac:dyDescent="0.25"/>
    <row r="23" spans="2:29" s="1" customFormat="1" x14ac:dyDescent="0.25">
      <c r="B23" s="1" t="s">
        <v>24</v>
      </c>
      <c r="P23" s="1">
        <f>+P20+P15+P10+P5</f>
        <v>5316</v>
      </c>
      <c r="Q23" s="1">
        <f>+Q20+Q15+Q10+Q5</f>
        <v>6585</v>
      </c>
      <c r="R23" s="1">
        <f>+R20+R15+R10+R5</f>
        <v>7829</v>
      </c>
    </row>
    <row r="24" spans="2:29" s="1" customFormat="1" x14ac:dyDescent="0.25">
      <c r="B24" s="1" t="s">
        <v>25</v>
      </c>
      <c r="P24" s="1">
        <f t="shared" ref="P24:R25" si="6">+P16+P11+P6</f>
        <v>3572</v>
      </c>
      <c r="Q24" s="1">
        <f t="shared" si="6"/>
        <v>4621</v>
      </c>
      <c r="R24" s="1">
        <f t="shared" si="6"/>
        <v>5654</v>
      </c>
    </row>
    <row r="25" spans="2:29" s="1" customFormat="1" x14ac:dyDescent="0.25">
      <c r="B25" s="1" t="s">
        <v>26</v>
      </c>
      <c r="P25" s="1">
        <f t="shared" si="6"/>
        <v>575</v>
      </c>
      <c r="Q25" s="1">
        <f t="shared" si="6"/>
        <v>584</v>
      </c>
      <c r="R25" s="1">
        <f t="shared" si="6"/>
        <v>565</v>
      </c>
    </row>
    <row r="26" spans="2:29" s="4" customFormat="1" x14ac:dyDescent="0.25">
      <c r="B26" s="4" t="s">
        <v>0</v>
      </c>
      <c r="P26" s="4">
        <v>9463</v>
      </c>
      <c r="Q26" s="4">
        <v>11790</v>
      </c>
      <c r="R26" s="4">
        <v>14048</v>
      </c>
      <c r="S26" s="4">
        <f>+S20+S14+S9+S4</f>
        <v>16205.95</v>
      </c>
      <c r="T26" s="4">
        <f>+T20+T14+T9+T4</f>
        <v>18287.418999999998</v>
      </c>
      <c r="U26" s="4">
        <f t="shared" ref="U26:AC26" si="7">+U20+U14+U9+U4</f>
        <v>20300.08498</v>
      </c>
      <c r="V26" s="4">
        <f t="shared" si="7"/>
        <v>22177.361066000005</v>
      </c>
      <c r="W26" s="4">
        <f t="shared" si="7"/>
        <v>23826.818481480004</v>
      </c>
      <c r="X26" s="4">
        <f t="shared" si="7"/>
        <v>25610.727119594405</v>
      </c>
      <c r="Y26" s="4">
        <f t="shared" si="7"/>
        <v>27413.240483844438</v>
      </c>
      <c r="Z26" s="4">
        <f t="shared" si="7"/>
        <v>29354.757597203097</v>
      </c>
      <c r="AA26" s="4">
        <f t="shared" si="7"/>
        <v>31445.895253031435</v>
      </c>
      <c r="AB26" s="4">
        <f t="shared" si="7"/>
        <v>33698.093211112646</v>
      </c>
      <c r="AC26" s="4">
        <f t="shared" si="7"/>
        <v>36123.6783756761</v>
      </c>
    </row>
    <row r="27" spans="2:29" s="1" customFormat="1" x14ac:dyDescent="0.25">
      <c r="B27" s="1" t="s">
        <v>1</v>
      </c>
      <c r="P27" s="1">
        <v>4813</v>
      </c>
      <c r="Q27" s="1">
        <v>6202</v>
      </c>
      <c r="R27" s="1">
        <v>7346</v>
      </c>
      <c r="S27" s="1">
        <f>+Sheet2!S25+Sheet2!S33+Sheet2!S41+Sheet2!S49</f>
        <v>8141.9889999999996</v>
      </c>
      <c r="T27" s="1">
        <f>+T26*0.5</f>
        <v>9143.709499999999</v>
      </c>
      <c r="U27" s="1">
        <f t="shared" ref="U27:AC27" si="8">+U26*0.5</f>
        <v>10150.04249</v>
      </c>
      <c r="V27" s="1">
        <f t="shared" si="8"/>
        <v>11088.680533000002</v>
      </c>
      <c r="W27" s="1">
        <f t="shared" si="8"/>
        <v>11913.409240740002</v>
      </c>
      <c r="X27" s="1">
        <f t="shared" si="8"/>
        <v>12805.363559797202</v>
      </c>
      <c r="Y27" s="1">
        <f t="shared" si="8"/>
        <v>13706.620241922219</v>
      </c>
      <c r="Z27" s="1">
        <f t="shared" si="8"/>
        <v>14677.378798601549</v>
      </c>
      <c r="AA27" s="1">
        <f t="shared" si="8"/>
        <v>15722.947626515717</v>
      </c>
      <c r="AB27" s="1">
        <f t="shared" si="8"/>
        <v>16849.046605556323</v>
      </c>
      <c r="AC27" s="1">
        <f t="shared" si="8"/>
        <v>18061.83918783805</v>
      </c>
    </row>
    <row r="28" spans="2:29" s="1" customFormat="1" x14ac:dyDescent="0.25">
      <c r="B28" s="1" t="s">
        <v>2</v>
      </c>
      <c r="P28" s="1">
        <f>+P26-P27</f>
        <v>4650</v>
      </c>
      <c r="Q28" s="1">
        <f t="shared" ref="Q28:T28" si="9">+Q26-Q27</f>
        <v>5588</v>
      </c>
      <c r="R28" s="1">
        <f t="shared" si="9"/>
        <v>6702</v>
      </c>
      <c r="S28" s="1">
        <f t="shared" si="9"/>
        <v>8063.9610000000011</v>
      </c>
      <c r="T28" s="1">
        <f t="shared" si="9"/>
        <v>9143.709499999999</v>
      </c>
      <c r="U28" s="1">
        <f t="shared" ref="U28" si="10">+U26-U27</f>
        <v>10150.04249</v>
      </c>
      <c r="V28" s="1">
        <f t="shared" ref="V28" si="11">+V26-V27</f>
        <v>11088.680533000002</v>
      </c>
      <c r="W28" s="1">
        <f t="shared" ref="W28" si="12">+W26-W27</f>
        <v>11913.409240740002</v>
      </c>
      <c r="X28" s="1">
        <f t="shared" ref="X28" si="13">+X26-X27</f>
        <v>12805.363559797202</v>
      </c>
      <c r="Y28" s="1">
        <f t="shared" ref="Y28" si="14">+Y26-Y27</f>
        <v>13706.620241922219</v>
      </c>
      <c r="Z28" s="1">
        <f t="shared" ref="Z28" si="15">+Z26-Z27</f>
        <v>14677.378798601549</v>
      </c>
      <c r="AA28" s="1">
        <f t="shared" ref="AA28" si="16">+AA26-AA27</f>
        <v>15722.947626515717</v>
      </c>
      <c r="AB28" s="1">
        <f t="shared" ref="AB28" si="17">+AB26-AB27</f>
        <v>16849.046605556323</v>
      </c>
      <c r="AC28" s="1">
        <f t="shared" ref="AC28" si="18">+AC26-AC27</f>
        <v>18061.83918783805</v>
      </c>
    </row>
    <row r="29" spans="2:29" s="1" customFormat="1" x14ac:dyDescent="0.25">
      <c r="B29" s="1" t="s">
        <v>3</v>
      </c>
      <c r="P29" s="1">
        <v>552</v>
      </c>
      <c r="Q29" s="1">
        <v>765</v>
      </c>
      <c r="R29" s="1">
        <v>820</v>
      </c>
      <c r="S29" s="1">
        <f>+S26*0.06</f>
        <v>972.35699999999997</v>
      </c>
      <c r="T29" s="1">
        <f t="shared" ref="T29:AC29" si="19">+T26*0.06</f>
        <v>1097.2451399999998</v>
      </c>
      <c r="U29" s="1">
        <f t="shared" si="19"/>
        <v>1218.0050988</v>
      </c>
      <c r="V29" s="1">
        <f t="shared" si="19"/>
        <v>1330.6416639600002</v>
      </c>
      <c r="W29" s="1">
        <f t="shared" si="19"/>
        <v>1429.6091088888002</v>
      </c>
      <c r="X29" s="1">
        <f t="shared" si="19"/>
        <v>1536.6436271756643</v>
      </c>
      <c r="Y29" s="1">
        <f t="shared" si="19"/>
        <v>1644.7944290306662</v>
      </c>
      <c r="Z29" s="1">
        <f t="shared" si="19"/>
        <v>1761.2854558321858</v>
      </c>
      <c r="AA29" s="1">
        <f t="shared" si="19"/>
        <v>1886.753715181886</v>
      </c>
      <c r="AB29" s="1">
        <f t="shared" si="19"/>
        <v>2021.8855926667586</v>
      </c>
      <c r="AC29" s="1">
        <f t="shared" si="19"/>
        <v>2167.4207025405658</v>
      </c>
    </row>
    <row r="30" spans="2:29" s="1" customFormat="1" x14ac:dyDescent="0.25">
      <c r="B30" s="1" t="s">
        <v>4</v>
      </c>
      <c r="P30" s="1">
        <v>3014</v>
      </c>
      <c r="Q30" s="1">
        <v>3776</v>
      </c>
      <c r="R30" s="1">
        <v>3205</v>
      </c>
      <c r="S30" s="1">
        <f>+S26*0.2</f>
        <v>3241.1900000000005</v>
      </c>
      <c r="T30" s="1">
        <f>+T26*0.2</f>
        <v>3657.4838</v>
      </c>
      <c r="U30" s="1">
        <f t="shared" ref="U30:AC30" si="20">+U26*0.2</f>
        <v>4060.0169960000003</v>
      </c>
      <c r="V30" s="1">
        <f t="shared" si="20"/>
        <v>4435.4722132000015</v>
      </c>
      <c r="W30" s="1">
        <f t="shared" si="20"/>
        <v>4765.3636962960009</v>
      </c>
      <c r="X30" s="1">
        <f t="shared" si="20"/>
        <v>5122.1454239188815</v>
      </c>
      <c r="Y30" s="1">
        <f t="shared" si="20"/>
        <v>5482.6480967688876</v>
      </c>
      <c r="Z30" s="1">
        <f t="shared" si="20"/>
        <v>5870.9515194406194</v>
      </c>
      <c r="AA30" s="1">
        <f t="shared" si="20"/>
        <v>6289.1790506062871</v>
      </c>
      <c r="AB30" s="1">
        <f t="shared" si="20"/>
        <v>6739.6186422225292</v>
      </c>
      <c r="AC30" s="1">
        <f t="shared" si="20"/>
        <v>7224.7356751352199</v>
      </c>
    </row>
    <row r="31" spans="2:29" s="1" customFormat="1" x14ac:dyDescent="0.25">
      <c r="B31" s="1" t="s">
        <v>5</v>
      </c>
      <c r="P31" s="1">
        <v>1172</v>
      </c>
      <c r="Q31" s="1">
        <v>1596</v>
      </c>
      <c r="R31" s="1">
        <v>1808</v>
      </c>
      <c r="S31" s="1">
        <f>956*2</f>
        <v>1912</v>
      </c>
      <c r="T31" s="1">
        <f>+S31*1.04</f>
        <v>1988.48</v>
      </c>
      <c r="U31" s="1">
        <f t="shared" ref="U31:V31" si="21">+T31*1.04</f>
        <v>2068.0192000000002</v>
      </c>
      <c r="V31" s="1">
        <f t="shared" si="21"/>
        <v>2150.7399680000003</v>
      </c>
      <c r="W31" s="1">
        <f>+W26*0.1</f>
        <v>2382.6818481480004</v>
      </c>
      <c r="X31" s="1">
        <f t="shared" ref="X31:AC31" si="22">+X26*0.1</f>
        <v>2561.0727119594408</v>
      </c>
      <c r="Y31" s="1">
        <f t="shared" si="22"/>
        <v>2741.3240483844438</v>
      </c>
      <c r="Z31" s="1">
        <f t="shared" si="22"/>
        <v>2935.4757597203097</v>
      </c>
      <c r="AA31" s="1">
        <f t="shared" si="22"/>
        <v>3144.5895253031435</v>
      </c>
      <c r="AB31" s="1">
        <f t="shared" si="22"/>
        <v>3369.8093211112646</v>
      </c>
      <c r="AC31" s="1">
        <f t="shared" si="22"/>
        <v>3612.36783756761</v>
      </c>
    </row>
    <row r="32" spans="2:29" s="1" customFormat="1" x14ac:dyDescent="0.25">
      <c r="B32" s="1" t="s">
        <v>6</v>
      </c>
      <c r="P32" s="1">
        <f>+P28-P30-P29-P31</f>
        <v>-88</v>
      </c>
      <c r="Q32" s="1">
        <f t="shared" ref="Q32:T32" si="23">+Q28-Q30-Q29-Q31</f>
        <v>-549</v>
      </c>
      <c r="R32" s="1">
        <f t="shared" si="23"/>
        <v>869</v>
      </c>
      <c r="S32" s="1">
        <f t="shared" si="23"/>
        <v>1938.4140000000007</v>
      </c>
      <c r="T32" s="1">
        <f t="shared" si="23"/>
        <v>2400.500559999999</v>
      </c>
      <c r="U32" s="1">
        <f t="shared" ref="U32" si="24">+U28-U30-U29-U31</f>
        <v>2804.0011951999991</v>
      </c>
      <c r="V32" s="1">
        <f t="shared" ref="V32" si="25">+V28-V30-V29-V31</f>
        <v>3171.8266878400004</v>
      </c>
      <c r="W32" s="1">
        <f t="shared" ref="W32" si="26">+W28-W30-W29-W31</f>
        <v>3335.7545874072002</v>
      </c>
      <c r="X32" s="1">
        <f t="shared" ref="X32" si="27">+X28-X30-X29-X31</f>
        <v>3585.5017967432163</v>
      </c>
      <c r="Y32" s="1">
        <f t="shared" ref="Y32" si="28">+Y28-Y30-Y29-Y31</f>
        <v>3837.8536677382217</v>
      </c>
      <c r="Z32" s="1">
        <f t="shared" ref="Z32" si="29">+Z28-Z30-Z29-Z31</f>
        <v>4109.6660636084334</v>
      </c>
      <c r="AA32" s="1">
        <f t="shared" ref="AA32" si="30">+AA28-AA30-AA29-AA31</f>
        <v>4402.4253354244011</v>
      </c>
      <c r="AB32" s="1">
        <f t="shared" ref="AB32" si="31">+AB28-AB30-AB29-AB31</f>
        <v>4717.7330495557708</v>
      </c>
      <c r="AC32" s="1">
        <f t="shared" ref="AC32" si="32">+AC28-AC30-AC29-AC31</f>
        <v>5057.3149725946532</v>
      </c>
    </row>
    <row r="33" spans="2:105" s="1" customFormat="1" x14ac:dyDescent="0.25">
      <c r="B33" s="1" t="s">
        <v>7</v>
      </c>
      <c r="P33" s="1">
        <v>5</v>
      </c>
      <c r="Q33" s="1">
        <v>-157</v>
      </c>
      <c r="R33" s="1">
        <v>-434</v>
      </c>
      <c r="S33" s="1">
        <v>142</v>
      </c>
      <c r="T33" s="1">
        <v>100</v>
      </c>
      <c r="U33" s="1">
        <v>100</v>
      </c>
      <c r="V33" s="1">
        <v>100</v>
      </c>
      <c r="W33" s="1">
        <v>100</v>
      </c>
      <c r="X33" s="1">
        <v>100</v>
      </c>
      <c r="Y33" s="1">
        <v>100</v>
      </c>
      <c r="Z33" s="1">
        <v>100</v>
      </c>
      <c r="AA33" s="1">
        <v>100</v>
      </c>
      <c r="AB33" s="1">
        <v>100</v>
      </c>
      <c r="AC33" s="1">
        <v>100</v>
      </c>
    </row>
    <row r="34" spans="2:105" s="1" customFormat="1" x14ac:dyDescent="0.25">
      <c r="B34" s="1" t="s">
        <v>8</v>
      </c>
      <c r="P34" s="1">
        <v>-212</v>
      </c>
      <c r="Q34" s="1">
        <v>-385</v>
      </c>
      <c r="R34" s="1">
        <v>-419</v>
      </c>
      <c r="S34" s="1">
        <v>-450</v>
      </c>
      <c r="T34" s="1">
        <f>-T56*T58</f>
        <v>-391.30136999999996</v>
      </c>
      <c r="U34" s="1">
        <f t="shared" ref="U34:AC34" si="33">-U56*U58</f>
        <v>-320.11589733749997</v>
      </c>
      <c r="V34" s="1">
        <f t="shared" si="33"/>
        <v>-232.90976853464065</v>
      </c>
      <c r="W34" s="1">
        <f t="shared" si="33"/>
        <v>-130.34632250808477</v>
      </c>
      <c r="X34" s="1">
        <f t="shared" si="33"/>
        <v>-18.788793567739624</v>
      </c>
      <c r="Y34" s="1">
        <f t="shared" si="33"/>
        <v>104.96277028943271</v>
      </c>
      <c r="Z34" s="1">
        <f t="shared" si="33"/>
        <v>241.40782507286605</v>
      </c>
      <c r="AA34" s="1">
        <f t="shared" si="33"/>
        <v>391.63156881585991</v>
      </c>
      <c r="AB34" s="1">
        <f t="shared" si="33"/>
        <v>556.80598933396868</v>
      </c>
      <c r="AC34" s="1">
        <f t="shared" si="33"/>
        <v>738.19668189649735</v>
      </c>
    </row>
    <row r="35" spans="2:105" s="1" customFormat="1" x14ac:dyDescent="0.25">
      <c r="B35" s="1" t="s">
        <v>9</v>
      </c>
      <c r="P35" s="1">
        <f>+P32+P33+P34</f>
        <v>-295</v>
      </c>
      <c r="Q35" s="1">
        <f t="shared" ref="Q35:S35" si="34">+Q32+Q33+Q34</f>
        <v>-1091</v>
      </c>
      <c r="R35" s="1">
        <f t="shared" si="34"/>
        <v>16</v>
      </c>
      <c r="S35" s="1">
        <f t="shared" si="34"/>
        <v>1630.4140000000007</v>
      </c>
      <c r="T35" s="1">
        <f>+T32+T33+T34</f>
        <v>2109.1991899999989</v>
      </c>
      <c r="U35" s="1">
        <f t="shared" ref="U35" si="35">+U32+U33+U34</f>
        <v>2583.8852978624991</v>
      </c>
      <c r="V35" s="1">
        <f t="shared" ref="V35" si="36">+V32+V33+V34</f>
        <v>3038.9169193053599</v>
      </c>
      <c r="W35" s="1">
        <f t="shared" ref="W35" si="37">+W32+W33+W34</f>
        <v>3305.4082648991152</v>
      </c>
      <c r="X35" s="1">
        <f t="shared" ref="X35" si="38">+X32+X33+X34</f>
        <v>3666.7130031754768</v>
      </c>
      <c r="Y35" s="1">
        <f t="shared" ref="Y35" si="39">+Y32+Y33+Y34</f>
        <v>4042.8164380276544</v>
      </c>
      <c r="Z35" s="1">
        <f t="shared" ref="Z35" si="40">+Z32+Z33+Z34</f>
        <v>4451.0738886812996</v>
      </c>
      <c r="AA35" s="1">
        <f t="shared" ref="AA35" si="41">+AA32+AA33+AA34</f>
        <v>4894.0569042402612</v>
      </c>
      <c r="AB35" s="1">
        <f t="shared" ref="AB35" si="42">+AB32+AB33+AB34</f>
        <v>5374.5390388897395</v>
      </c>
      <c r="AC35" s="1">
        <f t="shared" ref="AC35" si="43">+AC32+AC33+AC34</f>
        <v>5895.5116544911507</v>
      </c>
    </row>
    <row r="36" spans="2:105" s="1" customFormat="1" x14ac:dyDescent="0.25">
      <c r="B36" s="1" t="s">
        <v>10</v>
      </c>
      <c r="P36" s="1">
        <v>75</v>
      </c>
      <c r="Q36" s="1">
        <v>120</v>
      </c>
      <c r="R36" s="1">
        <v>-146</v>
      </c>
      <c r="S36" s="1">
        <f>187*2</f>
        <v>374</v>
      </c>
      <c r="T36" s="1">
        <f>+T35*0.25</f>
        <v>527.29979749999973</v>
      </c>
      <c r="U36" s="1">
        <f t="shared" ref="U36:AC36" si="44">+U35*0.25</f>
        <v>645.97132446562478</v>
      </c>
      <c r="V36" s="1">
        <f t="shared" si="44"/>
        <v>759.72922982633997</v>
      </c>
      <c r="W36" s="1">
        <f t="shared" si="44"/>
        <v>826.35206622477881</v>
      </c>
      <c r="X36" s="1">
        <f t="shared" si="44"/>
        <v>916.67825079386921</v>
      </c>
      <c r="Y36" s="1">
        <f t="shared" si="44"/>
        <v>1010.7041095069136</v>
      </c>
      <c r="Z36" s="1">
        <f t="shared" si="44"/>
        <v>1112.7684721703249</v>
      </c>
      <c r="AA36" s="1">
        <f t="shared" si="44"/>
        <v>1223.5142260600653</v>
      </c>
      <c r="AB36" s="1">
        <f t="shared" si="44"/>
        <v>1343.6347597224349</v>
      </c>
      <c r="AC36" s="1">
        <f t="shared" si="44"/>
        <v>1473.8779136227877</v>
      </c>
    </row>
    <row r="37" spans="2:105" s="1" customFormat="1" x14ac:dyDescent="0.25">
      <c r="B37" s="1" t="s">
        <v>11</v>
      </c>
      <c r="P37" s="1">
        <f>+P35-P36</f>
        <v>-370</v>
      </c>
      <c r="Q37" s="1">
        <f t="shared" ref="Q37:T37" si="45">+Q35-Q36</f>
        <v>-1211</v>
      </c>
      <c r="R37" s="1">
        <f t="shared" si="45"/>
        <v>162</v>
      </c>
      <c r="S37" s="1">
        <f t="shared" si="45"/>
        <v>1256.4140000000007</v>
      </c>
      <c r="T37" s="1">
        <f t="shared" si="45"/>
        <v>1581.8993924999991</v>
      </c>
      <c r="U37" s="1">
        <f t="shared" ref="U37" si="46">+U35-U36</f>
        <v>1937.9139733968743</v>
      </c>
      <c r="V37" s="1">
        <f t="shared" ref="V37" si="47">+V35-V36</f>
        <v>2279.1876894790198</v>
      </c>
      <c r="W37" s="1">
        <f t="shared" ref="W37" si="48">+W35-W36</f>
        <v>2479.0561986743364</v>
      </c>
      <c r="X37" s="1">
        <f t="shared" ref="X37" si="49">+X35-X36</f>
        <v>2750.0347523816076</v>
      </c>
      <c r="Y37" s="1">
        <f t="shared" ref="Y37" si="50">+Y35-Y36</f>
        <v>3032.1123285207409</v>
      </c>
      <c r="Z37" s="1">
        <f t="shared" ref="Z37" si="51">+Z35-Z36</f>
        <v>3338.3054165109747</v>
      </c>
      <c r="AA37" s="1">
        <f t="shared" ref="AA37" si="52">+AA35-AA36</f>
        <v>3670.5426781801962</v>
      </c>
      <c r="AB37" s="1">
        <f t="shared" ref="AB37" si="53">+AB35-AB36</f>
        <v>4030.9042791673046</v>
      </c>
      <c r="AC37" s="1">
        <f t="shared" ref="AC37" si="54">+AC35-AC36</f>
        <v>4421.633740868363</v>
      </c>
      <c r="AD37" s="1">
        <f t="shared" ref="AD37:BI37" si="55">+AC37*(1+TR)</f>
        <v>4510.0664156857301</v>
      </c>
      <c r="AE37" s="1">
        <f t="shared" si="55"/>
        <v>4600.267743999445</v>
      </c>
      <c r="AF37" s="1">
        <f t="shared" si="55"/>
        <v>4692.2730988794337</v>
      </c>
      <c r="AG37" s="1">
        <f t="shared" si="55"/>
        <v>4786.1185608570222</v>
      </c>
      <c r="AH37" s="1">
        <f t="shared" si="55"/>
        <v>4881.840932074163</v>
      </c>
      <c r="AI37" s="1">
        <f t="shared" si="55"/>
        <v>4979.4777507156459</v>
      </c>
      <c r="AJ37" s="1">
        <f t="shared" si="55"/>
        <v>5079.0673057299591</v>
      </c>
      <c r="AK37" s="1">
        <f t="shared" si="55"/>
        <v>5180.6486518445581</v>
      </c>
      <c r="AL37" s="1">
        <f t="shared" si="55"/>
        <v>5284.2616248814493</v>
      </c>
      <c r="AM37" s="1">
        <f t="shared" si="55"/>
        <v>5389.9468573790782</v>
      </c>
      <c r="AN37" s="1">
        <f t="shared" si="55"/>
        <v>5497.7457945266597</v>
      </c>
      <c r="AO37" s="1">
        <f t="shared" si="55"/>
        <v>5607.7007104171926</v>
      </c>
      <c r="AP37" s="1">
        <f t="shared" si="55"/>
        <v>5719.8547246255366</v>
      </c>
      <c r="AQ37" s="1">
        <f t="shared" si="55"/>
        <v>5834.251819118047</v>
      </c>
      <c r="AR37" s="1">
        <f t="shared" si="55"/>
        <v>5950.9368555004085</v>
      </c>
      <c r="AS37" s="1">
        <f t="shared" si="55"/>
        <v>6069.9555926104167</v>
      </c>
      <c r="AT37" s="1">
        <f t="shared" si="55"/>
        <v>6191.3547044626248</v>
      </c>
      <c r="AU37" s="1">
        <f t="shared" si="55"/>
        <v>6315.1817985518774</v>
      </c>
      <c r="AV37" s="1">
        <f t="shared" si="55"/>
        <v>6441.4854345229151</v>
      </c>
      <c r="AW37" s="1">
        <f t="shared" si="55"/>
        <v>6570.3151432133736</v>
      </c>
      <c r="AX37" s="1">
        <f t="shared" si="55"/>
        <v>6701.7214460776413</v>
      </c>
      <c r="AY37" s="1">
        <f t="shared" si="55"/>
        <v>6835.755874999194</v>
      </c>
      <c r="AZ37" s="1">
        <f t="shared" si="55"/>
        <v>6972.4709924991785</v>
      </c>
      <c r="BA37" s="1">
        <f t="shared" si="55"/>
        <v>7111.9204123491618</v>
      </c>
      <c r="BB37" s="1">
        <f t="shared" si="55"/>
        <v>7254.1588205961452</v>
      </c>
      <c r="BC37" s="1">
        <f t="shared" si="55"/>
        <v>7399.2419970080682</v>
      </c>
      <c r="BD37" s="1">
        <f t="shared" si="55"/>
        <v>7547.2268369482299</v>
      </c>
      <c r="BE37" s="1">
        <f t="shared" si="55"/>
        <v>7698.1713736871943</v>
      </c>
      <c r="BF37" s="1">
        <f t="shared" si="55"/>
        <v>7852.134801160938</v>
      </c>
      <c r="BG37" s="1">
        <f t="shared" si="55"/>
        <v>8009.1774971841569</v>
      </c>
      <c r="BH37" s="1">
        <f t="shared" si="55"/>
        <v>8169.3610471278398</v>
      </c>
      <c r="BI37" s="1">
        <f t="shared" si="55"/>
        <v>8332.7482680703961</v>
      </c>
      <c r="BJ37" s="1">
        <f t="shared" ref="BJ37:CO37" si="56">+BI37*(1+TR)</f>
        <v>8499.4032334318035</v>
      </c>
      <c r="BK37" s="1">
        <f t="shared" si="56"/>
        <v>8669.3912981004396</v>
      </c>
      <c r="BL37" s="1">
        <f t="shared" si="56"/>
        <v>8842.7791240624483</v>
      </c>
      <c r="BM37" s="1">
        <f t="shared" si="56"/>
        <v>9019.6347065436967</v>
      </c>
      <c r="BN37" s="1">
        <f t="shared" si="56"/>
        <v>9200.0274006745713</v>
      </c>
      <c r="BO37" s="1">
        <f t="shared" si="56"/>
        <v>9384.0279486880627</v>
      </c>
      <c r="BP37" s="1">
        <f t="shared" si="56"/>
        <v>9571.7085076618241</v>
      </c>
      <c r="BQ37" s="1">
        <f t="shared" si="56"/>
        <v>9763.1426778150599</v>
      </c>
      <c r="BR37" s="1">
        <f t="shared" si="56"/>
        <v>9958.4055313713616</v>
      </c>
      <c r="BS37" s="1">
        <f t="shared" si="56"/>
        <v>10157.57364199879</v>
      </c>
      <c r="BT37" s="1">
        <f t="shared" si="56"/>
        <v>10360.725114838766</v>
      </c>
      <c r="BU37" s="1">
        <f t="shared" si="56"/>
        <v>10567.939617135542</v>
      </c>
      <c r="BV37" s="1">
        <f t="shared" si="56"/>
        <v>10779.298409478253</v>
      </c>
      <c r="BW37" s="1">
        <f t="shared" si="56"/>
        <v>10994.884377667819</v>
      </c>
      <c r="BX37" s="1">
        <f t="shared" si="56"/>
        <v>11214.782065221176</v>
      </c>
      <c r="BY37" s="1">
        <f t="shared" si="56"/>
        <v>11439.077706525599</v>
      </c>
      <c r="BZ37" s="1">
        <f t="shared" si="56"/>
        <v>11667.859260656111</v>
      </c>
      <c r="CA37" s="1">
        <f t="shared" si="56"/>
        <v>11901.216445869233</v>
      </c>
      <c r="CB37" s="1">
        <f t="shared" si="56"/>
        <v>12139.240774786618</v>
      </c>
      <c r="CC37" s="1">
        <f t="shared" si="56"/>
        <v>12382.02559028235</v>
      </c>
      <c r="CD37" s="1">
        <f t="shared" si="56"/>
        <v>12629.666102087996</v>
      </c>
      <c r="CE37" s="1">
        <f t="shared" si="56"/>
        <v>12882.259424129757</v>
      </c>
      <c r="CF37" s="1">
        <f t="shared" si="56"/>
        <v>13139.904612612352</v>
      </c>
      <c r="CG37" s="1">
        <f t="shared" si="56"/>
        <v>13402.7027048646</v>
      </c>
      <c r="CH37" s="1">
        <f t="shared" si="56"/>
        <v>13670.756758961892</v>
      </c>
      <c r="CI37" s="1">
        <f t="shared" si="56"/>
        <v>13944.171894141131</v>
      </c>
      <c r="CJ37" s="1">
        <f t="shared" si="56"/>
        <v>14223.055332023954</v>
      </c>
      <c r="CK37" s="1">
        <f t="shared" si="56"/>
        <v>14507.516438664434</v>
      </c>
      <c r="CL37" s="1">
        <f t="shared" si="56"/>
        <v>14797.666767437722</v>
      </c>
      <c r="CM37" s="1">
        <f t="shared" si="56"/>
        <v>15093.620102786477</v>
      </c>
      <c r="CN37" s="1">
        <f t="shared" si="56"/>
        <v>15395.492504842206</v>
      </c>
      <c r="CO37" s="1">
        <f t="shared" si="56"/>
        <v>15703.402354939051</v>
      </c>
      <c r="CP37" s="1">
        <f t="shared" ref="CP37:DA37" si="57">+CO37*(1+TR)</f>
        <v>16017.470402037832</v>
      </c>
      <c r="CQ37" s="1">
        <f t="shared" si="57"/>
        <v>16337.819810078588</v>
      </c>
      <c r="CR37" s="1">
        <f t="shared" si="57"/>
        <v>16664.576206280162</v>
      </c>
      <c r="CS37" s="1">
        <f t="shared" si="57"/>
        <v>16997.867730405767</v>
      </c>
      <c r="CT37" s="1">
        <f t="shared" si="57"/>
        <v>17337.825085013883</v>
      </c>
      <c r="CU37" s="1">
        <f t="shared" si="57"/>
        <v>17684.581586714161</v>
      </c>
      <c r="CV37" s="1">
        <f t="shared" si="57"/>
        <v>18038.273218448445</v>
      </c>
      <c r="CW37" s="1">
        <f t="shared" si="57"/>
        <v>18399.038682817412</v>
      </c>
      <c r="CX37" s="1">
        <f t="shared" si="57"/>
        <v>18767.019456473761</v>
      </c>
      <c r="CY37" s="1">
        <f t="shared" si="57"/>
        <v>19142.359845603238</v>
      </c>
      <c r="CZ37" s="1">
        <f t="shared" si="57"/>
        <v>19525.207042515303</v>
      </c>
      <c r="DA37" s="1">
        <f t="shared" si="57"/>
        <v>19915.711183365609</v>
      </c>
    </row>
    <row r="38" spans="2:105" s="6" customFormat="1" x14ac:dyDescent="0.25">
      <c r="B38" s="6" t="s">
        <v>40</v>
      </c>
      <c r="R38" s="6">
        <f>+R37/R39</f>
        <v>0.92426336124528807</v>
      </c>
      <c r="S38" s="6">
        <f>+S37/S39</f>
        <v>7.1682557207138142</v>
      </c>
      <c r="T38" s="6">
        <f t="shared" ref="T38:AC38" si="58">+T37/T39</f>
        <v>9.0252570966909165</v>
      </c>
      <c r="U38" s="6">
        <f t="shared" si="58"/>
        <v>11.05643754849387</v>
      </c>
      <c r="V38" s="6">
        <f t="shared" si="58"/>
        <v>13.003516511029387</v>
      </c>
      <c r="W38" s="6">
        <f t="shared" si="58"/>
        <v>14.143832190757461</v>
      </c>
      <c r="X38" s="6">
        <f t="shared" si="58"/>
        <v>15.689854097392457</v>
      </c>
      <c r="Y38" s="6">
        <f t="shared" si="58"/>
        <v>17.299199582912699</v>
      </c>
      <c r="Z38" s="6">
        <f t="shared" si="58"/>
        <v>19.046132006961635</v>
      </c>
      <c r="AA38" s="6">
        <f t="shared" si="58"/>
        <v>20.941655020550062</v>
      </c>
      <c r="AB38" s="6">
        <f t="shared" si="58"/>
        <v>22.997636653834494</v>
      </c>
      <c r="AC38" s="6">
        <f t="shared" si="58"/>
        <v>25.226876935373891</v>
      </c>
    </row>
    <row r="39" spans="2:105" s="1" customFormat="1" x14ac:dyDescent="0.25">
      <c r="B39" s="1" t="s">
        <v>39</v>
      </c>
      <c r="R39" s="1">
        <v>175.27471800000001</v>
      </c>
      <c r="S39" s="1">
        <v>175.27471800000001</v>
      </c>
      <c r="T39" s="1">
        <v>175.27471800000001</v>
      </c>
      <c r="U39" s="1">
        <v>175.27471800000001</v>
      </c>
      <c r="V39" s="1">
        <v>175.27471800000001</v>
      </c>
      <c r="W39" s="1">
        <v>175.27471800000001</v>
      </c>
      <c r="X39" s="1">
        <v>175.27471800000001</v>
      </c>
      <c r="Y39" s="1">
        <v>175.27471800000001</v>
      </c>
      <c r="Z39" s="1">
        <v>175.27471800000001</v>
      </c>
      <c r="AA39" s="1">
        <v>175.27471800000001</v>
      </c>
      <c r="AB39" s="1">
        <v>175.27471800000001</v>
      </c>
      <c r="AC39" s="1">
        <v>175.27471800000001</v>
      </c>
    </row>
    <row r="40" spans="2:105" s="1" customFormat="1" x14ac:dyDescent="0.25">
      <c r="P40" s="5"/>
      <c r="Q40" s="5"/>
      <c r="R40" s="5"/>
      <c r="S40" s="5"/>
    </row>
    <row r="41" spans="2:105" s="2" customFormat="1" x14ac:dyDescent="0.25">
      <c r="B41" s="2" t="s">
        <v>12</v>
      </c>
      <c r="P41" s="3">
        <f>+P28/P26</f>
        <v>0.49138750924653918</v>
      </c>
      <c r="Q41" s="3">
        <f t="shared" ref="Q41:S41" si="59">+Q28/Q26</f>
        <v>0.47396098388464802</v>
      </c>
      <c r="R41" s="3">
        <f t="shared" si="59"/>
        <v>0.4770785876993166</v>
      </c>
      <c r="S41" s="3">
        <f t="shared" si="59"/>
        <v>0.49759261258982046</v>
      </c>
      <c r="T41" s="3">
        <f t="shared" ref="T41:AC41" si="60">+T28/T26</f>
        <v>0.5</v>
      </c>
      <c r="U41" s="3">
        <f t="shared" si="60"/>
        <v>0.5</v>
      </c>
      <c r="V41" s="3">
        <f t="shared" si="60"/>
        <v>0.5</v>
      </c>
      <c r="W41" s="3">
        <f t="shared" si="60"/>
        <v>0.5</v>
      </c>
      <c r="X41" s="3">
        <f t="shared" si="60"/>
        <v>0.5</v>
      </c>
      <c r="Y41" s="3">
        <f t="shared" si="60"/>
        <v>0.5</v>
      </c>
      <c r="Z41" s="3">
        <f t="shared" si="60"/>
        <v>0.5</v>
      </c>
      <c r="AA41" s="3">
        <f t="shared" si="60"/>
        <v>0.5</v>
      </c>
      <c r="AB41" s="3">
        <f t="shared" si="60"/>
        <v>0.5</v>
      </c>
      <c r="AC41" s="3">
        <f t="shared" si="60"/>
        <v>0.5</v>
      </c>
    </row>
    <row r="42" spans="2:105" s="2" customFormat="1" x14ac:dyDescent="0.25">
      <c r="B42" s="2" t="s">
        <v>3</v>
      </c>
      <c r="P42" s="2">
        <f>+P29/P26</f>
        <v>5.8332452710556905E-2</v>
      </c>
      <c r="Q42" s="2">
        <f t="shared" ref="Q42:AC42" si="61">+Q29/Q26</f>
        <v>6.4885496183206104E-2</v>
      </c>
      <c r="R42" s="2">
        <f t="shared" si="61"/>
        <v>5.8371298405466968E-2</v>
      </c>
      <c r="S42" s="2">
        <f t="shared" si="61"/>
        <v>0.06</v>
      </c>
      <c r="T42" s="2">
        <f t="shared" si="61"/>
        <v>5.9999999999999991E-2</v>
      </c>
      <c r="U42" s="2">
        <f t="shared" si="61"/>
        <v>6.0000000000000005E-2</v>
      </c>
      <c r="V42" s="2">
        <f t="shared" si="61"/>
        <v>0.06</v>
      </c>
      <c r="W42" s="2">
        <f t="shared" si="61"/>
        <v>0.06</v>
      </c>
      <c r="X42" s="2">
        <f t="shared" si="61"/>
        <v>0.06</v>
      </c>
      <c r="Y42" s="2">
        <f t="shared" si="61"/>
        <v>0.06</v>
      </c>
      <c r="Z42" s="2">
        <f t="shared" si="61"/>
        <v>0.06</v>
      </c>
      <c r="AA42" s="2">
        <f t="shared" si="61"/>
        <v>0.06</v>
      </c>
      <c r="AB42" s="2">
        <f t="shared" si="61"/>
        <v>0.06</v>
      </c>
      <c r="AC42" s="2">
        <f t="shared" si="61"/>
        <v>0.06</v>
      </c>
    </row>
    <row r="43" spans="2:105" s="2" customFormat="1" x14ac:dyDescent="0.25">
      <c r="B43" s="2" t="s">
        <v>42</v>
      </c>
      <c r="P43" s="2">
        <f>+P30/P26</f>
        <v>0.31850364577829443</v>
      </c>
      <c r="Q43" s="2">
        <f t="shared" ref="Q43:AC43" si="62">+Q30/Q26</f>
        <v>0.32027141645462254</v>
      </c>
      <c r="R43" s="2">
        <f t="shared" si="62"/>
        <v>0.22814635535307518</v>
      </c>
      <c r="S43" s="2">
        <f t="shared" si="62"/>
        <v>0.2</v>
      </c>
      <c r="T43" s="2">
        <f t="shared" si="62"/>
        <v>0.2</v>
      </c>
      <c r="U43" s="2">
        <f t="shared" si="62"/>
        <v>0.2</v>
      </c>
      <c r="V43" s="2">
        <f t="shared" si="62"/>
        <v>0.2</v>
      </c>
      <c r="W43" s="2">
        <f t="shared" si="62"/>
        <v>0.2</v>
      </c>
      <c r="X43" s="2">
        <f t="shared" si="62"/>
        <v>0.2</v>
      </c>
      <c r="Y43" s="2">
        <f t="shared" si="62"/>
        <v>0.2</v>
      </c>
      <c r="Z43" s="2">
        <f t="shared" si="62"/>
        <v>0.2</v>
      </c>
      <c r="AA43" s="2">
        <f t="shared" si="62"/>
        <v>0.2</v>
      </c>
      <c r="AB43" s="2">
        <f t="shared" si="62"/>
        <v>0.2</v>
      </c>
      <c r="AC43" s="2">
        <f t="shared" si="62"/>
        <v>0.2</v>
      </c>
    </row>
    <row r="44" spans="2:105" s="2" customFormat="1" x14ac:dyDescent="0.25">
      <c r="B44" s="2" t="s">
        <v>5</v>
      </c>
      <c r="P44" s="2">
        <f>+P31/P26</f>
        <v>0.12385078727676213</v>
      </c>
      <c r="Q44" s="2">
        <f t="shared" ref="Q44:AC44" si="63">+Q31/Q26</f>
        <v>0.13536895674300253</v>
      </c>
      <c r="R44" s="2">
        <f t="shared" si="63"/>
        <v>0.12870159453302962</v>
      </c>
      <c r="S44" s="2">
        <f t="shared" si="63"/>
        <v>0.11798135869850271</v>
      </c>
      <c r="T44" s="2">
        <f t="shared" si="63"/>
        <v>0.10873486302249652</v>
      </c>
      <c r="U44" s="2">
        <f t="shared" si="63"/>
        <v>0.10187244053596076</v>
      </c>
      <c r="V44" s="2">
        <f t="shared" si="63"/>
        <v>9.6979075265058848E-2</v>
      </c>
      <c r="W44" s="2">
        <f t="shared" si="63"/>
        <v>0.1</v>
      </c>
      <c r="X44" s="2">
        <f t="shared" si="63"/>
        <v>0.1</v>
      </c>
      <c r="Y44" s="2">
        <f t="shared" si="63"/>
        <v>0.1</v>
      </c>
      <c r="Z44" s="2">
        <f t="shared" si="63"/>
        <v>0.1</v>
      </c>
      <c r="AA44" s="2">
        <f t="shared" si="63"/>
        <v>0.1</v>
      </c>
      <c r="AB44" s="2">
        <f t="shared" si="63"/>
        <v>0.1</v>
      </c>
      <c r="AC44" s="2">
        <f t="shared" si="63"/>
        <v>0.1</v>
      </c>
    </row>
    <row r="45" spans="2:105" s="2" customFormat="1" x14ac:dyDescent="0.25">
      <c r="B45" s="2" t="s">
        <v>13</v>
      </c>
      <c r="P45" s="2">
        <f>+P37/P26</f>
        <v>-3.9099651273380533E-2</v>
      </c>
      <c r="Q45" s="2">
        <f t="shared" ref="Q45:S45" si="64">+Q37/Q26</f>
        <v>-0.10271416454622562</v>
      </c>
      <c r="R45" s="2">
        <f t="shared" si="64"/>
        <v>1.1531890660592256E-2</v>
      </c>
      <c r="S45" s="2">
        <f t="shared" si="64"/>
        <v>7.7527944983169797E-2</v>
      </c>
      <c r="T45" s="2">
        <f t="shared" ref="T45:AC45" si="65">+T37/T26</f>
        <v>8.6502058737758417E-2</v>
      </c>
      <c r="U45" s="2">
        <f t="shared" si="65"/>
        <v>9.546334290256131E-2</v>
      </c>
      <c r="V45" s="2">
        <f t="shared" si="65"/>
        <v>0.1027709150198772</v>
      </c>
      <c r="W45" s="2">
        <f t="shared" si="65"/>
        <v>0.10404478468668595</v>
      </c>
      <c r="X45" s="2">
        <f t="shared" si="65"/>
        <v>0.10737823801486662</v>
      </c>
      <c r="Y45" s="2">
        <f t="shared" si="65"/>
        <v>0.1106075850575808</v>
      </c>
      <c r="Z45" s="2">
        <f t="shared" si="65"/>
        <v>0.11372280644651095</v>
      </c>
      <c r="AA45" s="2">
        <f t="shared" si="65"/>
        <v>0.11672565365510941</v>
      </c>
      <c r="AB45" s="2">
        <f t="shared" si="65"/>
        <v>0.11961817109099901</v>
      </c>
      <c r="AC45" s="2">
        <f t="shared" si="65"/>
        <v>0.12240264390809305</v>
      </c>
    </row>
    <row r="46" spans="2:105" s="1" customFormat="1" x14ac:dyDescent="0.25">
      <c r="AE46" s="1" t="s">
        <v>34</v>
      </c>
      <c r="AF46" s="2">
        <v>0.02</v>
      </c>
    </row>
    <row r="47" spans="2:105" s="2" customFormat="1" x14ac:dyDescent="0.25">
      <c r="B47" s="2" t="s">
        <v>14</v>
      </c>
      <c r="Q47" s="2">
        <f>+Q26/P26 -1</f>
        <v>0.24590510408961208</v>
      </c>
      <c r="R47" s="2">
        <f t="shared" ref="R47:AC47" si="66">+R26/Q26 -1</f>
        <v>0.19151823579304494</v>
      </c>
      <c r="S47" s="2">
        <f t="shared" si="66"/>
        <v>0.15361261389521652</v>
      </c>
      <c r="T47" s="2">
        <f t="shared" si="66"/>
        <v>0.12843856731632508</v>
      </c>
      <c r="U47" s="2">
        <f t="shared" si="66"/>
        <v>0.11005741050719076</v>
      </c>
      <c r="V47" s="2">
        <f t="shared" si="66"/>
        <v>9.2476267357970654E-2</v>
      </c>
      <c r="W47" s="2">
        <f t="shared" si="66"/>
        <v>7.437572985222185E-2</v>
      </c>
      <c r="X47" s="2">
        <f t="shared" si="66"/>
        <v>7.4869779173454942E-2</v>
      </c>
      <c r="Y47" s="2">
        <f t="shared" si="66"/>
        <v>7.0381186595477541E-2</v>
      </c>
      <c r="Z47" s="2">
        <f t="shared" si="66"/>
        <v>7.0824064542929888E-2</v>
      </c>
      <c r="AA47" s="2">
        <f t="shared" si="66"/>
        <v>7.1236754345659348E-2</v>
      </c>
      <c r="AB47" s="2">
        <f t="shared" si="66"/>
        <v>7.1621365521914893E-2</v>
      </c>
      <c r="AC47" s="2">
        <f t="shared" si="66"/>
        <v>7.1979893620911728E-2</v>
      </c>
      <c r="AE47" s="2" t="s">
        <v>35</v>
      </c>
      <c r="AF47" s="2">
        <v>0.08</v>
      </c>
    </row>
    <row r="48" spans="2:105" s="1" customFormat="1" x14ac:dyDescent="0.25">
      <c r="AE48" s="1" t="s">
        <v>36</v>
      </c>
      <c r="AF48" s="1">
        <f>NPV(AF47,S37:DA37)</f>
        <v>50145.429802621256</v>
      </c>
    </row>
    <row r="49" spans="2:32" s="1" customFormat="1" x14ac:dyDescent="0.25">
      <c r="B49" s="1" t="s">
        <v>15</v>
      </c>
      <c r="P49" s="1">
        <v>1163</v>
      </c>
      <c r="Q49" s="1">
        <v>937</v>
      </c>
      <c r="R49" s="1">
        <v>1602</v>
      </c>
      <c r="S49" s="1">
        <f>547*2</f>
        <v>1094</v>
      </c>
      <c r="AE49" s="1" t="s">
        <v>37</v>
      </c>
      <c r="AF49" s="1">
        <f>+S53-S56</f>
        <v>-8261</v>
      </c>
    </row>
    <row r="50" spans="2:32" s="1" customFormat="1" x14ac:dyDescent="0.25">
      <c r="B50" s="1" t="s">
        <v>16</v>
      </c>
      <c r="P50" s="1">
        <f>122+100+207</f>
        <v>429</v>
      </c>
      <c r="Q50" s="1">
        <f>159+175+268</f>
        <v>602</v>
      </c>
      <c r="R50" s="1">
        <f>144+136+381</f>
        <v>661</v>
      </c>
      <c r="S50" s="1">
        <f>(56+42)*2+410</f>
        <v>606</v>
      </c>
      <c r="AE50" s="1" t="s">
        <v>38</v>
      </c>
      <c r="AF50" s="1">
        <f>+AF48+AF49</f>
        <v>41884.429802621256</v>
      </c>
    </row>
    <row r="51" spans="2:32" s="1" customFormat="1" x14ac:dyDescent="0.25">
      <c r="B51" s="1" t="s">
        <v>17</v>
      </c>
      <c r="P51" s="1">
        <f>+P49-P50</f>
        <v>734</v>
      </c>
      <c r="Q51" s="1">
        <f>+Q49-Q50</f>
        <v>335</v>
      </c>
      <c r="R51" s="1">
        <f>+R49-R50</f>
        <v>941</v>
      </c>
      <c r="S51" s="1">
        <f>+S49-S50</f>
        <v>488</v>
      </c>
      <c r="AE51" s="1" t="s">
        <v>41</v>
      </c>
      <c r="AF51" s="1">
        <f>+AF50/AC39</f>
        <v>238.96446835316692</v>
      </c>
    </row>
    <row r="52" spans="2:32" s="1" customFormat="1" x14ac:dyDescent="0.25"/>
    <row r="53" spans="2:32" s="1" customFormat="1" x14ac:dyDescent="0.25">
      <c r="B53" s="1" t="s">
        <v>18</v>
      </c>
      <c r="R53" s="1">
        <v>1531</v>
      </c>
      <c r="S53" s="1">
        <v>1691</v>
      </c>
    </row>
    <row r="54" spans="2:32" s="1" customFormat="1" x14ac:dyDescent="0.25">
      <c r="B54" s="1" t="s">
        <v>19</v>
      </c>
      <c r="R54" s="1">
        <v>493</v>
      </c>
      <c r="S54" s="1">
        <v>602</v>
      </c>
    </row>
    <row r="55" spans="2:32" s="1" customFormat="1" x14ac:dyDescent="0.25">
      <c r="B55" s="1" t="s">
        <v>20</v>
      </c>
      <c r="R55" s="1">
        <v>13352</v>
      </c>
      <c r="S55" s="1">
        <v>16487</v>
      </c>
    </row>
    <row r="56" spans="2:32" s="1" customFormat="1" x14ac:dyDescent="0.25">
      <c r="B56" s="1" t="s">
        <v>21</v>
      </c>
      <c r="R56" s="1">
        <f>53+6683</f>
        <v>6736</v>
      </c>
      <c r="S56" s="1">
        <f>9882+70</f>
        <v>9952</v>
      </c>
      <c r="T56" s="1">
        <f t="shared" ref="T56:AC56" si="67">+S56-S37</f>
        <v>8695.5859999999993</v>
      </c>
      <c r="U56" s="1">
        <f t="shared" si="67"/>
        <v>7113.6866074999998</v>
      </c>
      <c r="V56" s="1">
        <f t="shared" si="67"/>
        <v>5175.7726341031257</v>
      </c>
      <c r="W56" s="1">
        <f t="shared" si="67"/>
        <v>2896.5849446241059</v>
      </c>
      <c r="X56" s="1">
        <f t="shared" si="67"/>
        <v>417.52874594976947</v>
      </c>
      <c r="Y56" s="1">
        <f t="shared" si="67"/>
        <v>-2332.5060064318382</v>
      </c>
      <c r="Z56" s="1">
        <f t="shared" si="67"/>
        <v>-5364.6183349525791</v>
      </c>
      <c r="AA56" s="1">
        <f t="shared" si="67"/>
        <v>-8702.9237514635533</v>
      </c>
      <c r="AB56" s="1">
        <f t="shared" si="67"/>
        <v>-12373.46642964375</v>
      </c>
      <c r="AC56" s="1">
        <f t="shared" si="67"/>
        <v>-16404.370708811053</v>
      </c>
    </row>
    <row r="57" spans="2:32" s="1" customFormat="1" x14ac:dyDescent="0.25"/>
    <row r="58" spans="2:32" s="2" customFormat="1" x14ac:dyDescent="0.25">
      <c r="B58" s="2" t="s">
        <v>22</v>
      </c>
      <c r="R58" s="3">
        <f>-R34/R56</f>
        <v>6.2203087885985747E-2</v>
      </c>
      <c r="S58" s="3">
        <f>-S34/S56</f>
        <v>4.5217041800643086E-2</v>
      </c>
      <c r="T58" s="3">
        <v>4.4999999999999998E-2</v>
      </c>
      <c r="U58" s="3">
        <v>4.4999999999999998E-2</v>
      </c>
      <c r="V58" s="3">
        <v>4.4999999999999998E-2</v>
      </c>
      <c r="W58" s="3">
        <v>4.4999999999999998E-2</v>
      </c>
      <c r="X58" s="3">
        <v>4.4999999999999998E-2</v>
      </c>
      <c r="Y58" s="3">
        <v>4.4999999999999998E-2</v>
      </c>
      <c r="Z58" s="3">
        <v>4.4999999999999998E-2</v>
      </c>
      <c r="AA58" s="3">
        <v>4.4999999999999998E-2</v>
      </c>
      <c r="AB58" s="3">
        <v>4.4999999999999998E-2</v>
      </c>
      <c r="AC58" s="3">
        <v>4.4999999999999998E-2</v>
      </c>
    </row>
    <row r="59" spans="2:32" s="1" customFormat="1" x14ac:dyDescent="0.25"/>
    <row r="60" spans="2:32" s="1" customFormat="1" x14ac:dyDescent="0.25"/>
    <row r="61" spans="2:32" s="1" customFormat="1" x14ac:dyDescent="0.25"/>
    <row r="62" spans="2:32" s="1" customFormat="1" x14ac:dyDescent="0.25"/>
    <row r="63" spans="2:32" s="1" customFormat="1" x14ac:dyDescent="0.25"/>
    <row r="64" spans="2:32" s="1" customFormat="1" x14ac:dyDescent="0.25"/>
    <row r="65" s="1" customFormat="1" x14ac:dyDescent="0.25"/>
    <row r="66" s="1" customFormat="1" x14ac:dyDescent="0.25"/>
    <row r="67" s="1" customFormat="1" x14ac:dyDescent="0.25"/>
    <row r="68" s="1" customFormat="1" x14ac:dyDescent="0.25"/>
    <row r="69" s="1" customFormat="1" x14ac:dyDescent="0.25"/>
    <row r="70" s="1" customFormat="1" x14ac:dyDescent="0.25"/>
    <row r="71" s="1" customFormat="1" x14ac:dyDescent="0.25"/>
    <row r="72" s="1" customFormat="1" x14ac:dyDescent="0.25"/>
    <row r="73" s="1" customFormat="1" x14ac:dyDescent="0.25"/>
    <row r="74" s="1" customFormat="1" x14ac:dyDescent="0.25"/>
    <row r="75" s="1" customFormat="1" x14ac:dyDescent="0.25"/>
    <row r="76" s="1" customFormat="1" x14ac:dyDescent="0.25"/>
    <row r="77" s="1" customFormat="1" x14ac:dyDescent="0.25"/>
    <row r="78" s="1" customFormat="1" x14ac:dyDescent="0.25"/>
    <row r="79" s="1" customFormat="1" x14ac:dyDescent="0.25"/>
    <row r="80" s="1" customFormat="1" x14ac:dyDescent="0.25"/>
    <row r="81" s="1" customFormat="1" x14ac:dyDescent="0.25"/>
    <row r="82" s="1" customFormat="1" x14ac:dyDescent="0.25"/>
    <row r="83" s="1" customFormat="1" x14ac:dyDescent="0.25"/>
    <row r="84" s="1" customFormat="1" x14ac:dyDescent="0.25"/>
    <row r="85" s="1" customFormat="1" x14ac:dyDescent="0.25"/>
    <row r="86" s="1" customFormat="1" x14ac:dyDescent="0.25"/>
    <row r="87" s="1" customFormat="1" x14ac:dyDescent="0.25"/>
    <row r="88" s="1" customFormat="1" x14ac:dyDescent="0.25"/>
    <row r="89" s="1" customFormat="1" x14ac:dyDescent="0.25"/>
    <row r="90" s="1" customFormat="1" x14ac:dyDescent="0.25"/>
    <row r="91" s="1" customFormat="1" x14ac:dyDescent="0.25"/>
    <row r="92" s="1" customFormat="1" x14ac:dyDescent="0.25"/>
    <row r="93" s="1" customFormat="1" x14ac:dyDescent="0.25"/>
    <row r="94" s="1" customFormat="1" x14ac:dyDescent="0.25"/>
    <row r="95" s="1" customFormat="1" x14ac:dyDescent="0.25"/>
    <row r="96" s="1" customFormat="1" x14ac:dyDescent="0.25"/>
    <row r="97" s="1" customFormat="1" x14ac:dyDescent="0.25"/>
    <row r="98" s="1" customFormat="1" x14ac:dyDescent="0.25"/>
    <row r="99" s="1" customFormat="1" x14ac:dyDescent="0.25"/>
    <row r="100" s="1" customFormat="1" x14ac:dyDescent="0.25"/>
    <row r="101" s="1" customFormat="1" x14ac:dyDescent="0.25"/>
    <row r="102" s="1" customFormat="1" x14ac:dyDescent="0.25"/>
    <row r="103" s="1" customFormat="1" x14ac:dyDescent="0.25"/>
    <row r="104" s="1" customFormat="1" x14ac:dyDescent="0.25"/>
    <row r="105" s="1" customFormat="1" x14ac:dyDescent="0.25"/>
    <row r="106" s="1" customFormat="1" x14ac:dyDescent="0.25"/>
    <row r="107" s="1" customFormat="1" x14ac:dyDescent="0.25"/>
    <row r="108" s="1" customFormat="1" x14ac:dyDescent="0.25"/>
    <row r="109" s="1" customFormat="1" x14ac:dyDescent="0.25"/>
    <row r="110" s="1" customFormat="1" x14ac:dyDescent="0.25"/>
    <row r="111" s="1" customFormat="1" x14ac:dyDescent="0.25"/>
    <row r="112" s="1" customFormat="1" x14ac:dyDescent="0.25"/>
    <row r="113" s="1" customFormat="1" x14ac:dyDescent="0.25"/>
    <row r="114" s="1" customFormat="1" x14ac:dyDescent="0.25"/>
    <row r="115" s="1" customFormat="1" x14ac:dyDescent="0.25"/>
    <row r="116" s="1" customFormat="1" x14ac:dyDescent="0.25"/>
    <row r="117" s="1" customFormat="1" x14ac:dyDescent="0.25"/>
    <row r="118" s="1" customFormat="1" x14ac:dyDescent="0.25"/>
    <row r="119" s="1" customFormat="1" x14ac:dyDescent="0.25"/>
    <row r="120" s="1" customFormat="1" x14ac:dyDescent="0.25"/>
    <row r="121" s="1" customFormat="1" x14ac:dyDescent="0.25"/>
    <row r="122" s="1" customFormat="1" x14ac:dyDescent="0.25"/>
    <row r="123" s="1" customFormat="1" x14ac:dyDescent="0.25"/>
    <row r="124" s="1" customFormat="1" x14ac:dyDescent="0.25"/>
    <row r="125" s="1" customFormat="1" x14ac:dyDescent="0.25"/>
    <row r="126" s="1" customFormat="1" x14ac:dyDescent="0.25"/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0DD6A3-A567-4E4D-870D-F4680EA2AE8C}">
  <dimension ref="B2:U67"/>
  <sheetViews>
    <sheetView zoomScale="175" zoomScaleNormal="175" workbookViewId="0">
      <pane xSplit="2" ySplit="2" topLeftCell="N20" activePane="bottomRight" state="frozen"/>
      <selection pane="topRight" activeCell="C1" sqref="C1"/>
      <selection pane="bottomLeft" activeCell="A3" sqref="A3"/>
      <selection pane="bottomRight" activeCell="S27" sqref="S27"/>
    </sheetView>
  </sheetViews>
  <sheetFormatPr defaultRowHeight="15" x14ac:dyDescent="0.25"/>
  <cols>
    <col min="1" max="1" width="3.85546875" customWidth="1"/>
    <col min="2" max="2" width="12.5703125" bestFit="1" customWidth="1"/>
  </cols>
  <sheetData>
    <row r="2" spans="2:19" x14ac:dyDescent="0.25">
      <c r="P2">
        <v>2022</v>
      </c>
      <c r="Q2">
        <f>+P2+1</f>
        <v>2023</v>
      </c>
      <c r="R2">
        <f>+Q2+1</f>
        <v>2024</v>
      </c>
      <c r="S2">
        <f>+R2+1</f>
        <v>2025</v>
      </c>
    </row>
    <row r="4" spans="2:19" s="4" customFormat="1" x14ac:dyDescent="0.25">
      <c r="B4" s="4" t="s">
        <v>23</v>
      </c>
      <c r="P4" s="4">
        <f>+SUM(P5:P7)</f>
        <v>3103</v>
      </c>
      <c r="Q4" s="4">
        <f>+SUM(Q5:Q7)</f>
        <v>4404</v>
      </c>
      <c r="R4" s="4">
        <f>+SUM(R5:R7)</f>
        <v>5798</v>
      </c>
    </row>
    <row r="5" spans="2:19" s="1" customFormat="1" x14ac:dyDescent="0.25">
      <c r="B5" s="1" t="s">
        <v>24</v>
      </c>
      <c r="P5" s="1">
        <v>2100</v>
      </c>
      <c r="Q5" s="1">
        <v>3072</v>
      </c>
      <c r="R5" s="1">
        <v>4013</v>
      </c>
      <c r="S5" s="1">
        <f>3164*2</f>
        <v>6328</v>
      </c>
    </row>
    <row r="6" spans="2:19" s="1" customFormat="1" x14ac:dyDescent="0.25">
      <c r="B6" s="1" t="s">
        <v>25</v>
      </c>
      <c r="P6" s="1">
        <v>687</v>
      </c>
      <c r="Q6" s="1">
        <v>1045</v>
      </c>
      <c r="R6" s="1">
        <v>1524</v>
      </c>
      <c r="S6" s="1">
        <f>946*2</f>
        <v>1892</v>
      </c>
    </row>
    <row r="7" spans="2:19" s="1" customFormat="1" x14ac:dyDescent="0.25">
      <c r="B7" s="1" t="s">
        <v>26</v>
      </c>
      <c r="P7" s="1">
        <v>316</v>
      </c>
      <c r="Q7" s="1">
        <v>287</v>
      </c>
      <c r="R7" s="1">
        <v>261</v>
      </c>
      <c r="S7" s="1">
        <f>486*2</f>
        <v>972</v>
      </c>
    </row>
    <row r="8" spans="2:19" s="1" customFormat="1" x14ac:dyDescent="0.25"/>
    <row r="9" spans="2:19" s="4" customFormat="1" x14ac:dyDescent="0.25">
      <c r="B9" s="4" t="s">
        <v>27</v>
      </c>
      <c r="P9" s="4">
        <f>+SUM(P10:P12)</f>
        <v>2664</v>
      </c>
      <c r="Q9" s="4">
        <f>+SUM(Q10:Q12)</f>
        <v>3047</v>
      </c>
      <c r="R9" s="4">
        <f>+SUM(R10:R12)</f>
        <v>3598</v>
      </c>
    </row>
    <row r="10" spans="2:19" s="1" customFormat="1" x14ac:dyDescent="0.25">
      <c r="B10" s="1" t="s">
        <v>24</v>
      </c>
      <c r="P10" s="1">
        <v>1323</v>
      </c>
      <c r="Q10" s="1">
        <v>1463</v>
      </c>
      <c r="R10" s="1">
        <v>1691</v>
      </c>
    </row>
    <row r="11" spans="2:19" s="1" customFormat="1" x14ac:dyDescent="0.25">
      <c r="B11" s="1" t="s">
        <v>25</v>
      </c>
      <c r="P11" s="1">
        <v>1189</v>
      </c>
      <c r="Q11" s="1">
        <v>1404</v>
      </c>
      <c r="R11" s="1">
        <v>1741</v>
      </c>
    </row>
    <row r="12" spans="2:19" s="1" customFormat="1" x14ac:dyDescent="0.25">
      <c r="B12" s="1" t="s">
        <v>26</v>
      </c>
      <c r="P12" s="1">
        <v>152</v>
      </c>
      <c r="Q12" s="1">
        <v>180</v>
      </c>
      <c r="R12" s="1">
        <v>166</v>
      </c>
    </row>
    <row r="13" spans="2:19" s="1" customFormat="1" x14ac:dyDescent="0.25"/>
    <row r="14" spans="2:19" s="4" customFormat="1" x14ac:dyDescent="0.25">
      <c r="B14" s="4" t="s">
        <v>28</v>
      </c>
      <c r="P14" s="4">
        <f>+SUM(P15:P17)</f>
        <v>2138</v>
      </c>
      <c r="Q14" s="4">
        <f>+SUM(Q15:Q17)</f>
        <v>2892</v>
      </c>
      <c r="R14" s="4">
        <f>+SUM(R15:R17)</f>
        <v>3257</v>
      </c>
    </row>
    <row r="15" spans="2:19" s="1" customFormat="1" x14ac:dyDescent="0.25">
      <c r="B15" s="1" t="s">
        <v>24</v>
      </c>
      <c r="P15" s="1">
        <v>335</v>
      </c>
      <c r="Q15" s="1">
        <v>603</v>
      </c>
      <c r="R15" s="1">
        <v>730</v>
      </c>
    </row>
    <row r="16" spans="2:19" s="1" customFormat="1" x14ac:dyDescent="0.25">
      <c r="B16" s="1" t="s">
        <v>25</v>
      </c>
      <c r="P16" s="1">
        <v>1696</v>
      </c>
      <c r="Q16" s="1">
        <v>2172</v>
      </c>
      <c r="R16" s="1">
        <v>2389</v>
      </c>
    </row>
    <row r="17" spans="2:21" s="1" customFormat="1" x14ac:dyDescent="0.25">
      <c r="B17" s="1" t="s">
        <v>26</v>
      </c>
      <c r="P17" s="1">
        <v>107</v>
      </c>
      <c r="Q17" s="1">
        <v>117</v>
      </c>
      <c r="R17" s="1">
        <v>138</v>
      </c>
    </row>
    <row r="18" spans="2:21" s="1" customFormat="1" x14ac:dyDescent="0.25"/>
    <row r="19" spans="2:21" s="4" customFormat="1" x14ac:dyDescent="0.25">
      <c r="B19" s="4" t="s">
        <v>29</v>
      </c>
    </row>
    <row r="20" spans="2:21" s="1" customFormat="1" x14ac:dyDescent="0.25">
      <c r="B20" s="1" t="s">
        <v>24</v>
      </c>
      <c r="P20" s="1">
        <v>1558</v>
      </c>
      <c r="Q20" s="1">
        <v>1447</v>
      </c>
      <c r="R20" s="1">
        <v>1395</v>
      </c>
    </row>
    <row r="21" spans="2:21" s="1" customFormat="1" x14ac:dyDescent="0.25"/>
    <row r="22" spans="2:21" s="1" customFormat="1" x14ac:dyDescent="0.25"/>
    <row r="23" spans="2:21" s="1" customFormat="1" x14ac:dyDescent="0.25">
      <c r="B23" s="4" t="s">
        <v>23</v>
      </c>
    </row>
    <row r="24" spans="2:21" s="1" customFormat="1" x14ac:dyDescent="0.25">
      <c r="B24" s="1" t="s">
        <v>30</v>
      </c>
      <c r="P24" s="1">
        <v>3103</v>
      </c>
      <c r="Q24" s="1">
        <v>4404</v>
      </c>
      <c r="R24" s="1">
        <v>5798</v>
      </c>
      <c r="S24" s="1">
        <f>+Sheet1!S4</f>
        <v>6914</v>
      </c>
      <c r="U24" s="1" t="s">
        <v>1</v>
      </c>
    </row>
    <row r="25" spans="2:21" s="1" customFormat="1" x14ac:dyDescent="0.25">
      <c r="B25" s="1" t="s">
        <v>1</v>
      </c>
      <c r="P25" s="1">
        <v>1787</v>
      </c>
      <c r="Q25" s="1">
        <v>2534</v>
      </c>
      <c r="R25" s="1">
        <v>3353</v>
      </c>
      <c r="S25" s="1">
        <f>+S24*0.58</f>
        <v>4010.12</v>
      </c>
      <c r="U25" s="1" t="s">
        <v>3</v>
      </c>
    </row>
    <row r="26" spans="2:21" s="1" customFormat="1" x14ac:dyDescent="0.25">
      <c r="B26" s="1" t="s">
        <v>3</v>
      </c>
      <c r="P26" s="1">
        <v>108</v>
      </c>
      <c r="Q26" s="1">
        <v>196</v>
      </c>
      <c r="R26" s="1">
        <v>270</v>
      </c>
      <c r="S26" s="1">
        <v>350</v>
      </c>
      <c r="U26" s="1" t="s">
        <v>4</v>
      </c>
    </row>
    <row r="27" spans="2:21" s="1" customFormat="1" x14ac:dyDescent="0.25">
      <c r="B27" s="1" t="s">
        <v>4</v>
      </c>
      <c r="P27" s="1">
        <v>1142</v>
      </c>
      <c r="Q27" s="1">
        <v>1150</v>
      </c>
      <c r="R27" s="1">
        <v>1278</v>
      </c>
      <c r="S27" s="1">
        <v>1150</v>
      </c>
      <c r="U27" s="1" t="s">
        <v>5</v>
      </c>
    </row>
    <row r="28" spans="2:21" s="1" customFormat="1" x14ac:dyDescent="0.25">
      <c r="B28" s="1" t="s">
        <v>5</v>
      </c>
      <c r="P28" s="1">
        <v>241</v>
      </c>
      <c r="Q28" s="1">
        <v>292</v>
      </c>
      <c r="R28" s="1">
        <v>390</v>
      </c>
      <c r="S28" s="1">
        <v>400</v>
      </c>
      <c r="U28" s="4" t="s">
        <v>31</v>
      </c>
    </row>
    <row r="29" spans="2:21" s="4" customFormat="1" x14ac:dyDescent="0.25">
      <c r="B29" s="4" t="s">
        <v>31</v>
      </c>
      <c r="P29" s="4">
        <f>+P24-P25-P26-P27-P28</f>
        <v>-175</v>
      </c>
      <c r="Q29" s="4">
        <f>+Q24-Q25-Q26-Q27-Q28</f>
        <v>232</v>
      </c>
      <c r="R29" s="4">
        <f>+R24-R25-R26-R27-R28</f>
        <v>507</v>
      </c>
      <c r="S29" s="4">
        <f>+S24-S25-S26-S27-S28</f>
        <v>1003.8800000000001</v>
      </c>
    </row>
    <row r="30" spans="2:21" s="1" customFormat="1" x14ac:dyDescent="0.25">
      <c r="P30" s="5">
        <f>+P25/P24</f>
        <v>0.57589429584273288</v>
      </c>
      <c r="Q30" s="5">
        <f>+Q25/Q24</f>
        <v>0.57538601271571299</v>
      </c>
      <c r="R30" s="5">
        <f>+R25/R24</f>
        <v>0.57830286305622625</v>
      </c>
      <c r="S30" s="4"/>
    </row>
    <row r="31" spans="2:21" s="1" customFormat="1" x14ac:dyDescent="0.25">
      <c r="B31" s="4" t="s">
        <v>32</v>
      </c>
    </row>
    <row r="32" spans="2:21" s="1" customFormat="1" x14ac:dyDescent="0.25">
      <c r="B32" s="1" t="s">
        <v>30</v>
      </c>
      <c r="P32" s="1">
        <v>2664</v>
      </c>
      <c r="Q32" s="1">
        <v>3047</v>
      </c>
      <c r="R32" s="1">
        <v>3598</v>
      </c>
      <c r="S32" s="1">
        <f>+Sheet1!S9</f>
        <v>4137.7</v>
      </c>
    </row>
    <row r="33" spans="2:19" s="1" customFormat="1" x14ac:dyDescent="0.25">
      <c r="B33" s="1" t="s">
        <v>1</v>
      </c>
      <c r="P33" s="1">
        <v>978</v>
      </c>
      <c r="Q33" s="1">
        <v>1113</v>
      </c>
      <c r="R33" s="1">
        <v>1287</v>
      </c>
      <c r="S33" s="1">
        <f>+S32*0.37</f>
        <v>1530.9489999999998</v>
      </c>
    </row>
    <row r="34" spans="2:19" s="1" customFormat="1" x14ac:dyDescent="0.25">
      <c r="B34" s="1" t="s">
        <v>3</v>
      </c>
      <c r="P34" s="1">
        <v>135</v>
      </c>
      <c r="Q34" s="1">
        <v>155</v>
      </c>
      <c r="R34" s="1">
        <v>162</v>
      </c>
      <c r="S34" s="1">
        <v>200</v>
      </c>
    </row>
    <row r="35" spans="2:19" s="1" customFormat="1" x14ac:dyDescent="0.25">
      <c r="B35" s="1" t="s">
        <v>4</v>
      </c>
      <c r="P35" s="1">
        <v>542</v>
      </c>
      <c r="Q35" s="1">
        <v>591</v>
      </c>
      <c r="R35" s="1">
        <v>700</v>
      </c>
      <c r="S35" s="1">
        <v>800</v>
      </c>
    </row>
    <row r="36" spans="2:19" s="1" customFormat="1" x14ac:dyDescent="0.25">
      <c r="B36" s="1" t="s">
        <v>5</v>
      </c>
      <c r="P36" s="1">
        <v>233</v>
      </c>
      <c r="Q36" s="1">
        <v>277</v>
      </c>
      <c r="R36" s="1">
        <v>332</v>
      </c>
      <c r="S36" s="1">
        <v>350</v>
      </c>
    </row>
    <row r="37" spans="2:19" s="1" customFormat="1" x14ac:dyDescent="0.25">
      <c r="B37" s="4" t="s">
        <v>31</v>
      </c>
      <c r="P37" s="4">
        <f>+P32-P33-P34-P35-P36</f>
        <v>776</v>
      </c>
      <c r="Q37" s="4">
        <f t="shared" ref="Q37:S37" si="0">+Q32-Q33-Q34-Q35-Q36</f>
        <v>911</v>
      </c>
      <c r="R37" s="4">
        <f t="shared" si="0"/>
        <v>1117</v>
      </c>
      <c r="S37" s="4">
        <f t="shared" si="0"/>
        <v>1256.7510000000002</v>
      </c>
    </row>
    <row r="38" spans="2:19" s="1" customFormat="1" x14ac:dyDescent="0.25">
      <c r="P38" s="5">
        <f>+P33/P32</f>
        <v>0.36711711711711714</v>
      </c>
      <c r="Q38" s="5">
        <f>+Q33/Q32</f>
        <v>0.36527732195602231</v>
      </c>
      <c r="R38" s="5">
        <f>+R33/R32</f>
        <v>0.35769872151195109</v>
      </c>
    </row>
    <row r="39" spans="2:19" s="1" customFormat="1" x14ac:dyDescent="0.25">
      <c r="B39" s="4" t="s">
        <v>33</v>
      </c>
    </row>
    <row r="40" spans="2:19" s="1" customFormat="1" x14ac:dyDescent="0.25">
      <c r="B40" s="1" t="s">
        <v>30</v>
      </c>
      <c r="P40" s="1">
        <v>2138</v>
      </c>
      <c r="Q40" s="1">
        <v>2892</v>
      </c>
      <c r="R40" s="1">
        <v>3257</v>
      </c>
      <c r="S40" s="1">
        <f>+Sheet1!S14</f>
        <v>3829</v>
      </c>
    </row>
    <row r="41" spans="2:19" s="1" customFormat="1" x14ac:dyDescent="0.25">
      <c r="B41" s="1" t="s">
        <v>1</v>
      </c>
      <c r="P41" s="1">
        <v>951</v>
      </c>
      <c r="Q41" s="1">
        <v>1342</v>
      </c>
      <c r="R41" s="1">
        <v>1521</v>
      </c>
      <c r="S41" s="1">
        <f>+S40*0.48</f>
        <v>1837.9199999999998</v>
      </c>
    </row>
    <row r="42" spans="2:19" s="1" customFormat="1" x14ac:dyDescent="0.25">
      <c r="B42" s="1" t="s">
        <v>3</v>
      </c>
      <c r="P42" s="1">
        <v>168</v>
      </c>
      <c r="Q42" s="1">
        <v>206</v>
      </c>
      <c r="R42" s="1">
        <v>207</v>
      </c>
      <c r="S42" s="1">
        <v>250</v>
      </c>
    </row>
    <row r="43" spans="2:19" s="1" customFormat="1" x14ac:dyDescent="0.25">
      <c r="B43" s="1" t="s">
        <v>4</v>
      </c>
      <c r="P43" s="1">
        <v>484</v>
      </c>
      <c r="Q43" s="1">
        <v>456</v>
      </c>
      <c r="R43" s="1">
        <v>471</v>
      </c>
      <c r="S43" s="1">
        <v>480</v>
      </c>
    </row>
    <row r="44" spans="2:19" s="1" customFormat="1" x14ac:dyDescent="0.25">
      <c r="B44" s="1" t="s">
        <v>5</v>
      </c>
      <c r="P44" s="1">
        <v>207</v>
      </c>
      <c r="Q44" s="1">
        <v>326</v>
      </c>
      <c r="R44" s="1">
        <v>405</v>
      </c>
      <c r="S44" s="1">
        <v>450</v>
      </c>
    </row>
    <row r="45" spans="2:19" s="1" customFormat="1" x14ac:dyDescent="0.25">
      <c r="B45" s="4" t="s">
        <v>31</v>
      </c>
      <c r="P45" s="4">
        <f>+P40-P41-P42-P43-P44</f>
        <v>328</v>
      </c>
      <c r="Q45" s="4">
        <f t="shared" ref="Q45:S45" si="1">+Q40-Q41-Q42-Q43-Q44</f>
        <v>562</v>
      </c>
      <c r="R45" s="4">
        <f t="shared" si="1"/>
        <v>653</v>
      </c>
      <c r="S45" s="4">
        <f t="shared" si="1"/>
        <v>811.08000000000015</v>
      </c>
    </row>
    <row r="46" spans="2:19" s="1" customFormat="1" x14ac:dyDescent="0.25">
      <c r="P46" s="5">
        <f>+P41/P40</f>
        <v>0.44480823199251635</v>
      </c>
      <c r="Q46" s="5">
        <f>+Q41/Q40</f>
        <v>0.46403872752420472</v>
      </c>
      <c r="R46" s="5">
        <f>+R41/R40</f>
        <v>0.46699416641080749</v>
      </c>
    </row>
    <row r="47" spans="2:19" s="1" customFormat="1" x14ac:dyDescent="0.25">
      <c r="B47" s="4" t="s">
        <v>29</v>
      </c>
    </row>
    <row r="48" spans="2:19" s="1" customFormat="1" x14ac:dyDescent="0.25">
      <c r="B48" s="1" t="s">
        <v>30</v>
      </c>
      <c r="P48" s="1">
        <v>1558</v>
      </c>
      <c r="Q48" s="1">
        <v>1447</v>
      </c>
      <c r="R48" s="1">
        <v>1395</v>
      </c>
      <c r="S48" s="1">
        <f>+Sheet1!S20</f>
        <v>1325.25</v>
      </c>
    </row>
    <row r="49" spans="2:19" s="1" customFormat="1" x14ac:dyDescent="0.25">
      <c r="B49" s="1" t="s">
        <v>1</v>
      </c>
      <c r="P49" s="1">
        <v>754</v>
      </c>
      <c r="Q49" s="1">
        <v>763</v>
      </c>
      <c r="R49" s="1">
        <v>763</v>
      </c>
      <c r="S49" s="1">
        <v>763</v>
      </c>
    </row>
    <row r="50" spans="2:19" s="1" customFormat="1" x14ac:dyDescent="0.25">
      <c r="B50" s="1" t="s">
        <v>3</v>
      </c>
      <c r="P50" s="1">
        <v>28</v>
      </c>
      <c r="Q50" s="1">
        <v>32</v>
      </c>
      <c r="R50" s="1">
        <v>34</v>
      </c>
      <c r="S50" s="1">
        <v>34</v>
      </c>
    </row>
    <row r="51" spans="2:19" s="1" customFormat="1" x14ac:dyDescent="0.25">
      <c r="B51" s="1" t="s">
        <v>4</v>
      </c>
      <c r="P51" s="1">
        <v>229</v>
      </c>
      <c r="Q51" s="1">
        <v>225</v>
      </c>
      <c r="R51" s="1">
        <v>223</v>
      </c>
      <c r="S51" s="1">
        <v>225</v>
      </c>
    </row>
    <row r="52" spans="2:19" s="1" customFormat="1" x14ac:dyDescent="0.25">
      <c r="B52" s="1" t="s">
        <v>5</v>
      </c>
      <c r="P52" s="1">
        <v>62</v>
      </c>
      <c r="Q52" s="1">
        <v>70</v>
      </c>
      <c r="R52" s="1">
        <v>80</v>
      </c>
      <c r="S52" s="1">
        <v>80</v>
      </c>
    </row>
    <row r="53" spans="2:19" s="1" customFormat="1" x14ac:dyDescent="0.25">
      <c r="B53" s="4" t="s">
        <v>31</v>
      </c>
      <c r="P53" s="4">
        <f>+P48-P49-P50-P51-P52</f>
        <v>485</v>
      </c>
      <c r="Q53" s="4">
        <f t="shared" ref="Q53" si="2">+Q48-Q49-Q50-Q51-Q52</f>
        <v>357</v>
      </c>
      <c r="R53" s="4">
        <f>+R48-R49-R50-R51-R52</f>
        <v>295</v>
      </c>
      <c r="S53" s="4">
        <f>+S48-S49-S50-S51-S52</f>
        <v>223.25</v>
      </c>
    </row>
    <row r="54" spans="2:19" s="1" customFormat="1" x14ac:dyDescent="0.25"/>
    <row r="55" spans="2:19" s="1" customFormat="1" x14ac:dyDescent="0.25"/>
    <row r="56" spans="2:19" s="1" customFormat="1" x14ac:dyDescent="0.25"/>
    <row r="57" spans="2:19" s="1" customFormat="1" x14ac:dyDescent="0.25"/>
    <row r="58" spans="2:19" s="1" customFormat="1" x14ac:dyDescent="0.25"/>
    <row r="59" spans="2:19" s="1" customFormat="1" x14ac:dyDescent="0.25"/>
    <row r="60" spans="2:19" s="1" customFormat="1" x14ac:dyDescent="0.25"/>
    <row r="61" spans="2:19" s="1" customFormat="1" x14ac:dyDescent="0.25"/>
    <row r="62" spans="2:19" s="1" customFormat="1" x14ac:dyDescent="0.25"/>
    <row r="63" spans="2:19" s="1" customFormat="1" x14ac:dyDescent="0.25"/>
    <row r="64" spans="2:19" s="1" customFormat="1" x14ac:dyDescent="0.25"/>
    <row r="65" s="1" customFormat="1" x14ac:dyDescent="0.25"/>
    <row r="66" s="1" customFormat="1" x14ac:dyDescent="0.25"/>
    <row r="67" s="1" customFormat="1" x14ac:dyDescent="0.25"/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TR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Kutzer Maximilian Claudius</dc:creator>
  <cp:lastModifiedBy>Kutzer Maximilian Claudius</cp:lastModifiedBy>
  <dcterms:created xsi:type="dcterms:W3CDTF">2025-11-07T22:50:26Z</dcterms:created>
  <dcterms:modified xsi:type="dcterms:W3CDTF">2025-12-12T15:36:11Z</dcterms:modified>
</cp:coreProperties>
</file>