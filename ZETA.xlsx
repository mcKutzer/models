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13D5C9B0-DFA6-41E7-A178-518F6C68BACC}" xr6:coauthVersionLast="47" xr6:coauthVersionMax="47" xr10:uidLastSave="{00000000-0000-0000-0000-000000000000}"/>
  <bookViews>
    <workbookView xWindow="-120" yWindow="-120" windowWidth="29040" windowHeight="15840" xr2:uid="{39EC6132-A659-4DE3-8CF3-B05C982E40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6" i="1" l="1"/>
  <c r="Q19" i="1"/>
  <c r="R19" i="1" s="1"/>
  <c r="P23" i="1"/>
  <c r="P24" i="1"/>
  <c r="P25" i="1"/>
  <c r="P21" i="1"/>
  <c r="P20" i="1" s="1"/>
  <c r="P18" i="1"/>
  <c r="P9" i="1"/>
  <c r="P10" i="1"/>
  <c r="P11" i="1"/>
  <c r="P12" i="1"/>
  <c r="P7" i="1"/>
  <c r="P6" i="1"/>
  <c r="H24" i="1"/>
  <c r="I24" i="1"/>
  <c r="J24" i="1"/>
  <c r="K24" i="1"/>
  <c r="L24" i="1"/>
  <c r="M24" i="1"/>
  <c r="N24" i="1"/>
  <c r="O24" i="1"/>
  <c r="G24" i="1"/>
  <c r="H18" i="1"/>
  <c r="I18" i="1"/>
  <c r="J18" i="1"/>
  <c r="K18" i="1"/>
  <c r="L18" i="1"/>
  <c r="M18" i="1"/>
  <c r="N18" i="1"/>
  <c r="O18" i="1"/>
  <c r="G18" i="1"/>
  <c r="I21" i="1"/>
  <c r="J21" i="1" s="1"/>
  <c r="K21" i="1" s="1"/>
  <c r="L21" i="1" s="1"/>
  <c r="M21" i="1" s="1"/>
  <c r="N21" i="1" s="1"/>
  <c r="O21" i="1" s="1"/>
  <c r="H21" i="1"/>
  <c r="F20" i="1"/>
  <c r="H11" i="1"/>
  <c r="H35" i="1" s="1"/>
  <c r="H10" i="1"/>
  <c r="H34" i="1" s="1"/>
  <c r="E33" i="1"/>
  <c r="E34" i="1"/>
  <c r="E35" i="1"/>
  <c r="D34" i="1"/>
  <c r="D35" i="1"/>
  <c r="D33" i="1"/>
  <c r="H7" i="1"/>
  <c r="I6" i="1"/>
  <c r="I10" i="1" s="1"/>
  <c r="I34" i="1" s="1"/>
  <c r="S19" i="1" l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AY19" i="1" s="1"/>
  <c r="AZ19" i="1" s="1"/>
  <c r="BA19" i="1" s="1"/>
  <c r="BB19" i="1" s="1"/>
  <c r="BC19" i="1" s="1"/>
  <c r="BD19" i="1" s="1"/>
  <c r="BE19" i="1" s="1"/>
  <c r="BF19" i="1" s="1"/>
  <c r="BG19" i="1" s="1"/>
  <c r="BH19" i="1" s="1"/>
  <c r="BI19" i="1" s="1"/>
  <c r="BJ19" i="1" s="1"/>
  <c r="BK19" i="1" s="1"/>
  <c r="BL19" i="1" s="1"/>
  <c r="BM19" i="1" s="1"/>
  <c r="BN19" i="1" s="1"/>
  <c r="BO19" i="1" s="1"/>
  <c r="BP19" i="1" s="1"/>
  <c r="BQ19" i="1" s="1"/>
  <c r="BR19" i="1" s="1"/>
  <c r="BS19" i="1" s="1"/>
  <c r="BT19" i="1" s="1"/>
  <c r="BU19" i="1" s="1"/>
  <c r="BV19" i="1" s="1"/>
  <c r="BW19" i="1" s="1"/>
  <c r="BX19" i="1" s="1"/>
  <c r="BY19" i="1" s="1"/>
  <c r="BZ19" i="1" s="1"/>
  <c r="CA19" i="1" s="1"/>
  <c r="CB19" i="1" s="1"/>
  <c r="CC19" i="1" s="1"/>
  <c r="CD19" i="1" s="1"/>
  <c r="CE19" i="1" s="1"/>
  <c r="CF19" i="1" s="1"/>
  <c r="CG19" i="1" s="1"/>
  <c r="CH19" i="1" s="1"/>
  <c r="CI19" i="1" s="1"/>
  <c r="CJ19" i="1" s="1"/>
  <c r="CK19" i="1" s="1"/>
  <c r="CL19" i="1" s="1"/>
  <c r="CM19" i="1" s="1"/>
  <c r="CN19" i="1" s="1"/>
  <c r="CO19" i="1" s="1"/>
  <c r="CP19" i="1" s="1"/>
  <c r="CQ19" i="1" s="1"/>
  <c r="CR19" i="1" s="1"/>
  <c r="CS19" i="1" s="1"/>
  <c r="CT19" i="1" s="1"/>
  <c r="CU19" i="1" s="1"/>
  <c r="CV19" i="1" s="1"/>
  <c r="CW19" i="1" s="1"/>
  <c r="CX19" i="1" s="1"/>
  <c r="CY19" i="1" s="1"/>
  <c r="CZ19" i="1" s="1"/>
  <c r="DA19" i="1" s="1"/>
  <c r="DB19" i="1" s="1"/>
  <c r="DC19" i="1" s="1"/>
  <c r="DD19" i="1" s="1"/>
  <c r="DE19" i="1" s="1"/>
  <c r="DF19" i="1" s="1"/>
  <c r="DG19" i="1" s="1"/>
  <c r="DH19" i="1" s="1"/>
  <c r="DI19" i="1" s="1"/>
  <c r="DJ19" i="1" s="1"/>
  <c r="DK19" i="1" s="1"/>
  <c r="DL19" i="1" s="1"/>
  <c r="DM19" i="1" s="1"/>
  <c r="DN19" i="1" s="1"/>
  <c r="DO19" i="1" s="1"/>
  <c r="DP19" i="1" s="1"/>
  <c r="DQ19" i="1" s="1"/>
  <c r="DR19" i="1" s="1"/>
  <c r="DS19" i="1" s="1"/>
  <c r="DT19" i="1" s="1"/>
  <c r="DU19" i="1" s="1"/>
  <c r="DV19" i="1" s="1"/>
  <c r="DW19" i="1" s="1"/>
  <c r="J6" i="1"/>
  <c r="K6" i="1" s="1"/>
  <c r="L6" i="1" s="1"/>
  <c r="M6" i="1" s="1"/>
  <c r="N6" i="1" s="1"/>
  <c r="N11" i="1" s="1"/>
  <c r="N35" i="1" s="1"/>
  <c r="M11" i="1"/>
  <c r="M35" i="1" s="1"/>
  <c r="M7" i="1"/>
  <c r="L11" i="1"/>
  <c r="L35" i="1" s="1"/>
  <c r="L7" i="1"/>
  <c r="J7" i="1"/>
  <c r="J8" i="1" s="1"/>
  <c r="I7" i="1"/>
  <c r="I8" i="1" s="1"/>
  <c r="N10" i="1"/>
  <c r="N34" i="1" s="1"/>
  <c r="K11" i="1"/>
  <c r="K35" i="1" s="1"/>
  <c r="K7" i="1"/>
  <c r="K8" i="1" s="1"/>
  <c r="M10" i="1"/>
  <c r="M34" i="1" s="1"/>
  <c r="J11" i="1"/>
  <c r="J35" i="1" s="1"/>
  <c r="L10" i="1"/>
  <c r="L34" i="1" s="1"/>
  <c r="I11" i="1"/>
  <c r="I35" i="1" s="1"/>
  <c r="K10" i="1"/>
  <c r="K34" i="1" s="1"/>
  <c r="J10" i="1"/>
  <c r="J34" i="1" s="1"/>
  <c r="G6" i="1"/>
  <c r="F6" i="1"/>
  <c r="I25" i="1"/>
  <c r="J25" i="1"/>
  <c r="K25" i="1"/>
  <c r="L25" i="1"/>
  <c r="M25" i="1"/>
  <c r="N25" i="1"/>
  <c r="E25" i="1"/>
  <c r="H8" i="1"/>
  <c r="L8" i="1"/>
  <c r="L23" i="1" s="1"/>
  <c r="M8" i="1"/>
  <c r="P8" i="1"/>
  <c r="P14" i="1" s="1"/>
  <c r="P17" i="1" s="1"/>
  <c r="P19" i="1" s="1"/>
  <c r="F30" i="1"/>
  <c r="F28" i="1"/>
  <c r="F27" i="1"/>
  <c r="E28" i="1"/>
  <c r="E29" i="1" s="1"/>
  <c r="E31" i="1" s="1"/>
  <c r="D28" i="1"/>
  <c r="D29" i="1" s="1"/>
  <c r="D31" i="1" s="1"/>
  <c r="F18" i="1"/>
  <c r="F15" i="1"/>
  <c r="F12" i="1"/>
  <c r="G12" i="1" s="1"/>
  <c r="H12" i="1" s="1"/>
  <c r="I12" i="1" s="1"/>
  <c r="J12" i="1" s="1"/>
  <c r="K12" i="1" s="1"/>
  <c r="L12" i="1" s="1"/>
  <c r="M12" i="1" s="1"/>
  <c r="N12" i="1" s="1"/>
  <c r="O12" i="1" s="1"/>
  <c r="F11" i="1"/>
  <c r="F35" i="1" s="1"/>
  <c r="F10" i="1"/>
  <c r="F34" i="1" s="1"/>
  <c r="F9" i="1"/>
  <c r="F7" i="1"/>
  <c r="D13" i="1"/>
  <c r="E8" i="1"/>
  <c r="E14" i="1" s="1"/>
  <c r="E17" i="1" s="1"/>
  <c r="D8" i="1"/>
  <c r="D23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S25" i="1" l="1"/>
  <c r="S27" i="1" s="1"/>
  <c r="S28" i="1" s="1"/>
  <c r="S29" i="1" s="1"/>
  <c r="O6" i="1"/>
  <c r="N7" i="1"/>
  <c r="N8" i="1" s="1"/>
  <c r="G7" i="1"/>
  <c r="G8" i="1" s="1"/>
  <c r="G10" i="1"/>
  <c r="G34" i="1" s="1"/>
  <c r="G11" i="1"/>
  <c r="G35" i="1" s="1"/>
  <c r="G25" i="1"/>
  <c r="G9" i="1"/>
  <c r="F33" i="1"/>
  <c r="I23" i="1"/>
  <c r="M23" i="1"/>
  <c r="H23" i="1"/>
  <c r="N23" i="1"/>
  <c r="K23" i="1"/>
  <c r="J23" i="1"/>
  <c r="H25" i="1"/>
  <c r="F25" i="1"/>
  <c r="F29" i="1"/>
  <c r="F31" i="1" s="1"/>
  <c r="E24" i="1"/>
  <c r="E23" i="1"/>
  <c r="F8" i="1"/>
  <c r="E19" i="1"/>
  <c r="D14" i="1"/>
  <c r="O11" i="1" l="1"/>
  <c r="O35" i="1" s="1"/>
  <c r="O7" i="1"/>
  <c r="O25" i="1"/>
  <c r="O10" i="1"/>
  <c r="O34" i="1" s="1"/>
  <c r="O8" i="1"/>
  <c r="O23" i="1" s="1"/>
  <c r="G14" i="1"/>
  <c r="G17" i="1" s="1"/>
  <c r="G19" i="1" s="1"/>
  <c r="G20" i="1" s="1"/>
  <c r="G23" i="1"/>
  <c r="H9" i="1"/>
  <c r="G33" i="1"/>
  <c r="F14" i="1"/>
  <c r="F23" i="1"/>
  <c r="D24" i="1"/>
  <c r="D17" i="1"/>
  <c r="D19" i="1" s="1"/>
  <c r="I9" i="1" l="1"/>
  <c r="H33" i="1"/>
  <c r="H14" i="1"/>
  <c r="H17" i="1" s="1"/>
  <c r="H19" i="1" s="1"/>
  <c r="H20" i="1" s="1"/>
  <c r="F17" i="1"/>
  <c r="F19" i="1" s="1"/>
  <c r="F24" i="1"/>
  <c r="J9" i="1" l="1"/>
  <c r="I33" i="1"/>
  <c r="I14" i="1"/>
  <c r="I17" i="1" s="1"/>
  <c r="I19" i="1" s="1"/>
  <c r="I20" i="1" s="1"/>
  <c r="K9" i="1" l="1"/>
  <c r="J33" i="1"/>
  <c r="J14" i="1"/>
  <c r="J17" i="1" s="1"/>
  <c r="J19" i="1" s="1"/>
  <c r="J20" i="1" s="1"/>
  <c r="L9" i="1" l="1"/>
  <c r="K33" i="1"/>
  <c r="K14" i="1"/>
  <c r="K17" i="1" s="1"/>
  <c r="K19" i="1" s="1"/>
  <c r="K20" i="1" s="1"/>
  <c r="M9" i="1" l="1"/>
  <c r="L33" i="1"/>
  <c r="L14" i="1"/>
  <c r="L17" i="1" s="1"/>
  <c r="L19" i="1" s="1"/>
  <c r="L20" i="1" s="1"/>
  <c r="N9" i="1" l="1"/>
  <c r="M33" i="1"/>
  <c r="M14" i="1"/>
  <c r="M17" i="1" s="1"/>
  <c r="M19" i="1" s="1"/>
  <c r="M20" i="1" s="1"/>
  <c r="O9" i="1" l="1"/>
  <c r="N33" i="1"/>
  <c r="N14" i="1"/>
  <c r="N17" i="1" s="1"/>
  <c r="N19" i="1" s="1"/>
  <c r="N20" i="1" s="1"/>
  <c r="O33" i="1" l="1"/>
  <c r="O14" i="1"/>
  <c r="O17" i="1" s="1"/>
  <c r="O19" i="1" s="1"/>
  <c r="O20" i="1" s="1"/>
</calcChain>
</file>

<file path=xl/sharedStrings.xml><?xml version="1.0" encoding="utf-8"?>
<sst xmlns="http://schemas.openxmlformats.org/spreadsheetml/2006/main" count="36" uniqueCount="33">
  <si>
    <t>Revenue</t>
  </si>
  <si>
    <t>COGS</t>
  </si>
  <si>
    <t>Gross Profit</t>
  </si>
  <si>
    <t>G&amp;A</t>
  </si>
  <si>
    <t>S&amp;M</t>
  </si>
  <si>
    <t>R&amp;D</t>
  </si>
  <si>
    <t>D&amp;A</t>
  </si>
  <si>
    <t>Other</t>
  </si>
  <si>
    <t>Operating Income</t>
  </si>
  <si>
    <t>Interest expenses</t>
  </si>
  <si>
    <t>Pretax</t>
  </si>
  <si>
    <t>Taxes</t>
  </si>
  <si>
    <t>Net Income</t>
  </si>
  <si>
    <t>Other expenses</t>
  </si>
  <si>
    <t>Gross Margin</t>
  </si>
  <si>
    <t>Operating Margin</t>
  </si>
  <si>
    <t>CFFO</t>
  </si>
  <si>
    <t>CapEx</t>
  </si>
  <si>
    <t>FCF</t>
  </si>
  <si>
    <t>SBC</t>
  </si>
  <si>
    <t>Adj. FCF</t>
  </si>
  <si>
    <t>Revenue Y/Y</t>
  </si>
  <si>
    <t>Zeta</t>
  </si>
  <si>
    <t>Marigold</t>
  </si>
  <si>
    <t>Shares</t>
  </si>
  <si>
    <t>EPS</t>
  </si>
  <si>
    <t>Discount</t>
  </si>
  <si>
    <t>Terminal</t>
  </si>
  <si>
    <t>NPV</t>
  </si>
  <si>
    <t>Net Cash</t>
  </si>
  <si>
    <t>Value</t>
  </si>
  <si>
    <t>Price</t>
  </si>
  <si>
    <t>Buy 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</si>
</sst>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€&quot;\ #,##0.00;[Red]\-&quot;€&quot;\ #,##0.00"/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4" fontId="0" fillId="0" borderId="0" xfId="0" applyNumberFormat="1"/>
    <xf numFmtId="8" fontId="0" fillId="0" borderId="0" xfId="1" applyNumberFormat="1" applyFont="1"/>
    <xf numFmtId="164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32657</xdr:colOff>
      <xdr:row>3</xdr:row>
      <xdr:rowOff>10886</xdr:rowOff>
    </xdr:from>
    <xdr:to>
      <xdr:col>6</xdr:col>
      <xdr:colOff>38100</xdr:colOff>
      <xdr:row>31</xdr:row>
      <xdr:rowOff>48986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7EA010A-8426-E316-9027-F60994140872}"/>
            </a:ext>
          </a:extLst>
        </xdr:cNvPr>
        <xdr:cNvCxnSpPr/>
      </xdr:nvCxnSpPr>
      <xdr:spPr>
        <a:xfrm>
          <a:off x="3820886" y="582386"/>
          <a:ext cx="5443" cy="4991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0447-0E36-41AF-BA30-7C2CFE6D0DC5}">
  <dimension ref="B2:DW100"/>
  <sheetViews>
    <sheetView tabSelected="1" zoomScale="175" zoomScaleNormal="175" workbookViewId="0">
      <pane xSplit="2" ySplit="2" topLeftCell="F15" activePane="bottomRight" state="frozen"/>
      <selection pane="topRight" activeCell="C1" sqref="C1"/>
      <selection pane="bottomLeft" activeCell="A3" sqref="A3"/>
      <selection pane="bottomRight" activeCell="L25" sqref="L25"/>
    </sheetView>
  </sheetViews>
  <sheetFormatPr defaultRowHeight="15" x14ac:dyDescent="0.25"/>
  <cols>
    <col min="1" max="1" width="2.85546875" customWidth="1"/>
    <col min="2" max="2" width="17" bestFit="1" customWidth="1"/>
    <col min="6" max="16" width="9.5703125" customWidth="1"/>
    <col min="19" max="19" width="13.5703125" bestFit="1" customWidth="1"/>
  </cols>
  <sheetData>
    <row r="2" spans="2:16" x14ac:dyDescent="0.25">
      <c r="D2">
        <v>2023</v>
      </c>
      <c r="E2">
        <f>+D2+1</f>
        <v>2024</v>
      </c>
      <c r="F2">
        <f>+E2+1</f>
        <v>2025</v>
      </c>
      <c r="G2">
        <f>+F2+1</f>
        <v>2026</v>
      </c>
      <c r="H2">
        <f>+G2+1</f>
        <v>2027</v>
      </c>
      <c r="I2">
        <f t="shared" ref="I2:P2" si="0">+H2+1</f>
        <v>2028</v>
      </c>
      <c r="J2">
        <f t="shared" si="0"/>
        <v>2029</v>
      </c>
      <c r="K2">
        <f t="shared" si="0"/>
        <v>2030</v>
      </c>
      <c r="L2">
        <f t="shared" si="0"/>
        <v>2031</v>
      </c>
      <c r="M2">
        <f t="shared" si="0"/>
        <v>2032</v>
      </c>
      <c r="N2">
        <f t="shared" si="0"/>
        <v>2033</v>
      </c>
      <c r="O2">
        <f t="shared" si="0"/>
        <v>2034</v>
      </c>
      <c r="P2">
        <f t="shared" si="0"/>
        <v>2035</v>
      </c>
    </row>
    <row r="3" spans="2:16" s="1" customFormat="1" x14ac:dyDescent="0.25"/>
    <row r="4" spans="2:16" s="1" customFormat="1" x14ac:dyDescent="0.25">
      <c r="B4" s="1" t="s">
        <v>22</v>
      </c>
      <c r="F4" s="1">
        <v>1275000</v>
      </c>
      <c r="G4" s="1">
        <v>1540000</v>
      </c>
    </row>
    <row r="5" spans="2:16" s="1" customFormat="1" x14ac:dyDescent="0.25">
      <c r="B5" s="1" t="s">
        <v>23</v>
      </c>
      <c r="F5" s="1">
        <v>15800</v>
      </c>
      <c r="G5" s="1">
        <v>190000</v>
      </c>
    </row>
    <row r="6" spans="2:16" s="2" customFormat="1" x14ac:dyDescent="0.25">
      <c r="B6" s="2" t="s">
        <v>0</v>
      </c>
      <c r="D6" s="2">
        <v>728723</v>
      </c>
      <c r="E6" s="2">
        <v>1005754</v>
      </c>
      <c r="F6" s="2">
        <f>+F4+F5</f>
        <v>1290800</v>
      </c>
      <c r="G6" s="2">
        <f>+G4+G5</f>
        <v>1730000</v>
      </c>
      <c r="H6" s="2">
        <v>1900000</v>
      </c>
      <c r="I6" s="2">
        <f>+H6*1.1</f>
        <v>2090000.0000000002</v>
      </c>
      <c r="J6" s="2">
        <f t="shared" ref="J6:P6" si="1">+I6*1.1</f>
        <v>2299000.0000000005</v>
      </c>
      <c r="K6" s="2">
        <f t="shared" si="1"/>
        <v>2528900.0000000009</v>
      </c>
      <c r="L6" s="2">
        <f t="shared" si="1"/>
        <v>2781790.0000000014</v>
      </c>
      <c r="M6" s="2">
        <f t="shared" si="1"/>
        <v>3059969.0000000019</v>
      </c>
      <c r="N6" s="2">
        <f t="shared" si="1"/>
        <v>3365965.9000000022</v>
      </c>
      <c r="O6" s="2">
        <f t="shared" si="1"/>
        <v>3702562.4900000026</v>
      </c>
      <c r="P6" s="2">
        <f t="shared" si="1"/>
        <v>4072818.7390000033</v>
      </c>
    </row>
    <row r="7" spans="2:16" s="1" customFormat="1" x14ac:dyDescent="0.25">
      <c r="B7" s="1" t="s">
        <v>1</v>
      </c>
      <c r="D7" s="1">
        <v>274482</v>
      </c>
      <c r="E7" s="1">
        <v>399552</v>
      </c>
      <c r="F7" s="1">
        <f>353700*1.33</f>
        <v>470421</v>
      </c>
      <c r="G7" s="1">
        <f>+G6*0.35</f>
        <v>605500</v>
      </c>
      <c r="H7" s="1">
        <f t="shared" ref="H7:P7" si="2">+H6*0.35</f>
        <v>665000</v>
      </c>
      <c r="I7" s="1">
        <f t="shared" si="2"/>
        <v>731500</v>
      </c>
      <c r="J7" s="1">
        <f t="shared" si="2"/>
        <v>804650.00000000012</v>
      </c>
      <c r="K7" s="1">
        <f t="shared" si="2"/>
        <v>885115.00000000023</v>
      </c>
      <c r="L7" s="1">
        <f t="shared" si="2"/>
        <v>973626.50000000047</v>
      </c>
      <c r="M7" s="1">
        <f t="shared" si="2"/>
        <v>1070989.1500000006</v>
      </c>
      <c r="N7" s="1">
        <f t="shared" si="2"/>
        <v>1178088.0650000006</v>
      </c>
      <c r="O7" s="1">
        <f t="shared" si="2"/>
        <v>1295896.8715000008</v>
      </c>
      <c r="P7" s="1">
        <f t="shared" si="2"/>
        <v>1425486.5586500012</v>
      </c>
    </row>
    <row r="8" spans="2:16" s="1" customFormat="1" x14ac:dyDescent="0.25">
      <c r="B8" s="1" t="s">
        <v>2</v>
      </c>
      <c r="D8" s="1">
        <f>+D6-D7</f>
        <v>454241</v>
      </c>
      <c r="E8" s="1">
        <f t="shared" ref="E8:G8" si="3">+E6-E7</f>
        <v>606202</v>
      </c>
      <c r="F8" s="1">
        <f t="shared" si="3"/>
        <v>820379</v>
      </c>
      <c r="G8" s="1">
        <f t="shared" si="3"/>
        <v>1124500</v>
      </c>
      <c r="H8" s="1">
        <f t="shared" ref="H8" si="4">+H6-H7</f>
        <v>1235000</v>
      </c>
      <c r="I8" s="1">
        <f t="shared" ref="I8" si="5">+I6-I7</f>
        <v>1358500.0000000002</v>
      </c>
      <c r="J8" s="1">
        <f t="shared" ref="J8" si="6">+J6-J7</f>
        <v>1494350.0000000005</v>
      </c>
      <c r="K8" s="1">
        <f t="shared" ref="K8" si="7">+K6-K7</f>
        <v>1643785.0000000007</v>
      </c>
      <c r="L8" s="1">
        <f t="shared" ref="L8" si="8">+L6-L7</f>
        <v>1808163.5000000009</v>
      </c>
      <c r="M8" s="1">
        <f t="shared" ref="M8" si="9">+M6-M7</f>
        <v>1988979.8500000013</v>
      </c>
      <c r="N8" s="1">
        <f t="shared" ref="N8" si="10">+N6-N7</f>
        <v>2187877.8350000018</v>
      </c>
      <c r="O8" s="1">
        <f t="shared" ref="O8" si="11">+O6-O7</f>
        <v>2406665.6185000017</v>
      </c>
      <c r="P8" s="1">
        <f t="shared" ref="P8" si="12">+P6-P7</f>
        <v>2647332.1803500019</v>
      </c>
    </row>
    <row r="9" spans="2:16" s="1" customFormat="1" x14ac:dyDescent="0.25">
      <c r="B9" s="1" t="s">
        <v>3</v>
      </c>
      <c r="D9" s="1">
        <v>205419</v>
      </c>
      <c r="E9" s="1">
        <v>204595</v>
      </c>
      <c r="F9" s="1">
        <f>172602*1.33</f>
        <v>229560.66</v>
      </c>
      <c r="G9" s="1">
        <f>+F9*1.05</f>
        <v>241038.69300000003</v>
      </c>
      <c r="H9" s="1">
        <f t="shared" ref="H9:O9" si="13">+G9*1.05</f>
        <v>253090.62765000004</v>
      </c>
      <c r="I9" s="1">
        <f t="shared" si="13"/>
        <v>265745.15903250006</v>
      </c>
      <c r="J9" s="1">
        <f t="shared" si="13"/>
        <v>279032.4169841251</v>
      </c>
      <c r="K9" s="1">
        <f t="shared" si="13"/>
        <v>292984.03783333139</v>
      </c>
      <c r="L9" s="1">
        <f t="shared" si="13"/>
        <v>307633.23972499795</v>
      </c>
      <c r="M9" s="1">
        <f t="shared" si="13"/>
        <v>323014.90171124786</v>
      </c>
      <c r="N9" s="1">
        <f t="shared" si="13"/>
        <v>339165.64679681027</v>
      </c>
      <c r="O9" s="1">
        <f t="shared" si="13"/>
        <v>356123.92913665081</v>
      </c>
      <c r="P9" s="1">
        <f t="shared" ref="P9" si="14">+O9*1.05</f>
        <v>373930.12559348339</v>
      </c>
    </row>
    <row r="10" spans="2:16" s="1" customFormat="1" x14ac:dyDescent="0.25">
      <c r="B10" s="1" t="s">
        <v>4</v>
      </c>
      <c r="D10" s="1">
        <v>288441</v>
      </c>
      <c r="E10" s="1">
        <v>314514</v>
      </c>
      <c r="F10" s="1">
        <f>247076*1.33</f>
        <v>328611.08</v>
      </c>
      <c r="G10" s="1">
        <f>+G6*0.2</f>
        <v>346000</v>
      </c>
      <c r="H10" s="1">
        <f t="shared" ref="H10:O10" si="15">+H6*0.2</f>
        <v>380000</v>
      </c>
      <c r="I10" s="1">
        <f t="shared" si="15"/>
        <v>418000.00000000006</v>
      </c>
      <c r="J10" s="1">
        <f t="shared" si="15"/>
        <v>459800.00000000012</v>
      </c>
      <c r="K10" s="1">
        <f t="shared" si="15"/>
        <v>505780.00000000023</v>
      </c>
      <c r="L10" s="1">
        <f t="shared" si="15"/>
        <v>556358.00000000035</v>
      </c>
      <c r="M10" s="1">
        <f t="shared" si="15"/>
        <v>611993.8000000004</v>
      </c>
      <c r="N10" s="1">
        <f t="shared" si="15"/>
        <v>673193.18000000052</v>
      </c>
      <c r="O10" s="1">
        <f t="shared" si="15"/>
        <v>740512.4980000006</v>
      </c>
      <c r="P10" s="1">
        <f t="shared" ref="P10" si="16">+P6*0.2</f>
        <v>814563.74780000071</v>
      </c>
    </row>
    <row r="11" spans="2:16" s="1" customFormat="1" x14ac:dyDescent="0.25">
      <c r="B11" s="1" t="s">
        <v>5</v>
      </c>
      <c r="D11" s="1">
        <v>73869</v>
      </c>
      <c r="E11" s="1">
        <v>90679</v>
      </c>
      <c r="F11" s="1">
        <f>87203*1.33</f>
        <v>115979.99</v>
      </c>
      <c r="G11" s="1">
        <f>+G6*0.09</f>
        <v>155700</v>
      </c>
      <c r="H11" s="1">
        <f t="shared" ref="H11:O11" si="17">+H6*0.09</f>
        <v>171000</v>
      </c>
      <c r="I11" s="1">
        <f t="shared" si="17"/>
        <v>188100</v>
      </c>
      <c r="J11" s="1">
        <f t="shared" si="17"/>
        <v>206910.00000000003</v>
      </c>
      <c r="K11" s="1">
        <f t="shared" si="17"/>
        <v>227601.00000000009</v>
      </c>
      <c r="L11" s="1">
        <f t="shared" si="17"/>
        <v>250361.10000000012</v>
      </c>
      <c r="M11" s="1">
        <f t="shared" si="17"/>
        <v>275397.21000000014</v>
      </c>
      <c r="N11" s="1">
        <f t="shared" si="17"/>
        <v>302936.93100000022</v>
      </c>
      <c r="O11" s="1">
        <f t="shared" si="17"/>
        <v>333230.62410000019</v>
      </c>
      <c r="P11" s="1">
        <f t="shared" ref="P11" si="18">+P6*0.09</f>
        <v>366553.68651000026</v>
      </c>
    </row>
    <row r="12" spans="2:16" s="1" customFormat="1" x14ac:dyDescent="0.25">
      <c r="B12" s="1" t="s">
        <v>6</v>
      </c>
      <c r="D12" s="1">
        <v>51149</v>
      </c>
      <c r="E12" s="1">
        <v>56100</v>
      </c>
      <c r="F12" s="1">
        <f>52281*1.33</f>
        <v>69533.73000000001</v>
      </c>
      <c r="G12" s="1">
        <f>+F12*0.99</f>
        <v>68838.392700000011</v>
      </c>
      <c r="H12" s="1">
        <f t="shared" ref="H12:O12" si="19">+G12*0.99</f>
        <v>68150.008773000009</v>
      </c>
      <c r="I12" s="1">
        <f t="shared" si="19"/>
        <v>67468.508685270004</v>
      </c>
      <c r="J12" s="1">
        <f t="shared" si="19"/>
        <v>66793.823598417308</v>
      </c>
      <c r="K12" s="1">
        <f t="shared" si="19"/>
        <v>66125.885362433139</v>
      </c>
      <c r="L12" s="1">
        <f t="shared" si="19"/>
        <v>65464.626508808804</v>
      </c>
      <c r="M12" s="1">
        <f t="shared" si="19"/>
        <v>64809.980243720718</v>
      </c>
      <c r="N12" s="1">
        <f t="shared" si="19"/>
        <v>64161.880441283509</v>
      </c>
      <c r="O12" s="1">
        <f t="shared" si="19"/>
        <v>63520.261636870673</v>
      </c>
      <c r="P12" s="1">
        <f t="shared" ref="P12" si="20">+O12*0.99</f>
        <v>62885.059020501969</v>
      </c>
    </row>
    <row r="13" spans="2:16" s="1" customFormat="1" x14ac:dyDescent="0.25">
      <c r="B13" s="1" t="s">
        <v>7</v>
      </c>
      <c r="D13" s="1">
        <f>203+2845</f>
        <v>3048</v>
      </c>
      <c r="E13" s="1">
        <v>8229</v>
      </c>
      <c r="F13" s="1">
        <v>12000</v>
      </c>
      <c r="G13" s="1">
        <v>15000</v>
      </c>
      <c r="H13" s="1">
        <v>15000</v>
      </c>
      <c r="I13" s="1">
        <v>15000</v>
      </c>
      <c r="J13" s="1">
        <v>15000</v>
      </c>
      <c r="K13" s="1">
        <v>15000</v>
      </c>
      <c r="L13" s="1">
        <v>15000</v>
      </c>
      <c r="M13" s="1">
        <v>15000</v>
      </c>
      <c r="N13" s="1">
        <v>15000</v>
      </c>
      <c r="O13" s="1">
        <v>15000</v>
      </c>
      <c r="P13" s="1">
        <v>15001</v>
      </c>
    </row>
    <row r="14" spans="2:16" s="2" customFormat="1" x14ac:dyDescent="0.25">
      <c r="B14" s="2" t="s">
        <v>8</v>
      </c>
      <c r="D14" s="2">
        <f>+D8-SUM(D9:D13)</f>
        <v>-167685</v>
      </c>
      <c r="E14" s="2">
        <f t="shared" ref="E14:G14" si="21">+E8-SUM(E9:E13)</f>
        <v>-67915</v>
      </c>
      <c r="F14" s="2">
        <f t="shared" si="21"/>
        <v>64693.540000000037</v>
      </c>
      <c r="G14" s="2">
        <f t="shared" si="21"/>
        <v>297922.91430000006</v>
      </c>
      <c r="H14" s="2">
        <f t="shared" ref="H14" si="22">+H8-SUM(H9:H13)</f>
        <v>347759.36357699998</v>
      </c>
      <c r="I14" s="2">
        <f t="shared" ref="I14" si="23">+I8-SUM(I9:I13)</f>
        <v>404186.33228223014</v>
      </c>
      <c r="J14" s="2">
        <f t="shared" ref="J14" si="24">+J8-SUM(J9:J13)</f>
        <v>466813.75941745786</v>
      </c>
      <c r="K14" s="2">
        <f t="shared" ref="K14" si="25">+K8-SUM(K9:K13)</f>
        <v>536294.07680423581</v>
      </c>
      <c r="L14" s="2">
        <f t="shared" ref="L14" si="26">+L8-SUM(L9:L13)</f>
        <v>613346.53376619378</v>
      </c>
      <c r="M14" s="2">
        <f t="shared" ref="M14" si="27">+M8-SUM(M9:M13)</f>
        <v>698763.95804503211</v>
      </c>
      <c r="N14" s="2">
        <f t="shared" ref="N14" si="28">+N8-SUM(N9:N13)</f>
        <v>793420.19676190731</v>
      </c>
      <c r="O14" s="2">
        <f t="shared" ref="O14" si="29">+O8-SUM(O9:O13)</f>
        <v>898278.30562647944</v>
      </c>
      <c r="P14" s="2">
        <f t="shared" ref="P14" si="30">+P8-SUM(P9:P13)</f>
        <v>1014398.5614260156</v>
      </c>
    </row>
    <row r="15" spans="2:16" s="1" customFormat="1" x14ac:dyDescent="0.25">
      <c r="B15" s="1" t="s">
        <v>9</v>
      </c>
      <c r="D15" s="1">
        <v>10939</v>
      </c>
      <c r="E15" s="1">
        <v>7147</v>
      </c>
      <c r="F15" s="1">
        <f>317*1.33</f>
        <v>421.61</v>
      </c>
      <c r="G15" s="1">
        <v>500</v>
      </c>
      <c r="H15" s="1">
        <v>500</v>
      </c>
      <c r="I15" s="1">
        <v>500</v>
      </c>
      <c r="J15" s="1">
        <v>500</v>
      </c>
      <c r="K15" s="1">
        <v>500</v>
      </c>
      <c r="L15" s="1">
        <v>500</v>
      </c>
      <c r="M15" s="1">
        <v>500</v>
      </c>
      <c r="N15" s="1">
        <v>500</v>
      </c>
      <c r="O15" s="1">
        <v>500</v>
      </c>
      <c r="P15" s="1">
        <v>500</v>
      </c>
    </row>
    <row r="16" spans="2:16" s="1" customFormat="1" x14ac:dyDescent="0.25">
      <c r="B16" s="1" t="s">
        <v>13</v>
      </c>
      <c r="D16" s="1">
        <v>7820</v>
      </c>
      <c r="E16" s="1">
        <v>-115</v>
      </c>
      <c r="F16" s="1">
        <v>21589</v>
      </c>
      <c r="G16" s="1">
        <v>5000</v>
      </c>
      <c r="H16" s="1">
        <v>5000</v>
      </c>
      <c r="I16" s="1">
        <v>5000</v>
      </c>
      <c r="J16" s="1">
        <v>5000</v>
      </c>
      <c r="K16" s="1">
        <v>5000</v>
      </c>
      <c r="L16" s="1">
        <v>5000</v>
      </c>
      <c r="M16" s="1">
        <v>5000</v>
      </c>
      <c r="N16" s="1">
        <v>5000</v>
      </c>
      <c r="O16" s="1">
        <v>5000</v>
      </c>
      <c r="P16" s="1">
        <v>5000</v>
      </c>
    </row>
    <row r="17" spans="2:127" s="1" customFormat="1" x14ac:dyDescent="0.25">
      <c r="B17" s="1" t="s">
        <v>10</v>
      </c>
      <c r="D17" s="1">
        <f>+D14-D15-D16</f>
        <v>-186444</v>
      </c>
      <c r="E17" s="1">
        <f t="shared" ref="E17:G17" si="31">+E14-E15-E16</f>
        <v>-74947</v>
      </c>
      <c r="F17" s="1">
        <f t="shared" si="31"/>
        <v>42682.930000000037</v>
      </c>
      <c r="G17" s="1">
        <f t="shared" si="31"/>
        <v>292422.91430000006</v>
      </c>
      <c r="H17" s="1">
        <f t="shared" ref="H17" si="32">+H14-H15-H16</f>
        <v>342259.36357699998</v>
      </c>
      <c r="I17" s="1">
        <f t="shared" ref="I17" si="33">+I14-I15-I16</f>
        <v>398686.33228223014</v>
      </c>
      <c r="J17" s="1">
        <f t="shared" ref="J17" si="34">+J14-J15-J16</f>
        <v>461313.75941745786</v>
      </c>
      <c r="K17" s="1">
        <f t="shared" ref="K17" si="35">+K14-K15-K16</f>
        <v>530794.07680423581</v>
      </c>
      <c r="L17" s="1">
        <f t="shared" ref="L17" si="36">+L14-L15-L16</f>
        <v>607846.53376619378</v>
      </c>
      <c r="M17" s="1">
        <f t="shared" ref="M17" si="37">+M14-M15-M16</f>
        <v>693263.95804503211</v>
      </c>
      <c r="N17" s="1">
        <f t="shared" ref="N17" si="38">+N14-N15-N16</f>
        <v>787920.19676190731</v>
      </c>
      <c r="O17" s="1">
        <f t="shared" ref="O17" si="39">+O14-O15-O16</f>
        <v>892778.30562647944</v>
      </c>
      <c r="P17" s="1">
        <f t="shared" ref="P17" si="40">+P14-P15-P16</f>
        <v>1008898.5614260156</v>
      </c>
    </row>
    <row r="18" spans="2:127" s="1" customFormat="1" x14ac:dyDescent="0.25">
      <c r="B18" s="1" t="s">
        <v>11</v>
      </c>
      <c r="D18" s="1">
        <v>1037</v>
      </c>
      <c r="E18" s="1">
        <v>-5176</v>
      </c>
      <c r="F18" s="1">
        <f>3676*1.33</f>
        <v>4889.08</v>
      </c>
      <c r="G18" s="1">
        <f>+G17*0.23</f>
        <v>67257.270289000022</v>
      </c>
      <c r="H18" s="1">
        <f t="shared" ref="H18:P18" si="41">+H17*0.23</f>
        <v>78719.65362271</v>
      </c>
      <c r="I18" s="1">
        <f t="shared" si="41"/>
        <v>91697.856424912941</v>
      </c>
      <c r="J18" s="1">
        <f t="shared" si="41"/>
        <v>106102.16466601531</v>
      </c>
      <c r="K18" s="1">
        <f t="shared" si="41"/>
        <v>122082.63766497425</v>
      </c>
      <c r="L18" s="1">
        <f t="shared" si="41"/>
        <v>139804.70276622457</v>
      </c>
      <c r="M18" s="1">
        <f t="shared" si="41"/>
        <v>159450.7103503574</v>
      </c>
      <c r="N18" s="1">
        <f t="shared" si="41"/>
        <v>181221.64525523869</v>
      </c>
      <c r="O18" s="1">
        <f t="shared" si="41"/>
        <v>205339.01029409029</v>
      </c>
      <c r="P18" s="1">
        <f t="shared" si="41"/>
        <v>232046.66912798359</v>
      </c>
    </row>
    <row r="19" spans="2:127" s="1" customFormat="1" x14ac:dyDescent="0.25">
      <c r="B19" s="1" t="s">
        <v>12</v>
      </c>
      <c r="D19" s="1">
        <f>+D17-D18</f>
        <v>-187481</v>
      </c>
      <c r="E19" s="1">
        <f t="shared" ref="E19:G19" si="42">+E17-E18</f>
        <v>-69771</v>
      </c>
      <c r="F19" s="1">
        <f t="shared" si="42"/>
        <v>37793.850000000035</v>
      </c>
      <c r="G19" s="1">
        <f t="shared" si="42"/>
        <v>225165.64401100005</v>
      </c>
      <c r="H19" s="1">
        <f t="shared" ref="H19" si="43">+H17-H18</f>
        <v>263539.70995428995</v>
      </c>
      <c r="I19" s="1">
        <f t="shared" ref="I19" si="44">+I17-I18</f>
        <v>306988.47585731721</v>
      </c>
      <c r="J19" s="1">
        <f t="shared" ref="J19" si="45">+J17-J18</f>
        <v>355211.59475144255</v>
      </c>
      <c r="K19" s="1">
        <f t="shared" ref="K19" si="46">+K17-K18</f>
        <v>408711.43913926155</v>
      </c>
      <c r="L19" s="1">
        <f t="shared" ref="L19" si="47">+L17-L18</f>
        <v>468041.83099996921</v>
      </c>
      <c r="M19" s="1">
        <f t="shared" ref="M19" si="48">+M17-M18</f>
        <v>533813.24769467465</v>
      </c>
      <c r="N19" s="1">
        <f t="shared" ref="N19" si="49">+N17-N18</f>
        <v>606698.55150666856</v>
      </c>
      <c r="O19" s="1">
        <f t="shared" ref="O19" si="50">+O17-O18</f>
        <v>687439.29533238919</v>
      </c>
      <c r="P19" s="1">
        <f t="shared" ref="P19" si="51">+P17-P18</f>
        <v>776851.89229803195</v>
      </c>
      <c r="Q19" s="1">
        <f>+P19*(1+$S24)</f>
        <v>792388.93014399265</v>
      </c>
      <c r="R19" s="1">
        <f t="shared" ref="R19:CC19" si="52">+Q19*(1+$S24)</f>
        <v>808236.70874687249</v>
      </c>
      <c r="S19" s="1">
        <f t="shared" si="52"/>
        <v>824401.44292180997</v>
      </c>
      <c r="T19" s="1">
        <f t="shared" si="52"/>
        <v>840889.47178024624</v>
      </c>
      <c r="U19" s="1">
        <f t="shared" si="52"/>
        <v>857707.26121585118</v>
      </c>
      <c r="V19" s="1">
        <f t="shared" si="52"/>
        <v>874861.40644016827</v>
      </c>
      <c r="W19" s="1">
        <f t="shared" si="52"/>
        <v>892358.6345689717</v>
      </c>
      <c r="X19" s="1">
        <f t="shared" si="52"/>
        <v>910205.80726035114</v>
      </c>
      <c r="Y19" s="1">
        <f t="shared" si="52"/>
        <v>928409.92340555822</v>
      </c>
      <c r="Z19" s="1">
        <f t="shared" si="52"/>
        <v>946978.12187366944</v>
      </c>
      <c r="AA19" s="1">
        <f t="shared" si="52"/>
        <v>965917.68431114289</v>
      </c>
      <c r="AB19" s="1">
        <f t="shared" si="52"/>
        <v>985236.03799736581</v>
      </c>
      <c r="AC19" s="1">
        <f t="shared" si="52"/>
        <v>1004940.7587573131</v>
      </c>
      <c r="AD19" s="1">
        <f t="shared" si="52"/>
        <v>1025039.5739324595</v>
      </c>
      <c r="AE19" s="1">
        <f t="shared" si="52"/>
        <v>1045540.3654111087</v>
      </c>
      <c r="AF19" s="1">
        <f t="shared" si="52"/>
        <v>1066451.172719331</v>
      </c>
      <c r="AG19" s="1">
        <f t="shared" si="52"/>
        <v>1087780.1961737177</v>
      </c>
      <c r="AH19" s="1">
        <f t="shared" si="52"/>
        <v>1109535.8000971922</v>
      </c>
      <c r="AI19" s="1">
        <f t="shared" si="52"/>
        <v>1131726.5160991361</v>
      </c>
      <c r="AJ19" s="1">
        <f t="shared" si="52"/>
        <v>1154361.0464211188</v>
      </c>
      <c r="AK19" s="1">
        <f t="shared" si="52"/>
        <v>1177448.2673495412</v>
      </c>
      <c r="AL19" s="1">
        <f t="shared" si="52"/>
        <v>1200997.232696532</v>
      </c>
      <c r="AM19" s="1">
        <f t="shared" si="52"/>
        <v>1225017.1773504626</v>
      </c>
      <c r="AN19" s="1">
        <f t="shared" si="52"/>
        <v>1249517.5208974718</v>
      </c>
      <c r="AO19" s="1">
        <f t="shared" si="52"/>
        <v>1274507.8713154213</v>
      </c>
      <c r="AP19" s="1">
        <f t="shared" si="52"/>
        <v>1299998.0287417297</v>
      </c>
      <c r="AQ19" s="1">
        <f t="shared" si="52"/>
        <v>1325997.9893165643</v>
      </c>
      <c r="AR19" s="1">
        <f t="shared" si="52"/>
        <v>1352517.9491028956</v>
      </c>
      <c r="AS19" s="1">
        <f t="shared" si="52"/>
        <v>1379568.3080849536</v>
      </c>
      <c r="AT19" s="1">
        <f t="shared" si="52"/>
        <v>1407159.6742466528</v>
      </c>
      <c r="AU19" s="1">
        <f t="shared" si="52"/>
        <v>1435302.8677315859</v>
      </c>
      <c r="AV19" s="1">
        <f t="shared" si="52"/>
        <v>1464008.9250862177</v>
      </c>
      <c r="AW19" s="1">
        <f t="shared" si="52"/>
        <v>1493289.103587942</v>
      </c>
      <c r="AX19" s="1">
        <f t="shared" si="52"/>
        <v>1523154.8856597007</v>
      </c>
      <c r="AY19" s="1">
        <f t="shared" si="52"/>
        <v>1553617.9833728948</v>
      </c>
      <c r="AZ19" s="1">
        <f t="shared" si="52"/>
        <v>1584690.3430403527</v>
      </c>
      <c r="BA19" s="1">
        <f t="shared" si="52"/>
        <v>1616384.1499011598</v>
      </c>
      <c r="BB19" s="1">
        <f t="shared" si="52"/>
        <v>1648711.832899183</v>
      </c>
      <c r="BC19" s="1">
        <f t="shared" si="52"/>
        <v>1681686.0695571667</v>
      </c>
      <c r="BD19" s="1">
        <f t="shared" si="52"/>
        <v>1715319.7909483099</v>
      </c>
      <c r="BE19" s="1">
        <f t="shared" si="52"/>
        <v>1749626.1867672761</v>
      </c>
      <c r="BF19" s="1">
        <f t="shared" si="52"/>
        <v>1784618.7105026217</v>
      </c>
      <c r="BG19" s="1">
        <f t="shared" si="52"/>
        <v>1820311.0847126741</v>
      </c>
      <c r="BH19" s="1">
        <f t="shared" si="52"/>
        <v>1856717.3064069278</v>
      </c>
      <c r="BI19" s="1">
        <f t="shared" si="52"/>
        <v>1893851.6525350662</v>
      </c>
      <c r="BJ19" s="1">
        <f t="shared" si="52"/>
        <v>1931728.6855857675</v>
      </c>
      <c r="BK19" s="1">
        <f t="shared" si="52"/>
        <v>1970363.2592974829</v>
      </c>
      <c r="BL19" s="1">
        <f t="shared" si="52"/>
        <v>2009770.5244834325</v>
      </c>
      <c r="BM19" s="1">
        <f t="shared" si="52"/>
        <v>2049965.9349731011</v>
      </c>
      <c r="BN19" s="1">
        <f t="shared" si="52"/>
        <v>2090965.2536725632</v>
      </c>
      <c r="BO19" s="1">
        <f t="shared" si="52"/>
        <v>2132784.5587460147</v>
      </c>
      <c r="BP19" s="1">
        <f t="shared" si="52"/>
        <v>2175440.2499209349</v>
      </c>
      <c r="BQ19" s="1">
        <f t="shared" si="52"/>
        <v>2218949.0549193537</v>
      </c>
      <c r="BR19" s="1">
        <f t="shared" si="52"/>
        <v>2263328.0360177406</v>
      </c>
      <c r="BS19" s="1">
        <f t="shared" si="52"/>
        <v>2308594.5967380954</v>
      </c>
      <c r="BT19" s="1">
        <f t="shared" si="52"/>
        <v>2354766.4886728572</v>
      </c>
      <c r="BU19" s="1">
        <f t="shared" si="52"/>
        <v>2401861.8184463144</v>
      </c>
      <c r="BV19" s="1">
        <f t="shared" si="52"/>
        <v>2449899.0548152407</v>
      </c>
      <c r="BW19" s="1">
        <f t="shared" si="52"/>
        <v>2498897.0359115456</v>
      </c>
      <c r="BX19" s="1">
        <f t="shared" si="52"/>
        <v>2548874.9766297764</v>
      </c>
      <c r="BY19" s="1">
        <f t="shared" si="52"/>
        <v>2599852.4761623722</v>
      </c>
      <c r="BZ19" s="1">
        <f t="shared" si="52"/>
        <v>2651849.5256856196</v>
      </c>
      <c r="CA19" s="1">
        <f t="shared" si="52"/>
        <v>2704886.5161993322</v>
      </c>
      <c r="CB19" s="1">
        <f t="shared" si="52"/>
        <v>2758984.2465233188</v>
      </c>
      <c r="CC19" s="1">
        <f t="shared" si="52"/>
        <v>2814163.9314537854</v>
      </c>
      <c r="CD19" s="1">
        <f t="shared" ref="CD19:CU19" si="53">+CC19*(1+$S24)</f>
        <v>2870447.2100828611</v>
      </c>
      <c r="CE19" s="1">
        <f t="shared" si="53"/>
        <v>2927856.1542845182</v>
      </c>
      <c r="CF19" s="1">
        <f t="shared" si="53"/>
        <v>2986413.2773702084</v>
      </c>
      <c r="CG19" s="1">
        <f t="shared" si="53"/>
        <v>3046141.5429176125</v>
      </c>
      <c r="CH19" s="1">
        <f t="shared" si="53"/>
        <v>3107064.3737759646</v>
      </c>
      <c r="CI19" s="1">
        <f t="shared" si="53"/>
        <v>3169205.661251484</v>
      </c>
      <c r="CJ19" s="1">
        <f t="shared" si="53"/>
        <v>3232589.7744765137</v>
      </c>
      <c r="CK19" s="1">
        <f t="shared" si="53"/>
        <v>3297241.5699660443</v>
      </c>
      <c r="CL19" s="1">
        <f t="shared" si="53"/>
        <v>3363186.4013653654</v>
      </c>
      <c r="CM19" s="1">
        <f t="shared" si="53"/>
        <v>3430450.1293926728</v>
      </c>
      <c r="CN19" s="1">
        <f t="shared" si="53"/>
        <v>3499059.1319805263</v>
      </c>
      <c r="CO19" s="1">
        <f t="shared" si="53"/>
        <v>3569040.3146201367</v>
      </c>
      <c r="CP19" s="1">
        <f t="shared" si="53"/>
        <v>3640421.1209125398</v>
      </c>
      <c r="CQ19" s="1">
        <f t="shared" si="53"/>
        <v>3713229.5433307905</v>
      </c>
      <c r="CR19" s="1">
        <f t="shared" si="53"/>
        <v>3787494.1341974065</v>
      </c>
      <c r="CS19" s="1">
        <f t="shared" si="53"/>
        <v>3863244.0168813546</v>
      </c>
      <c r="CT19" s="1">
        <f t="shared" si="53"/>
        <v>3940508.8972189818</v>
      </c>
      <c r="CU19" s="1">
        <f t="shared" si="53"/>
        <v>4019319.0751633616</v>
      </c>
      <c r="CV19" s="1">
        <f>+CU19*(1+$S24)</f>
        <v>4099705.4566666288</v>
      </c>
      <c r="CW19" s="1">
        <f t="shared" ref="CW19:DW19" si="54">+CV19*(1+$S24)</f>
        <v>4181699.5657999613</v>
      </c>
      <c r="CX19" s="1">
        <f t="shared" si="54"/>
        <v>4265333.5571159609</v>
      </c>
      <c r="CY19" s="1">
        <f t="shared" si="54"/>
        <v>4350640.2282582801</v>
      </c>
      <c r="CZ19" s="1">
        <f t="shared" si="54"/>
        <v>4437653.0328234462</v>
      </c>
      <c r="DA19" s="1">
        <f t="shared" si="54"/>
        <v>4526406.0934799155</v>
      </c>
      <c r="DB19" s="1">
        <f t="shared" si="54"/>
        <v>4616934.215349514</v>
      </c>
      <c r="DC19" s="1">
        <f t="shared" si="54"/>
        <v>4709272.8996565044</v>
      </c>
      <c r="DD19" s="1">
        <f t="shared" si="54"/>
        <v>4803458.3576496346</v>
      </c>
      <c r="DE19" s="1">
        <f t="shared" si="54"/>
        <v>4899527.524802627</v>
      </c>
      <c r="DF19" s="1">
        <f t="shared" si="54"/>
        <v>4997518.07529868</v>
      </c>
      <c r="DG19" s="1">
        <f t="shared" si="54"/>
        <v>5097468.4368046541</v>
      </c>
      <c r="DH19" s="1">
        <f t="shared" si="54"/>
        <v>5199417.805540747</v>
      </c>
      <c r="DI19" s="1">
        <f t="shared" si="54"/>
        <v>5303406.161651562</v>
      </c>
      <c r="DJ19" s="1">
        <f t="shared" si="54"/>
        <v>5409474.2848845934</v>
      </c>
      <c r="DK19" s="1">
        <f t="shared" si="54"/>
        <v>5517663.7705822857</v>
      </c>
      <c r="DL19" s="1">
        <f t="shared" si="54"/>
        <v>5628017.0459939316</v>
      </c>
      <c r="DM19" s="1">
        <f t="shared" si="54"/>
        <v>5740577.3869138099</v>
      </c>
      <c r="DN19" s="1">
        <f t="shared" si="54"/>
        <v>5855388.9346520863</v>
      </c>
      <c r="DO19" s="1">
        <f t="shared" si="54"/>
        <v>5972496.7133451281</v>
      </c>
      <c r="DP19" s="1">
        <f t="shared" si="54"/>
        <v>6091946.6476120306</v>
      </c>
      <c r="DQ19" s="1">
        <f t="shared" si="54"/>
        <v>6213785.5805642717</v>
      </c>
      <c r="DR19" s="1">
        <f t="shared" si="54"/>
        <v>6338061.2921755575</v>
      </c>
      <c r="DS19" s="1">
        <f t="shared" si="54"/>
        <v>6464822.518019069</v>
      </c>
      <c r="DT19" s="1">
        <f t="shared" si="54"/>
        <v>6594118.96837945</v>
      </c>
      <c r="DU19" s="1">
        <f t="shared" si="54"/>
        <v>6726001.347747039</v>
      </c>
      <c r="DV19" s="1">
        <f t="shared" si="54"/>
        <v>6860521.3747019796</v>
      </c>
      <c r="DW19" s="1">
        <f t="shared" si="54"/>
        <v>6997731.8021960193</v>
      </c>
    </row>
    <row r="20" spans="2:127" s="4" customFormat="1" x14ac:dyDescent="0.25">
      <c r="B20" s="4" t="s">
        <v>25</v>
      </c>
      <c r="F20" s="4">
        <f>+F19/F21</f>
        <v>0.15708997778797767</v>
      </c>
      <c r="G20" s="4">
        <f>+G19/G21</f>
        <v>0.93590004766129031</v>
      </c>
      <c r="H20" s="4">
        <f t="shared" ref="H20:P20" si="55">+H19/H21</f>
        <v>1.0954016905652495</v>
      </c>
      <c r="I20" s="4">
        <f t="shared" si="55"/>
        <v>1.2759963024034608</v>
      </c>
      <c r="J20" s="4">
        <f t="shared" si="55"/>
        <v>1.4764354922702023</v>
      </c>
      <c r="K20" s="4">
        <f t="shared" si="55"/>
        <v>1.6988073693492176</v>
      </c>
      <c r="L20" s="4">
        <f t="shared" si="55"/>
        <v>1.9454138923562829</v>
      </c>
      <c r="M20" s="4">
        <f t="shared" si="55"/>
        <v>2.218792507862644</v>
      </c>
      <c r="N20" s="4">
        <f t="shared" si="55"/>
        <v>2.5217399651049233</v>
      </c>
      <c r="O20" s="4">
        <f t="shared" si="55"/>
        <v>2.8573385255629673</v>
      </c>
      <c r="P20" s="4">
        <f t="shared" si="55"/>
        <v>3.2289816069452084</v>
      </c>
    </row>
    <row r="21" spans="2:127" s="1" customFormat="1" x14ac:dyDescent="0.25">
      <c r="B21" s="1" t="s">
        <v>24</v>
      </c>
      <c r="F21" s="1">
        <v>240587.277</v>
      </c>
      <c r="G21" s="1">
        <v>240587.277</v>
      </c>
      <c r="H21" s="1">
        <f>+G21+0</f>
        <v>240587.277</v>
      </c>
      <c r="I21" s="1">
        <f t="shared" ref="I21:O21" si="56">+H21+0</f>
        <v>240587.277</v>
      </c>
      <c r="J21" s="1">
        <f t="shared" si="56"/>
        <v>240587.277</v>
      </c>
      <c r="K21" s="1">
        <f t="shared" si="56"/>
        <v>240587.277</v>
      </c>
      <c r="L21" s="1">
        <f t="shared" si="56"/>
        <v>240587.277</v>
      </c>
      <c r="M21" s="1">
        <f t="shared" si="56"/>
        <v>240587.277</v>
      </c>
      <c r="N21" s="1">
        <f t="shared" si="56"/>
        <v>240587.277</v>
      </c>
      <c r="O21" s="1">
        <f t="shared" si="56"/>
        <v>240587.277</v>
      </c>
      <c r="P21" s="1">
        <f t="shared" ref="P21" si="57">+O21+0</f>
        <v>240587.277</v>
      </c>
    </row>
    <row r="22" spans="2:127" s="1" customFormat="1" x14ac:dyDescent="0.25"/>
    <row r="23" spans="2:127" s="3" customFormat="1" x14ac:dyDescent="0.25">
      <c r="B23" s="3" t="s">
        <v>14</v>
      </c>
      <c r="D23" s="3">
        <f>+D8/D6</f>
        <v>0.62333836039208312</v>
      </c>
      <c r="E23" s="3">
        <f>+E8/E6</f>
        <v>0.60273386931595596</v>
      </c>
      <c r="F23" s="3">
        <f>+F8/F6</f>
        <v>0.63555856832971802</v>
      </c>
      <c r="G23" s="3">
        <f>+G8/G6</f>
        <v>0.65</v>
      </c>
      <c r="H23" s="3">
        <f t="shared" ref="H23:O23" si="58">+H8/H6</f>
        <v>0.65</v>
      </c>
      <c r="I23" s="3">
        <f t="shared" si="58"/>
        <v>0.65</v>
      </c>
      <c r="J23" s="3">
        <f t="shared" si="58"/>
        <v>0.65</v>
      </c>
      <c r="K23" s="3">
        <f t="shared" si="58"/>
        <v>0.65</v>
      </c>
      <c r="L23" s="3">
        <f t="shared" si="58"/>
        <v>0.65</v>
      </c>
      <c r="M23" s="3">
        <f t="shared" si="58"/>
        <v>0.65</v>
      </c>
      <c r="N23" s="3">
        <f t="shared" si="58"/>
        <v>0.65000000000000013</v>
      </c>
      <c r="O23" s="3">
        <f t="shared" si="58"/>
        <v>0.65</v>
      </c>
      <c r="P23" s="3">
        <f t="shared" ref="P23" si="59">+P8/P6</f>
        <v>0.64999999999999991</v>
      </c>
      <c r="R23" s="3" t="s">
        <v>26</v>
      </c>
      <c r="S23" s="3">
        <v>0.1</v>
      </c>
    </row>
    <row r="24" spans="2:127" s="3" customFormat="1" x14ac:dyDescent="0.25">
      <c r="B24" s="3" t="s">
        <v>15</v>
      </c>
      <c r="D24" s="3">
        <f>+D14/D6</f>
        <v>-0.23010801086283814</v>
      </c>
      <c r="E24" s="3">
        <f>+E14/E6</f>
        <v>-6.7526452790642635E-2</v>
      </c>
      <c r="F24" s="3">
        <f>+F14/F6</f>
        <v>5.0118949488689217E-2</v>
      </c>
      <c r="G24" s="3">
        <f>+G14/G6</f>
        <v>0.17220977705202314</v>
      </c>
      <c r="H24" s="3">
        <f t="shared" ref="H24:O24" si="60">+H14/H6</f>
        <v>0.18303124398789472</v>
      </c>
      <c r="I24" s="3">
        <f t="shared" si="60"/>
        <v>0.19339058960872255</v>
      </c>
      <c r="J24" s="3">
        <f t="shared" si="60"/>
        <v>0.20305078704543617</v>
      </c>
      <c r="K24" s="3">
        <f t="shared" si="60"/>
        <v>0.21206614607308932</v>
      </c>
      <c r="L24" s="3">
        <f t="shared" si="60"/>
        <v>0.22048628177044044</v>
      </c>
      <c r="M24" s="3">
        <f t="shared" si="60"/>
        <v>0.22835654807124897</v>
      </c>
      <c r="N24" s="3">
        <f t="shared" si="60"/>
        <v>0.23571842981591309</v>
      </c>
      <c r="O24" s="3">
        <f t="shared" si="60"/>
        <v>0.24260989734881661</v>
      </c>
      <c r="P24" s="3">
        <f t="shared" ref="P24" si="61">+P14/P6</f>
        <v>0.24906548177861709</v>
      </c>
      <c r="R24" s="3" t="s">
        <v>27</v>
      </c>
      <c r="S24" s="3">
        <v>0.02</v>
      </c>
    </row>
    <row r="25" spans="2:127" s="3" customFormat="1" x14ac:dyDescent="0.25">
      <c r="B25" s="3" t="s">
        <v>21</v>
      </c>
      <c r="E25" s="3">
        <f>+E6/D6 -1</f>
        <v>0.3801595393585766</v>
      </c>
      <c r="F25" s="3">
        <f t="shared" ref="F25:O25" si="62">+F6/E6 -1</f>
        <v>0.28341522877363645</v>
      </c>
      <c r="G25" s="3">
        <f t="shared" si="62"/>
        <v>0.34025410598078709</v>
      </c>
      <c r="H25" s="3">
        <f t="shared" si="62"/>
        <v>9.8265895953757232E-2</v>
      </c>
      <c r="I25" s="3">
        <f t="shared" si="62"/>
        <v>0.10000000000000009</v>
      </c>
      <c r="J25" s="3">
        <f t="shared" si="62"/>
        <v>0.10000000000000009</v>
      </c>
      <c r="K25" s="3">
        <f t="shared" si="62"/>
        <v>0.10000000000000009</v>
      </c>
      <c r="L25" s="3">
        <f t="shared" si="62"/>
        <v>0.10000000000000009</v>
      </c>
      <c r="M25" s="3">
        <f t="shared" si="62"/>
        <v>0.10000000000000009</v>
      </c>
      <c r="N25" s="3">
        <f t="shared" si="62"/>
        <v>0.10000000000000009</v>
      </c>
      <c r="O25" s="3">
        <f t="shared" si="62"/>
        <v>0.10000000000000009</v>
      </c>
      <c r="P25" s="3">
        <f t="shared" ref="P25" si="63">+P6/O6 -1</f>
        <v>0.10000000000000009</v>
      </c>
      <c r="R25" s="3" t="s">
        <v>28</v>
      </c>
      <c r="S25" s="5">
        <f>NPV(S23,G19:ED19)</f>
        <v>6379621.1969506387</v>
      </c>
    </row>
    <row r="26" spans="2:127" s="1" customFormat="1" x14ac:dyDescent="0.25">
      <c r="R26" s="1" t="s">
        <v>29</v>
      </c>
      <c r="S26" s="1">
        <f>385174-196884</f>
        <v>188290</v>
      </c>
    </row>
    <row r="27" spans="2:127" s="1" customFormat="1" x14ac:dyDescent="0.25">
      <c r="B27" s="1" t="s">
        <v>16</v>
      </c>
      <c r="D27" s="1">
        <v>90523</v>
      </c>
      <c r="E27" s="1">
        <v>133861</v>
      </c>
      <c r="F27" s="1">
        <f>134767*1.3</f>
        <v>175197.1</v>
      </c>
      <c r="R27" s="1" t="s">
        <v>30</v>
      </c>
      <c r="S27" s="1">
        <f>+S25+S26</f>
        <v>6567911.1969506387</v>
      </c>
    </row>
    <row r="28" spans="2:127" s="1" customFormat="1" x14ac:dyDescent="0.25">
      <c r="B28" s="1" t="s">
        <v>17</v>
      </c>
      <c r="D28" s="1">
        <f>20483+15487</f>
        <v>35970</v>
      </c>
      <c r="E28" s="1">
        <f>16040+25727</f>
        <v>41767</v>
      </c>
      <c r="F28" s="1">
        <f>25000*1.33</f>
        <v>33250</v>
      </c>
      <c r="R28" s="2" t="s">
        <v>31</v>
      </c>
      <c r="S28" s="6">
        <f>+S27/P21</f>
        <v>27.299495130620056</v>
      </c>
    </row>
    <row r="29" spans="2:127" s="2" customFormat="1" x14ac:dyDescent="0.25">
      <c r="B29" s="2" t="s">
        <v>18</v>
      </c>
      <c r="D29" s="2">
        <f>+D27-D28</f>
        <v>54553</v>
      </c>
      <c r="E29" s="2">
        <f>+E27-E28</f>
        <v>92094</v>
      </c>
      <c r="F29" s="2">
        <f>+F27-F28</f>
        <v>141947.1</v>
      </c>
      <c r="R29" s="1" t="s">
        <v>32</v>
      </c>
      <c r="S29" s="1">
        <f>+S28*0.7</f>
        <v>19.109646591434039</v>
      </c>
    </row>
    <row r="30" spans="2:127" s="1" customFormat="1" x14ac:dyDescent="0.25">
      <c r="B30" s="1" t="s">
        <v>19</v>
      </c>
      <c r="D30" s="1">
        <v>242881</v>
      </c>
      <c r="E30" s="1">
        <v>194984</v>
      </c>
      <c r="F30" s="1">
        <f>134090*1.33</f>
        <v>178339.7</v>
      </c>
    </row>
    <row r="31" spans="2:127" s="1" customFormat="1" x14ac:dyDescent="0.25">
      <c r="B31" s="1" t="s">
        <v>20</v>
      </c>
      <c r="D31" s="1">
        <f>+D29-D30</f>
        <v>-188328</v>
      </c>
      <c r="E31" s="1">
        <f>+E29-E30</f>
        <v>-102890</v>
      </c>
      <c r="F31" s="1">
        <f>+F29-F30</f>
        <v>-36392.600000000006</v>
      </c>
    </row>
    <row r="32" spans="2:127" s="1" customFormat="1" x14ac:dyDescent="0.25"/>
    <row r="33" spans="2:15" s="3" customFormat="1" x14ac:dyDescent="0.25">
      <c r="B33" s="3" t="s">
        <v>3</v>
      </c>
      <c r="D33" s="3">
        <f>+D9/D$6</f>
        <v>0.28188900309170972</v>
      </c>
      <c r="E33" s="3">
        <f t="shared" ref="E33:O33" si="64">+E9/E$6</f>
        <v>0.20342449545316249</v>
      </c>
      <c r="F33" s="3">
        <f t="shared" si="64"/>
        <v>0.17784370932754881</v>
      </c>
      <c r="G33" s="3">
        <f t="shared" si="64"/>
        <v>0.13932872427745666</v>
      </c>
      <c r="H33" s="3">
        <f t="shared" si="64"/>
        <v>0.13320559350000002</v>
      </c>
      <c r="I33" s="3">
        <f t="shared" si="64"/>
        <v>0.12715079379545455</v>
      </c>
      <c r="J33" s="3">
        <f t="shared" si="64"/>
        <v>0.12137121225929753</v>
      </c>
      <c r="K33" s="3">
        <f t="shared" si="64"/>
        <v>0.115854338974784</v>
      </c>
      <c r="L33" s="3">
        <f t="shared" si="64"/>
        <v>0.11058823265774835</v>
      </c>
      <c r="M33" s="3">
        <f t="shared" si="64"/>
        <v>0.10556149480966888</v>
      </c>
      <c r="N33" s="3">
        <f t="shared" si="64"/>
        <v>0.10076324504559302</v>
      </c>
      <c r="O33" s="3">
        <f t="shared" si="64"/>
        <v>9.6183097543520613E-2</v>
      </c>
    </row>
    <row r="34" spans="2:15" s="3" customFormat="1" x14ac:dyDescent="0.25">
      <c r="B34" s="3" t="s">
        <v>4</v>
      </c>
      <c r="D34" s="3">
        <f t="shared" ref="D34:F35" si="65">+D10/D$6</f>
        <v>0.3958170662926791</v>
      </c>
      <c r="E34" s="3">
        <f t="shared" si="65"/>
        <v>0.3127146399616606</v>
      </c>
      <c r="F34" s="3">
        <f t="shared" si="65"/>
        <v>0.25457939262472884</v>
      </c>
      <c r="G34" s="3">
        <f t="shared" ref="G34:O34" si="66">+G10/G$6</f>
        <v>0.2</v>
      </c>
      <c r="H34" s="3">
        <f t="shared" si="66"/>
        <v>0.2</v>
      </c>
      <c r="I34" s="3">
        <f t="shared" si="66"/>
        <v>0.2</v>
      </c>
      <c r="J34" s="3">
        <f t="shared" si="66"/>
        <v>0.2</v>
      </c>
      <c r="K34" s="3">
        <f t="shared" si="66"/>
        <v>0.2</v>
      </c>
      <c r="L34" s="3">
        <f t="shared" si="66"/>
        <v>0.20000000000000004</v>
      </c>
      <c r="M34" s="3">
        <f t="shared" si="66"/>
        <v>0.2</v>
      </c>
      <c r="N34" s="3">
        <f t="shared" si="66"/>
        <v>0.2</v>
      </c>
      <c r="O34" s="3">
        <f t="shared" si="66"/>
        <v>0.20000000000000004</v>
      </c>
    </row>
    <row r="35" spans="2:15" s="3" customFormat="1" x14ac:dyDescent="0.25">
      <c r="B35" s="3" t="s">
        <v>5</v>
      </c>
      <c r="D35" s="3">
        <f t="shared" si="65"/>
        <v>0.10136773506531288</v>
      </c>
      <c r="E35" s="3">
        <f t="shared" si="65"/>
        <v>9.0160218105023698E-2</v>
      </c>
      <c r="F35" s="3">
        <f t="shared" si="65"/>
        <v>8.9851247288503258E-2</v>
      </c>
      <c r="G35" s="3">
        <f t="shared" ref="G35:O35" si="67">+G11/G$6</f>
        <v>0.09</v>
      </c>
      <c r="H35" s="3">
        <f t="shared" si="67"/>
        <v>0.09</v>
      </c>
      <c r="I35" s="3">
        <f t="shared" si="67"/>
        <v>0.09</v>
      </c>
      <c r="J35" s="3">
        <f t="shared" si="67"/>
        <v>0.09</v>
      </c>
      <c r="K35" s="3">
        <f t="shared" si="67"/>
        <v>0.09</v>
      </c>
      <c r="L35" s="3">
        <f t="shared" si="67"/>
        <v>0.09</v>
      </c>
      <c r="M35" s="3">
        <f t="shared" si="67"/>
        <v>0.09</v>
      </c>
      <c r="N35" s="3">
        <f t="shared" si="67"/>
        <v>9.0000000000000011E-2</v>
      </c>
      <c r="O35" s="3">
        <f t="shared" si="67"/>
        <v>8.9999999999999983E-2</v>
      </c>
    </row>
    <row r="36" spans="2:15" s="1" customFormat="1" x14ac:dyDescent="0.25"/>
    <row r="37" spans="2:15" s="1" customFormat="1" x14ac:dyDescent="0.25"/>
    <row r="38" spans="2:15" s="1" customFormat="1" x14ac:dyDescent="0.25"/>
    <row r="39" spans="2:15" s="1" customFormat="1" x14ac:dyDescent="0.25"/>
    <row r="40" spans="2:15" s="1" customFormat="1" x14ac:dyDescent="0.25"/>
    <row r="41" spans="2:15" s="1" customFormat="1" x14ac:dyDescent="0.25"/>
    <row r="42" spans="2:15" s="1" customFormat="1" x14ac:dyDescent="0.25"/>
    <row r="43" spans="2:15" s="1" customFormat="1" x14ac:dyDescent="0.25"/>
    <row r="44" spans="2:15" s="1" customFormat="1" x14ac:dyDescent="0.25"/>
    <row r="45" spans="2:15" s="1" customFormat="1" x14ac:dyDescent="0.25"/>
    <row r="46" spans="2:15" s="1" customFormat="1" x14ac:dyDescent="0.25"/>
    <row r="47" spans="2:15" s="1" customFormat="1" x14ac:dyDescent="0.25"/>
    <row r="48" spans="2:15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2026-01-26T14:13:38Z</dcterms:created>
  <dcterms:modified xsi:type="dcterms:W3CDTF">2026-02-11T18:05:41Z</dcterms:modified>
</cp:coreProperties>
</file>