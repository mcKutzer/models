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697F6705-8AC7-44D8-8253-13164BDD19C9}" xr6:coauthVersionLast="47" xr6:coauthVersionMax="47" xr10:uidLastSave="{00000000-0000-0000-0000-000000000000}"/>
  <bookViews>
    <workbookView xWindow="-120" yWindow="-120" windowWidth="29040" windowHeight="15840" activeTab="1" xr2:uid="{146B5136-1274-4DBE-9014-C5FC57F85FB3}"/>
  </bookViews>
  <sheets>
    <sheet name="Main" sheetId="2" r:id="rId1"/>
    <sheet name="Model" sheetId="1" r:id="rId2"/>
  </sheets>
  <definedNames>
    <definedName name="Neutron">Main!$M$14</definedName>
    <definedName name="shares">Main!$E$6</definedName>
    <definedName name="TCF">Model!#REF!</definedName>
    <definedName name="TR">Model!$AJ$56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9" i="1" l="1"/>
  <c r="W47" i="1"/>
  <c r="W46" i="1"/>
  <c r="W45" i="1"/>
  <c r="W42" i="1"/>
  <c r="W41" i="1"/>
  <c r="W39" i="1"/>
  <c r="W40" i="1"/>
  <c r="W38" i="1"/>
  <c r="W36" i="1"/>
  <c r="W37" i="1"/>
  <c r="X41" i="1"/>
  <c r="Y41" i="1" s="1"/>
  <c r="Z41" i="1" s="1"/>
  <c r="AA41" i="1" s="1"/>
  <c r="AB41" i="1" s="1"/>
  <c r="AC41" i="1" s="1"/>
  <c r="AD41" i="1" s="1"/>
  <c r="AE41" i="1" s="1"/>
  <c r="AF41" i="1" s="1"/>
  <c r="AG41" i="1" s="1"/>
  <c r="V39" i="1"/>
  <c r="N42" i="1"/>
  <c r="M42" i="1"/>
  <c r="N41" i="1"/>
  <c r="M41" i="1"/>
  <c r="N39" i="1"/>
  <c r="N40" i="1" s="1"/>
  <c r="N54" i="1" s="1"/>
  <c r="M39" i="1"/>
  <c r="M40" i="1" s="1"/>
  <c r="M54" i="1" s="1"/>
  <c r="K54" i="1"/>
  <c r="L54" i="1"/>
  <c r="K55" i="1"/>
  <c r="L55" i="1"/>
  <c r="K56" i="1"/>
  <c r="L56" i="1"/>
  <c r="M56" i="1"/>
  <c r="N56" i="1"/>
  <c r="M43" i="1"/>
  <c r="N38" i="1"/>
  <c r="M38" i="1"/>
  <c r="V38" i="1"/>
  <c r="L69" i="1"/>
  <c r="L67" i="1"/>
  <c r="L70" i="1" s="1"/>
  <c r="H67" i="1"/>
  <c r="K43" i="1"/>
  <c r="L43" i="1"/>
  <c r="K40" i="1"/>
  <c r="L40" i="1"/>
  <c r="Y45" i="1"/>
  <c r="Z45" i="1" s="1"/>
  <c r="AA45" i="1" s="1"/>
  <c r="AB45" i="1" s="1"/>
  <c r="AC45" i="1" s="1"/>
  <c r="AD45" i="1" s="1"/>
  <c r="AE45" i="1" s="1"/>
  <c r="AF45" i="1" s="1"/>
  <c r="AG45" i="1" s="1"/>
  <c r="AD21" i="1"/>
  <c r="AE21" i="1"/>
  <c r="AF21" i="1"/>
  <c r="AF23" i="1" s="1"/>
  <c r="AG21" i="1"/>
  <c r="AG23" i="1" s="1"/>
  <c r="AD28" i="1"/>
  <c r="AD30" i="1" s="1"/>
  <c r="AE28" i="1"/>
  <c r="AF28" i="1"/>
  <c r="AF30" i="1" s="1"/>
  <c r="AG28" i="1"/>
  <c r="AG30" i="1" s="1"/>
  <c r="V69" i="1"/>
  <c r="V67" i="1"/>
  <c r="U67" i="1"/>
  <c r="V36" i="1"/>
  <c r="V21" i="1" s="1"/>
  <c r="AA21" i="1"/>
  <c r="AA23" i="1" s="1"/>
  <c r="Y21" i="1"/>
  <c r="Y23" i="1" s="1"/>
  <c r="X21" i="1"/>
  <c r="V49" i="1"/>
  <c r="V47" i="1"/>
  <c r="V46" i="1"/>
  <c r="V45" i="1"/>
  <c r="V42" i="1"/>
  <c r="V41" i="1"/>
  <c r="X69" i="1"/>
  <c r="Y69" i="1" s="1"/>
  <c r="G62" i="1"/>
  <c r="H61" i="1"/>
  <c r="H60" i="1"/>
  <c r="F69" i="1"/>
  <c r="F67" i="1"/>
  <c r="F70" i="1" s="1"/>
  <c r="G67" i="1"/>
  <c r="G73" i="1" s="1"/>
  <c r="G69" i="1"/>
  <c r="H70" i="1"/>
  <c r="J43" i="1"/>
  <c r="I43" i="1"/>
  <c r="G56" i="1"/>
  <c r="H43" i="1"/>
  <c r="H21" i="1"/>
  <c r="H36" i="1" s="1"/>
  <c r="I21" i="1"/>
  <c r="I56" i="1" s="1"/>
  <c r="J21" i="1"/>
  <c r="Z37" i="1"/>
  <c r="Y37" i="1"/>
  <c r="X37" i="1"/>
  <c r="U37" i="1"/>
  <c r="T37" i="1"/>
  <c r="C21" i="1"/>
  <c r="C36" i="1" s="1"/>
  <c r="C37" i="1" s="1"/>
  <c r="D21" i="1"/>
  <c r="D36" i="1" s="1"/>
  <c r="D37" i="1" s="1"/>
  <c r="H58" i="1" s="1"/>
  <c r="E21" i="1"/>
  <c r="E36" i="1" s="1"/>
  <c r="E37" i="1" s="1"/>
  <c r="F21" i="1"/>
  <c r="F36" i="1" s="1"/>
  <c r="G21" i="1"/>
  <c r="F49" i="1"/>
  <c r="F46" i="1"/>
  <c r="F45" i="1"/>
  <c r="F42" i="1"/>
  <c r="F41" i="1"/>
  <c r="F39" i="1"/>
  <c r="F38" i="1"/>
  <c r="C47" i="1"/>
  <c r="F47" i="1" s="1"/>
  <c r="G40" i="1"/>
  <c r="G54" i="1" s="1"/>
  <c r="G43" i="1"/>
  <c r="E43" i="1"/>
  <c r="E40" i="1"/>
  <c r="D43" i="1"/>
  <c r="D40" i="1"/>
  <c r="C43" i="1"/>
  <c r="C40" i="1"/>
  <c r="V7" i="1"/>
  <c r="W7" i="1" s="1"/>
  <c r="X7" i="1" s="1"/>
  <c r="Y7" i="1" s="1"/>
  <c r="Z7" i="1" s="1"/>
  <c r="V6" i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V5" i="1"/>
  <c r="V4" i="1"/>
  <c r="W4" i="1" s="1"/>
  <c r="X4" i="1" s="1"/>
  <c r="Y4" i="1" s="1"/>
  <c r="Z4" i="1" s="1"/>
  <c r="AA4" i="1" s="1"/>
  <c r="U10" i="1"/>
  <c r="U3" i="1"/>
  <c r="U8" i="1" s="1"/>
  <c r="R6" i="2"/>
  <c r="AA32" i="1"/>
  <c r="AB32" i="1" s="1"/>
  <c r="AC32" i="1" s="1"/>
  <c r="AC37" i="1" s="1"/>
  <c r="U34" i="1"/>
  <c r="Z34" i="1"/>
  <c r="Y34" i="1"/>
  <c r="X34" i="1"/>
  <c r="W34" i="1"/>
  <c r="AC28" i="1"/>
  <c r="AC30" i="1" s="1"/>
  <c r="AB28" i="1"/>
  <c r="AB30" i="1" s="1"/>
  <c r="AA28" i="1"/>
  <c r="AA30" i="1" s="1"/>
  <c r="Z28" i="1"/>
  <c r="Y28" i="1"/>
  <c r="X28" i="1"/>
  <c r="X30" i="1" s="1"/>
  <c r="W28" i="1"/>
  <c r="W30" i="1" s="1"/>
  <c r="Z21" i="1"/>
  <c r="Z23" i="1" s="1"/>
  <c r="W21" i="1"/>
  <c r="U21" i="1"/>
  <c r="U9" i="1" s="1"/>
  <c r="T21" i="1"/>
  <c r="T36" i="1" s="1"/>
  <c r="U56" i="1"/>
  <c r="T56" i="1"/>
  <c r="T67" i="1"/>
  <c r="T69" i="1"/>
  <c r="U69" i="1"/>
  <c r="X1" i="1"/>
  <c r="Y1" i="1" s="1"/>
  <c r="Z1" i="1" s="1"/>
  <c r="AA1" i="1" s="1"/>
  <c r="AB1" i="1" s="1"/>
  <c r="AC1" i="1" s="1"/>
  <c r="AD1" i="1" s="1"/>
  <c r="AE1" i="1" s="1"/>
  <c r="AF1" i="1" s="1"/>
  <c r="AG1" i="1" s="1"/>
  <c r="Q1" i="1"/>
  <c r="T62" i="1"/>
  <c r="U62" i="1"/>
  <c r="S62" i="1"/>
  <c r="S40" i="1"/>
  <c r="S54" i="1" s="1"/>
  <c r="T40" i="1"/>
  <c r="T54" i="1" s="1"/>
  <c r="U40" i="1"/>
  <c r="U54" i="1" s="1"/>
  <c r="S43" i="1"/>
  <c r="T43" i="1"/>
  <c r="U43" i="1"/>
  <c r="S1" i="1"/>
  <c r="T1" i="1" s="1"/>
  <c r="U1" i="1" s="1"/>
  <c r="V1" i="1" s="1"/>
  <c r="E8" i="2"/>
  <c r="E7" i="2"/>
  <c r="X46" i="1" l="1"/>
  <c r="Y46" i="1" s="1"/>
  <c r="Z46" i="1" s="1"/>
  <c r="AA46" i="1" s="1"/>
  <c r="AB46" i="1" s="1"/>
  <c r="AC46" i="1" s="1"/>
  <c r="AD46" i="1" s="1"/>
  <c r="AE46" i="1" s="1"/>
  <c r="AF46" i="1" s="1"/>
  <c r="AG46" i="1" s="1"/>
  <c r="N43" i="1"/>
  <c r="N44" i="1" s="1"/>
  <c r="N48" i="1" s="1"/>
  <c r="N50" i="1" s="1"/>
  <c r="N55" i="1" s="1"/>
  <c r="M44" i="1"/>
  <c r="M48" i="1" s="1"/>
  <c r="M50" i="1" s="1"/>
  <c r="M55" i="1" s="1"/>
  <c r="AE36" i="1"/>
  <c r="AF36" i="1"/>
  <c r="L44" i="1"/>
  <c r="L48" i="1" s="1"/>
  <c r="L50" i="1" s="1"/>
  <c r="K44" i="1"/>
  <c r="K48" i="1" s="1"/>
  <c r="K50" i="1" s="1"/>
  <c r="V23" i="1"/>
  <c r="V20" i="1"/>
  <c r="AF57" i="1"/>
  <c r="AD36" i="1"/>
  <c r="AE23" i="1"/>
  <c r="AD23" i="1"/>
  <c r="V70" i="1"/>
  <c r="AG36" i="1"/>
  <c r="AD32" i="1"/>
  <c r="X42" i="1"/>
  <c r="Y42" i="1" s="1"/>
  <c r="Z42" i="1" s="1"/>
  <c r="AA42" i="1" s="1"/>
  <c r="AB42" i="1" s="1"/>
  <c r="AC42" i="1" s="1"/>
  <c r="AD42" i="1" s="1"/>
  <c r="AE30" i="1"/>
  <c r="U73" i="1"/>
  <c r="H62" i="1"/>
  <c r="I36" i="1"/>
  <c r="I37" i="1" s="1"/>
  <c r="I58" i="1" s="1"/>
  <c r="V43" i="1"/>
  <c r="I57" i="1"/>
  <c r="G70" i="1"/>
  <c r="G72" i="1" s="1"/>
  <c r="G36" i="1"/>
  <c r="G37" i="1" s="1"/>
  <c r="G58" i="1" s="1"/>
  <c r="F37" i="1"/>
  <c r="H73" i="1"/>
  <c r="U12" i="1"/>
  <c r="H57" i="1"/>
  <c r="H56" i="1"/>
  <c r="I40" i="1"/>
  <c r="X36" i="1"/>
  <c r="F43" i="1"/>
  <c r="U36" i="1"/>
  <c r="U11" i="1" s="1"/>
  <c r="AA37" i="1"/>
  <c r="AA58" i="1" s="1"/>
  <c r="F40" i="1"/>
  <c r="AB37" i="1"/>
  <c r="Y36" i="1"/>
  <c r="Z36" i="1"/>
  <c r="AA36" i="1"/>
  <c r="Z58" i="1"/>
  <c r="D44" i="1"/>
  <c r="D48" i="1" s="1"/>
  <c r="D50" i="1" s="1"/>
  <c r="D51" i="1" s="1"/>
  <c r="E44" i="1"/>
  <c r="E48" i="1" s="1"/>
  <c r="E50" i="1" s="1"/>
  <c r="E51" i="1" s="1"/>
  <c r="C44" i="1"/>
  <c r="C48" i="1" s="1"/>
  <c r="C50" i="1" s="1"/>
  <c r="C51" i="1" s="1"/>
  <c r="G44" i="1"/>
  <c r="G48" i="1" s="1"/>
  <c r="G50" i="1" s="1"/>
  <c r="X58" i="1"/>
  <c r="Y58" i="1"/>
  <c r="U58" i="1"/>
  <c r="W58" i="1"/>
  <c r="V58" i="1"/>
  <c r="V10" i="1"/>
  <c r="W5" i="1"/>
  <c r="X5" i="1" s="1"/>
  <c r="Y5" i="1" s="1"/>
  <c r="Z5" i="1" s="1"/>
  <c r="AA5" i="1" s="1"/>
  <c r="AB5" i="1" s="1"/>
  <c r="AC5" i="1" s="1"/>
  <c r="AB4" i="1"/>
  <c r="AC4" i="1" s="1"/>
  <c r="AD4" i="1" s="1"/>
  <c r="AE4" i="1" s="1"/>
  <c r="AF4" i="1" s="1"/>
  <c r="AG4" i="1" s="1"/>
  <c r="X9" i="1"/>
  <c r="W9" i="1"/>
  <c r="Y9" i="1"/>
  <c r="V9" i="1"/>
  <c r="V3" i="1"/>
  <c r="V2" i="1" s="1"/>
  <c r="E9" i="2"/>
  <c r="AB34" i="1"/>
  <c r="AA34" i="1"/>
  <c r="AA40" i="1" s="1"/>
  <c r="U70" i="1"/>
  <c r="T70" i="1"/>
  <c r="Z30" i="1"/>
  <c r="Z40" i="1" s="1"/>
  <c r="Y30" i="1"/>
  <c r="Y40" i="1" s="1"/>
  <c r="X23" i="1"/>
  <c r="X40" i="1" s="1"/>
  <c r="W23" i="1"/>
  <c r="W43" i="1"/>
  <c r="U44" i="1"/>
  <c r="T44" i="1"/>
  <c r="T48" i="1" s="1"/>
  <c r="T50" i="1" s="1"/>
  <c r="S44" i="1"/>
  <c r="S48" i="1" s="1"/>
  <c r="S50" i="1" s="1"/>
  <c r="AE42" i="1" l="1"/>
  <c r="AD43" i="1"/>
  <c r="AD34" i="1"/>
  <c r="AD40" i="1" s="1"/>
  <c r="AD37" i="1"/>
  <c r="AE32" i="1"/>
  <c r="AC10" i="1"/>
  <c r="AD5" i="1"/>
  <c r="AG57" i="1"/>
  <c r="AE57" i="1"/>
  <c r="U72" i="1"/>
  <c r="G57" i="1"/>
  <c r="AB21" i="1"/>
  <c r="AC21" i="1"/>
  <c r="I44" i="1"/>
  <c r="I48" i="1" s="1"/>
  <c r="I50" i="1" s="1"/>
  <c r="I54" i="1"/>
  <c r="H72" i="1"/>
  <c r="V11" i="1"/>
  <c r="X38" i="1"/>
  <c r="X54" i="1" s="1"/>
  <c r="Z38" i="1"/>
  <c r="Y38" i="1"/>
  <c r="Y39" i="1" s="1"/>
  <c r="H40" i="1"/>
  <c r="AA38" i="1"/>
  <c r="AA54" i="1" s="1"/>
  <c r="U48" i="1"/>
  <c r="F44" i="1"/>
  <c r="G55" i="1"/>
  <c r="G51" i="1"/>
  <c r="W57" i="1"/>
  <c r="Y57" i="1"/>
  <c r="Z57" i="1"/>
  <c r="U57" i="1"/>
  <c r="AA57" i="1"/>
  <c r="X57" i="1"/>
  <c r="AB58" i="1"/>
  <c r="V57" i="1"/>
  <c r="X10" i="1"/>
  <c r="Y10" i="1"/>
  <c r="X3" i="1"/>
  <c r="X8" i="1" s="1"/>
  <c r="W3" i="1"/>
  <c r="W2" i="1" s="1"/>
  <c r="W10" i="1"/>
  <c r="Z10" i="1"/>
  <c r="V8" i="1"/>
  <c r="Z3" i="1"/>
  <c r="Z8" i="1" s="1"/>
  <c r="Y3" i="1"/>
  <c r="Y11" i="1" s="1"/>
  <c r="AC34" i="1"/>
  <c r="W44" i="1"/>
  <c r="Y43" i="1"/>
  <c r="X43" i="1"/>
  <c r="X44" i="1" s="1"/>
  <c r="AE37" i="1" l="1"/>
  <c r="AF32" i="1"/>
  <c r="AE34" i="1"/>
  <c r="AE40" i="1" s="1"/>
  <c r="AE5" i="1"/>
  <c r="AD10" i="1"/>
  <c r="AD38" i="1"/>
  <c r="AD58" i="1"/>
  <c r="AD44" i="1"/>
  <c r="AD39" i="1"/>
  <c r="AD54" i="1"/>
  <c r="AF42" i="1"/>
  <c r="AE43" i="1"/>
  <c r="AE44" i="1" s="1"/>
  <c r="AC23" i="1"/>
  <c r="AC40" i="1" s="1"/>
  <c r="AC36" i="1"/>
  <c r="AD57" i="1" s="1"/>
  <c r="AB23" i="1"/>
  <c r="AB40" i="1" s="1"/>
  <c r="AB36" i="1"/>
  <c r="I55" i="1"/>
  <c r="W48" i="1"/>
  <c r="W50" i="1" s="1"/>
  <c r="W54" i="1"/>
  <c r="W11" i="1"/>
  <c r="X11" i="1"/>
  <c r="Z11" i="1"/>
  <c r="H54" i="1"/>
  <c r="H44" i="1"/>
  <c r="U50" i="1"/>
  <c r="F50" i="1" s="1"/>
  <c r="F48" i="1"/>
  <c r="AC58" i="1"/>
  <c r="Y2" i="1"/>
  <c r="X56" i="1"/>
  <c r="X39" i="1"/>
  <c r="Z56" i="1"/>
  <c r="X2" i="1"/>
  <c r="W8" i="1"/>
  <c r="Y56" i="1"/>
  <c r="Z39" i="1"/>
  <c r="AA56" i="1"/>
  <c r="Z54" i="1"/>
  <c r="Y54" i="1"/>
  <c r="AA10" i="1"/>
  <c r="AA7" i="1"/>
  <c r="AA3" i="1" s="1"/>
  <c r="AA11" i="1" s="1"/>
  <c r="Z9" i="1"/>
  <c r="Y8" i="1"/>
  <c r="Z2" i="1"/>
  <c r="AA39" i="1"/>
  <c r="Y44" i="1"/>
  <c r="AG42" i="1" l="1"/>
  <c r="AG43" i="1" s="1"/>
  <c r="AF43" i="1"/>
  <c r="AF5" i="1"/>
  <c r="AE10" i="1"/>
  <c r="AG32" i="1"/>
  <c r="AF37" i="1"/>
  <c r="AF34" i="1"/>
  <c r="AF40" i="1" s="1"/>
  <c r="AE58" i="1"/>
  <c r="AE38" i="1"/>
  <c r="AE56" i="1" s="1"/>
  <c r="W51" i="1"/>
  <c r="W67" i="1"/>
  <c r="AB57" i="1"/>
  <c r="AB38" i="1"/>
  <c r="AC57" i="1"/>
  <c r="AC38" i="1"/>
  <c r="AC39" i="1" s="1"/>
  <c r="W55" i="1"/>
  <c r="H48" i="1"/>
  <c r="AA8" i="1"/>
  <c r="AB10" i="1"/>
  <c r="AB7" i="1"/>
  <c r="AB3" i="1" s="1"/>
  <c r="AB11" i="1" s="1"/>
  <c r="AA9" i="1"/>
  <c r="AA2" i="1"/>
  <c r="Z43" i="1"/>
  <c r="Z44" i="1" s="1"/>
  <c r="AD56" i="1" l="1"/>
  <c r="AE54" i="1"/>
  <c r="AE39" i="1"/>
  <c r="AF58" i="1"/>
  <c r="AF38" i="1"/>
  <c r="AF56" i="1" s="1"/>
  <c r="AG5" i="1"/>
  <c r="AG10" i="1" s="1"/>
  <c r="AF10" i="1"/>
  <c r="AF44" i="1"/>
  <c r="AG37" i="1"/>
  <c r="AG34" i="1"/>
  <c r="AG40" i="1" s="1"/>
  <c r="AG44" i="1"/>
  <c r="AC54" i="1"/>
  <c r="AC56" i="1"/>
  <c r="AB54" i="1"/>
  <c r="AB56" i="1"/>
  <c r="AB39" i="1"/>
  <c r="H50" i="1"/>
  <c r="AB8" i="1"/>
  <c r="AC7" i="1"/>
  <c r="AD7" i="1" s="1"/>
  <c r="AB9" i="1"/>
  <c r="AB2" i="1"/>
  <c r="AA43" i="1"/>
  <c r="AA44" i="1" s="1"/>
  <c r="AG58" i="1" l="1"/>
  <c r="AG38" i="1"/>
  <c r="AG56" i="1" s="1"/>
  <c r="AG39" i="1"/>
  <c r="AG54" i="1"/>
  <c r="AE7" i="1"/>
  <c r="AD9" i="1"/>
  <c r="AD3" i="1"/>
  <c r="AD8" i="1" s="1"/>
  <c r="AF54" i="1"/>
  <c r="AF39" i="1"/>
  <c r="H55" i="1"/>
  <c r="AC9" i="1"/>
  <c r="AC3" i="1"/>
  <c r="AC11" i="1" s="1"/>
  <c r="AB43" i="1"/>
  <c r="AB44" i="1" s="1"/>
  <c r="AF7" i="1" l="1"/>
  <c r="AE9" i="1"/>
  <c r="AE3" i="1"/>
  <c r="AD2" i="1"/>
  <c r="AD11" i="1"/>
  <c r="AC8" i="1"/>
  <c r="AC2" i="1"/>
  <c r="AC43" i="1"/>
  <c r="AC44" i="1" s="1"/>
  <c r="AE2" i="1" l="1"/>
  <c r="AE11" i="1"/>
  <c r="AF9" i="1"/>
  <c r="AG7" i="1"/>
  <c r="AF3" i="1"/>
  <c r="AE8" i="1"/>
  <c r="X45" i="1"/>
  <c r="X48" i="1" s="1"/>
  <c r="AF2" i="1" l="1"/>
  <c r="AF11" i="1"/>
  <c r="AF8" i="1"/>
  <c r="AG3" i="1"/>
  <c r="AG9" i="1"/>
  <c r="Y48" i="1"/>
  <c r="X49" i="1"/>
  <c r="X50" i="1" s="1"/>
  <c r="X51" i="1" s="1"/>
  <c r="Y49" i="1"/>
  <c r="Y50" i="1" s="1"/>
  <c r="Y51" i="1" s="1"/>
  <c r="AG11" i="1" l="1"/>
  <c r="AG2" i="1"/>
  <c r="AG8" i="1"/>
  <c r="Z48" i="1"/>
  <c r="X55" i="1"/>
  <c r="Y55" i="1"/>
  <c r="Z49" i="1" l="1"/>
  <c r="Z50" i="1" s="1"/>
  <c r="AA48" i="1"/>
  <c r="Z51" i="1" l="1"/>
  <c r="Z55" i="1"/>
  <c r="AA49" i="1"/>
  <c r="AA50" i="1" s="1"/>
  <c r="AB48" i="1"/>
  <c r="AA51" i="1" l="1"/>
  <c r="AA55" i="1"/>
  <c r="AB49" i="1"/>
  <c r="AB50" i="1" s="1"/>
  <c r="AB51" i="1" s="1"/>
  <c r="AC48" i="1"/>
  <c r="AB55" i="1" l="1"/>
  <c r="AC49" i="1"/>
  <c r="AC50" i="1" s="1"/>
  <c r="AC51" i="1" s="1"/>
  <c r="AD48" i="1"/>
  <c r="AD49" i="1" s="1"/>
  <c r="J56" i="1"/>
  <c r="AC55" i="1" l="1"/>
  <c r="AD50" i="1"/>
  <c r="AE48" i="1"/>
  <c r="V40" i="1"/>
  <c r="V56" i="1"/>
  <c r="W56" i="1"/>
  <c r="V44" i="1" l="1"/>
  <c r="V48" i="1" s="1"/>
  <c r="V50" i="1" s="1"/>
  <c r="V55" i="1" s="1"/>
  <c r="V34" i="1"/>
  <c r="V33" i="1" s="1"/>
  <c r="AE49" i="1"/>
  <c r="AE50" i="1" s="1"/>
  <c r="AD51" i="1"/>
  <c r="AD55" i="1"/>
  <c r="AG48" i="1"/>
  <c r="AF48" i="1"/>
  <c r="AF49" i="1" s="1"/>
  <c r="V54" i="1"/>
  <c r="V51" i="1"/>
  <c r="J40" i="1"/>
  <c r="AE51" i="1" l="1"/>
  <c r="AE55" i="1"/>
  <c r="AG49" i="1"/>
  <c r="AG50" i="1" s="1"/>
  <c r="AF50" i="1"/>
  <c r="J54" i="1"/>
  <c r="J44" i="1"/>
  <c r="J50" i="1" l="1"/>
  <c r="J48" i="1"/>
  <c r="AH50" i="1"/>
  <c r="AG51" i="1"/>
  <c r="AG55" i="1"/>
  <c r="AF51" i="1"/>
  <c r="AF55" i="1"/>
  <c r="J55" i="1"/>
  <c r="AI50" i="1" l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DC50" i="1" s="1"/>
  <c r="DD50" i="1" s="1"/>
  <c r="DE50" i="1" s="1"/>
  <c r="DF50" i="1" s="1"/>
  <c r="DG50" i="1" s="1"/>
  <c r="DH50" i="1" s="1"/>
  <c r="DI50" i="1" s="1"/>
  <c r="DJ50" i="1" s="1"/>
  <c r="DK50" i="1" s="1"/>
  <c r="DL50" i="1" s="1"/>
  <c r="DM50" i="1" s="1"/>
  <c r="DN50" i="1" s="1"/>
  <c r="DO50" i="1" s="1"/>
  <c r="DP50" i="1" s="1"/>
  <c r="DQ50" i="1" s="1"/>
  <c r="DR50" i="1" s="1"/>
  <c r="V72" i="1"/>
  <c r="AJ57" i="1" l="1"/>
  <c r="X67" i="1"/>
  <c r="Y67" i="1" s="1"/>
  <c r="V73" i="1"/>
  <c r="AJ58" i="1" l="1"/>
</calcChain>
</file>

<file path=xl/sharedStrings.xml><?xml version="1.0" encoding="utf-8"?>
<sst xmlns="http://schemas.openxmlformats.org/spreadsheetml/2006/main" count="338" uniqueCount="196">
  <si>
    <t>Cash</t>
  </si>
  <si>
    <t>Securities</t>
  </si>
  <si>
    <t>PP&amp;E</t>
  </si>
  <si>
    <t>Price</t>
  </si>
  <si>
    <t>Shares</t>
  </si>
  <si>
    <t>Market Cap</t>
  </si>
  <si>
    <t>Net Cash</t>
  </si>
  <si>
    <t>EV</t>
  </si>
  <si>
    <t>Revenue</t>
  </si>
  <si>
    <t>COGS</t>
  </si>
  <si>
    <t>Gross Profit</t>
  </si>
  <si>
    <t>R&amp;D</t>
  </si>
  <si>
    <t>SG&amp;A</t>
  </si>
  <si>
    <t>Operating Expenses</t>
  </si>
  <si>
    <t>Operating Income</t>
  </si>
  <si>
    <t>Interest</t>
  </si>
  <si>
    <t>Forex</t>
  </si>
  <si>
    <t>Other Income</t>
  </si>
  <si>
    <t>Pretax</t>
  </si>
  <si>
    <t>Taxes</t>
  </si>
  <si>
    <t>Net Income</t>
  </si>
  <si>
    <t>Gross Marign</t>
  </si>
  <si>
    <t>CFFO</t>
  </si>
  <si>
    <t>CapEx</t>
  </si>
  <si>
    <t>FCF</t>
  </si>
  <si>
    <t>Orbit Missions</t>
  </si>
  <si>
    <t>Spacecraft Deployed</t>
  </si>
  <si>
    <t>Launch Pad:</t>
  </si>
  <si>
    <t>New Zealand</t>
  </si>
  <si>
    <t>LC-1</t>
  </si>
  <si>
    <t>Location</t>
  </si>
  <si>
    <t>Name</t>
  </si>
  <si>
    <t>Launches</t>
  </si>
  <si>
    <t>Virginia</t>
  </si>
  <si>
    <t>LC-2</t>
  </si>
  <si>
    <t>Rockets:</t>
  </si>
  <si>
    <t>Neutron:</t>
  </si>
  <si>
    <t>LEO</t>
  </si>
  <si>
    <t>Radius</t>
  </si>
  <si>
    <t xml:space="preserve">Height </t>
  </si>
  <si>
    <t>Propellant</t>
  </si>
  <si>
    <t>Electron</t>
  </si>
  <si>
    <t>Kerosene</t>
  </si>
  <si>
    <t>Methane</t>
  </si>
  <si>
    <t>E</t>
  </si>
  <si>
    <t>Rev/Launch</t>
  </si>
  <si>
    <t>Debt</t>
  </si>
  <si>
    <t>AR</t>
  </si>
  <si>
    <t>NAV</t>
  </si>
  <si>
    <t>Working Capital</t>
  </si>
  <si>
    <t>Net Margin</t>
  </si>
  <si>
    <t>Revenue Y/Y</t>
  </si>
  <si>
    <t>Terminal</t>
  </si>
  <si>
    <t>NPV</t>
  </si>
  <si>
    <t>Discount</t>
  </si>
  <si>
    <t>Electron:</t>
  </si>
  <si>
    <t>Revenue per Launch</t>
  </si>
  <si>
    <t>Total Revenue</t>
  </si>
  <si>
    <t>Gross Margin</t>
  </si>
  <si>
    <t>Launch Revenue</t>
  </si>
  <si>
    <t>Space System Rev.</t>
  </si>
  <si>
    <t>EPS</t>
  </si>
  <si>
    <t>Spce Hardware:</t>
  </si>
  <si>
    <t>ST-16RT2</t>
  </si>
  <si>
    <t>ST-16HV</t>
  </si>
  <si>
    <t>In Orbit</t>
  </si>
  <si>
    <t>120-140</t>
  </si>
  <si>
    <t>Frontier-S</t>
  </si>
  <si>
    <t>Frontier-X</t>
  </si>
  <si>
    <t>Price tsd</t>
  </si>
  <si>
    <t>Frontier-S-LEO-ST</t>
  </si>
  <si>
    <t>Frontier-S-LEO-HR</t>
  </si>
  <si>
    <t>Specifications</t>
  </si>
  <si>
    <t>Standard</t>
  </si>
  <si>
    <t>High Reliability</t>
  </si>
  <si>
    <t>Frontier-S-DSN-ST</t>
  </si>
  <si>
    <t>Frontier-S-DSN-HR</t>
  </si>
  <si>
    <t>Deep Space</t>
  </si>
  <si>
    <t>Frontier-X-LEO-ST</t>
  </si>
  <si>
    <t>Frontier-X-LEO-HR</t>
  </si>
  <si>
    <t>Frontier-X-DSN-ST</t>
  </si>
  <si>
    <t>Frontier-X-DSN-HR</t>
  </si>
  <si>
    <t>Star Tracker:</t>
  </si>
  <si>
    <t>Radios:</t>
  </si>
  <si>
    <t>Space Software</t>
  </si>
  <si>
    <t>Cumulative years in Space</t>
  </si>
  <si>
    <t>188 Years 99 Days</t>
  </si>
  <si>
    <t>MAX Flight Control</t>
  </si>
  <si>
    <t>Solis simulation environment</t>
  </si>
  <si>
    <t>MAX Ground Data System</t>
  </si>
  <si>
    <t>Separations Systems:</t>
  </si>
  <si>
    <t>Advanced Lightband</t>
  </si>
  <si>
    <t>Motorized Lightband</t>
  </si>
  <si>
    <t>Reliability</t>
  </si>
  <si>
    <t>Satellite Dispensers</t>
  </si>
  <si>
    <t>Launch Vehicle</t>
  </si>
  <si>
    <t>Type Symbol</t>
  </si>
  <si>
    <t>MLB</t>
  </si>
  <si>
    <t>ALB</t>
  </si>
  <si>
    <t>CSD</t>
  </si>
  <si>
    <t>System Size</t>
  </si>
  <si>
    <t>System Type</t>
  </si>
  <si>
    <t>Falcon 9</t>
  </si>
  <si>
    <t>MLB Mk 2</t>
  </si>
  <si>
    <t>Date</t>
  </si>
  <si>
    <t>6U</t>
  </si>
  <si>
    <t>Flight Heritage 2023:</t>
  </si>
  <si>
    <t>Solar Solutions:</t>
  </si>
  <si>
    <t>Flight Heritage 2022:</t>
  </si>
  <si>
    <t>Antares</t>
  </si>
  <si>
    <t>Falcon Heavy</t>
  </si>
  <si>
    <t>Altas V</t>
  </si>
  <si>
    <t xml:space="preserve">Astra Rocket </t>
  </si>
  <si>
    <t>Atlas 5</t>
  </si>
  <si>
    <t>Client</t>
  </si>
  <si>
    <t>NASA</t>
  </si>
  <si>
    <t>US Space Force</t>
  </si>
  <si>
    <t>Spaceflight Inc.</t>
  </si>
  <si>
    <t>NRO</t>
  </si>
  <si>
    <t>12U</t>
  </si>
  <si>
    <t>Space Test Program</t>
  </si>
  <si>
    <t>3U</t>
  </si>
  <si>
    <t>2x CSD</t>
  </si>
  <si>
    <t>Umbra Space</t>
  </si>
  <si>
    <t>Momentus Space</t>
  </si>
  <si>
    <t>HawkEye 360</t>
  </si>
  <si>
    <t>D-Orbit</t>
  </si>
  <si>
    <t>BlackSky Global</t>
  </si>
  <si>
    <t>UTIAS-Hawkeye</t>
  </si>
  <si>
    <t>PlanetIQ</t>
  </si>
  <si>
    <t>Lynk Tower 01</t>
  </si>
  <si>
    <t>NGC, NASA</t>
  </si>
  <si>
    <t>NGC, Space Force</t>
  </si>
  <si>
    <t>Capella</t>
  </si>
  <si>
    <t>ISIS</t>
  </si>
  <si>
    <t>Ubra</t>
  </si>
  <si>
    <t>D-orbit ION</t>
  </si>
  <si>
    <t>UTIAS</t>
  </si>
  <si>
    <t>Orbital Sidekick</t>
  </si>
  <si>
    <t>Tomorrow.io</t>
  </si>
  <si>
    <t>Capella Space</t>
  </si>
  <si>
    <t>Umbra Lab</t>
  </si>
  <si>
    <t>Lynk Global</t>
  </si>
  <si>
    <t>Momentus</t>
  </si>
  <si>
    <t>Photon:</t>
  </si>
  <si>
    <t>Kick Stages Deployed</t>
  </si>
  <si>
    <t>Spacecraft on Orbit</t>
  </si>
  <si>
    <t>Q123</t>
  </si>
  <si>
    <t>Setellites in Orbit</t>
  </si>
  <si>
    <t>1000+</t>
  </si>
  <si>
    <t>Setellites Scheduled</t>
  </si>
  <si>
    <t>Backlog</t>
  </si>
  <si>
    <t>Super Heavy Sat.</t>
  </si>
  <si>
    <t>Heavy Sat.</t>
  </si>
  <si>
    <t>&gt;7k</t>
  </si>
  <si>
    <t>5-7k</t>
  </si>
  <si>
    <t>1,2-5k</t>
  </si>
  <si>
    <t>Medium Sat.</t>
  </si>
  <si>
    <t>,6-1,2k</t>
  </si>
  <si>
    <t>Small Sat.</t>
  </si>
  <si>
    <t>Satellite Market:</t>
  </si>
  <si>
    <t>Million</t>
  </si>
  <si>
    <t>Rocket</t>
  </si>
  <si>
    <t>Lab addresses</t>
  </si>
  <si>
    <t>Electron Market Share</t>
  </si>
  <si>
    <t>Neutron Market Share</t>
  </si>
  <si>
    <t>S</t>
  </si>
  <si>
    <t>M-H</t>
  </si>
  <si>
    <t>Total Market Share</t>
  </si>
  <si>
    <t>Haste</t>
  </si>
  <si>
    <t>Hypersonic:</t>
  </si>
  <si>
    <t>Payload</t>
  </si>
  <si>
    <t>Altitude</t>
  </si>
  <si>
    <t>80km</t>
  </si>
  <si>
    <t>Launch Y/Y</t>
  </si>
  <si>
    <t>Space System Y/Y</t>
  </si>
  <si>
    <t>25 Spacecrasfts in Manufacturing</t>
  </si>
  <si>
    <t xml:space="preserve">Revenue </t>
  </si>
  <si>
    <t>Systems</t>
  </si>
  <si>
    <t>Launch</t>
  </si>
  <si>
    <t>Margin</t>
  </si>
  <si>
    <t>Q223</t>
  </si>
  <si>
    <t>Expense</t>
  </si>
  <si>
    <t>Q122</t>
  </si>
  <si>
    <t>Q222</t>
  </si>
  <si>
    <t>Q322</t>
  </si>
  <si>
    <t>Q422</t>
  </si>
  <si>
    <t>Q323</t>
  </si>
  <si>
    <t>Q423</t>
  </si>
  <si>
    <t>SpaceX Market Share</t>
  </si>
  <si>
    <t>Book Gain</t>
  </si>
  <si>
    <r>
      <rPr>
        <sz val="11"/>
        <color theme="1"/>
        <rFont val="Calibri"/>
        <family val="2"/>
        <scheme val="minor"/>
      </rPr>
      <t>Working Capital,</t>
    </r>
    <r>
      <rPr>
        <sz val="7"/>
        <color theme="1"/>
        <rFont val="Calibri"/>
        <family val="2"/>
        <scheme val="minor"/>
      </rPr>
      <t xml:space="preserve"> </t>
    </r>
    <r>
      <rPr>
        <sz val="5"/>
        <color theme="1"/>
        <rFont val="Arial"/>
        <family val="2"/>
      </rPr>
      <t>ex PP&amp;E</t>
    </r>
  </si>
  <si>
    <t>Q124</t>
  </si>
  <si>
    <t>Q224</t>
  </si>
  <si>
    <t>Q324</t>
  </si>
  <si>
    <t>Q424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</si>
</sst>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3" fontId="4" fillId="0" borderId="0" xfId="0" applyNumberFormat="1" applyFont="1"/>
    <xf numFmtId="4" fontId="0" fillId="0" borderId="0" xfId="0" applyNumberFormat="1"/>
    <xf numFmtId="0" fontId="5" fillId="0" borderId="0" xfId="2"/>
    <xf numFmtId="0" fontId="6" fillId="0" borderId="0" xfId="0" applyFont="1"/>
    <xf numFmtId="9" fontId="0" fillId="0" borderId="0" xfId="0" applyNumberFormat="1"/>
    <xf numFmtId="15" fontId="0" fillId="0" borderId="0" xfId="0" applyNumberFormat="1"/>
    <xf numFmtId="0" fontId="0" fillId="2" borderId="0" xfId="0" applyFill="1"/>
    <xf numFmtId="15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/>
    <xf numFmtId="3" fontId="0" fillId="0" borderId="0" xfId="1" applyNumberFormat="1" applyFont="1"/>
    <xf numFmtId="3" fontId="7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180975</xdr:rowOff>
    </xdr:from>
    <xdr:to>
      <xdr:col>7</xdr:col>
      <xdr:colOff>9525</xdr:colOff>
      <xdr:row>57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DFA6CF-2C5E-6A19-DFC8-E80091DACC0D}"/>
            </a:ext>
          </a:extLst>
        </xdr:cNvPr>
        <xdr:cNvCxnSpPr/>
      </xdr:nvCxnSpPr>
      <xdr:spPr>
        <a:xfrm>
          <a:off x="11353800" y="371475"/>
          <a:ext cx="9525" cy="7067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AppData/Roaming/Microsoft/Space/Frontier-S-S300179-v1.1.pdf" TargetMode="External"/><Relationship Id="rId2" Type="http://schemas.openxmlformats.org/officeDocument/2006/relationships/hyperlink" Target="../../../AppData/Roaming/Microsoft/Space/RL-ST-16HV-Data-Sheet-v2.pdf" TargetMode="External"/><Relationship Id="rId1" Type="http://schemas.openxmlformats.org/officeDocument/2006/relationships/hyperlink" Target="../../../AppData/Roaming/Microsoft/Space/RL-ST16RT2-Data-Sheet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../AppData/Roaming/Microsoft/Space/Frontier-X-S300177-v1.1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5E5A-5E2A-4435-8C42-0205C82A3E23}">
  <dimension ref="C4:AC1048576"/>
  <sheetViews>
    <sheetView workbookViewId="0">
      <selection activeCell="E6" sqref="E6"/>
    </sheetView>
  </sheetViews>
  <sheetFormatPr defaultRowHeight="15" x14ac:dyDescent="0.25"/>
  <cols>
    <col min="4" max="4" width="11" bestFit="1" customWidth="1"/>
    <col min="8" max="8" width="12.5703125" bestFit="1" customWidth="1"/>
    <col min="11" max="11" width="9.42578125" customWidth="1"/>
    <col min="12" max="12" width="10.28515625" bestFit="1" customWidth="1"/>
    <col min="13" max="13" width="11.28515625" bestFit="1" customWidth="1"/>
    <col min="15" max="15" width="19.42578125" customWidth="1"/>
    <col min="17" max="17" width="14.5703125" bestFit="1" customWidth="1"/>
    <col min="18" max="18" width="11.28515625" bestFit="1" customWidth="1"/>
    <col min="19" max="19" width="14.7109375" style="19" bestFit="1" customWidth="1"/>
    <col min="20" max="20" width="14.7109375" customWidth="1"/>
    <col min="21" max="21" width="11.42578125" bestFit="1" customWidth="1"/>
    <col min="22" max="22" width="12.140625" bestFit="1" customWidth="1"/>
    <col min="23" max="23" width="15" bestFit="1" customWidth="1"/>
    <col min="25" max="25" width="19.28515625" bestFit="1" customWidth="1"/>
    <col min="26" max="26" width="9.7109375" bestFit="1" customWidth="1"/>
    <col min="27" max="27" width="11.42578125" style="21" bestFit="1" customWidth="1"/>
    <col min="28" max="28" width="12.140625" bestFit="1" customWidth="1"/>
    <col min="29" max="29" width="18.42578125" bestFit="1" customWidth="1"/>
  </cols>
  <sheetData>
    <row r="4" spans="3:22" x14ac:dyDescent="0.25">
      <c r="H4" s="1" t="s">
        <v>27</v>
      </c>
      <c r="O4" s="1" t="s">
        <v>62</v>
      </c>
      <c r="T4" s="1" t="s">
        <v>170</v>
      </c>
      <c r="U4" t="s">
        <v>171</v>
      </c>
      <c r="V4" t="s">
        <v>172</v>
      </c>
    </row>
    <row r="5" spans="3:22" x14ac:dyDescent="0.25">
      <c r="D5" t="s">
        <v>3</v>
      </c>
      <c r="E5">
        <v>4.3</v>
      </c>
      <c r="O5" s="1" t="s">
        <v>82</v>
      </c>
      <c r="P5" t="s">
        <v>69</v>
      </c>
      <c r="Q5" t="s">
        <v>72</v>
      </c>
      <c r="R5" t="s">
        <v>65</v>
      </c>
      <c r="T5" t="s">
        <v>169</v>
      </c>
      <c r="U5">
        <v>700</v>
      </c>
      <c r="V5" t="s">
        <v>173</v>
      </c>
    </row>
    <row r="6" spans="3:22" x14ac:dyDescent="0.25">
      <c r="D6" t="s">
        <v>4</v>
      </c>
      <c r="E6">
        <v>475.36</v>
      </c>
      <c r="H6" t="s">
        <v>30</v>
      </c>
      <c r="I6" t="s">
        <v>31</v>
      </c>
      <c r="J6" t="s">
        <v>32</v>
      </c>
      <c r="O6" s="11" t="s">
        <v>63</v>
      </c>
      <c r="P6" t="s">
        <v>66</v>
      </c>
      <c r="R6">
        <f>30+13+10</f>
        <v>53</v>
      </c>
    </row>
    <row r="7" spans="3:22" x14ac:dyDescent="0.25">
      <c r="D7" t="s">
        <v>5</v>
      </c>
      <c r="E7">
        <f>+E5*E6</f>
        <v>2044.048</v>
      </c>
      <c r="H7" t="s">
        <v>28</v>
      </c>
      <c r="I7" t="s">
        <v>29</v>
      </c>
      <c r="J7" s="5">
        <v>120</v>
      </c>
      <c r="O7" s="11" t="s">
        <v>64</v>
      </c>
    </row>
    <row r="8" spans="3:22" x14ac:dyDescent="0.25">
      <c r="D8" t="s">
        <v>6</v>
      </c>
      <c r="E8">
        <f>242.515+229.276+36.5-100.043-2.906</f>
        <v>405.34199999999998</v>
      </c>
      <c r="H8" t="s">
        <v>33</v>
      </c>
      <c r="I8" t="s">
        <v>34</v>
      </c>
      <c r="J8">
        <v>12</v>
      </c>
      <c r="O8" s="1" t="s">
        <v>83</v>
      </c>
    </row>
    <row r="9" spans="3:22" x14ac:dyDescent="0.25">
      <c r="D9" t="s">
        <v>7</v>
      </c>
      <c r="E9">
        <f>+E7-E8</f>
        <v>1638.7060000000001</v>
      </c>
      <c r="O9" s="11" t="s">
        <v>67</v>
      </c>
    </row>
    <row r="10" spans="3:22" x14ac:dyDescent="0.25">
      <c r="O10" t="s">
        <v>70</v>
      </c>
      <c r="P10">
        <v>115</v>
      </c>
      <c r="Q10" t="s">
        <v>73</v>
      </c>
      <c r="R10" t="s">
        <v>37</v>
      </c>
    </row>
    <row r="11" spans="3:22" x14ac:dyDescent="0.25">
      <c r="O11" t="s">
        <v>71</v>
      </c>
      <c r="P11" s="12">
        <v>200</v>
      </c>
      <c r="Q11" t="s">
        <v>74</v>
      </c>
      <c r="R11" t="s">
        <v>37</v>
      </c>
    </row>
    <row r="12" spans="3:22" x14ac:dyDescent="0.25">
      <c r="H12" s="1" t="s">
        <v>35</v>
      </c>
      <c r="O12" t="s">
        <v>75</v>
      </c>
      <c r="P12">
        <v>165</v>
      </c>
      <c r="Q12" t="s">
        <v>73</v>
      </c>
      <c r="R12" t="s">
        <v>77</v>
      </c>
    </row>
    <row r="13" spans="3:22" x14ac:dyDescent="0.25">
      <c r="I13" t="s">
        <v>37</v>
      </c>
      <c r="J13" t="s">
        <v>39</v>
      </c>
      <c r="K13" t="s">
        <v>38</v>
      </c>
      <c r="L13" t="s">
        <v>40</v>
      </c>
      <c r="M13" t="s">
        <v>45</v>
      </c>
      <c r="O13" t="s">
        <v>76</v>
      </c>
      <c r="P13" s="12">
        <v>250</v>
      </c>
      <c r="Q13" t="s">
        <v>74</v>
      </c>
      <c r="R13" t="s">
        <v>77</v>
      </c>
    </row>
    <row r="14" spans="3:22" x14ac:dyDescent="0.25">
      <c r="D14" t="s">
        <v>147</v>
      </c>
      <c r="E14" t="s">
        <v>181</v>
      </c>
      <c r="H14" t="s">
        <v>36</v>
      </c>
      <c r="I14">
        <v>13000</v>
      </c>
      <c r="J14">
        <v>40</v>
      </c>
      <c r="K14">
        <v>7</v>
      </c>
      <c r="L14" t="s">
        <v>43</v>
      </c>
      <c r="M14" s="2">
        <v>50000</v>
      </c>
      <c r="O14" s="11" t="s">
        <v>68</v>
      </c>
    </row>
    <row r="15" spans="3:22" x14ac:dyDescent="0.25">
      <c r="C15" t="s">
        <v>177</v>
      </c>
      <c r="D15">
        <v>54.9</v>
      </c>
      <c r="E15">
        <v>62</v>
      </c>
      <c r="H15" t="s">
        <v>41</v>
      </c>
      <c r="I15">
        <v>300</v>
      </c>
      <c r="J15">
        <v>18</v>
      </c>
      <c r="K15">
        <v>1.2</v>
      </c>
      <c r="L15" t="s">
        <v>42</v>
      </c>
      <c r="M15" s="2">
        <v>6750</v>
      </c>
      <c r="O15" t="s">
        <v>78</v>
      </c>
      <c r="P15">
        <v>175</v>
      </c>
      <c r="Q15" t="s">
        <v>73</v>
      </c>
      <c r="R15" t="s">
        <v>37</v>
      </c>
    </row>
    <row r="16" spans="3:22" x14ac:dyDescent="0.25">
      <c r="C16" t="s">
        <v>179</v>
      </c>
      <c r="D16">
        <v>19.600000000000001</v>
      </c>
      <c r="E16">
        <v>39</v>
      </c>
      <c r="O16" t="s">
        <v>79</v>
      </c>
      <c r="P16" s="12">
        <v>250</v>
      </c>
      <c r="Q16" t="s">
        <v>74</v>
      </c>
      <c r="R16" t="s">
        <v>37</v>
      </c>
    </row>
    <row r="17" spans="3:29" x14ac:dyDescent="0.25">
      <c r="C17" t="s">
        <v>178</v>
      </c>
      <c r="D17">
        <v>35.299999999999997</v>
      </c>
      <c r="E17">
        <v>23</v>
      </c>
      <c r="O17" t="s">
        <v>80</v>
      </c>
      <c r="P17">
        <v>225</v>
      </c>
      <c r="Q17" t="s">
        <v>73</v>
      </c>
      <c r="R17" t="s">
        <v>77</v>
      </c>
    </row>
    <row r="18" spans="3:29" x14ac:dyDescent="0.25">
      <c r="O18" t="s">
        <v>81</v>
      </c>
      <c r="P18" s="12">
        <v>300</v>
      </c>
      <c r="Q18" t="s">
        <v>74</v>
      </c>
      <c r="R18" t="s">
        <v>77</v>
      </c>
    </row>
    <row r="19" spans="3:29" x14ac:dyDescent="0.25">
      <c r="C19" t="s">
        <v>180</v>
      </c>
      <c r="D19" s="23">
        <v>0.17299999999999999</v>
      </c>
      <c r="E19" s="13">
        <v>0.22</v>
      </c>
      <c r="H19" t="s">
        <v>176</v>
      </c>
    </row>
    <row r="20" spans="3:29" x14ac:dyDescent="0.25">
      <c r="O20" s="1" t="s">
        <v>84</v>
      </c>
      <c r="P20" t="s">
        <v>85</v>
      </c>
    </row>
    <row r="21" spans="3:29" x14ac:dyDescent="0.25">
      <c r="C21" t="s">
        <v>182</v>
      </c>
      <c r="E21">
        <v>42</v>
      </c>
      <c r="O21" t="s">
        <v>87</v>
      </c>
      <c r="P21" t="s">
        <v>86</v>
      </c>
    </row>
    <row r="22" spans="3:29" x14ac:dyDescent="0.25">
      <c r="O22" t="s">
        <v>88</v>
      </c>
    </row>
    <row r="23" spans="3:29" x14ac:dyDescent="0.25">
      <c r="O23" t="s">
        <v>89</v>
      </c>
    </row>
    <row r="25" spans="3:29" x14ac:dyDescent="0.25">
      <c r="O25" s="1" t="s">
        <v>90</v>
      </c>
      <c r="P25" t="s">
        <v>93</v>
      </c>
      <c r="Q25" t="s">
        <v>96</v>
      </c>
      <c r="S25" s="18" t="s">
        <v>106</v>
      </c>
      <c r="T25" s="1"/>
      <c r="Y25" s="1" t="s">
        <v>108</v>
      </c>
      <c r="Z25" s="1"/>
    </row>
    <row r="26" spans="3:29" x14ac:dyDescent="0.25">
      <c r="O26" t="s">
        <v>91</v>
      </c>
      <c r="P26" s="13">
        <v>1</v>
      </c>
      <c r="Q26" t="s">
        <v>98</v>
      </c>
      <c r="S26" s="19" t="s">
        <v>95</v>
      </c>
      <c r="T26" t="s">
        <v>104</v>
      </c>
      <c r="U26" t="s">
        <v>100</v>
      </c>
      <c r="V26" t="s">
        <v>101</v>
      </c>
      <c r="W26" t="s">
        <v>114</v>
      </c>
      <c r="Y26" t="s">
        <v>95</v>
      </c>
      <c r="Z26" t="s">
        <v>104</v>
      </c>
      <c r="AA26" s="21" t="s">
        <v>100</v>
      </c>
      <c r="AB26" t="s">
        <v>101</v>
      </c>
      <c r="AC26" t="s">
        <v>114</v>
      </c>
    </row>
    <row r="27" spans="3:29" x14ac:dyDescent="0.25">
      <c r="O27" t="s">
        <v>92</v>
      </c>
      <c r="P27" s="13">
        <v>1</v>
      </c>
      <c r="Q27" t="s">
        <v>97</v>
      </c>
      <c r="S27" s="20" t="s">
        <v>102</v>
      </c>
      <c r="T27" s="16">
        <v>45031</v>
      </c>
      <c r="U27" s="15">
        <v>8</v>
      </c>
      <c r="V27" s="15" t="s">
        <v>103</v>
      </c>
      <c r="W27" s="15" t="s">
        <v>137</v>
      </c>
      <c r="Y27" t="s">
        <v>102</v>
      </c>
      <c r="Z27" s="14">
        <v>44906</v>
      </c>
      <c r="AA27" s="21" t="s">
        <v>105</v>
      </c>
      <c r="AB27" t="s">
        <v>99</v>
      </c>
      <c r="AC27" t="s">
        <v>115</v>
      </c>
    </row>
    <row r="28" spans="3:29" x14ac:dyDescent="0.25">
      <c r="O28" t="s">
        <v>94</v>
      </c>
      <c r="Q28" t="s">
        <v>99</v>
      </c>
      <c r="S28" s="20" t="s">
        <v>102</v>
      </c>
      <c r="T28" s="16">
        <v>45031</v>
      </c>
      <c r="U28" s="15">
        <v>15</v>
      </c>
      <c r="V28" s="15" t="s">
        <v>103</v>
      </c>
      <c r="W28" s="15" t="s">
        <v>138</v>
      </c>
      <c r="Y28" s="15" t="s">
        <v>109</v>
      </c>
      <c r="Z28" s="16">
        <v>44872</v>
      </c>
      <c r="AA28" s="22">
        <v>11</v>
      </c>
      <c r="AB28" s="15" t="s">
        <v>103</v>
      </c>
      <c r="AC28" s="15" t="s">
        <v>115</v>
      </c>
    </row>
    <row r="29" spans="3:29" x14ac:dyDescent="0.25">
      <c r="S29" s="20" t="s">
        <v>102</v>
      </c>
      <c r="T29" s="16">
        <v>45031</v>
      </c>
      <c r="U29" s="15">
        <v>15</v>
      </c>
      <c r="V29" s="15" t="s">
        <v>103</v>
      </c>
      <c r="W29" s="15" t="s">
        <v>138</v>
      </c>
      <c r="Y29" t="s">
        <v>110</v>
      </c>
      <c r="Z29" s="14">
        <v>44866</v>
      </c>
      <c r="AA29" s="21">
        <v>8</v>
      </c>
      <c r="AB29" t="s">
        <v>103</v>
      </c>
      <c r="AC29" t="s">
        <v>116</v>
      </c>
    </row>
    <row r="30" spans="3:29" x14ac:dyDescent="0.25">
      <c r="O30" s="1" t="s">
        <v>144</v>
      </c>
      <c r="S30" s="20" t="s">
        <v>102</v>
      </c>
      <c r="T30" s="16">
        <v>45031</v>
      </c>
      <c r="U30" s="15">
        <v>15</v>
      </c>
      <c r="V30" s="15" t="s">
        <v>103</v>
      </c>
      <c r="W30" s="15" t="s">
        <v>123</v>
      </c>
      <c r="Y30" s="15" t="s">
        <v>102</v>
      </c>
      <c r="Z30" s="16">
        <v>44809</v>
      </c>
      <c r="AA30" s="22">
        <v>24</v>
      </c>
      <c r="AB30" s="15" t="s">
        <v>103</v>
      </c>
      <c r="AC30" s="15" t="s">
        <v>117</v>
      </c>
    </row>
    <row r="31" spans="3:29" x14ac:dyDescent="0.25">
      <c r="O31" t="s">
        <v>145</v>
      </c>
      <c r="P31">
        <v>22</v>
      </c>
      <c r="Q31" t="s">
        <v>147</v>
      </c>
      <c r="S31" s="20" t="s">
        <v>102</v>
      </c>
      <c r="T31" s="16">
        <v>45031</v>
      </c>
      <c r="U31" s="15">
        <v>8</v>
      </c>
      <c r="V31" s="15" t="s">
        <v>103</v>
      </c>
      <c r="W31" s="15" t="s">
        <v>125</v>
      </c>
      <c r="Y31" t="s">
        <v>41</v>
      </c>
      <c r="Z31" s="14">
        <v>44755</v>
      </c>
      <c r="AA31" s="21">
        <v>11</v>
      </c>
      <c r="AB31" t="s">
        <v>103</v>
      </c>
      <c r="AC31" t="s">
        <v>118</v>
      </c>
    </row>
    <row r="32" spans="3:29" x14ac:dyDescent="0.25">
      <c r="O32" t="s">
        <v>146</v>
      </c>
      <c r="P32">
        <v>3</v>
      </c>
      <c r="Q32" t="s">
        <v>147</v>
      </c>
      <c r="S32" s="20" t="s">
        <v>102</v>
      </c>
      <c r="T32" s="16">
        <v>45031</v>
      </c>
      <c r="U32" s="15">
        <v>8</v>
      </c>
      <c r="V32" s="15" t="s">
        <v>103</v>
      </c>
      <c r="W32" s="15" t="s">
        <v>125</v>
      </c>
      <c r="Y32" s="15" t="s">
        <v>111</v>
      </c>
      <c r="Z32" s="16">
        <v>44743</v>
      </c>
      <c r="AA32" s="22" t="s">
        <v>119</v>
      </c>
      <c r="AB32" s="15" t="s">
        <v>99</v>
      </c>
      <c r="AC32" s="15" t="s">
        <v>120</v>
      </c>
    </row>
    <row r="33" spans="15:29" x14ac:dyDescent="0.25">
      <c r="S33" s="20" t="s">
        <v>102</v>
      </c>
      <c r="T33" s="16">
        <v>45031</v>
      </c>
      <c r="U33" s="15">
        <v>8</v>
      </c>
      <c r="V33" s="15" t="s">
        <v>103</v>
      </c>
      <c r="W33" s="15" t="s">
        <v>125</v>
      </c>
      <c r="Y33" t="s">
        <v>112</v>
      </c>
      <c r="Z33" s="14">
        <v>44724</v>
      </c>
      <c r="AA33" s="21" t="s">
        <v>121</v>
      </c>
      <c r="AB33" t="s">
        <v>122</v>
      </c>
      <c r="AC33" t="s">
        <v>115</v>
      </c>
    </row>
    <row r="34" spans="15:29" x14ac:dyDescent="0.25">
      <c r="O34" s="1" t="s">
        <v>107</v>
      </c>
      <c r="S34" s="20" t="s">
        <v>102</v>
      </c>
      <c r="T34" s="16">
        <v>45031</v>
      </c>
      <c r="U34" s="15">
        <v>15</v>
      </c>
      <c r="V34" s="15" t="s">
        <v>98</v>
      </c>
      <c r="W34" s="15" t="s">
        <v>139</v>
      </c>
      <c r="Y34" s="15" t="s">
        <v>102</v>
      </c>
      <c r="Z34" s="16">
        <v>44706</v>
      </c>
      <c r="AA34" s="22">
        <v>15</v>
      </c>
      <c r="AB34" s="15" t="s">
        <v>103</v>
      </c>
      <c r="AC34" s="15" t="s">
        <v>123</v>
      </c>
    </row>
    <row r="35" spans="15:29" x14ac:dyDescent="0.25">
      <c r="O35" t="s">
        <v>148</v>
      </c>
      <c r="P35" t="s">
        <v>149</v>
      </c>
      <c r="S35" s="20" t="s">
        <v>102</v>
      </c>
      <c r="T35" s="16">
        <v>45031</v>
      </c>
      <c r="U35" s="15">
        <v>24</v>
      </c>
      <c r="V35" s="15" t="s">
        <v>103</v>
      </c>
      <c r="W35" s="15" t="s">
        <v>126</v>
      </c>
      <c r="Y35" s="15" t="s">
        <v>102</v>
      </c>
      <c r="Z35" s="16">
        <v>44706</v>
      </c>
      <c r="AA35" s="22">
        <v>24</v>
      </c>
      <c r="AB35" s="15" t="s">
        <v>98</v>
      </c>
      <c r="AC35" s="15" t="s">
        <v>117</v>
      </c>
    </row>
    <row r="36" spans="15:29" x14ac:dyDescent="0.25">
      <c r="O36" t="s">
        <v>150</v>
      </c>
      <c r="P36" s="17">
        <v>415</v>
      </c>
      <c r="S36" s="19" t="s">
        <v>41</v>
      </c>
      <c r="T36" s="14">
        <v>45009</v>
      </c>
      <c r="U36">
        <v>11</v>
      </c>
      <c r="V36" t="s">
        <v>103</v>
      </c>
      <c r="W36" t="s">
        <v>127</v>
      </c>
      <c r="Y36" s="15" t="s">
        <v>102</v>
      </c>
      <c r="Z36" s="16">
        <v>44706</v>
      </c>
      <c r="AA36" s="22">
        <v>24</v>
      </c>
      <c r="AB36" s="15" t="s">
        <v>103</v>
      </c>
      <c r="AC36" s="15" t="s">
        <v>124</v>
      </c>
    </row>
    <row r="37" spans="15:29" x14ac:dyDescent="0.25">
      <c r="S37" s="19" t="s">
        <v>41</v>
      </c>
      <c r="T37" s="14">
        <v>45009</v>
      </c>
      <c r="U37">
        <v>11</v>
      </c>
      <c r="V37" t="s">
        <v>103</v>
      </c>
      <c r="W37" t="s">
        <v>127</v>
      </c>
      <c r="Y37" s="15" t="s">
        <v>102</v>
      </c>
      <c r="Z37" s="16">
        <v>44706</v>
      </c>
      <c r="AA37" s="22">
        <v>24</v>
      </c>
      <c r="AB37" s="15" t="s">
        <v>103</v>
      </c>
      <c r="AC37" s="15" t="s">
        <v>125</v>
      </c>
    </row>
    <row r="38" spans="15:29" x14ac:dyDescent="0.25">
      <c r="S38" s="20" t="s">
        <v>41</v>
      </c>
      <c r="T38" s="16">
        <v>45001</v>
      </c>
      <c r="U38" s="15">
        <v>11</v>
      </c>
      <c r="V38" s="15" t="s">
        <v>103</v>
      </c>
      <c r="W38" s="15" t="s">
        <v>140</v>
      </c>
      <c r="Y38" s="15" t="s">
        <v>102</v>
      </c>
      <c r="Z38" s="16">
        <v>44706</v>
      </c>
      <c r="AA38" s="22">
        <v>24</v>
      </c>
      <c r="AB38" s="15" t="s">
        <v>103</v>
      </c>
      <c r="AC38" s="15" t="s">
        <v>126</v>
      </c>
    </row>
    <row r="39" spans="15:29" x14ac:dyDescent="0.25">
      <c r="S39" s="20" t="s">
        <v>41</v>
      </c>
      <c r="T39" s="16">
        <v>45001</v>
      </c>
      <c r="U39" s="15">
        <v>11</v>
      </c>
      <c r="V39" s="15" t="s">
        <v>103</v>
      </c>
      <c r="W39" s="15" t="s">
        <v>140</v>
      </c>
      <c r="Y39" t="s">
        <v>41</v>
      </c>
      <c r="Z39" s="14">
        <v>44906</v>
      </c>
      <c r="AA39" s="21">
        <v>11.731999999999999</v>
      </c>
      <c r="AB39" t="s">
        <v>103</v>
      </c>
      <c r="AC39" t="s">
        <v>127</v>
      </c>
    </row>
    <row r="40" spans="15:29" x14ac:dyDescent="0.25">
      <c r="S40" s="19" t="s">
        <v>102</v>
      </c>
      <c r="T40" s="14">
        <v>44957</v>
      </c>
      <c r="U40">
        <v>24</v>
      </c>
      <c r="V40" t="s">
        <v>103</v>
      </c>
      <c r="W40" t="s">
        <v>126</v>
      </c>
      <c r="Y40" t="s">
        <v>102</v>
      </c>
      <c r="Z40" s="14">
        <v>44906</v>
      </c>
      <c r="AA40" s="21">
        <v>8</v>
      </c>
      <c r="AB40" t="s">
        <v>103</v>
      </c>
      <c r="AC40" t="s">
        <v>128</v>
      </c>
    </row>
    <row r="41" spans="15:29" x14ac:dyDescent="0.25">
      <c r="S41" s="20" t="s">
        <v>41</v>
      </c>
      <c r="T41" s="16">
        <v>44950</v>
      </c>
      <c r="U41" s="15">
        <v>8</v>
      </c>
      <c r="V41" s="15" t="s">
        <v>103</v>
      </c>
      <c r="W41" s="15" t="s">
        <v>125</v>
      </c>
      <c r="Y41" t="s">
        <v>102</v>
      </c>
      <c r="Z41" s="14">
        <v>44906</v>
      </c>
      <c r="AA41" s="21">
        <v>24</v>
      </c>
      <c r="AB41" t="s">
        <v>103</v>
      </c>
      <c r="AC41" t="s">
        <v>126</v>
      </c>
    </row>
    <row r="42" spans="15:29" x14ac:dyDescent="0.25">
      <c r="S42" s="20" t="s">
        <v>41</v>
      </c>
      <c r="T42" s="16">
        <v>44950</v>
      </c>
      <c r="U42" s="15">
        <v>8</v>
      </c>
      <c r="V42" s="15" t="s">
        <v>103</v>
      </c>
      <c r="W42" s="15" t="s">
        <v>125</v>
      </c>
      <c r="Y42" s="15" t="s">
        <v>102</v>
      </c>
      <c r="Z42" s="16">
        <v>44907</v>
      </c>
      <c r="AA42" s="22">
        <v>8</v>
      </c>
      <c r="AB42" s="15" t="s">
        <v>98</v>
      </c>
      <c r="AC42" s="15" t="s">
        <v>129</v>
      </c>
    </row>
    <row r="43" spans="15:29" x14ac:dyDescent="0.25">
      <c r="S43" s="20" t="s">
        <v>41</v>
      </c>
      <c r="T43" s="16">
        <v>44950</v>
      </c>
      <c r="U43" s="15">
        <v>8</v>
      </c>
      <c r="V43" s="15" t="s">
        <v>103</v>
      </c>
      <c r="W43" s="15" t="s">
        <v>125</v>
      </c>
      <c r="Y43" t="s">
        <v>102</v>
      </c>
      <c r="Z43" s="14">
        <v>44908</v>
      </c>
      <c r="AA43" s="21">
        <v>15</v>
      </c>
      <c r="AB43" t="s">
        <v>103</v>
      </c>
      <c r="AC43" t="s">
        <v>130</v>
      </c>
    </row>
    <row r="44" spans="15:29" x14ac:dyDescent="0.25">
      <c r="S44" s="19" t="s">
        <v>102</v>
      </c>
      <c r="T44" s="14">
        <v>44929</v>
      </c>
      <c r="U44">
        <v>15</v>
      </c>
      <c r="V44" t="s">
        <v>103</v>
      </c>
      <c r="W44" t="s">
        <v>141</v>
      </c>
      <c r="Y44" s="15" t="s">
        <v>109</v>
      </c>
      <c r="Z44" s="16">
        <v>44909</v>
      </c>
      <c r="AA44" s="22">
        <v>11.731999999999999</v>
      </c>
      <c r="AB44" s="15" t="s">
        <v>103</v>
      </c>
      <c r="AC44" s="15" t="s">
        <v>131</v>
      </c>
    </row>
    <row r="45" spans="15:29" x14ac:dyDescent="0.25">
      <c r="S45" s="19" t="s">
        <v>102</v>
      </c>
      <c r="T45" s="14">
        <v>44929</v>
      </c>
      <c r="U45">
        <v>15</v>
      </c>
      <c r="V45" t="s">
        <v>103</v>
      </c>
      <c r="W45" t="s">
        <v>141</v>
      </c>
      <c r="Y45" t="s">
        <v>113</v>
      </c>
      <c r="Z45" s="14">
        <v>44910</v>
      </c>
      <c r="AA45" s="21">
        <v>23.25</v>
      </c>
      <c r="AB45" t="s">
        <v>103</v>
      </c>
      <c r="AC45" t="s">
        <v>132</v>
      </c>
    </row>
    <row r="46" spans="15:29" x14ac:dyDescent="0.25">
      <c r="S46" s="19" t="s">
        <v>102</v>
      </c>
      <c r="T46" s="14">
        <v>44929</v>
      </c>
      <c r="U46">
        <v>15</v>
      </c>
      <c r="V46" t="s">
        <v>103</v>
      </c>
      <c r="W46" t="s">
        <v>142</v>
      </c>
      <c r="Y46" s="15" t="s">
        <v>102</v>
      </c>
      <c r="Z46" s="16">
        <v>44911</v>
      </c>
      <c r="AA46" s="22">
        <v>11.731999999999999</v>
      </c>
      <c r="AB46" s="15" t="s">
        <v>103</v>
      </c>
      <c r="AC46" s="15" t="s">
        <v>133</v>
      </c>
    </row>
    <row r="47" spans="15:29" x14ac:dyDescent="0.25">
      <c r="S47" s="19" t="s">
        <v>102</v>
      </c>
      <c r="T47" s="14">
        <v>44929</v>
      </c>
      <c r="U47">
        <v>15</v>
      </c>
      <c r="V47" t="s">
        <v>103</v>
      </c>
      <c r="W47" t="s">
        <v>142</v>
      </c>
      <c r="Y47" t="s">
        <v>102</v>
      </c>
      <c r="Z47" s="14">
        <v>44912</v>
      </c>
      <c r="AA47" s="21">
        <v>13</v>
      </c>
      <c r="AB47" t="s">
        <v>103</v>
      </c>
      <c r="AC47" t="s">
        <v>134</v>
      </c>
    </row>
    <row r="48" spans="15:29" x14ac:dyDescent="0.25">
      <c r="S48" s="19" t="s">
        <v>102</v>
      </c>
      <c r="T48" s="14">
        <v>44929</v>
      </c>
      <c r="U48">
        <v>24</v>
      </c>
      <c r="V48" t="s">
        <v>103</v>
      </c>
      <c r="W48" t="s">
        <v>143</v>
      </c>
      <c r="Y48" s="15" t="s">
        <v>102</v>
      </c>
      <c r="Z48" s="16">
        <v>44913</v>
      </c>
      <c r="AA48" s="22">
        <v>15</v>
      </c>
      <c r="AB48" s="15" t="s">
        <v>103</v>
      </c>
      <c r="AC48" s="15" t="s">
        <v>135</v>
      </c>
    </row>
    <row r="49" spans="19:29" x14ac:dyDescent="0.25">
      <c r="S49" s="19" t="s">
        <v>102</v>
      </c>
      <c r="T49" s="14">
        <v>44929</v>
      </c>
      <c r="U49">
        <v>24</v>
      </c>
      <c r="V49" t="s">
        <v>103</v>
      </c>
      <c r="W49" t="s">
        <v>126</v>
      </c>
      <c r="Y49" t="s">
        <v>102</v>
      </c>
      <c r="Z49" s="14">
        <v>44914</v>
      </c>
      <c r="AA49" s="21">
        <v>24</v>
      </c>
      <c r="AB49" t="s">
        <v>103</v>
      </c>
      <c r="AC49" t="s">
        <v>136</v>
      </c>
    </row>
    <row r="50" spans="19:29" x14ac:dyDescent="0.25">
      <c r="S50" s="19" t="s">
        <v>102</v>
      </c>
      <c r="T50" s="14">
        <v>44929</v>
      </c>
      <c r="U50">
        <v>24</v>
      </c>
      <c r="V50" t="s">
        <v>103</v>
      </c>
      <c r="W50" t="s">
        <v>126</v>
      </c>
    </row>
    <row r="1048576" spans="26:26" x14ac:dyDescent="0.25">
      <c r="Z1048576" s="14"/>
    </row>
  </sheetData>
  <hyperlinks>
    <hyperlink ref="O6" r:id="rId1" xr:uid="{ADF806CD-E546-4369-B0F2-8B4CF0086650}"/>
    <hyperlink ref="O7" r:id="rId2" xr:uid="{5A7A84B3-C828-4D9A-BA21-F86395E164EE}"/>
    <hyperlink ref="O9" r:id="rId3" xr:uid="{B39F26EB-80DE-4750-97EE-B429BB34C754}"/>
    <hyperlink ref="O14" r:id="rId4" xr:uid="{5BD13BB0-325A-4112-9A2D-D925A3B884CE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9A43-9666-4DF8-BCBC-D2A830A1D08E}">
  <dimension ref="A1:DR90"/>
  <sheetViews>
    <sheetView tabSelected="1" workbookViewId="0">
      <pane xSplit="2" ySplit="1" topLeftCell="M30" activePane="bottomRight" state="frozen"/>
      <selection pane="topRight" activeCell="C1" sqref="C1"/>
      <selection pane="bottomLeft" activeCell="A2" sqref="A2"/>
      <selection pane="bottomRight" activeCell="AJ61" sqref="AJ61"/>
    </sheetView>
  </sheetViews>
  <sheetFormatPr defaultRowHeight="15" x14ac:dyDescent="0.25"/>
  <cols>
    <col min="1" max="1" width="6.7109375" customWidth="1"/>
    <col min="2" max="2" width="20.140625" customWidth="1"/>
  </cols>
  <sheetData>
    <row r="1" spans="1:33" x14ac:dyDescent="0.25">
      <c r="C1" t="s">
        <v>183</v>
      </c>
      <c r="D1" t="s">
        <v>184</v>
      </c>
      <c r="E1" t="s">
        <v>185</v>
      </c>
      <c r="F1" t="s">
        <v>186</v>
      </c>
      <c r="G1" t="s">
        <v>147</v>
      </c>
      <c r="H1" t="s">
        <v>181</v>
      </c>
      <c r="I1" t="s">
        <v>187</v>
      </c>
      <c r="J1" t="s">
        <v>188</v>
      </c>
      <c r="K1" t="s">
        <v>192</v>
      </c>
      <c r="L1" t="s">
        <v>193</v>
      </c>
      <c r="M1" t="s">
        <v>194</v>
      </c>
      <c r="N1" t="s">
        <v>195</v>
      </c>
      <c r="Q1">
        <f>+R1-1</f>
        <v>2018</v>
      </c>
      <c r="R1">
        <v>2019</v>
      </c>
      <c r="S1">
        <f>+R1+1</f>
        <v>2020</v>
      </c>
      <c r="T1">
        <f>+S1+1</f>
        <v>2021</v>
      </c>
      <c r="U1">
        <f>+T1+1</f>
        <v>2022</v>
      </c>
      <c r="V1">
        <f>+U1+1</f>
        <v>2023</v>
      </c>
      <c r="W1">
        <v>2024</v>
      </c>
      <c r="X1">
        <f t="shared" ref="X1:AC1" si="0">+W1+1</f>
        <v>2025</v>
      </c>
      <c r="Y1">
        <f t="shared" si="0"/>
        <v>2026</v>
      </c>
      <c r="Z1">
        <f t="shared" si="0"/>
        <v>2027</v>
      </c>
      <c r="AA1">
        <f t="shared" si="0"/>
        <v>2028</v>
      </c>
      <c r="AB1">
        <f t="shared" si="0"/>
        <v>2029</v>
      </c>
      <c r="AC1">
        <f t="shared" si="0"/>
        <v>2030</v>
      </c>
      <c r="AD1">
        <f t="shared" ref="AD1" si="1">+AC1+1</f>
        <v>2031</v>
      </c>
      <c r="AE1">
        <f t="shared" ref="AE1" si="2">+AD1+1</f>
        <v>2032</v>
      </c>
      <c r="AF1">
        <f t="shared" ref="AF1" si="3">+AE1+1</f>
        <v>2033</v>
      </c>
      <c r="AG1">
        <f t="shared" ref="AG1" si="4">+AF1+1</f>
        <v>2034</v>
      </c>
    </row>
    <row r="2" spans="1:33" s="4" customFormat="1" x14ac:dyDescent="0.25">
      <c r="V2" s="4">
        <f>+V3/U3 -1</f>
        <v>5.8047344535753664E-2</v>
      </c>
      <c r="W2" s="4">
        <f t="shared" ref="W2:AC2" si="5">+W3/V3 -1</f>
        <v>5.8414214271306664E-2</v>
      </c>
      <c r="X2" s="4">
        <f t="shared" si="5"/>
        <v>5.8799321965598006E-2</v>
      </c>
      <c r="Y2" s="4">
        <f t="shared" si="5"/>
        <v>5.9203332645552331E-2</v>
      </c>
      <c r="Z2" s="4">
        <f t="shared" si="5"/>
        <v>5.9626903930916297E-2</v>
      </c>
      <c r="AA2" s="4">
        <f t="shared" si="5"/>
        <v>3.3865072456344292E-2</v>
      </c>
      <c r="AB2" s="4">
        <f t="shared" si="5"/>
        <v>2.5631896893062667E-2</v>
      </c>
      <c r="AC2" s="4">
        <f t="shared" si="5"/>
        <v>2.3860404460375184E-2</v>
      </c>
      <c r="AD2" s="4">
        <f t="shared" ref="AD2" si="6">+AD3/AC3 -1</f>
        <v>2.3958962243031623E-2</v>
      </c>
      <c r="AE2" s="4">
        <f t="shared" ref="AE2" si="7">+AE3/AD3 -1</f>
        <v>2.4059645462819468E-2</v>
      </c>
      <c r="AF2" s="4">
        <f t="shared" ref="AF2" si="8">+AF3/AE3 -1</f>
        <v>2.4162479944255466E-2</v>
      </c>
      <c r="AG2" s="4">
        <f t="shared" ref="AG2" si="9">+AG3/AF3 -1</f>
        <v>2.426749078105872E-2</v>
      </c>
    </row>
    <row r="3" spans="1:33" s="2" customFormat="1" x14ac:dyDescent="0.25">
      <c r="A3" s="2" t="s">
        <v>161</v>
      </c>
      <c r="B3" s="2" t="s">
        <v>160</v>
      </c>
      <c r="U3" s="3">
        <f>+SUM(U4:U7)</f>
        <v>8153</v>
      </c>
      <c r="V3" s="3">
        <f>+SUM(V4:V7)</f>
        <v>8626.26</v>
      </c>
      <c r="W3" s="3">
        <f t="shared" ref="W3:AC3" si="10">+SUM(W4:W7)</f>
        <v>9130.1562000000013</v>
      </c>
      <c r="X3" s="3">
        <f t="shared" si="10"/>
        <v>9667.0031940000026</v>
      </c>
      <c r="Y3" s="3">
        <f t="shared" si="10"/>
        <v>10239.321999780002</v>
      </c>
      <c r="Z3" s="3">
        <f t="shared" si="10"/>
        <v>10849.861068978602</v>
      </c>
      <c r="AA3" s="3">
        <f t="shared" si="10"/>
        <v>11217.292400220831</v>
      </c>
      <c r="AB3" s="3">
        <f t="shared" si="10"/>
        <v>11504.812882442628</v>
      </c>
      <c r="AC3" s="3">
        <f t="shared" si="10"/>
        <v>11779.322371058643</v>
      </c>
      <c r="AD3" s="3">
        <f>+SUM(AD4:AD7)</f>
        <v>12061.542710995334</v>
      </c>
      <c r="AE3" s="3">
        <f t="shared" ref="AE3:AG3" si="11">+SUM(AE4:AE7)</f>
        <v>12351.739152356537</v>
      </c>
      <c r="AF3" s="3">
        <f t="shared" si="11"/>
        <v>12650.187801902026</v>
      </c>
      <c r="AG3" s="3">
        <f t="shared" si="11"/>
        <v>12957.176117763345</v>
      </c>
    </row>
    <row r="4" spans="1:33" s="2" customFormat="1" x14ac:dyDescent="0.25">
      <c r="A4" s="2" t="s">
        <v>154</v>
      </c>
      <c r="B4" s="2" t="s">
        <v>152</v>
      </c>
      <c r="U4" s="2">
        <v>480</v>
      </c>
      <c r="V4" s="2">
        <f t="shared" ref="V4:AA4" si="12">+U4*1.12</f>
        <v>537.6</v>
      </c>
      <c r="W4" s="2">
        <f t="shared" si="12"/>
        <v>602.11200000000008</v>
      </c>
      <c r="X4" s="2">
        <f t="shared" si="12"/>
        <v>674.36544000000015</v>
      </c>
      <c r="Y4" s="2">
        <f t="shared" si="12"/>
        <v>755.28929280000023</v>
      </c>
      <c r="Z4" s="2">
        <f t="shared" si="12"/>
        <v>845.92400793600029</v>
      </c>
      <c r="AA4" s="2">
        <f t="shared" si="12"/>
        <v>947.43488888832042</v>
      </c>
      <c r="AB4" s="2">
        <f>+AA4*1.05</f>
        <v>994.80663333273651</v>
      </c>
      <c r="AC4" s="2">
        <f>+AB4*1.05</f>
        <v>1044.5469649993734</v>
      </c>
      <c r="AD4" s="2">
        <f>+AC4*1.05</f>
        <v>1096.7743132493422</v>
      </c>
      <c r="AE4" s="2">
        <f t="shared" ref="AE4:AG4" si="13">+AD4*1.05</f>
        <v>1151.6130289118094</v>
      </c>
      <c r="AF4" s="2">
        <f t="shared" si="13"/>
        <v>1209.1936803573999</v>
      </c>
      <c r="AG4" s="2">
        <f t="shared" si="13"/>
        <v>1269.65336437527</v>
      </c>
    </row>
    <row r="5" spans="1:33" s="2" customFormat="1" x14ac:dyDescent="0.25">
      <c r="A5" s="2" t="s">
        <v>155</v>
      </c>
      <c r="B5" s="2" t="s">
        <v>153</v>
      </c>
      <c r="U5" s="2">
        <v>5930</v>
      </c>
      <c r="V5" s="2">
        <f>+U5*1.05</f>
        <v>6226.5</v>
      </c>
      <c r="W5" s="2">
        <f>+V5*1.05</f>
        <v>6537.8250000000007</v>
      </c>
      <c r="X5" s="2">
        <f>+W5*1.05</f>
        <v>6864.7162500000013</v>
      </c>
      <c r="Y5" s="2">
        <f>+X5*1.05</f>
        <v>7207.9520625000014</v>
      </c>
      <c r="Z5" s="2">
        <f>+Y5*1.05</f>
        <v>7568.3496656250018</v>
      </c>
      <c r="AA5" s="2">
        <f>+Z5*1.02</f>
        <v>7719.716658937502</v>
      </c>
      <c r="AB5" s="2">
        <f>+AA5*1.02</f>
        <v>7874.1109921162524</v>
      </c>
      <c r="AC5" s="2">
        <f>+AB5*1.02</f>
        <v>8031.5932119585777</v>
      </c>
      <c r="AD5" s="2">
        <f t="shared" ref="AD5:AG5" si="14">+AC5*1.02</f>
        <v>8192.2250761977502</v>
      </c>
      <c r="AE5" s="2">
        <f t="shared" si="14"/>
        <v>8356.0695777217061</v>
      </c>
      <c r="AF5" s="2">
        <f t="shared" si="14"/>
        <v>8523.1909692761401</v>
      </c>
      <c r="AG5" s="2">
        <f t="shared" si="14"/>
        <v>8693.6547886616627</v>
      </c>
    </row>
    <row r="6" spans="1:33" s="2" customFormat="1" x14ac:dyDescent="0.25">
      <c r="A6" s="2" t="s">
        <v>156</v>
      </c>
      <c r="B6" s="2" t="s">
        <v>157</v>
      </c>
      <c r="U6" s="2">
        <v>1500</v>
      </c>
      <c r="V6" s="2">
        <f>+U6*1.06</f>
        <v>1590</v>
      </c>
      <c r="W6" s="2">
        <f>+V6*1.06</f>
        <v>1685.4</v>
      </c>
      <c r="X6" s="2">
        <f>+W6*1.06</f>
        <v>1786.5240000000001</v>
      </c>
      <c r="Y6" s="2">
        <f>+X6*1.06</f>
        <v>1893.7154400000002</v>
      </c>
      <c r="Z6" s="2">
        <f>+Y6*1.06</f>
        <v>2007.3383664000003</v>
      </c>
      <c r="AA6" s="2">
        <f>+Z6*1.04</f>
        <v>2087.6319010560005</v>
      </c>
      <c r="AB6" s="2">
        <f>+AA6*1.03</f>
        <v>2150.2608580876804</v>
      </c>
      <c r="AC6" s="2">
        <f>+AB6*1.02</f>
        <v>2193.2660752494339</v>
      </c>
      <c r="AD6" s="2">
        <f t="shared" ref="AD6:AG6" si="15">+AC6*1.02</f>
        <v>2237.1313967544224</v>
      </c>
      <c r="AE6" s="2">
        <f t="shared" si="15"/>
        <v>2281.8740246895109</v>
      </c>
      <c r="AF6" s="2">
        <f t="shared" si="15"/>
        <v>2327.5115051833013</v>
      </c>
      <c r="AG6" s="2">
        <f t="shared" si="15"/>
        <v>2374.0617352869672</v>
      </c>
    </row>
    <row r="7" spans="1:33" s="2" customFormat="1" x14ac:dyDescent="0.25">
      <c r="A7" s="2" t="s">
        <v>158</v>
      </c>
      <c r="B7" s="2" t="s">
        <v>159</v>
      </c>
      <c r="U7" s="2">
        <v>243</v>
      </c>
      <c r="V7" s="2">
        <f>+U7*1.12</f>
        <v>272.16000000000003</v>
      </c>
      <c r="W7" s="2">
        <f>+V7*1.12</f>
        <v>304.81920000000008</v>
      </c>
      <c r="X7" s="2">
        <f>+W7*1.12</f>
        <v>341.39750400000014</v>
      </c>
      <c r="Y7" s="2">
        <f>+X7*1.12</f>
        <v>382.36520448000022</v>
      </c>
      <c r="Z7" s="2">
        <f>+Y7*1.12</f>
        <v>428.24902901760026</v>
      </c>
      <c r="AA7" s="2">
        <f>+Z7*1.08</f>
        <v>462.50895133900832</v>
      </c>
      <c r="AB7" s="2">
        <f>+AA7*1.05</f>
        <v>485.63439890595873</v>
      </c>
      <c r="AC7" s="2">
        <f>+AB7*1.05</f>
        <v>509.91611885125667</v>
      </c>
      <c r="AD7" s="2">
        <f t="shared" ref="AD7:AG7" si="16">+AC7*1.05</f>
        <v>535.41192479381948</v>
      </c>
      <c r="AE7" s="2">
        <f t="shared" si="16"/>
        <v>562.18252103351051</v>
      </c>
      <c r="AF7" s="2">
        <f t="shared" si="16"/>
        <v>590.29164708518601</v>
      </c>
      <c r="AG7" s="2">
        <f t="shared" si="16"/>
        <v>619.80622943944536</v>
      </c>
    </row>
    <row r="8" spans="1:33" s="4" customFormat="1" x14ac:dyDescent="0.25">
      <c r="A8" s="4" t="s">
        <v>162</v>
      </c>
      <c r="B8" s="4" t="s">
        <v>163</v>
      </c>
      <c r="U8" s="4">
        <f>+U7/U3</f>
        <v>2.9804979762050779E-2</v>
      </c>
      <c r="V8" s="4">
        <f>+V7/V3</f>
        <v>3.155017353986548E-2</v>
      </c>
      <c r="W8" s="4">
        <f>+W7/W3</f>
        <v>3.3385978653902991E-2</v>
      </c>
      <c r="X8" s="4">
        <f>+(X7+X6+Model!X5)/Model!X3</f>
        <v>0.93024048648100599</v>
      </c>
      <c r="Y8" s="4">
        <f>+(Y7+Y6+Model!Y5)/Model!Y3</f>
        <v>0.92623639604104369</v>
      </c>
      <c r="Z8" s="4">
        <f>+(Z7+Z6+Model!Z5)/Model!Z3</f>
        <v>0.92203365531060799</v>
      </c>
      <c r="AA8" s="4">
        <f>+(AA7+AA6+Model!AA5)/Model!AA3</f>
        <v>0.91553800551105646</v>
      </c>
      <c r="AB8" s="4">
        <f>+(AB7+AB6+Model!AB5)/Model!AB3</f>
        <v>0.9135312635244246</v>
      </c>
      <c r="AC8" s="4">
        <f>+(AC7+AC6+Model!AC5)/Model!AC3</f>
        <v>0.91132367957211302</v>
      </c>
      <c r="AD8" s="4">
        <f>+(AD7+AD6+Model!AD5)/Model!AD3</f>
        <v>0.90906848820843467</v>
      </c>
      <c r="AE8" s="4">
        <f>+(AE7+AE6+Model!AE5)/Model!AE3</f>
        <v>0.90676511099312695</v>
      </c>
      <c r="AF8" s="4">
        <f>+(AF7+AF6+Model!AF5)/Model!AF3</f>
        <v>0.90441298585499341</v>
      </c>
      <c r="AG8" s="4">
        <f>+(AG7+AG6+Model!AG5)/Model!AG3</f>
        <v>0.90201156850568176</v>
      </c>
    </row>
    <row r="9" spans="1:33" s="4" customFormat="1" x14ac:dyDescent="0.25">
      <c r="A9" s="4" t="s">
        <v>166</v>
      </c>
      <c r="B9" s="4" t="s">
        <v>164</v>
      </c>
      <c r="U9" s="4">
        <f>+U21/U7</f>
        <v>0.25</v>
      </c>
      <c r="V9" s="4">
        <f t="shared" ref="V9:AC9" si="17">+V21/V7</f>
        <v>0.26415343915343914</v>
      </c>
      <c r="W9" s="4">
        <f t="shared" si="17"/>
        <v>0.54130448475686554</v>
      </c>
      <c r="X9" s="4">
        <f t="shared" si="17"/>
        <v>0.56239426987726282</v>
      </c>
      <c r="Y9" s="4">
        <f t="shared" si="17"/>
        <v>0.65905578501241724</v>
      </c>
      <c r="Z9" s="4">
        <f t="shared" si="17"/>
        <v>0.63047428413177675</v>
      </c>
      <c r="AA9" s="4">
        <f t="shared" si="17"/>
        <v>0.6572845760495889</v>
      </c>
      <c r="AB9" s="4">
        <f t="shared" si="17"/>
        <v>0.7207067719841983</v>
      </c>
      <c r="AC9" s="4">
        <f t="shared" si="17"/>
        <v>0.6863874018897127</v>
      </c>
      <c r="AD9" s="4">
        <f t="shared" ref="AD9:AG9" si="18">+AD21/AD7</f>
        <v>0.65370228751401205</v>
      </c>
      <c r="AE9" s="4">
        <f t="shared" si="18"/>
        <v>0.62257360715620191</v>
      </c>
      <c r="AF9" s="4">
        <f t="shared" si="18"/>
        <v>0.59292724491066851</v>
      </c>
      <c r="AG9" s="4">
        <f t="shared" si="18"/>
        <v>0.56469261420063666</v>
      </c>
    </row>
    <row r="10" spans="1:33" s="4" customFormat="1" x14ac:dyDescent="0.25">
      <c r="A10" s="4" t="s">
        <v>167</v>
      </c>
      <c r="B10" s="4" t="s">
        <v>165</v>
      </c>
      <c r="U10" s="4">
        <f t="shared" ref="U10:AB10" si="19">+U28/SUM(U5:U6)</f>
        <v>0</v>
      </c>
      <c r="V10" s="4">
        <f t="shared" si="19"/>
        <v>0</v>
      </c>
      <c r="W10" s="4">
        <f t="shared" si="19"/>
        <v>0</v>
      </c>
      <c r="X10" s="4">
        <f t="shared" si="19"/>
        <v>5.7795181448116635E-3</v>
      </c>
      <c r="Y10" s="4">
        <f t="shared" si="19"/>
        <v>1.7469326357651128E-2</v>
      </c>
      <c r="Z10" s="4">
        <f t="shared" si="19"/>
        <v>3.4462275597987903E-2</v>
      </c>
      <c r="AA10" s="4">
        <f t="shared" si="19"/>
        <v>6.1688436614554344E-2</v>
      </c>
      <c r="AB10" s="4">
        <f t="shared" si="19"/>
        <v>8.7786049155997484E-2</v>
      </c>
      <c r="AC10" s="4">
        <f>+AC28/SUM(AC5:AC6)</f>
        <v>0.11833903685244761</v>
      </c>
      <c r="AD10" s="4">
        <f t="shared" ref="AD10:AG10" si="20">+AD28/SUM(AD5:AD6)</f>
        <v>0.13183939043276247</v>
      </c>
      <c r="AE10" s="4">
        <f t="shared" si="20"/>
        <v>0.13959464869351321</v>
      </c>
      <c r="AF10" s="4">
        <f t="shared" si="20"/>
        <v>0.15206388746570063</v>
      </c>
      <c r="AG10" s="4">
        <f t="shared" si="20"/>
        <v>0.15902105878766082</v>
      </c>
    </row>
    <row r="11" spans="1:33" s="4" customFormat="1" x14ac:dyDescent="0.25">
      <c r="B11" s="4" t="s">
        <v>168</v>
      </c>
      <c r="U11" s="4">
        <f>+U36/(U3*1000)</f>
        <v>7.4512449405126947E-3</v>
      </c>
      <c r="V11" s="4">
        <f t="shared" ref="V11:AC11" si="21">+V36/(V3*1000)</f>
        <v>8.3340868464433018E-3</v>
      </c>
      <c r="W11" s="4">
        <f t="shared" si="21"/>
        <v>1.807197997335467E-2</v>
      </c>
      <c r="X11" s="4">
        <f t="shared" si="21"/>
        <v>2.5033611259195777E-2</v>
      </c>
      <c r="Y11" s="4">
        <f t="shared" si="21"/>
        <v>4.0139376416605567E-2</v>
      </c>
      <c r="Z11" s="4">
        <f t="shared" si="21"/>
        <v>5.5300247273717726E-2</v>
      </c>
      <c r="AA11" s="4">
        <f t="shared" si="21"/>
        <v>8.1035598214601656E-2</v>
      </c>
      <c r="AB11" s="4">
        <f t="shared" si="21"/>
        <v>0.106911777928791</v>
      </c>
      <c r="AC11" s="4">
        <f t="shared" si="21"/>
        <v>0.13243546197808984</v>
      </c>
      <c r="AD11" s="4">
        <f t="shared" ref="AD11:AG11" si="22">+AD36/(AD3*1000)</f>
        <v>0.14301653124583186</v>
      </c>
      <c r="AE11" s="4">
        <f t="shared" si="22"/>
        <v>0.14856207513497466</v>
      </c>
      <c r="AF11" s="4">
        <f t="shared" si="22"/>
        <v>0.15810041963956367</v>
      </c>
      <c r="AG11" s="4">
        <f t="shared" si="22"/>
        <v>0.16284412443135224</v>
      </c>
    </row>
    <row r="12" spans="1:33" s="4" customFormat="1" x14ac:dyDescent="0.25">
      <c r="B12" s="4" t="s">
        <v>189</v>
      </c>
      <c r="U12" s="4">
        <f>3250/U3</f>
        <v>0.39862627253771615</v>
      </c>
    </row>
    <row r="13" spans="1:33" s="2" customFormat="1" x14ac:dyDescent="0.25"/>
    <row r="14" spans="1:33" x14ac:dyDescent="0.25">
      <c r="B14" t="s">
        <v>151</v>
      </c>
      <c r="T14">
        <v>241</v>
      </c>
      <c r="U14">
        <v>503.6</v>
      </c>
    </row>
    <row r="15" spans="1:33" s="7" customFormat="1" x14ac:dyDescent="0.25">
      <c r="A15" s="7" t="s">
        <v>44</v>
      </c>
      <c r="B15" s="7" t="s">
        <v>25</v>
      </c>
      <c r="Q15" s="7">
        <v>3</v>
      </c>
      <c r="R15" s="7">
        <v>6</v>
      </c>
      <c r="S15" s="7">
        <v>6</v>
      </c>
      <c r="T15" s="7">
        <v>5</v>
      </c>
      <c r="U15" s="7">
        <v>9</v>
      </c>
      <c r="X15" s="6"/>
      <c r="Y15" s="6"/>
      <c r="Z15" s="6"/>
      <c r="AA15" s="6"/>
      <c r="AB15" s="6"/>
      <c r="AC15" s="6"/>
    </row>
    <row r="16" spans="1:33" x14ac:dyDescent="0.25">
      <c r="B16" t="s">
        <v>26</v>
      </c>
      <c r="U16">
        <v>152</v>
      </c>
    </row>
    <row r="17" spans="2:79" s="2" customFormat="1" x14ac:dyDescent="0.25"/>
    <row r="18" spans="2:79" s="2" customFormat="1" x14ac:dyDescent="0.25">
      <c r="B18" s="9" t="s">
        <v>55</v>
      </c>
    </row>
    <row r="19" spans="2:79" s="2" customFormat="1" x14ac:dyDescent="0.25">
      <c r="B19" s="2" t="s">
        <v>32</v>
      </c>
      <c r="C19" s="2">
        <v>1</v>
      </c>
      <c r="D19" s="2">
        <v>2</v>
      </c>
      <c r="E19" s="2">
        <v>3</v>
      </c>
      <c r="F19" s="2">
        <v>2</v>
      </c>
      <c r="G19" s="2">
        <v>3</v>
      </c>
      <c r="H19" s="2">
        <v>5</v>
      </c>
      <c r="I19" s="2">
        <v>3</v>
      </c>
      <c r="J19" s="2">
        <v>8</v>
      </c>
      <c r="Q19" s="7">
        <v>3</v>
      </c>
      <c r="R19" s="7">
        <v>6</v>
      </c>
      <c r="S19" s="7">
        <v>6</v>
      </c>
      <c r="T19" s="7">
        <v>6</v>
      </c>
      <c r="U19" s="7">
        <v>9</v>
      </c>
      <c r="V19" s="2">
        <v>10</v>
      </c>
      <c r="W19" s="2">
        <v>22</v>
      </c>
      <c r="X19" s="2">
        <v>24</v>
      </c>
      <c r="Y19" s="2">
        <v>28</v>
      </c>
      <c r="Z19" s="2">
        <v>30</v>
      </c>
      <c r="AA19" s="2">
        <v>32</v>
      </c>
      <c r="AB19" s="2">
        <v>35</v>
      </c>
      <c r="AC19" s="2">
        <v>35</v>
      </c>
      <c r="AD19" s="2">
        <v>35</v>
      </c>
      <c r="AE19" s="2">
        <v>35</v>
      </c>
      <c r="AF19" s="2">
        <v>35</v>
      </c>
      <c r="AG19" s="2">
        <v>35</v>
      </c>
    </row>
    <row r="20" spans="2:79" s="8" customFormat="1" x14ac:dyDescent="0.25">
      <c r="B20" s="8" t="s">
        <v>56</v>
      </c>
      <c r="C20" s="8">
        <v>6.5</v>
      </c>
      <c r="D20" s="8">
        <v>6.5</v>
      </c>
      <c r="E20" s="8">
        <v>6.5</v>
      </c>
      <c r="F20" s="8">
        <v>6.5</v>
      </c>
      <c r="G20" s="8">
        <v>6.5350000000000001</v>
      </c>
      <c r="H20" s="8">
        <v>7.5</v>
      </c>
      <c r="I20" s="8">
        <v>7.5</v>
      </c>
      <c r="J20" s="8">
        <v>7.5</v>
      </c>
      <c r="T20" s="8">
        <v>6.5</v>
      </c>
      <c r="U20" s="8">
        <v>6.75</v>
      </c>
      <c r="V20" s="8">
        <f>+V21/V19</f>
        <v>7.1891999999999996</v>
      </c>
      <c r="W20" s="8">
        <v>7.5</v>
      </c>
      <c r="X20" s="8">
        <v>8</v>
      </c>
      <c r="Y20" s="8">
        <v>9</v>
      </c>
      <c r="Z20" s="8">
        <v>9</v>
      </c>
      <c r="AA20" s="8">
        <v>9.5</v>
      </c>
      <c r="AB20" s="8">
        <v>10</v>
      </c>
      <c r="AC20" s="8">
        <v>10</v>
      </c>
      <c r="AD20" s="8">
        <v>10</v>
      </c>
      <c r="AE20" s="8">
        <v>10</v>
      </c>
      <c r="AF20" s="8">
        <v>10</v>
      </c>
      <c r="AG20" s="8">
        <v>10</v>
      </c>
    </row>
    <row r="21" spans="2:79" s="2" customFormat="1" x14ac:dyDescent="0.25">
      <c r="B21" s="2" t="s">
        <v>57</v>
      </c>
      <c r="C21" s="2">
        <f t="shared" ref="C21:J21" si="23">+C19*C20</f>
        <v>6.5</v>
      </c>
      <c r="D21" s="2">
        <f t="shared" si="23"/>
        <v>13</v>
      </c>
      <c r="E21" s="2">
        <f t="shared" si="23"/>
        <v>19.5</v>
      </c>
      <c r="F21" s="2">
        <f t="shared" si="23"/>
        <v>13</v>
      </c>
      <c r="G21" s="2">
        <f t="shared" si="23"/>
        <v>19.605</v>
      </c>
      <c r="H21" s="2">
        <f t="shared" si="23"/>
        <v>37.5</v>
      </c>
      <c r="I21" s="2">
        <f t="shared" si="23"/>
        <v>22.5</v>
      </c>
      <c r="J21" s="2">
        <f t="shared" si="23"/>
        <v>60</v>
      </c>
      <c r="T21" s="2">
        <f t="shared" ref="T21:AA21" si="24">+T19*T20</f>
        <v>39</v>
      </c>
      <c r="U21" s="2">
        <f t="shared" si="24"/>
        <v>60.75</v>
      </c>
      <c r="V21" s="2">
        <f>+V36/1000</f>
        <v>71.891999999999996</v>
      </c>
      <c r="W21" s="2">
        <f t="shared" si="24"/>
        <v>165</v>
      </c>
      <c r="X21" s="2">
        <f t="shared" si="24"/>
        <v>192</v>
      </c>
      <c r="Y21" s="2">
        <f t="shared" si="24"/>
        <v>252</v>
      </c>
      <c r="Z21" s="2">
        <f t="shared" si="24"/>
        <v>270</v>
      </c>
      <c r="AA21" s="2">
        <f t="shared" si="24"/>
        <v>304</v>
      </c>
      <c r="AB21" s="2">
        <f>+AB19*AB20</f>
        <v>350</v>
      </c>
      <c r="AC21" s="2">
        <f>+AC19*AC20</f>
        <v>350</v>
      </c>
      <c r="AD21" s="2">
        <f t="shared" ref="AD21:AG21" si="25">+AD19*AD20</f>
        <v>350</v>
      </c>
      <c r="AE21" s="2">
        <f t="shared" si="25"/>
        <v>350</v>
      </c>
      <c r="AF21" s="2">
        <f t="shared" si="25"/>
        <v>350</v>
      </c>
      <c r="AG21" s="2">
        <f t="shared" si="25"/>
        <v>350</v>
      </c>
    </row>
    <row r="22" spans="2:79" s="4" customFormat="1" x14ac:dyDescent="0.25">
      <c r="B22" s="4" t="s">
        <v>58</v>
      </c>
      <c r="V22" s="4">
        <v>0</v>
      </c>
      <c r="W22" s="4">
        <v>0.3</v>
      </c>
      <c r="X22" s="4">
        <v>0.4</v>
      </c>
      <c r="Y22" s="4">
        <v>0.5</v>
      </c>
      <c r="Z22" s="4">
        <v>0.52</v>
      </c>
      <c r="AA22" s="4">
        <v>0.54</v>
      </c>
      <c r="AB22" s="4">
        <v>0.55000000000000004</v>
      </c>
      <c r="AC22" s="4">
        <v>0.55000000000000004</v>
      </c>
      <c r="AD22" s="4">
        <v>0.55000000000000004</v>
      </c>
      <c r="AE22" s="4">
        <v>0.55000000000000004</v>
      </c>
      <c r="AF22" s="4">
        <v>0.55000000000000004</v>
      </c>
      <c r="AG22" s="4">
        <v>0.55000000000000004</v>
      </c>
    </row>
    <row r="23" spans="2:79" s="2" customFormat="1" x14ac:dyDescent="0.25">
      <c r="B23" s="2" t="s">
        <v>10</v>
      </c>
      <c r="V23" s="2">
        <f>+V21*V22</f>
        <v>0</v>
      </c>
      <c r="W23" s="2">
        <f t="shared" ref="W23:AC23" si="26">+W21*W22</f>
        <v>49.5</v>
      </c>
      <c r="X23" s="2">
        <f t="shared" si="26"/>
        <v>76.800000000000011</v>
      </c>
      <c r="Y23" s="2">
        <f t="shared" si="26"/>
        <v>126</v>
      </c>
      <c r="Z23" s="2">
        <f t="shared" si="26"/>
        <v>140.4</v>
      </c>
      <c r="AA23" s="2">
        <f t="shared" si="26"/>
        <v>164.16000000000003</v>
      </c>
      <c r="AB23" s="2">
        <f t="shared" si="26"/>
        <v>192.50000000000003</v>
      </c>
      <c r="AC23" s="2">
        <f t="shared" si="26"/>
        <v>192.50000000000003</v>
      </c>
      <c r="AD23" s="2">
        <f t="shared" ref="AD23:AG23" si="27">+AD21*AD22</f>
        <v>192.50000000000003</v>
      </c>
      <c r="AE23" s="2">
        <f t="shared" si="27"/>
        <v>192.50000000000003</v>
      </c>
      <c r="AF23" s="2">
        <f t="shared" si="27"/>
        <v>192.50000000000003</v>
      </c>
      <c r="AG23" s="2">
        <f t="shared" si="27"/>
        <v>192.50000000000003</v>
      </c>
    </row>
    <row r="24" spans="2:79" s="2" customFormat="1" x14ac:dyDescent="0.25"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</row>
    <row r="25" spans="2:79" s="2" customFormat="1" x14ac:dyDescent="0.25">
      <c r="B25" s="9" t="s">
        <v>36</v>
      </c>
    </row>
    <row r="26" spans="2:79" s="2" customFormat="1" x14ac:dyDescent="0.25">
      <c r="B26" s="2" t="s">
        <v>32</v>
      </c>
      <c r="W26" s="2">
        <v>0</v>
      </c>
      <c r="X26" s="2">
        <v>1</v>
      </c>
      <c r="Y26" s="2">
        <v>3</v>
      </c>
      <c r="Z26" s="2">
        <v>6</v>
      </c>
      <c r="AA26" s="2">
        <v>11</v>
      </c>
      <c r="AB26" s="2">
        <v>16</v>
      </c>
      <c r="AC26" s="2">
        <v>22</v>
      </c>
      <c r="AD26" s="2">
        <v>25</v>
      </c>
      <c r="AE26" s="2">
        <v>27</v>
      </c>
      <c r="AF26" s="2">
        <v>30</v>
      </c>
      <c r="AG26" s="2">
        <v>32</v>
      </c>
    </row>
    <row r="27" spans="2:79" s="2" customFormat="1" x14ac:dyDescent="0.25">
      <c r="B27" s="2" t="s">
        <v>56</v>
      </c>
      <c r="W27" s="2">
        <v>50</v>
      </c>
      <c r="X27" s="2">
        <v>50</v>
      </c>
      <c r="Y27" s="2">
        <v>53</v>
      </c>
      <c r="Z27" s="2">
        <v>55</v>
      </c>
      <c r="AA27" s="2">
        <v>55</v>
      </c>
      <c r="AB27" s="2">
        <v>55</v>
      </c>
      <c r="AC27" s="2">
        <v>55</v>
      </c>
      <c r="AD27" s="2">
        <v>55</v>
      </c>
      <c r="AE27" s="2">
        <v>55</v>
      </c>
      <c r="AF27" s="2">
        <v>55</v>
      </c>
      <c r="AG27" s="2">
        <v>55</v>
      </c>
    </row>
    <row r="28" spans="2:79" s="2" customFormat="1" x14ac:dyDescent="0.25">
      <c r="B28" s="2" t="s">
        <v>57</v>
      </c>
      <c r="W28" s="2">
        <f t="shared" ref="W28:AC28" si="28">+W26*W27</f>
        <v>0</v>
      </c>
      <c r="X28" s="2">
        <f t="shared" si="28"/>
        <v>50</v>
      </c>
      <c r="Y28" s="2">
        <f t="shared" si="28"/>
        <v>159</v>
      </c>
      <c r="Z28" s="2">
        <f t="shared" si="28"/>
        <v>330</v>
      </c>
      <c r="AA28" s="2">
        <f t="shared" si="28"/>
        <v>605</v>
      </c>
      <c r="AB28" s="2">
        <f t="shared" si="28"/>
        <v>880</v>
      </c>
      <c r="AC28" s="2">
        <f t="shared" si="28"/>
        <v>1210</v>
      </c>
      <c r="AD28" s="2">
        <f t="shared" ref="AD28:AG28" si="29">+AD26*AD27</f>
        <v>1375</v>
      </c>
      <c r="AE28" s="2">
        <f t="shared" si="29"/>
        <v>1485</v>
      </c>
      <c r="AF28" s="2">
        <f t="shared" si="29"/>
        <v>1650</v>
      </c>
      <c r="AG28" s="2">
        <f t="shared" si="29"/>
        <v>1760</v>
      </c>
    </row>
    <row r="29" spans="2:79" s="4" customFormat="1" x14ac:dyDescent="0.25">
      <c r="B29" s="4" t="s">
        <v>58</v>
      </c>
      <c r="W29" s="4">
        <v>-0.5</v>
      </c>
      <c r="X29" s="4">
        <v>-0.25</v>
      </c>
      <c r="Y29" s="4">
        <v>0.1</v>
      </c>
      <c r="Z29" s="4">
        <v>0.17499999999999999</v>
      </c>
      <c r="AA29" s="4">
        <v>0.25</v>
      </c>
      <c r="AB29" s="4">
        <v>0.3</v>
      </c>
      <c r="AC29" s="4">
        <v>0.35</v>
      </c>
      <c r="AD29" s="4">
        <v>0.4</v>
      </c>
      <c r="AE29" s="4">
        <v>0.4</v>
      </c>
      <c r="AF29" s="4">
        <v>0.4</v>
      </c>
      <c r="AG29" s="4">
        <v>0.4</v>
      </c>
    </row>
    <row r="30" spans="2:79" s="2" customFormat="1" x14ac:dyDescent="0.25">
      <c r="B30" s="2" t="s">
        <v>10</v>
      </c>
      <c r="W30" s="2">
        <f t="shared" ref="W30:AC30" si="30">+W28*W29</f>
        <v>0</v>
      </c>
      <c r="X30" s="2">
        <f t="shared" si="30"/>
        <v>-12.5</v>
      </c>
      <c r="Y30" s="2">
        <f t="shared" si="30"/>
        <v>15.9</v>
      </c>
      <c r="Z30" s="2">
        <f t="shared" si="30"/>
        <v>57.749999999999993</v>
      </c>
      <c r="AA30" s="2">
        <f t="shared" si="30"/>
        <v>151.25</v>
      </c>
      <c r="AB30" s="2">
        <f t="shared" si="30"/>
        <v>264</v>
      </c>
      <c r="AC30" s="2">
        <f t="shared" si="30"/>
        <v>423.5</v>
      </c>
      <c r="AD30" s="2">
        <f t="shared" ref="AD30:AG30" si="31">+AD28*AD29</f>
        <v>550</v>
      </c>
      <c r="AE30" s="2">
        <f t="shared" si="31"/>
        <v>594</v>
      </c>
      <c r="AF30" s="2">
        <f t="shared" si="31"/>
        <v>660</v>
      </c>
      <c r="AG30" s="2">
        <f t="shared" si="31"/>
        <v>704</v>
      </c>
    </row>
    <row r="31" spans="2:79" s="2" customFormat="1" x14ac:dyDescent="0.25"/>
    <row r="32" spans="2:79" s="2" customFormat="1" x14ac:dyDescent="0.25">
      <c r="B32" s="2" t="s">
        <v>60</v>
      </c>
      <c r="T32" s="2">
        <v>23.3</v>
      </c>
      <c r="U32" s="2">
        <v>150.30000000000001</v>
      </c>
      <c r="V32" s="2">
        <v>174.6</v>
      </c>
      <c r="W32" s="2">
        <v>218</v>
      </c>
      <c r="X32" s="2">
        <v>350</v>
      </c>
      <c r="Y32" s="2">
        <v>501</v>
      </c>
      <c r="Z32" s="2">
        <v>656</v>
      </c>
      <c r="AA32" s="2">
        <f>+Z32*1.2</f>
        <v>787.19999999999993</v>
      </c>
      <c r="AB32" s="2">
        <f>+AA32*1.2</f>
        <v>944.63999999999987</v>
      </c>
      <c r="AC32" s="2">
        <f>+AB32*1.2</f>
        <v>1133.5679999999998</v>
      </c>
      <c r="AD32" s="2">
        <f>+AC32*1.15</f>
        <v>1303.6031999999996</v>
      </c>
      <c r="AE32" s="2">
        <f t="shared" ref="AE32:AG32" si="32">+AD32*1.15</f>
        <v>1499.1436799999994</v>
      </c>
      <c r="AF32" s="2">
        <f t="shared" si="32"/>
        <v>1724.0152319999993</v>
      </c>
      <c r="AG32" s="2">
        <f t="shared" si="32"/>
        <v>1982.6175167999991</v>
      </c>
    </row>
    <row r="33" spans="2:33" s="4" customFormat="1" x14ac:dyDescent="0.25">
      <c r="B33" s="4" t="s">
        <v>21</v>
      </c>
      <c r="U33" s="4">
        <v>0.2</v>
      </c>
      <c r="V33" s="4">
        <f>+V34/V32</f>
        <v>0.29443871706758307</v>
      </c>
      <c r="W33" s="4">
        <v>0.35</v>
      </c>
      <c r="X33" s="4">
        <v>0.4</v>
      </c>
      <c r="Y33" s="4">
        <v>0.43</v>
      </c>
      <c r="Z33" s="4">
        <v>0.45</v>
      </c>
      <c r="AA33" s="4">
        <v>0.45</v>
      </c>
      <c r="AB33" s="4">
        <v>0.5</v>
      </c>
      <c r="AC33" s="4">
        <v>0.5</v>
      </c>
      <c r="AD33" s="4">
        <v>0.5</v>
      </c>
      <c r="AE33" s="4">
        <v>0.5</v>
      </c>
      <c r="AF33" s="4">
        <v>0.5</v>
      </c>
      <c r="AG33" s="4">
        <v>0.5</v>
      </c>
    </row>
    <row r="34" spans="2:33" s="2" customFormat="1" x14ac:dyDescent="0.25">
      <c r="B34" s="2" t="s">
        <v>10</v>
      </c>
      <c r="U34" s="2">
        <f t="shared" ref="U34:AC34" si="33">+U32*U33</f>
        <v>30.060000000000002</v>
      </c>
      <c r="V34" s="2">
        <f>+V40/1000</f>
        <v>51.408999999999999</v>
      </c>
      <c r="W34" s="2">
        <f t="shared" si="33"/>
        <v>76.3</v>
      </c>
      <c r="X34" s="2">
        <f t="shared" si="33"/>
        <v>140</v>
      </c>
      <c r="Y34" s="2">
        <f t="shared" si="33"/>
        <v>215.43</v>
      </c>
      <c r="Z34" s="2">
        <f t="shared" si="33"/>
        <v>295.2</v>
      </c>
      <c r="AA34" s="2">
        <f t="shared" si="33"/>
        <v>354.23999999999995</v>
      </c>
      <c r="AB34" s="2">
        <f t="shared" si="33"/>
        <v>472.31999999999994</v>
      </c>
      <c r="AC34" s="2">
        <f t="shared" si="33"/>
        <v>566.78399999999988</v>
      </c>
      <c r="AD34" s="2">
        <f t="shared" ref="AD34:AG34" si="34">+AD32*AD33</f>
        <v>651.80159999999978</v>
      </c>
      <c r="AE34" s="2">
        <f t="shared" si="34"/>
        <v>749.57183999999972</v>
      </c>
      <c r="AF34" s="2">
        <f t="shared" si="34"/>
        <v>862.00761599999964</v>
      </c>
      <c r="AG34" s="2">
        <f t="shared" si="34"/>
        <v>991.30875839999953</v>
      </c>
    </row>
    <row r="35" spans="2:33" s="2" customFormat="1" x14ac:dyDescent="0.25"/>
    <row r="36" spans="2:33" s="2" customFormat="1" x14ac:dyDescent="0.25">
      <c r="B36" s="2" t="s">
        <v>59</v>
      </c>
      <c r="C36" s="2">
        <f t="shared" ref="C36:H36" si="35">+C21*1000</f>
        <v>6500</v>
      </c>
      <c r="D36" s="2">
        <f t="shared" si="35"/>
        <v>13000</v>
      </c>
      <c r="E36" s="2">
        <f t="shared" si="35"/>
        <v>19500</v>
      </c>
      <c r="F36" s="2">
        <f t="shared" si="35"/>
        <v>13000</v>
      </c>
      <c r="G36" s="2">
        <f>+G21*1000</f>
        <v>19605</v>
      </c>
      <c r="H36" s="2">
        <f t="shared" si="35"/>
        <v>37500</v>
      </c>
      <c r="I36" s="2">
        <f>+I21*1000</f>
        <v>22500</v>
      </c>
      <c r="T36" s="2">
        <f>+T21*1000</f>
        <v>39000</v>
      </c>
      <c r="U36" s="2">
        <f>+U21*1000</f>
        <v>60750</v>
      </c>
      <c r="V36" s="2">
        <f>+V38-V37</f>
        <v>71892</v>
      </c>
      <c r="W36" s="2">
        <f t="shared" ref="W36:AC36" si="36">+(W21+W28)*1000</f>
        <v>165000</v>
      </c>
      <c r="X36" s="2">
        <f t="shared" si="36"/>
        <v>242000</v>
      </c>
      <c r="Y36" s="2">
        <f t="shared" si="36"/>
        <v>411000</v>
      </c>
      <c r="Z36" s="2">
        <f t="shared" si="36"/>
        <v>600000</v>
      </c>
      <c r="AA36" s="2">
        <f t="shared" si="36"/>
        <v>909000</v>
      </c>
      <c r="AB36" s="2">
        <f t="shared" si="36"/>
        <v>1230000</v>
      </c>
      <c r="AC36" s="2">
        <f t="shared" si="36"/>
        <v>1560000</v>
      </c>
      <c r="AD36" s="2">
        <f t="shared" ref="AD36:AG36" si="37">+(AD21+AD28)*1000</f>
        <v>1725000</v>
      </c>
      <c r="AE36" s="2">
        <f t="shared" si="37"/>
        <v>1835000</v>
      </c>
      <c r="AF36" s="2">
        <f t="shared" si="37"/>
        <v>2000000</v>
      </c>
      <c r="AG36" s="2">
        <f t="shared" si="37"/>
        <v>2110000</v>
      </c>
    </row>
    <row r="37" spans="2:33" s="2" customFormat="1" x14ac:dyDescent="0.25">
      <c r="B37" s="2" t="s">
        <v>60</v>
      </c>
      <c r="C37" s="2">
        <f>+C38-C36</f>
        <v>34203</v>
      </c>
      <c r="D37" s="2">
        <f>+D38-D36</f>
        <v>42474</v>
      </c>
      <c r="E37" s="2">
        <f>+E38-E36</f>
        <v>43557</v>
      </c>
      <c r="F37" s="2">
        <f>+F38-F36</f>
        <v>38762</v>
      </c>
      <c r="G37" s="2">
        <f>+G38-G36</f>
        <v>35290</v>
      </c>
      <c r="H37" s="2">
        <v>23000</v>
      </c>
      <c r="I37" s="2">
        <f>+I38-I36</f>
        <v>45161</v>
      </c>
      <c r="T37" s="2">
        <f>+T32*1000</f>
        <v>23300</v>
      </c>
      <c r="U37" s="2">
        <f>+U32*1000</f>
        <v>150300</v>
      </c>
      <c r="V37" s="2">
        <v>172700</v>
      </c>
      <c r="W37" s="2">
        <f t="shared" ref="W37:AC37" si="38">+W32*1000</f>
        <v>218000</v>
      </c>
      <c r="X37" s="2">
        <f t="shared" si="38"/>
        <v>350000</v>
      </c>
      <c r="Y37" s="2">
        <f t="shared" si="38"/>
        <v>501000</v>
      </c>
      <c r="Z37" s="2">
        <f t="shared" si="38"/>
        <v>656000</v>
      </c>
      <c r="AA37" s="2">
        <f t="shared" si="38"/>
        <v>787199.99999999988</v>
      </c>
      <c r="AB37" s="2">
        <f t="shared" si="38"/>
        <v>944639.99999999988</v>
      </c>
      <c r="AC37" s="2">
        <f t="shared" si="38"/>
        <v>1133567.9999999998</v>
      </c>
      <c r="AD37" s="2">
        <f t="shared" ref="AD37:AG37" si="39">+AD32*1000</f>
        <v>1303603.1999999995</v>
      </c>
      <c r="AE37" s="2">
        <f t="shared" si="39"/>
        <v>1499143.6799999995</v>
      </c>
      <c r="AF37" s="2">
        <f t="shared" si="39"/>
        <v>1724015.2319999994</v>
      </c>
      <c r="AG37" s="2">
        <f t="shared" si="39"/>
        <v>1982617.5167999992</v>
      </c>
    </row>
    <row r="38" spans="2:33" s="3" customFormat="1" x14ac:dyDescent="0.25">
      <c r="B38" s="3" t="s">
        <v>8</v>
      </c>
      <c r="C38" s="3">
        <v>40703</v>
      </c>
      <c r="D38" s="3">
        <v>55474</v>
      </c>
      <c r="E38" s="3">
        <v>63057</v>
      </c>
      <c r="F38" s="3">
        <f t="shared" ref="F38:F50" si="40">+U38-E38-D38-C38</f>
        <v>51762</v>
      </c>
      <c r="G38" s="3">
        <v>54895</v>
      </c>
      <c r="H38" s="3">
        <v>62045</v>
      </c>
      <c r="I38" s="3">
        <v>67661</v>
      </c>
      <c r="J38" s="3">
        <v>59991</v>
      </c>
      <c r="K38" s="3">
        <v>92767</v>
      </c>
      <c r="L38" s="3">
        <v>106251</v>
      </c>
      <c r="M38" s="3">
        <f>+L38+10000</f>
        <v>116251</v>
      </c>
      <c r="N38" s="3">
        <f>+M38+10000</f>
        <v>126251</v>
      </c>
      <c r="P38" s="2"/>
      <c r="S38" s="3">
        <v>35160</v>
      </c>
      <c r="T38" s="3">
        <v>62237</v>
      </c>
      <c r="U38" s="3">
        <v>210996</v>
      </c>
      <c r="V38" s="3">
        <f>+SUM(G38:J38)</f>
        <v>244592</v>
      </c>
      <c r="W38" s="3">
        <f>+SUM(K38:N38)</f>
        <v>441520</v>
      </c>
      <c r="X38" s="3">
        <f t="shared" ref="X38:AB38" si="41">+(X36+X37)</f>
        <v>592000</v>
      </c>
      <c r="Y38" s="3">
        <f t="shared" si="41"/>
        <v>912000</v>
      </c>
      <c r="Z38" s="3">
        <f t="shared" si="41"/>
        <v>1256000</v>
      </c>
      <c r="AA38" s="3">
        <f t="shared" si="41"/>
        <v>1696200</v>
      </c>
      <c r="AB38" s="3">
        <f t="shared" si="41"/>
        <v>2174640</v>
      </c>
      <c r="AC38" s="3">
        <f>+(AC36+AC37)</f>
        <v>2693568</v>
      </c>
      <c r="AD38" s="3">
        <f t="shared" ref="AD38:AG38" si="42">+(AD36+AD37)</f>
        <v>3028603.1999999993</v>
      </c>
      <c r="AE38" s="3">
        <f t="shared" si="42"/>
        <v>3334143.6799999997</v>
      </c>
      <c r="AF38" s="3">
        <f t="shared" si="42"/>
        <v>3724015.2319999994</v>
      </c>
      <c r="AG38" s="3">
        <f t="shared" si="42"/>
        <v>4092617.5167999994</v>
      </c>
    </row>
    <row r="39" spans="2:33" s="2" customFormat="1" x14ac:dyDescent="0.25">
      <c r="B39" s="2" t="s">
        <v>9</v>
      </c>
      <c r="C39" s="2">
        <v>36968</v>
      </c>
      <c r="D39" s="2">
        <v>50516</v>
      </c>
      <c r="E39" s="2">
        <v>54590</v>
      </c>
      <c r="F39" s="2">
        <f t="shared" si="40"/>
        <v>49932</v>
      </c>
      <c r="G39" s="2">
        <v>48538</v>
      </c>
      <c r="H39" s="2">
        <v>47452</v>
      </c>
      <c r="I39" s="2">
        <v>52694</v>
      </c>
      <c r="J39" s="2">
        <v>44499</v>
      </c>
      <c r="K39" s="2">
        <v>68593</v>
      </c>
      <c r="L39" s="2">
        <v>79089</v>
      </c>
      <c r="M39" s="2">
        <f>+M38*0.74</f>
        <v>86025.74</v>
      </c>
      <c r="N39" s="2">
        <f>+N38*0.74</f>
        <v>93425.74</v>
      </c>
      <c r="S39" s="2">
        <v>46977</v>
      </c>
      <c r="T39" s="2">
        <v>64130</v>
      </c>
      <c r="U39" s="2">
        <v>192006</v>
      </c>
      <c r="V39" s="2">
        <f>+SUM(G39:J39)</f>
        <v>193183</v>
      </c>
      <c r="W39" s="2">
        <f>+SUM(K39:N39)</f>
        <v>327133.48</v>
      </c>
      <c r="X39" s="2">
        <f t="shared" ref="X39:AC39" si="43">+X38-X40</f>
        <v>387700</v>
      </c>
      <c r="Y39" s="2">
        <f t="shared" si="43"/>
        <v>554670</v>
      </c>
      <c r="Z39" s="2">
        <f t="shared" si="43"/>
        <v>762650</v>
      </c>
      <c r="AA39" s="2">
        <f t="shared" si="43"/>
        <v>1026550</v>
      </c>
      <c r="AB39" s="2">
        <f t="shared" si="43"/>
        <v>1245820</v>
      </c>
      <c r="AC39" s="2">
        <f t="shared" si="43"/>
        <v>1510784.0000000002</v>
      </c>
      <c r="AD39" s="2">
        <f t="shared" ref="AD39:AG39" si="44">+AD38-AD40</f>
        <v>1634301.5999999994</v>
      </c>
      <c r="AE39" s="2">
        <f t="shared" si="44"/>
        <v>1798071.84</v>
      </c>
      <c r="AF39" s="2">
        <f t="shared" si="44"/>
        <v>2009507.6159999997</v>
      </c>
      <c r="AG39" s="2">
        <f t="shared" si="44"/>
        <v>2204808.7583999997</v>
      </c>
    </row>
    <row r="40" spans="2:33" s="2" customFormat="1" x14ac:dyDescent="0.25">
      <c r="B40" s="2" t="s">
        <v>10</v>
      </c>
      <c r="C40" s="2">
        <f t="shared" ref="C40:N40" si="45">+C38-C39</f>
        <v>3735</v>
      </c>
      <c r="D40" s="2">
        <f t="shared" si="45"/>
        <v>4958</v>
      </c>
      <c r="E40" s="2">
        <f>+E38-E39</f>
        <v>8467</v>
      </c>
      <c r="F40" s="2">
        <f t="shared" si="40"/>
        <v>1830</v>
      </c>
      <c r="G40" s="2">
        <f t="shared" si="45"/>
        <v>6357</v>
      </c>
      <c r="H40" s="2">
        <f t="shared" si="45"/>
        <v>14593</v>
      </c>
      <c r="I40" s="2">
        <f t="shared" si="45"/>
        <v>14967</v>
      </c>
      <c r="J40" s="2">
        <f t="shared" si="45"/>
        <v>15492</v>
      </c>
      <c r="K40" s="2">
        <f t="shared" si="45"/>
        <v>24174</v>
      </c>
      <c r="L40" s="2">
        <f t="shared" si="45"/>
        <v>27162</v>
      </c>
      <c r="M40" s="2">
        <f t="shared" si="45"/>
        <v>30225.259999999995</v>
      </c>
      <c r="N40" s="2">
        <f t="shared" si="45"/>
        <v>32825.259999999995</v>
      </c>
      <c r="S40" s="2">
        <f>+S38-S39</f>
        <v>-11817</v>
      </c>
      <c r="T40" s="2">
        <f>+T38-T39</f>
        <v>-1893</v>
      </c>
      <c r="U40" s="2">
        <f>+U38-U39</f>
        <v>18990</v>
      </c>
      <c r="V40" s="2">
        <f>+V38-V39</f>
        <v>51409</v>
      </c>
      <c r="W40" s="2">
        <f>+W38-W39</f>
        <v>114386.52000000002</v>
      </c>
      <c r="X40" s="2">
        <f t="shared" ref="X40:AB40" si="46">+(X34+X30+X23)*1000</f>
        <v>204300</v>
      </c>
      <c r="Y40" s="2">
        <f t="shared" si="46"/>
        <v>357330.00000000006</v>
      </c>
      <c r="Z40" s="2">
        <f>+(Z34+Z30+Z23)*1000</f>
        <v>493350</v>
      </c>
      <c r="AA40" s="2">
        <f t="shared" si="46"/>
        <v>669650</v>
      </c>
      <c r="AB40" s="2">
        <f t="shared" si="46"/>
        <v>928819.99999999988</v>
      </c>
      <c r="AC40" s="2">
        <f>+(AC34+AC30+AC23)*1000</f>
        <v>1182783.9999999998</v>
      </c>
      <c r="AD40" s="2">
        <f t="shared" ref="AD40:AG40" si="47">+(AD34+AD30+AD23)*1000</f>
        <v>1394301.5999999999</v>
      </c>
      <c r="AE40" s="2">
        <f t="shared" si="47"/>
        <v>1536071.8399999996</v>
      </c>
      <c r="AF40" s="2">
        <f t="shared" si="47"/>
        <v>1714507.6159999997</v>
      </c>
      <c r="AG40" s="2">
        <f t="shared" si="47"/>
        <v>1887808.7583999995</v>
      </c>
    </row>
    <row r="41" spans="2:33" s="2" customFormat="1" x14ac:dyDescent="0.25">
      <c r="B41" s="2" t="s">
        <v>11</v>
      </c>
      <c r="C41" s="2">
        <v>13477</v>
      </c>
      <c r="D41" s="2">
        <v>19165</v>
      </c>
      <c r="E41" s="2">
        <v>17508</v>
      </c>
      <c r="F41" s="2">
        <f t="shared" si="40"/>
        <v>15018</v>
      </c>
      <c r="G41" s="2">
        <v>23905</v>
      </c>
      <c r="H41" s="2">
        <v>31035</v>
      </c>
      <c r="I41" s="2">
        <v>26626</v>
      </c>
      <c r="J41" s="2">
        <v>37488</v>
      </c>
      <c r="K41" s="2">
        <v>38504</v>
      </c>
      <c r="L41" s="2">
        <v>39912</v>
      </c>
      <c r="M41" s="2">
        <f>+L41+1000</f>
        <v>40912</v>
      </c>
      <c r="N41" s="2">
        <f>+M41+1000</f>
        <v>41912</v>
      </c>
      <c r="S41" s="2">
        <v>19142</v>
      </c>
      <c r="T41" s="2">
        <v>41765</v>
      </c>
      <c r="U41" s="2">
        <v>65168</v>
      </c>
      <c r="V41" s="2">
        <f>+SUM(G41:J41)</f>
        <v>119054</v>
      </c>
      <c r="W41" s="2">
        <f>+SUM(K41:N41)</f>
        <v>161240</v>
      </c>
      <c r="X41" s="2">
        <f t="shared" ref="X41:Y41" si="48">+W41*1.08</f>
        <v>174139.2</v>
      </c>
      <c r="Y41" s="2">
        <f t="shared" si="48"/>
        <v>188070.33600000004</v>
      </c>
      <c r="Z41" s="2">
        <f>+Y41*1.1</f>
        <v>206877.36960000006</v>
      </c>
      <c r="AA41" s="2">
        <f>+Z41*1.12</f>
        <v>231702.65395200008</v>
      </c>
      <c r="AB41" s="2">
        <f t="shared" ref="AB41:AG41" si="49">+AA41*1.12</f>
        <v>259506.97242624013</v>
      </c>
      <c r="AC41" s="2">
        <f t="shared" si="49"/>
        <v>290647.80911738897</v>
      </c>
      <c r="AD41" s="2">
        <f t="shared" si="49"/>
        <v>325525.54621147568</v>
      </c>
      <c r="AE41" s="2">
        <f t="shared" si="49"/>
        <v>364588.61175685277</v>
      </c>
      <c r="AF41" s="2">
        <f t="shared" si="49"/>
        <v>408339.24516767514</v>
      </c>
      <c r="AG41" s="2">
        <f t="shared" si="49"/>
        <v>457339.95458779618</v>
      </c>
    </row>
    <row r="42" spans="2:33" s="2" customFormat="1" x14ac:dyDescent="0.25">
      <c r="B42" s="2" t="s">
        <v>12</v>
      </c>
      <c r="C42" s="2">
        <v>23078</v>
      </c>
      <c r="D42" s="2">
        <v>18952</v>
      </c>
      <c r="E42" s="2">
        <v>22961</v>
      </c>
      <c r="F42" s="2">
        <f t="shared" si="40"/>
        <v>24035</v>
      </c>
      <c r="G42" s="2">
        <v>28469</v>
      </c>
      <c r="H42" s="2">
        <v>28717</v>
      </c>
      <c r="I42" s="2">
        <v>27200</v>
      </c>
      <c r="J42" s="2">
        <v>25887</v>
      </c>
      <c r="K42" s="2">
        <v>28749</v>
      </c>
      <c r="L42" s="2">
        <v>30524</v>
      </c>
      <c r="M42" s="2">
        <f>+L42+1500</f>
        <v>32024</v>
      </c>
      <c r="N42" s="2">
        <f>+M42+1500</f>
        <v>33524</v>
      </c>
      <c r="S42" s="2">
        <v>23993</v>
      </c>
      <c r="T42" s="2">
        <v>58395</v>
      </c>
      <c r="U42" s="2">
        <v>89026</v>
      </c>
      <c r="V42" s="2">
        <f>+SUM(G42:J42)</f>
        <v>110273</v>
      </c>
      <c r="W42" s="2">
        <f>+SUM(K42:N42)</f>
        <v>124821</v>
      </c>
      <c r="X42" s="2">
        <f t="shared" ref="X42" si="50">+W42*1.04</f>
        <v>129813.84000000001</v>
      </c>
      <c r="Y42" s="2">
        <f>+X42*1.06</f>
        <v>137602.67040000003</v>
      </c>
      <c r="Z42" s="2">
        <f t="shared" ref="Z42:AG42" si="51">+Y42*1.06</f>
        <v>145858.83062400005</v>
      </c>
      <c r="AA42" s="2">
        <f t="shared" si="51"/>
        <v>154610.36046144005</v>
      </c>
      <c r="AB42" s="2">
        <f t="shared" si="51"/>
        <v>163886.98208912645</v>
      </c>
      <c r="AC42" s="2">
        <f t="shared" si="51"/>
        <v>173720.20101447406</v>
      </c>
      <c r="AD42" s="2">
        <f t="shared" si="51"/>
        <v>184143.41307534251</v>
      </c>
      <c r="AE42" s="2">
        <f t="shared" si="51"/>
        <v>195192.01785986306</v>
      </c>
      <c r="AF42" s="2">
        <f t="shared" si="51"/>
        <v>206903.53893145485</v>
      </c>
      <c r="AG42" s="2">
        <f t="shared" si="51"/>
        <v>219317.75126734216</v>
      </c>
    </row>
    <row r="43" spans="2:33" s="2" customFormat="1" x14ac:dyDescent="0.25">
      <c r="B43" s="2" t="s">
        <v>13</v>
      </c>
      <c r="C43" s="2">
        <f t="shared" ref="C43:J43" si="52">+C41+C42</f>
        <v>36555</v>
      </c>
      <c r="D43" s="2">
        <f t="shared" si="52"/>
        <v>38117</v>
      </c>
      <c r="E43" s="2">
        <f>+E41+E42</f>
        <v>40469</v>
      </c>
      <c r="F43" s="2">
        <f t="shared" si="40"/>
        <v>39053</v>
      </c>
      <c r="G43" s="2">
        <f t="shared" si="52"/>
        <v>52374</v>
      </c>
      <c r="H43" s="2">
        <f t="shared" si="52"/>
        <v>59752</v>
      </c>
      <c r="I43" s="2">
        <f t="shared" si="52"/>
        <v>53826</v>
      </c>
      <c r="J43" s="2">
        <f t="shared" si="52"/>
        <v>63375</v>
      </c>
      <c r="K43" s="2">
        <f t="shared" ref="K43:L43" si="53">+K41+K42</f>
        <v>67253</v>
      </c>
      <c r="L43" s="2">
        <f t="shared" si="53"/>
        <v>70436</v>
      </c>
      <c r="M43" s="2">
        <f t="shared" ref="M43:N43" si="54">+M41+M42</f>
        <v>72936</v>
      </c>
      <c r="N43" s="2">
        <f t="shared" si="54"/>
        <v>75436</v>
      </c>
      <c r="S43" s="2">
        <f t="shared" ref="S43:AC43" si="55">+S41+S42</f>
        <v>43135</v>
      </c>
      <c r="T43" s="2">
        <f t="shared" si="55"/>
        <v>100160</v>
      </c>
      <c r="U43" s="2">
        <f t="shared" si="55"/>
        <v>154194</v>
      </c>
      <c r="V43" s="2">
        <f t="shared" si="55"/>
        <v>229327</v>
      </c>
      <c r="W43" s="2">
        <f t="shared" si="55"/>
        <v>286061</v>
      </c>
      <c r="X43" s="2">
        <f t="shared" si="55"/>
        <v>303953.04000000004</v>
      </c>
      <c r="Y43" s="2">
        <f t="shared" si="55"/>
        <v>325673.00640000007</v>
      </c>
      <c r="Z43" s="2">
        <f t="shared" si="55"/>
        <v>352736.20022400015</v>
      </c>
      <c r="AA43" s="2">
        <f t="shared" si="55"/>
        <v>386313.01441344013</v>
      </c>
      <c r="AB43" s="2">
        <f t="shared" si="55"/>
        <v>423393.95451536658</v>
      </c>
      <c r="AC43" s="2">
        <f t="shared" si="55"/>
        <v>464368.01013186306</v>
      </c>
      <c r="AD43" s="2">
        <f t="shared" ref="AD43:AG43" si="56">+AD41+AD42</f>
        <v>509668.95928681816</v>
      </c>
      <c r="AE43" s="2">
        <f t="shared" si="56"/>
        <v>559780.62961671583</v>
      </c>
      <c r="AF43" s="2">
        <f t="shared" si="56"/>
        <v>615242.78409912996</v>
      </c>
      <c r="AG43" s="2">
        <f t="shared" si="56"/>
        <v>676657.70585513837</v>
      </c>
    </row>
    <row r="44" spans="2:33" s="2" customFormat="1" x14ac:dyDescent="0.25">
      <c r="B44" s="2" t="s">
        <v>14</v>
      </c>
      <c r="C44" s="2">
        <f t="shared" ref="C44:J44" si="57">+C40-C43</f>
        <v>-32820</v>
      </c>
      <c r="D44" s="2">
        <f t="shared" si="57"/>
        <v>-33159</v>
      </c>
      <c r="E44" s="2">
        <f>+E40-E43</f>
        <v>-32002</v>
      </c>
      <c r="F44" s="2">
        <f t="shared" si="40"/>
        <v>-37223</v>
      </c>
      <c r="G44" s="2">
        <f t="shared" si="57"/>
        <v>-46017</v>
      </c>
      <c r="H44" s="2">
        <f t="shared" si="57"/>
        <v>-45159</v>
      </c>
      <c r="I44" s="2">
        <f t="shared" si="57"/>
        <v>-38859</v>
      </c>
      <c r="J44" s="2">
        <f t="shared" si="57"/>
        <v>-47883</v>
      </c>
      <c r="K44" s="2">
        <f t="shared" ref="K44:L44" si="58">+K40-K43</f>
        <v>-43079</v>
      </c>
      <c r="L44" s="2">
        <f t="shared" si="58"/>
        <v>-43274</v>
      </c>
      <c r="M44" s="2">
        <f t="shared" ref="M44:N44" si="59">+M40-M43</f>
        <v>-42710.740000000005</v>
      </c>
      <c r="N44" s="2">
        <f t="shared" si="59"/>
        <v>-42610.740000000005</v>
      </c>
      <c r="S44" s="2">
        <f t="shared" ref="S44:AC44" si="60">+S40-S43</f>
        <v>-54952</v>
      </c>
      <c r="T44" s="2">
        <f t="shared" si="60"/>
        <v>-102053</v>
      </c>
      <c r="U44" s="2">
        <f t="shared" si="60"/>
        <v>-135204</v>
      </c>
      <c r="V44" s="2">
        <f t="shared" si="60"/>
        <v>-177918</v>
      </c>
      <c r="W44" s="2">
        <f t="shared" si="60"/>
        <v>-171674.47999999998</v>
      </c>
      <c r="X44" s="2">
        <f t="shared" si="60"/>
        <v>-99653.040000000037</v>
      </c>
      <c r="Y44" s="2">
        <f t="shared" si="60"/>
        <v>31656.993599999987</v>
      </c>
      <c r="Z44" s="2">
        <f t="shared" si="60"/>
        <v>140613.79977599985</v>
      </c>
      <c r="AA44" s="2">
        <f t="shared" si="60"/>
        <v>283336.98558655987</v>
      </c>
      <c r="AB44" s="2">
        <f t="shared" si="60"/>
        <v>505426.0454846333</v>
      </c>
      <c r="AC44" s="2">
        <f t="shared" si="60"/>
        <v>718415.9898681367</v>
      </c>
      <c r="AD44" s="2">
        <f t="shared" ref="AD44:AG44" si="61">+AD40-AD43</f>
        <v>884632.6407131817</v>
      </c>
      <c r="AE44" s="2">
        <f t="shared" si="61"/>
        <v>976291.21038328379</v>
      </c>
      <c r="AF44" s="2">
        <f t="shared" si="61"/>
        <v>1099264.8319008697</v>
      </c>
      <c r="AG44" s="2">
        <f t="shared" si="61"/>
        <v>1211151.0525448611</v>
      </c>
    </row>
    <row r="45" spans="2:33" s="2" customFormat="1" x14ac:dyDescent="0.25">
      <c r="B45" s="2" t="s">
        <v>15</v>
      </c>
      <c r="C45" s="2">
        <v>2989</v>
      </c>
      <c r="D45" s="2">
        <v>2432</v>
      </c>
      <c r="E45" s="2">
        <v>1486</v>
      </c>
      <c r="F45" s="2">
        <f t="shared" si="40"/>
        <v>892</v>
      </c>
      <c r="G45" s="2">
        <v>685</v>
      </c>
      <c r="H45" s="2">
        <v>745</v>
      </c>
      <c r="I45" s="2">
        <v>1413</v>
      </c>
      <c r="J45" s="2">
        <v>1405</v>
      </c>
      <c r="K45" s="2">
        <v>898</v>
      </c>
      <c r="L45" s="2">
        <v>824</v>
      </c>
      <c r="M45" s="2">
        <v>900</v>
      </c>
      <c r="N45" s="2">
        <v>900</v>
      </c>
      <c r="S45" s="2">
        <v>-224</v>
      </c>
      <c r="T45" s="2">
        <v>6128</v>
      </c>
      <c r="U45" s="2">
        <v>7799</v>
      </c>
      <c r="V45" s="2">
        <f>+SUM(G45:J45)</f>
        <v>4248</v>
      </c>
      <c r="W45" s="2">
        <f>+SUM(K45:N45)</f>
        <v>3522</v>
      </c>
      <c r="X45" s="2">
        <f>+X69*0.08</f>
        <v>10000</v>
      </c>
      <c r="Y45" s="2">
        <f>+Y69*0.08</f>
        <v>14400</v>
      </c>
      <c r="Z45" s="2">
        <f>+Y45*0.95</f>
        <v>13680</v>
      </c>
      <c r="AA45" s="2">
        <f t="shared" ref="AA45:AG45" si="62">+Z45*0.95</f>
        <v>12996</v>
      </c>
      <c r="AB45" s="2">
        <f t="shared" si="62"/>
        <v>12346.199999999999</v>
      </c>
      <c r="AC45" s="2">
        <f t="shared" si="62"/>
        <v>11728.889999999998</v>
      </c>
      <c r="AD45" s="2">
        <f t="shared" si="62"/>
        <v>11142.445499999998</v>
      </c>
      <c r="AE45" s="2">
        <f t="shared" si="62"/>
        <v>10585.323224999998</v>
      </c>
      <c r="AF45" s="2">
        <f t="shared" si="62"/>
        <v>10056.057063749999</v>
      </c>
      <c r="AG45" s="2">
        <f t="shared" si="62"/>
        <v>9553.254210562498</v>
      </c>
    </row>
    <row r="46" spans="2:33" s="2" customFormat="1" x14ac:dyDescent="0.25">
      <c r="B46" s="2" t="s">
        <v>16</v>
      </c>
      <c r="C46" s="2">
        <v>-20</v>
      </c>
      <c r="D46" s="2">
        <v>-3876</v>
      </c>
      <c r="E46" s="2">
        <v>-51</v>
      </c>
      <c r="F46" s="2">
        <f t="shared" si="40"/>
        <v>-488</v>
      </c>
      <c r="G46" s="2">
        <v>134</v>
      </c>
      <c r="H46" s="2">
        <v>-90</v>
      </c>
      <c r="I46" s="2">
        <v>-120</v>
      </c>
      <c r="J46" s="2">
        <v>-394</v>
      </c>
      <c r="K46" s="2">
        <v>311</v>
      </c>
      <c r="L46" s="2">
        <v>-286</v>
      </c>
      <c r="S46" s="2">
        <v>2420</v>
      </c>
      <c r="T46" s="2">
        <v>-567</v>
      </c>
      <c r="U46" s="2">
        <v>-4435</v>
      </c>
      <c r="V46" s="2">
        <f>+SUM(G46:J46)</f>
        <v>-470</v>
      </c>
      <c r="W46" s="2">
        <f>+SUM(K46:N46)</f>
        <v>25</v>
      </c>
      <c r="X46" s="2">
        <f t="shared" ref="X46:AC46" si="63">+W46+1</f>
        <v>26</v>
      </c>
      <c r="Y46" s="2">
        <f t="shared" si="63"/>
        <v>27</v>
      </c>
      <c r="Z46" s="2">
        <f t="shared" si="63"/>
        <v>28</v>
      </c>
      <c r="AA46" s="2">
        <f t="shared" si="63"/>
        <v>29</v>
      </c>
      <c r="AB46" s="2">
        <f t="shared" si="63"/>
        <v>30</v>
      </c>
      <c r="AC46" s="2">
        <f t="shared" si="63"/>
        <v>31</v>
      </c>
      <c r="AD46" s="2">
        <f t="shared" ref="AD46" si="64">+AC46+1</f>
        <v>32</v>
      </c>
      <c r="AE46" s="2">
        <f t="shared" ref="AE46" si="65">+AD46+1</f>
        <v>33</v>
      </c>
      <c r="AF46" s="2">
        <f t="shared" ref="AF46" si="66">+AE46+1</f>
        <v>34</v>
      </c>
      <c r="AG46" s="2">
        <f t="shared" ref="AG46" si="67">+AF46+1</f>
        <v>35</v>
      </c>
    </row>
    <row r="47" spans="2:33" s="2" customFormat="1" x14ac:dyDescent="0.25">
      <c r="B47" s="2" t="s">
        <v>17</v>
      </c>
      <c r="C47" s="2">
        <f>26+13482</f>
        <v>13508</v>
      </c>
      <c r="D47" s="2">
        <v>-23</v>
      </c>
      <c r="E47" s="2">
        <v>622</v>
      </c>
      <c r="F47" s="2">
        <f t="shared" si="40"/>
        <v>-13097</v>
      </c>
      <c r="G47" s="2">
        <v>1477</v>
      </c>
      <c r="H47" s="2">
        <v>866</v>
      </c>
      <c r="I47" s="2">
        <v>1176</v>
      </c>
      <c r="J47" s="2">
        <v>196</v>
      </c>
      <c r="K47" s="2">
        <v>-589</v>
      </c>
      <c r="L47" s="2">
        <v>1893</v>
      </c>
      <c r="M47" s="2">
        <v>500</v>
      </c>
      <c r="N47" s="2">
        <v>500</v>
      </c>
      <c r="S47" s="2">
        <v>187</v>
      </c>
      <c r="T47" s="2">
        <v>-798</v>
      </c>
      <c r="U47" s="2">
        <v>1010</v>
      </c>
      <c r="V47" s="2">
        <f>+SUM(G47:J47)</f>
        <v>3715</v>
      </c>
      <c r="W47" s="2">
        <f>+SUM(K47:N47)</f>
        <v>2304</v>
      </c>
      <c r="X47" s="2">
        <v>120</v>
      </c>
      <c r="Y47" s="2">
        <v>120</v>
      </c>
      <c r="Z47" s="2">
        <v>120</v>
      </c>
      <c r="AA47" s="2">
        <v>120</v>
      </c>
      <c r="AB47" s="2">
        <v>120</v>
      </c>
      <c r="AC47" s="2">
        <v>120</v>
      </c>
      <c r="AD47" s="2">
        <v>121</v>
      </c>
      <c r="AE47" s="2">
        <v>122</v>
      </c>
      <c r="AF47" s="2">
        <v>123</v>
      </c>
      <c r="AG47" s="2">
        <v>124</v>
      </c>
    </row>
    <row r="48" spans="2:33" s="2" customFormat="1" x14ac:dyDescent="0.25">
      <c r="B48" s="2" t="s">
        <v>18</v>
      </c>
      <c r="C48" s="2">
        <f t="shared" ref="C48:N48" si="68">+C44-C45+C46+C47</f>
        <v>-22321</v>
      </c>
      <c r="D48" s="2">
        <f t="shared" si="68"/>
        <v>-39490</v>
      </c>
      <c r="E48" s="2">
        <f>+E44-E45+E46+E47</f>
        <v>-32917</v>
      </c>
      <c r="F48" s="2">
        <f t="shared" si="40"/>
        <v>-51700</v>
      </c>
      <c r="G48" s="2">
        <f t="shared" si="68"/>
        <v>-45091</v>
      </c>
      <c r="H48" s="2">
        <f t="shared" si="68"/>
        <v>-45128</v>
      </c>
      <c r="I48" s="2">
        <f t="shared" si="68"/>
        <v>-39216</v>
      </c>
      <c r="J48" s="2">
        <f>+J44-J45+J46+J47</f>
        <v>-49486</v>
      </c>
      <c r="K48" s="2">
        <f t="shared" si="68"/>
        <v>-44255</v>
      </c>
      <c r="L48" s="2">
        <f t="shared" si="68"/>
        <v>-42491</v>
      </c>
      <c r="M48" s="2">
        <f t="shared" si="68"/>
        <v>-43110.740000000005</v>
      </c>
      <c r="N48" s="2">
        <f t="shared" si="68"/>
        <v>-43010.740000000005</v>
      </c>
      <c r="S48" s="2">
        <f t="shared" ref="S48:AC48" si="69">+S44-S45+S46+S47</f>
        <v>-52121</v>
      </c>
      <c r="T48" s="2">
        <f t="shared" si="69"/>
        <v>-109546</v>
      </c>
      <c r="U48" s="2">
        <f t="shared" si="69"/>
        <v>-146428</v>
      </c>
      <c r="V48" s="2">
        <f t="shared" si="69"/>
        <v>-178921</v>
      </c>
      <c r="W48" s="2">
        <f t="shared" si="69"/>
        <v>-172867.47999999998</v>
      </c>
      <c r="X48" s="2">
        <f t="shared" si="69"/>
        <v>-109507.04000000004</v>
      </c>
      <c r="Y48" s="2">
        <f t="shared" si="69"/>
        <v>17403.993599999987</v>
      </c>
      <c r="Z48" s="2">
        <f t="shared" si="69"/>
        <v>127081.79977599985</v>
      </c>
      <c r="AA48" s="2">
        <f t="shared" si="69"/>
        <v>270489.98558655987</v>
      </c>
      <c r="AB48" s="2">
        <f t="shared" si="69"/>
        <v>493229.84548463329</v>
      </c>
      <c r="AC48" s="2">
        <f t="shared" si="69"/>
        <v>706838.09986813669</v>
      </c>
      <c r="AD48" s="2">
        <f t="shared" ref="AD48:AG48" si="70">+AD44-AD45+AD46+AD47</f>
        <v>873643.19521318167</v>
      </c>
      <c r="AE48" s="2">
        <f t="shared" si="70"/>
        <v>965860.88715828385</v>
      </c>
      <c r="AF48" s="2">
        <f t="shared" si="70"/>
        <v>1089365.7748371197</v>
      </c>
      <c r="AG48" s="2">
        <f t="shared" si="70"/>
        <v>1201756.7983342987</v>
      </c>
    </row>
    <row r="49" spans="2:122" s="2" customFormat="1" x14ac:dyDescent="0.25">
      <c r="B49" s="2" t="s">
        <v>19</v>
      </c>
      <c r="C49" s="2">
        <v>4388</v>
      </c>
      <c r="D49" s="2">
        <v>-2073</v>
      </c>
      <c r="E49" s="2">
        <v>1693</v>
      </c>
      <c r="F49" s="2">
        <f t="shared" si="40"/>
        <v>-1010</v>
      </c>
      <c r="G49" s="2">
        <v>526</v>
      </c>
      <c r="H49" s="2">
        <v>761</v>
      </c>
      <c r="I49" s="2">
        <v>1352</v>
      </c>
      <c r="J49" s="2">
        <v>500</v>
      </c>
      <c r="K49" s="2">
        <v>5</v>
      </c>
      <c r="L49" s="2">
        <v>860</v>
      </c>
      <c r="M49" s="2">
        <v>500</v>
      </c>
      <c r="N49" s="2">
        <v>500</v>
      </c>
      <c r="S49" s="2">
        <v>467</v>
      </c>
      <c r="T49" s="2">
        <v>-7520</v>
      </c>
      <c r="U49" s="2">
        <v>2998</v>
      </c>
      <c r="V49" s="2">
        <f>+SUM(G49:J49)</f>
        <v>3139</v>
      </c>
      <c r="W49" s="2">
        <f>+SUM(K49:N49)</f>
        <v>1865</v>
      </c>
      <c r="X49" s="2">
        <f>+X48*0.05</f>
        <v>-5475.3520000000026</v>
      </c>
      <c r="Y49" s="2">
        <f>+Y48*0.15</f>
        <v>2610.5990399999978</v>
      </c>
      <c r="Z49" s="2">
        <f>+Z48*0.28</f>
        <v>35582.90393727996</v>
      </c>
      <c r="AA49" s="2">
        <f t="shared" ref="AA49:AG49" si="71">+AA48*0.28</f>
        <v>75737.195964236773</v>
      </c>
      <c r="AB49" s="2">
        <f t="shared" si="71"/>
        <v>138104.35673569734</v>
      </c>
      <c r="AC49" s="2">
        <f t="shared" si="71"/>
        <v>197914.6679630783</v>
      </c>
      <c r="AD49" s="2">
        <f t="shared" si="71"/>
        <v>244620.09465969089</v>
      </c>
      <c r="AE49" s="2">
        <f t="shared" si="71"/>
        <v>270441.0484043195</v>
      </c>
      <c r="AF49" s="2">
        <f t="shared" si="71"/>
        <v>305022.41695439356</v>
      </c>
      <c r="AG49" s="2">
        <f t="shared" si="71"/>
        <v>336491.90353360365</v>
      </c>
    </row>
    <row r="50" spans="2:122" s="3" customFormat="1" x14ac:dyDescent="0.25">
      <c r="B50" s="3" t="s">
        <v>20</v>
      </c>
      <c r="C50" s="3">
        <f t="shared" ref="C50:N50" si="72">+C48-C49</f>
        <v>-26709</v>
      </c>
      <c r="D50" s="3">
        <f t="shared" si="72"/>
        <v>-37417</v>
      </c>
      <c r="E50" s="3">
        <f>+E48-E49</f>
        <v>-34610</v>
      </c>
      <c r="F50" s="3">
        <f t="shared" si="40"/>
        <v>-50690</v>
      </c>
      <c r="G50" s="3">
        <f t="shared" si="72"/>
        <v>-45617</v>
      </c>
      <c r="H50" s="3">
        <f t="shared" si="72"/>
        <v>-45889</v>
      </c>
      <c r="I50" s="3">
        <f t="shared" si="72"/>
        <v>-40568</v>
      </c>
      <c r="J50" s="3">
        <f t="shared" si="72"/>
        <v>-49986</v>
      </c>
      <c r="K50" s="3">
        <f t="shared" si="72"/>
        <v>-44260</v>
      </c>
      <c r="L50" s="3">
        <f t="shared" si="72"/>
        <v>-43351</v>
      </c>
      <c r="M50" s="3">
        <f t="shared" si="72"/>
        <v>-43610.740000000005</v>
      </c>
      <c r="N50" s="3">
        <f t="shared" si="72"/>
        <v>-43510.740000000005</v>
      </c>
      <c r="S50" s="3">
        <f t="shared" ref="S50:AG50" si="73">+S48-S49</f>
        <v>-52588</v>
      </c>
      <c r="T50" s="3">
        <f t="shared" si="73"/>
        <v>-102026</v>
      </c>
      <c r="U50" s="3">
        <f t="shared" si="73"/>
        <v>-149426</v>
      </c>
      <c r="V50" s="3">
        <f t="shared" si="73"/>
        <v>-182060</v>
      </c>
      <c r="W50" s="3">
        <f t="shared" si="73"/>
        <v>-174732.47999999998</v>
      </c>
      <c r="X50" s="3">
        <f t="shared" si="73"/>
        <v>-104031.68800000004</v>
      </c>
      <c r="Y50" s="3">
        <f t="shared" si="73"/>
        <v>14793.39455999999</v>
      </c>
      <c r="Z50" s="3">
        <f t="shared" si="73"/>
        <v>91498.895838719895</v>
      </c>
      <c r="AA50" s="3">
        <f t="shared" si="73"/>
        <v>194752.78962232309</v>
      </c>
      <c r="AB50" s="3">
        <f t="shared" si="73"/>
        <v>355125.48874893598</v>
      </c>
      <c r="AC50" s="3">
        <f t="shared" si="73"/>
        <v>508923.43190505839</v>
      </c>
      <c r="AD50" s="3">
        <f t="shared" si="73"/>
        <v>629023.1005534908</v>
      </c>
      <c r="AE50" s="3">
        <f t="shared" si="73"/>
        <v>695419.83875396429</v>
      </c>
      <c r="AF50" s="3">
        <f t="shared" si="73"/>
        <v>784343.35788272624</v>
      </c>
      <c r="AG50" s="3">
        <f t="shared" si="73"/>
        <v>865264.89480069501</v>
      </c>
      <c r="AH50" s="3">
        <f t="shared" ref="AH50:BI50" si="74">+AG50*(1+TR)</f>
        <v>908528.13954072981</v>
      </c>
      <c r="AI50" s="3">
        <f t="shared" si="74"/>
        <v>953954.54651776631</v>
      </c>
      <c r="AJ50" s="3">
        <f t="shared" si="74"/>
        <v>1001652.2738436547</v>
      </c>
      <c r="AK50" s="3">
        <f t="shared" si="74"/>
        <v>1051734.8875358375</v>
      </c>
      <c r="AL50" s="3">
        <f t="shared" si="74"/>
        <v>1104321.6319126294</v>
      </c>
      <c r="AM50" s="3">
        <f t="shared" si="74"/>
        <v>1159537.7135082609</v>
      </c>
      <c r="AN50" s="3">
        <f t="shared" si="74"/>
        <v>1217514.599183674</v>
      </c>
      <c r="AO50" s="3">
        <f t="shared" si="74"/>
        <v>1278390.3291428578</v>
      </c>
      <c r="AP50" s="3">
        <f t="shared" si="74"/>
        <v>1342309.8456000008</v>
      </c>
      <c r="AQ50" s="3">
        <f t="shared" si="74"/>
        <v>1409425.3378800009</v>
      </c>
      <c r="AR50" s="3">
        <f t="shared" si="74"/>
        <v>1479896.6047740011</v>
      </c>
      <c r="AS50" s="3">
        <f t="shared" si="74"/>
        <v>1553891.4350127012</v>
      </c>
      <c r="AT50" s="3">
        <f t="shared" si="74"/>
        <v>1631586.0067633362</v>
      </c>
      <c r="AU50" s="3">
        <f t="shared" si="74"/>
        <v>1713165.3071015032</v>
      </c>
      <c r="AV50" s="3">
        <f t="shared" si="74"/>
        <v>1798823.5724565785</v>
      </c>
      <c r="AW50" s="3">
        <f t="shared" si="74"/>
        <v>1888764.7510794075</v>
      </c>
      <c r="AX50" s="3">
        <f t="shared" si="74"/>
        <v>1983202.9886333779</v>
      </c>
      <c r="AY50" s="3">
        <f t="shared" si="74"/>
        <v>2082363.1380650469</v>
      </c>
      <c r="AZ50" s="3">
        <f t="shared" si="74"/>
        <v>2186481.2949682991</v>
      </c>
      <c r="BA50" s="3">
        <f t="shared" si="74"/>
        <v>2295805.3597167144</v>
      </c>
      <c r="BB50" s="3">
        <f t="shared" si="74"/>
        <v>2410595.62770255</v>
      </c>
      <c r="BC50" s="3">
        <f t="shared" si="74"/>
        <v>2531125.4090876775</v>
      </c>
      <c r="BD50" s="3">
        <f t="shared" si="74"/>
        <v>2657681.6795420614</v>
      </c>
      <c r="BE50" s="3">
        <f t="shared" si="74"/>
        <v>2790565.7635191646</v>
      </c>
      <c r="BF50" s="3">
        <f t="shared" si="74"/>
        <v>2930094.0516951228</v>
      </c>
      <c r="BG50" s="3">
        <f t="shared" si="74"/>
        <v>3076598.7542798789</v>
      </c>
      <c r="BH50" s="3">
        <f t="shared" si="74"/>
        <v>3230428.6919938731</v>
      </c>
      <c r="BI50" s="3">
        <f t="shared" si="74"/>
        <v>3391950.126593567</v>
      </c>
      <c r="BJ50" s="3">
        <f t="shared" ref="BJ50:CO50" si="75">+BI50*(1+TR)</f>
        <v>3561547.6329232454</v>
      </c>
      <c r="BK50" s="3">
        <f t="shared" si="75"/>
        <v>3739625.0145694078</v>
      </c>
      <c r="BL50" s="3">
        <f t="shared" si="75"/>
        <v>3926606.2652978785</v>
      </c>
      <c r="BM50" s="3">
        <f t="shared" si="75"/>
        <v>4122936.5785627728</v>
      </c>
      <c r="BN50" s="3">
        <f t="shared" si="75"/>
        <v>4329083.4074909119</v>
      </c>
      <c r="BO50" s="3">
        <f t="shared" si="75"/>
        <v>4545537.5778654581</v>
      </c>
      <c r="BP50" s="3">
        <f t="shared" si="75"/>
        <v>4772814.456758731</v>
      </c>
      <c r="BQ50" s="3">
        <f t="shared" si="75"/>
        <v>5011455.1795966681</v>
      </c>
      <c r="BR50" s="3">
        <f t="shared" si="75"/>
        <v>5262027.9385765018</v>
      </c>
      <c r="BS50" s="3">
        <f t="shared" si="75"/>
        <v>5525129.3355053272</v>
      </c>
      <c r="BT50" s="3">
        <f t="shared" si="75"/>
        <v>5801385.8022805937</v>
      </c>
      <c r="BU50" s="3">
        <f t="shared" si="75"/>
        <v>6091455.0923946239</v>
      </c>
      <c r="BV50" s="3">
        <f t="shared" si="75"/>
        <v>6396027.8470143555</v>
      </c>
      <c r="BW50" s="3">
        <f t="shared" si="75"/>
        <v>6715829.2393650739</v>
      </c>
      <c r="BX50" s="3">
        <f t="shared" si="75"/>
        <v>7051620.7013333282</v>
      </c>
      <c r="BY50" s="3">
        <f t="shared" si="75"/>
        <v>7404201.7363999952</v>
      </c>
      <c r="BZ50" s="3">
        <f t="shared" si="75"/>
        <v>7774411.823219995</v>
      </c>
      <c r="CA50" s="3">
        <f t="shared" si="75"/>
        <v>8163132.4143809956</v>
      </c>
      <c r="CB50" s="3">
        <f t="shared" si="75"/>
        <v>8571289.0351000465</v>
      </c>
      <c r="CC50" s="3">
        <f t="shared" si="75"/>
        <v>8999853.4868550487</v>
      </c>
      <c r="CD50" s="3">
        <f t="shared" si="75"/>
        <v>9449846.1611978021</v>
      </c>
      <c r="CE50" s="3">
        <f t="shared" si="75"/>
        <v>9922338.4692576919</v>
      </c>
      <c r="CF50" s="3">
        <f t="shared" si="75"/>
        <v>10418455.392720576</v>
      </c>
      <c r="CG50" s="3">
        <f t="shared" si="75"/>
        <v>10939378.162356606</v>
      </c>
      <c r="CH50" s="3">
        <f t="shared" si="75"/>
        <v>11486347.070474437</v>
      </c>
      <c r="CI50" s="3">
        <f t="shared" si="75"/>
        <v>12060664.423998158</v>
      </c>
      <c r="CJ50" s="3">
        <f t="shared" si="75"/>
        <v>12663697.645198068</v>
      </c>
      <c r="CK50" s="3">
        <f t="shared" si="75"/>
        <v>13296882.527457971</v>
      </c>
      <c r="CL50" s="3">
        <f t="shared" si="75"/>
        <v>13961726.653830871</v>
      </c>
      <c r="CM50" s="3">
        <f t="shared" si="75"/>
        <v>14659812.986522416</v>
      </c>
      <c r="CN50" s="3">
        <f t="shared" si="75"/>
        <v>15392803.635848537</v>
      </c>
      <c r="CO50" s="3">
        <f t="shared" si="75"/>
        <v>16162443.817640964</v>
      </c>
      <c r="CP50" s="3">
        <f t="shared" ref="CP50:DR50" si="76">+CO50*(1+TR)</f>
        <v>16970566.008523013</v>
      </c>
      <c r="CQ50" s="3">
        <f t="shared" si="76"/>
        <v>17819094.308949165</v>
      </c>
      <c r="CR50" s="3">
        <f t="shared" si="76"/>
        <v>18710049.024396624</v>
      </c>
      <c r="CS50" s="3">
        <f t="shared" si="76"/>
        <v>19645551.475616455</v>
      </c>
      <c r="CT50" s="3">
        <f t="shared" si="76"/>
        <v>20627829.049397279</v>
      </c>
      <c r="CU50" s="3">
        <f t="shared" si="76"/>
        <v>21659220.501867142</v>
      </c>
      <c r="CV50" s="3">
        <f t="shared" si="76"/>
        <v>22742181.5269605</v>
      </c>
      <c r="CW50" s="3">
        <f t="shared" si="76"/>
        <v>23879290.603308525</v>
      </c>
      <c r="CX50" s="3">
        <f t="shared" si="76"/>
        <v>25073255.133473951</v>
      </c>
      <c r="CY50" s="3">
        <f t="shared" si="76"/>
        <v>26326917.890147649</v>
      </c>
      <c r="CZ50" s="3">
        <f t="shared" si="76"/>
        <v>27643263.784655031</v>
      </c>
      <c r="DA50" s="3">
        <f t="shared" si="76"/>
        <v>29025426.973887783</v>
      </c>
      <c r="DB50" s="3">
        <f t="shared" si="76"/>
        <v>30476698.322582174</v>
      </c>
      <c r="DC50" s="3">
        <f t="shared" si="76"/>
        <v>32000533.238711283</v>
      </c>
      <c r="DD50" s="3">
        <f t="shared" si="76"/>
        <v>33600559.90064685</v>
      </c>
      <c r="DE50" s="3">
        <f t="shared" si="76"/>
        <v>35280587.895679198</v>
      </c>
      <c r="DF50" s="3">
        <f t="shared" si="76"/>
        <v>37044617.290463157</v>
      </c>
      <c r="DG50" s="3">
        <f t="shared" si="76"/>
        <v>38896848.154986314</v>
      </c>
      <c r="DH50" s="3">
        <f t="shared" si="76"/>
        <v>40841690.562735632</v>
      </c>
      <c r="DI50" s="3">
        <f t="shared" si="76"/>
        <v>42883775.090872414</v>
      </c>
      <c r="DJ50" s="3">
        <f t="shared" si="76"/>
        <v>45027963.845416039</v>
      </c>
      <c r="DK50" s="3">
        <f t="shared" si="76"/>
        <v>47279362.03768684</v>
      </c>
      <c r="DL50" s="3">
        <f t="shared" si="76"/>
        <v>49643330.139571182</v>
      </c>
      <c r="DM50" s="3">
        <f t="shared" si="76"/>
        <v>52125496.646549746</v>
      </c>
      <c r="DN50" s="3">
        <f t="shared" si="76"/>
        <v>54731771.478877239</v>
      </c>
      <c r="DO50" s="3">
        <f t="shared" si="76"/>
        <v>57468360.0528211</v>
      </c>
      <c r="DP50" s="3">
        <f t="shared" si="76"/>
        <v>60341778.055462159</v>
      </c>
      <c r="DQ50" s="3">
        <f t="shared" si="76"/>
        <v>63358866.958235271</v>
      </c>
      <c r="DR50" s="3">
        <f t="shared" si="76"/>
        <v>66526810.306147039</v>
      </c>
    </row>
    <row r="51" spans="2:122" s="10" customFormat="1" x14ac:dyDescent="0.25">
      <c r="B51" s="10" t="s">
        <v>61</v>
      </c>
      <c r="C51" s="10">
        <f>+C50/C52</f>
        <v>-5.8508818605812203E-2</v>
      </c>
      <c r="D51" s="10">
        <f>+D50/D52</f>
        <v>-8.0515162074264762E-2</v>
      </c>
      <c r="E51" s="10">
        <f>+E50/E52</f>
        <v>-7.3674539946083306E-2</v>
      </c>
      <c r="G51" s="10">
        <f>+G50/G52</f>
        <v>-9.5793842461600817E-2</v>
      </c>
      <c r="V51" s="10">
        <f>+V50/V52</f>
        <v>-0.36484969939879758</v>
      </c>
      <c r="W51" s="10">
        <f t="shared" ref="W51:AC51" si="77">+W50/W52</f>
        <v>-0.3501652905811623</v>
      </c>
      <c r="X51" s="10">
        <f t="shared" si="77"/>
        <v>-0.20848033667334678</v>
      </c>
      <c r="Y51" s="10">
        <f t="shared" si="77"/>
        <v>2.9646081282565108E-2</v>
      </c>
      <c r="Z51" s="10">
        <f t="shared" si="77"/>
        <v>0.18336452071887754</v>
      </c>
      <c r="AA51" s="10">
        <f t="shared" si="77"/>
        <v>0.39028615154774166</v>
      </c>
      <c r="AB51" s="10">
        <f t="shared" si="77"/>
        <v>0.71167432615017234</v>
      </c>
      <c r="AC51" s="10">
        <f t="shared" si="77"/>
        <v>1.0198866370842854</v>
      </c>
      <c r="AD51" s="10">
        <f t="shared" ref="AD51:AG51" si="78">+AD50/AD52</f>
        <v>1.2605648095965556</v>
      </c>
      <c r="AE51" s="10">
        <f t="shared" si="78"/>
        <v>1.3936213457139737</v>
      </c>
      <c r="AF51" s="10">
        <f t="shared" si="78"/>
        <v>1.5718209266932788</v>
      </c>
      <c r="AG51" s="10">
        <f t="shared" si="78"/>
        <v>1.7339838855013086</v>
      </c>
    </row>
    <row r="52" spans="2:122" s="2" customFormat="1" x14ac:dyDescent="0.25">
      <c r="B52" s="2" t="s">
        <v>4</v>
      </c>
      <c r="C52" s="2">
        <v>456495.288</v>
      </c>
      <c r="D52" s="2">
        <v>464719.924</v>
      </c>
      <c r="E52" s="2">
        <v>469768.79700000002</v>
      </c>
      <c r="G52" s="2">
        <v>476199.71</v>
      </c>
      <c r="T52" s="2">
        <v>449650</v>
      </c>
      <c r="U52" s="2">
        <v>476000</v>
      </c>
      <c r="V52" s="2">
        <v>499000</v>
      </c>
      <c r="W52" s="2">
        <v>499000</v>
      </c>
      <c r="X52" s="2">
        <v>499000</v>
      </c>
      <c r="Y52" s="2">
        <v>499000</v>
      </c>
      <c r="Z52" s="2">
        <v>499000</v>
      </c>
      <c r="AA52" s="2">
        <v>499000</v>
      </c>
      <c r="AB52" s="2">
        <v>499000</v>
      </c>
      <c r="AC52" s="2">
        <v>499000</v>
      </c>
      <c r="AD52" s="2">
        <v>499001</v>
      </c>
      <c r="AE52" s="2">
        <v>499002</v>
      </c>
      <c r="AF52" s="2">
        <v>499003</v>
      </c>
      <c r="AG52" s="2">
        <v>499004</v>
      </c>
    </row>
    <row r="53" spans="2:122" s="2" customFormat="1" x14ac:dyDescent="0.25"/>
    <row r="54" spans="2:122" s="4" customFormat="1" x14ac:dyDescent="0.25">
      <c r="B54" s="4" t="s">
        <v>21</v>
      </c>
      <c r="G54" s="4">
        <f>+G40/G38</f>
        <v>0.11580289643865561</v>
      </c>
      <c r="H54" s="4">
        <f>+H40/H38</f>
        <v>0.23520025787734708</v>
      </c>
      <c r="I54" s="4">
        <f>+I40/I38</f>
        <v>0.22120571673489897</v>
      </c>
      <c r="J54" s="4">
        <f>+J40/J38</f>
        <v>0.25823873581037154</v>
      </c>
      <c r="K54" s="4">
        <f t="shared" ref="K54:N54" si="79">+K40/K38</f>
        <v>0.26058835577306583</v>
      </c>
      <c r="L54" s="4">
        <f t="shared" si="79"/>
        <v>0.25563994691814668</v>
      </c>
      <c r="M54" s="4">
        <f t="shared" si="79"/>
        <v>0.25999999999999995</v>
      </c>
      <c r="N54" s="4">
        <f t="shared" si="79"/>
        <v>0.25999999999999995</v>
      </c>
      <c r="S54" s="4">
        <f>+S40/S38</f>
        <v>-0.33609215017064847</v>
      </c>
      <c r="T54" s="4">
        <f>+T40/T38</f>
        <v>-3.0415990487973391E-2</v>
      </c>
      <c r="U54" s="4">
        <f>+U40/U38</f>
        <v>9.0001706193482342E-2</v>
      </c>
      <c r="V54" s="4">
        <f>+V40/V38</f>
        <v>0.21018267155099105</v>
      </c>
      <c r="W54" s="4">
        <f t="shared" ref="W54:AC54" si="80">+W40/W38</f>
        <v>0.25907437941656103</v>
      </c>
      <c r="X54" s="4">
        <f t="shared" si="80"/>
        <v>0.34510135135135134</v>
      </c>
      <c r="Y54" s="4">
        <f t="shared" si="80"/>
        <v>0.39180921052631584</v>
      </c>
      <c r="Z54" s="4">
        <f t="shared" si="80"/>
        <v>0.39279458598726114</v>
      </c>
      <c r="AA54" s="4">
        <f t="shared" si="80"/>
        <v>0.39479424596156115</v>
      </c>
      <c r="AB54" s="4">
        <f t="shared" si="80"/>
        <v>0.42711437295368421</v>
      </c>
      <c r="AC54" s="4">
        <f t="shared" si="80"/>
        <v>0.43911421579109933</v>
      </c>
      <c r="AD54" s="4">
        <f t="shared" ref="AD54:AG54" si="81">+AD40/AD38</f>
        <v>0.46037777415014297</v>
      </c>
      <c r="AE54" s="4">
        <f t="shared" si="81"/>
        <v>0.46070955166515193</v>
      </c>
      <c r="AF54" s="4">
        <f t="shared" si="81"/>
        <v>0.46039221356224569</v>
      </c>
      <c r="AG54" s="4">
        <f t="shared" si="81"/>
        <v>0.46127172907085373</v>
      </c>
    </row>
    <row r="55" spans="2:122" s="4" customFormat="1" x14ac:dyDescent="0.25">
      <c r="B55" s="4" t="s">
        <v>50</v>
      </c>
      <c r="G55" s="4">
        <f>+G50/G38</f>
        <v>-0.83098642863648786</v>
      </c>
      <c r="H55" s="4">
        <f>+H50/H38</f>
        <v>-0.73960834877911197</v>
      </c>
      <c r="I55" s="4">
        <f>+I50/I38</f>
        <v>-0.5995773045033328</v>
      </c>
      <c r="J55" s="4">
        <f>+J50/J38</f>
        <v>-0.83322498374756215</v>
      </c>
      <c r="K55" s="4">
        <f t="shared" ref="K55:N55" si="82">+K50/K38</f>
        <v>-0.47710931689070468</v>
      </c>
      <c r="L55" s="4">
        <f t="shared" si="82"/>
        <v>-0.40800557171226626</v>
      </c>
      <c r="M55" s="4">
        <f t="shared" si="82"/>
        <v>-0.37514292350173334</v>
      </c>
      <c r="N55" s="4">
        <f t="shared" si="82"/>
        <v>-0.34463679495607957</v>
      </c>
      <c r="V55" s="4">
        <f t="shared" ref="V55:AC55" si="83">+V50/V38</f>
        <v>-0.7443415974357297</v>
      </c>
      <c r="W55" s="4">
        <f t="shared" si="83"/>
        <v>-0.39575212900887835</v>
      </c>
      <c r="X55" s="4">
        <f t="shared" si="83"/>
        <v>-0.17572920270270276</v>
      </c>
      <c r="Y55" s="4">
        <f t="shared" si="83"/>
        <v>1.622082736842104E-2</v>
      </c>
      <c r="Z55" s="4">
        <f t="shared" si="83"/>
        <v>7.2849439362038138E-2</v>
      </c>
      <c r="AA55" s="4">
        <f t="shared" si="83"/>
        <v>0.1148171145043763</v>
      </c>
      <c r="AB55" s="4">
        <f t="shared" si="83"/>
        <v>0.16330311626243241</v>
      </c>
      <c r="AC55" s="4">
        <f t="shared" si="83"/>
        <v>0.18894025764527139</v>
      </c>
      <c r="AD55" s="4">
        <f t="shared" ref="AD55:AG55" si="84">+AD50/AD38</f>
        <v>0.20769412795756503</v>
      </c>
      <c r="AE55" s="4">
        <f t="shared" si="84"/>
        <v>0.20857524614954936</v>
      </c>
      <c r="AF55" s="4">
        <f t="shared" si="84"/>
        <v>0.21061765568061092</v>
      </c>
      <c r="AG55" s="4">
        <f t="shared" si="84"/>
        <v>0.21142090392000326</v>
      </c>
      <c r="AI55" s="4" t="s">
        <v>54</v>
      </c>
      <c r="AJ55" s="4">
        <v>0.1</v>
      </c>
    </row>
    <row r="56" spans="2:122" s="4" customFormat="1" x14ac:dyDescent="0.25">
      <c r="B56" s="4" t="s">
        <v>51</v>
      </c>
      <c r="G56" s="4">
        <f>+G38/C38 -1</f>
        <v>0.34867208805247762</v>
      </c>
      <c r="H56" s="4">
        <f>+H38/D38 -1</f>
        <v>0.11845188737066015</v>
      </c>
      <c r="I56" s="4">
        <f>+I38/E38 -1</f>
        <v>7.3013305422078512E-2</v>
      </c>
      <c r="J56" s="4">
        <f>+J38/F38 -1</f>
        <v>0.15897762837602869</v>
      </c>
      <c r="K56" s="4">
        <f t="shared" ref="K56:N56" si="85">+K38/G38 -1</f>
        <v>0.68989889789598324</v>
      </c>
      <c r="L56" s="4">
        <f t="shared" si="85"/>
        <v>0.71248287533241994</v>
      </c>
      <c r="M56" s="4">
        <f t="shared" si="85"/>
        <v>0.71813895744963863</v>
      </c>
      <c r="N56" s="4">
        <f t="shared" si="85"/>
        <v>1.1044990081845611</v>
      </c>
      <c r="T56" s="4">
        <f>+T38/S38 -1</f>
        <v>0.77010807736063702</v>
      </c>
      <c r="U56" s="4">
        <f t="shared" ref="U56:AC56" si="86">+U38/T38 -1</f>
        <v>2.390201969889294</v>
      </c>
      <c r="V56" s="4">
        <f t="shared" si="86"/>
        <v>0.15922576731312432</v>
      </c>
      <c r="W56" s="4">
        <f t="shared" si="86"/>
        <v>0.80512854059004391</v>
      </c>
      <c r="X56" s="4">
        <f t="shared" si="86"/>
        <v>0.34082261279217252</v>
      </c>
      <c r="Y56" s="4">
        <f t="shared" si="86"/>
        <v>0.54054054054054057</v>
      </c>
      <c r="Z56" s="4">
        <f t="shared" si="86"/>
        <v>0.37719298245614041</v>
      </c>
      <c r="AA56" s="4">
        <f t="shared" si="86"/>
        <v>0.35047770700636938</v>
      </c>
      <c r="AB56" s="4">
        <f t="shared" si="86"/>
        <v>0.28206579412805088</v>
      </c>
      <c r="AC56" s="4">
        <f t="shared" si="86"/>
        <v>0.2386270831034103</v>
      </c>
      <c r="AD56" s="4">
        <f t="shared" ref="AD56" si="87">+AD38/AC38 -1</f>
        <v>0.12438342005845016</v>
      </c>
      <c r="AE56" s="4">
        <f t="shared" ref="AE56" si="88">+AE38/AD38 -1</f>
        <v>0.10088494920694813</v>
      </c>
      <c r="AF56" s="4">
        <f t="shared" ref="AF56" si="89">+AF38/AE38 -1</f>
        <v>0.11693303871055716</v>
      </c>
      <c r="AG56" s="4">
        <f t="shared" ref="AG56" si="90">+AG38/AF38 -1</f>
        <v>9.8979800520858863E-2</v>
      </c>
      <c r="AI56" s="4" t="s">
        <v>52</v>
      </c>
      <c r="AJ56" s="4">
        <v>0.05</v>
      </c>
    </row>
    <row r="57" spans="2:122" s="4" customFormat="1" x14ac:dyDescent="0.25">
      <c r="B57" s="4" t="s">
        <v>174</v>
      </c>
      <c r="G57" s="4">
        <f t="shared" ref="G57:I58" si="91">+G36/C36 -1</f>
        <v>2.0161538461538462</v>
      </c>
      <c r="H57" s="4">
        <f t="shared" si="91"/>
        <v>1.8846153846153846</v>
      </c>
      <c r="I57" s="4">
        <f t="shared" si="91"/>
        <v>0.15384615384615374</v>
      </c>
      <c r="U57" s="4">
        <f>+U36/T36 -1</f>
        <v>0.55769230769230771</v>
      </c>
      <c r="V57" s="4">
        <f t="shared" ref="V57:AC57" si="92">+V36/U36 -1</f>
        <v>0.18340740740740746</v>
      </c>
      <c r="W57" s="4">
        <f t="shared" si="92"/>
        <v>1.2951093306626609</v>
      </c>
      <c r="X57" s="4">
        <f t="shared" si="92"/>
        <v>0.46666666666666656</v>
      </c>
      <c r="Y57" s="4">
        <f t="shared" si="92"/>
        <v>0.69834710743801653</v>
      </c>
      <c r="Z57" s="4">
        <f t="shared" si="92"/>
        <v>0.45985401459854014</v>
      </c>
      <c r="AA57" s="4">
        <f t="shared" si="92"/>
        <v>0.5149999999999999</v>
      </c>
      <c r="AB57" s="4">
        <f t="shared" si="92"/>
        <v>0.35313531353135308</v>
      </c>
      <c r="AC57" s="4">
        <f t="shared" si="92"/>
        <v>0.26829268292682928</v>
      </c>
      <c r="AD57" s="4">
        <f t="shared" ref="AD57:AD58" si="93">+AD36/AC36 -1</f>
        <v>0.10576923076923084</v>
      </c>
      <c r="AE57" s="4">
        <f t="shared" ref="AE57:AE58" si="94">+AE36/AD36 -1</f>
        <v>6.3768115942028913E-2</v>
      </c>
      <c r="AF57" s="4">
        <f t="shared" ref="AF57:AF58" si="95">+AF36/AE36 -1</f>
        <v>8.9918256130790297E-2</v>
      </c>
      <c r="AG57" s="4">
        <f t="shared" ref="AG57:AG58" si="96">+AG36/AF36 -1</f>
        <v>5.4999999999999938E-2</v>
      </c>
      <c r="AI57" s="2" t="s">
        <v>53</v>
      </c>
      <c r="AJ57" s="2">
        <f>NPV(AJ55,X50:EH50)</f>
        <v>8834657.7375963405</v>
      </c>
    </row>
    <row r="58" spans="2:122" s="4" customFormat="1" x14ac:dyDescent="0.25">
      <c r="B58" s="4" t="s">
        <v>175</v>
      </c>
      <c r="G58" s="4">
        <f t="shared" si="91"/>
        <v>3.178083793819253E-2</v>
      </c>
      <c r="H58" s="4">
        <f t="shared" si="91"/>
        <v>-0.45849225408485195</v>
      </c>
      <c r="I58" s="4">
        <f t="shared" si="91"/>
        <v>3.6825309364740377E-2</v>
      </c>
      <c r="U58" s="4">
        <f>+U37/T37 -1</f>
        <v>5.4506437768240339</v>
      </c>
      <c r="V58" s="4">
        <f t="shared" ref="V58:AC58" si="97">+V37/U37 -1</f>
        <v>0.14903526280771784</v>
      </c>
      <c r="W58" s="4">
        <f t="shared" si="97"/>
        <v>0.26230457440648514</v>
      </c>
      <c r="X58" s="4">
        <f t="shared" si="97"/>
        <v>0.60550458715596323</v>
      </c>
      <c r="Y58" s="4">
        <f t="shared" si="97"/>
        <v>0.43142857142857149</v>
      </c>
      <c r="Z58" s="4">
        <f t="shared" si="97"/>
        <v>0.30938123752495006</v>
      </c>
      <c r="AA58" s="4">
        <f t="shared" si="97"/>
        <v>0.19999999999999973</v>
      </c>
      <c r="AB58" s="4">
        <f t="shared" si="97"/>
        <v>0.19999999999999996</v>
      </c>
      <c r="AC58" s="4">
        <f t="shared" si="97"/>
        <v>0.19999999999999996</v>
      </c>
      <c r="AD58" s="4">
        <f t="shared" si="93"/>
        <v>0.14999999999999969</v>
      </c>
      <c r="AE58" s="4">
        <f t="shared" si="94"/>
        <v>0.15000000000000013</v>
      </c>
      <c r="AF58" s="4">
        <f t="shared" si="95"/>
        <v>0.14999999999999991</v>
      </c>
      <c r="AG58" s="4">
        <f t="shared" si="96"/>
        <v>0.14999999999999991</v>
      </c>
      <c r="AI58" s="2" t="s">
        <v>3</v>
      </c>
      <c r="AJ58" s="8">
        <f>+AJ57/Main!E6/1000</f>
        <v>18.585193826986579</v>
      </c>
    </row>
    <row r="59" spans="2:122" s="2" customFormat="1" x14ac:dyDescent="0.25"/>
    <row r="60" spans="2:122" s="2" customFormat="1" x14ac:dyDescent="0.25">
      <c r="B60" s="2" t="s">
        <v>22</v>
      </c>
      <c r="G60" s="2">
        <v>-25385</v>
      </c>
      <c r="H60" s="2">
        <f>-31449-G60</f>
        <v>-6064</v>
      </c>
      <c r="S60" s="2">
        <v>-27757</v>
      </c>
      <c r="T60" s="2">
        <v>-71791</v>
      </c>
      <c r="U60" s="2">
        <v>-106538</v>
      </c>
    </row>
    <row r="61" spans="2:122" s="2" customFormat="1" x14ac:dyDescent="0.25">
      <c r="B61" s="2" t="s">
        <v>23</v>
      </c>
      <c r="G61" s="2">
        <v>12674</v>
      </c>
      <c r="H61" s="2">
        <f>23246-G61</f>
        <v>10572</v>
      </c>
      <c r="S61" s="2">
        <v>25121</v>
      </c>
      <c r="T61" s="2">
        <v>25699</v>
      </c>
      <c r="U61" s="2">
        <v>42512</v>
      </c>
      <c r="AJ61" s="4"/>
    </row>
    <row r="62" spans="2:122" s="2" customFormat="1" x14ac:dyDescent="0.25">
      <c r="B62" s="2" t="s">
        <v>24</v>
      </c>
      <c r="G62" s="2">
        <f>+G60-G61</f>
        <v>-38059</v>
      </c>
      <c r="H62" s="2">
        <f>+H60-H61</f>
        <v>-16636</v>
      </c>
      <c r="S62" s="2">
        <f>+S60-S61</f>
        <v>-52878</v>
      </c>
      <c r="T62" s="2">
        <f>+T60-T61</f>
        <v>-97490</v>
      </c>
      <c r="U62" s="2">
        <f>+U60-U61</f>
        <v>-149050</v>
      </c>
    </row>
    <row r="63" spans="2:122" s="2" customFormat="1" x14ac:dyDescent="0.25"/>
    <row r="64" spans="2:122" s="2" customFormat="1" x14ac:dyDescent="0.25">
      <c r="B64" s="2" t="s">
        <v>0</v>
      </c>
      <c r="F64" s="2">
        <v>242515</v>
      </c>
      <c r="G64" s="2">
        <v>208365</v>
      </c>
      <c r="H64" s="2">
        <v>197160</v>
      </c>
      <c r="L64" s="2">
        <v>340911</v>
      </c>
      <c r="T64" s="2">
        <v>690595</v>
      </c>
      <c r="U64" s="2">
        <v>242515</v>
      </c>
      <c r="V64" s="2">
        <v>162518</v>
      </c>
    </row>
    <row r="65" spans="2:25" s="2" customFormat="1" x14ac:dyDescent="0.25">
      <c r="B65" s="2" t="s">
        <v>1</v>
      </c>
      <c r="F65" s="2">
        <v>229276</v>
      </c>
      <c r="G65" s="2">
        <v>190357</v>
      </c>
      <c r="H65" s="2">
        <v>144018</v>
      </c>
      <c r="L65" s="2">
        <v>155844</v>
      </c>
      <c r="U65" s="2">
        <v>229276</v>
      </c>
      <c r="V65" s="2">
        <v>82255</v>
      </c>
    </row>
    <row r="66" spans="2:25" s="2" customFormat="1" x14ac:dyDescent="0.25">
      <c r="B66" s="2" t="s">
        <v>47</v>
      </c>
      <c r="F66" s="2">
        <v>36572</v>
      </c>
      <c r="G66" s="2">
        <v>50690</v>
      </c>
      <c r="H66" s="2">
        <v>25175</v>
      </c>
      <c r="L66" s="2">
        <v>50476</v>
      </c>
      <c r="T66" s="2">
        <v>13957</v>
      </c>
      <c r="U66" s="2">
        <v>36572</v>
      </c>
      <c r="V66" s="2">
        <v>35176</v>
      </c>
    </row>
    <row r="67" spans="2:25" s="2" customFormat="1" x14ac:dyDescent="0.25">
      <c r="B67" s="2" t="s">
        <v>49</v>
      </c>
      <c r="F67" s="2">
        <f>+SUM(F64:F66)</f>
        <v>508363</v>
      </c>
      <c r="G67" s="2">
        <f>+SUM(G64:G66)</f>
        <v>449412</v>
      </c>
      <c r="H67" s="2">
        <f>+SUM(H64:H66)</f>
        <v>366353</v>
      </c>
      <c r="L67" s="2">
        <f>+SUM(L64:L66)</f>
        <v>547231</v>
      </c>
      <c r="T67" s="2">
        <f>+SUM(T64:T66)</f>
        <v>704552</v>
      </c>
      <c r="U67" s="2">
        <f>+SUM(U64:U66)</f>
        <v>508363</v>
      </c>
      <c r="V67" s="2">
        <f>+SUM(V64:V66)</f>
        <v>279949</v>
      </c>
      <c r="W67" s="2">
        <f>+V67+W50</f>
        <v>105216.52000000002</v>
      </c>
      <c r="X67" s="2">
        <f>+W67+X50</f>
        <v>1184.8319999999803</v>
      </c>
      <c r="Y67" s="2">
        <f>+X67+Y50</f>
        <v>15978.22655999997</v>
      </c>
    </row>
    <row r="68" spans="2:25" s="2" customFormat="1" x14ac:dyDescent="0.25">
      <c r="B68" s="2" t="s">
        <v>2</v>
      </c>
      <c r="F68" s="2">
        <v>101514</v>
      </c>
      <c r="G68" s="2">
        <v>95981</v>
      </c>
      <c r="H68" s="2">
        <v>120004</v>
      </c>
      <c r="I68" s="2">
        <v>120000</v>
      </c>
      <c r="J68" s="2">
        <v>120000</v>
      </c>
      <c r="L68" s="2">
        <v>155894</v>
      </c>
      <c r="T68" s="2">
        <v>65339</v>
      </c>
      <c r="U68" s="2">
        <v>101514</v>
      </c>
      <c r="V68" s="2">
        <v>145409</v>
      </c>
    </row>
    <row r="69" spans="2:25" s="2" customFormat="1" x14ac:dyDescent="0.25">
      <c r="B69" s="2" t="s">
        <v>46</v>
      </c>
      <c r="F69" s="2">
        <f>100043+2906</f>
        <v>102949</v>
      </c>
      <c r="G69" s="2">
        <f>2934+100724</f>
        <v>103658</v>
      </c>
      <c r="H69" s="2">
        <v>104381</v>
      </c>
      <c r="I69" s="2">
        <v>105000</v>
      </c>
      <c r="J69" s="2">
        <v>105000</v>
      </c>
      <c r="L69" s="2">
        <f>50061+11345</f>
        <v>61406</v>
      </c>
      <c r="T69" s="2">
        <f>97297+2827</f>
        <v>100124</v>
      </c>
      <c r="U69" s="2">
        <f>100043+2906</f>
        <v>102949</v>
      </c>
      <c r="V69" s="2">
        <f>17764+87587</f>
        <v>105351</v>
      </c>
      <c r="W69" s="2">
        <v>105000</v>
      </c>
      <c r="X69" s="2">
        <f>+W69+20000</f>
        <v>125000</v>
      </c>
      <c r="Y69" s="2">
        <f>+X69+55000</f>
        <v>180000</v>
      </c>
    </row>
    <row r="70" spans="2:25" s="2" customFormat="1" x14ac:dyDescent="0.25">
      <c r="B70" s="2" t="s">
        <v>48</v>
      </c>
      <c r="F70" s="2">
        <f>+F67+F68-F69</f>
        <v>506928</v>
      </c>
      <c r="G70" s="2">
        <f>+G67+G68-G69</f>
        <v>441735</v>
      </c>
      <c r="H70" s="2">
        <f>+H67+H68-H69</f>
        <v>381976</v>
      </c>
      <c r="L70" s="2">
        <f>+L67+L68-L69</f>
        <v>641719</v>
      </c>
      <c r="T70" s="2">
        <f>+T67+T68-T69</f>
        <v>669767</v>
      </c>
      <c r="U70" s="2">
        <f>+U67+U68-U69</f>
        <v>506928</v>
      </c>
      <c r="V70" s="2">
        <f>+V67+V68-V69</f>
        <v>320007</v>
      </c>
    </row>
    <row r="71" spans="2:25" s="2" customFormat="1" x14ac:dyDescent="0.25"/>
    <row r="72" spans="2:25" s="24" customFormat="1" x14ac:dyDescent="0.25">
      <c r="B72" s="24" t="s">
        <v>190</v>
      </c>
      <c r="G72" s="24">
        <f>+G70-F70</f>
        <v>-65193</v>
      </c>
      <c r="H72" s="24">
        <f>+H70-G70</f>
        <v>-59759</v>
      </c>
      <c r="U72" s="24">
        <f>+U70-T70</f>
        <v>-162839</v>
      </c>
      <c r="V72" s="24">
        <f>+V70-U70</f>
        <v>-186921</v>
      </c>
    </row>
    <row r="73" spans="2:25" s="24" customFormat="1" x14ac:dyDescent="0.25">
      <c r="B73" s="25" t="s">
        <v>191</v>
      </c>
      <c r="G73" s="24">
        <f>+G67-F67+G68-F68</f>
        <v>-64484</v>
      </c>
      <c r="H73" s="24">
        <f>+H67-G67+H68-G68</f>
        <v>-59036</v>
      </c>
      <c r="U73" s="24">
        <f>+U67-T67+U68-T68</f>
        <v>-160014</v>
      </c>
      <c r="V73" s="24">
        <f>+V67-U67+V68-U68</f>
        <v>-184519</v>
      </c>
    </row>
    <row r="74" spans="2:25" s="2" customFormat="1" x14ac:dyDescent="0.25"/>
    <row r="75" spans="2:25" s="2" customFormat="1" x14ac:dyDescent="0.25"/>
    <row r="76" spans="2:25" s="2" customFormat="1" x14ac:dyDescent="0.25"/>
    <row r="77" spans="2:25" s="2" customFormat="1" x14ac:dyDescent="0.25"/>
    <row r="78" spans="2:25" s="2" customFormat="1" x14ac:dyDescent="0.25"/>
    <row r="79" spans="2:25" s="2" customFormat="1" x14ac:dyDescent="0.25"/>
    <row r="80" spans="2:25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Main</vt:lpstr>
      <vt:lpstr>Model</vt:lpstr>
      <vt:lpstr>Neutron</vt:lpstr>
      <vt:lpstr>shares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2023-03-10T18:16:40Z</dcterms:created>
  <dcterms:modified xsi:type="dcterms:W3CDTF">2026-02-06T13:43:14Z</dcterms:modified>
</cp:coreProperties>
</file>