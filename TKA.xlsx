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3F3554C1-C81D-479F-A362-687624F49A0E}" xr6:coauthVersionLast="47" xr6:coauthVersionMax="47" xr10:uidLastSave="{00000000-0000-0000-0000-000000000000}"/>
  <bookViews>
    <workbookView xWindow="-120" yWindow="-120" windowWidth="29040" windowHeight="15840" activeTab="1" xr2:uid="{7397BEA7-1548-4AC5-9E32-31D0B4511846}"/>
  </bookViews>
  <sheets>
    <sheet name="Sheet1" sheetId="1" r:id="rId1"/>
    <sheet name="Sheet2" sheetId="2" r:id="rId2"/>
  </sheets>
  <definedNames>
    <definedName name="TR">Sheet2!$AG$79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2" i="2" l="1"/>
  <c r="V58" i="2"/>
  <c r="W57" i="2"/>
  <c r="X57" i="2"/>
  <c r="Y57" i="2"/>
  <c r="Z57" i="2"/>
  <c r="AA57" i="2"/>
  <c r="AB57" i="2"/>
  <c r="AC57" i="2"/>
  <c r="AD57" i="2"/>
  <c r="AE57" i="2"/>
  <c r="V57" i="2"/>
  <c r="V63" i="2"/>
  <c r="V64" i="2" s="1"/>
  <c r="W58" i="2"/>
  <c r="X58" i="2" s="1"/>
  <c r="Y58" i="2" s="1"/>
  <c r="Z58" i="2" s="1"/>
  <c r="AA58" i="2" s="1"/>
  <c r="AB58" i="2" s="1"/>
  <c r="AC58" i="2" s="1"/>
  <c r="AD58" i="2" s="1"/>
  <c r="AE58" i="2" s="1"/>
  <c r="T58" i="2"/>
  <c r="W56" i="2"/>
  <c r="X56" i="2" s="1"/>
  <c r="V56" i="2"/>
  <c r="W75" i="2"/>
  <c r="X75" i="2"/>
  <c r="Y75" i="2"/>
  <c r="Z75" i="2"/>
  <c r="AA75" i="2"/>
  <c r="AB75" i="2"/>
  <c r="AC75" i="2"/>
  <c r="AD75" i="2"/>
  <c r="AE75" i="2"/>
  <c r="W54" i="2"/>
  <c r="X54" i="2"/>
  <c r="Y54" i="2"/>
  <c r="Z54" i="2"/>
  <c r="AA54" i="2"/>
  <c r="AB54" i="2"/>
  <c r="AC54" i="2"/>
  <c r="AD54" i="2"/>
  <c r="AE54" i="2"/>
  <c r="W20" i="2"/>
  <c r="X20" i="2"/>
  <c r="Y20" i="2"/>
  <c r="Z20" i="2"/>
  <c r="AA20" i="2"/>
  <c r="AB20" i="2"/>
  <c r="AC20" i="2"/>
  <c r="AD20" i="2"/>
  <c r="AE20" i="2"/>
  <c r="W21" i="2"/>
  <c r="X21" i="2"/>
  <c r="Y21" i="2"/>
  <c r="Z21" i="2"/>
  <c r="AA21" i="2"/>
  <c r="AB21" i="2"/>
  <c r="AC21" i="2"/>
  <c r="AD21" i="2"/>
  <c r="AE21" i="2"/>
  <c r="W22" i="2"/>
  <c r="X22" i="2"/>
  <c r="Y22" i="2"/>
  <c r="Z22" i="2"/>
  <c r="AA22" i="2"/>
  <c r="AB22" i="2"/>
  <c r="AC22" i="2"/>
  <c r="AD22" i="2"/>
  <c r="AE22" i="2"/>
  <c r="W23" i="2"/>
  <c r="X23" i="2"/>
  <c r="Y23" i="2"/>
  <c r="Z23" i="2"/>
  <c r="AA23" i="2"/>
  <c r="AB23" i="2"/>
  <c r="AC23" i="2"/>
  <c r="AD23" i="2"/>
  <c r="AE23" i="2"/>
  <c r="W24" i="2"/>
  <c r="X24" i="2"/>
  <c r="Y24" i="2"/>
  <c r="Z24" i="2"/>
  <c r="AA24" i="2"/>
  <c r="AB24" i="2"/>
  <c r="AC24" i="2"/>
  <c r="AD24" i="2"/>
  <c r="AE24" i="2"/>
  <c r="W25" i="2"/>
  <c r="X25" i="2"/>
  <c r="Y25" i="2"/>
  <c r="Z25" i="2"/>
  <c r="AA25" i="2"/>
  <c r="AB25" i="2"/>
  <c r="AC25" i="2"/>
  <c r="AD25" i="2"/>
  <c r="AE25" i="2"/>
  <c r="V54" i="2"/>
  <c r="V25" i="2"/>
  <c r="V34" i="2" s="1"/>
  <c r="V24" i="2"/>
  <c r="V23" i="2"/>
  <c r="V32" i="2" s="1"/>
  <c r="V22" i="2"/>
  <c r="V31" i="2" s="1"/>
  <c r="V33" i="2"/>
  <c r="V30" i="2"/>
  <c r="V29" i="2"/>
  <c r="V21" i="2"/>
  <c r="V20" i="2"/>
  <c r="T34" i="2"/>
  <c r="T33" i="2"/>
  <c r="T31" i="2"/>
  <c r="T32" i="2"/>
  <c r="T30" i="2"/>
  <c r="T29" i="2"/>
  <c r="U34" i="2"/>
  <c r="U33" i="2"/>
  <c r="U32" i="2"/>
  <c r="U31" i="2"/>
  <c r="U30" i="2"/>
  <c r="U29" i="2"/>
  <c r="T38" i="2"/>
  <c r="T36" i="2" s="1"/>
  <c r="U38" i="2"/>
  <c r="T21" i="2"/>
  <c r="T26" i="2" s="1"/>
  <c r="U21" i="2"/>
  <c r="U26" i="2" s="1"/>
  <c r="S63" i="2"/>
  <c r="T63" i="2"/>
  <c r="U58" i="2"/>
  <c r="U63" i="2" s="1"/>
  <c r="M80" i="2"/>
  <c r="V48" i="2"/>
  <c r="V49" i="2"/>
  <c r="V47" i="2"/>
  <c r="V45" i="2"/>
  <c r="V16" i="2"/>
  <c r="V15" i="2"/>
  <c r="W15" i="2" s="1"/>
  <c r="X15" i="2" s="1"/>
  <c r="Y15" i="2" s="1"/>
  <c r="V14" i="2"/>
  <c r="V12" i="2"/>
  <c r="L50" i="2"/>
  <c r="K51" i="2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L17" i="2"/>
  <c r="K50" i="2"/>
  <c r="K17" i="2"/>
  <c r="M17" i="2"/>
  <c r="M50" i="2"/>
  <c r="L82" i="2"/>
  <c r="L83" i="2" s="1"/>
  <c r="K90" i="2"/>
  <c r="K82" i="2"/>
  <c r="K85" i="2" s="1"/>
  <c r="L90" i="2"/>
  <c r="T46" i="2"/>
  <c r="T44" i="2" s="1"/>
  <c r="U46" i="2"/>
  <c r="I55" i="2"/>
  <c r="I63" i="2"/>
  <c r="I68" i="2"/>
  <c r="K55" i="2"/>
  <c r="L55" i="2"/>
  <c r="K63" i="2"/>
  <c r="L63" i="2"/>
  <c r="K68" i="2"/>
  <c r="L68" i="2"/>
  <c r="M90" i="2"/>
  <c r="M82" i="2"/>
  <c r="M85" i="2" s="1"/>
  <c r="AG81" i="2" s="1"/>
  <c r="M68" i="2"/>
  <c r="M63" i="2"/>
  <c r="M55" i="2"/>
  <c r="W87" i="2"/>
  <c r="X87" i="2" s="1"/>
  <c r="Y87" i="2" s="1"/>
  <c r="Z87" i="2" s="1"/>
  <c r="AA87" i="2" s="1"/>
  <c r="AB87" i="2" s="1"/>
  <c r="AC87" i="2" s="1"/>
  <c r="AD87" i="2" s="1"/>
  <c r="Y89" i="2"/>
  <c r="Z89" i="2" s="1"/>
  <c r="AA89" i="2" s="1"/>
  <c r="AB89" i="2" s="1"/>
  <c r="AC89" i="2" s="1"/>
  <c r="AD89" i="2" s="1"/>
  <c r="V67" i="2"/>
  <c r="V66" i="2" s="1"/>
  <c r="U13" i="2"/>
  <c r="U82" i="2"/>
  <c r="U83" i="2" s="1"/>
  <c r="G89" i="2"/>
  <c r="G70" i="2"/>
  <c r="G67" i="2"/>
  <c r="G66" i="2"/>
  <c r="G65" i="2"/>
  <c r="G62" i="2"/>
  <c r="G61" i="2"/>
  <c r="G60" i="2"/>
  <c r="G58" i="2"/>
  <c r="G57" i="2"/>
  <c r="G56" i="2"/>
  <c r="G54" i="2"/>
  <c r="G53" i="2"/>
  <c r="G88" i="2"/>
  <c r="H90" i="2"/>
  <c r="H82" i="2"/>
  <c r="H85" i="2" s="1"/>
  <c r="D5" i="1"/>
  <c r="W63" i="2" l="1"/>
  <c r="W64" i="2" s="1"/>
  <c r="Y56" i="2"/>
  <c r="X63" i="2"/>
  <c r="X64" i="2" s="1"/>
  <c r="U36" i="2"/>
  <c r="V38" i="2"/>
  <c r="V42" i="2"/>
  <c r="V41" i="2"/>
  <c r="V40" i="2"/>
  <c r="V39" i="2"/>
  <c r="V37" i="2"/>
  <c r="Z15" i="2"/>
  <c r="AA15" i="2" s="1"/>
  <c r="AB15" i="2" s="1"/>
  <c r="AC15" i="2" s="1"/>
  <c r="AD15" i="2" s="1"/>
  <c r="Y48" i="2"/>
  <c r="V17" i="2"/>
  <c r="W17" i="2" s="1"/>
  <c r="W50" i="2" s="1"/>
  <c r="V50" i="2"/>
  <c r="L85" i="2"/>
  <c r="X48" i="2"/>
  <c r="W48" i="2"/>
  <c r="V13" i="2"/>
  <c r="W13" i="2" s="1"/>
  <c r="X13" i="2" s="1"/>
  <c r="Y13" i="2" s="1"/>
  <c r="Z13" i="2" s="1"/>
  <c r="AA13" i="2" s="1"/>
  <c r="AB13" i="2" s="1"/>
  <c r="AC13" i="2" s="1"/>
  <c r="M64" i="2"/>
  <c r="M69" i="2" s="1"/>
  <c r="M71" i="2" s="1"/>
  <c r="M73" i="2" s="1"/>
  <c r="K83" i="2"/>
  <c r="K64" i="2"/>
  <c r="K69" i="2" s="1"/>
  <c r="K71" i="2" s="1"/>
  <c r="K73" i="2" s="1"/>
  <c r="L64" i="2"/>
  <c r="L69" i="2" s="1"/>
  <c r="L71" i="2" s="1"/>
  <c r="L73" i="2" s="1"/>
  <c r="I64" i="2"/>
  <c r="I69" i="2" s="1"/>
  <c r="I71" i="2" s="1"/>
  <c r="M83" i="2"/>
  <c r="U85" i="2"/>
  <c r="W12" i="2"/>
  <c r="W67" i="2"/>
  <c r="D6" i="1"/>
  <c r="D7" i="1" s="1"/>
  <c r="G90" i="2"/>
  <c r="H83" i="2"/>
  <c r="V65" i="2"/>
  <c r="W65" i="2" s="1"/>
  <c r="X65" i="2" s="1"/>
  <c r="Y65" i="2" s="1"/>
  <c r="Z65" i="2" s="1"/>
  <c r="AA65" i="2" s="1"/>
  <c r="AB65" i="2" s="1"/>
  <c r="AC65" i="2" s="1"/>
  <c r="AD65" i="2" s="1"/>
  <c r="AE65" i="2" s="1"/>
  <c r="P46" i="2"/>
  <c r="P47" i="2"/>
  <c r="P48" i="2"/>
  <c r="P49" i="2"/>
  <c r="P50" i="2"/>
  <c r="P45" i="2"/>
  <c r="T82" i="2"/>
  <c r="S82" i="2"/>
  <c r="S78" i="2"/>
  <c r="T90" i="2"/>
  <c r="S90" i="2"/>
  <c r="T55" i="2"/>
  <c r="T75" i="2" s="1"/>
  <c r="T68" i="2"/>
  <c r="T1" i="2"/>
  <c r="U1" i="2" s="1"/>
  <c r="V1" i="2" s="1"/>
  <c r="W1" i="2" s="1"/>
  <c r="X1" i="2" s="1"/>
  <c r="Y1" i="2" s="1"/>
  <c r="Z1" i="2" s="1"/>
  <c r="AA1" i="2" s="1"/>
  <c r="AB1" i="2" s="1"/>
  <c r="AC1" i="2" s="1"/>
  <c r="AD1" i="2" s="1"/>
  <c r="S68" i="2"/>
  <c r="S55" i="2"/>
  <c r="S75" i="2" s="1"/>
  <c r="D55" i="2"/>
  <c r="E55" i="2"/>
  <c r="F55" i="2"/>
  <c r="G55" i="2"/>
  <c r="G75" i="2" s="1"/>
  <c r="H55" i="2"/>
  <c r="H75" i="2" s="1"/>
  <c r="J55" i="2"/>
  <c r="D63" i="2"/>
  <c r="E63" i="2"/>
  <c r="F63" i="2"/>
  <c r="G63" i="2"/>
  <c r="H63" i="2"/>
  <c r="J63" i="2"/>
  <c r="D68" i="2"/>
  <c r="E68" i="2"/>
  <c r="F68" i="2"/>
  <c r="G68" i="2"/>
  <c r="H68" i="2"/>
  <c r="J68" i="2"/>
  <c r="C68" i="2"/>
  <c r="C63" i="2"/>
  <c r="C55" i="2"/>
  <c r="Z56" i="2" l="1"/>
  <c r="Y63" i="2"/>
  <c r="Y64" i="2" s="1"/>
  <c r="AB48" i="2"/>
  <c r="AC48" i="2"/>
  <c r="W42" i="2"/>
  <c r="W41" i="2"/>
  <c r="W40" i="2"/>
  <c r="W39" i="2"/>
  <c r="W37" i="2"/>
  <c r="W38" i="2"/>
  <c r="AD48" i="2"/>
  <c r="AE15" i="2"/>
  <c r="AE48" i="2" s="1"/>
  <c r="Z48" i="2"/>
  <c r="AA48" i="2"/>
  <c r="AD13" i="2"/>
  <c r="AC46" i="2"/>
  <c r="X12" i="2"/>
  <c r="X45" i="2" s="1"/>
  <c r="W45" i="2"/>
  <c r="S85" i="2"/>
  <c r="X17" i="2"/>
  <c r="X50" i="2" s="1"/>
  <c r="T83" i="2"/>
  <c r="T85" i="2"/>
  <c r="X67" i="2"/>
  <c r="W66" i="2"/>
  <c r="W68" i="2" s="1"/>
  <c r="W14" i="2"/>
  <c r="W47" i="2" s="1"/>
  <c r="S83" i="2"/>
  <c r="V46" i="2"/>
  <c r="U44" i="2"/>
  <c r="V53" i="2"/>
  <c r="V55" i="2" s="1"/>
  <c r="V75" i="2" s="1"/>
  <c r="W16" i="2"/>
  <c r="W49" i="2" s="1"/>
  <c r="U68" i="2"/>
  <c r="V68" i="2"/>
  <c r="G64" i="2"/>
  <c r="G69" i="2" s="1"/>
  <c r="G71" i="2" s="1"/>
  <c r="G76" i="2" s="1"/>
  <c r="F64" i="2"/>
  <c r="F69" i="2" s="1"/>
  <c r="F71" i="2" s="1"/>
  <c r="C64" i="2"/>
  <c r="C69" i="2" s="1"/>
  <c r="C71" i="2" s="1"/>
  <c r="H64" i="2"/>
  <c r="H69" i="2" s="1"/>
  <c r="H71" i="2" s="1"/>
  <c r="H76" i="2" s="1"/>
  <c r="E64" i="2"/>
  <c r="E69" i="2" s="1"/>
  <c r="E71" i="2" s="1"/>
  <c r="D64" i="2"/>
  <c r="D69" i="2" s="1"/>
  <c r="D71" i="2" s="1"/>
  <c r="J64" i="2"/>
  <c r="J69" i="2" s="1"/>
  <c r="J71" i="2" s="1"/>
  <c r="T64" i="2"/>
  <c r="T69" i="2" s="1"/>
  <c r="T71" i="2" s="1"/>
  <c r="S64" i="2"/>
  <c r="S69" i="2" s="1"/>
  <c r="S71" i="2" s="1"/>
  <c r="S76" i="2" s="1"/>
  <c r="AA56" i="2" l="1"/>
  <c r="Z63" i="2"/>
  <c r="Z64" i="2" s="1"/>
  <c r="AD46" i="2"/>
  <c r="AE13" i="2"/>
  <c r="AE46" i="2" s="1"/>
  <c r="Y17" i="2"/>
  <c r="Y50" i="2" s="1"/>
  <c r="Y12" i="2"/>
  <c r="Y45" i="2" s="1"/>
  <c r="X14" i="2"/>
  <c r="X47" i="2" s="1"/>
  <c r="Y67" i="2"/>
  <c r="X66" i="2"/>
  <c r="X68" i="2" s="1"/>
  <c r="T76" i="2"/>
  <c r="T73" i="2"/>
  <c r="V69" i="2"/>
  <c r="X16" i="2"/>
  <c r="X49" i="2" s="1"/>
  <c r="W53" i="2"/>
  <c r="W55" i="2" s="1"/>
  <c r="U55" i="2"/>
  <c r="W46" i="2"/>
  <c r="AA63" i="2" l="1"/>
  <c r="AA64" i="2" s="1"/>
  <c r="AB56" i="2"/>
  <c r="Z12" i="2"/>
  <c r="Z45" i="2" s="1"/>
  <c r="Z17" i="2"/>
  <c r="Z50" i="2" s="1"/>
  <c r="Z67" i="2"/>
  <c r="Y66" i="2"/>
  <c r="Y68" i="2" s="1"/>
  <c r="Y14" i="2"/>
  <c r="Y47" i="2" s="1"/>
  <c r="W69" i="2"/>
  <c r="W70" i="2" s="1"/>
  <c r="W71" i="2" s="1"/>
  <c r="W73" i="2" s="1"/>
  <c r="V70" i="2"/>
  <c r="V71" i="2" s="1"/>
  <c r="X53" i="2"/>
  <c r="X55" i="2" s="1"/>
  <c r="X46" i="2"/>
  <c r="U75" i="2"/>
  <c r="U64" i="2"/>
  <c r="U69" i="2" s="1"/>
  <c r="U71" i="2" s="1"/>
  <c r="U73" i="2" s="1"/>
  <c r="Y16" i="2"/>
  <c r="Y49" i="2" s="1"/>
  <c r="AC56" i="2" l="1"/>
  <c r="AB63" i="2"/>
  <c r="AB64" i="2" s="1"/>
  <c r="AA17" i="2"/>
  <c r="AA50" i="2" s="1"/>
  <c r="AA12" i="2"/>
  <c r="AA45" i="2" s="1"/>
  <c r="V73" i="2"/>
  <c r="V88" i="2"/>
  <c r="Z14" i="2"/>
  <c r="Z47" i="2" s="1"/>
  <c r="AA67" i="2"/>
  <c r="Z66" i="2"/>
  <c r="Z68" i="2" s="1"/>
  <c r="W88" i="2"/>
  <c r="W90" i="2" s="1"/>
  <c r="W76" i="2"/>
  <c r="V90" i="2"/>
  <c r="V76" i="2"/>
  <c r="X69" i="2"/>
  <c r="Y53" i="2"/>
  <c r="Y55" i="2" s="1"/>
  <c r="U76" i="2"/>
  <c r="U90" i="2"/>
  <c r="Z16" i="2"/>
  <c r="Z49" i="2" s="1"/>
  <c r="Y46" i="2"/>
  <c r="AD56" i="2" l="1"/>
  <c r="AC63" i="2"/>
  <c r="AC64" i="2" s="1"/>
  <c r="AA14" i="2"/>
  <c r="AA47" i="2" s="1"/>
  <c r="AB12" i="2"/>
  <c r="AB45" i="2" s="1"/>
  <c r="AB17" i="2"/>
  <c r="AB50" i="2" s="1"/>
  <c r="AB14" i="2"/>
  <c r="AB47" i="2" s="1"/>
  <c r="AB67" i="2"/>
  <c r="AA66" i="2"/>
  <c r="AA68" i="2" s="1"/>
  <c r="X70" i="2"/>
  <c r="X71" i="2" s="1"/>
  <c r="X73" i="2" s="1"/>
  <c r="Y69" i="2"/>
  <c r="Z46" i="2"/>
  <c r="Z53" i="2"/>
  <c r="Z55" i="2" s="1"/>
  <c r="AA16" i="2"/>
  <c r="AE56" i="2" l="1"/>
  <c r="AD63" i="2"/>
  <c r="AD64" i="2" s="1"/>
  <c r="AC17" i="2"/>
  <c r="AC50" i="2" s="1"/>
  <c r="AC12" i="2"/>
  <c r="AC45" i="2" s="1"/>
  <c r="AA53" i="2"/>
  <c r="AA55" i="2" s="1"/>
  <c r="AA49" i="2"/>
  <c r="AC67" i="2"/>
  <c r="AB66" i="2"/>
  <c r="AB68" i="2" s="1"/>
  <c r="AC14" i="2"/>
  <c r="AC47" i="2" s="1"/>
  <c r="X76" i="2"/>
  <c r="X88" i="2"/>
  <c r="X90" i="2" s="1"/>
  <c r="Y70" i="2"/>
  <c r="Y71" i="2" s="1"/>
  <c r="Y73" i="2" s="1"/>
  <c r="Z69" i="2"/>
  <c r="AB16" i="2"/>
  <c r="AB46" i="2"/>
  <c r="AA46" i="2"/>
  <c r="AE63" i="2" l="1"/>
  <c r="AE64" i="2" s="1"/>
  <c r="AD12" i="2"/>
  <c r="AD17" i="2"/>
  <c r="AA69" i="2"/>
  <c r="AA70" i="2" s="1"/>
  <c r="AA71" i="2" s="1"/>
  <c r="AA73" i="2" s="1"/>
  <c r="AD14" i="2"/>
  <c r="AD67" i="2"/>
  <c r="AC66" i="2"/>
  <c r="AC68" i="2" s="1"/>
  <c r="AB49" i="2"/>
  <c r="AB69" i="2" s="1"/>
  <c r="AC16" i="2"/>
  <c r="Y76" i="2"/>
  <c r="Y88" i="2"/>
  <c r="Y90" i="2" s="1"/>
  <c r="AB53" i="2"/>
  <c r="AB55" i="2" s="1"/>
  <c r="Z70" i="2"/>
  <c r="Z71" i="2" s="1"/>
  <c r="Z73" i="2" s="1"/>
  <c r="AD66" i="2" l="1"/>
  <c r="AD68" i="2" s="1"/>
  <c r="AE67" i="2"/>
  <c r="AE66" i="2" s="1"/>
  <c r="AE68" i="2" s="1"/>
  <c r="AD47" i="2"/>
  <c r="AE14" i="2"/>
  <c r="AE47" i="2" s="1"/>
  <c r="AD50" i="2"/>
  <c r="AE17" i="2"/>
  <c r="AE50" i="2" s="1"/>
  <c r="AD45" i="2"/>
  <c r="AE12" i="2"/>
  <c r="AD16" i="2"/>
  <c r="AC49" i="2"/>
  <c r="AC69" i="2" s="1"/>
  <c r="AC70" i="2" s="1"/>
  <c r="Z76" i="2"/>
  <c r="Z88" i="2"/>
  <c r="Z90" i="2" s="1"/>
  <c r="AA88" i="2"/>
  <c r="AA90" i="2" s="1"/>
  <c r="AA76" i="2"/>
  <c r="AC53" i="2"/>
  <c r="AC55" i="2" s="1"/>
  <c r="AB70" i="2"/>
  <c r="AB71" i="2" s="1"/>
  <c r="AB73" i="2" s="1"/>
  <c r="AD49" i="2" l="1"/>
  <c r="AE16" i="2"/>
  <c r="AE49" i="2" s="1"/>
  <c r="AE53" i="2"/>
  <c r="AE55" i="2" s="1"/>
  <c r="AE45" i="2"/>
  <c r="AE69" i="2" s="1"/>
  <c r="AE70" i="2" s="1"/>
  <c r="AB88" i="2"/>
  <c r="AB90" i="2" s="1"/>
  <c r="AC71" i="2"/>
  <c r="AC73" i="2" s="1"/>
  <c r="AB76" i="2"/>
  <c r="AD69" i="2"/>
  <c r="AD70" i="2" s="1"/>
  <c r="AD53" i="2"/>
  <c r="AD55" i="2" s="1"/>
  <c r="AD71" i="2" l="1"/>
  <c r="AC88" i="2"/>
  <c r="AC90" i="2" s="1"/>
  <c r="AD73" i="2" l="1"/>
  <c r="AE73" i="2" s="1"/>
  <c r="AF73" i="2" s="1"/>
  <c r="AG73" i="2" s="1"/>
  <c r="AH73" i="2" s="1"/>
  <c r="AI73" i="2" s="1"/>
  <c r="AJ73" i="2" s="1"/>
  <c r="AK73" i="2" s="1"/>
  <c r="AL73" i="2" s="1"/>
  <c r="AM73" i="2" s="1"/>
  <c r="AN73" i="2" s="1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Y73" i="2" s="1"/>
  <c r="AZ73" i="2" s="1"/>
  <c r="BA73" i="2" s="1"/>
  <c r="BB73" i="2" s="1"/>
  <c r="BC73" i="2" s="1"/>
  <c r="BD73" i="2" s="1"/>
  <c r="BE73" i="2" s="1"/>
  <c r="BF73" i="2" s="1"/>
  <c r="BG73" i="2" s="1"/>
  <c r="BH73" i="2" s="1"/>
  <c r="BI73" i="2" s="1"/>
  <c r="BJ73" i="2" s="1"/>
  <c r="BK73" i="2" s="1"/>
  <c r="BL73" i="2" s="1"/>
  <c r="BM73" i="2" s="1"/>
  <c r="BN73" i="2" s="1"/>
  <c r="BO73" i="2" s="1"/>
  <c r="BP73" i="2" s="1"/>
  <c r="BQ73" i="2" s="1"/>
  <c r="BR73" i="2" s="1"/>
  <c r="BS73" i="2" s="1"/>
  <c r="BT73" i="2" s="1"/>
  <c r="BU73" i="2" s="1"/>
  <c r="BV73" i="2" s="1"/>
  <c r="BW73" i="2" s="1"/>
  <c r="BX73" i="2" s="1"/>
  <c r="BY73" i="2" s="1"/>
  <c r="BZ73" i="2" s="1"/>
  <c r="CA73" i="2" s="1"/>
  <c r="CB73" i="2" s="1"/>
  <c r="CC73" i="2" s="1"/>
  <c r="CD73" i="2" s="1"/>
  <c r="CE73" i="2" s="1"/>
  <c r="CF73" i="2" s="1"/>
  <c r="CG73" i="2" s="1"/>
  <c r="CH73" i="2" s="1"/>
  <c r="CI73" i="2" s="1"/>
  <c r="CJ73" i="2" s="1"/>
  <c r="CK73" i="2" s="1"/>
  <c r="CL73" i="2" s="1"/>
  <c r="CM73" i="2" s="1"/>
  <c r="CN73" i="2" s="1"/>
  <c r="CO73" i="2" s="1"/>
  <c r="CP73" i="2" s="1"/>
  <c r="CQ73" i="2" s="1"/>
  <c r="CR73" i="2" s="1"/>
  <c r="CS73" i="2" s="1"/>
  <c r="CT73" i="2" s="1"/>
  <c r="CU73" i="2" s="1"/>
  <c r="CV73" i="2" s="1"/>
  <c r="CW73" i="2" s="1"/>
  <c r="CX73" i="2" s="1"/>
  <c r="CY73" i="2" s="1"/>
  <c r="CZ73" i="2" s="1"/>
  <c r="DA73" i="2" s="1"/>
  <c r="DB73" i="2" s="1"/>
  <c r="DC73" i="2" s="1"/>
  <c r="DD73" i="2" s="1"/>
  <c r="DE73" i="2" s="1"/>
  <c r="DF73" i="2" s="1"/>
  <c r="DG73" i="2" s="1"/>
  <c r="DH73" i="2" s="1"/>
  <c r="DI73" i="2" s="1"/>
  <c r="DJ73" i="2" s="1"/>
  <c r="DK73" i="2" s="1"/>
  <c r="DL73" i="2" s="1"/>
  <c r="DM73" i="2" s="1"/>
  <c r="DN73" i="2" s="1"/>
  <c r="DO73" i="2" s="1"/>
  <c r="DP73" i="2" s="1"/>
  <c r="DQ73" i="2" s="1"/>
  <c r="DR73" i="2" s="1"/>
  <c r="DS73" i="2" s="1"/>
  <c r="DT73" i="2" s="1"/>
  <c r="DU73" i="2" s="1"/>
  <c r="DV73" i="2" s="1"/>
  <c r="DW73" i="2" s="1"/>
  <c r="DX73" i="2" s="1"/>
  <c r="DY73" i="2" s="1"/>
  <c r="DZ73" i="2" s="1"/>
  <c r="EA73" i="2" s="1"/>
  <c r="EB73" i="2" s="1"/>
  <c r="EC73" i="2" s="1"/>
  <c r="ED73" i="2" s="1"/>
  <c r="EE73" i="2" s="1"/>
  <c r="EF73" i="2" s="1"/>
  <c r="EG73" i="2" s="1"/>
  <c r="EH73" i="2" s="1"/>
  <c r="EI73" i="2" s="1"/>
  <c r="EJ73" i="2" s="1"/>
  <c r="EK73" i="2" s="1"/>
  <c r="EL73" i="2" s="1"/>
  <c r="EM73" i="2" s="1"/>
  <c r="EN73" i="2" s="1"/>
  <c r="EO73" i="2" s="1"/>
  <c r="EP73" i="2" s="1"/>
  <c r="EQ73" i="2" s="1"/>
  <c r="ER73" i="2" s="1"/>
  <c r="ES73" i="2" s="1"/>
  <c r="ET73" i="2" s="1"/>
  <c r="EU73" i="2" s="1"/>
  <c r="EV73" i="2" s="1"/>
  <c r="EW73" i="2" s="1"/>
  <c r="EX73" i="2" s="1"/>
  <c r="EY73" i="2" s="1"/>
  <c r="EZ73" i="2" s="1"/>
  <c r="AG80" i="2" s="1"/>
  <c r="AG82" i="2" s="1"/>
  <c r="AE71" i="2"/>
  <c r="EZ71" i="2"/>
  <c r="AD88" i="2"/>
  <c r="AD90" i="2" s="1"/>
  <c r="AE90" i="2" s="1"/>
  <c r="AF90" i="2" s="1"/>
  <c r="AG90" i="2" s="1"/>
  <c r="AH90" i="2" s="1"/>
  <c r="AI90" i="2" s="1"/>
  <c r="AJ90" i="2" s="1"/>
  <c r="AK90" i="2" s="1"/>
  <c r="AL90" i="2" s="1"/>
  <c r="AM90" i="2" s="1"/>
  <c r="AN90" i="2" s="1"/>
  <c r="AO90" i="2" s="1"/>
  <c r="AP90" i="2" s="1"/>
  <c r="AQ90" i="2" s="1"/>
  <c r="AR90" i="2" s="1"/>
  <c r="AS90" i="2" s="1"/>
  <c r="AT90" i="2" s="1"/>
  <c r="AU90" i="2" s="1"/>
  <c r="AV90" i="2" s="1"/>
  <c r="AW90" i="2" s="1"/>
  <c r="AX90" i="2" s="1"/>
  <c r="AY90" i="2" s="1"/>
  <c r="AZ90" i="2" s="1"/>
  <c r="BA90" i="2" s="1"/>
  <c r="BB90" i="2" s="1"/>
  <c r="BC90" i="2" s="1"/>
  <c r="BD90" i="2" s="1"/>
  <c r="BE90" i="2" s="1"/>
  <c r="BF90" i="2" s="1"/>
  <c r="BG90" i="2" s="1"/>
  <c r="BH90" i="2" s="1"/>
  <c r="BI90" i="2" s="1"/>
  <c r="BJ90" i="2" s="1"/>
  <c r="BK90" i="2" s="1"/>
  <c r="BL90" i="2" s="1"/>
  <c r="BM90" i="2" s="1"/>
  <c r="BN90" i="2" s="1"/>
  <c r="BO90" i="2" s="1"/>
  <c r="BP90" i="2" s="1"/>
  <c r="BQ90" i="2" s="1"/>
  <c r="BR90" i="2" s="1"/>
  <c r="BS90" i="2" s="1"/>
  <c r="BT90" i="2" s="1"/>
  <c r="BU90" i="2" s="1"/>
  <c r="BV90" i="2" s="1"/>
  <c r="BW90" i="2" s="1"/>
  <c r="BX90" i="2" s="1"/>
  <c r="BY90" i="2" s="1"/>
  <c r="BZ90" i="2" s="1"/>
  <c r="CA90" i="2" s="1"/>
  <c r="CB90" i="2" s="1"/>
  <c r="CC90" i="2" s="1"/>
  <c r="CD90" i="2" s="1"/>
  <c r="CE90" i="2" s="1"/>
  <c r="CF90" i="2" s="1"/>
  <c r="CG90" i="2" s="1"/>
  <c r="CH90" i="2" s="1"/>
  <c r="CI90" i="2" s="1"/>
  <c r="CJ90" i="2" s="1"/>
  <c r="CK90" i="2" s="1"/>
  <c r="CL90" i="2" s="1"/>
  <c r="CM90" i="2" s="1"/>
  <c r="CN90" i="2" s="1"/>
  <c r="CO90" i="2" s="1"/>
  <c r="CP90" i="2" s="1"/>
  <c r="CQ90" i="2" s="1"/>
  <c r="CR90" i="2" s="1"/>
  <c r="CS90" i="2" s="1"/>
  <c r="CT90" i="2" s="1"/>
  <c r="CU90" i="2" s="1"/>
  <c r="CV90" i="2" s="1"/>
  <c r="CW90" i="2" s="1"/>
  <c r="CX90" i="2" s="1"/>
  <c r="CY90" i="2" s="1"/>
  <c r="CZ90" i="2" s="1"/>
  <c r="DA90" i="2" s="1"/>
  <c r="DB90" i="2" s="1"/>
  <c r="DC90" i="2" s="1"/>
  <c r="DD90" i="2" s="1"/>
  <c r="DE90" i="2" s="1"/>
  <c r="DF90" i="2" s="1"/>
  <c r="DG90" i="2" s="1"/>
  <c r="DH90" i="2" s="1"/>
  <c r="DI90" i="2" s="1"/>
  <c r="DJ90" i="2" s="1"/>
  <c r="DK90" i="2" s="1"/>
  <c r="DL90" i="2" s="1"/>
  <c r="DM90" i="2" s="1"/>
  <c r="DN90" i="2" s="1"/>
  <c r="DO90" i="2" s="1"/>
  <c r="DP90" i="2" s="1"/>
  <c r="DQ90" i="2" s="1"/>
  <c r="DR90" i="2" s="1"/>
  <c r="DS90" i="2" s="1"/>
  <c r="DT90" i="2" s="1"/>
  <c r="DU90" i="2" s="1"/>
  <c r="DV90" i="2" s="1"/>
  <c r="DW90" i="2" s="1"/>
  <c r="DX90" i="2" s="1"/>
  <c r="DY90" i="2" s="1"/>
  <c r="DZ90" i="2" s="1"/>
  <c r="EA90" i="2" s="1"/>
  <c r="EB90" i="2" s="1"/>
  <c r="EC90" i="2" s="1"/>
  <c r="ED90" i="2" s="1"/>
  <c r="EE90" i="2" s="1"/>
  <c r="EF90" i="2" s="1"/>
  <c r="EG90" i="2" s="1"/>
  <c r="EH90" i="2" s="1"/>
  <c r="EI90" i="2" s="1"/>
  <c r="EJ90" i="2" s="1"/>
  <c r="EK90" i="2" s="1"/>
  <c r="EL90" i="2" s="1"/>
  <c r="EM90" i="2" s="1"/>
  <c r="EN90" i="2" s="1"/>
  <c r="EO90" i="2" s="1"/>
  <c r="EP90" i="2" s="1"/>
  <c r="EQ90" i="2" s="1"/>
  <c r="ER90" i="2" s="1"/>
  <c r="ES90" i="2" s="1"/>
  <c r="ET90" i="2" s="1"/>
  <c r="EU90" i="2" s="1"/>
  <c r="EV90" i="2" s="1"/>
  <c r="EW90" i="2" s="1"/>
  <c r="EX90" i="2" s="1"/>
  <c r="EY90" i="2" s="1"/>
  <c r="EZ90" i="2" s="1"/>
  <c r="AG83" i="2" l="1"/>
  <c r="AG8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U13" authorId="0" shapeId="0" xr:uid="{3B25907D-838D-4290-A05A-471404BA2002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Bearing: 1149
Forged Tech: 1598
</t>
        </r>
      </text>
    </comment>
    <comment ref="U46" authorId="0" shapeId="0" xr:uid="{3FB566D6-094B-47A0-8F51-30A358D530D3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Bearing: 101
Forged Tech: 102</t>
        </r>
      </text>
    </comment>
  </commentList>
</comments>
</file>

<file path=xl/sharedStrings.xml><?xml version="1.0" encoding="utf-8"?>
<sst xmlns="http://schemas.openxmlformats.org/spreadsheetml/2006/main" count="102" uniqueCount="69">
  <si>
    <t>Revenue</t>
  </si>
  <si>
    <t>COGS</t>
  </si>
  <si>
    <t>Gross Profit</t>
  </si>
  <si>
    <t>R&amp;D</t>
  </si>
  <si>
    <t>Selling</t>
  </si>
  <si>
    <t>G&amp;A</t>
  </si>
  <si>
    <t>Other Income</t>
  </si>
  <si>
    <t>Other Expense</t>
  </si>
  <si>
    <t>Others</t>
  </si>
  <si>
    <t>Operating Expense</t>
  </si>
  <si>
    <t>Operating Income</t>
  </si>
  <si>
    <t>Equity Income</t>
  </si>
  <si>
    <t>Interest Income</t>
  </si>
  <si>
    <t>Interest Expense</t>
  </si>
  <si>
    <t>Pretax Income</t>
  </si>
  <si>
    <t>Taxes</t>
  </si>
  <si>
    <t>Net Income</t>
  </si>
  <si>
    <t>Q122</t>
  </si>
  <si>
    <t>Q222</t>
  </si>
  <si>
    <t>Q322</t>
  </si>
  <si>
    <t>Q422</t>
  </si>
  <si>
    <t>Q123</t>
  </si>
  <si>
    <t>Q223</t>
  </si>
  <si>
    <t>Q323</t>
  </si>
  <si>
    <t>Q423</t>
  </si>
  <si>
    <t xml:space="preserve">Total Finance </t>
  </si>
  <si>
    <t>Gross Margin</t>
  </si>
  <si>
    <t>Net Margin</t>
  </si>
  <si>
    <t>CFFO</t>
  </si>
  <si>
    <t>CapEx</t>
  </si>
  <si>
    <t>FCF</t>
  </si>
  <si>
    <t>Cash</t>
  </si>
  <si>
    <t>PP&amp;E</t>
  </si>
  <si>
    <t>Debt</t>
  </si>
  <si>
    <t>NAV</t>
  </si>
  <si>
    <t>Materials Service</t>
  </si>
  <si>
    <t>Industrial Components</t>
  </si>
  <si>
    <t>Automotive Technology</t>
  </si>
  <si>
    <t>Steel Europe</t>
  </si>
  <si>
    <t>Marine Systems</t>
  </si>
  <si>
    <t>Multi Tracks</t>
  </si>
  <si>
    <t>Revenue:</t>
  </si>
  <si>
    <t>Discount</t>
  </si>
  <si>
    <t>Terminal</t>
  </si>
  <si>
    <t>NPV</t>
  </si>
  <si>
    <t>Net Cash</t>
  </si>
  <si>
    <t>Value</t>
  </si>
  <si>
    <t>Price</t>
  </si>
  <si>
    <t>Shares</t>
  </si>
  <si>
    <t>MC</t>
  </si>
  <si>
    <t>Net Casch</t>
  </si>
  <si>
    <t>EV</t>
  </si>
  <si>
    <t>Upside</t>
  </si>
  <si>
    <t>Minority Interest</t>
  </si>
  <si>
    <t>Company Income</t>
  </si>
  <si>
    <t>D&amp;A</t>
  </si>
  <si>
    <t>HQ</t>
  </si>
  <si>
    <t>Inventory</t>
  </si>
  <si>
    <t>Q124</t>
  </si>
  <si>
    <t>Q224</t>
  </si>
  <si>
    <t>Q324</t>
  </si>
  <si>
    <t>Q424</t>
  </si>
  <si>
    <t>Auftragseingang</t>
  </si>
  <si>
    <t>Pensions</t>
  </si>
  <si>
    <t>EBIT:</t>
  </si>
  <si>
    <t>Pension Payment</t>
  </si>
  <si>
    <t>Materialaufwand</t>
  </si>
  <si>
    <t>Mitarbeiter</t>
  </si>
  <si>
    <t>Hackler Aufwand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</si>
</sst>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"/>
    <numFmt numFmtId="167" formatCode="#,##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9" fontId="0" fillId="0" borderId="0" xfId="1" applyFont="1"/>
    <xf numFmtId="3" fontId="2" fillId="0" borderId="0" xfId="0" applyNumberFormat="1" applyFont="1"/>
    <xf numFmtId="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3" fontId="0" fillId="0" borderId="0" xfId="0" applyNumberFormat="1" applyFont="1"/>
    <xf numFmtId="167" fontId="0" fillId="0" borderId="0" xfId="0" applyNumberForma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19706</xdr:colOff>
      <xdr:row>1</xdr:row>
      <xdr:rowOff>170793</xdr:rowOff>
    </xdr:from>
    <xdr:to>
      <xdr:col>21</xdr:col>
      <xdr:colOff>19706</xdr:colOff>
      <xdr:row>73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0F399B-9041-526D-FC40-38C73284E3B9}"/>
            </a:ext>
          </a:extLst>
        </xdr:cNvPr>
        <xdr:cNvCxnSpPr/>
      </xdr:nvCxnSpPr>
      <xdr:spPr>
        <a:xfrm>
          <a:off x="11403723" y="361293"/>
          <a:ext cx="0" cy="70682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3D26-8EE2-479F-A243-44F9BC77C415}">
  <dimension ref="C3:D7"/>
  <sheetViews>
    <sheetView workbookViewId="0">
      <selection activeCell="D4" sqref="D4"/>
    </sheetView>
  </sheetViews>
  <sheetFormatPr defaultRowHeight="15" x14ac:dyDescent="0.25"/>
  <sheetData>
    <row r="3" spans="3:4" x14ac:dyDescent="0.25">
      <c r="C3" t="s">
        <v>47</v>
      </c>
      <c r="D3">
        <v>2.8</v>
      </c>
    </row>
    <row r="4" spans="3:4" x14ac:dyDescent="0.25">
      <c r="C4" t="s">
        <v>48</v>
      </c>
      <c r="D4">
        <v>623</v>
      </c>
    </row>
    <row r="5" spans="3:4" x14ac:dyDescent="0.25">
      <c r="C5" t="s">
        <v>49</v>
      </c>
      <c r="D5">
        <f>+D3*D4</f>
        <v>1744.3999999999999</v>
      </c>
    </row>
    <row r="6" spans="3:4" x14ac:dyDescent="0.25">
      <c r="C6" t="s">
        <v>50</v>
      </c>
      <c r="D6" s="1">
        <f>+Sheet2!AG81</f>
        <v>3579</v>
      </c>
    </row>
    <row r="7" spans="3:4" x14ac:dyDescent="0.25">
      <c r="C7" t="s">
        <v>51</v>
      </c>
      <c r="D7" s="1">
        <f>+D5-D6</f>
        <v>-1834.6000000000001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4956-9792-4F6A-86DA-F1D9D1E3BC01}">
  <dimension ref="B1:EZ192"/>
  <sheetViews>
    <sheetView tabSelected="1" zoomScale="145" zoomScaleNormal="145"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AA8" sqref="AA8"/>
    </sheetView>
  </sheetViews>
  <sheetFormatPr defaultRowHeight="15" x14ac:dyDescent="0.25"/>
  <cols>
    <col min="1" max="1" width="3.28515625" customWidth="1"/>
    <col min="2" max="2" width="20.85546875" customWidth="1"/>
  </cols>
  <sheetData>
    <row r="1" spans="2:31" x14ac:dyDescent="0.25"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58</v>
      </c>
      <c r="L1" t="s">
        <v>59</v>
      </c>
      <c r="M1" t="s">
        <v>60</v>
      </c>
      <c r="N1" t="s">
        <v>61</v>
      </c>
      <c r="S1">
        <v>2021</v>
      </c>
      <c r="T1">
        <f>+S1+1</f>
        <v>2022</v>
      </c>
      <c r="U1">
        <f t="shared" ref="U1:AA1" si="0">+T1+1</f>
        <v>2023</v>
      </c>
      <c r="V1">
        <f t="shared" si="0"/>
        <v>2024</v>
      </c>
      <c r="W1">
        <f t="shared" si="0"/>
        <v>2025</v>
      </c>
      <c r="X1">
        <f t="shared" si="0"/>
        <v>2026</v>
      </c>
      <c r="Y1">
        <f t="shared" si="0"/>
        <v>2027</v>
      </c>
      <c r="Z1">
        <f t="shared" si="0"/>
        <v>2028</v>
      </c>
      <c r="AA1">
        <f t="shared" si="0"/>
        <v>2029</v>
      </c>
      <c r="AB1">
        <f>+AA1+1</f>
        <v>2030</v>
      </c>
      <c r="AC1">
        <f t="shared" ref="AC1:AD1" si="1">+AB1+1</f>
        <v>2031</v>
      </c>
      <c r="AD1">
        <f t="shared" si="1"/>
        <v>2032</v>
      </c>
    </row>
    <row r="3" spans="2:31" x14ac:dyDescent="0.25">
      <c r="B3" t="s">
        <v>62</v>
      </c>
    </row>
    <row r="4" spans="2:31" x14ac:dyDescent="0.25">
      <c r="B4" s="1" t="s">
        <v>35</v>
      </c>
    </row>
    <row r="5" spans="2:31" x14ac:dyDescent="0.25">
      <c r="B5" s="1" t="s">
        <v>36</v>
      </c>
    </row>
    <row r="6" spans="2:31" x14ac:dyDescent="0.25">
      <c r="B6" s="1" t="s">
        <v>37</v>
      </c>
    </row>
    <row r="7" spans="2:31" x14ac:dyDescent="0.25">
      <c r="B7" s="1" t="s">
        <v>38</v>
      </c>
    </row>
    <row r="8" spans="2:31" x14ac:dyDescent="0.25">
      <c r="B8" s="1" t="s">
        <v>39</v>
      </c>
    </row>
    <row r="9" spans="2:31" x14ac:dyDescent="0.25">
      <c r="B9" s="1" t="s">
        <v>40</v>
      </c>
    </row>
    <row r="11" spans="2:31" s="1" customFormat="1" x14ac:dyDescent="0.25">
      <c r="B11" s="1" t="s">
        <v>41</v>
      </c>
      <c r="U11" s="6"/>
      <c r="V11" s="6"/>
    </row>
    <row r="12" spans="2:31" s="1" customFormat="1" x14ac:dyDescent="0.25">
      <c r="B12" s="1" t="s">
        <v>35</v>
      </c>
      <c r="K12" s="1">
        <v>2860</v>
      </c>
      <c r="L12" s="1">
        <v>3164</v>
      </c>
      <c r="M12" s="1">
        <v>3194</v>
      </c>
      <c r="N12" s="1">
        <v>3200</v>
      </c>
      <c r="T12" s="1">
        <v>16444</v>
      </c>
      <c r="U12" s="1">
        <v>13613</v>
      </c>
      <c r="V12" s="1">
        <f>+SUM(K12:N12)</f>
        <v>12418</v>
      </c>
      <c r="W12" s="1">
        <f t="shared" ref="W12:AE12" si="2">+V12*0.95</f>
        <v>11797.099999999999</v>
      </c>
      <c r="X12" s="1">
        <f t="shared" si="2"/>
        <v>11207.244999999999</v>
      </c>
      <c r="Y12" s="1">
        <f t="shared" si="2"/>
        <v>10646.882749999999</v>
      </c>
      <c r="Z12" s="1">
        <f t="shared" si="2"/>
        <v>10114.538612499999</v>
      </c>
      <c r="AA12" s="1">
        <f t="shared" si="2"/>
        <v>9608.8116818749986</v>
      </c>
      <c r="AB12" s="1">
        <f t="shared" si="2"/>
        <v>9128.371097781248</v>
      </c>
      <c r="AC12" s="1">
        <f t="shared" si="2"/>
        <v>8671.9525428921843</v>
      </c>
      <c r="AD12" s="1">
        <f t="shared" si="2"/>
        <v>8238.3549157475754</v>
      </c>
      <c r="AE12" s="1">
        <f t="shared" si="2"/>
        <v>7826.4371699601961</v>
      </c>
    </row>
    <row r="13" spans="2:31" s="1" customFormat="1" x14ac:dyDescent="0.25">
      <c r="B13" s="1" t="s">
        <v>36</v>
      </c>
      <c r="T13" s="1">
        <v>2766</v>
      </c>
      <c r="U13" s="1">
        <f>1149+1598</f>
        <v>2747</v>
      </c>
      <c r="V13" s="1">
        <f>+U13*0.99</f>
        <v>2719.53</v>
      </c>
      <c r="W13" s="1">
        <f t="shared" ref="W13:AB13" si="3">+V13*0.99</f>
        <v>2692.3347000000003</v>
      </c>
      <c r="X13" s="1">
        <f t="shared" si="3"/>
        <v>2665.4113530000004</v>
      </c>
      <c r="Y13" s="1">
        <f t="shared" si="3"/>
        <v>2638.7572394700005</v>
      </c>
      <c r="Z13" s="1">
        <f t="shared" si="3"/>
        <v>2612.3696670753006</v>
      </c>
      <c r="AA13" s="1">
        <f t="shared" si="3"/>
        <v>2586.2459704045477</v>
      </c>
      <c r="AB13" s="1">
        <f t="shared" si="3"/>
        <v>2560.383510700502</v>
      </c>
      <c r="AC13" s="1">
        <f t="shared" ref="AC13:AE13" si="4">+AB13*0.99</f>
        <v>2534.7796755934969</v>
      </c>
      <c r="AD13" s="1">
        <f t="shared" si="4"/>
        <v>2509.4318788375617</v>
      </c>
      <c r="AE13" s="1">
        <f t="shared" si="4"/>
        <v>2484.3375600491859</v>
      </c>
    </row>
    <row r="14" spans="2:31" s="1" customFormat="1" x14ac:dyDescent="0.25">
      <c r="B14" s="1" t="s">
        <v>37</v>
      </c>
      <c r="K14" s="1">
        <v>1863</v>
      </c>
      <c r="L14" s="1">
        <v>1922</v>
      </c>
      <c r="M14" s="1">
        <v>1914</v>
      </c>
      <c r="N14" s="1">
        <v>1950</v>
      </c>
      <c r="T14" s="1">
        <v>4825</v>
      </c>
      <c r="U14" s="1">
        <v>5479</v>
      </c>
      <c r="V14" s="1">
        <f>+SUM(K14:N14)</f>
        <v>7649</v>
      </c>
      <c r="W14" s="1">
        <f>+V14*1.08</f>
        <v>8260.92</v>
      </c>
      <c r="X14" s="1">
        <f>+W14*1.06</f>
        <v>8756.5752000000011</v>
      </c>
      <c r="Y14" s="1">
        <f>+X14*1.06</f>
        <v>9281.9697120000019</v>
      </c>
      <c r="Z14" s="1">
        <f>+Y14*1.05</f>
        <v>9746.0681976000033</v>
      </c>
      <c r="AA14" s="1">
        <f>+Z14*1.05</f>
        <v>10233.371607480003</v>
      </c>
      <c r="AB14" s="1">
        <f>+AA14*1.02</f>
        <v>10438.039039629602</v>
      </c>
      <c r="AC14" s="1">
        <f t="shared" ref="AC14:AE14" si="5">+AB14*1.02</f>
        <v>10646.799820422195</v>
      </c>
      <c r="AD14" s="1">
        <f t="shared" si="5"/>
        <v>10859.735816830638</v>
      </c>
      <c r="AE14" s="1">
        <f t="shared" si="5"/>
        <v>11076.930533167251</v>
      </c>
    </row>
    <row r="15" spans="2:31" s="1" customFormat="1" x14ac:dyDescent="0.25">
      <c r="B15" s="1" t="s">
        <v>38</v>
      </c>
      <c r="K15" s="1">
        <v>2446</v>
      </c>
      <c r="L15" s="1">
        <v>2864</v>
      </c>
      <c r="M15" s="1">
        <v>2818</v>
      </c>
      <c r="N15" s="1">
        <v>2700</v>
      </c>
      <c r="T15" s="1">
        <v>13156</v>
      </c>
      <c r="U15" s="1">
        <v>12375</v>
      </c>
      <c r="V15" s="1">
        <f>+SUM(K15:N15)</f>
        <v>10828</v>
      </c>
      <c r="W15" s="1">
        <f t="shared" ref="W15:AE15" si="6">+V15*0.95</f>
        <v>10286.6</v>
      </c>
      <c r="X15" s="1">
        <f t="shared" si="6"/>
        <v>9772.27</v>
      </c>
      <c r="Y15" s="1">
        <f t="shared" si="6"/>
        <v>9283.6564999999991</v>
      </c>
      <c r="Z15" s="1">
        <f t="shared" si="6"/>
        <v>8819.4736749999993</v>
      </c>
      <c r="AA15" s="1">
        <f t="shared" si="6"/>
        <v>8378.4999912499989</v>
      </c>
      <c r="AB15" s="1">
        <f t="shared" si="6"/>
        <v>7959.5749916874984</v>
      </c>
      <c r="AC15" s="1">
        <f t="shared" si="6"/>
        <v>7561.5962421031227</v>
      </c>
      <c r="AD15" s="1">
        <f t="shared" si="6"/>
        <v>7183.516429997966</v>
      </c>
      <c r="AE15" s="1">
        <f t="shared" si="6"/>
        <v>6824.340608498067</v>
      </c>
    </row>
    <row r="16" spans="2:31" s="1" customFormat="1" x14ac:dyDescent="0.25">
      <c r="B16" s="1" t="s">
        <v>39</v>
      </c>
      <c r="K16" s="1">
        <v>433</v>
      </c>
      <c r="L16" s="1">
        <v>532</v>
      </c>
      <c r="M16" s="1">
        <v>438</v>
      </c>
      <c r="N16" s="1">
        <v>450</v>
      </c>
      <c r="T16" s="1">
        <v>1831</v>
      </c>
      <c r="U16" s="1">
        <v>1839</v>
      </c>
      <c r="V16" s="1">
        <f>+SUM(K16:N16)</f>
        <v>1853</v>
      </c>
      <c r="W16" s="1">
        <f>+V16*1.15</f>
        <v>2130.9499999999998</v>
      </c>
      <c r="X16" s="1">
        <f>+W16*1.12</f>
        <v>2386.6640000000002</v>
      </c>
      <c r="Y16" s="1">
        <f>+X16*1.12</f>
        <v>2673.0636800000007</v>
      </c>
      <c r="Z16" s="1">
        <f>+Y16*1.1</f>
        <v>2940.3700480000011</v>
      </c>
      <c r="AA16" s="1">
        <f>+Z16*1.1</f>
        <v>3234.4070528000016</v>
      </c>
      <c r="AB16" s="1">
        <f>+AA16*1.1</f>
        <v>3557.8477580800022</v>
      </c>
      <c r="AC16" s="1">
        <f t="shared" ref="AC16:AE16" si="7">+AB16*1.1</f>
        <v>3913.6325338880029</v>
      </c>
      <c r="AD16" s="1">
        <f t="shared" si="7"/>
        <v>4304.9957872768036</v>
      </c>
      <c r="AE16" s="1">
        <f t="shared" si="7"/>
        <v>4735.4953660044848</v>
      </c>
    </row>
    <row r="17" spans="2:31" s="1" customFormat="1" x14ac:dyDescent="0.25">
      <c r="B17" s="1" t="s">
        <v>40</v>
      </c>
      <c r="K17" s="1">
        <f>-323+900</f>
        <v>577</v>
      </c>
      <c r="L17" s="1">
        <f>-349+931</f>
        <v>582</v>
      </c>
      <c r="M17" s="1">
        <f>-325+945</f>
        <v>620</v>
      </c>
      <c r="N17" s="1">
        <v>650</v>
      </c>
      <c r="T17" s="1">
        <v>4101</v>
      </c>
      <c r="U17" s="1">
        <v>3167</v>
      </c>
      <c r="V17" s="1">
        <f>+SUM(K17:N17)</f>
        <v>2429</v>
      </c>
      <c r="W17" s="1">
        <f t="shared" ref="W17:AB17" si="8">+V17*0.95</f>
        <v>2307.5499999999997</v>
      </c>
      <c r="X17" s="1">
        <f t="shared" si="8"/>
        <v>2192.1724999999997</v>
      </c>
      <c r="Y17" s="1">
        <f t="shared" si="8"/>
        <v>2082.5638749999994</v>
      </c>
      <c r="Z17" s="1">
        <f t="shared" si="8"/>
        <v>1978.4356812499993</v>
      </c>
      <c r="AA17" s="1">
        <f t="shared" si="8"/>
        <v>1879.5138971874992</v>
      </c>
      <c r="AB17" s="1">
        <f t="shared" si="8"/>
        <v>1785.538202328124</v>
      </c>
      <c r="AC17" s="1">
        <f t="shared" ref="AC17" si="9">+AB17*0.95</f>
        <v>1696.2612922117178</v>
      </c>
      <c r="AD17" s="1">
        <f t="shared" ref="AD17:AE17" si="10">+AC17*0.95</f>
        <v>1611.4482276011317</v>
      </c>
      <c r="AE17" s="1">
        <f t="shared" si="10"/>
        <v>1530.8758162210752</v>
      </c>
    </row>
    <row r="18" spans="2:31" s="1" customFormat="1" x14ac:dyDescent="0.25"/>
    <row r="19" spans="2:31" s="1" customFormat="1" x14ac:dyDescent="0.25">
      <c r="B19" s="3" t="s">
        <v>66</v>
      </c>
    </row>
    <row r="20" spans="2:31" s="1" customFormat="1" x14ac:dyDescent="0.25">
      <c r="B20" s="1" t="s">
        <v>35</v>
      </c>
      <c r="T20" s="1">
        <v>13561</v>
      </c>
      <c r="U20" s="1">
        <v>11523</v>
      </c>
      <c r="V20" s="1">
        <f>+V12*0.85</f>
        <v>10555.3</v>
      </c>
      <c r="W20" s="1">
        <f t="shared" ref="W20:AE20" si="11">+W12*0.85</f>
        <v>10027.534999999998</v>
      </c>
      <c r="X20" s="1">
        <f t="shared" si="11"/>
        <v>9526.1582499999986</v>
      </c>
      <c r="Y20" s="1">
        <f t="shared" si="11"/>
        <v>9049.8503374999982</v>
      </c>
      <c r="Z20" s="1">
        <f t="shared" si="11"/>
        <v>8597.3578206249986</v>
      </c>
      <c r="AA20" s="1">
        <f t="shared" si="11"/>
        <v>8167.4899295937485</v>
      </c>
      <c r="AB20" s="1">
        <f t="shared" si="11"/>
        <v>7759.1154331140606</v>
      </c>
      <c r="AC20" s="1">
        <f t="shared" si="11"/>
        <v>7371.1596614583568</v>
      </c>
      <c r="AD20" s="1">
        <f t="shared" si="11"/>
        <v>7002.6016783854393</v>
      </c>
      <c r="AE20" s="1">
        <f t="shared" si="11"/>
        <v>6652.4715944661666</v>
      </c>
    </row>
    <row r="21" spans="2:31" s="1" customFormat="1" x14ac:dyDescent="0.25">
      <c r="B21" s="1" t="s">
        <v>36</v>
      </c>
      <c r="T21" s="1">
        <f>580+1030</f>
        <v>1610</v>
      </c>
      <c r="U21" s="1">
        <f>545+1061</f>
        <v>1606</v>
      </c>
      <c r="V21" s="1">
        <f>+V13*(1-0.42)</f>
        <v>1577.3274000000004</v>
      </c>
      <c r="W21" s="1">
        <f t="shared" ref="W21:AE21" si="12">+W13*(1-0.42)</f>
        <v>1561.5541260000005</v>
      </c>
      <c r="X21" s="1">
        <f t="shared" si="12"/>
        <v>1545.9385847400004</v>
      </c>
      <c r="Y21" s="1">
        <f t="shared" si="12"/>
        <v>1530.4791988926004</v>
      </c>
      <c r="Z21" s="1">
        <f t="shared" si="12"/>
        <v>1515.1744069036745</v>
      </c>
      <c r="AA21" s="1">
        <f t="shared" si="12"/>
        <v>1500.0226628346379</v>
      </c>
      <c r="AB21" s="1">
        <f t="shared" si="12"/>
        <v>1485.0224362062913</v>
      </c>
      <c r="AC21" s="1">
        <f t="shared" si="12"/>
        <v>1470.1722118442283</v>
      </c>
      <c r="AD21" s="1">
        <f t="shared" si="12"/>
        <v>1455.4704897257859</v>
      </c>
      <c r="AE21" s="1">
        <f t="shared" si="12"/>
        <v>1440.9157848285279</v>
      </c>
    </row>
    <row r="22" spans="2:31" s="1" customFormat="1" x14ac:dyDescent="0.25">
      <c r="B22" s="1" t="s">
        <v>37</v>
      </c>
      <c r="T22" s="1">
        <v>2887</v>
      </c>
      <c r="U22" s="1">
        <v>3311</v>
      </c>
      <c r="V22" s="1">
        <f>+V14*0.6</f>
        <v>4589.3999999999996</v>
      </c>
      <c r="W22" s="1">
        <f t="shared" ref="W22:AE22" si="13">+W14*0.6</f>
        <v>4956.5519999999997</v>
      </c>
      <c r="X22" s="1">
        <f t="shared" si="13"/>
        <v>5253.9451200000003</v>
      </c>
      <c r="Y22" s="1">
        <f t="shared" si="13"/>
        <v>5569.181827200001</v>
      </c>
      <c r="Z22" s="1">
        <f t="shared" si="13"/>
        <v>5847.6409185600014</v>
      </c>
      <c r="AA22" s="1">
        <f t="shared" si="13"/>
        <v>6140.0229644880019</v>
      </c>
      <c r="AB22" s="1">
        <f t="shared" si="13"/>
        <v>6262.8234237777615</v>
      </c>
      <c r="AC22" s="1">
        <f t="shared" si="13"/>
        <v>6388.0798922533168</v>
      </c>
      <c r="AD22" s="1">
        <f t="shared" si="13"/>
        <v>6515.8414900983826</v>
      </c>
      <c r="AE22" s="1">
        <f t="shared" si="13"/>
        <v>6646.1583199003508</v>
      </c>
    </row>
    <row r="23" spans="2:31" s="1" customFormat="1" x14ac:dyDescent="0.25">
      <c r="B23" s="1" t="s">
        <v>38</v>
      </c>
      <c r="T23" s="1">
        <v>8873</v>
      </c>
      <c r="U23" s="1">
        <v>8824</v>
      </c>
      <c r="V23" s="1">
        <f>+V15*0.72</f>
        <v>7796.16</v>
      </c>
      <c r="W23" s="1">
        <f t="shared" ref="W23:AE23" si="14">+W15*0.72</f>
        <v>7406.3519999999999</v>
      </c>
      <c r="X23" s="1">
        <f t="shared" si="14"/>
        <v>7036.0344000000005</v>
      </c>
      <c r="Y23" s="1">
        <f t="shared" si="14"/>
        <v>6684.2326799999992</v>
      </c>
      <c r="Z23" s="1">
        <f t="shared" si="14"/>
        <v>6350.0210459999989</v>
      </c>
      <c r="AA23" s="1">
        <f t="shared" si="14"/>
        <v>6032.5199936999988</v>
      </c>
      <c r="AB23" s="1">
        <f t="shared" si="14"/>
        <v>5730.8939940149985</v>
      </c>
      <c r="AC23" s="1">
        <f t="shared" si="14"/>
        <v>5444.3492943142483</v>
      </c>
      <c r="AD23" s="1">
        <f t="shared" si="14"/>
        <v>5172.1318295985357</v>
      </c>
      <c r="AE23" s="1">
        <f t="shared" si="14"/>
        <v>4913.5252381186083</v>
      </c>
    </row>
    <row r="24" spans="2:31" s="1" customFormat="1" x14ac:dyDescent="0.25">
      <c r="B24" s="1" t="s">
        <v>39</v>
      </c>
      <c r="T24" s="1">
        <v>900</v>
      </c>
      <c r="U24" s="1">
        <v>597</v>
      </c>
      <c r="V24" s="1">
        <f>+V16*0.3</f>
        <v>555.9</v>
      </c>
      <c r="W24" s="1">
        <f t="shared" ref="W24:AE24" si="15">+W16*0.3</f>
        <v>639.28499999999997</v>
      </c>
      <c r="X24" s="1">
        <f t="shared" si="15"/>
        <v>715.99920000000009</v>
      </c>
      <c r="Y24" s="1">
        <f t="shared" si="15"/>
        <v>801.91910400000017</v>
      </c>
      <c r="Z24" s="1">
        <f t="shared" si="15"/>
        <v>882.11101440000027</v>
      </c>
      <c r="AA24" s="1">
        <f t="shared" si="15"/>
        <v>970.32211584000038</v>
      </c>
      <c r="AB24" s="1">
        <f t="shared" si="15"/>
        <v>1067.3543274240005</v>
      </c>
      <c r="AC24" s="1">
        <f t="shared" si="15"/>
        <v>1174.0897601664008</v>
      </c>
      <c r="AD24" s="1">
        <f t="shared" si="15"/>
        <v>1291.498736183041</v>
      </c>
      <c r="AE24" s="1">
        <f t="shared" si="15"/>
        <v>1420.6486098013454</v>
      </c>
    </row>
    <row r="25" spans="2:31" s="1" customFormat="1" x14ac:dyDescent="0.25">
      <c r="B25" s="1" t="s">
        <v>40</v>
      </c>
      <c r="T25" s="1">
        <v>2788</v>
      </c>
      <c r="U25" s="1">
        <v>2063</v>
      </c>
      <c r="V25" s="1">
        <f>+V17*(1-0.35)</f>
        <v>1578.8500000000001</v>
      </c>
      <c r="W25" s="1">
        <f t="shared" ref="W25:AE25" si="16">+W17*(1-0.35)</f>
        <v>1499.9074999999998</v>
      </c>
      <c r="X25" s="1">
        <f t="shared" si="16"/>
        <v>1424.9121249999998</v>
      </c>
      <c r="Y25" s="1">
        <f t="shared" si="16"/>
        <v>1353.6665187499996</v>
      </c>
      <c r="Z25" s="1">
        <f t="shared" si="16"/>
        <v>1285.9831928124995</v>
      </c>
      <c r="AA25" s="1">
        <f t="shared" si="16"/>
        <v>1221.6840331718745</v>
      </c>
      <c r="AB25" s="1">
        <f t="shared" si="16"/>
        <v>1160.5998315132806</v>
      </c>
      <c r="AC25" s="1">
        <f t="shared" si="16"/>
        <v>1102.5698399376165</v>
      </c>
      <c r="AD25" s="1">
        <f t="shared" si="16"/>
        <v>1047.4413479407356</v>
      </c>
      <c r="AE25" s="1">
        <f t="shared" si="16"/>
        <v>995.06928054369894</v>
      </c>
    </row>
    <row r="26" spans="2:31" s="1" customFormat="1" x14ac:dyDescent="0.25">
      <c r="B26" s="1" t="s">
        <v>68</v>
      </c>
      <c r="T26" s="1">
        <f>+T54-SUM(T20:T25)</f>
        <v>4860</v>
      </c>
      <c r="U26" s="1">
        <f>+U54-SUM(U20:U25)</f>
        <v>6954</v>
      </c>
      <c r="V26" s="1">
        <v>7500</v>
      </c>
      <c r="W26" s="1">
        <v>7500</v>
      </c>
      <c r="X26" s="1">
        <v>7500</v>
      </c>
      <c r="Y26" s="1">
        <v>7500</v>
      </c>
      <c r="Z26" s="1">
        <v>7500</v>
      </c>
      <c r="AA26" s="1">
        <v>7500</v>
      </c>
      <c r="AB26" s="1">
        <v>7500</v>
      </c>
      <c r="AC26" s="1">
        <v>7500</v>
      </c>
      <c r="AD26" s="1">
        <v>7500</v>
      </c>
      <c r="AE26" s="1">
        <v>7500</v>
      </c>
    </row>
    <row r="27" spans="2:31" s="1" customFormat="1" x14ac:dyDescent="0.25"/>
    <row r="28" spans="2:31" s="1" customFormat="1" x14ac:dyDescent="0.25">
      <c r="B28" s="1" t="s">
        <v>26</v>
      </c>
    </row>
    <row r="29" spans="2:31" s="1" customFormat="1" x14ac:dyDescent="0.25">
      <c r="B29" s="1" t="s">
        <v>35</v>
      </c>
      <c r="T29" s="9">
        <f>+(T12-T20)/T12</f>
        <v>0.17532230600827051</v>
      </c>
      <c r="U29" s="9">
        <f>+(U12-U20)/U12</f>
        <v>0.1535297142437376</v>
      </c>
      <c r="V29" s="9">
        <f>+(V12-V20)/V12</f>
        <v>0.15000000000000005</v>
      </c>
    </row>
    <row r="30" spans="2:31" s="1" customFormat="1" x14ac:dyDescent="0.25">
      <c r="B30" s="1" t="s">
        <v>36</v>
      </c>
      <c r="T30" s="9">
        <f>+(T13-T21)/T13</f>
        <v>0.41793203181489513</v>
      </c>
      <c r="U30" s="9">
        <f>+(U13-U21)/U13</f>
        <v>0.41536221332362577</v>
      </c>
      <c r="V30" s="9">
        <f>+(V13-V21)/V13</f>
        <v>0.41999999999999993</v>
      </c>
    </row>
    <row r="31" spans="2:31" s="1" customFormat="1" x14ac:dyDescent="0.25">
      <c r="B31" s="1" t="s">
        <v>37</v>
      </c>
      <c r="T31" s="9">
        <f>+(T14-T22)/T14</f>
        <v>0.4016580310880829</v>
      </c>
      <c r="U31" s="9">
        <f>+(U14-U22)/U14</f>
        <v>0.39569264464318304</v>
      </c>
      <c r="V31" s="9">
        <f>+(V14-V22)/V14</f>
        <v>0.4</v>
      </c>
    </row>
    <row r="32" spans="2:31" s="1" customFormat="1" x14ac:dyDescent="0.25">
      <c r="B32" s="1" t="s">
        <v>38</v>
      </c>
      <c r="T32" s="9">
        <f>+(T15-T23)/T15</f>
        <v>0.32555487990270598</v>
      </c>
      <c r="U32" s="9">
        <f>+(U15-U23)/U15</f>
        <v>0.28694949494949495</v>
      </c>
      <c r="V32" s="9">
        <f>+(V15-V23)/V15</f>
        <v>0.28000000000000003</v>
      </c>
    </row>
    <row r="33" spans="2:31" s="1" customFormat="1" x14ac:dyDescent="0.25">
      <c r="B33" s="1" t="s">
        <v>39</v>
      </c>
      <c r="T33" s="9">
        <f>+(T16-T24)/T16</f>
        <v>0.50846531949754237</v>
      </c>
      <c r="U33" s="9">
        <f>+(U16-U24)/U16</f>
        <v>0.67536704730831976</v>
      </c>
      <c r="V33" s="9">
        <f>+(V16-V24)/V16</f>
        <v>0.7</v>
      </c>
    </row>
    <row r="34" spans="2:31" s="1" customFormat="1" x14ac:dyDescent="0.25">
      <c r="B34" s="1" t="s">
        <v>40</v>
      </c>
      <c r="T34" s="9">
        <f>+(T17-T25)/T17</f>
        <v>0.32016581321628873</v>
      </c>
      <c r="U34" s="9">
        <f>+(U17-U25)/U17</f>
        <v>0.34859488474897377</v>
      </c>
      <c r="V34" s="9">
        <f>+(V17-V25)/V17</f>
        <v>0.34999999999999992</v>
      </c>
    </row>
    <row r="35" spans="2:31" s="1" customFormat="1" x14ac:dyDescent="0.25">
      <c r="U35" s="8"/>
      <c r="V35" s="6"/>
    </row>
    <row r="36" spans="2:31" s="1" customFormat="1" x14ac:dyDescent="0.25">
      <c r="B36" s="3" t="s">
        <v>67</v>
      </c>
      <c r="T36" s="1">
        <f>+SUM(T37:T42)</f>
        <v>94338</v>
      </c>
      <c r="U36" s="1">
        <f>+SUM(U37:U42)</f>
        <v>97713</v>
      </c>
    </row>
    <row r="37" spans="2:31" s="1" customFormat="1" x14ac:dyDescent="0.25">
      <c r="B37" s="1" t="s">
        <v>35</v>
      </c>
      <c r="T37" s="1">
        <v>15914</v>
      </c>
      <c r="U37" s="1">
        <v>16329</v>
      </c>
      <c r="V37" s="4">
        <f>+T37/T36</f>
        <v>0.16869130149038564</v>
      </c>
      <c r="W37" s="4">
        <f>+U37/U36</f>
        <v>0.16711184796291179</v>
      </c>
    </row>
    <row r="38" spans="2:31" s="1" customFormat="1" x14ac:dyDescent="0.25">
      <c r="B38" s="1" t="s">
        <v>36</v>
      </c>
      <c r="T38" s="1">
        <f>6211+5808</f>
        <v>12019</v>
      </c>
      <c r="U38" s="1">
        <f>5996+5612</f>
        <v>11608</v>
      </c>
      <c r="V38" s="4">
        <f>+T38/T36</f>
        <v>0.12740359134177107</v>
      </c>
      <c r="W38" s="4">
        <f>+U38/U36</f>
        <v>0.11879688475433156</v>
      </c>
    </row>
    <row r="39" spans="2:31" s="1" customFormat="1" x14ac:dyDescent="0.25">
      <c r="B39" s="1" t="s">
        <v>37</v>
      </c>
      <c r="T39" s="1">
        <v>20266</v>
      </c>
      <c r="U39" s="1">
        <v>21563</v>
      </c>
      <c r="V39" s="4">
        <f>+T39/T36</f>
        <v>0.21482329496067332</v>
      </c>
      <c r="W39" s="4">
        <f>+U39/U36</f>
        <v>0.22067688025134832</v>
      </c>
    </row>
    <row r="40" spans="2:31" s="1" customFormat="1" x14ac:dyDescent="0.25">
      <c r="B40" s="1" t="s">
        <v>38</v>
      </c>
      <c r="T40" s="1">
        <v>26304</v>
      </c>
      <c r="U40" s="1">
        <v>26822</v>
      </c>
      <c r="V40" s="4">
        <f>+T40/T36</f>
        <v>0.27882719582776821</v>
      </c>
      <c r="W40" s="4">
        <f>+U40/U36</f>
        <v>0.274497763859466</v>
      </c>
    </row>
    <row r="41" spans="2:31" s="1" customFormat="1" x14ac:dyDescent="0.25">
      <c r="B41" s="1" t="s">
        <v>39</v>
      </c>
      <c r="T41" s="1">
        <v>6943</v>
      </c>
      <c r="U41" s="1">
        <v>7772</v>
      </c>
      <c r="V41" s="4">
        <f>+T41/T36</f>
        <v>7.3597065869532963E-2</v>
      </c>
      <c r="W41" s="4">
        <f>+U41/U36</f>
        <v>7.953905826246252E-2</v>
      </c>
    </row>
    <row r="42" spans="2:31" s="1" customFormat="1" x14ac:dyDescent="0.25">
      <c r="B42" s="1" t="s">
        <v>40</v>
      </c>
      <c r="T42" s="1">
        <v>12892</v>
      </c>
      <c r="U42" s="1">
        <v>13619</v>
      </c>
      <c r="V42" s="4">
        <f>+T42/T36</f>
        <v>0.13665755050986877</v>
      </c>
      <c r="W42" s="4">
        <f>+U42/U36</f>
        <v>0.13937756490947981</v>
      </c>
    </row>
    <row r="43" spans="2:31" s="1" customFormat="1" x14ac:dyDescent="0.25"/>
    <row r="44" spans="2:31" s="1" customFormat="1" x14ac:dyDescent="0.25">
      <c r="B44" s="1" t="s">
        <v>64</v>
      </c>
      <c r="T44" s="1">
        <f>+SUM(T45:T51)</f>
        <v>1895</v>
      </c>
      <c r="U44" s="1">
        <f>+SUM(U45:U50)</f>
        <v>-1216</v>
      </c>
    </row>
    <row r="45" spans="2:31" s="1" customFormat="1" x14ac:dyDescent="0.25">
      <c r="B45" s="1" t="s">
        <v>35</v>
      </c>
      <c r="G45" s="1">
        <v>20</v>
      </c>
      <c r="K45" s="1">
        <v>-13</v>
      </c>
      <c r="L45" s="1">
        <v>4</v>
      </c>
      <c r="M45" s="1">
        <v>17</v>
      </c>
      <c r="N45" s="1">
        <v>20</v>
      </c>
      <c r="P45" s="6">
        <f>+T45/T12</f>
        <v>5.898808075893943E-2</v>
      </c>
      <c r="Q45" s="6"/>
      <c r="R45" s="6"/>
      <c r="T45" s="1">
        <v>970</v>
      </c>
      <c r="U45" s="1">
        <v>204</v>
      </c>
      <c r="V45" s="1">
        <f>+SUM(K45:N45)</f>
        <v>28</v>
      </c>
      <c r="W45" s="1">
        <f>+W12*0.005</f>
        <v>58.985499999999995</v>
      </c>
      <c r="X45" s="1">
        <f>+X12*0.01</f>
        <v>112.07244999999999</v>
      </c>
      <c r="Y45" s="1">
        <f>+Y12*0.015</f>
        <v>159.70324124999999</v>
      </c>
      <c r="Z45" s="1">
        <f>+Z12*0.02</f>
        <v>202.29077224999997</v>
      </c>
      <c r="AA45" s="1">
        <f>+AA12*0.02</f>
        <v>192.17623363749999</v>
      </c>
      <c r="AB45" s="1">
        <f>+AB12*0.02</f>
        <v>182.56742195562495</v>
      </c>
      <c r="AC45" s="1">
        <f>+AC12*0.02</f>
        <v>173.43905085784368</v>
      </c>
      <c r="AD45" s="1">
        <f>+AD12*0.02</f>
        <v>164.76709831495151</v>
      </c>
      <c r="AE45" s="1">
        <f>+AE12*0.02</f>
        <v>156.52874339920393</v>
      </c>
    </row>
    <row r="46" spans="2:31" s="1" customFormat="1" x14ac:dyDescent="0.25">
      <c r="B46" s="1" t="s">
        <v>36</v>
      </c>
      <c r="G46" s="1">
        <v>38</v>
      </c>
      <c r="P46" s="6">
        <f>+T46/T13</f>
        <v>9.038322487346348E-2</v>
      </c>
      <c r="Q46" s="6"/>
      <c r="R46" s="6"/>
      <c r="T46" s="1">
        <f>120+130</f>
        <v>250</v>
      </c>
      <c r="U46" s="1">
        <f>106+102</f>
        <v>208</v>
      </c>
      <c r="V46" s="1">
        <f>+V13*0.07</f>
        <v>190.36710000000002</v>
      </c>
      <c r="W46" s="1">
        <f>+W13*0.07</f>
        <v>188.46342900000005</v>
      </c>
      <c r="X46" s="1">
        <f>+X13*0.07</f>
        <v>186.57879471000004</v>
      </c>
      <c r="Y46" s="1">
        <f>+Y13*0.07</f>
        <v>184.71300676290005</v>
      </c>
      <c r="Z46" s="1">
        <f>+Z13*0.07</f>
        <v>182.86587669527106</v>
      </c>
      <c r="AA46" s="1">
        <f>+AA13*0.07</f>
        <v>181.03721792831837</v>
      </c>
      <c r="AB46" s="1">
        <f>+AB13*0.07</f>
        <v>179.22684574903516</v>
      </c>
      <c r="AC46" s="1">
        <f>+AC13*0.07</f>
        <v>177.4345772915448</v>
      </c>
      <c r="AD46" s="1">
        <f>+AD13*0.07</f>
        <v>175.66023151862933</v>
      </c>
      <c r="AE46" s="1">
        <f>+AE13*0.07</f>
        <v>173.90362920344302</v>
      </c>
    </row>
    <row r="47" spans="2:31" s="1" customFormat="1" x14ac:dyDescent="0.25">
      <c r="B47" s="1" t="s">
        <v>37</v>
      </c>
      <c r="G47" s="1">
        <v>43</v>
      </c>
      <c r="K47" s="1">
        <v>42</v>
      </c>
      <c r="L47" s="1">
        <v>38</v>
      </c>
      <c r="M47" s="1">
        <v>83</v>
      </c>
      <c r="N47" s="1">
        <v>90</v>
      </c>
      <c r="O47" s="6"/>
      <c r="P47" s="6">
        <f>+T47/T14</f>
        <v>1.0984455958549223E-2</v>
      </c>
      <c r="Q47" s="6"/>
      <c r="R47" s="6"/>
      <c r="T47" s="1">
        <v>53</v>
      </c>
      <c r="U47" s="1">
        <v>146</v>
      </c>
      <c r="V47" s="1">
        <f>+SUM(K47:N47)</f>
        <v>253</v>
      </c>
      <c r="W47" s="1">
        <f>+W14*0.033</f>
        <v>272.61036000000001</v>
      </c>
      <c r="X47" s="1">
        <f>+X14*0.033</f>
        <v>288.96698160000005</v>
      </c>
      <c r="Y47" s="1">
        <f>+Y14*0.035</f>
        <v>324.86893992000012</v>
      </c>
      <c r="Z47" s="1">
        <f>+Z14*0.035</f>
        <v>341.11238691600016</v>
      </c>
      <c r="AA47" s="1">
        <f>+AA14*0.035</f>
        <v>358.16800626180014</v>
      </c>
      <c r="AB47" s="1">
        <f>+AB14*0.035</f>
        <v>365.3313663870361</v>
      </c>
      <c r="AC47" s="1">
        <f>+AC14*0.035</f>
        <v>372.63799371477688</v>
      </c>
      <c r="AD47" s="1">
        <f>+AD14*0.035</f>
        <v>380.09075358907239</v>
      </c>
      <c r="AE47" s="1">
        <f>+AE14*0.035</f>
        <v>387.69256866085385</v>
      </c>
    </row>
    <row r="48" spans="2:31" s="1" customFormat="1" x14ac:dyDescent="0.25">
      <c r="B48" s="1" t="s">
        <v>38</v>
      </c>
      <c r="G48" s="1">
        <v>177</v>
      </c>
      <c r="K48" s="1">
        <v>-143</v>
      </c>
      <c r="L48" s="1">
        <v>11</v>
      </c>
      <c r="M48" s="1">
        <v>117</v>
      </c>
      <c r="N48" s="1">
        <v>0</v>
      </c>
      <c r="P48" s="6">
        <f>+T48/T15</f>
        <v>6.7421708726056559E-2</v>
      </c>
      <c r="Q48" s="6"/>
      <c r="R48" s="6"/>
      <c r="T48" s="1">
        <v>887</v>
      </c>
      <c r="U48" s="1">
        <v>-1694</v>
      </c>
      <c r="V48" s="1">
        <f>+SUM(K48:N48)</f>
        <v>-15</v>
      </c>
      <c r="W48" s="1">
        <f>-W15*0.0025</f>
        <v>-25.7165</v>
      </c>
      <c r="X48" s="1">
        <f>-X15*0.0025</f>
        <v>-24.430675000000001</v>
      </c>
      <c r="Y48" s="1">
        <f>-Y15*0.0025</f>
        <v>-23.209141249999998</v>
      </c>
      <c r="Z48" s="1">
        <f>-Z15*0.0025</f>
        <v>-22.048684187499997</v>
      </c>
      <c r="AA48" s="1">
        <f>-AA15*0.0025</f>
        <v>-20.946249978124996</v>
      </c>
      <c r="AB48" s="1">
        <f>-AB15*0.0025</f>
        <v>-19.898937479218745</v>
      </c>
      <c r="AC48" s="1">
        <f>-AC15*0.0025</f>
        <v>-18.903990605257807</v>
      </c>
      <c r="AD48" s="1">
        <f>-AD15*0.0025</f>
        <v>-17.958791074994917</v>
      </c>
      <c r="AE48" s="1">
        <f>-AE15*0.0025</f>
        <v>-17.060851521245169</v>
      </c>
    </row>
    <row r="49" spans="2:31" s="1" customFormat="1" x14ac:dyDescent="0.25">
      <c r="B49" s="1" t="s">
        <v>39</v>
      </c>
      <c r="G49" s="1">
        <v>20</v>
      </c>
      <c r="K49" s="1">
        <v>18</v>
      </c>
      <c r="L49" s="1">
        <v>26</v>
      </c>
      <c r="M49" s="1">
        <v>30</v>
      </c>
      <c r="N49" s="1">
        <v>35</v>
      </c>
      <c r="P49" s="6">
        <f>+T49/T16</f>
        <v>1.7476788640087382E-2</v>
      </c>
      <c r="Q49" s="6"/>
      <c r="R49" s="6"/>
      <c r="T49" s="1">
        <v>32</v>
      </c>
      <c r="U49" s="1">
        <v>80</v>
      </c>
      <c r="V49" s="1">
        <f>+SUM(K49:N49)</f>
        <v>109</v>
      </c>
      <c r="W49" s="1">
        <f>+W16*0.05</f>
        <v>106.5475</v>
      </c>
      <c r="X49" s="1">
        <f>+X16*0.05</f>
        <v>119.33320000000002</v>
      </c>
      <c r="Y49" s="1">
        <f>+Y16*0.05</f>
        <v>133.65318400000004</v>
      </c>
      <c r="Z49" s="1">
        <f>+Z16*0.05</f>
        <v>147.01850240000007</v>
      </c>
      <c r="AA49" s="1">
        <f>+AA16*0.05</f>
        <v>161.7203526400001</v>
      </c>
      <c r="AB49" s="1">
        <f>+AB16*0.05</f>
        <v>177.89238790400012</v>
      </c>
      <c r="AC49" s="1">
        <f>+AC16*0.05</f>
        <v>195.68162669440017</v>
      </c>
      <c r="AD49" s="1">
        <f>+AD16*0.05</f>
        <v>215.24978936384019</v>
      </c>
      <c r="AE49" s="1">
        <f>+AE16*0.05</f>
        <v>236.77476830022425</v>
      </c>
    </row>
    <row r="50" spans="2:31" s="1" customFormat="1" x14ac:dyDescent="0.25">
      <c r="B50" s="1" t="s">
        <v>40</v>
      </c>
      <c r="G50" s="1">
        <v>-17</v>
      </c>
      <c r="K50" s="1">
        <f>-25-3</f>
        <v>-28</v>
      </c>
      <c r="L50" s="1">
        <f>-6-3</f>
        <v>-9</v>
      </c>
      <c r="M50" s="1">
        <f>-11-91</f>
        <v>-102</v>
      </c>
      <c r="N50" s="1">
        <v>-20</v>
      </c>
      <c r="P50" s="6">
        <f>+T50/T17</f>
        <v>-3.4869544013655204E-2</v>
      </c>
      <c r="Q50" s="6"/>
      <c r="R50" s="6"/>
      <c r="T50" s="1">
        <v>-143</v>
      </c>
      <c r="U50" s="1">
        <v>-160</v>
      </c>
      <c r="V50" s="1">
        <f>+SUM(K50:N50)</f>
        <v>-159</v>
      </c>
      <c r="W50" s="1">
        <f>-W17*0.05</f>
        <v>-115.3775</v>
      </c>
      <c r="X50" s="1">
        <f>-X17*0.05</f>
        <v>-109.60862499999999</v>
      </c>
      <c r="Y50" s="1">
        <f>-Y17*0.05</f>
        <v>-104.12819374999998</v>
      </c>
      <c r="Z50" s="1">
        <f>-Z17*0.05</f>
        <v>-98.921784062499967</v>
      </c>
      <c r="AA50" s="1">
        <f>-AA17*0.05</f>
        <v>-93.975694859374968</v>
      </c>
      <c r="AB50" s="1">
        <f>-AB17*0.05</f>
        <v>-89.276910116406214</v>
      </c>
      <c r="AC50" s="1">
        <f>-AC17*0.05</f>
        <v>-84.813064610585897</v>
      </c>
      <c r="AD50" s="1">
        <f>-AD17*0.05</f>
        <v>-80.572411380056593</v>
      </c>
      <c r="AE50" s="1">
        <f>-AE17*0.05</f>
        <v>-76.543790811053768</v>
      </c>
    </row>
    <row r="51" spans="2:31" s="1" customFormat="1" x14ac:dyDescent="0.25">
      <c r="B51" s="1" t="s">
        <v>56</v>
      </c>
      <c r="K51" s="1">
        <f>-103-L51</f>
        <v>-61</v>
      </c>
      <c r="L51" s="1">
        <v>-42</v>
      </c>
      <c r="M51" s="1">
        <v>-62</v>
      </c>
      <c r="N51" s="1">
        <v>-42</v>
      </c>
      <c r="T51" s="1">
        <v>-154</v>
      </c>
      <c r="U51" s="1">
        <v>-169</v>
      </c>
      <c r="V51" s="1">
        <f>+SUM(K51:N51)</f>
        <v>-207</v>
      </c>
      <c r="W51" s="1">
        <f t="shared" ref="W51:X51" si="17">+V51*1.04</f>
        <v>-215.28</v>
      </c>
      <c r="X51" s="1">
        <f t="shared" si="17"/>
        <v>-223.8912</v>
      </c>
      <c r="Y51" s="1">
        <f>+X51*1.03</f>
        <v>-230.607936</v>
      </c>
      <c r="Z51" s="1">
        <f t="shared" ref="Z51:AE51" si="18">+Y51*1.03</f>
        <v>-237.52617408</v>
      </c>
      <c r="AA51" s="1">
        <f t="shared" si="18"/>
        <v>-244.6519593024</v>
      </c>
      <c r="AB51" s="1">
        <f t="shared" si="18"/>
        <v>-251.99151808147201</v>
      </c>
      <c r="AC51" s="1">
        <f t="shared" si="18"/>
        <v>-259.55126362391616</v>
      </c>
      <c r="AD51" s="1">
        <f t="shared" si="18"/>
        <v>-267.33780153263365</v>
      </c>
      <c r="AE51" s="1">
        <f t="shared" si="18"/>
        <v>-275.35793557861268</v>
      </c>
    </row>
    <row r="52" spans="2:31" s="1" customFormat="1" x14ac:dyDescent="0.25">
      <c r="S52" s="6"/>
      <c r="T52" s="6"/>
      <c r="U52" s="6"/>
    </row>
    <row r="53" spans="2:31" s="3" customFormat="1" x14ac:dyDescent="0.25">
      <c r="B53" s="3" t="s">
        <v>0</v>
      </c>
      <c r="G53" s="3">
        <f>19125-H53</f>
        <v>9016</v>
      </c>
      <c r="H53" s="3">
        <v>10109</v>
      </c>
      <c r="K53" s="3">
        <v>8181</v>
      </c>
      <c r="L53" s="3">
        <v>9064</v>
      </c>
      <c r="M53" s="3">
        <v>8986</v>
      </c>
      <c r="S53" s="3">
        <v>34015</v>
      </c>
      <c r="T53" s="3">
        <v>41140</v>
      </c>
      <c r="U53" s="3">
        <v>37536</v>
      </c>
      <c r="V53" s="3">
        <f>+SUM(V12:V17)</f>
        <v>37896.53</v>
      </c>
      <c r="W53" s="3">
        <f>+SUM(W12:W17)</f>
        <v>37475.454699999995</v>
      </c>
      <c r="X53" s="3">
        <f>+SUM(X12:X17)</f>
        <v>36980.338052999999</v>
      </c>
      <c r="Y53" s="3">
        <f>+SUM(Y12:Y17)</f>
        <v>36606.893756469995</v>
      </c>
      <c r="Z53" s="3">
        <f>+SUM(Z12:Z17)</f>
        <v>36211.255881425306</v>
      </c>
      <c r="AA53" s="3">
        <f>+SUM(AA12:AA17)</f>
        <v>35920.850200997047</v>
      </c>
      <c r="AB53" s="3">
        <f>+SUM(AB12:AB17)</f>
        <v>35429.754600206979</v>
      </c>
      <c r="AC53" s="3">
        <f>+SUM(AC12:AC17)</f>
        <v>35025.022107110723</v>
      </c>
      <c r="AD53" s="3">
        <f>+SUM(AD12:AD17)</f>
        <v>34707.483056291683</v>
      </c>
      <c r="AE53" s="3">
        <f>+SUM(AE12:AE17)</f>
        <v>34478.417053900259</v>
      </c>
    </row>
    <row r="54" spans="2:31" s="1" customFormat="1" x14ac:dyDescent="0.25">
      <c r="B54" s="1" t="s">
        <v>1</v>
      </c>
      <c r="G54" s="1">
        <f>17043-H54</f>
        <v>7850</v>
      </c>
      <c r="H54" s="1">
        <v>9193</v>
      </c>
      <c r="K54" s="1">
        <v>7383</v>
      </c>
      <c r="L54" s="1">
        <v>7931</v>
      </c>
      <c r="M54" s="1">
        <v>7828</v>
      </c>
      <c r="S54" s="1">
        <v>29659</v>
      </c>
      <c r="T54" s="1">
        <v>35479</v>
      </c>
      <c r="U54" s="1">
        <v>34878</v>
      </c>
      <c r="V54" s="1">
        <f>+SUM(V20:V26)</f>
        <v>34152.937399999995</v>
      </c>
      <c r="W54" s="1">
        <f t="shared" ref="W54:AE54" si="19">+SUM(W20:W26)</f>
        <v>33591.185625999999</v>
      </c>
      <c r="X54" s="1">
        <f t="shared" si="19"/>
        <v>33002.987679739992</v>
      </c>
      <c r="Y54" s="1">
        <f t="shared" si="19"/>
        <v>32489.329666342597</v>
      </c>
      <c r="Z54" s="1">
        <f t="shared" si="19"/>
        <v>31978.288399301171</v>
      </c>
      <c r="AA54" s="1">
        <f t="shared" si="19"/>
        <v>31532.061699628262</v>
      </c>
      <c r="AB54" s="1">
        <f t="shared" si="19"/>
        <v>30965.809446050393</v>
      </c>
      <c r="AC54" s="1">
        <f t="shared" si="19"/>
        <v>30450.420659974166</v>
      </c>
      <c r="AD54" s="1">
        <f t="shared" si="19"/>
        <v>29984.98557193192</v>
      </c>
      <c r="AE54" s="1">
        <f t="shared" si="19"/>
        <v>29568.788827658696</v>
      </c>
    </row>
    <row r="55" spans="2:31" s="1" customFormat="1" x14ac:dyDescent="0.25">
      <c r="B55" s="1" t="s">
        <v>2</v>
      </c>
      <c r="C55" s="1">
        <f>+C53-C54</f>
        <v>0</v>
      </c>
      <c r="D55" s="1">
        <f t="shared" ref="D55:J55" si="20">+D53-D54</f>
        <v>0</v>
      </c>
      <c r="E55" s="1">
        <f t="shared" si="20"/>
        <v>0</v>
      </c>
      <c r="F55" s="1">
        <f t="shared" si="20"/>
        <v>0</v>
      </c>
      <c r="G55" s="1">
        <f t="shared" si="20"/>
        <v>1166</v>
      </c>
      <c r="H55" s="1">
        <f t="shared" si="20"/>
        <v>916</v>
      </c>
      <c r="I55" s="1">
        <f t="shared" si="20"/>
        <v>0</v>
      </c>
      <c r="J55" s="1">
        <f t="shared" si="20"/>
        <v>0</v>
      </c>
      <c r="K55" s="1">
        <f t="shared" ref="K55:L55" si="21">+K53-K54</f>
        <v>798</v>
      </c>
      <c r="L55" s="1">
        <f t="shared" si="21"/>
        <v>1133</v>
      </c>
      <c r="M55" s="1">
        <f t="shared" ref="M55" si="22">+M53-M54</f>
        <v>1158</v>
      </c>
      <c r="S55" s="1">
        <f t="shared" ref="S55:AE55" si="23">+S53-S54</f>
        <v>4356</v>
      </c>
      <c r="T55" s="1">
        <f t="shared" si="23"/>
        <v>5661</v>
      </c>
      <c r="U55" s="1">
        <f t="shared" si="23"/>
        <v>2658</v>
      </c>
      <c r="V55" s="1">
        <f t="shared" si="23"/>
        <v>3743.5926000000036</v>
      </c>
      <c r="W55" s="1">
        <f t="shared" si="23"/>
        <v>3884.2690739999962</v>
      </c>
      <c r="X55" s="1">
        <f t="shared" si="23"/>
        <v>3977.3503732600075</v>
      </c>
      <c r="Y55" s="1">
        <f t="shared" si="23"/>
        <v>4117.5640901273982</v>
      </c>
      <c r="Z55" s="1">
        <f t="shared" si="23"/>
        <v>4232.9674821241351</v>
      </c>
      <c r="AA55" s="1">
        <f t="shared" si="23"/>
        <v>4388.7885013687846</v>
      </c>
      <c r="AB55" s="1">
        <f t="shared" si="23"/>
        <v>4463.9451541565868</v>
      </c>
      <c r="AC55" s="1">
        <f t="shared" si="23"/>
        <v>4574.6014471365561</v>
      </c>
      <c r="AD55" s="1">
        <f t="shared" si="23"/>
        <v>4722.4974843597629</v>
      </c>
      <c r="AE55" s="1">
        <f t="shared" si="23"/>
        <v>4909.6282262415625</v>
      </c>
    </row>
    <row r="56" spans="2:31" s="1" customFormat="1" x14ac:dyDescent="0.25">
      <c r="B56" s="1" t="s">
        <v>3</v>
      </c>
      <c r="G56" s="1">
        <f>115-H56</f>
        <v>54</v>
      </c>
      <c r="H56" s="1">
        <v>61</v>
      </c>
      <c r="K56" s="1">
        <v>55</v>
      </c>
      <c r="L56" s="1">
        <v>64</v>
      </c>
      <c r="M56" s="1">
        <v>62</v>
      </c>
      <c r="S56" s="1">
        <v>234</v>
      </c>
      <c r="T56" s="1">
        <v>246</v>
      </c>
      <c r="U56" s="1">
        <v>239</v>
      </c>
      <c r="V56" s="1">
        <f>+U56*1.02</f>
        <v>243.78</v>
      </c>
      <c r="W56" s="1">
        <f t="shared" ref="W56:AF56" si="24">+V56*1.02</f>
        <v>248.65559999999999</v>
      </c>
      <c r="X56" s="1">
        <f t="shared" si="24"/>
        <v>253.62871200000001</v>
      </c>
      <c r="Y56" s="1">
        <f t="shared" si="24"/>
        <v>258.70128624</v>
      </c>
      <c r="Z56" s="1">
        <f t="shared" si="24"/>
        <v>263.87531196480001</v>
      </c>
      <c r="AA56" s="1">
        <f t="shared" si="24"/>
        <v>269.15281820409604</v>
      </c>
      <c r="AB56" s="1">
        <f t="shared" si="24"/>
        <v>274.53587456817797</v>
      </c>
      <c r="AC56" s="1">
        <f t="shared" si="24"/>
        <v>280.02659205954154</v>
      </c>
      <c r="AD56" s="1">
        <f t="shared" si="24"/>
        <v>285.62712390073239</v>
      </c>
      <c r="AE56" s="1">
        <f t="shared" si="24"/>
        <v>291.33966637874704</v>
      </c>
    </row>
    <row r="57" spans="2:31" s="1" customFormat="1" x14ac:dyDescent="0.25">
      <c r="B57" s="1" t="s">
        <v>4</v>
      </c>
      <c r="G57" s="1">
        <f>1208-H57</f>
        <v>590</v>
      </c>
      <c r="H57" s="1">
        <v>618</v>
      </c>
      <c r="K57" s="1">
        <v>627</v>
      </c>
      <c r="L57" s="1">
        <v>677</v>
      </c>
      <c r="M57" s="1">
        <v>638</v>
      </c>
      <c r="S57" s="1">
        <v>2379</v>
      </c>
      <c r="T57" s="1">
        <v>2518</v>
      </c>
      <c r="U57" s="1">
        <v>2417</v>
      </c>
      <c r="V57" s="1">
        <f>+V53*0.06</f>
        <v>2273.7918</v>
      </c>
      <c r="W57" s="1">
        <f t="shared" ref="W57:AE57" si="25">+W53*0.06</f>
        <v>2248.5272819999996</v>
      </c>
      <c r="X57" s="1">
        <f t="shared" si="25"/>
        <v>2218.8202831799999</v>
      </c>
      <c r="Y57" s="1">
        <f t="shared" si="25"/>
        <v>2196.4136253881998</v>
      </c>
      <c r="Z57" s="1">
        <f t="shared" si="25"/>
        <v>2172.6753528855184</v>
      </c>
      <c r="AA57" s="1">
        <f t="shared" si="25"/>
        <v>2155.2510120598226</v>
      </c>
      <c r="AB57" s="1">
        <f t="shared" si="25"/>
        <v>2125.7852760124188</v>
      </c>
      <c r="AC57" s="1">
        <f t="shared" si="25"/>
        <v>2101.5013264266431</v>
      </c>
      <c r="AD57" s="1">
        <f t="shared" si="25"/>
        <v>2082.448983377501</v>
      </c>
      <c r="AE57" s="1">
        <f t="shared" si="25"/>
        <v>2068.7050232340152</v>
      </c>
    </row>
    <row r="58" spans="2:31" s="1" customFormat="1" x14ac:dyDescent="0.25">
      <c r="B58" s="1" t="s">
        <v>5</v>
      </c>
      <c r="G58" s="1">
        <f>774-H58</f>
        <v>350</v>
      </c>
      <c r="H58" s="1">
        <v>424</v>
      </c>
      <c r="K58" s="1">
        <v>397</v>
      </c>
      <c r="L58" s="1">
        <v>396</v>
      </c>
      <c r="M58" s="1">
        <v>413</v>
      </c>
      <c r="N58" s="1">
        <v>500</v>
      </c>
      <c r="S58" s="1">
        <v>1540</v>
      </c>
      <c r="T58" s="1">
        <f>1537-218</f>
        <v>1319</v>
      </c>
      <c r="U58" s="1">
        <f>1686-308</f>
        <v>1378</v>
      </c>
      <c r="V58" s="1">
        <f>+N58+M58+L58+K58-599</f>
        <v>1107</v>
      </c>
      <c r="W58" s="1">
        <f t="shared" ref="W58:AE58" si="26">+V58*1.04</f>
        <v>1151.28</v>
      </c>
      <c r="X58" s="1">
        <f t="shared" si="26"/>
        <v>1197.3312000000001</v>
      </c>
      <c r="Y58" s="1">
        <f t="shared" si="26"/>
        <v>1245.2244480000002</v>
      </c>
      <c r="Z58" s="1">
        <f t="shared" si="26"/>
        <v>1295.0334259200001</v>
      </c>
      <c r="AA58" s="1">
        <f t="shared" si="26"/>
        <v>1346.8347629568002</v>
      </c>
      <c r="AB58" s="1">
        <f t="shared" si="26"/>
        <v>1400.7081534750723</v>
      </c>
      <c r="AC58" s="1">
        <f t="shared" si="26"/>
        <v>1456.7364796140753</v>
      </c>
      <c r="AD58" s="1">
        <f t="shared" si="26"/>
        <v>1515.0059387986385</v>
      </c>
      <c r="AE58" s="1">
        <f t="shared" si="26"/>
        <v>1575.6061763505841</v>
      </c>
    </row>
    <row r="59" spans="2:31" s="1" customFormat="1" x14ac:dyDescent="0.25">
      <c r="B59" s="1" t="s">
        <v>65</v>
      </c>
      <c r="T59" s="1">
        <v>218</v>
      </c>
      <c r="U59" s="1">
        <v>308</v>
      </c>
      <c r="V59" s="1">
        <v>599</v>
      </c>
      <c r="W59" s="1">
        <v>534</v>
      </c>
      <c r="X59" s="1">
        <v>524</v>
      </c>
      <c r="Y59" s="1">
        <v>539</v>
      </c>
      <c r="Z59" s="1">
        <v>532</v>
      </c>
      <c r="AA59" s="1">
        <v>494.8</v>
      </c>
      <c r="AB59" s="1">
        <v>494.8</v>
      </c>
      <c r="AC59" s="1">
        <v>494.8</v>
      </c>
      <c r="AD59" s="1">
        <v>494.8</v>
      </c>
      <c r="AE59" s="1">
        <v>494.8</v>
      </c>
    </row>
    <row r="60" spans="2:31" s="1" customFormat="1" x14ac:dyDescent="0.25">
      <c r="B60" s="1" t="s">
        <v>6</v>
      </c>
      <c r="G60" s="1">
        <f>167-H60</f>
        <v>98</v>
      </c>
      <c r="H60" s="1">
        <v>69</v>
      </c>
      <c r="K60" s="1">
        <v>153</v>
      </c>
      <c r="L60" s="1">
        <v>96</v>
      </c>
      <c r="M60" s="1">
        <v>64</v>
      </c>
      <c r="S60" s="1">
        <v>323</v>
      </c>
      <c r="T60" s="1">
        <v>575</v>
      </c>
      <c r="U60" s="1">
        <v>303</v>
      </c>
      <c r="V60" s="1">
        <v>300</v>
      </c>
      <c r="W60" s="1">
        <v>300</v>
      </c>
      <c r="X60" s="1">
        <v>300</v>
      </c>
      <c r="Y60" s="1">
        <v>300</v>
      </c>
      <c r="Z60" s="1">
        <v>300</v>
      </c>
      <c r="AA60" s="1">
        <v>300</v>
      </c>
      <c r="AB60" s="1">
        <v>300</v>
      </c>
      <c r="AC60" s="1">
        <v>300</v>
      </c>
      <c r="AD60" s="1">
        <v>300</v>
      </c>
      <c r="AE60" s="1">
        <v>300</v>
      </c>
    </row>
    <row r="61" spans="2:31" s="1" customFormat="1" x14ac:dyDescent="0.25">
      <c r="B61" s="1" t="s">
        <v>7</v>
      </c>
      <c r="G61" s="1">
        <f>32-H61</f>
        <v>33</v>
      </c>
      <c r="H61" s="1">
        <v>-1</v>
      </c>
      <c r="K61" s="1">
        <v>47</v>
      </c>
      <c r="L61" s="1">
        <v>63</v>
      </c>
      <c r="M61" s="1">
        <v>32</v>
      </c>
      <c r="S61" s="1">
        <v>114</v>
      </c>
      <c r="T61" s="1">
        <v>191</v>
      </c>
      <c r="U61" s="1">
        <v>88</v>
      </c>
      <c r="V61" s="1">
        <v>150</v>
      </c>
      <c r="W61" s="1">
        <v>150</v>
      </c>
      <c r="X61" s="1">
        <v>150</v>
      </c>
      <c r="Y61" s="1">
        <v>150</v>
      </c>
      <c r="Z61" s="1">
        <v>150</v>
      </c>
      <c r="AA61" s="1">
        <v>150</v>
      </c>
      <c r="AB61" s="1">
        <v>150</v>
      </c>
      <c r="AC61" s="1">
        <v>150</v>
      </c>
      <c r="AD61" s="1">
        <v>150</v>
      </c>
      <c r="AE61" s="1">
        <v>150</v>
      </c>
    </row>
    <row r="62" spans="2:31" s="1" customFormat="1" x14ac:dyDescent="0.25">
      <c r="B62" s="1" t="s">
        <v>8</v>
      </c>
      <c r="G62" s="1">
        <f>6-H62</f>
        <v>3</v>
      </c>
      <c r="H62" s="1">
        <v>3</v>
      </c>
      <c r="K62" s="1">
        <v>-8</v>
      </c>
      <c r="L62" s="1">
        <v>-12</v>
      </c>
      <c r="M62" s="1">
        <v>-13</v>
      </c>
      <c r="S62" s="1">
        <v>32</v>
      </c>
      <c r="T62" s="1">
        <v>230</v>
      </c>
      <c r="U62" s="1">
        <v>12</v>
      </c>
      <c r="V62" s="1">
        <v>10</v>
      </c>
      <c r="W62" s="1">
        <v>10</v>
      </c>
      <c r="X62" s="1">
        <v>10</v>
      </c>
      <c r="Y62" s="1">
        <v>10</v>
      </c>
      <c r="Z62" s="1">
        <v>10</v>
      </c>
      <c r="AA62" s="1">
        <v>10</v>
      </c>
      <c r="AB62" s="1">
        <v>10</v>
      </c>
      <c r="AC62" s="1">
        <v>10</v>
      </c>
      <c r="AD62" s="1">
        <v>10</v>
      </c>
      <c r="AE62" s="1">
        <v>10</v>
      </c>
    </row>
    <row r="63" spans="2:31" s="1" customFormat="1" x14ac:dyDescent="0.25">
      <c r="B63" s="1" t="s">
        <v>9</v>
      </c>
      <c r="C63" s="1">
        <f>+C56+C57+C58</f>
        <v>0</v>
      </c>
      <c r="D63" s="1">
        <f t="shared" ref="D63:J63" si="27">+D56+D57+D58</f>
        <v>0</v>
      </c>
      <c r="E63" s="1">
        <f t="shared" si="27"/>
        <v>0</v>
      </c>
      <c r="F63" s="1">
        <f t="shared" si="27"/>
        <v>0</v>
      </c>
      <c r="G63" s="1">
        <f t="shared" si="27"/>
        <v>994</v>
      </c>
      <c r="H63" s="1">
        <f t="shared" si="27"/>
        <v>1103</v>
      </c>
      <c r="I63" s="1">
        <f t="shared" si="27"/>
        <v>0</v>
      </c>
      <c r="J63" s="1">
        <f t="shared" si="27"/>
        <v>0</v>
      </c>
      <c r="K63" s="1">
        <f t="shared" ref="K63:L63" si="28">+K56+K57+K58</f>
        <v>1079</v>
      </c>
      <c r="L63" s="1">
        <f t="shared" si="28"/>
        <v>1137</v>
      </c>
      <c r="M63" s="1">
        <f t="shared" ref="M63" si="29">+M56+M57+M58</f>
        <v>1113</v>
      </c>
      <c r="S63" s="1">
        <f>+S56+S57+S58+S59</f>
        <v>4153</v>
      </c>
      <c r="T63" s="1">
        <f>+T56+T57+T58+T59</f>
        <v>4301</v>
      </c>
      <c r="U63" s="1">
        <f>+U56+U57+U58+U59</f>
        <v>4342</v>
      </c>
      <c r="V63" s="1">
        <f>+V56+V57+V58+V59</f>
        <v>4223.5717999999997</v>
      </c>
      <c r="W63" s="1">
        <f t="shared" ref="W63:AE63" si="30">+W56+W57+W58+W59</f>
        <v>4182.4628819999998</v>
      </c>
      <c r="X63" s="1">
        <f t="shared" si="30"/>
        <v>4193.7801951800002</v>
      </c>
      <c r="Y63" s="1">
        <f t="shared" si="30"/>
        <v>4239.3393596282003</v>
      </c>
      <c r="Z63" s="1">
        <f t="shared" si="30"/>
        <v>4263.5840907703187</v>
      </c>
      <c r="AA63" s="1">
        <f t="shared" si="30"/>
        <v>4266.0385932207191</v>
      </c>
      <c r="AB63" s="1">
        <f t="shared" si="30"/>
        <v>4295.8293040556691</v>
      </c>
      <c r="AC63" s="1">
        <f t="shared" si="30"/>
        <v>4333.0643981002604</v>
      </c>
      <c r="AD63" s="1">
        <f t="shared" si="30"/>
        <v>4377.882046076872</v>
      </c>
      <c r="AE63" s="1">
        <f t="shared" si="30"/>
        <v>4430.4508659633466</v>
      </c>
    </row>
    <row r="64" spans="2:31" s="1" customFormat="1" x14ac:dyDescent="0.25">
      <c r="B64" s="1" t="s">
        <v>10</v>
      </c>
      <c r="C64" s="1">
        <f>+C55-C63+C60-C61+C62</f>
        <v>0</v>
      </c>
      <c r="D64" s="1">
        <f t="shared" ref="D64:J64" si="31">+D55-D63+D60-D61+D62</f>
        <v>0</v>
      </c>
      <c r="E64" s="1">
        <f t="shared" si="31"/>
        <v>0</v>
      </c>
      <c r="F64" s="1">
        <f t="shared" si="31"/>
        <v>0</v>
      </c>
      <c r="G64" s="1">
        <f t="shared" si="31"/>
        <v>240</v>
      </c>
      <c r="H64" s="1">
        <f t="shared" si="31"/>
        <v>-114</v>
      </c>
      <c r="I64" s="1">
        <f t="shared" si="31"/>
        <v>0</v>
      </c>
      <c r="J64" s="1">
        <f t="shared" si="31"/>
        <v>0</v>
      </c>
      <c r="K64" s="1">
        <f t="shared" ref="K64:L64" si="32">+K55-K63+K60-K61+K62</f>
        <v>-183</v>
      </c>
      <c r="L64" s="1">
        <f t="shared" si="32"/>
        <v>17</v>
      </c>
      <c r="M64" s="1">
        <f t="shared" ref="M64" si="33">+M55-M63+M60-M61+M62</f>
        <v>64</v>
      </c>
      <c r="S64" s="1">
        <f t="shared" ref="S64:AE64" si="34">+S55-S63+S60-S61+S62</f>
        <v>444</v>
      </c>
      <c r="T64" s="1">
        <f t="shared" si="34"/>
        <v>1974</v>
      </c>
      <c r="U64" s="1">
        <f t="shared" si="34"/>
        <v>-1457</v>
      </c>
      <c r="V64" s="1">
        <f t="shared" si="34"/>
        <v>-319.97919999999613</v>
      </c>
      <c r="W64" s="1">
        <f t="shared" si="34"/>
        <v>-138.19380800000363</v>
      </c>
      <c r="X64" s="1">
        <f t="shared" si="34"/>
        <v>-56.429821919992719</v>
      </c>
      <c r="Y64" s="1">
        <f t="shared" si="34"/>
        <v>38.224730499197904</v>
      </c>
      <c r="Z64" s="1">
        <f t="shared" si="34"/>
        <v>129.38339135381648</v>
      </c>
      <c r="AA64" s="1">
        <f t="shared" si="34"/>
        <v>282.74990814806551</v>
      </c>
      <c r="AB64" s="1">
        <f t="shared" si="34"/>
        <v>328.11585010091767</v>
      </c>
      <c r="AC64" s="1">
        <f t="shared" si="34"/>
        <v>401.53704903629568</v>
      </c>
      <c r="AD64" s="1">
        <f t="shared" si="34"/>
        <v>504.61543828289086</v>
      </c>
      <c r="AE64" s="1">
        <f t="shared" si="34"/>
        <v>639.17736027821593</v>
      </c>
    </row>
    <row r="65" spans="2:156" s="1" customFormat="1" x14ac:dyDescent="0.25">
      <c r="B65" s="1" t="s">
        <v>11</v>
      </c>
      <c r="G65" s="1">
        <f>-20-H65</f>
        <v>-19</v>
      </c>
      <c r="H65" s="1">
        <v>-1</v>
      </c>
      <c r="K65" s="1">
        <v>-31</v>
      </c>
      <c r="L65" s="1">
        <v>-33</v>
      </c>
      <c r="M65" s="1">
        <v>-28</v>
      </c>
      <c r="S65" s="1">
        <v>-106</v>
      </c>
      <c r="T65" s="1">
        <v>-245</v>
      </c>
      <c r="U65" s="1">
        <v>-38</v>
      </c>
      <c r="V65" s="1">
        <f t="shared" ref="V65:AB65" si="35">+U65*1.02</f>
        <v>-38.76</v>
      </c>
      <c r="W65" s="1">
        <f t="shared" si="35"/>
        <v>-39.535199999999996</v>
      </c>
      <c r="X65" s="1">
        <f t="shared" si="35"/>
        <v>-40.325903999999994</v>
      </c>
      <c r="Y65" s="1">
        <f t="shared" si="35"/>
        <v>-41.132422079999998</v>
      </c>
      <c r="Z65" s="1">
        <f t="shared" si="35"/>
        <v>-41.9550705216</v>
      </c>
      <c r="AA65" s="1">
        <f t="shared" si="35"/>
        <v>-42.794171932032</v>
      </c>
      <c r="AB65" s="1">
        <f t="shared" si="35"/>
        <v>-43.650055370672639</v>
      </c>
      <c r="AC65" s="1">
        <f t="shared" ref="AC65" si="36">+AB65*1.02</f>
        <v>-44.52305647808609</v>
      </c>
      <c r="AD65" s="1">
        <f t="shared" ref="AD65:AE65" si="37">+AC65*1.02</f>
        <v>-45.413517607647812</v>
      </c>
      <c r="AE65" s="1">
        <f t="shared" si="37"/>
        <v>-46.321787959800766</v>
      </c>
    </row>
    <row r="66" spans="2:156" s="1" customFormat="1" x14ac:dyDescent="0.25">
      <c r="B66" s="1" t="s">
        <v>12</v>
      </c>
      <c r="G66" s="1">
        <f>445-H66</f>
        <v>204</v>
      </c>
      <c r="H66" s="1">
        <v>241</v>
      </c>
      <c r="K66" s="1">
        <v>246</v>
      </c>
      <c r="L66" s="1">
        <v>169</v>
      </c>
      <c r="M66" s="1">
        <v>182</v>
      </c>
      <c r="S66" s="1">
        <v>725</v>
      </c>
      <c r="T66" s="1">
        <v>1291</v>
      </c>
      <c r="U66" s="1">
        <v>896</v>
      </c>
      <c r="V66" s="1">
        <f>+V67*0.92</f>
        <v>887.17439999999999</v>
      </c>
      <c r="W66" s="1">
        <f t="shared" ref="W66:AE66" si="38">+W67*0.92</f>
        <v>869.43091199999992</v>
      </c>
      <c r="X66" s="1">
        <f t="shared" si="38"/>
        <v>852.04229375999989</v>
      </c>
      <c r="Y66" s="1">
        <f t="shared" si="38"/>
        <v>835.00144788479997</v>
      </c>
      <c r="Z66" s="1">
        <f t="shared" si="38"/>
        <v>818.30141892710401</v>
      </c>
      <c r="AA66" s="1">
        <f t="shared" si="38"/>
        <v>801.93539054856183</v>
      </c>
      <c r="AB66" s="1">
        <f t="shared" si="38"/>
        <v>785.8966827375906</v>
      </c>
      <c r="AC66" s="1">
        <f t="shared" si="38"/>
        <v>770.17874908283886</v>
      </c>
      <c r="AD66" s="1">
        <f t="shared" si="38"/>
        <v>754.77517410118196</v>
      </c>
      <c r="AE66" s="1">
        <f t="shared" si="38"/>
        <v>739.67967061915829</v>
      </c>
    </row>
    <row r="67" spans="2:156" s="1" customFormat="1" x14ac:dyDescent="0.25">
      <c r="B67" s="1" t="s">
        <v>13</v>
      </c>
      <c r="G67" s="1">
        <f>519-H67</f>
        <v>260</v>
      </c>
      <c r="H67" s="1">
        <v>259</v>
      </c>
      <c r="K67" s="1">
        <v>263</v>
      </c>
      <c r="L67" s="1">
        <v>161</v>
      </c>
      <c r="M67" s="1">
        <v>193</v>
      </c>
      <c r="S67" s="1">
        <v>962</v>
      </c>
      <c r="T67" s="1">
        <v>1431</v>
      </c>
      <c r="U67" s="1">
        <v>984</v>
      </c>
      <c r="V67" s="1">
        <f>+U67*0.98</f>
        <v>964.31999999999994</v>
      </c>
      <c r="W67" s="1">
        <f t="shared" ref="W67:AE67" si="39">+V67*0.98</f>
        <v>945.03359999999986</v>
      </c>
      <c r="X67" s="1">
        <f t="shared" si="39"/>
        <v>926.13292799999988</v>
      </c>
      <c r="Y67" s="1">
        <f t="shared" si="39"/>
        <v>907.61026943999991</v>
      </c>
      <c r="Z67" s="1">
        <f t="shared" si="39"/>
        <v>889.45806405119993</v>
      </c>
      <c r="AA67" s="1">
        <f t="shared" si="39"/>
        <v>871.66890277017592</v>
      </c>
      <c r="AB67" s="1">
        <f t="shared" si="39"/>
        <v>854.2355247147724</v>
      </c>
      <c r="AC67" s="1">
        <f t="shared" si="39"/>
        <v>837.15081422047695</v>
      </c>
      <c r="AD67" s="1">
        <f t="shared" si="39"/>
        <v>820.40779793606737</v>
      </c>
      <c r="AE67" s="1">
        <f t="shared" si="39"/>
        <v>803.99964197734596</v>
      </c>
    </row>
    <row r="68" spans="2:156" s="1" customFormat="1" x14ac:dyDescent="0.25">
      <c r="B68" s="1" t="s">
        <v>25</v>
      </c>
      <c r="C68" s="1">
        <f>+C65+C66-C67</f>
        <v>0</v>
      </c>
      <c r="D68" s="1">
        <f t="shared" ref="D68:J68" si="40">+D65+D66-D67</f>
        <v>0</v>
      </c>
      <c r="E68" s="1">
        <f t="shared" si="40"/>
        <v>0</v>
      </c>
      <c r="F68" s="1">
        <f t="shared" si="40"/>
        <v>0</v>
      </c>
      <c r="G68" s="1">
        <f t="shared" si="40"/>
        <v>-75</v>
      </c>
      <c r="H68" s="1">
        <f t="shared" si="40"/>
        <v>-19</v>
      </c>
      <c r="I68" s="1">
        <f t="shared" si="40"/>
        <v>0</v>
      </c>
      <c r="J68" s="1">
        <f t="shared" si="40"/>
        <v>0</v>
      </c>
      <c r="K68" s="1">
        <f t="shared" ref="K68:L68" si="41">+K65+K66-K67</f>
        <v>-48</v>
      </c>
      <c r="L68" s="1">
        <f t="shared" si="41"/>
        <v>-25</v>
      </c>
      <c r="M68" s="1">
        <f t="shared" ref="M68" si="42">+M65+M66-M67</f>
        <v>-39</v>
      </c>
      <c r="S68" s="1">
        <f t="shared" ref="S68:V68" si="43">+S65+S66-S67</f>
        <v>-343</v>
      </c>
      <c r="T68" s="1">
        <f t="shared" si="43"/>
        <v>-385</v>
      </c>
      <c r="U68" s="1">
        <f t="shared" si="43"/>
        <v>-126</v>
      </c>
      <c r="V68" s="1">
        <f t="shared" si="43"/>
        <v>-115.90559999999994</v>
      </c>
      <c r="W68" s="1">
        <f t="shared" ref="W68" si="44">+W65+W66-W67</f>
        <v>-115.13788799999998</v>
      </c>
      <c r="X68" s="1">
        <f t="shared" ref="X68" si="45">+X65+X66-X67</f>
        <v>-114.41653824000002</v>
      </c>
      <c r="Y68" s="1">
        <f t="shared" ref="Y68" si="46">+Y65+Y66-Y67</f>
        <v>-113.74124363519991</v>
      </c>
      <c r="Z68" s="1">
        <f t="shared" ref="Z68" si="47">+Z65+Z66-Z67</f>
        <v>-113.11171564569588</v>
      </c>
      <c r="AA68" s="1">
        <f t="shared" ref="AA68" si="48">+AA65+AA66-AA67</f>
        <v>-112.52768415364608</v>
      </c>
      <c r="AB68" s="1">
        <f t="shared" ref="AB68:AD68" si="49">+AB65+AB66-AB67</f>
        <v>-111.98889734785439</v>
      </c>
      <c r="AC68" s="1">
        <f t="shared" si="49"/>
        <v>-111.4951216157242</v>
      </c>
      <c r="AD68" s="1">
        <f t="shared" si="49"/>
        <v>-111.04614144253321</v>
      </c>
      <c r="AE68" s="1">
        <f t="shared" ref="AE68" si="50">+AE65+AE66-AE67</f>
        <v>-110.64175931798843</v>
      </c>
    </row>
    <row r="69" spans="2:156" s="1" customFormat="1" x14ac:dyDescent="0.25">
      <c r="B69" s="1" t="s">
        <v>14</v>
      </c>
      <c r="C69" s="1">
        <f>+C64+C68</f>
        <v>0</v>
      </c>
      <c r="D69" s="1">
        <f t="shared" ref="D69:J69" si="51">+D64+D68</f>
        <v>0</v>
      </c>
      <c r="E69" s="1">
        <f t="shared" si="51"/>
        <v>0</v>
      </c>
      <c r="F69" s="1">
        <f t="shared" si="51"/>
        <v>0</v>
      </c>
      <c r="G69" s="1">
        <f t="shared" si="51"/>
        <v>165</v>
      </c>
      <c r="H69" s="1">
        <f t="shared" si="51"/>
        <v>-133</v>
      </c>
      <c r="I69" s="1">
        <f t="shared" si="51"/>
        <v>0</v>
      </c>
      <c r="J69" s="1">
        <f t="shared" si="51"/>
        <v>0</v>
      </c>
      <c r="K69" s="1">
        <f t="shared" ref="K69:L69" si="52">+K64+K68</f>
        <v>-231</v>
      </c>
      <c r="L69" s="1">
        <f t="shared" si="52"/>
        <v>-8</v>
      </c>
      <c r="M69" s="1">
        <f t="shared" ref="M69" si="53">+M64+M68</f>
        <v>25</v>
      </c>
      <c r="S69" s="1">
        <f t="shared" ref="S69:V69" si="54">+S64+S68</f>
        <v>101</v>
      </c>
      <c r="T69" s="1">
        <f t="shared" si="54"/>
        <v>1589</v>
      </c>
      <c r="U69" s="1">
        <f t="shared" si="54"/>
        <v>-1583</v>
      </c>
      <c r="V69" s="1">
        <f t="shared" si="54"/>
        <v>-435.88479999999606</v>
      </c>
      <c r="W69" s="1">
        <f t="shared" ref="W69" si="55">+W64+W68</f>
        <v>-253.3316960000036</v>
      </c>
      <c r="X69" s="1">
        <f t="shared" ref="X69" si="56">+X64+X68</f>
        <v>-170.84636015999274</v>
      </c>
      <c r="Y69" s="1">
        <f t="shared" ref="Y69" si="57">+Y64+Y68</f>
        <v>-75.516513136002004</v>
      </c>
      <c r="Z69" s="1">
        <f t="shared" ref="Z69" si="58">+Z64+Z68</f>
        <v>16.271675708120597</v>
      </c>
      <c r="AA69" s="1">
        <f t="shared" ref="AA69" si="59">+AA64+AA68</f>
        <v>170.22222399441944</v>
      </c>
      <c r="AB69" s="1">
        <f t="shared" ref="AB69:AD69" si="60">+AB64+AB68</f>
        <v>216.12695275306328</v>
      </c>
      <c r="AC69" s="1">
        <f t="shared" si="60"/>
        <v>290.04192742057148</v>
      </c>
      <c r="AD69" s="1">
        <f t="shared" si="60"/>
        <v>393.56929684035765</v>
      </c>
      <c r="AE69" s="1">
        <f t="shared" ref="AE69" si="61">+AE64+AE68</f>
        <v>528.5356009602275</v>
      </c>
    </row>
    <row r="70" spans="2:156" s="1" customFormat="1" x14ac:dyDescent="0.25">
      <c r="B70" s="1" t="s">
        <v>15</v>
      </c>
      <c r="G70" s="1">
        <f>137-H70</f>
        <v>70</v>
      </c>
      <c r="H70" s="1">
        <v>67</v>
      </c>
      <c r="K70" s="1">
        <v>72</v>
      </c>
      <c r="L70" s="1">
        <v>66</v>
      </c>
      <c r="M70" s="1">
        <v>59</v>
      </c>
      <c r="S70" s="1">
        <v>120</v>
      </c>
      <c r="T70" s="1">
        <v>175</v>
      </c>
      <c r="U70" s="1">
        <v>403</v>
      </c>
      <c r="V70" s="1">
        <f>+V69*0.23</f>
        <v>-100.2535039999991</v>
      </c>
      <c r="W70" s="1">
        <f t="shared" ref="W70:AD70" si="62">+W69*0.23</f>
        <v>-58.266290080000829</v>
      </c>
      <c r="X70" s="1">
        <f t="shared" si="62"/>
        <v>-39.294662836798331</v>
      </c>
      <c r="Y70" s="1">
        <f t="shared" si="62"/>
        <v>-17.368798021280462</v>
      </c>
      <c r="Z70" s="1">
        <f t="shared" si="62"/>
        <v>3.7424854128677376</v>
      </c>
      <c r="AA70" s="1">
        <f t="shared" si="62"/>
        <v>39.151111518716469</v>
      </c>
      <c r="AB70" s="1">
        <f t="shared" si="62"/>
        <v>49.709199133204557</v>
      </c>
      <c r="AC70" s="1">
        <f t="shared" si="62"/>
        <v>66.709643306731451</v>
      </c>
      <c r="AD70" s="1">
        <f t="shared" si="62"/>
        <v>90.520938273282269</v>
      </c>
      <c r="AE70" s="1">
        <f t="shared" ref="AE70" si="63">+AE69*0.23</f>
        <v>121.56318822085233</v>
      </c>
    </row>
    <row r="71" spans="2:156" s="3" customFormat="1" x14ac:dyDescent="0.25">
      <c r="B71" s="3" t="s">
        <v>16</v>
      </c>
      <c r="C71" s="3">
        <f>+C69-C70</f>
        <v>0</v>
      </c>
      <c r="D71" s="3">
        <f t="shared" ref="D71:J71" si="64">+D69-D70</f>
        <v>0</v>
      </c>
      <c r="E71" s="3">
        <f t="shared" si="64"/>
        <v>0</v>
      </c>
      <c r="F71" s="3">
        <f t="shared" si="64"/>
        <v>0</v>
      </c>
      <c r="G71" s="3">
        <f t="shared" si="64"/>
        <v>95</v>
      </c>
      <c r="H71" s="3">
        <f t="shared" si="64"/>
        <v>-200</v>
      </c>
      <c r="I71" s="3">
        <f t="shared" si="64"/>
        <v>0</v>
      </c>
      <c r="J71" s="3">
        <f t="shared" si="64"/>
        <v>0</v>
      </c>
      <c r="K71" s="3">
        <f t="shared" ref="K71:L71" si="65">+K69-K70</f>
        <v>-303</v>
      </c>
      <c r="L71" s="3">
        <f t="shared" si="65"/>
        <v>-74</v>
      </c>
      <c r="M71" s="3">
        <f t="shared" ref="M71" si="66">+M69-M70</f>
        <v>-34</v>
      </c>
      <c r="S71" s="3">
        <f t="shared" ref="S71:V71" si="67">+S69-S70</f>
        <v>-19</v>
      </c>
      <c r="T71" s="3">
        <f t="shared" si="67"/>
        <v>1414</v>
      </c>
      <c r="U71" s="3">
        <f t="shared" si="67"/>
        <v>-1986</v>
      </c>
      <c r="V71" s="3">
        <f t="shared" si="67"/>
        <v>-335.63129599999695</v>
      </c>
      <c r="W71" s="3">
        <f t="shared" ref="W71" si="68">+W69-W70</f>
        <v>-195.06540592000277</v>
      </c>
      <c r="X71" s="3">
        <f t="shared" ref="X71" si="69">+X69-X70</f>
        <v>-131.55169732319442</v>
      </c>
      <c r="Y71" s="3">
        <f t="shared" ref="Y71" si="70">+Y69-Y70</f>
        <v>-58.147715114721542</v>
      </c>
      <c r="Z71" s="3">
        <f t="shared" ref="Z71" si="71">+Z69-Z70</f>
        <v>12.52919029525286</v>
      </c>
      <c r="AA71" s="3">
        <f t="shared" ref="AA71" si="72">+AA69-AA70</f>
        <v>131.07111247570296</v>
      </c>
      <c r="AB71" s="3">
        <f t="shared" ref="AB71" si="73">+AB69-AB70</f>
        <v>166.41775361985873</v>
      </c>
      <c r="AC71" s="3">
        <f t="shared" ref="AC71:AE73" si="74">+AB71*(1+TR)</f>
        <v>164.75357608366014</v>
      </c>
      <c r="AD71" s="3">
        <f t="shared" si="74"/>
        <v>163.10604032282353</v>
      </c>
      <c r="AE71" s="3">
        <f t="shared" si="74"/>
        <v>161.47497991959528</v>
      </c>
      <c r="EZ71" s="3">
        <f t="shared" ref="EZ71" si="75">+EY71*(1+TR)</f>
        <v>0</v>
      </c>
    </row>
    <row r="72" spans="2:156" s="1" customFormat="1" x14ac:dyDescent="0.25">
      <c r="B72" s="1" t="s">
        <v>53</v>
      </c>
      <c r="K72" s="1">
        <v>9</v>
      </c>
      <c r="L72" s="1">
        <v>6</v>
      </c>
      <c r="M72" s="1">
        <v>21</v>
      </c>
      <c r="N72" s="1">
        <v>25</v>
      </c>
      <c r="T72" s="1">
        <v>85</v>
      </c>
      <c r="U72" s="1">
        <v>86</v>
      </c>
      <c r="V72" s="1">
        <f>+N72+M72+L72+K72</f>
        <v>61</v>
      </c>
      <c r="W72" s="1">
        <v>60</v>
      </c>
      <c r="X72" s="1">
        <v>60</v>
      </c>
      <c r="Y72" s="1">
        <v>60</v>
      </c>
      <c r="Z72" s="1">
        <v>60</v>
      </c>
      <c r="AA72" s="1">
        <v>60</v>
      </c>
      <c r="AB72" s="1">
        <v>60</v>
      </c>
      <c r="AC72" s="1">
        <v>60</v>
      </c>
      <c r="AD72" s="1">
        <v>60</v>
      </c>
      <c r="AE72" s="1">
        <v>60</v>
      </c>
    </row>
    <row r="73" spans="2:156" s="1" customFormat="1" x14ac:dyDescent="0.25">
      <c r="B73" s="1" t="s">
        <v>54</v>
      </c>
      <c r="K73" s="1">
        <f>+K71-K72</f>
        <v>-312</v>
      </c>
      <c r="L73" s="1">
        <f>+L71-L72</f>
        <v>-80</v>
      </c>
      <c r="M73" s="1">
        <f>+M71-M72</f>
        <v>-55</v>
      </c>
      <c r="T73" s="1">
        <f>+T71-T72</f>
        <v>1329</v>
      </c>
      <c r="U73" s="1">
        <f>+U71-U72</f>
        <v>-2072</v>
      </c>
      <c r="V73" s="1">
        <f>+V71-V72</f>
        <v>-396.63129599999695</v>
      </c>
      <c r="W73" s="1">
        <f t="shared" ref="W73:AD73" si="76">+W71-W72</f>
        <v>-255.06540592000277</v>
      </c>
      <c r="X73" s="1">
        <f t="shared" si="76"/>
        <v>-191.55169732319442</v>
      </c>
      <c r="Y73" s="1">
        <f t="shared" si="76"/>
        <v>-118.14771511472154</v>
      </c>
      <c r="Z73" s="1">
        <f t="shared" si="76"/>
        <v>-47.47080970474714</v>
      </c>
      <c r="AA73" s="1">
        <f t="shared" si="76"/>
        <v>71.071112475702961</v>
      </c>
      <c r="AB73" s="1">
        <f t="shared" si="76"/>
        <v>106.41775361985873</v>
      </c>
      <c r="AC73" s="1">
        <f t="shared" si="76"/>
        <v>104.75357608366014</v>
      </c>
      <c r="AD73" s="1">
        <f t="shared" si="76"/>
        <v>103.10604032282353</v>
      </c>
      <c r="AE73" s="7">
        <f t="shared" si="74"/>
        <v>102.07497991959529</v>
      </c>
      <c r="AF73" s="3">
        <f t="shared" ref="AF73" si="77">+AE73*(1+TR)</f>
        <v>101.05423012039934</v>
      </c>
      <c r="AG73" s="3">
        <f t="shared" ref="AG73" si="78">+AF73*(1+TR)</f>
        <v>100.04368781919534</v>
      </c>
      <c r="AH73" s="3">
        <f t="shared" ref="AH73" si="79">+AG73*(1+TR)</f>
        <v>99.043250941003393</v>
      </c>
      <c r="AI73" s="3">
        <f t="shared" ref="AI73" si="80">+AH73*(1+TR)</f>
        <v>98.052818431593352</v>
      </c>
      <c r="AJ73" s="3">
        <f t="shared" ref="AJ73" si="81">+AI73*(1+TR)</f>
        <v>97.072290247277422</v>
      </c>
      <c r="AK73" s="3">
        <f t="shared" ref="AK73" si="82">+AJ73*(1+TR)</f>
        <v>96.10156734480465</v>
      </c>
      <c r="AL73" s="3">
        <f t="shared" ref="AL73" si="83">+AK73*(1+TR)</f>
        <v>95.140551671356604</v>
      </c>
      <c r="AM73" s="3">
        <f t="shared" ref="AM73" si="84">+AL73*(1+TR)</f>
        <v>94.189146154643041</v>
      </c>
      <c r="AN73" s="3">
        <f t="shared" ref="AN73" si="85">+AM73*(1+TR)</f>
        <v>93.247254693096608</v>
      </c>
      <c r="AO73" s="3">
        <f t="shared" ref="AO73" si="86">+AN73*(1+TR)</f>
        <v>92.314782146165641</v>
      </c>
      <c r="AP73" s="3">
        <f t="shared" ref="AP73" si="87">+AO73*(1+TR)</f>
        <v>91.391634324703986</v>
      </c>
      <c r="AQ73" s="3">
        <f t="shared" ref="AQ73" si="88">+AP73*(1+TR)</f>
        <v>90.477717981456948</v>
      </c>
      <c r="AR73" s="3">
        <f t="shared" ref="AR73" si="89">+AQ73*(1+TR)</f>
        <v>89.572940801642375</v>
      </c>
      <c r="AS73" s="3">
        <f t="shared" ref="AS73" si="90">+AR73*(1+TR)</f>
        <v>88.677211393625953</v>
      </c>
      <c r="AT73" s="3">
        <f t="shared" ref="AT73" si="91">+AS73*(1+TR)</f>
        <v>87.790439279689693</v>
      </c>
      <c r="AU73" s="3">
        <f t="shared" ref="AU73" si="92">+AT73*(1+TR)</f>
        <v>86.9125348868928</v>
      </c>
      <c r="AV73" s="3">
        <f t="shared" ref="AV73" si="93">+AU73*(1+TR)</f>
        <v>86.043409538023866</v>
      </c>
      <c r="AW73" s="3">
        <f t="shared" ref="AW73" si="94">+AV73*(1+TR)</f>
        <v>85.182975442643624</v>
      </c>
      <c r="AX73" s="3">
        <f t="shared" ref="AX73" si="95">+AW73*(1+TR)</f>
        <v>84.331145688217191</v>
      </c>
      <c r="AY73" s="3">
        <f t="shared" ref="AY73" si="96">+AX73*(1+TR)</f>
        <v>83.487834231335015</v>
      </c>
      <c r="AZ73" s="3">
        <f t="shared" ref="AZ73" si="97">+AY73*(1+TR)</f>
        <v>82.652955889021669</v>
      </c>
      <c r="BA73" s="3">
        <f t="shared" ref="BA73" si="98">+AZ73*(1+TR)</f>
        <v>81.826426330131454</v>
      </c>
      <c r="BB73" s="3">
        <f t="shared" ref="BB73" si="99">+BA73*(1+TR)</f>
        <v>81.008162066830138</v>
      </c>
      <c r="BC73" s="3">
        <f t="shared" ref="BC73" si="100">+BB73*(1+TR)</f>
        <v>80.198080446161839</v>
      </c>
      <c r="BD73" s="3">
        <f t="shared" ref="BD73" si="101">+BC73*(1+TR)</f>
        <v>79.396099641700218</v>
      </c>
      <c r="BE73" s="3">
        <f t="shared" ref="BE73" si="102">+BD73*(1+TR)</f>
        <v>78.602138645283219</v>
      </c>
      <c r="BF73" s="3">
        <f t="shared" ref="BF73" si="103">+BE73*(1+TR)</f>
        <v>77.816117258830388</v>
      </c>
      <c r="BG73" s="3">
        <f t="shared" ref="BG73" si="104">+BF73*(1+TR)</f>
        <v>77.03795608624209</v>
      </c>
      <c r="BH73" s="3">
        <f t="shared" ref="BH73" si="105">+BG73*(1+TR)</f>
        <v>76.267576525379667</v>
      </c>
      <c r="BI73" s="3">
        <f t="shared" ref="BI73" si="106">+BH73*(1+TR)</f>
        <v>75.504900760125864</v>
      </c>
      <c r="BJ73" s="3">
        <f t="shared" ref="BJ73" si="107">+BI73*(1+TR)</f>
        <v>74.749851752524606</v>
      </c>
      <c r="BK73" s="3">
        <f t="shared" ref="BK73" si="108">+BJ73*(1+TR)</f>
        <v>74.002353234999362</v>
      </c>
      <c r="BL73" s="3">
        <f t="shared" ref="BL73" si="109">+BK73*(1+TR)</f>
        <v>73.262329702649367</v>
      </c>
      <c r="BM73" s="3">
        <f t="shared" ref="BM73" si="110">+BL73*(1+TR)</f>
        <v>72.529706405622875</v>
      </c>
      <c r="BN73" s="3">
        <f t="shared" ref="BN73" si="111">+BM73*(1+TR)</f>
        <v>71.80440934156664</v>
      </c>
      <c r="BO73" s="3">
        <f t="shared" ref="BO73" si="112">+BN73*(1+TR)</f>
        <v>71.086365248150969</v>
      </c>
      <c r="BP73" s="3">
        <f t="shared" ref="BP73" si="113">+BO73*(1+TR)</f>
        <v>70.375501595669462</v>
      </c>
      <c r="BQ73" s="3">
        <f t="shared" ref="BQ73" si="114">+BP73*(1+TR)</f>
        <v>69.67174657971276</v>
      </c>
      <c r="BR73" s="3">
        <f t="shared" ref="BR73" si="115">+BQ73*(1+TR)</f>
        <v>68.975029113915639</v>
      </c>
      <c r="BS73" s="3">
        <f t="shared" ref="BS73" si="116">+BR73*(1+TR)</f>
        <v>68.285278822776476</v>
      </c>
      <c r="BT73" s="3">
        <f t="shared" ref="BT73" si="117">+BS73*(1+TR)</f>
        <v>67.602426034548714</v>
      </c>
      <c r="BU73" s="3">
        <f t="shared" ref="BU73" si="118">+BT73*(1+TR)</f>
        <v>66.926401774203228</v>
      </c>
      <c r="BV73" s="3">
        <f t="shared" ref="BV73" si="119">+BU73*(1+TR)</f>
        <v>66.257137756461191</v>
      </c>
      <c r="BW73" s="3">
        <f t="shared" ref="BW73" si="120">+BV73*(1+TR)</f>
        <v>65.594566378896573</v>
      </c>
      <c r="BX73" s="3">
        <f t="shared" ref="BX73" si="121">+BW73*(1+TR)</f>
        <v>64.938620715107604</v>
      </c>
      <c r="BY73" s="3">
        <f t="shared" ref="BY73" si="122">+BX73*(1+TR)</f>
        <v>64.289234507956522</v>
      </c>
      <c r="BZ73" s="3">
        <f t="shared" ref="BZ73" si="123">+BY73*(1+TR)</f>
        <v>63.646342162876955</v>
      </c>
      <c r="CA73" s="3">
        <f t="shared" ref="CA73" si="124">+BZ73*(1+TR)</f>
        <v>63.009878741248187</v>
      </c>
      <c r="CB73" s="3">
        <f t="shared" ref="CB73" si="125">+CA73*(1+TR)</f>
        <v>62.379779953835701</v>
      </c>
      <c r="CC73" s="3">
        <f t="shared" ref="CC73" si="126">+CB73*(1+TR)</f>
        <v>61.755982154297342</v>
      </c>
      <c r="CD73" s="3">
        <f t="shared" ref="CD73" si="127">+CC73*(1+TR)</f>
        <v>61.138422332754367</v>
      </c>
      <c r="CE73" s="3">
        <f t="shared" ref="CE73" si="128">+CD73*(1+TR)</f>
        <v>60.527038109426819</v>
      </c>
      <c r="CF73" s="3">
        <f t="shared" ref="CF73" si="129">+CE73*(1+TR)</f>
        <v>59.921767728332547</v>
      </c>
      <c r="CG73" s="3">
        <f t="shared" ref="CG73" si="130">+CF73*(1+TR)</f>
        <v>59.32255005104922</v>
      </c>
      <c r="CH73" s="3">
        <f t="shared" ref="CH73" si="131">+CG73*(1+TR)</f>
        <v>58.729324550538728</v>
      </c>
      <c r="CI73" s="3">
        <f t="shared" ref="CI73" si="132">+CH73*(1+TR)</f>
        <v>58.142031305033342</v>
      </c>
      <c r="CJ73" s="3">
        <f t="shared" ref="CJ73" si="133">+CI73*(1+TR)</f>
        <v>57.560610991983005</v>
      </c>
      <c r="CK73" s="3">
        <f t="shared" ref="CK73" si="134">+CJ73*(1+TR)</f>
        <v>56.985004882063173</v>
      </c>
      <c r="CL73" s="3">
        <f t="shared" ref="CL73" si="135">+CK73*(1+TR)</f>
        <v>56.415154833242539</v>
      </c>
      <c r="CM73" s="3">
        <f t="shared" ref="CM73" si="136">+CL73*(1+TR)</f>
        <v>55.851003284910114</v>
      </c>
      <c r="CN73" s="3">
        <f t="shared" ref="CN73" si="137">+CM73*(1+TR)</f>
        <v>55.292493252061014</v>
      </c>
      <c r="CO73" s="3">
        <f t="shared" ref="CO73" si="138">+CN73*(1+TR)</f>
        <v>54.739568319540403</v>
      </c>
      <c r="CP73" s="3">
        <f t="shared" ref="CP73" si="139">+CO73*(1+TR)</f>
        <v>54.192172636344999</v>
      </c>
      <c r="CQ73" s="3">
        <f t="shared" ref="CQ73" si="140">+CP73*(1+TR)</f>
        <v>53.650250909981551</v>
      </c>
      <c r="CR73" s="3">
        <f t="shared" ref="CR73" si="141">+CQ73*(1+TR)</f>
        <v>53.113748400881732</v>
      </c>
      <c r="CS73" s="3">
        <f t="shared" ref="CS73" si="142">+CR73*(1+TR)</f>
        <v>52.582610916872916</v>
      </c>
      <c r="CT73" s="3">
        <f t="shared" ref="CT73" si="143">+CS73*(1+TR)</f>
        <v>52.056784807704183</v>
      </c>
      <c r="CU73" s="3">
        <f t="shared" ref="CU73" si="144">+CT73*(1+TR)</f>
        <v>51.53621695962714</v>
      </c>
      <c r="CV73" s="3">
        <f t="shared" ref="CV73" si="145">+CU73*(1+TR)</f>
        <v>51.020854790030867</v>
      </c>
      <c r="CW73" s="3">
        <f t="shared" ref="CW73" si="146">+CV73*(1+TR)</f>
        <v>50.510646242130555</v>
      </c>
      <c r="CX73" s="3">
        <f t="shared" ref="CX73" si="147">+CW73*(1+TR)</f>
        <v>50.005539779709252</v>
      </c>
      <c r="CY73" s="3">
        <f t="shared" ref="CY73" si="148">+CX73*(1+TR)</f>
        <v>49.505484381912161</v>
      </c>
      <c r="CZ73" s="3">
        <f t="shared" ref="CZ73" si="149">+CY73*(1+TR)</f>
        <v>49.010429538093042</v>
      </c>
      <c r="DA73" s="3">
        <f t="shared" ref="DA73" si="150">+CZ73*(1+TR)</f>
        <v>48.520325242712111</v>
      </c>
      <c r="DB73" s="3">
        <f t="shared" ref="DB73" si="151">+DA73*(1+TR)</f>
        <v>48.035121990284992</v>
      </c>
      <c r="DC73" s="3">
        <f t="shared" ref="DC73" si="152">+DB73*(1+TR)</f>
        <v>47.554770770382142</v>
      </c>
      <c r="DD73" s="3">
        <f t="shared" ref="DD73" si="153">+DC73*(1+TR)</f>
        <v>47.079223062678317</v>
      </c>
      <c r="DE73" s="3">
        <f t="shared" ref="DE73" si="154">+DD73*(1+TR)</f>
        <v>46.608430832051532</v>
      </c>
      <c r="DF73" s="3">
        <f t="shared" ref="DF73" si="155">+DE73*(1+TR)</f>
        <v>46.142346523731014</v>
      </c>
      <c r="DG73" s="3">
        <f t="shared" ref="DG73" si="156">+DF73*(1+TR)</f>
        <v>45.680923058493704</v>
      </c>
      <c r="DH73" s="3">
        <f t="shared" ref="DH73" si="157">+DG73*(1+TR)</f>
        <v>45.224113827908766</v>
      </c>
      <c r="DI73" s="3">
        <f t="shared" ref="DI73" si="158">+DH73*(1+TR)</f>
        <v>44.771872689629681</v>
      </c>
      <c r="DJ73" s="3">
        <f t="shared" ref="DJ73" si="159">+DI73*(1+TR)</f>
        <v>44.324153962733384</v>
      </c>
      <c r="DK73" s="3">
        <f t="shared" ref="DK73" si="160">+DJ73*(1+TR)</f>
        <v>43.880912423106047</v>
      </c>
      <c r="DL73" s="3">
        <f t="shared" ref="DL73" si="161">+DK73*(1+TR)</f>
        <v>43.442103298874983</v>
      </c>
      <c r="DM73" s="3">
        <f t="shared" ref="DM73" si="162">+DL73*(1+TR)</f>
        <v>43.007682265886231</v>
      </c>
      <c r="DN73" s="3">
        <f t="shared" ref="DN73" si="163">+DM73*(1+TR)</f>
        <v>42.57760544322737</v>
      </c>
      <c r="DO73" s="3">
        <f t="shared" ref="DO73" si="164">+DN73*(1+TR)</f>
        <v>42.151829388795093</v>
      </c>
      <c r="DP73" s="3">
        <f t="shared" ref="DP73" si="165">+DO73*(1+TR)</f>
        <v>41.730311094907144</v>
      </c>
      <c r="DQ73" s="3">
        <f t="shared" ref="DQ73" si="166">+DP73*(1+TR)</f>
        <v>41.313007983958073</v>
      </c>
      <c r="DR73" s="3">
        <f t="shared" ref="DR73" si="167">+DQ73*(1+TR)</f>
        <v>40.89987790411849</v>
      </c>
      <c r="DS73" s="3">
        <f t="shared" ref="DS73" si="168">+DR73*(1+TR)</f>
        <v>40.490879125077306</v>
      </c>
      <c r="DT73" s="3">
        <f t="shared" ref="DT73" si="169">+DS73*(1+TR)</f>
        <v>40.085970333826531</v>
      </c>
      <c r="DU73" s="3">
        <f t="shared" ref="DU73" si="170">+DT73*(1+TR)</f>
        <v>39.685110630488268</v>
      </c>
      <c r="DV73" s="3">
        <f t="shared" ref="DV73" si="171">+DU73*(1+TR)</f>
        <v>39.288259524183381</v>
      </c>
      <c r="DW73" s="3">
        <f t="shared" ref="DW73" si="172">+DV73*(1+TR)</f>
        <v>38.895376928941545</v>
      </c>
      <c r="DX73" s="3">
        <f t="shared" ref="DX73" si="173">+DW73*(1+TR)</f>
        <v>38.50642315965213</v>
      </c>
      <c r="DY73" s="3">
        <f t="shared" ref="DY73" si="174">+DX73*(1+TR)</f>
        <v>38.121358928055606</v>
      </c>
      <c r="DZ73" s="3">
        <f t="shared" ref="DZ73" si="175">+DY73*(1+TR)</f>
        <v>37.740145338775051</v>
      </c>
      <c r="EA73" s="3">
        <f t="shared" ref="EA73" si="176">+DZ73*(1+TR)</f>
        <v>37.362743885387303</v>
      </c>
      <c r="EB73" s="3">
        <f t="shared" ref="EB73" si="177">+EA73*(1+TR)</f>
        <v>36.98911644653343</v>
      </c>
      <c r="EC73" s="3">
        <f t="shared" ref="EC73" si="178">+EB73*(1+TR)</f>
        <v>36.619225282068093</v>
      </c>
      <c r="ED73" s="3">
        <f t="shared" ref="ED73" si="179">+EC73*(1+TR)</f>
        <v>36.253033029247412</v>
      </c>
      <c r="EE73" s="3">
        <f t="shared" ref="EE73" si="180">+ED73*(1+TR)</f>
        <v>35.89050269895494</v>
      </c>
      <c r="EF73" s="3">
        <f t="shared" ref="EF73" si="181">+EE73*(1+TR)</f>
        <v>35.531597671965393</v>
      </c>
      <c r="EG73" s="3">
        <f t="shared" ref="EG73" si="182">+EF73*(1+TR)</f>
        <v>35.176281695245741</v>
      </c>
      <c r="EH73" s="3">
        <f t="shared" ref="EH73" si="183">+EG73*(1+TR)</f>
        <v>34.824518878293283</v>
      </c>
      <c r="EI73" s="3">
        <f t="shared" ref="EI73" si="184">+EH73*(1+TR)</f>
        <v>34.47627368951035</v>
      </c>
      <c r="EJ73" s="3">
        <f t="shared" ref="EJ73" si="185">+EI73*(1+TR)</f>
        <v>34.131510952615244</v>
      </c>
      <c r="EK73" s="3">
        <f t="shared" ref="EK73" si="186">+EJ73*(1+TR)</f>
        <v>33.790195843089094</v>
      </c>
      <c r="EL73" s="3">
        <f t="shared" ref="EL73" si="187">+EK73*(1+TR)</f>
        <v>33.452293884658204</v>
      </c>
      <c r="EM73" s="3">
        <f t="shared" ref="EM73" si="188">+EL73*(1+TR)</f>
        <v>33.117770945811621</v>
      </c>
      <c r="EN73" s="3">
        <f t="shared" ref="EN73" si="189">+EM73*(1+TR)</f>
        <v>32.786593236353504</v>
      </c>
      <c r="EO73" s="3">
        <f t="shared" ref="EO73" si="190">+EN73*(1+TR)</f>
        <v>32.458727303989967</v>
      </c>
      <c r="EP73" s="3">
        <f t="shared" ref="EP73" si="191">+EO73*(1+TR)</f>
        <v>32.134140030950064</v>
      </c>
      <c r="EQ73" s="3">
        <f t="shared" ref="EQ73" si="192">+EP73*(1+TR)</f>
        <v>31.812798630640565</v>
      </c>
      <c r="ER73" s="3">
        <f t="shared" ref="ER73" si="193">+EQ73*(1+TR)</f>
        <v>31.49467064433416</v>
      </c>
      <c r="ES73" s="3">
        <f t="shared" ref="ES73" si="194">+ER73*(1+TR)</f>
        <v>31.17972393789082</v>
      </c>
      <c r="ET73" s="3">
        <f t="shared" ref="ET73" si="195">+ES73*(1+TR)</f>
        <v>30.867926698511912</v>
      </c>
      <c r="EU73" s="3">
        <f t="shared" ref="EU73" si="196">+ET73*(1+TR)</f>
        <v>30.559247431526792</v>
      </c>
      <c r="EV73" s="3">
        <f t="shared" ref="EV73" si="197">+EU73*(1+TR)</f>
        <v>30.253654957211523</v>
      </c>
      <c r="EW73" s="3">
        <f t="shared" ref="EW73" si="198">+EV73*(1+TR)</f>
        <v>29.951118407639409</v>
      </c>
      <c r="EX73" s="3">
        <f t="shared" ref="EX73" si="199">+EW73*(1+TR)</f>
        <v>29.651607223563015</v>
      </c>
      <c r="EY73" s="3">
        <f t="shared" ref="EY73" si="200">+EX73*(1+TR)</f>
        <v>29.355091151327386</v>
      </c>
      <c r="EZ73" s="3">
        <f t="shared" ref="EZ73" si="201">+EY73*(1+TR)</f>
        <v>29.061540239814111</v>
      </c>
    </row>
    <row r="74" spans="2:156" s="1" customFormat="1" x14ac:dyDescent="0.25">
      <c r="S74" s="4"/>
      <c r="T74" s="4"/>
      <c r="U74" s="4"/>
    </row>
    <row r="75" spans="2:156" s="2" customFormat="1" x14ac:dyDescent="0.25">
      <c r="B75" s="2" t="s">
        <v>26</v>
      </c>
      <c r="G75" s="2">
        <f>+G55/G53</f>
        <v>0.12932564330079857</v>
      </c>
      <c r="H75" s="2">
        <f>+H55/H53</f>
        <v>9.0612325650410525E-2</v>
      </c>
      <c r="S75" s="2">
        <f>+S55/S53</f>
        <v>0.12806114949287078</v>
      </c>
      <c r="T75" s="2">
        <f>+T55/T53</f>
        <v>0.13760330578512397</v>
      </c>
      <c r="U75" s="2">
        <f>+U55/U53</f>
        <v>7.0812020460358061E-2</v>
      </c>
      <c r="V75" s="2">
        <f>+V55/V53</f>
        <v>9.8784574735470601E-2</v>
      </c>
      <c r="W75" s="2">
        <f t="shared" ref="W75:AE75" si="202">+W55/W53</f>
        <v>0.10364835076971052</v>
      </c>
      <c r="X75" s="2">
        <f t="shared" si="202"/>
        <v>0.10755311018411169</v>
      </c>
      <c r="Y75" s="2">
        <f t="shared" si="202"/>
        <v>0.11248056493183471</v>
      </c>
      <c r="Z75" s="2">
        <f t="shared" si="202"/>
        <v>0.11689645606286335</v>
      </c>
      <c r="AA75" s="2">
        <f t="shared" si="202"/>
        <v>0.12217941604419391</v>
      </c>
      <c r="AB75" s="2">
        <f t="shared" si="202"/>
        <v>0.12599424423138705</v>
      </c>
      <c r="AC75" s="2">
        <f t="shared" si="202"/>
        <v>0.1306095234757276</v>
      </c>
      <c r="AD75" s="2">
        <f t="shared" si="202"/>
        <v>0.13606568579750933</v>
      </c>
      <c r="AE75" s="2">
        <f t="shared" si="202"/>
        <v>0.14239714713602772</v>
      </c>
    </row>
    <row r="76" spans="2:156" s="2" customFormat="1" x14ac:dyDescent="0.25">
      <c r="B76" s="2" t="s">
        <v>27</v>
      </c>
      <c r="G76" s="2">
        <f>+G71/G53</f>
        <v>1.0536823425022183E-2</v>
      </c>
      <c r="H76" s="2">
        <f>+H71/H53</f>
        <v>-1.9784350578692253E-2</v>
      </c>
      <c r="S76" s="2">
        <f>+S71/S53</f>
        <v>-5.5857709833896814E-4</v>
      </c>
      <c r="T76" s="2">
        <f>+T71/T53</f>
        <v>3.4370442391832769E-2</v>
      </c>
      <c r="U76" s="2">
        <f>+U71/U53</f>
        <v>-5.2909207161125321E-2</v>
      </c>
      <c r="V76" s="2">
        <f t="shared" ref="V76:AB76" si="203">+V71/V53</f>
        <v>-8.8565178922713223E-3</v>
      </c>
      <c r="W76" s="2">
        <f t="shared" si="203"/>
        <v>-5.205151144437023E-3</v>
      </c>
      <c r="X76" s="2">
        <f t="shared" si="203"/>
        <v>-3.5573416644989917E-3</v>
      </c>
      <c r="Y76" s="2">
        <f t="shared" si="203"/>
        <v>-1.5884361973335793E-3</v>
      </c>
      <c r="Z76" s="2">
        <f t="shared" si="203"/>
        <v>3.4600264448932723E-4</v>
      </c>
      <c r="AA76" s="2">
        <f t="shared" si="203"/>
        <v>3.6488866979007321E-3</v>
      </c>
      <c r="AB76" s="2">
        <f t="shared" si="203"/>
        <v>4.697118438943027E-3</v>
      </c>
    </row>
    <row r="77" spans="2:156" s="2" customFormat="1" x14ac:dyDescent="0.25"/>
    <row r="78" spans="2:156" s="1" customFormat="1" x14ac:dyDescent="0.25">
      <c r="B78" s="1" t="s">
        <v>31</v>
      </c>
      <c r="H78" s="1">
        <v>5835</v>
      </c>
      <c r="K78" s="1">
        <v>6629</v>
      </c>
      <c r="L78" s="1">
        <v>4867</v>
      </c>
      <c r="M78" s="1">
        <v>4685</v>
      </c>
      <c r="S78" s="1">
        <f>8974+2019</f>
        <v>10993</v>
      </c>
      <c r="T78" s="1">
        <v>7638</v>
      </c>
      <c r="U78" s="1">
        <v>7339</v>
      </c>
      <c r="AF78" s="2" t="s">
        <v>42</v>
      </c>
      <c r="AG78" s="5">
        <v>0.08</v>
      </c>
    </row>
    <row r="79" spans="2:156" s="1" customFormat="1" x14ac:dyDescent="0.25">
      <c r="B79" s="1" t="s">
        <v>57</v>
      </c>
      <c r="K79" s="1">
        <v>7986</v>
      </c>
      <c r="L79" s="1">
        <v>7890</v>
      </c>
      <c r="M79" s="1">
        <v>7908</v>
      </c>
      <c r="AF79" s="2" t="s">
        <v>43</v>
      </c>
      <c r="AG79" s="2">
        <v>-0.01</v>
      </c>
    </row>
    <row r="80" spans="2:156" s="1" customFormat="1" x14ac:dyDescent="0.25">
      <c r="B80" s="1" t="s">
        <v>63</v>
      </c>
      <c r="M80" s="1">
        <f>5652+239</f>
        <v>5891</v>
      </c>
      <c r="AF80" s="1" t="s">
        <v>44</v>
      </c>
      <c r="AG80" s="1">
        <f>NPV(AG78,V73:FN73)</f>
        <v>-74.728375968799313</v>
      </c>
    </row>
    <row r="81" spans="2:156" s="1" customFormat="1" x14ac:dyDescent="0.25">
      <c r="B81" s="1" t="s">
        <v>32</v>
      </c>
      <c r="H81" s="1">
        <v>6246</v>
      </c>
      <c r="K81" s="1">
        <v>4814</v>
      </c>
      <c r="L81" s="1">
        <v>4746</v>
      </c>
      <c r="M81" s="1">
        <v>4851</v>
      </c>
      <c r="S81" s="1">
        <v>6513</v>
      </c>
      <c r="T81" s="1">
        <v>6748</v>
      </c>
      <c r="U81" s="1">
        <v>4954</v>
      </c>
      <c r="AF81" s="1" t="s">
        <v>45</v>
      </c>
      <c r="AG81" s="1">
        <f>+M85+400</f>
        <v>3579</v>
      </c>
    </row>
    <row r="82" spans="2:156" s="1" customFormat="1" x14ac:dyDescent="0.25">
      <c r="B82" s="1" t="s">
        <v>33</v>
      </c>
      <c r="H82" s="1">
        <f>1252+1697</f>
        <v>2949</v>
      </c>
      <c r="K82" s="1">
        <f>1653+1276</f>
        <v>2929</v>
      </c>
      <c r="L82" s="1">
        <f>671+833</f>
        <v>1504</v>
      </c>
      <c r="M82" s="1">
        <f>665+841</f>
        <v>1506</v>
      </c>
      <c r="S82" s="1">
        <f>1640+3784</f>
        <v>5424</v>
      </c>
      <c r="T82" s="1">
        <f>1195+2786</f>
        <v>3981</v>
      </c>
      <c r="U82" s="1">
        <f>1313+1712</f>
        <v>3025</v>
      </c>
      <c r="AF82" s="1" t="s">
        <v>46</v>
      </c>
      <c r="AG82" s="1">
        <f>+AG80+AG81</f>
        <v>3504.2716240312006</v>
      </c>
    </row>
    <row r="83" spans="2:156" s="1" customFormat="1" x14ac:dyDescent="0.25">
      <c r="B83" s="1" t="s">
        <v>34</v>
      </c>
      <c r="H83" s="1">
        <f>+H78+H81-H82</f>
        <v>9132</v>
      </c>
      <c r="K83" s="1">
        <f>+K78+K81-K82</f>
        <v>8514</v>
      </c>
      <c r="L83" s="1">
        <f>+L78+L81-L82</f>
        <v>8109</v>
      </c>
      <c r="M83" s="1">
        <f>+M78+M81-M82</f>
        <v>8030</v>
      </c>
      <c r="S83" s="1">
        <f>+S78+S81-S82</f>
        <v>12082</v>
      </c>
      <c r="T83" s="1">
        <f>+T78+T81-T82</f>
        <v>10405</v>
      </c>
      <c r="U83" s="1">
        <f>+U78+U81-U82</f>
        <v>9268</v>
      </c>
      <c r="AF83" s="1" t="s">
        <v>47</v>
      </c>
      <c r="AG83" s="4">
        <f>+AG82/623</f>
        <v>5.6248340674658115</v>
      </c>
    </row>
    <row r="84" spans="2:156" s="1" customFormat="1" x14ac:dyDescent="0.25">
      <c r="AE84" s="2"/>
      <c r="AF84" s="1" t="s">
        <v>52</v>
      </c>
      <c r="AG84" s="2">
        <f>+AG83/Sheet1!D3 -1</f>
        <v>1.0088693098092185</v>
      </c>
    </row>
    <row r="85" spans="2:156" s="1" customFormat="1" x14ac:dyDescent="0.25">
      <c r="B85" s="1" t="s">
        <v>45</v>
      </c>
      <c r="H85" s="1">
        <f>+H78-H82</f>
        <v>2886</v>
      </c>
      <c r="K85" s="1">
        <f>+K78-K82</f>
        <v>3700</v>
      </c>
      <c r="L85" s="1">
        <f>+L78-L82</f>
        <v>3363</v>
      </c>
      <c r="M85" s="1">
        <f>+M78-M82</f>
        <v>3179</v>
      </c>
      <c r="S85" s="1">
        <f>+S78-S82</f>
        <v>5569</v>
      </c>
      <c r="T85" s="1">
        <f>+T78-T82</f>
        <v>3657</v>
      </c>
      <c r="U85" s="1">
        <f>+U78-U82</f>
        <v>4314</v>
      </c>
      <c r="AE85" s="2"/>
    </row>
    <row r="86" spans="2:156" s="1" customFormat="1" x14ac:dyDescent="0.25">
      <c r="AE86" s="2"/>
    </row>
    <row r="87" spans="2:156" s="1" customFormat="1" x14ac:dyDescent="0.25">
      <c r="B87" s="1" t="s">
        <v>55</v>
      </c>
      <c r="K87" s="1">
        <v>430</v>
      </c>
      <c r="L87" s="1">
        <v>259</v>
      </c>
      <c r="M87" s="1">
        <v>172</v>
      </c>
      <c r="T87" s="1">
        <v>1421</v>
      </c>
      <c r="U87" s="1">
        <v>3121</v>
      </c>
      <c r="V87" s="1">
        <v>1500</v>
      </c>
      <c r="W87" s="1">
        <f>+V87*0.97</f>
        <v>1455</v>
      </c>
      <c r="X87" s="1">
        <f t="shared" ref="X87:AB87" si="204">+W87*0.97</f>
        <v>1411.35</v>
      </c>
      <c r="Y87" s="1">
        <f t="shared" si="204"/>
        <v>1369.0094999999999</v>
      </c>
      <c r="Z87" s="1">
        <f t="shared" si="204"/>
        <v>1327.9392149999999</v>
      </c>
      <c r="AA87" s="1">
        <f t="shared" si="204"/>
        <v>1288.1010385499999</v>
      </c>
      <c r="AB87" s="1">
        <f t="shared" si="204"/>
        <v>1249.4580073934999</v>
      </c>
      <c r="AC87" s="1">
        <f t="shared" ref="AC87:AD87" si="205">+AB87*0.97</f>
        <v>1211.9742671716949</v>
      </c>
      <c r="AD87" s="1">
        <f t="shared" si="205"/>
        <v>1175.6150391565441</v>
      </c>
    </row>
    <row r="88" spans="2:156" s="1" customFormat="1" x14ac:dyDescent="0.25">
      <c r="B88" s="1" t="s">
        <v>28</v>
      </c>
      <c r="G88" s="1">
        <f>69-H88</f>
        <v>-137</v>
      </c>
      <c r="H88" s="1">
        <v>206</v>
      </c>
      <c r="K88" s="1">
        <v>-424</v>
      </c>
      <c r="L88" s="1">
        <v>113</v>
      </c>
      <c r="M88" s="1">
        <v>249</v>
      </c>
      <c r="S88" s="1">
        <v>94</v>
      </c>
      <c r="T88" s="1">
        <v>618</v>
      </c>
      <c r="U88" s="1">
        <v>2064</v>
      </c>
      <c r="V88" s="1">
        <f>+V71-V65+V87</f>
        <v>1203.1287040000029</v>
      </c>
      <c r="W88" s="1">
        <f t="shared" ref="W88:AB88" si="206">+W71-W65+W87</f>
        <v>1299.4697940799972</v>
      </c>
      <c r="X88" s="1">
        <f t="shared" si="206"/>
        <v>1320.1242066768054</v>
      </c>
      <c r="Y88" s="1">
        <f t="shared" si="206"/>
        <v>1351.9942069652784</v>
      </c>
      <c r="Z88" s="1">
        <f t="shared" si="206"/>
        <v>1382.4234758168527</v>
      </c>
      <c r="AA88" s="1">
        <f t="shared" si="206"/>
        <v>1461.966322957735</v>
      </c>
      <c r="AB88" s="1">
        <f t="shared" si="206"/>
        <v>1459.5258163840313</v>
      </c>
      <c r="AC88" s="1">
        <f t="shared" ref="AC88" si="207">+AC71-AC65+AC87</f>
        <v>1421.2508997334412</v>
      </c>
      <c r="AD88" s="1">
        <f t="shared" ref="AD88" si="208">+AD71-AD65+AD87</f>
        <v>1384.1345970870154</v>
      </c>
    </row>
    <row r="89" spans="2:156" s="1" customFormat="1" x14ac:dyDescent="0.25">
      <c r="B89" s="1" t="s">
        <v>29</v>
      </c>
      <c r="G89" s="1">
        <f>619-H89</f>
        <v>217</v>
      </c>
      <c r="H89" s="1">
        <v>402</v>
      </c>
      <c r="K89" s="1">
        <v>293</v>
      </c>
      <c r="L89" s="1">
        <v>259</v>
      </c>
      <c r="M89" s="1">
        <v>491</v>
      </c>
      <c r="S89" s="1">
        <v>1404</v>
      </c>
      <c r="T89" s="1">
        <v>1247</v>
      </c>
      <c r="U89" s="1">
        <v>1698</v>
      </c>
      <c r="V89" s="1">
        <v>1500</v>
      </c>
      <c r="W89" s="1">
        <v>1470</v>
      </c>
      <c r="X89" s="1">
        <v>1430</v>
      </c>
      <c r="Y89" s="1">
        <f>+X89*0.98</f>
        <v>1401.3999999999999</v>
      </c>
      <c r="Z89" s="1">
        <f t="shared" ref="Z89:AB89" si="209">+Y89*0.98</f>
        <v>1373.3719999999998</v>
      </c>
      <c r="AA89" s="1">
        <f t="shared" si="209"/>
        <v>1345.9045599999997</v>
      </c>
      <c r="AB89" s="1">
        <f t="shared" si="209"/>
        <v>1318.9864687999998</v>
      </c>
      <c r="AC89" s="1">
        <f t="shared" ref="AC89:AD89" si="210">+AB89*0.98</f>
        <v>1292.6067394239997</v>
      </c>
      <c r="AD89" s="1">
        <f t="shared" si="210"/>
        <v>1266.7546046355196</v>
      </c>
    </row>
    <row r="90" spans="2:156" s="1" customFormat="1" x14ac:dyDescent="0.25">
      <c r="B90" s="1" t="s">
        <v>30</v>
      </c>
      <c r="G90" s="1">
        <f>+G88-G89</f>
        <v>-354</v>
      </c>
      <c r="H90" s="1">
        <f>+H88-H89</f>
        <v>-196</v>
      </c>
      <c r="K90" s="1">
        <f>+K88-K89</f>
        <v>-717</v>
      </c>
      <c r="L90" s="1">
        <f>+L88-L89</f>
        <v>-146</v>
      </c>
      <c r="M90" s="1">
        <f>+M88-M89</f>
        <v>-242</v>
      </c>
      <c r="S90" s="1">
        <f>+S88-S89</f>
        <v>-1310</v>
      </c>
      <c r="T90" s="1">
        <f>+T88-T89</f>
        <v>-629</v>
      </c>
      <c r="U90" s="1">
        <f>+U88-U89</f>
        <v>366</v>
      </c>
      <c r="V90" s="1">
        <f t="shared" ref="V90:AD90" si="211">+V88-V89</f>
        <v>-296.87129599999707</v>
      </c>
      <c r="W90" s="1">
        <f t="shared" si="211"/>
        <v>-170.5302059200028</v>
      </c>
      <c r="X90" s="1">
        <f t="shared" si="211"/>
        <v>-109.87579332319456</v>
      </c>
      <c r="Y90" s="1">
        <f t="shared" si="211"/>
        <v>-49.405793034721455</v>
      </c>
      <c r="Z90" s="1">
        <f t="shared" si="211"/>
        <v>9.0514758168528715</v>
      </c>
      <c r="AA90" s="1">
        <f t="shared" si="211"/>
        <v>116.06176295773525</v>
      </c>
      <c r="AB90" s="1">
        <f t="shared" si="211"/>
        <v>140.53934758403147</v>
      </c>
      <c r="AC90" s="1">
        <f t="shared" si="211"/>
        <v>128.64416030944153</v>
      </c>
      <c r="AD90" s="1">
        <f t="shared" si="211"/>
        <v>117.37999245149581</v>
      </c>
      <c r="AE90" s="1">
        <f t="shared" ref="AE90:BH90" si="212">+AD90*(1+TR)</f>
        <v>116.20619252698086</v>
      </c>
      <c r="AF90" s="1">
        <f t="shared" si="212"/>
        <v>115.04413060171105</v>
      </c>
      <c r="AG90" s="1">
        <f t="shared" si="212"/>
        <v>113.89368929569393</v>
      </c>
      <c r="AH90" s="1">
        <f t="shared" si="212"/>
        <v>112.754752402737</v>
      </c>
      <c r="AI90" s="1">
        <f t="shared" si="212"/>
        <v>111.62720487870962</v>
      </c>
      <c r="AJ90" s="1">
        <f t="shared" si="212"/>
        <v>110.51093282992252</v>
      </c>
      <c r="AK90" s="1">
        <f t="shared" si="212"/>
        <v>109.4058235016233</v>
      </c>
      <c r="AL90" s="1">
        <f t="shared" si="212"/>
        <v>108.31176526660707</v>
      </c>
      <c r="AM90" s="1">
        <f t="shared" si="212"/>
        <v>107.22864761394099</v>
      </c>
      <c r="AN90" s="1">
        <f t="shared" si="212"/>
        <v>106.15636113780158</v>
      </c>
      <c r="AO90" s="1">
        <f t="shared" si="212"/>
        <v>105.09479752642356</v>
      </c>
      <c r="AP90" s="1">
        <f t="shared" si="212"/>
        <v>104.04384955115933</v>
      </c>
      <c r="AQ90" s="1">
        <f t="shared" si="212"/>
        <v>103.00341105564773</v>
      </c>
      <c r="AR90" s="1">
        <f t="shared" si="212"/>
        <v>101.97337694509126</v>
      </c>
      <c r="AS90" s="1">
        <f t="shared" si="212"/>
        <v>100.95364317564035</v>
      </c>
      <c r="AT90" s="1">
        <f t="shared" si="212"/>
        <v>99.94410674388395</v>
      </c>
      <c r="AU90" s="1">
        <f t="shared" si="212"/>
        <v>98.944665676445112</v>
      </c>
      <c r="AV90" s="1">
        <f t="shared" si="212"/>
        <v>97.955219019680655</v>
      </c>
      <c r="AW90" s="1">
        <f t="shared" si="212"/>
        <v>96.975666829483842</v>
      </c>
      <c r="AX90" s="1">
        <f t="shared" si="212"/>
        <v>96.005910161189007</v>
      </c>
      <c r="AY90" s="1">
        <f t="shared" si="212"/>
        <v>95.045851059577117</v>
      </c>
      <c r="AZ90" s="1">
        <f t="shared" si="212"/>
        <v>94.095392548981351</v>
      </c>
      <c r="BA90" s="1">
        <f t="shared" si="212"/>
        <v>93.154438623491544</v>
      </c>
      <c r="BB90" s="1">
        <f t="shared" si="212"/>
        <v>92.222894237256625</v>
      </c>
      <c r="BC90" s="1">
        <f t="shared" si="212"/>
        <v>91.300665294884055</v>
      </c>
      <c r="BD90" s="1">
        <f t="shared" si="212"/>
        <v>90.387658641935218</v>
      </c>
      <c r="BE90" s="1">
        <f t="shared" si="212"/>
        <v>89.48378205551586</v>
      </c>
      <c r="BF90" s="1">
        <f t="shared" si="212"/>
        <v>88.588944234960707</v>
      </c>
      <c r="BG90" s="1">
        <f t="shared" si="212"/>
        <v>87.703054792611098</v>
      </c>
      <c r="BH90" s="1">
        <f t="shared" si="212"/>
        <v>86.826024244684987</v>
      </c>
      <c r="BI90" s="1">
        <f t="shared" ref="BI90:CN90" si="213">+BH90*(1+TR)</f>
        <v>85.957764002238136</v>
      </c>
      <c r="BJ90" s="1">
        <f t="shared" si="213"/>
        <v>85.098186362215756</v>
      </c>
      <c r="BK90" s="1">
        <f t="shared" si="213"/>
        <v>84.247204498593604</v>
      </c>
      <c r="BL90" s="1">
        <f t="shared" si="213"/>
        <v>83.404732453607664</v>
      </c>
      <c r="BM90" s="1">
        <f t="shared" si="213"/>
        <v>82.570685129071592</v>
      </c>
      <c r="BN90" s="1">
        <f t="shared" si="213"/>
        <v>81.744978277780874</v>
      </c>
      <c r="BO90" s="1">
        <f t="shared" si="213"/>
        <v>80.92752849500306</v>
      </c>
      <c r="BP90" s="1">
        <f t="shared" si="213"/>
        <v>80.118253210053027</v>
      </c>
      <c r="BQ90" s="1">
        <f t="shared" si="213"/>
        <v>79.317070677952501</v>
      </c>
      <c r="BR90" s="1">
        <f t="shared" si="213"/>
        <v>78.52389997117298</v>
      </c>
      <c r="BS90" s="1">
        <f t="shared" si="213"/>
        <v>77.738660971461243</v>
      </c>
      <c r="BT90" s="1">
        <f t="shared" si="213"/>
        <v>76.961274361746632</v>
      </c>
      <c r="BU90" s="1">
        <f t="shared" si="213"/>
        <v>76.19166161812916</v>
      </c>
      <c r="BV90" s="1">
        <f t="shared" si="213"/>
        <v>75.429745001947865</v>
      </c>
      <c r="BW90" s="1">
        <f t="shared" si="213"/>
        <v>74.675447551928386</v>
      </c>
      <c r="BX90" s="1">
        <f t="shared" si="213"/>
        <v>73.928693076409104</v>
      </c>
      <c r="BY90" s="1">
        <f t="shared" si="213"/>
        <v>73.189406145645009</v>
      </c>
      <c r="BZ90" s="1">
        <f t="shared" si="213"/>
        <v>72.457512084188565</v>
      </c>
      <c r="CA90" s="1">
        <f t="shared" si="213"/>
        <v>71.732936963346674</v>
      </c>
      <c r="CB90" s="1">
        <f t="shared" si="213"/>
        <v>71.015607593713213</v>
      </c>
      <c r="CC90" s="1">
        <f t="shared" si="213"/>
        <v>70.305451517776078</v>
      </c>
      <c r="CD90" s="1">
        <f t="shared" si="213"/>
        <v>69.602397002598323</v>
      </c>
      <c r="CE90" s="1">
        <f t="shared" si="213"/>
        <v>68.906373032572333</v>
      </c>
      <c r="CF90" s="1">
        <f t="shared" si="213"/>
        <v>68.217309302246605</v>
      </c>
      <c r="CG90" s="1">
        <f t="shared" si="213"/>
        <v>67.535136209224135</v>
      </c>
      <c r="CH90" s="1">
        <f t="shared" si="213"/>
        <v>66.859784847131891</v>
      </c>
      <c r="CI90" s="1">
        <f t="shared" si="213"/>
        <v>66.191186998660569</v>
      </c>
      <c r="CJ90" s="1">
        <f t="shared" si="213"/>
        <v>65.529275128673959</v>
      </c>
      <c r="CK90" s="1">
        <f t="shared" si="213"/>
        <v>64.873982377387222</v>
      </c>
      <c r="CL90" s="1">
        <f t="shared" si="213"/>
        <v>64.225242553613356</v>
      </c>
      <c r="CM90" s="1">
        <f t="shared" si="213"/>
        <v>63.582990128077221</v>
      </c>
      <c r="CN90" s="1">
        <f t="shared" si="213"/>
        <v>62.947160226796449</v>
      </c>
      <c r="CO90" s="1">
        <f t="shared" ref="CO90:DT90" si="214">+CN90*(1+TR)</f>
        <v>62.317688624528486</v>
      </c>
      <c r="CP90" s="1">
        <f t="shared" si="214"/>
        <v>61.694511738283204</v>
      </c>
      <c r="CQ90" s="1">
        <f t="shared" si="214"/>
        <v>61.07756662090037</v>
      </c>
      <c r="CR90" s="1">
        <f t="shared" si="214"/>
        <v>60.466790954691369</v>
      </c>
      <c r="CS90" s="1">
        <f t="shared" si="214"/>
        <v>59.862123045144457</v>
      </c>
      <c r="CT90" s="1">
        <f t="shared" si="214"/>
        <v>59.263501814693015</v>
      </c>
      <c r="CU90" s="1">
        <f t="shared" si="214"/>
        <v>58.670866796546086</v>
      </c>
      <c r="CV90" s="1">
        <f t="shared" si="214"/>
        <v>58.084158128580626</v>
      </c>
      <c r="CW90" s="1">
        <f t="shared" si="214"/>
        <v>57.503316547294816</v>
      </c>
      <c r="CX90" s="1">
        <f t="shared" si="214"/>
        <v>56.928283381821863</v>
      </c>
      <c r="CY90" s="1">
        <f t="shared" si="214"/>
        <v>56.359000548003642</v>
      </c>
      <c r="CZ90" s="1">
        <f t="shared" si="214"/>
        <v>55.795410542523605</v>
      </c>
      <c r="DA90" s="1">
        <f t="shared" si="214"/>
        <v>55.237456437098366</v>
      </c>
      <c r="DB90" s="1">
        <f t="shared" si="214"/>
        <v>54.68508187272738</v>
      </c>
      <c r="DC90" s="1">
        <f t="shared" si="214"/>
        <v>54.138231054000109</v>
      </c>
      <c r="DD90" s="1">
        <f t="shared" si="214"/>
        <v>53.596848743460107</v>
      </c>
      <c r="DE90" s="1">
        <f t="shared" si="214"/>
        <v>53.060880256025506</v>
      </c>
      <c r="DF90" s="1">
        <f t="shared" si="214"/>
        <v>52.530271453465254</v>
      </c>
      <c r="DG90" s="1">
        <f t="shared" si="214"/>
        <v>52.0049687389306</v>
      </c>
      <c r="DH90" s="1">
        <f t="shared" si="214"/>
        <v>51.484919051541297</v>
      </c>
      <c r="DI90" s="1">
        <f t="shared" si="214"/>
        <v>50.970069861025884</v>
      </c>
      <c r="DJ90" s="1">
        <f t="shared" si="214"/>
        <v>50.460369162415624</v>
      </c>
      <c r="DK90" s="1">
        <f t="shared" si="214"/>
        <v>49.955765470791469</v>
      </c>
      <c r="DL90" s="1">
        <f t="shared" si="214"/>
        <v>49.456207816083555</v>
      </c>
      <c r="DM90" s="1">
        <f t="shared" si="214"/>
        <v>48.961645737922723</v>
      </c>
      <c r="DN90" s="1">
        <f t="shared" si="214"/>
        <v>48.472029280543495</v>
      </c>
      <c r="DO90" s="1">
        <f t="shared" si="214"/>
        <v>47.987308987738061</v>
      </c>
      <c r="DP90" s="1">
        <f t="shared" si="214"/>
        <v>47.507435897860681</v>
      </c>
      <c r="DQ90" s="1">
        <f t="shared" si="214"/>
        <v>47.032361538882071</v>
      </c>
      <c r="DR90" s="1">
        <f t="shared" si="214"/>
        <v>46.56203792349325</v>
      </c>
      <c r="DS90" s="1">
        <f t="shared" si="214"/>
        <v>46.096417544258316</v>
      </c>
      <c r="DT90" s="1">
        <f t="shared" si="214"/>
        <v>45.635453368815732</v>
      </c>
      <c r="DU90" s="1">
        <f t="shared" ref="DU90:EZ90" si="215">+DT90*(1+TR)</f>
        <v>45.179098835127576</v>
      </c>
      <c r="DV90" s="1">
        <f t="shared" si="215"/>
        <v>44.727307846776299</v>
      </c>
      <c r="DW90" s="1">
        <f t="shared" si="215"/>
        <v>44.280034768308532</v>
      </c>
      <c r="DX90" s="1">
        <f t="shared" si="215"/>
        <v>43.83723442062545</v>
      </c>
      <c r="DY90" s="1">
        <f t="shared" si="215"/>
        <v>43.398862076419192</v>
      </c>
      <c r="DZ90" s="1">
        <f t="shared" si="215"/>
        <v>42.964873455655002</v>
      </c>
      <c r="EA90" s="1">
        <f t="shared" si="215"/>
        <v>42.535224721098452</v>
      </c>
      <c r="EB90" s="1">
        <f t="shared" si="215"/>
        <v>42.109872473887464</v>
      </c>
      <c r="EC90" s="1">
        <f t="shared" si="215"/>
        <v>41.688773749148588</v>
      </c>
      <c r="ED90" s="1">
        <f t="shared" si="215"/>
        <v>41.271886011657102</v>
      </c>
      <c r="EE90" s="1">
        <f t="shared" si="215"/>
        <v>40.859167151540532</v>
      </c>
      <c r="EF90" s="1">
        <f t="shared" si="215"/>
        <v>40.45057548002513</v>
      </c>
      <c r="EG90" s="1">
        <f t="shared" si="215"/>
        <v>40.046069725224875</v>
      </c>
      <c r="EH90" s="1">
        <f t="shared" si="215"/>
        <v>39.645609027972625</v>
      </c>
      <c r="EI90" s="1">
        <f t="shared" si="215"/>
        <v>39.249152937692898</v>
      </c>
      <c r="EJ90" s="1">
        <f t="shared" si="215"/>
        <v>38.856661408315972</v>
      </c>
      <c r="EK90" s="1">
        <f t="shared" si="215"/>
        <v>38.468094794232812</v>
      </c>
      <c r="EL90" s="1">
        <f t="shared" si="215"/>
        <v>38.083413846290483</v>
      </c>
      <c r="EM90" s="1">
        <f t="shared" si="215"/>
        <v>37.702579707827582</v>
      </c>
      <c r="EN90" s="1">
        <f t="shared" si="215"/>
        <v>37.325553910749306</v>
      </c>
      <c r="EO90" s="1">
        <f t="shared" si="215"/>
        <v>36.95229837164181</v>
      </c>
      <c r="EP90" s="1">
        <f t="shared" si="215"/>
        <v>36.582775387925395</v>
      </c>
      <c r="EQ90" s="1">
        <f t="shared" si="215"/>
        <v>36.216947634046143</v>
      </c>
      <c r="ER90" s="1">
        <f t="shared" si="215"/>
        <v>35.854778157705681</v>
      </c>
      <c r="ES90" s="1">
        <f t="shared" si="215"/>
        <v>35.496230376128622</v>
      </c>
      <c r="ET90" s="1">
        <f t="shared" si="215"/>
        <v>35.141268072367339</v>
      </c>
      <c r="EU90" s="1">
        <f t="shared" si="215"/>
        <v>34.789855391643663</v>
      </c>
      <c r="EV90" s="1">
        <f t="shared" si="215"/>
        <v>34.441956837727226</v>
      </c>
      <c r="EW90" s="1">
        <f t="shared" si="215"/>
        <v>34.097537269349957</v>
      </c>
      <c r="EX90" s="1">
        <f t="shared" si="215"/>
        <v>33.756561896656457</v>
      </c>
      <c r="EY90" s="1">
        <f t="shared" si="215"/>
        <v>33.418996277689892</v>
      </c>
      <c r="EZ90" s="1">
        <f t="shared" si="215"/>
        <v>33.084806314912996</v>
      </c>
    </row>
    <row r="91" spans="2:156" s="1" customFormat="1" x14ac:dyDescent="0.25"/>
    <row r="96" spans="2:156" s="1" customFormat="1" x14ac:dyDescent="0.25"/>
    <row r="97" spans="20:20" s="1" customFormat="1" x14ac:dyDescent="0.25">
      <c r="T97" s="4"/>
    </row>
    <row r="98" spans="20:20" s="1" customFormat="1" x14ac:dyDescent="0.25"/>
    <row r="99" spans="20:20" s="1" customFormat="1" x14ac:dyDescent="0.25"/>
    <row r="100" spans="20:20" s="1" customFormat="1" x14ac:dyDescent="0.25"/>
    <row r="101" spans="20:20" s="1" customFormat="1" x14ac:dyDescent="0.25"/>
    <row r="102" spans="20:20" s="1" customFormat="1" x14ac:dyDescent="0.25"/>
    <row r="103" spans="20:20" s="1" customFormat="1" x14ac:dyDescent="0.25"/>
    <row r="104" spans="20:20" s="1" customFormat="1" x14ac:dyDescent="0.25"/>
    <row r="105" spans="20:20" s="1" customFormat="1" x14ac:dyDescent="0.25"/>
    <row r="106" spans="20:20" s="1" customFormat="1" x14ac:dyDescent="0.25"/>
    <row r="107" spans="20:20" s="1" customFormat="1" x14ac:dyDescent="0.25"/>
    <row r="108" spans="20:20" s="1" customFormat="1" x14ac:dyDescent="0.25"/>
    <row r="109" spans="20:20" s="1" customFormat="1" x14ac:dyDescent="0.25"/>
    <row r="110" spans="20:20" s="1" customFormat="1" x14ac:dyDescent="0.25"/>
    <row r="111" spans="20:20" s="1" customFormat="1" x14ac:dyDescent="0.25"/>
    <row r="112" spans="20:20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</sheetData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2023-05-21T13:03:10Z</dcterms:created>
  <dcterms:modified xsi:type="dcterms:W3CDTF">2024-09-10T23:08:31Z</dcterms:modified>
</cp:coreProperties>
</file>