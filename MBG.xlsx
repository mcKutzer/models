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FD6BE2A-1A50-41F5-AC51-A395882B56B9}" xr6:coauthVersionLast="47" xr6:coauthVersionMax="47" xr10:uidLastSave="{00000000-0000-0000-0000-000000000000}"/>
  <bookViews>
    <workbookView xWindow="-120" yWindow="-120" windowWidth="29040" windowHeight="15840" xr2:uid="{7559BEA1-51F2-4224-87CF-54344FF16F24}"/>
  </bookViews>
  <sheets>
    <sheet name="Sheet1" sheetId="1" r:id="rId1"/>
  </sheets>
  <definedNames>
    <definedName name="TR">Sheet1!$Z$40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8" i="1" l="1"/>
  <c r="R22" i="1"/>
  <c r="S22" i="1"/>
  <c r="T22" i="1"/>
  <c r="U22" i="1"/>
  <c r="V22" i="1"/>
  <c r="W22" i="1"/>
  <c r="Q22" i="1"/>
  <c r="P27" i="1"/>
  <c r="S18" i="1"/>
  <c r="T18" i="1"/>
  <c r="U18" i="1"/>
  <c r="V18" i="1"/>
  <c r="W18" i="1"/>
  <c r="O4" i="1"/>
  <c r="P4" i="1"/>
  <c r="N4" i="1"/>
  <c r="N6" i="1"/>
  <c r="O6" i="1"/>
  <c r="P6" i="1"/>
  <c r="M6" i="1"/>
  <c r="O52" i="1"/>
  <c r="R18" i="1"/>
  <c r="R19" i="1" s="1"/>
  <c r="Q18" i="1"/>
  <c r="Q19" i="1" s="1"/>
  <c r="Q38" i="1" s="1"/>
  <c r="S19" i="1"/>
  <c r="P20" i="1"/>
  <c r="P18" i="1"/>
  <c r="P19" i="1" s="1"/>
  <c r="N52" i="1"/>
  <c r="N51" i="1"/>
  <c r="O51" i="1"/>
  <c r="O47" i="1"/>
  <c r="O43" i="1"/>
  <c r="O44" i="1" s="1"/>
  <c r="O58" i="1" s="1"/>
  <c r="N12" i="1"/>
  <c r="N11" i="1"/>
  <c r="O12" i="1"/>
  <c r="O11" i="1"/>
  <c r="E46" i="1"/>
  <c r="F18" i="1"/>
  <c r="M47" i="1"/>
  <c r="N47" i="1"/>
  <c r="E47" i="1"/>
  <c r="C47" i="1"/>
  <c r="C52" i="1"/>
  <c r="E52" i="1"/>
  <c r="D31" i="1"/>
  <c r="D29" i="1"/>
  <c r="D28" i="1"/>
  <c r="D26" i="1"/>
  <c r="D25" i="1"/>
  <c r="D24" i="1"/>
  <c r="D23" i="1"/>
  <c r="D22" i="1"/>
  <c r="D21" i="1"/>
  <c r="D20" i="1"/>
  <c r="D18" i="1"/>
  <c r="D17" i="1"/>
  <c r="G19" i="1"/>
  <c r="G27" i="1" s="1"/>
  <c r="G30" i="1" s="1"/>
  <c r="G32" i="1" s="1"/>
  <c r="E19" i="1"/>
  <c r="E27" i="1" s="1"/>
  <c r="E30" i="1" s="1"/>
  <c r="E32" i="1" s="1"/>
  <c r="E40" i="1" s="1"/>
  <c r="K43" i="1"/>
  <c r="K44" i="1" s="1"/>
  <c r="L43" i="1"/>
  <c r="L44" i="1" s="1"/>
  <c r="L19" i="1"/>
  <c r="L27" i="1" s="1"/>
  <c r="L30" i="1" s="1"/>
  <c r="L32" i="1" s="1"/>
  <c r="L34" i="1" s="1"/>
  <c r="L36" i="1" s="1"/>
  <c r="K19" i="1"/>
  <c r="K27" i="1" s="1"/>
  <c r="K30" i="1" s="1"/>
  <c r="K32" i="1" s="1"/>
  <c r="K34" i="1" s="1"/>
  <c r="K36" i="1" s="1"/>
  <c r="L2" i="1"/>
  <c r="K2" i="1" s="1"/>
  <c r="M43" i="1"/>
  <c r="M44" i="1" s="1"/>
  <c r="N43" i="1"/>
  <c r="N44" i="1" s="1"/>
  <c r="N58" i="1" s="1"/>
  <c r="C19" i="1"/>
  <c r="C27" i="1" s="1"/>
  <c r="C30" i="1" s="1"/>
  <c r="C32" i="1" s="1"/>
  <c r="C40" i="1" s="1"/>
  <c r="M19" i="1"/>
  <c r="M27" i="1" s="1"/>
  <c r="M30" i="1" s="1"/>
  <c r="M32" i="1" s="1"/>
  <c r="M34" i="1" s="1"/>
  <c r="M36" i="1" s="1"/>
  <c r="N19" i="1"/>
  <c r="N27" i="1" s="1"/>
  <c r="N30" i="1" s="1"/>
  <c r="N32" i="1" s="1"/>
  <c r="N2" i="1"/>
  <c r="O2" i="1" s="1"/>
  <c r="P2" i="1" s="1"/>
  <c r="Q2" i="1" s="1"/>
  <c r="R2" i="1" s="1"/>
  <c r="S2" i="1" s="1"/>
  <c r="T2" i="1" s="1"/>
  <c r="U2" i="1" s="1"/>
  <c r="V2" i="1" s="1"/>
  <c r="W2" i="1" s="1"/>
  <c r="O53" i="1" l="1"/>
  <c r="N53" i="1"/>
  <c r="M39" i="1"/>
  <c r="L39" i="1"/>
  <c r="E39" i="1"/>
  <c r="C39" i="1"/>
  <c r="O19" i="1"/>
  <c r="O38" i="1" s="1"/>
  <c r="N39" i="1"/>
  <c r="T19" i="1"/>
  <c r="T38" i="1" s="1"/>
  <c r="K39" i="1"/>
  <c r="Q27" i="1"/>
  <c r="Q30" i="1" s="1"/>
  <c r="S27" i="1"/>
  <c r="S30" i="1" s="1"/>
  <c r="R27" i="1"/>
  <c r="R38" i="1"/>
  <c r="S38" i="1"/>
  <c r="P38" i="1"/>
  <c r="C38" i="1"/>
  <c r="E38" i="1"/>
  <c r="F19" i="1"/>
  <c r="F27" i="1" s="1"/>
  <c r="D19" i="1"/>
  <c r="N38" i="1"/>
  <c r="M40" i="1"/>
  <c r="N34" i="1"/>
  <c r="N36" i="1" s="1"/>
  <c r="N40" i="1"/>
  <c r="L40" i="1"/>
  <c r="K40" i="1"/>
  <c r="M38" i="1"/>
  <c r="L38" i="1"/>
  <c r="K38" i="1"/>
  <c r="F30" i="1" l="1"/>
  <c r="F39" i="1"/>
  <c r="T27" i="1"/>
  <c r="T30" i="1" s="1"/>
  <c r="T31" i="1" s="1"/>
  <c r="T32" i="1" s="1"/>
  <c r="F31" i="1"/>
  <c r="F38" i="1"/>
  <c r="O27" i="1"/>
  <c r="O39" i="1" s="1"/>
  <c r="U19" i="1"/>
  <c r="Q31" i="1"/>
  <c r="Q32" i="1" s="1"/>
  <c r="S31" i="1"/>
  <c r="S32" i="1" s="1"/>
  <c r="S39" i="1"/>
  <c r="Q39" i="1"/>
  <c r="P30" i="1"/>
  <c r="P39" i="1"/>
  <c r="R30" i="1"/>
  <c r="R39" i="1"/>
  <c r="D27" i="1"/>
  <c r="D38" i="1"/>
  <c r="D30" i="1" l="1"/>
  <c r="D32" i="1" s="1"/>
  <c r="D40" i="1" s="1"/>
  <c r="D39" i="1"/>
  <c r="T39" i="1"/>
  <c r="O30" i="1"/>
  <c r="O32" i="1" s="1"/>
  <c r="O34" i="1" s="1"/>
  <c r="O36" i="1" s="1"/>
  <c r="F32" i="1"/>
  <c r="F40" i="1" s="1"/>
  <c r="S40" i="1"/>
  <c r="S34" i="1"/>
  <c r="Q40" i="1"/>
  <c r="Q34" i="1"/>
  <c r="T40" i="1"/>
  <c r="T34" i="1"/>
  <c r="V19" i="1"/>
  <c r="P31" i="1"/>
  <c r="P32" i="1" s="1"/>
  <c r="R31" i="1"/>
  <c r="R32" i="1" s="1"/>
  <c r="U27" i="1"/>
  <c r="U38" i="1"/>
  <c r="T35" i="1" l="1"/>
  <c r="T58" i="1"/>
  <c r="Q35" i="1"/>
  <c r="Q58" i="1"/>
  <c r="S35" i="1"/>
  <c r="S58" i="1"/>
  <c r="O40" i="1"/>
  <c r="P40" i="1"/>
  <c r="P34" i="1"/>
  <c r="P58" i="1" s="1"/>
  <c r="R40" i="1"/>
  <c r="R34" i="1"/>
  <c r="W19" i="1"/>
  <c r="U30" i="1"/>
  <c r="U39" i="1"/>
  <c r="V27" i="1"/>
  <c r="V38" i="1"/>
  <c r="R35" i="1" l="1"/>
  <c r="R58" i="1"/>
  <c r="W27" i="1"/>
  <c r="W30" i="1" s="1"/>
  <c r="W38" i="1"/>
  <c r="U31" i="1"/>
  <c r="U32" i="1" s="1"/>
  <c r="V30" i="1"/>
  <c r="V39" i="1"/>
  <c r="W39" i="1" l="1"/>
  <c r="U40" i="1"/>
  <c r="U34" i="1"/>
  <c r="V31" i="1"/>
  <c r="V32" i="1" s="1"/>
  <c r="W31" i="1"/>
  <c r="W32" i="1" s="1"/>
  <c r="U35" i="1" l="1"/>
  <c r="U58" i="1"/>
  <c r="W40" i="1"/>
  <c r="W34" i="1"/>
  <c r="V40" i="1"/>
  <c r="V34" i="1"/>
  <c r="V35" i="1" l="1"/>
  <c r="V58" i="1"/>
  <c r="W35" i="1"/>
  <c r="X34" i="1"/>
  <c r="X57" i="1" s="1"/>
  <c r="Y34" i="1" l="1"/>
  <c r="Z34" i="1" l="1"/>
  <c r="Y57" i="1"/>
  <c r="AA34" i="1" l="1"/>
  <c r="Z57" i="1"/>
  <c r="P35" i="1"/>
  <c r="AB34" i="1" l="1"/>
  <c r="AA57" i="1"/>
  <c r="AC34" i="1" l="1"/>
  <c r="AB57" i="1"/>
  <c r="AD34" i="1" l="1"/>
  <c r="AC57" i="1"/>
  <c r="AE34" i="1" l="1"/>
  <c r="AD57" i="1"/>
  <c r="AF34" i="1" l="1"/>
  <c r="AE57" i="1"/>
  <c r="AG34" i="1" l="1"/>
  <c r="AF57" i="1"/>
  <c r="AH34" i="1" l="1"/>
  <c r="AG57" i="1"/>
  <c r="AI34" i="1" l="1"/>
  <c r="AH57" i="1"/>
  <c r="AJ34" i="1" l="1"/>
  <c r="AI57" i="1"/>
  <c r="AK34" i="1" l="1"/>
  <c r="AJ57" i="1"/>
  <c r="AL34" i="1" l="1"/>
  <c r="AK57" i="1"/>
  <c r="AM34" i="1" l="1"/>
  <c r="AL57" i="1"/>
  <c r="AN34" i="1" l="1"/>
  <c r="AM57" i="1"/>
  <c r="AO34" i="1" l="1"/>
  <c r="AN57" i="1"/>
  <c r="AP34" i="1" l="1"/>
  <c r="AO57" i="1"/>
  <c r="AQ34" i="1" l="1"/>
  <c r="AP57" i="1"/>
  <c r="AR34" i="1" l="1"/>
  <c r="AQ57" i="1"/>
  <c r="AS34" i="1" l="1"/>
  <c r="AR57" i="1"/>
  <c r="AT34" i="1" l="1"/>
  <c r="AS57" i="1"/>
  <c r="AU34" i="1" l="1"/>
  <c r="AT57" i="1"/>
  <c r="AV34" i="1" l="1"/>
  <c r="AU57" i="1"/>
  <c r="AW34" i="1" l="1"/>
  <c r="AV57" i="1"/>
  <c r="AX34" i="1" l="1"/>
  <c r="AW57" i="1"/>
  <c r="AY34" i="1" l="1"/>
  <c r="AX57" i="1"/>
  <c r="AZ34" i="1" l="1"/>
  <c r="AY57" i="1"/>
  <c r="BA34" i="1" l="1"/>
  <c r="AZ57" i="1"/>
  <c r="BB34" i="1" l="1"/>
  <c r="BA57" i="1"/>
  <c r="BC34" i="1" l="1"/>
  <c r="BB57" i="1"/>
  <c r="BD34" i="1" l="1"/>
  <c r="BC57" i="1"/>
  <c r="BE34" i="1" l="1"/>
  <c r="BD57" i="1"/>
  <c r="BF34" i="1" l="1"/>
  <c r="BE57" i="1"/>
  <c r="BG34" i="1" l="1"/>
  <c r="BF57" i="1"/>
  <c r="BH34" i="1" l="1"/>
  <c r="BG57" i="1"/>
  <c r="BI34" i="1" l="1"/>
  <c r="BH57" i="1"/>
  <c r="BJ34" i="1" l="1"/>
  <c r="BI57" i="1"/>
  <c r="BK34" i="1" l="1"/>
  <c r="BJ57" i="1"/>
  <c r="BL34" i="1" l="1"/>
  <c r="BK57" i="1"/>
  <c r="BM34" i="1" l="1"/>
  <c r="BL57" i="1"/>
  <c r="BN34" i="1" l="1"/>
  <c r="BM57" i="1"/>
  <c r="BO34" i="1" l="1"/>
  <c r="BN57" i="1"/>
  <c r="BP34" i="1" l="1"/>
  <c r="BO57" i="1"/>
  <c r="BQ34" i="1" l="1"/>
  <c r="BP57" i="1"/>
  <c r="BR34" i="1" l="1"/>
  <c r="BQ57" i="1"/>
  <c r="BS34" i="1" l="1"/>
  <c r="BR57" i="1"/>
  <c r="BT34" i="1" l="1"/>
  <c r="BS57" i="1"/>
  <c r="BU34" i="1" l="1"/>
  <c r="BT57" i="1"/>
  <c r="BV34" i="1" l="1"/>
  <c r="BU57" i="1"/>
  <c r="BW34" i="1" l="1"/>
  <c r="BV57" i="1"/>
  <c r="BX34" i="1" l="1"/>
  <c r="BW57" i="1"/>
  <c r="BY34" i="1" l="1"/>
  <c r="BX57" i="1"/>
  <c r="BZ34" i="1" l="1"/>
  <c r="BY57" i="1"/>
  <c r="CA34" i="1" l="1"/>
  <c r="BZ57" i="1"/>
  <c r="CB34" i="1" l="1"/>
  <c r="CA57" i="1"/>
  <c r="CC34" i="1" l="1"/>
  <c r="CB57" i="1"/>
  <c r="CD34" i="1" l="1"/>
  <c r="CC57" i="1"/>
  <c r="CE34" i="1" l="1"/>
  <c r="CD57" i="1"/>
  <c r="CF34" i="1" l="1"/>
  <c r="CE57" i="1"/>
  <c r="CG34" i="1" l="1"/>
  <c r="CF57" i="1"/>
  <c r="CH34" i="1" l="1"/>
  <c r="CG57" i="1"/>
  <c r="CI34" i="1" l="1"/>
  <c r="CH57" i="1"/>
  <c r="CJ34" i="1" l="1"/>
  <c r="CI57" i="1"/>
  <c r="CK34" i="1" l="1"/>
  <c r="CJ57" i="1"/>
  <c r="CL34" i="1" l="1"/>
  <c r="CK57" i="1"/>
  <c r="CM34" i="1" l="1"/>
  <c r="CL57" i="1"/>
  <c r="CN34" i="1" l="1"/>
  <c r="CM57" i="1"/>
  <c r="CO34" i="1" l="1"/>
  <c r="CN57" i="1"/>
  <c r="CP34" i="1" l="1"/>
  <c r="CO57" i="1"/>
  <c r="CQ34" i="1" l="1"/>
  <c r="CP57" i="1"/>
  <c r="CR34" i="1" l="1"/>
  <c r="CQ57" i="1"/>
  <c r="CS34" i="1" l="1"/>
  <c r="CR57" i="1"/>
  <c r="CT34" i="1" l="1"/>
  <c r="CS57" i="1"/>
  <c r="CU34" i="1" l="1"/>
  <c r="CT57" i="1"/>
  <c r="CV34" i="1" l="1"/>
  <c r="CU57" i="1"/>
  <c r="CW34" i="1" l="1"/>
  <c r="CV57" i="1"/>
  <c r="CX34" i="1" l="1"/>
  <c r="CW57" i="1"/>
  <c r="CY34" i="1" l="1"/>
  <c r="CX57" i="1"/>
  <c r="CZ34" i="1" l="1"/>
  <c r="CY57" i="1"/>
  <c r="DA34" i="1" l="1"/>
  <c r="CZ57" i="1"/>
  <c r="DB34" i="1" l="1"/>
  <c r="DA57" i="1"/>
  <c r="DC34" i="1" l="1"/>
  <c r="DB57" i="1"/>
  <c r="DD34" i="1" l="1"/>
  <c r="DC57" i="1"/>
  <c r="DE34" i="1" l="1"/>
  <c r="DD57" i="1"/>
  <c r="DF34" i="1" l="1"/>
  <c r="DE57" i="1"/>
  <c r="DG34" i="1" l="1"/>
  <c r="DF57" i="1"/>
  <c r="DH34" i="1" l="1"/>
  <c r="DG57" i="1"/>
  <c r="DI34" i="1" l="1"/>
  <c r="DH57" i="1"/>
  <c r="DJ34" i="1" l="1"/>
  <c r="DI57" i="1"/>
  <c r="DK34" i="1" l="1"/>
  <c r="DJ57" i="1"/>
  <c r="DL34" i="1" l="1"/>
  <c r="DK57" i="1"/>
  <c r="DM34" i="1" l="1"/>
  <c r="DL57" i="1"/>
  <c r="DN34" i="1" l="1"/>
  <c r="DM57" i="1"/>
  <c r="DO34" i="1" l="1"/>
  <c r="DN57" i="1"/>
  <c r="DP34" i="1" l="1"/>
  <c r="DO57" i="1"/>
  <c r="DQ34" i="1" l="1"/>
  <c r="DP57" i="1"/>
  <c r="DR34" i="1" l="1"/>
  <c r="DQ57" i="1"/>
  <c r="DS34" i="1" l="1"/>
  <c r="DR57" i="1"/>
  <c r="DT34" i="1" l="1"/>
  <c r="DS57" i="1"/>
  <c r="DU34" i="1" l="1"/>
  <c r="DT57" i="1"/>
  <c r="DV34" i="1" l="1"/>
  <c r="DU57" i="1"/>
  <c r="DW34" i="1" l="1"/>
  <c r="DV57" i="1"/>
  <c r="DX34" i="1" l="1"/>
  <c r="DW57" i="1"/>
  <c r="DY34" i="1" l="1"/>
  <c r="DX57" i="1"/>
  <c r="DZ34" i="1" l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Z41" i="1" s="1"/>
  <c r="Z42" i="1" s="1"/>
  <c r="DY57" i="1"/>
  <c r="Z43" i="1" s="1"/>
</calcChain>
</file>

<file path=xl/sharedStrings.xml><?xml version="1.0" encoding="utf-8"?>
<sst xmlns="http://schemas.openxmlformats.org/spreadsheetml/2006/main" count="55" uniqueCount="52">
  <si>
    <t>Autos Sold</t>
  </si>
  <si>
    <t>Revenue</t>
  </si>
  <si>
    <t>COGS</t>
  </si>
  <si>
    <t>Profit</t>
  </si>
  <si>
    <t>Selling</t>
  </si>
  <si>
    <t>G&amp;A</t>
  </si>
  <si>
    <t>R&amp;D</t>
  </si>
  <si>
    <t>Other Income</t>
  </si>
  <si>
    <t>Other Expense</t>
  </si>
  <si>
    <t>Equity, net</t>
  </si>
  <si>
    <t>Finance, net</t>
  </si>
  <si>
    <t>EBIT</t>
  </si>
  <si>
    <t>Interest Income</t>
  </si>
  <si>
    <t>Interest Expense</t>
  </si>
  <si>
    <t>Pretax</t>
  </si>
  <si>
    <t>Taxes</t>
  </si>
  <si>
    <t>Net Income</t>
  </si>
  <si>
    <t>Minortiy</t>
  </si>
  <si>
    <t>Company Income</t>
  </si>
  <si>
    <t>EPS</t>
  </si>
  <si>
    <t>Shares</t>
  </si>
  <si>
    <t>Gross Margin</t>
  </si>
  <si>
    <t>Net Margin</t>
  </si>
  <si>
    <t>CFFO</t>
  </si>
  <si>
    <t>CapEx</t>
  </si>
  <si>
    <t>FCF</t>
  </si>
  <si>
    <t>H1 23</t>
  </si>
  <si>
    <t>H2 24</t>
  </si>
  <si>
    <t>H2 23</t>
  </si>
  <si>
    <t>H1 25</t>
  </si>
  <si>
    <t>H1 24</t>
  </si>
  <si>
    <t>Cash</t>
  </si>
  <si>
    <t>Investment</t>
  </si>
  <si>
    <t>Debt</t>
  </si>
  <si>
    <t>EBIT Margin</t>
  </si>
  <si>
    <t>Discount</t>
  </si>
  <si>
    <t>Terminal</t>
  </si>
  <si>
    <t>NPV</t>
  </si>
  <si>
    <t>Price</t>
  </si>
  <si>
    <t>Inventory</t>
  </si>
  <si>
    <t>Pensions</t>
  </si>
  <si>
    <t>Rent-out</t>
  </si>
  <si>
    <t>Workforce</t>
  </si>
  <si>
    <t>Industrial</t>
  </si>
  <si>
    <t>Financial</t>
  </si>
  <si>
    <t>Financial Rec.</t>
  </si>
  <si>
    <t>Net Debt</t>
  </si>
  <si>
    <t>Dividend</t>
  </si>
  <si>
    <t>Dividend Ratio</t>
  </si>
  <si>
    <t>DDF</t>
  </si>
  <si>
    <t>Revenue/Car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</si>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</sst>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4" fontId="0" fillId="0" borderId="0" xfId="0" applyNumberFormat="1"/>
    <xf numFmtId="3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597776</xdr:colOff>
      <xdr:row>15</xdr:row>
      <xdr:rowOff>157655</xdr:rowOff>
    </xdr:from>
    <xdr:to>
      <xdr:col>14</xdr:col>
      <xdr:colOff>604345</xdr:colOff>
      <xdr:row>53</xdr:row>
      <xdr:rowOff>65690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E90D3D5-DFAA-5EED-D1A0-9AE6D1F13BD9}"/>
            </a:ext>
          </a:extLst>
        </xdr:cNvPr>
        <xdr:cNvCxnSpPr/>
      </xdr:nvCxnSpPr>
      <xdr:spPr>
        <a:xfrm flipH="1">
          <a:off x="9183414" y="2634155"/>
          <a:ext cx="6569" cy="67660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B347-118A-45E6-84DF-F699F50E3778}">
  <dimension ref="B2:FD167"/>
  <sheetViews>
    <sheetView tabSelected="1" zoomScale="160" zoomScaleNormal="160" workbookViewId="0">
      <pane xSplit="2" ySplit="2" topLeftCell="M32" activePane="bottomRight" state="frozen"/>
      <selection pane="topRight" activeCell="C1" sqref="C1"/>
      <selection pane="bottomLeft" activeCell="A3" sqref="A3"/>
      <selection pane="bottomRight" activeCell="Z42" sqref="Z42"/>
    </sheetView>
  </sheetViews>
  <sheetFormatPr defaultRowHeight="15" x14ac:dyDescent="0.25"/>
  <cols>
    <col min="1" max="1" width="2.85546875" customWidth="1"/>
    <col min="2" max="2" width="16" bestFit="1" customWidth="1"/>
  </cols>
  <sheetData>
    <row r="2" spans="2:23" x14ac:dyDescent="0.25">
      <c r="C2" t="s">
        <v>26</v>
      </c>
      <c r="D2" t="s">
        <v>28</v>
      </c>
      <c r="E2" t="s">
        <v>30</v>
      </c>
      <c r="F2" t="s">
        <v>27</v>
      </c>
      <c r="G2" t="s">
        <v>29</v>
      </c>
      <c r="K2">
        <f>+L2-1</f>
        <v>2020</v>
      </c>
      <c r="L2">
        <f>+M2-1</f>
        <v>2021</v>
      </c>
      <c r="M2">
        <v>2022</v>
      </c>
      <c r="N2">
        <f>+M2+1</f>
        <v>2023</v>
      </c>
      <c r="O2">
        <f t="shared" ref="O2:W2" si="0">+N2+1</f>
        <v>2024</v>
      </c>
      <c r="P2">
        <f t="shared" si="0"/>
        <v>2025</v>
      </c>
      <c r="Q2">
        <f t="shared" si="0"/>
        <v>2026</v>
      </c>
      <c r="R2">
        <f t="shared" si="0"/>
        <v>2027</v>
      </c>
      <c r="S2">
        <f t="shared" si="0"/>
        <v>2028</v>
      </c>
      <c r="T2">
        <f t="shared" si="0"/>
        <v>2029</v>
      </c>
      <c r="U2">
        <f t="shared" si="0"/>
        <v>2030</v>
      </c>
      <c r="V2">
        <f>+U2+1</f>
        <v>2031</v>
      </c>
      <c r="W2">
        <f t="shared" si="0"/>
        <v>2032</v>
      </c>
    </row>
    <row r="3" spans="2:23" s="1" customFormat="1" x14ac:dyDescent="0.25"/>
    <row r="4" spans="2:23" s="1" customFormat="1" x14ac:dyDescent="0.25">
      <c r="B4" s="1" t="s">
        <v>51</v>
      </c>
      <c r="N4" s="4">
        <f>+N5/M5 -1</f>
        <v>1.2048192771083599E-3</v>
      </c>
      <c r="O4" s="4">
        <f t="shared" ref="O4:P4" si="1">+O5/N5 -1</f>
        <v>-4.1716807059767325E-2</v>
      </c>
      <c r="P4" s="4">
        <f t="shared" si="1"/>
        <v>-9.5856006697362939E-2</v>
      </c>
    </row>
    <row r="5" spans="2:23" s="1" customFormat="1" x14ac:dyDescent="0.25">
      <c r="B5" s="1" t="s">
        <v>0</v>
      </c>
      <c r="M5" s="1">
        <v>2490</v>
      </c>
      <c r="N5" s="1">
        <v>2493</v>
      </c>
      <c r="O5" s="1">
        <v>2389</v>
      </c>
      <c r="P5" s="1">
        <v>2160</v>
      </c>
    </row>
    <row r="6" spans="2:23" s="8" customFormat="1" x14ac:dyDescent="0.25">
      <c r="B6" s="8" t="s">
        <v>50</v>
      </c>
      <c r="M6" s="8">
        <f>+M17/M5</f>
        <v>60.247791164658636</v>
      </c>
      <c r="N6" s="8">
        <f>+N17/N5</f>
        <v>61.12715603690333</v>
      </c>
      <c r="O6" s="8">
        <f>+O17/O5</f>
        <v>60.943491000418582</v>
      </c>
      <c r="P6" s="8">
        <f>+P17/P5</f>
        <v>62.5</v>
      </c>
    </row>
    <row r="7" spans="2:23" s="1" customFormat="1" x14ac:dyDescent="0.25"/>
    <row r="8" spans="2:23" s="1" customFormat="1" x14ac:dyDescent="0.25">
      <c r="B8" s="2" t="s">
        <v>11</v>
      </c>
    </row>
    <row r="9" spans="2:23" s="1" customFormat="1" x14ac:dyDescent="0.25">
      <c r="B9" s="1" t="s">
        <v>43</v>
      </c>
      <c r="N9" s="1">
        <v>18358</v>
      </c>
      <c r="O9" s="1">
        <v>12465</v>
      </c>
    </row>
    <row r="10" spans="2:23" s="1" customFormat="1" x14ac:dyDescent="0.25">
      <c r="B10" s="5" t="s">
        <v>44</v>
      </c>
      <c r="N10" s="1">
        <v>1302</v>
      </c>
      <c r="O10" s="1">
        <v>1134</v>
      </c>
    </row>
    <row r="11" spans="2:23" s="3" customFormat="1" x14ac:dyDescent="0.25">
      <c r="N11" s="4">
        <f>+N9/N15</f>
        <v>0.14475748901978411</v>
      </c>
      <c r="O11" s="4">
        <f>+O9/O15</f>
        <v>0.10343454124519753</v>
      </c>
    </row>
    <row r="12" spans="2:23" s="3" customFormat="1" x14ac:dyDescent="0.25">
      <c r="N12" s="4">
        <f>+N10/N16</f>
        <v>5.0917054475773334E-2</v>
      </c>
      <c r="O12" s="4">
        <f>+O10/O16</f>
        <v>4.5209903121636169E-2</v>
      </c>
    </row>
    <row r="13" spans="2:23" s="1" customFormat="1" x14ac:dyDescent="0.25"/>
    <row r="14" spans="2:23" s="1" customFormat="1" x14ac:dyDescent="0.25">
      <c r="N14" s="8"/>
      <c r="O14" s="8"/>
      <c r="P14" s="8"/>
    </row>
    <row r="15" spans="2:23" s="1" customFormat="1" x14ac:dyDescent="0.25">
      <c r="B15" s="1" t="s">
        <v>43</v>
      </c>
      <c r="N15" s="1">
        <v>126819</v>
      </c>
      <c r="O15" s="1">
        <v>120511</v>
      </c>
    </row>
    <row r="16" spans="2:23" s="7" customFormat="1" x14ac:dyDescent="0.25">
      <c r="B16" s="7" t="s">
        <v>44</v>
      </c>
      <c r="N16" s="7">
        <v>25571</v>
      </c>
      <c r="O16" s="7">
        <v>25083</v>
      </c>
    </row>
    <row r="17" spans="2:23" s="2" customFormat="1" x14ac:dyDescent="0.25">
      <c r="B17" s="2" t="s">
        <v>1</v>
      </c>
      <c r="C17" s="2">
        <v>75757</v>
      </c>
      <c r="D17" s="2">
        <f>+N17-C17</f>
        <v>76633</v>
      </c>
      <c r="E17" s="2">
        <v>72616</v>
      </c>
      <c r="F17" s="2">
        <v>77000</v>
      </c>
      <c r="K17" s="2">
        <v>121778</v>
      </c>
      <c r="L17" s="2">
        <v>133893</v>
      </c>
      <c r="M17" s="2">
        <v>150017</v>
      </c>
      <c r="N17" s="2">
        <v>152390</v>
      </c>
      <c r="O17" s="2">
        <v>145594</v>
      </c>
      <c r="P17" s="2">
        <v>135000</v>
      </c>
      <c r="Q17" s="2">
        <v>135000</v>
      </c>
      <c r="R17" s="2">
        <v>135000</v>
      </c>
      <c r="S17" s="2">
        <v>135000</v>
      </c>
      <c r="T17" s="2">
        <v>135000</v>
      </c>
      <c r="U17" s="2">
        <v>135000</v>
      </c>
      <c r="V17" s="2">
        <v>135000</v>
      </c>
      <c r="W17" s="2">
        <v>135000</v>
      </c>
    </row>
    <row r="18" spans="2:23" s="1" customFormat="1" x14ac:dyDescent="0.25">
      <c r="B18" s="1" t="s">
        <v>2</v>
      </c>
      <c r="C18" s="1">
        <v>57316</v>
      </c>
      <c r="D18" s="1">
        <f>+N18-C18</f>
        <v>60070</v>
      </c>
      <c r="E18" s="1">
        <v>57686</v>
      </c>
      <c r="F18" s="1">
        <f>+F17*0.8</f>
        <v>61600</v>
      </c>
      <c r="K18" s="1">
        <v>101592</v>
      </c>
      <c r="L18" s="1">
        <v>103218</v>
      </c>
      <c r="M18" s="1">
        <v>115997</v>
      </c>
      <c r="N18" s="1">
        <v>117386</v>
      </c>
      <c r="O18" s="1">
        <v>117018</v>
      </c>
      <c r="P18" s="1">
        <f>+P17*0.82</f>
        <v>110700</v>
      </c>
      <c r="Q18" s="1">
        <f>+Q17*0.81</f>
        <v>109350</v>
      </c>
      <c r="R18" s="1">
        <f>+R17*0.8</f>
        <v>108000</v>
      </c>
      <c r="S18" s="1">
        <f t="shared" ref="S18:W18" si="2">+S17*0.8</f>
        <v>108000</v>
      </c>
      <c r="T18" s="1">
        <f t="shared" si="2"/>
        <v>108000</v>
      </c>
      <c r="U18" s="1">
        <f t="shared" si="2"/>
        <v>108000</v>
      </c>
      <c r="V18" s="1">
        <f t="shared" si="2"/>
        <v>108000</v>
      </c>
      <c r="W18" s="1">
        <f t="shared" si="2"/>
        <v>108000</v>
      </c>
    </row>
    <row r="19" spans="2:23" s="1" customFormat="1" x14ac:dyDescent="0.25">
      <c r="B19" s="1" t="s">
        <v>3</v>
      </c>
      <c r="C19" s="1">
        <f>+C17-C18</f>
        <v>18441</v>
      </c>
      <c r="D19" s="1">
        <f>+D17-D18</f>
        <v>16563</v>
      </c>
      <c r="E19" s="1">
        <f>+E17-E18</f>
        <v>14930</v>
      </c>
      <c r="F19" s="1">
        <f>+F17-F18</f>
        <v>15400</v>
      </c>
      <c r="G19" s="1">
        <f>+G17-G18</f>
        <v>0</v>
      </c>
      <c r="K19" s="1">
        <f t="shared" ref="K19:P19" si="3">+K17-K18</f>
        <v>20186</v>
      </c>
      <c r="L19" s="1">
        <f t="shared" si="3"/>
        <v>30675</v>
      </c>
      <c r="M19" s="1">
        <f t="shared" si="3"/>
        <v>34020</v>
      </c>
      <c r="N19" s="1">
        <f t="shared" si="3"/>
        <v>35004</v>
      </c>
      <c r="O19" s="1">
        <f t="shared" si="3"/>
        <v>28576</v>
      </c>
      <c r="P19" s="1">
        <f t="shared" si="3"/>
        <v>24300</v>
      </c>
      <c r="Q19" s="1">
        <f t="shared" ref="Q19:U19" si="4">+Q17-Q18</f>
        <v>25650</v>
      </c>
      <c r="R19" s="1">
        <f t="shared" si="4"/>
        <v>27000</v>
      </c>
      <c r="S19" s="1">
        <f t="shared" si="4"/>
        <v>27000</v>
      </c>
      <c r="T19" s="1">
        <f t="shared" si="4"/>
        <v>27000</v>
      </c>
      <c r="U19" s="1">
        <f t="shared" si="4"/>
        <v>27000</v>
      </c>
      <c r="V19" s="1">
        <f t="shared" ref="V19" si="5">+V17-V18</f>
        <v>27000</v>
      </c>
      <c r="W19" s="1">
        <f t="shared" ref="W19" si="6">+W17-W18</f>
        <v>27000</v>
      </c>
    </row>
    <row r="20" spans="2:23" s="1" customFormat="1" x14ac:dyDescent="0.25">
      <c r="B20" s="1" t="s">
        <v>4</v>
      </c>
      <c r="C20" s="1">
        <v>4873</v>
      </c>
      <c r="D20" s="1">
        <f t="shared" ref="D20:D26" si="7">+N20-C20</f>
        <v>5397</v>
      </c>
      <c r="E20" s="1">
        <v>4786</v>
      </c>
      <c r="F20" s="1">
        <v>4750</v>
      </c>
      <c r="K20" s="1">
        <v>8966</v>
      </c>
      <c r="L20" s="1">
        <v>9194</v>
      </c>
      <c r="M20" s="1">
        <v>9482</v>
      </c>
      <c r="N20" s="1">
        <v>10270</v>
      </c>
      <c r="O20" s="1">
        <v>9993</v>
      </c>
      <c r="P20" s="1">
        <f>4850*2</f>
        <v>9700</v>
      </c>
      <c r="Q20" s="1">
        <v>10000</v>
      </c>
      <c r="R20" s="1">
        <v>10000</v>
      </c>
      <c r="S20" s="1">
        <v>10000</v>
      </c>
      <c r="T20" s="1">
        <v>10000</v>
      </c>
      <c r="U20" s="1">
        <v>10000</v>
      </c>
      <c r="V20" s="1">
        <v>10000</v>
      </c>
      <c r="W20" s="1">
        <v>10000</v>
      </c>
    </row>
    <row r="21" spans="2:23" s="1" customFormat="1" x14ac:dyDescent="0.25">
      <c r="B21" s="1" t="s">
        <v>5</v>
      </c>
      <c r="C21" s="1">
        <v>1458</v>
      </c>
      <c r="D21" s="1">
        <f t="shared" si="7"/>
        <v>1313</v>
      </c>
      <c r="E21" s="1">
        <v>1335</v>
      </c>
      <c r="F21" s="1">
        <v>1400</v>
      </c>
      <c r="K21" s="1">
        <v>2507</v>
      </c>
      <c r="L21" s="1">
        <v>2808</v>
      </c>
      <c r="M21" s="1">
        <v>2584</v>
      </c>
      <c r="N21" s="1">
        <v>2771</v>
      </c>
      <c r="O21" s="1">
        <v>2529</v>
      </c>
      <c r="P21" s="1">
        <v>2600</v>
      </c>
      <c r="Q21" s="1">
        <v>2700</v>
      </c>
      <c r="R21" s="1">
        <v>2700</v>
      </c>
      <c r="S21" s="1">
        <v>2700</v>
      </c>
      <c r="T21" s="1">
        <v>2700</v>
      </c>
      <c r="U21" s="1">
        <v>2700</v>
      </c>
      <c r="V21" s="1">
        <v>2700</v>
      </c>
      <c r="W21" s="1">
        <v>2700</v>
      </c>
    </row>
    <row r="22" spans="2:23" s="1" customFormat="1" x14ac:dyDescent="0.25">
      <c r="B22" s="1" t="s">
        <v>6</v>
      </c>
      <c r="C22" s="1">
        <v>3319</v>
      </c>
      <c r="D22" s="1">
        <f t="shared" si="7"/>
        <v>2911</v>
      </c>
      <c r="E22" s="1">
        <v>2929</v>
      </c>
      <c r="F22" s="1">
        <v>2950</v>
      </c>
      <c r="K22" s="1">
        <v>4839</v>
      </c>
      <c r="L22" s="1">
        <v>5467</v>
      </c>
      <c r="M22" s="1">
        <v>5602</v>
      </c>
      <c r="N22" s="1">
        <v>6230</v>
      </c>
      <c r="O22" s="1">
        <v>5580</v>
      </c>
      <c r="P22" s="1">
        <v>5800</v>
      </c>
      <c r="Q22" s="1">
        <f>+Q17*0.045</f>
        <v>6075</v>
      </c>
      <c r="R22" s="1">
        <f t="shared" ref="R22:W22" si="8">+R17*0.045</f>
        <v>6075</v>
      </c>
      <c r="S22" s="1">
        <f t="shared" si="8"/>
        <v>6075</v>
      </c>
      <c r="T22" s="1">
        <f t="shared" si="8"/>
        <v>6075</v>
      </c>
      <c r="U22" s="1">
        <f t="shared" si="8"/>
        <v>6075</v>
      </c>
      <c r="V22" s="1">
        <f t="shared" si="8"/>
        <v>6075</v>
      </c>
      <c r="W22" s="1">
        <f t="shared" si="8"/>
        <v>6075</v>
      </c>
    </row>
    <row r="23" spans="2:23" s="1" customFormat="1" x14ac:dyDescent="0.25">
      <c r="B23" s="1" t="s">
        <v>7</v>
      </c>
      <c r="C23" s="1">
        <v>1005</v>
      </c>
      <c r="D23" s="1">
        <f t="shared" si="7"/>
        <v>1201</v>
      </c>
      <c r="E23" s="1">
        <v>1324</v>
      </c>
      <c r="F23" s="1">
        <v>1400</v>
      </c>
      <c r="K23" s="1">
        <v>2384</v>
      </c>
      <c r="L23" s="1">
        <v>2888</v>
      </c>
      <c r="M23" s="1">
        <v>3323</v>
      </c>
      <c r="N23" s="1">
        <v>2206</v>
      </c>
      <c r="O23" s="1">
        <v>2024</v>
      </c>
    </row>
    <row r="24" spans="2:23" s="1" customFormat="1" x14ac:dyDescent="0.25">
      <c r="B24" s="1" t="s">
        <v>8</v>
      </c>
      <c r="C24" s="1">
        <v>409</v>
      </c>
      <c r="D24" s="1">
        <f t="shared" si="7"/>
        <v>107</v>
      </c>
      <c r="E24" s="1">
        <v>226</v>
      </c>
      <c r="F24" s="1">
        <v>400</v>
      </c>
      <c r="K24" s="1">
        <v>591</v>
      </c>
      <c r="L24" s="1">
        <v>1735</v>
      </c>
      <c r="M24" s="1">
        <v>1289</v>
      </c>
      <c r="N24" s="1">
        <v>516</v>
      </c>
    </row>
    <row r="25" spans="2:23" s="1" customFormat="1" x14ac:dyDescent="0.25">
      <c r="B25" s="1" t="s">
        <v>9</v>
      </c>
      <c r="C25" s="1">
        <v>1043</v>
      </c>
      <c r="D25" s="1">
        <f t="shared" si="7"/>
        <v>1086</v>
      </c>
      <c r="E25" s="1">
        <v>921</v>
      </c>
      <c r="F25" s="1">
        <v>900</v>
      </c>
      <c r="K25" s="1">
        <v>747</v>
      </c>
      <c r="L25" s="1">
        <v>1352</v>
      </c>
      <c r="M25" s="1">
        <v>1732</v>
      </c>
      <c r="N25" s="1">
        <v>2129</v>
      </c>
      <c r="O25" s="1">
        <v>1138</v>
      </c>
      <c r="P25" s="1">
        <v>1000</v>
      </c>
      <c r="Q25" s="1">
        <v>1000</v>
      </c>
      <c r="R25" s="1">
        <v>1000</v>
      </c>
      <c r="S25" s="1">
        <v>1000</v>
      </c>
      <c r="T25" s="1">
        <v>1000</v>
      </c>
      <c r="U25" s="1">
        <v>1000</v>
      </c>
      <c r="V25" s="1">
        <v>1000</v>
      </c>
      <c r="W25" s="1">
        <v>1000</v>
      </c>
    </row>
    <row r="26" spans="2:23" s="1" customFormat="1" x14ac:dyDescent="0.25">
      <c r="B26" s="1" t="s">
        <v>10</v>
      </c>
      <c r="C26" s="1">
        <v>62</v>
      </c>
      <c r="D26" s="1">
        <f t="shared" si="7"/>
        <v>46</v>
      </c>
      <c r="E26" s="1">
        <v>1</v>
      </c>
      <c r="F26" s="1">
        <v>1</v>
      </c>
      <c r="K26" s="1">
        <v>-323</v>
      </c>
      <c r="L26" s="1">
        <v>317</v>
      </c>
      <c r="M26" s="1">
        <v>340</v>
      </c>
      <c r="N26" s="1">
        <v>108</v>
      </c>
      <c r="O26" s="1">
        <v>-37</v>
      </c>
    </row>
    <row r="27" spans="2:23" s="1" customFormat="1" x14ac:dyDescent="0.25">
      <c r="B27" s="1" t="s">
        <v>11</v>
      </c>
      <c r="C27" s="1">
        <f>+C19-C20-C21-C22+C23-C24+C25+C26</f>
        <v>10492</v>
      </c>
      <c r="D27" s="1">
        <f>+D19-D20-D21-D22+D23-D24+D25+D26</f>
        <v>9168</v>
      </c>
      <c r="E27" s="1">
        <f>+E19-E20-E21-E22+E23-E24+E25+E26</f>
        <v>7900</v>
      </c>
      <c r="F27" s="1">
        <f>+F19-F20-F21-F22+F23-F24+F25+F26</f>
        <v>8201</v>
      </c>
      <c r="G27" s="1">
        <f>+G19-G20-G21-G22+G23-G24+G25+G26</f>
        <v>0</v>
      </c>
      <c r="K27" s="1">
        <f t="shared" ref="K27:O27" si="9">+K19-K20-K21-K22+K23-K24+K25+K26</f>
        <v>6091</v>
      </c>
      <c r="L27" s="1">
        <f t="shared" si="9"/>
        <v>16028</v>
      </c>
      <c r="M27" s="1">
        <f t="shared" si="9"/>
        <v>20458</v>
      </c>
      <c r="N27" s="1">
        <f t="shared" si="9"/>
        <v>19660</v>
      </c>
      <c r="O27" s="1">
        <f t="shared" si="9"/>
        <v>13599</v>
      </c>
      <c r="P27" s="1">
        <f>+P19-P20-P21-P22+P23-P24+P25+P26</f>
        <v>7200</v>
      </c>
      <c r="Q27" s="1">
        <f t="shared" ref="Q27:U27" si="10">+Q19-Q20-Q21-Q22+Q23-Q24+Q25+Q26</f>
        <v>7875</v>
      </c>
      <c r="R27" s="1">
        <f t="shared" si="10"/>
        <v>9225</v>
      </c>
      <c r="S27" s="1">
        <f t="shared" si="10"/>
        <v>9225</v>
      </c>
      <c r="T27" s="1">
        <f t="shared" si="10"/>
        <v>9225</v>
      </c>
      <c r="U27" s="1">
        <f t="shared" si="10"/>
        <v>9225</v>
      </c>
      <c r="V27" s="1">
        <f t="shared" ref="V27" si="11">+V19-V20-V21-V22+V23-V24+V25+V26</f>
        <v>9225</v>
      </c>
      <c r="W27" s="1">
        <f t="shared" ref="W27" si="12">+W19-W20-W21-W22+W23-W24+W25+W26</f>
        <v>9225</v>
      </c>
    </row>
    <row r="28" spans="2:23" s="1" customFormat="1" x14ac:dyDescent="0.25">
      <c r="B28" s="1" t="s">
        <v>12</v>
      </c>
      <c r="C28" s="1">
        <v>310</v>
      </c>
      <c r="D28" s="1">
        <f>+N28-C28</f>
        <v>368</v>
      </c>
      <c r="E28" s="1">
        <v>385</v>
      </c>
      <c r="F28" s="1">
        <v>400</v>
      </c>
      <c r="K28" s="1">
        <v>224</v>
      </c>
      <c r="L28" s="1">
        <v>212</v>
      </c>
      <c r="M28" s="1">
        <v>273</v>
      </c>
      <c r="N28" s="1">
        <v>678</v>
      </c>
      <c r="O28" s="1">
        <v>738</v>
      </c>
      <c r="P28" s="1">
        <v>750</v>
      </c>
      <c r="Q28" s="1">
        <v>750</v>
      </c>
      <c r="R28" s="1">
        <v>750</v>
      </c>
      <c r="S28" s="1">
        <v>750</v>
      </c>
      <c r="T28" s="1">
        <v>750</v>
      </c>
      <c r="U28" s="1">
        <v>750</v>
      </c>
      <c r="V28" s="1">
        <v>750</v>
      </c>
      <c r="W28" s="1">
        <v>750</v>
      </c>
    </row>
    <row r="29" spans="2:23" s="1" customFormat="1" x14ac:dyDescent="0.25">
      <c r="B29" s="1" t="s">
        <v>13</v>
      </c>
      <c r="C29" s="1">
        <v>148</v>
      </c>
      <c r="D29" s="1">
        <f>+N29-C29</f>
        <v>106</v>
      </c>
      <c r="E29" s="1">
        <v>90</v>
      </c>
      <c r="F29" s="1">
        <v>100</v>
      </c>
      <c r="K29" s="1">
        <v>358</v>
      </c>
      <c r="L29" s="1">
        <v>429</v>
      </c>
      <c r="M29" s="1">
        <v>427</v>
      </c>
      <c r="N29" s="1">
        <v>254</v>
      </c>
      <c r="O29" s="1">
        <v>190</v>
      </c>
      <c r="P29" s="1">
        <v>250</v>
      </c>
      <c r="Q29" s="1">
        <v>250</v>
      </c>
      <c r="R29" s="1">
        <v>250</v>
      </c>
      <c r="S29" s="1">
        <v>250</v>
      </c>
      <c r="T29" s="1">
        <v>250</v>
      </c>
      <c r="U29" s="1">
        <v>250</v>
      </c>
      <c r="V29" s="1">
        <v>250</v>
      </c>
      <c r="W29" s="1">
        <v>250</v>
      </c>
    </row>
    <row r="30" spans="2:23" s="1" customFormat="1" x14ac:dyDescent="0.25">
      <c r="B30" s="1" t="s">
        <v>14</v>
      </c>
      <c r="C30" s="1">
        <f>+C27+C28-C29</f>
        <v>10654</v>
      </c>
      <c r="D30" s="1">
        <f>+D27+D28-D29</f>
        <v>9430</v>
      </c>
      <c r="E30" s="1">
        <f>+E27+E28-E29</f>
        <v>8195</v>
      </c>
      <c r="F30" s="1">
        <f>+F27+F28-F29</f>
        <v>8501</v>
      </c>
      <c r="G30" s="1">
        <f>+G27+G28-G29</f>
        <v>0</v>
      </c>
      <c r="K30" s="1">
        <f t="shared" ref="K30:P30" si="13">+K27+K28-K29</f>
        <v>5957</v>
      </c>
      <c r="L30" s="1">
        <f t="shared" si="13"/>
        <v>15811</v>
      </c>
      <c r="M30" s="1">
        <f t="shared" si="13"/>
        <v>20304</v>
      </c>
      <c r="N30" s="1">
        <f t="shared" si="13"/>
        <v>20084</v>
      </c>
      <c r="O30" s="1">
        <f t="shared" si="13"/>
        <v>14147</v>
      </c>
      <c r="P30" s="1">
        <f t="shared" si="13"/>
        <v>7700</v>
      </c>
      <c r="Q30" s="1">
        <f t="shared" ref="Q30:U30" si="14">+Q27+Q28-Q29</f>
        <v>8375</v>
      </c>
      <c r="R30" s="1">
        <f t="shared" si="14"/>
        <v>9725</v>
      </c>
      <c r="S30" s="1">
        <f t="shared" si="14"/>
        <v>9725</v>
      </c>
      <c r="T30" s="1">
        <f t="shared" si="14"/>
        <v>9725</v>
      </c>
      <c r="U30" s="1">
        <f t="shared" si="14"/>
        <v>9725</v>
      </c>
      <c r="V30" s="1">
        <f t="shared" ref="V30" si="15">+V27+V28-V29</f>
        <v>9725</v>
      </c>
      <c r="W30" s="1">
        <f t="shared" ref="W30" si="16">+W27+W28-W29</f>
        <v>9725</v>
      </c>
    </row>
    <row r="31" spans="2:23" s="1" customFormat="1" x14ac:dyDescent="0.25">
      <c r="B31" s="1" t="s">
        <v>15</v>
      </c>
      <c r="C31" s="1">
        <v>3002</v>
      </c>
      <c r="D31" s="1">
        <f>+N31-C31</f>
        <v>2551</v>
      </c>
      <c r="E31" s="1">
        <v>2108</v>
      </c>
      <c r="F31" s="1">
        <f>+F30*0.27</f>
        <v>2295.27</v>
      </c>
      <c r="K31" s="1">
        <v>1926</v>
      </c>
      <c r="L31" s="1">
        <v>4761</v>
      </c>
      <c r="M31" s="1">
        <v>5498</v>
      </c>
      <c r="N31" s="1">
        <v>5553</v>
      </c>
      <c r="O31" s="1">
        <v>3738</v>
      </c>
      <c r="P31" s="1">
        <f>+P30*0.27</f>
        <v>2079</v>
      </c>
      <c r="Q31" s="1">
        <f t="shared" ref="Q31:W31" si="17">+Q30*0.27</f>
        <v>2261.25</v>
      </c>
      <c r="R31" s="1">
        <f t="shared" si="17"/>
        <v>2625.75</v>
      </c>
      <c r="S31" s="1">
        <f t="shared" si="17"/>
        <v>2625.75</v>
      </c>
      <c r="T31" s="1">
        <f t="shared" si="17"/>
        <v>2625.75</v>
      </c>
      <c r="U31" s="1">
        <f t="shared" si="17"/>
        <v>2625.75</v>
      </c>
      <c r="V31" s="1">
        <f t="shared" si="17"/>
        <v>2625.75</v>
      </c>
      <c r="W31" s="1">
        <f t="shared" si="17"/>
        <v>2625.75</v>
      </c>
    </row>
    <row r="32" spans="2:23" s="1" customFormat="1" x14ac:dyDescent="0.25">
      <c r="B32" s="1" t="s">
        <v>16</v>
      </c>
      <c r="C32" s="1">
        <f>+C30-C31</f>
        <v>7652</v>
      </c>
      <c r="D32" s="1">
        <f>+D30-D31</f>
        <v>6879</v>
      </c>
      <c r="E32" s="1">
        <f>+E30-E31</f>
        <v>6087</v>
      </c>
      <c r="F32" s="1">
        <f>+F30-F31</f>
        <v>6205.73</v>
      </c>
      <c r="G32" s="1">
        <f>+G30-G31</f>
        <v>0</v>
      </c>
      <c r="K32" s="1">
        <f t="shared" ref="K32:P32" si="18">+K30-K31</f>
        <v>4031</v>
      </c>
      <c r="L32" s="1">
        <f t="shared" si="18"/>
        <v>11050</v>
      </c>
      <c r="M32" s="1">
        <f t="shared" si="18"/>
        <v>14806</v>
      </c>
      <c r="N32" s="1">
        <f t="shared" si="18"/>
        <v>14531</v>
      </c>
      <c r="O32" s="1">
        <f t="shared" si="18"/>
        <v>10409</v>
      </c>
      <c r="P32" s="1">
        <f t="shared" si="18"/>
        <v>5621</v>
      </c>
      <c r="Q32" s="1">
        <f t="shared" ref="Q32:U32" si="19">+Q30-Q31</f>
        <v>6113.75</v>
      </c>
      <c r="R32" s="1">
        <f t="shared" si="19"/>
        <v>7099.25</v>
      </c>
      <c r="S32" s="1">
        <f t="shared" si="19"/>
        <v>7099.25</v>
      </c>
      <c r="T32" s="1">
        <f t="shared" si="19"/>
        <v>7099.25</v>
      </c>
      <c r="U32" s="1">
        <f t="shared" si="19"/>
        <v>7099.25</v>
      </c>
      <c r="V32" s="1">
        <f t="shared" ref="V32" si="20">+V30-V31</f>
        <v>7099.25</v>
      </c>
      <c r="W32" s="1">
        <f t="shared" ref="W32" si="21">+W30-W31</f>
        <v>7099.25</v>
      </c>
    </row>
    <row r="33" spans="2:160" s="1" customFormat="1" x14ac:dyDescent="0.25">
      <c r="B33" s="1" t="s">
        <v>17</v>
      </c>
      <c r="K33" s="1">
        <v>382</v>
      </c>
      <c r="L33" s="1">
        <v>390</v>
      </c>
      <c r="M33" s="1">
        <v>308</v>
      </c>
      <c r="N33" s="1">
        <v>270</v>
      </c>
      <c r="O33" s="1">
        <v>202</v>
      </c>
      <c r="P33" s="1">
        <v>200</v>
      </c>
      <c r="Q33" s="1">
        <v>200</v>
      </c>
      <c r="R33" s="1">
        <v>200</v>
      </c>
      <c r="S33" s="1">
        <v>200</v>
      </c>
      <c r="T33" s="1">
        <v>200</v>
      </c>
      <c r="U33" s="1">
        <v>200</v>
      </c>
      <c r="V33" s="1">
        <v>200</v>
      </c>
      <c r="W33" s="1">
        <v>200</v>
      </c>
    </row>
    <row r="34" spans="2:160" s="2" customFormat="1" x14ac:dyDescent="0.25">
      <c r="B34" s="2" t="s">
        <v>18</v>
      </c>
      <c r="K34" s="2">
        <f>+K32-K33</f>
        <v>3649</v>
      </c>
      <c r="L34" s="2">
        <f>+L32-L33</f>
        <v>10660</v>
      </c>
      <c r="M34" s="2">
        <f>+M32-M33</f>
        <v>14498</v>
      </c>
      <c r="N34" s="2">
        <f>+N32-N33</f>
        <v>14261</v>
      </c>
      <c r="O34" s="2">
        <f>+O32-O33</f>
        <v>10207</v>
      </c>
      <c r="P34" s="2">
        <f t="shared" ref="P34:W34" si="22">+P32-P33</f>
        <v>5421</v>
      </c>
      <c r="Q34" s="2">
        <f t="shared" si="22"/>
        <v>5913.75</v>
      </c>
      <c r="R34" s="2">
        <f t="shared" si="22"/>
        <v>6899.25</v>
      </c>
      <c r="S34" s="2">
        <f t="shared" si="22"/>
        <v>6899.25</v>
      </c>
      <c r="T34" s="2">
        <f t="shared" si="22"/>
        <v>6899.25</v>
      </c>
      <c r="U34" s="2">
        <f t="shared" si="22"/>
        <v>6899.25</v>
      </c>
      <c r="V34" s="2">
        <f t="shared" si="22"/>
        <v>6899.25</v>
      </c>
      <c r="W34" s="2">
        <f t="shared" si="22"/>
        <v>6899.25</v>
      </c>
      <c r="X34" s="2">
        <f t="shared" ref="X34:BC34" si="23">+W34*(1+TR)</f>
        <v>6968.2425000000003</v>
      </c>
      <c r="Y34" s="2">
        <f t="shared" si="23"/>
        <v>7037.9249250000003</v>
      </c>
      <c r="Z34" s="2">
        <f t="shared" si="23"/>
        <v>7108.30417425</v>
      </c>
      <c r="AA34" s="2">
        <f t="shared" si="23"/>
        <v>7179.3872159925004</v>
      </c>
      <c r="AB34" s="2">
        <f t="shared" si="23"/>
        <v>7251.1810881524252</v>
      </c>
      <c r="AC34" s="2">
        <f t="shared" si="23"/>
        <v>7323.6928990339493</v>
      </c>
      <c r="AD34" s="2">
        <f t="shared" si="23"/>
        <v>7396.9298280242892</v>
      </c>
      <c r="AE34" s="2">
        <f t="shared" si="23"/>
        <v>7470.8991263045318</v>
      </c>
      <c r="AF34" s="2">
        <f t="shared" si="23"/>
        <v>7545.6081175675772</v>
      </c>
      <c r="AG34" s="2">
        <f t="shared" si="23"/>
        <v>7621.0641987432527</v>
      </c>
      <c r="AH34" s="2">
        <f t="shared" si="23"/>
        <v>7697.2748407306854</v>
      </c>
      <c r="AI34" s="2">
        <f t="shared" si="23"/>
        <v>7774.2475891379927</v>
      </c>
      <c r="AJ34" s="2">
        <f t="shared" si="23"/>
        <v>7851.990065029373</v>
      </c>
      <c r="AK34" s="2">
        <f t="shared" si="23"/>
        <v>7930.5099656796665</v>
      </c>
      <c r="AL34" s="2">
        <f t="shared" si="23"/>
        <v>8009.8150653364628</v>
      </c>
      <c r="AM34" s="2">
        <f t="shared" si="23"/>
        <v>8089.9132159898272</v>
      </c>
      <c r="AN34" s="2">
        <f t="shared" si="23"/>
        <v>8170.8123481497259</v>
      </c>
      <c r="AO34" s="2">
        <f t="shared" si="23"/>
        <v>8252.5204716312237</v>
      </c>
      <c r="AP34" s="2">
        <f t="shared" si="23"/>
        <v>8335.0456763475358</v>
      </c>
      <c r="AQ34" s="2">
        <f t="shared" si="23"/>
        <v>8418.3961331110113</v>
      </c>
      <c r="AR34" s="2">
        <f t="shared" si="23"/>
        <v>8502.5800944421208</v>
      </c>
      <c r="AS34" s="2">
        <f t="shared" si="23"/>
        <v>8587.6058953865413</v>
      </c>
      <c r="AT34" s="2">
        <f t="shared" si="23"/>
        <v>8673.4819543404064</v>
      </c>
      <c r="AU34" s="2">
        <f t="shared" si="23"/>
        <v>8760.2167738838107</v>
      </c>
      <c r="AV34" s="2">
        <f t="shared" si="23"/>
        <v>8847.8189416226487</v>
      </c>
      <c r="AW34" s="2">
        <f t="shared" si="23"/>
        <v>8936.2971310388748</v>
      </c>
      <c r="AX34" s="2">
        <f t="shared" si="23"/>
        <v>9025.660102349264</v>
      </c>
      <c r="AY34" s="2">
        <f t="shared" si="23"/>
        <v>9115.9167033727572</v>
      </c>
      <c r="AZ34" s="2">
        <f t="shared" si="23"/>
        <v>9207.0758704064847</v>
      </c>
      <c r="BA34" s="2">
        <f t="shared" si="23"/>
        <v>9299.1466291105498</v>
      </c>
      <c r="BB34" s="2">
        <f t="shared" si="23"/>
        <v>9392.1380954016549</v>
      </c>
      <c r="BC34" s="2">
        <f t="shared" si="23"/>
        <v>9486.059476355671</v>
      </c>
      <c r="BD34" s="2">
        <f t="shared" ref="BD34:CI34" si="24">+BC34*(1+TR)</f>
        <v>9580.9200711192279</v>
      </c>
      <c r="BE34" s="2">
        <f t="shared" si="24"/>
        <v>9676.7292718304197</v>
      </c>
      <c r="BF34" s="2">
        <f t="shared" si="24"/>
        <v>9773.4965645487246</v>
      </c>
      <c r="BG34" s="2">
        <f t="shared" si="24"/>
        <v>9871.2315301942126</v>
      </c>
      <c r="BH34" s="2">
        <f t="shared" si="24"/>
        <v>9969.9438454961546</v>
      </c>
      <c r="BI34" s="2">
        <f t="shared" si="24"/>
        <v>10069.643283951116</v>
      </c>
      <c r="BJ34" s="2">
        <f t="shared" si="24"/>
        <v>10170.339716790628</v>
      </c>
      <c r="BK34" s="2">
        <f t="shared" si="24"/>
        <v>10272.043113958534</v>
      </c>
      <c r="BL34" s="2">
        <f t="shared" si="24"/>
        <v>10374.76354509812</v>
      </c>
      <c r="BM34" s="2">
        <f t="shared" si="24"/>
        <v>10478.511180549101</v>
      </c>
      <c r="BN34" s="2">
        <f t="shared" si="24"/>
        <v>10583.296292354593</v>
      </c>
      <c r="BO34" s="2">
        <f t="shared" si="24"/>
        <v>10689.12925527814</v>
      </c>
      <c r="BP34" s="2">
        <f t="shared" si="24"/>
        <v>10796.020547830922</v>
      </c>
      <c r="BQ34" s="2">
        <f t="shared" si="24"/>
        <v>10903.980753309232</v>
      </c>
      <c r="BR34" s="2">
        <f t="shared" si="24"/>
        <v>11013.020560842324</v>
      </c>
      <c r="BS34" s="2">
        <f t="shared" si="24"/>
        <v>11123.150766450748</v>
      </c>
      <c r="BT34" s="2">
        <f t="shared" si="24"/>
        <v>11234.382274115256</v>
      </c>
      <c r="BU34" s="2">
        <f t="shared" si="24"/>
        <v>11346.72609685641</v>
      </c>
      <c r="BV34" s="2">
        <f t="shared" si="24"/>
        <v>11460.193357824974</v>
      </c>
      <c r="BW34" s="2">
        <f t="shared" si="24"/>
        <v>11574.795291403223</v>
      </c>
      <c r="BX34" s="2">
        <f t="shared" si="24"/>
        <v>11690.543244317256</v>
      </c>
      <c r="BY34" s="2">
        <f t="shared" si="24"/>
        <v>11807.448676760428</v>
      </c>
      <c r="BZ34" s="2">
        <f t="shared" si="24"/>
        <v>11925.523163528032</v>
      </c>
      <c r="CA34" s="2">
        <f t="shared" si="24"/>
        <v>12044.778395163314</v>
      </c>
      <c r="CB34" s="2">
        <f t="shared" si="24"/>
        <v>12165.226179114947</v>
      </c>
      <c r="CC34" s="2">
        <f t="shared" si="24"/>
        <v>12286.878440906095</v>
      </c>
      <c r="CD34" s="2">
        <f t="shared" si="24"/>
        <v>12409.747225315157</v>
      </c>
      <c r="CE34" s="2">
        <f t="shared" si="24"/>
        <v>12533.844697568309</v>
      </c>
      <c r="CF34" s="2">
        <f t="shared" si="24"/>
        <v>12659.183144543993</v>
      </c>
      <c r="CG34" s="2">
        <f t="shared" si="24"/>
        <v>12785.774975989432</v>
      </c>
      <c r="CH34" s="2">
        <f t="shared" si="24"/>
        <v>12913.632725749327</v>
      </c>
      <c r="CI34" s="2">
        <f t="shared" si="24"/>
        <v>13042.769053006819</v>
      </c>
      <c r="CJ34" s="2">
        <f t="shared" ref="CJ34:DO34" si="25">+CI34*(1+TR)</f>
        <v>13173.196743536888</v>
      </c>
      <c r="CK34" s="2">
        <f t="shared" si="25"/>
        <v>13304.928710972257</v>
      </c>
      <c r="CL34" s="2">
        <f t="shared" si="25"/>
        <v>13437.97799808198</v>
      </c>
      <c r="CM34" s="2">
        <f t="shared" si="25"/>
        <v>13572.3577780628</v>
      </c>
      <c r="CN34" s="2">
        <f t="shared" si="25"/>
        <v>13708.081355843427</v>
      </c>
      <c r="CO34" s="2">
        <f t="shared" si="25"/>
        <v>13845.162169401861</v>
      </c>
      <c r="CP34" s="2">
        <f t="shared" si="25"/>
        <v>13983.613791095881</v>
      </c>
      <c r="CQ34" s="2">
        <f t="shared" si="25"/>
        <v>14123.44992900684</v>
      </c>
      <c r="CR34" s="2">
        <f t="shared" si="25"/>
        <v>14264.684428296909</v>
      </c>
      <c r="CS34" s="2">
        <f t="shared" si="25"/>
        <v>14407.331272579879</v>
      </c>
      <c r="CT34" s="2">
        <f t="shared" si="25"/>
        <v>14551.404585305678</v>
      </c>
      <c r="CU34" s="2">
        <f t="shared" si="25"/>
        <v>14696.918631158735</v>
      </c>
      <c r="CV34" s="2">
        <f t="shared" si="25"/>
        <v>14843.887817470322</v>
      </c>
      <c r="CW34" s="2">
        <f t="shared" si="25"/>
        <v>14992.326695645026</v>
      </c>
      <c r="CX34" s="2">
        <f t="shared" si="25"/>
        <v>15142.249962601476</v>
      </c>
      <c r="CY34" s="2">
        <f t="shared" si="25"/>
        <v>15293.672462227491</v>
      </c>
      <c r="CZ34" s="2">
        <f t="shared" si="25"/>
        <v>15446.609186849766</v>
      </c>
      <c r="DA34" s="2">
        <f t="shared" si="25"/>
        <v>15601.075278718265</v>
      </c>
      <c r="DB34" s="2">
        <f t="shared" si="25"/>
        <v>15757.086031505447</v>
      </c>
      <c r="DC34" s="2">
        <f t="shared" si="25"/>
        <v>15914.656891820501</v>
      </c>
      <c r="DD34" s="2">
        <f t="shared" si="25"/>
        <v>16073.803460738707</v>
      </c>
      <c r="DE34" s="2">
        <f t="shared" si="25"/>
        <v>16234.541495346095</v>
      </c>
      <c r="DF34" s="2">
        <f t="shared" si="25"/>
        <v>16396.886910299556</v>
      </c>
      <c r="DG34" s="2">
        <f t="shared" si="25"/>
        <v>16560.855779402551</v>
      </c>
      <c r="DH34" s="2">
        <f t="shared" si="25"/>
        <v>16726.464337196576</v>
      </c>
      <c r="DI34" s="2">
        <f t="shared" si="25"/>
        <v>16893.728980568543</v>
      </c>
      <c r="DJ34" s="2">
        <f t="shared" si="25"/>
        <v>17062.666270374229</v>
      </c>
      <c r="DK34" s="2">
        <f t="shared" si="25"/>
        <v>17233.292933077973</v>
      </c>
      <c r="DL34" s="2">
        <f t="shared" si="25"/>
        <v>17405.625862408753</v>
      </c>
      <c r="DM34" s="2">
        <f t="shared" si="25"/>
        <v>17579.682121032842</v>
      </c>
      <c r="DN34" s="2">
        <f t="shared" si="25"/>
        <v>17755.478942243171</v>
      </c>
      <c r="DO34" s="2">
        <f t="shared" si="25"/>
        <v>17933.033731665604</v>
      </c>
      <c r="DP34" s="2">
        <f t="shared" ref="DP34:EU34" si="26">+DO34*(1+TR)</f>
        <v>18112.364068982261</v>
      </c>
      <c r="DQ34" s="2">
        <f t="shared" si="26"/>
        <v>18293.487709672085</v>
      </c>
      <c r="DR34" s="2">
        <f t="shared" si="26"/>
        <v>18476.422586768807</v>
      </c>
      <c r="DS34" s="2">
        <f t="shared" si="26"/>
        <v>18661.186812636497</v>
      </c>
      <c r="DT34" s="2">
        <f t="shared" si="26"/>
        <v>18847.798680762862</v>
      </c>
      <c r="DU34" s="2">
        <f t="shared" si="26"/>
        <v>19036.276667570492</v>
      </c>
      <c r="DV34" s="2">
        <f t="shared" si="26"/>
        <v>19226.639434246197</v>
      </c>
      <c r="DW34" s="2">
        <f t="shared" si="26"/>
        <v>19418.90582858866</v>
      </c>
      <c r="DX34" s="2">
        <f t="shared" si="26"/>
        <v>19613.094886874547</v>
      </c>
      <c r="DY34" s="2">
        <f t="shared" si="26"/>
        <v>19809.225835743291</v>
      </c>
      <c r="DZ34" s="2">
        <f t="shared" si="26"/>
        <v>20007.318094100723</v>
      </c>
      <c r="EA34" s="2">
        <f t="shared" si="26"/>
        <v>20207.391275041729</v>
      </c>
      <c r="EB34" s="2">
        <f t="shared" si="26"/>
        <v>20409.465187792146</v>
      </c>
      <c r="EC34" s="2">
        <f t="shared" si="26"/>
        <v>20613.559839670066</v>
      </c>
      <c r="ED34" s="2">
        <f t="shared" si="26"/>
        <v>20819.695438066767</v>
      </c>
      <c r="EE34" s="2">
        <f t="shared" si="26"/>
        <v>21027.892392447433</v>
      </c>
      <c r="EF34" s="2">
        <f t="shared" si="26"/>
        <v>21238.171316371907</v>
      </c>
      <c r="EG34" s="2">
        <f t="shared" si="26"/>
        <v>21450.553029535626</v>
      </c>
      <c r="EH34" s="2">
        <f t="shared" si="26"/>
        <v>21665.058559830981</v>
      </c>
      <c r="EI34" s="2">
        <f t="shared" si="26"/>
        <v>21881.709145429289</v>
      </c>
      <c r="EJ34" s="2">
        <f t="shared" si="26"/>
        <v>22100.526236883583</v>
      </c>
      <c r="EK34" s="2">
        <f t="shared" si="26"/>
        <v>22321.531499252418</v>
      </c>
      <c r="EL34" s="2">
        <f t="shared" si="26"/>
        <v>22544.746814244943</v>
      </c>
      <c r="EM34" s="2">
        <f t="shared" si="26"/>
        <v>22770.194282387394</v>
      </c>
      <c r="EN34" s="2">
        <f t="shared" si="26"/>
        <v>22997.896225211269</v>
      </c>
      <c r="EO34" s="2">
        <f t="shared" si="26"/>
        <v>23227.875187463382</v>
      </c>
      <c r="EP34" s="2">
        <f t="shared" si="26"/>
        <v>23460.153939338015</v>
      </c>
      <c r="EQ34" s="2">
        <f t="shared" si="26"/>
        <v>23694.755478731397</v>
      </c>
      <c r="ER34" s="2">
        <f t="shared" si="26"/>
        <v>23931.703033518712</v>
      </c>
      <c r="ES34" s="2">
        <f t="shared" si="26"/>
        <v>24171.020063853899</v>
      </c>
      <c r="ET34" s="2">
        <f t="shared" si="26"/>
        <v>24412.730264492438</v>
      </c>
      <c r="EU34" s="2">
        <f t="shared" si="26"/>
        <v>24656.857567137362</v>
      </c>
      <c r="EV34" s="2">
        <f t="shared" ref="EV34:FD34" si="27">+EU34*(1+TR)</f>
        <v>24903.426142808737</v>
      </c>
      <c r="EW34" s="2">
        <f t="shared" si="27"/>
        <v>25152.460404236826</v>
      </c>
      <c r="EX34" s="2">
        <f t="shared" si="27"/>
        <v>25403.985008279196</v>
      </c>
      <c r="EY34" s="2">
        <f t="shared" si="27"/>
        <v>25658.024858361987</v>
      </c>
      <c r="EZ34" s="2">
        <f t="shared" si="27"/>
        <v>25914.605106945608</v>
      </c>
      <c r="FA34" s="2">
        <f t="shared" si="27"/>
        <v>26173.751158015064</v>
      </c>
      <c r="FB34" s="2">
        <f t="shared" si="27"/>
        <v>26435.488669595215</v>
      </c>
      <c r="FC34" s="2">
        <f t="shared" si="27"/>
        <v>26699.843556291169</v>
      </c>
      <c r="FD34" s="2">
        <f t="shared" si="27"/>
        <v>26966.841991854082</v>
      </c>
    </row>
    <row r="35" spans="2:160" s="6" customFormat="1" x14ac:dyDescent="0.25">
      <c r="B35" s="6" t="s">
        <v>19</v>
      </c>
      <c r="K35" s="6">
        <v>3.39</v>
      </c>
      <c r="L35" s="6">
        <v>10</v>
      </c>
      <c r="M35" s="6">
        <v>13.55</v>
      </c>
      <c r="N35" s="6">
        <v>13.46</v>
      </c>
      <c r="O35" s="6">
        <v>10.19</v>
      </c>
      <c r="P35" s="6">
        <f>+P34/P36</f>
        <v>5.2125000000000004</v>
      </c>
      <c r="Q35" s="6">
        <f t="shared" ref="Q35:W35" si="28">+Q34/Q36</f>
        <v>5.6862980769230766</v>
      </c>
      <c r="R35" s="6">
        <f t="shared" si="28"/>
        <v>6.633894230769231</v>
      </c>
      <c r="S35" s="6">
        <f t="shared" si="28"/>
        <v>6.633894230769231</v>
      </c>
      <c r="T35" s="6">
        <f t="shared" si="28"/>
        <v>6.633894230769231</v>
      </c>
      <c r="U35" s="6">
        <f t="shared" si="28"/>
        <v>6.633894230769231</v>
      </c>
      <c r="V35" s="6">
        <f t="shared" si="28"/>
        <v>6.633894230769231</v>
      </c>
      <c r="W35" s="6">
        <f t="shared" si="28"/>
        <v>6.633894230769231</v>
      </c>
    </row>
    <row r="36" spans="2:160" s="1" customFormat="1" x14ac:dyDescent="0.25">
      <c r="B36" s="1" t="s">
        <v>20</v>
      </c>
      <c r="K36" s="1">
        <f>+K34/K35</f>
        <v>1076.401179941003</v>
      </c>
      <c r="L36" s="1">
        <f>+L34/L35</f>
        <v>1066</v>
      </c>
      <c r="M36" s="1">
        <f>+M34/M35</f>
        <v>1069.9630996309963</v>
      </c>
      <c r="N36" s="1">
        <f>+N34/N35</f>
        <v>1059.5096582466567</v>
      </c>
      <c r="O36" s="1">
        <f>+O34/O35</f>
        <v>1001.6683022571149</v>
      </c>
      <c r="P36" s="1">
        <v>1040</v>
      </c>
      <c r="Q36" s="1">
        <v>1040</v>
      </c>
      <c r="R36" s="1">
        <v>1040</v>
      </c>
      <c r="S36" s="1">
        <v>1040</v>
      </c>
      <c r="T36" s="1">
        <v>1040</v>
      </c>
      <c r="U36" s="1">
        <v>1040</v>
      </c>
      <c r="V36" s="1">
        <v>1040</v>
      </c>
      <c r="W36" s="1">
        <v>1040</v>
      </c>
    </row>
    <row r="37" spans="2:160" s="4" customFormat="1" x14ac:dyDescent="0.25"/>
    <row r="38" spans="2:160" s="3" customFormat="1" x14ac:dyDescent="0.25">
      <c r="B38" s="3" t="s">
        <v>21</v>
      </c>
      <c r="C38" s="3">
        <f>+C19/C17</f>
        <v>0.24342305001518011</v>
      </c>
      <c r="D38" s="3">
        <f>+D19/D17</f>
        <v>0.21613404147038481</v>
      </c>
      <c r="E38" s="3">
        <f>+E19/E17</f>
        <v>0.2056020711688884</v>
      </c>
      <c r="F38" s="3">
        <f>+F19/F17</f>
        <v>0.2</v>
      </c>
      <c r="K38" s="3">
        <f t="shared" ref="K38:M38" si="29">+K19/K17</f>
        <v>0.16576064642217805</v>
      </c>
      <c r="L38" s="3">
        <f t="shared" si="29"/>
        <v>0.22910084918554369</v>
      </c>
      <c r="M38" s="3">
        <f t="shared" si="29"/>
        <v>0.22677429891278988</v>
      </c>
      <c r="N38" s="3">
        <f>+N19/N17</f>
        <v>0.22970011155587636</v>
      </c>
      <c r="O38" s="3">
        <f>+O19/O17</f>
        <v>0.19627182438836765</v>
      </c>
      <c r="P38" s="3">
        <f>+P19/P17</f>
        <v>0.18</v>
      </c>
      <c r="Q38" s="3">
        <f t="shared" ref="Q38:W38" si="30">+Q19/Q17</f>
        <v>0.19</v>
      </c>
      <c r="R38" s="3">
        <f t="shared" si="30"/>
        <v>0.2</v>
      </c>
      <c r="S38" s="3">
        <f t="shared" si="30"/>
        <v>0.2</v>
      </c>
      <c r="T38" s="3">
        <f t="shared" si="30"/>
        <v>0.2</v>
      </c>
      <c r="U38" s="3">
        <f t="shared" si="30"/>
        <v>0.2</v>
      </c>
      <c r="V38" s="3">
        <f t="shared" si="30"/>
        <v>0.2</v>
      </c>
      <c r="W38" s="3">
        <f t="shared" si="30"/>
        <v>0.2</v>
      </c>
    </row>
    <row r="39" spans="2:160" s="3" customFormat="1" x14ac:dyDescent="0.25">
      <c r="B39" s="3" t="s">
        <v>34</v>
      </c>
      <c r="C39" s="3">
        <f>+C27/C17</f>
        <v>0.13849545256543949</v>
      </c>
      <c r="D39" s="3">
        <f>+D27/D17</f>
        <v>0.11963514412850861</v>
      </c>
      <c r="E39" s="3">
        <f>+E27/E17</f>
        <v>0.10879145091990745</v>
      </c>
      <c r="F39" s="3">
        <f>+F27/F17</f>
        <v>0.10650649350649351</v>
      </c>
      <c r="K39" s="3">
        <f>+K27/K17</f>
        <v>5.0017244494079391E-2</v>
      </c>
      <c r="L39" s="3">
        <f t="shared" ref="L39:W39" si="31">+L27/L17</f>
        <v>0.11970752765267788</v>
      </c>
      <c r="M39" s="3">
        <f t="shared" si="31"/>
        <v>0.13637121126272356</v>
      </c>
      <c r="N39" s="3">
        <f t="shared" si="31"/>
        <v>0.12901108996653324</v>
      </c>
      <c r="O39" s="3">
        <f t="shared" si="31"/>
        <v>9.3403574323117716E-2</v>
      </c>
      <c r="P39" s="3">
        <f t="shared" si="31"/>
        <v>5.3333333333333337E-2</v>
      </c>
      <c r="Q39" s="3">
        <f t="shared" si="31"/>
        <v>5.8333333333333334E-2</v>
      </c>
      <c r="R39" s="3">
        <f t="shared" si="31"/>
        <v>6.8333333333333329E-2</v>
      </c>
      <c r="S39" s="3">
        <f t="shared" si="31"/>
        <v>6.8333333333333329E-2</v>
      </c>
      <c r="T39" s="3">
        <f t="shared" si="31"/>
        <v>6.8333333333333329E-2</v>
      </c>
      <c r="U39" s="3">
        <f t="shared" si="31"/>
        <v>6.8333333333333329E-2</v>
      </c>
      <c r="V39" s="3">
        <f t="shared" si="31"/>
        <v>6.8333333333333329E-2</v>
      </c>
      <c r="W39" s="3">
        <f t="shared" si="31"/>
        <v>6.8333333333333329E-2</v>
      </c>
      <c r="Y39" s="3" t="s">
        <v>35</v>
      </c>
      <c r="Z39" s="3">
        <v>0.1</v>
      </c>
    </row>
    <row r="40" spans="2:160" s="3" customFormat="1" x14ac:dyDescent="0.25">
      <c r="B40" s="3" t="s">
        <v>22</v>
      </c>
      <c r="C40" s="3">
        <f>+C32/C17</f>
        <v>0.10100716765447418</v>
      </c>
      <c r="D40" s="3">
        <f>+D32/D17</f>
        <v>8.9765505722077962E-2</v>
      </c>
      <c r="E40" s="3">
        <f>+E32/E17</f>
        <v>8.3824501487275535E-2</v>
      </c>
      <c r="F40" s="3">
        <f>+F32/F17</f>
        <v>8.0593896103896098E-2</v>
      </c>
      <c r="K40" s="3">
        <f t="shared" ref="K40:M40" si="32">+K32/K17</f>
        <v>3.3101216968582176E-2</v>
      </c>
      <c r="L40" s="3">
        <f t="shared" si="32"/>
        <v>8.2528586259177097E-2</v>
      </c>
      <c r="M40" s="3">
        <f t="shared" si="32"/>
        <v>9.869548117879974E-2</v>
      </c>
      <c r="N40" s="3">
        <f>+N32/N17</f>
        <v>9.5354025854714877E-2</v>
      </c>
      <c r="O40" s="3">
        <f>+O32/O17</f>
        <v>7.1493330769125105E-2</v>
      </c>
      <c r="P40" s="3">
        <f t="shared" ref="P40:W40" si="33">+P32/P17</f>
        <v>4.1637037037037035E-2</v>
      </c>
      <c r="Q40" s="3">
        <f t="shared" si="33"/>
        <v>4.5287037037037035E-2</v>
      </c>
      <c r="R40" s="3">
        <f t="shared" si="33"/>
        <v>5.2587037037037036E-2</v>
      </c>
      <c r="S40" s="3">
        <f t="shared" si="33"/>
        <v>5.2587037037037036E-2</v>
      </c>
      <c r="T40" s="3">
        <f t="shared" si="33"/>
        <v>5.2587037037037036E-2</v>
      </c>
      <c r="U40" s="3">
        <f t="shared" si="33"/>
        <v>5.2587037037037036E-2</v>
      </c>
      <c r="V40" s="3">
        <f t="shared" si="33"/>
        <v>5.2587037037037036E-2</v>
      </c>
      <c r="W40" s="3">
        <f t="shared" si="33"/>
        <v>5.2587037037037036E-2</v>
      </c>
      <c r="Y40" s="3" t="s">
        <v>36</v>
      </c>
      <c r="Z40" s="4">
        <v>0.01</v>
      </c>
    </row>
    <row r="41" spans="2:160" s="1" customFormat="1" x14ac:dyDescent="0.25">
      <c r="Y41" s="1" t="s">
        <v>37</v>
      </c>
      <c r="Z41" s="1">
        <f>NPV(Z39,O34:FD34)</f>
        <v>73613.324438368407</v>
      </c>
    </row>
    <row r="42" spans="2:160" s="1" customFormat="1" x14ac:dyDescent="0.25">
      <c r="B42" s="1" t="s">
        <v>23</v>
      </c>
      <c r="K42" s="1">
        <v>22332</v>
      </c>
      <c r="L42" s="1">
        <v>24549</v>
      </c>
      <c r="M42" s="1">
        <v>16894</v>
      </c>
      <c r="N42" s="1">
        <v>14470</v>
      </c>
      <c r="O42" s="1">
        <v>17735</v>
      </c>
      <c r="Y42" s="1" t="s">
        <v>38</v>
      </c>
      <c r="Z42" s="1">
        <f>+Z41/W36</f>
        <v>70.782042729200384</v>
      </c>
    </row>
    <row r="43" spans="2:160" s="1" customFormat="1" x14ac:dyDescent="0.25">
      <c r="B43" s="1" t="s">
        <v>24</v>
      </c>
      <c r="K43" s="1">
        <f>5741+2819</f>
        <v>8560</v>
      </c>
      <c r="L43" s="1">
        <f>4579+2741</f>
        <v>7320</v>
      </c>
      <c r="M43" s="1">
        <f>3481+3418</f>
        <v>6899</v>
      </c>
      <c r="N43" s="1">
        <f>3745+4468</f>
        <v>8213</v>
      </c>
      <c r="O43" s="1">
        <f>4039+4626</f>
        <v>8665</v>
      </c>
      <c r="Y43" s="1" t="s">
        <v>49</v>
      </c>
      <c r="Z43" s="1">
        <f>NPV(Z39,P57:DY57)</f>
        <v>54622.627043540691</v>
      </c>
    </row>
    <row r="44" spans="2:160" s="1" customFormat="1" x14ac:dyDescent="0.25">
      <c r="B44" s="1" t="s">
        <v>25</v>
      </c>
      <c r="K44" s="1">
        <f>+K42-K43</f>
        <v>13772</v>
      </c>
      <c r="L44" s="1">
        <f>+L42-L43</f>
        <v>17229</v>
      </c>
      <c r="M44" s="1">
        <f>+M42-M43</f>
        <v>9995</v>
      </c>
      <c r="N44" s="1">
        <f>+N42-N43</f>
        <v>6257</v>
      </c>
      <c r="O44" s="1">
        <f>+O42-O43</f>
        <v>9070</v>
      </c>
    </row>
    <row r="45" spans="2:160" s="1" customFormat="1" x14ac:dyDescent="0.25"/>
    <row r="46" spans="2:160" s="1" customFormat="1" x14ac:dyDescent="0.25">
      <c r="B46" s="1" t="s">
        <v>31</v>
      </c>
      <c r="C46" s="1">
        <v>15962</v>
      </c>
      <c r="E46" s="1">
        <f>12851+309</f>
        <v>13160</v>
      </c>
      <c r="M46" s="1">
        <v>17679</v>
      </c>
      <c r="N46" s="1">
        <v>15942</v>
      </c>
      <c r="O46" s="1">
        <v>14511</v>
      </c>
      <c r="Z46" s="3"/>
    </row>
    <row r="47" spans="2:160" s="1" customFormat="1" x14ac:dyDescent="0.25">
      <c r="B47" s="1" t="s">
        <v>32</v>
      </c>
      <c r="C47" s="1">
        <f>6159+699</f>
        <v>6858</v>
      </c>
      <c r="E47" s="1">
        <f>6262+754</f>
        <v>7016</v>
      </c>
      <c r="M47" s="1">
        <f>6237+823</f>
        <v>7060</v>
      </c>
      <c r="N47" s="1">
        <f>6159+699</f>
        <v>6858</v>
      </c>
      <c r="O47" s="1">
        <f>7086+644</f>
        <v>7730</v>
      </c>
    </row>
    <row r="48" spans="2:160" s="1" customFormat="1" x14ac:dyDescent="0.25">
      <c r="B48" s="1" t="s">
        <v>39</v>
      </c>
      <c r="D48" s="1">
        <v>27294</v>
      </c>
      <c r="E48" s="1">
        <v>29747</v>
      </c>
      <c r="N48" s="1">
        <v>26486</v>
      </c>
      <c r="O48" s="1">
        <v>26234</v>
      </c>
    </row>
    <row r="49" spans="2:129" s="1" customFormat="1" x14ac:dyDescent="0.25">
      <c r="B49" s="1" t="s">
        <v>41</v>
      </c>
      <c r="D49" s="1">
        <v>41712</v>
      </c>
      <c r="E49" s="1">
        <v>42907</v>
      </c>
    </row>
    <row r="50" spans="2:129" s="1" customFormat="1" x14ac:dyDescent="0.25">
      <c r="B50" s="1" t="s">
        <v>40</v>
      </c>
      <c r="E50" s="1">
        <v>1012</v>
      </c>
    </row>
    <row r="51" spans="2:129" s="1" customFormat="1" x14ac:dyDescent="0.25">
      <c r="B51" s="1" t="s">
        <v>45</v>
      </c>
      <c r="N51" s="1">
        <f>39277+29742</f>
        <v>69019</v>
      </c>
      <c r="O51" s="1">
        <f>39320+48574</f>
        <v>87894</v>
      </c>
    </row>
    <row r="52" spans="2:129" s="1" customFormat="1" x14ac:dyDescent="0.25">
      <c r="B52" s="1" t="s">
        <v>33</v>
      </c>
      <c r="C52" s="1">
        <f>63724+44914</f>
        <v>108638</v>
      </c>
      <c r="E52" s="1">
        <f>69885+41040</f>
        <v>110925</v>
      </c>
      <c r="N52" s="1">
        <f>44914+63724+1642+4357</f>
        <v>114637</v>
      </c>
      <c r="O52" s="1">
        <f>4071+39311+1490+73487</f>
        <v>118359</v>
      </c>
    </row>
    <row r="53" spans="2:129" s="1" customFormat="1" x14ac:dyDescent="0.25">
      <c r="B53" s="1" t="s">
        <v>46</v>
      </c>
      <c r="N53" s="1">
        <f>+N52-N51-N46-N47</f>
        <v>22818</v>
      </c>
      <c r="O53" s="1">
        <f>+O52-O51-O46-O47</f>
        <v>8224</v>
      </c>
    </row>
    <row r="54" spans="2:129" s="1" customFormat="1" x14ac:dyDescent="0.25"/>
    <row r="55" spans="2:129" s="1" customFormat="1" x14ac:dyDescent="0.25">
      <c r="B55" s="1" t="s">
        <v>42</v>
      </c>
      <c r="O55" s="1">
        <v>175264</v>
      </c>
    </row>
    <row r="56" spans="2:129" s="1" customFormat="1" x14ac:dyDescent="0.25"/>
    <row r="57" spans="2:129" s="1" customFormat="1" x14ac:dyDescent="0.25">
      <c r="B57" s="1" t="s">
        <v>47</v>
      </c>
      <c r="N57" s="1">
        <v>5556</v>
      </c>
      <c r="O57" s="1">
        <v>5486</v>
      </c>
      <c r="P57" s="1">
        <v>5500</v>
      </c>
      <c r="Q57" s="1">
        <v>5500</v>
      </c>
      <c r="R57" s="1">
        <v>5500</v>
      </c>
      <c r="S57" s="1">
        <v>5500</v>
      </c>
      <c r="T57" s="1">
        <v>5500</v>
      </c>
      <c r="U57" s="1">
        <v>5500</v>
      </c>
      <c r="V57" s="1">
        <v>5500</v>
      </c>
      <c r="W57" s="1">
        <v>5500</v>
      </c>
      <c r="X57" s="1">
        <f t="shared" ref="X57:CD57" si="34">+X34*0.7</f>
        <v>4877.7697499999995</v>
      </c>
      <c r="Y57" s="1">
        <f t="shared" si="34"/>
        <v>4926.5474475000001</v>
      </c>
      <c r="Z57" s="1">
        <f t="shared" si="34"/>
        <v>4975.8129219749999</v>
      </c>
      <c r="AA57" s="1">
        <f t="shared" si="34"/>
        <v>5025.57105119475</v>
      </c>
      <c r="AB57" s="1">
        <f t="shared" si="34"/>
        <v>5075.8267617066977</v>
      </c>
      <c r="AC57" s="1">
        <f t="shared" si="34"/>
        <v>5126.5850293237645</v>
      </c>
      <c r="AD57" s="1">
        <f t="shared" si="34"/>
        <v>5177.8508796170017</v>
      </c>
      <c r="AE57" s="1">
        <f t="shared" si="34"/>
        <v>5229.6293884131719</v>
      </c>
      <c r="AF57" s="1">
        <f t="shared" si="34"/>
        <v>5281.9256822973039</v>
      </c>
      <c r="AG57" s="1">
        <f t="shared" si="34"/>
        <v>5334.7449391202763</v>
      </c>
      <c r="AH57" s="1">
        <f t="shared" si="34"/>
        <v>5388.0923885114798</v>
      </c>
      <c r="AI57" s="1">
        <f t="shared" si="34"/>
        <v>5441.9733123965943</v>
      </c>
      <c r="AJ57" s="1">
        <f t="shared" si="34"/>
        <v>5496.3930455205609</v>
      </c>
      <c r="AK57" s="1">
        <f t="shared" si="34"/>
        <v>5551.3569759757665</v>
      </c>
      <c r="AL57" s="1">
        <f t="shared" si="34"/>
        <v>5606.8705457355236</v>
      </c>
      <c r="AM57" s="1">
        <f t="shared" si="34"/>
        <v>5662.9392511928791</v>
      </c>
      <c r="AN57" s="1">
        <f t="shared" si="34"/>
        <v>5719.568643704808</v>
      </c>
      <c r="AO57" s="1">
        <f t="shared" si="34"/>
        <v>5776.7643301418566</v>
      </c>
      <c r="AP57" s="1">
        <f t="shared" si="34"/>
        <v>5834.5319734432751</v>
      </c>
      <c r="AQ57" s="1">
        <f t="shared" si="34"/>
        <v>5892.8772931777075</v>
      </c>
      <c r="AR57" s="1">
        <f t="shared" si="34"/>
        <v>5951.8060661094842</v>
      </c>
      <c r="AS57" s="1">
        <f t="shared" si="34"/>
        <v>6011.3241267705789</v>
      </c>
      <c r="AT57" s="1">
        <f t="shared" si="34"/>
        <v>6071.4373680382841</v>
      </c>
      <c r="AU57" s="1">
        <f t="shared" si="34"/>
        <v>6132.1517417186669</v>
      </c>
      <c r="AV57" s="1">
        <f t="shared" si="34"/>
        <v>6193.4732591358534</v>
      </c>
      <c r="AW57" s="1">
        <f t="shared" si="34"/>
        <v>6255.407991727212</v>
      </c>
      <c r="AX57" s="1">
        <f t="shared" si="34"/>
        <v>6317.9620716444842</v>
      </c>
      <c r="AY57" s="1">
        <f t="shared" si="34"/>
        <v>6381.1416923609295</v>
      </c>
      <c r="AZ57" s="1">
        <f t="shared" si="34"/>
        <v>6444.9531092845391</v>
      </c>
      <c r="BA57" s="1">
        <f t="shared" si="34"/>
        <v>6509.4026403773842</v>
      </c>
      <c r="BB57" s="1">
        <f t="shared" si="34"/>
        <v>6574.4966667811577</v>
      </c>
      <c r="BC57" s="1">
        <f t="shared" si="34"/>
        <v>6640.241633448969</v>
      </c>
      <c r="BD57" s="1">
        <f t="shared" si="34"/>
        <v>6706.6440497834592</v>
      </c>
      <c r="BE57" s="1">
        <f t="shared" si="34"/>
        <v>6773.7104902812935</v>
      </c>
      <c r="BF57" s="1">
        <f t="shared" si="34"/>
        <v>6841.4475951841068</v>
      </c>
      <c r="BG57" s="1">
        <f t="shared" si="34"/>
        <v>6909.8620711359481</v>
      </c>
      <c r="BH57" s="1">
        <f t="shared" si="34"/>
        <v>6978.9606918473082</v>
      </c>
      <c r="BI57" s="1">
        <f t="shared" si="34"/>
        <v>7048.7502987657808</v>
      </c>
      <c r="BJ57" s="1">
        <f t="shared" si="34"/>
        <v>7119.2378017534393</v>
      </c>
      <c r="BK57" s="1">
        <f t="shared" si="34"/>
        <v>7190.4301797709732</v>
      </c>
      <c r="BL57" s="1">
        <f t="shared" si="34"/>
        <v>7262.3344815686833</v>
      </c>
      <c r="BM57" s="1">
        <f t="shared" si="34"/>
        <v>7334.9578263843705</v>
      </c>
      <c r="BN57" s="1">
        <f t="shared" si="34"/>
        <v>7408.3074046482143</v>
      </c>
      <c r="BO57" s="1">
        <f t="shared" si="34"/>
        <v>7482.3904786946969</v>
      </c>
      <c r="BP57" s="1">
        <f t="shared" si="34"/>
        <v>7557.2143834816443</v>
      </c>
      <c r="BQ57" s="1">
        <f t="shared" si="34"/>
        <v>7632.7865273164616</v>
      </c>
      <c r="BR57" s="1">
        <f t="shared" si="34"/>
        <v>7709.1143925896258</v>
      </c>
      <c r="BS57" s="1">
        <f t="shared" si="34"/>
        <v>7786.2055365155229</v>
      </c>
      <c r="BT57" s="1">
        <f t="shared" si="34"/>
        <v>7864.0675918806792</v>
      </c>
      <c r="BU57" s="1">
        <f t="shared" si="34"/>
        <v>7942.7082677994858</v>
      </c>
      <c r="BV57" s="1">
        <f t="shared" si="34"/>
        <v>8022.1353504774806</v>
      </c>
      <c r="BW57" s="1">
        <f t="shared" si="34"/>
        <v>8102.3567039822556</v>
      </c>
      <c r="BX57" s="1">
        <f t="shared" si="34"/>
        <v>8183.3802710220789</v>
      </c>
      <c r="BY57" s="1">
        <f t="shared" si="34"/>
        <v>8265.2140737322989</v>
      </c>
      <c r="BZ57" s="1">
        <f t="shared" si="34"/>
        <v>8347.8662144696227</v>
      </c>
      <c r="CA57" s="1">
        <f t="shared" si="34"/>
        <v>8431.3448766143192</v>
      </c>
      <c r="CB57" s="1">
        <f t="shared" si="34"/>
        <v>8515.658325380462</v>
      </c>
      <c r="CC57" s="1">
        <f t="shared" si="34"/>
        <v>8600.8149086342655</v>
      </c>
      <c r="CD57" s="1">
        <f t="shared" si="34"/>
        <v>8686.8230577206086</v>
      </c>
      <c r="CE57" s="1">
        <f t="shared" ref="CE57:DY57" si="35">+CE34*0.7</f>
        <v>8773.6912882978158</v>
      </c>
      <c r="CF57" s="1">
        <f t="shared" si="35"/>
        <v>8861.4282011807936</v>
      </c>
      <c r="CG57" s="1">
        <f t="shared" si="35"/>
        <v>8950.0424831926011</v>
      </c>
      <c r="CH57" s="1">
        <f t="shared" si="35"/>
        <v>9039.5429080245285</v>
      </c>
      <c r="CI57" s="1">
        <f t="shared" si="35"/>
        <v>9129.9383371047734</v>
      </c>
      <c r="CJ57" s="1">
        <f t="shared" si="35"/>
        <v>9221.2377204758213</v>
      </c>
      <c r="CK57" s="1">
        <f t="shared" si="35"/>
        <v>9313.4500976805793</v>
      </c>
      <c r="CL57" s="1">
        <f t="shared" si="35"/>
        <v>9406.5845986573859</v>
      </c>
      <c r="CM57" s="1">
        <f t="shared" si="35"/>
        <v>9500.6504446439594</v>
      </c>
      <c r="CN57" s="1">
        <f t="shared" si="35"/>
        <v>9595.6569490903985</v>
      </c>
      <c r="CO57" s="1">
        <f t="shared" si="35"/>
        <v>9691.6135185813018</v>
      </c>
      <c r="CP57" s="1">
        <f t="shared" si="35"/>
        <v>9788.5296537671165</v>
      </c>
      <c r="CQ57" s="1">
        <f t="shared" si="35"/>
        <v>9886.4149503047865</v>
      </c>
      <c r="CR57" s="1">
        <f t="shared" si="35"/>
        <v>9985.2790998078362</v>
      </c>
      <c r="CS57" s="1">
        <f t="shared" si="35"/>
        <v>10085.131890805915</v>
      </c>
      <c r="CT57" s="1">
        <f t="shared" si="35"/>
        <v>10185.983209713973</v>
      </c>
      <c r="CU57" s="1">
        <f t="shared" si="35"/>
        <v>10287.843041811113</v>
      </c>
      <c r="CV57" s="1">
        <f t="shared" si="35"/>
        <v>10390.721472229225</v>
      </c>
      <c r="CW57" s="1">
        <f t="shared" si="35"/>
        <v>10494.628686951517</v>
      </c>
      <c r="CX57" s="1">
        <f t="shared" si="35"/>
        <v>10599.574973821032</v>
      </c>
      <c r="CY57" s="1">
        <f t="shared" si="35"/>
        <v>10705.570723559244</v>
      </c>
      <c r="CZ57" s="1">
        <f t="shared" si="35"/>
        <v>10812.626430794835</v>
      </c>
      <c r="DA57" s="1">
        <f t="shared" si="35"/>
        <v>10920.752695102785</v>
      </c>
      <c r="DB57" s="1">
        <f t="shared" si="35"/>
        <v>11029.960222053813</v>
      </c>
      <c r="DC57" s="1">
        <f t="shared" si="35"/>
        <v>11140.25982427435</v>
      </c>
      <c r="DD57" s="1">
        <f t="shared" si="35"/>
        <v>11251.662422517094</v>
      </c>
      <c r="DE57" s="1">
        <f t="shared" si="35"/>
        <v>11364.179046742265</v>
      </c>
      <c r="DF57" s="1">
        <f t="shared" si="35"/>
        <v>11477.820837209689</v>
      </c>
      <c r="DG57" s="1">
        <f t="shared" si="35"/>
        <v>11592.599045581785</v>
      </c>
      <c r="DH57" s="1">
        <f t="shared" si="35"/>
        <v>11708.525036037603</v>
      </c>
      <c r="DI57" s="1">
        <f t="shared" si="35"/>
        <v>11825.61028639798</v>
      </c>
      <c r="DJ57" s="1">
        <f t="shared" si="35"/>
        <v>11943.866389261961</v>
      </c>
      <c r="DK57" s="1">
        <f t="shared" si="35"/>
        <v>12063.305053154581</v>
      </c>
      <c r="DL57" s="1">
        <f t="shared" si="35"/>
        <v>12183.938103686127</v>
      </c>
      <c r="DM57" s="1">
        <f t="shared" si="35"/>
        <v>12305.777484722988</v>
      </c>
      <c r="DN57" s="1">
        <f t="shared" si="35"/>
        <v>12428.83525957022</v>
      </c>
      <c r="DO57" s="1">
        <f t="shared" si="35"/>
        <v>12553.123612165922</v>
      </c>
      <c r="DP57" s="1">
        <f t="shared" si="35"/>
        <v>12678.654848287582</v>
      </c>
      <c r="DQ57" s="1">
        <f t="shared" si="35"/>
        <v>12805.441396770459</v>
      </c>
      <c r="DR57" s="1">
        <f t="shared" si="35"/>
        <v>12933.495810738164</v>
      </c>
      <c r="DS57" s="1">
        <f t="shared" si="35"/>
        <v>13062.830768845548</v>
      </c>
      <c r="DT57" s="1">
        <f t="shared" si="35"/>
        <v>13193.459076534004</v>
      </c>
      <c r="DU57" s="1">
        <f t="shared" si="35"/>
        <v>13325.393667299344</v>
      </c>
      <c r="DV57" s="1">
        <f t="shared" si="35"/>
        <v>13458.647603972337</v>
      </c>
      <c r="DW57" s="1">
        <f t="shared" si="35"/>
        <v>13593.234080012062</v>
      </c>
      <c r="DX57" s="1">
        <f t="shared" si="35"/>
        <v>13729.166420812182</v>
      </c>
      <c r="DY57" s="1">
        <f t="shared" si="35"/>
        <v>13866.458085020304</v>
      </c>
    </row>
    <row r="58" spans="2:129" s="1" customFormat="1" x14ac:dyDescent="0.25">
      <c r="B58" s="1" t="s">
        <v>48</v>
      </c>
      <c r="N58" s="3">
        <f>+N57/N44</f>
        <v>0.88796547866389641</v>
      </c>
      <c r="O58" s="3">
        <f>+O57/O44</f>
        <v>0.60485115766262398</v>
      </c>
      <c r="P58" s="3">
        <f>+P57/P34</f>
        <v>1.0145729570190001</v>
      </c>
      <c r="Q58" s="3">
        <f t="shared" ref="Q58:V58" si="36">+Q57/Q34</f>
        <v>0.93003593320651023</v>
      </c>
      <c r="R58" s="3">
        <f t="shared" si="36"/>
        <v>0.79718810015581398</v>
      </c>
      <c r="S58" s="3">
        <f t="shared" si="36"/>
        <v>0.79718810015581398</v>
      </c>
      <c r="T58" s="3">
        <f t="shared" si="36"/>
        <v>0.79718810015581398</v>
      </c>
      <c r="U58" s="3">
        <f t="shared" si="36"/>
        <v>0.79718810015581398</v>
      </c>
      <c r="V58" s="3">
        <f t="shared" si="36"/>
        <v>0.79718810015581398</v>
      </c>
      <c r="W58" s="3">
        <f>+W57/W34</f>
        <v>0.79718810015581398</v>
      </c>
    </row>
    <row r="59" spans="2:129" s="1" customFormat="1" x14ac:dyDescent="0.25"/>
    <row r="60" spans="2:129" s="1" customFormat="1" x14ac:dyDescent="0.25"/>
    <row r="61" spans="2:129" s="1" customFormat="1" x14ac:dyDescent="0.25"/>
    <row r="62" spans="2:129" s="1" customFormat="1" x14ac:dyDescent="0.25"/>
    <row r="63" spans="2:129" s="1" customFormat="1" x14ac:dyDescent="0.25"/>
    <row r="64" spans="2:129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2024-08-08T13:13:02Z</dcterms:created>
  <dcterms:modified xsi:type="dcterms:W3CDTF">2026-02-06T13:37:03Z</dcterms:modified>
</cp:coreProperties>
</file>