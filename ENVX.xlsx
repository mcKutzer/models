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F9F51CD6-FC61-4A3F-820B-65B19AF21BC7}" xr6:coauthVersionLast="47" xr6:coauthVersionMax="47" xr10:uidLastSave="{00000000-0000-0000-0000-000000000000}"/>
  <bookViews>
    <workbookView xWindow="-28920" yWindow="-120" windowWidth="29040" windowHeight="15840" xr2:uid="{4FE7C061-1D7A-49EF-B64B-5EA9E25898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5" i="1" l="1"/>
  <c r="U23" i="1"/>
  <c r="U22" i="1"/>
  <c r="U21" i="1"/>
  <c r="T17" i="1"/>
  <c r="U17" i="1" s="1"/>
  <c r="V17" i="1" s="1"/>
  <c r="W17" i="1" s="1"/>
  <c r="X17" i="1" s="1"/>
  <c r="Y17" i="1" s="1"/>
  <c r="Z17" i="1" s="1"/>
  <c r="AA17" i="1" s="1"/>
  <c r="AB17" i="1" s="1"/>
  <c r="AC17" i="1" s="1"/>
  <c r="AD17" i="1" s="1"/>
  <c r="AE17" i="1" s="1"/>
  <c r="AF17" i="1" s="1"/>
  <c r="AG17" i="1" s="1"/>
  <c r="AH17" i="1" s="1"/>
  <c r="AI17" i="1" s="1"/>
  <c r="AJ17" i="1" s="1"/>
  <c r="AK17" i="1" s="1"/>
  <c r="AL17" i="1" s="1"/>
  <c r="AM17" i="1" s="1"/>
  <c r="AN17" i="1" s="1"/>
  <c r="AO17" i="1" s="1"/>
  <c r="AP17" i="1" s="1"/>
  <c r="AQ17" i="1" s="1"/>
  <c r="AR17" i="1" s="1"/>
  <c r="AS17" i="1" s="1"/>
  <c r="AT17" i="1" s="1"/>
  <c r="AU17" i="1" s="1"/>
  <c r="AV17" i="1" s="1"/>
  <c r="AW17" i="1" s="1"/>
  <c r="AX17" i="1" s="1"/>
  <c r="AY17" i="1" s="1"/>
  <c r="AZ17" i="1" s="1"/>
  <c r="BA17" i="1" s="1"/>
  <c r="BB17" i="1" s="1"/>
  <c r="BC17" i="1" s="1"/>
  <c r="BD17" i="1" s="1"/>
  <c r="BE17" i="1" s="1"/>
  <c r="BF17" i="1" s="1"/>
  <c r="BG17" i="1" s="1"/>
  <c r="BH17" i="1" s="1"/>
  <c r="BI17" i="1" s="1"/>
  <c r="BJ17" i="1" s="1"/>
  <c r="BK17" i="1" s="1"/>
  <c r="BL17" i="1" s="1"/>
  <c r="BM17" i="1" s="1"/>
  <c r="BN17" i="1" s="1"/>
  <c r="BO17" i="1" s="1"/>
  <c r="BP17" i="1" s="1"/>
  <c r="BQ17" i="1" s="1"/>
  <c r="BR17" i="1" s="1"/>
  <c r="BS17" i="1" s="1"/>
  <c r="BT17" i="1" s="1"/>
  <c r="BU17" i="1" s="1"/>
  <c r="BV17" i="1" s="1"/>
  <c r="BW17" i="1" s="1"/>
  <c r="BX17" i="1" s="1"/>
  <c r="BY17" i="1" s="1"/>
  <c r="BZ17" i="1" s="1"/>
  <c r="CA17" i="1" s="1"/>
  <c r="CB17" i="1" s="1"/>
  <c r="CC17" i="1" s="1"/>
  <c r="CD17" i="1" s="1"/>
  <c r="CE17" i="1" s="1"/>
  <c r="CF17" i="1" s="1"/>
  <c r="CG17" i="1" s="1"/>
  <c r="CH17" i="1" s="1"/>
  <c r="CI17" i="1" s="1"/>
  <c r="CJ17" i="1" s="1"/>
  <c r="CK17" i="1" s="1"/>
  <c r="CL17" i="1" s="1"/>
  <c r="CM17" i="1" s="1"/>
  <c r="CN17" i="1" s="1"/>
  <c r="CO17" i="1" s="1"/>
  <c r="CP17" i="1" s="1"/>
  <c r="CQ17" i="1" s="1"/>
  <c r="CR17" i="1" s="1"/>
  <c r="CS17" i="1" s="1"/>
  <c r="CT17" i="1" s="1"/>
  <c r="CU17" i="1" s="1"/>
  <c r="CV17" i="1" s="1"/>
  <c r="CW17" i="1" s="1"/>
  <c r="CX17" i="1" s="1"/>
  <c r="CY17" i="1" s="1"/>
  <c r="CZ17" i="1" s="1"/>
  <c r="DA17" i="1" s="1"/>
  <c r="DB17" i="1" s="1"/>
  <c r="DC17" i="1" s="1"/>
  <c r="DD17" i="1" s="1"/>
  <c r="DE17" i="1" s="1"/>
  <c r="DF17" i="1" s="1"/>
  <c r="DG17" i="1" s="1"/>
  <c r="DH17" i="1" s="1"/>
  <c r="DI17" i="1" s="1"/>
  <c r="DJ17" i="1" s="1"/>
  <c r="DK17" i="1" s="1"/>
  <c r="DL17" i="1" s="1"/>
  <c r="DM17" i="1" s="1"/>
  <c r="DN17" i="1" s="1"/>
  <c r="DO17" i="1" s="1"/>
  <c r="DP17" i="1" s="1"/>
  <c r="DQ17" i="1" s="1"/>
  <c r="DR17" i="1" s="1"/>
  <c r="DS17" i="1" s="1"/>
  <c r="S17" i="1"/>
  <c r="J16" i="1"/>
  <c r="K16" i="1"/>
  <c r="L16" i="1"/>
  <c r="M16" i="1"/>
  <c r="N16" i="1"/>
  <c r="O16" i="1"/>
  <c r="P16" i="1"/>
  <c r="Q16" i="1"/>
  <c r="R16" i="1"/>
  <c r="I16" i="1"/>
  <c r="J20" i="1"/>
  <c r="K20" i="1"/>
  <c r="L20" i="1"/>
  <c r="M20" i="1"/>
  <c r="N20" i="1"/>
  <c r="O20" i="1"/>
  <c r="P20" i="1"/>
  <c r="Q20" i="1"/>
  <c r="R20" i="1"/>
  <c r="M8" i="1"/>
  <c r="N8" i="1"/>
  <c r="O8" i="1"/>
  <c r="P8" i="1"/>
  <c r="Q8" i="1"/>
  <c r="R8" i="1"/>
  <c r="L8" i="1"/>
  <c r="I8" i="1"/>
  <c r="K7" i="1"/>
  <c r="L7" i="1" s="1"/>
  <c r="M7" i="1" s="1"/>
  <c r="N7" i="1" s="1"/>
  <c r="O7" i="1" s="1"/>
  <c r="P7" i="1" s="1"/>
  <c r="Q7" i="1" s="1"/>
  <c r="R7" i="1" s="1"/>
  <c r="J7" i="1"/>
  <c r="J5" i="1"/>
  <c r="J6" i="1" s="1"/>
  <c r="K5" i="1"/>
  <c r="L5" i="1"/>
  <c r="L6" i="1" s="1"/>
  <c r="M5" i="1"/>
  <c r="N5" i="1"/>
  <c r="N6" i="1" s="1"/>
  <c r="O5" i="1"/>
  <c r="P5" i="1"/>
  <c r="Q5" i="1"/>
  <c r="R5" i="1"/>
  <c r="I5" i="1"/>
  <c r="I6" i="1" s="1"/>
  <c r="K6" i="1"/>
  <c r="H19" i="1"/>
  <c r="G19" i="1"/>
  <c r="M4" i="1"/>
  <c r="I2" i="1"/>
  <c r="J2" i="1"/>
  <c r="K2" i="1" s="1"/>
  <c r="L2" i="1" s="1"/>
  <c r="M2" i="1" s="1"/>
  <c r="N2" i="1" s="1"/>
  <c r="O2" i="1" s="1"/>
  <c r="P2" i="1" s="1"/>
  <c r="Q2" i="1" s="1"/>
  <c r="R2" i="1" s="1"/>
  <c r="H16" i="1"/>
  <c r="H13" i="1"/>
  <c r="H12" i="1"/>
  <c r="H11" i="1"/>
  <c r="H7" i="1"/>
  <c r="H5" i="1"/>
  <c r="H4" i="1"/>
  <c r="F9" i="1"/>
  <c r="G2" i="1"/>
  <c r="H2" i="1" s="1"/>
  <c r="F6" i="1"/>
  <c r="G6" i="1"/>
  <c r="G10" i="1" s="1"/>
  <c r="G15" i="1" s="1"/>
  <c r="G17" i="1" s="1"/>
  <c r="E6" i="1"/>
  <c r="E10" i="1" s="1"/>
  <c r="E15" i="1" s="1"/>
  <c r="E17" i="1" s="1"/>
  <c r="F2" i="1"/>
  <c r="I10" i="1" l="1"/>
  <c r="I15" i="1" s="1"/>
  <c r="I17" i="1" s="1"/>
  <c r="K10" i="1"/>
  <c r="K15" i="1" s="1"/>
  <c r="K17" i="1" s="1"/>
  <c r="L10" i="1"/>
  <c r="L15" i="1" s="1"/>
  <c r="L17" i="1" s="1"/>
  <c r="N10" i="1"/>
  <c r="N15" i="1" s="1"/>
  <c r="N17" i="1" s="1"/>
  <c r="J10" i="1"/>
  <c r="J15" i="1" s="1"/>
  <c r="J17" i="1" s="1"/>
  <c r="M6" i="1"/>
  <c r="M10" i="1" s="1"/>
  <c r="M15" i="1" s="1"/>
  <c r="M17" i="1" s="1"/>
  <c r="P4" i="1"/>
  <c r="O6" i="1"/>
  <c r="O10" i="1" s="1"/>
  <c r="O15" i="1" s="1"/>
  <c r="O17" i="1" s="1"/>
  <c r="H6" i="1"/>
  <c r="H10" i="1" s="1"/>
  <c r="H15" i="1" s="1"/>
  <c r="H17" i="1" s="1"/>
  <c r="F10" i="1"/>
  <c r="F15" i="1" s="1"/>
  <c r="F17" i="1" s="1"/>
  <c r="I20" i="1" l="1"/>
  <c r="Q4" i="1"/>
  <c r="P6" i="1"/>
  <c r="P10" i="1" s="1"/>
  <c r="P15" i="1" s="1"/>
  <c r="P17" i="1" s="1"/>
  <c r="Q6" i="1" l="1"/>
  <c r="Q10" i="1" s="1"/>
  <c r="Q15" i="1" s="1"/>
  <c r="Q17" i="1" s="1"/>
  <c r="R4" i="1"/>
  <c r="R6" i="1" s="1"/>
  <c r="R10" i="1" s="1"/>
  <c r="R15" i="1" s="1"/>
  <c r="R17" i="1" s="1"/>
</calcChain>
</file>

<file path=xl/sharedStrings.xml><?xml version="1.0" encoding="utf-8"?>
<sst xmlns="http://schemas.openxmlformats.org/spreadsheetml/2006/main" count="23" uniqueCount="23">
  <si>
    <t>Revenue</t>
  </si>
  <si>
    <t>COGS</t>
  </si>
  <si>
    <t>Gross Profit</t>
  </si>
  <si>
    <t>R&amp;D</t>
  </si>
  <si>
    <t>SG&amp;A</t>
  </si>
  <si>
    <t>Other</t>
  </si>
  <si>
    <t>Operating Income</t>
  </si>
  <si>
    <t>Equity change</t>
  </si>
  <si>
    <t>Interest Income</t>
  </si>
  <si>
    <t>Interest Expenses</t>
  </si>
  <si>
    <t>Other income, net</t>
  </si>
  <si>
    <t>Pretax</t>
  </si>
  <si>
    <t>Taxes</t>
  </si>
  <si>
    <t>net Income</t>
  </si>
  <si>
    <t>Gross Margin</t>
  </si>
  <si>
    <t>Operating Margin</t>
  </si>
  <si>
    <t>Discount</t>
  </si>
  <si>
    <t>Terminal</t>
  </si>
  <si>
    <t>NPV</t>
  </si>
  <si>
    <t>Net Cash</t>
  </si>
  <si>
    <t>Value</t>
  </si>
  <si>
    <t>MC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</si>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</sst>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3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54429</xdr:colOff>
      <xdr:row>3</xdr:row>
      <xdr:rowOff>21771</xdr:rowOff>
    </xdr:from>
    <xdr:to>
      <xdr:col>7</xdr:col>
      <xdr:colOff>65315</xdr:colOff>
      <xdr:row>17</xdr:row>
      <xdr:rowOff>38100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8E1D474-2AB0-4644-0198-0BE08AFA57E5}"/>
            </a:ext>
          </a:extLst>
        </xdr:cNvPr>
        <xdr:cNvCxnSpPr/>
      </xdr:nvCxnSpPr>
      <xdr:spPr>
        <a:xfrm>
          <a:off x="4425043" y="593271"/>
          <a:ext cx="10886" cy="268332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E786C-2E48-4B69-ADA3-9C1C6A13E442}">
  <dimension ref="B2:DS98"/>
  <sheetViews>
    <sheetView tabSelected="1" zoomScale="175" zoomScaleNormal="175" workbookViewId="0">
      <pane xSplit="2" ySplit="2" topLeftCell="R8" activePane="bottomRight" state="frozen"/>
      <selection pane="topRight" activeCell="C1" sqref="C1"/>
      <selection pane="bottomLeft" activeCell="A3" sqref="A3"/>
      <selection pane="bottomRight" activeCell="X17" sqref="X17"/>
    </sheetView>
  </sheetViews>
  <sheetFormatPr defaultRowHeight="15" x14ac:dyDescent="0.25"/>
  <cols>
    <col min="1" max="1" width="2.85546875" customWidth="1"/>
    <col min="2" max="2" width="17" bestFit="1" customWidth="1"/>
    <col min="12" max="18" width="9.85546875" customWidth="1"/>
  </cols>
  <sheetData>
    <row r="2" spans="2:18" x14ac:dyDescent="0.25">
      <c r="E2">
        <v>2022</v>
      </c>
      <c r="F2">
        <f>+E2+1</f>
        <v>2023</v>
      </c>
      <c r="G2">
        <f t="shared" ref="G2:R2" si="0">+F2+1</f>
        <v>2024</v>
      </c>
      <c r="H2">
        <f t="shared" si="0"/>
        <v>2025</v>
      </c>
      <c r="I2">
        <f t="shared" si="0"/>
        <v>2026</v>
      </c>
      <c r="J2">
        <f t="shared" si="0"/>
        <v>2027</v>
      </c>
      <c r="K2">
        <f t="shared" si="0"/>
        <v>2028</v>
      </c>
      <c r="L2">
        <f t="shared" si="0"/>
        <v>2029</v>
      </c>
      <c r="M2">
        <f t="shared" si="0"/>
        <v>2030</v>
      </c>
      <c r="N2">
        <f t="shared" si="0"/>
        <v>2031</v>
      </c>
      <c r="O2">
        <f t="shared" si="0"/>
        <v>2032</v>
      </c>
      <c r="P2">
        <f t="shared" si="0"/>
        <v>2033</v>
      </c>
      <c r="Q2">
        <f t="shared" si="0"/>
        <v>2034</v>
      </c>
      <c r="R2">
        <f t="shared" si="0"/>
        <v>2035</v>
      </c>
    </row>
    <row r="3" spans="2:18" s="1" customFormat="1" x14ac:dyDescent="0.25"/>
    <row r="4" spans="2:18" s="1" customFormat="1" x14ac:dyDescent="0.25">
      <c r="B4" s="1" t="s">
        <v>0</v>
      </c>
      <c r="E4" s="1">
        <v>6202</v>
      </c>
      <c r="F4" s="1">
        <v>7644</v>
      </c>
      <c r="G4" s="1">
        <v>23074</v>
      </c>
      <c r="H4" s="1">
        <f>20556*1.33</f>
        <v>27339.480000000003</v>
      </c>
      <c r="I4" s="1">
        <v>67460</v>
      </c>
      <c r="J4" s="1">
        <v>250000</v>
      </c>
      <c r="K4" s="1">
        <v>690000</v>
      </c>
      <c r="L4" s="1">
        <v>1600000</v>
      </c>
      <c r="M4" s="1">
        <f>+L4*1.2</f>
        <v>1920000</v>
      </c>
      <c r="N4" s="1">
        <v>2300000</v>
      </c>
      <c r="O4" s="1">
        <v>2750000</v>
      </c>
      <c r="P4" s="1">
        <f t="shared" ref="N4:R4" si="1">+O4*1.2</f>
        <v>3300000</v>
      </c>
      <c r="Q4" s="1">
        <f t="shared" si="1"/>
        <v>3960000</v>
      </c>
      <c r="R4" s="1">
        <f t="shared" si="1"/>
        <v>4752000</v>
      </c>
    </row>
    <row r="5" spans="2:18" s="1" customFormat="1" x14ac:dyDescent="0.25">
      <c r="B5" s="1" t="s">
        <v>1</v>
      </c>
      <c r="E5" s="1">
        <v>23239</v>
      </c>
      <c r="F5" s="1">
        <v>63061</v>
      </c>
      <c r="G5" s="1">
        <v>25119</v>
      </c>
      <c r="H5" s="1">
        <f>16454*1.33</f>
        <v>21883.82</v>
      </c>
      <c r="I5" s="1">
        <f>+(1-I19)*I4</f>
        <v>53968</v>
      </c>
      <c r="J5" s="1">
        <f t="shared" ref="J5:R5" si="2">+(1-J19)*J4</f>
        <v>195000</v>
      </c>
      <c r="K5" s="1">
        <f t="shared" si="2"/>
        <v>517500</v>
      </c>
      <c r="L5" s="1">
        <f t="shared" si="2"/>
        <v>1152000</v>
      </c>
      <c r="M5" s="1">
        <f t="shared" si="2"/>
        <v>1344000</v>
      </c>
      <c r="N5" s="1">
        <f t="shared" si="2"/>
        <v>1586999.9999999998</v>
      </c>
      <c r="O5" s="1">
        <f t="shared" si="2"/>
        <v>1869999.9999999998</v>
      </c>
      <c r="P5" s="1">
        <f t="shared" si="2"/>
        <v>2210999.9999999995</v>
      </c>
      <c r="Q5" s="1">
        <f t="shared" si="2"/>
        <v>2653199.9999999995</v>
      </c>
      <c r="R5" s="1">
        <f t="shared" si="2"/>
        <v>3183839.9999999995</v>
      </c>
    </row>
    <row r="6" spans="2:18" s="1" customFormat="1" x14ac:dyDescent="0.25">
      <c r="B6" s="1" t="s">
        <v>2</v>
      </c>
      <c r="E6" s="1">
        <f>+E4-E5</f>
        <v>-17037</v>
      </c>
      <c r="F6" s="1">
        <f t="shared" ref="F6:N6" si="3">+F4-F5</f>
        <v>-55417</v>
      </c>
      <c r="G6" s="1">
        <f t="shared" si="3"/>
        <v>-2045</v>
      </c>
      <c r="H6" s="1">
        <f t="shared" si="3"/>
        <v>5455.6600000000035</v>
      </c>
      <c r="I6" s="1">
        <f t="shared" si="3"/>
        <v>13492</v>
      </c>
      <c r="J6" s="1">
        <f t="shared" si="3"/>
        <v>55000</v>
      </c>
      <c r="K6" s="1">
        <f t="shared" si="3"/>
        <v>172500</v>
      </c>
      <c r="L6" s="1">
        <f t="shared" si="3"/>
        <v>448000</v>
      </c>
      <c r="M6" s="1">
        <f t="shared" si="3"/>
        <v>576000</v>
      </c>
      <c r="N6" s="1">
        <f t="shared" si="3"/>
        <v>713000.00000000023</v>
      </c>
      <c r="O6" s="1">
        <f t="shared" ref="O6" si="4">+O4-O5</f>
        <v>880000.00000000023</v>
      </c>
      <c r="P6" s="1">
        <f t="shared" ref="P6" si="5">+P4-P5</f>
        <v>1089000.0000000005</v>
      </c>
      <c r="Q6" s="1">
        <f t="shared" ref="Q6" si="6">+Q4-Q5</f>
        <v>1306800.0000000005</v>
      </c>
      <c r="R6" s="1">
        <f t="shared" ref="R6" si="7">+R4-R5</f>
        <v>1568160.0000000005</v>
      </c>
    </row>
    <row r="7" spans="2:18" s="1" customFormat="1" x14ac:dyDescent="0.25">
      <c r="B7" s="1" t="s">
        <v>3</v>
      </c>
      <c r="E7" s="1">
        <v>58051</v>
      </c>
      <c r="F7" s="1">
        <v>88392</v>
      </c>
      <c r="G7" s="1">
        <v>124506</v>
      </c>
      <c r="H7" s="1">
        <f>82257*1.33</f>
        <v>109401.81000000001</v>
      </c>
      <c r="I7" s="1">
        <v>125000</v>
      </c>
      <c r="J7" s="1">
        <f>+I7*1.05</f>
        <v>131250</v>
      </c>
      <c r="K7" s="1">
        <f t="shared" ref="K7:R7" si="8">+J7*1.05</f>
        <v>137812.5</v>
      </c>
      <c r="L7" s="1">
        <f t="shared" si="8"/>
        <v>144703.125</v>
      </c>
      <c r="M7" s="1">
        <f t="shared" si="8"/>
        <v>151938.28125</v>
      </c>
      <c r="N7" s="1">
        <f t="shared" si="8"/>
        <v>159535.1953125</v>
      </c>
      <c r="O7" s="1">
        <f t="shared" si="8"/>
        <v>167511.955078125</v>
      </c>
      <c r="P7" s="1">
        <f t="shared" si="8"/>
        <v>175887.55283203124</v>
      </c>
      <c r="Q7" s="1">
        <f t="shared" si="8"/>
        <v>184681.93047363282</v>
      </c>
      <c r="R7" s="1">
        <f t="shared" si="8"/>
        <v>193916.02699731448</v>
      </c>
    </row>
    <row r="8" spans="2:18" s="1" customFormat="1" x14ac:dyDescent="0.25">
      <c r="B8" s="1" t="s">
        <v>4</v>
      </c>
      <c r="E8" s="1">
        <v>51970</v>
      </c>
      <c r="F8" s="1">
        <v>79014</v>
      </c>
      <c r="G8" s="1">
        <v>74311</v>
      </c>
      <c r="H8" s="1">
        <v>75000</v>
      </c>
      <c r="I8" s="1">
        <f>+H8*1.04</f>
        <v>78000</v>
      </c>
      <c r="J8" s="1">
        <v>85000</v>
      </c>
      <c r="K8" s="1">
        <v>95000</v>
      </c>
      <c r="L8" s="1">
        <f>+L4*0.08</f>
        <v>128000</v>
      </c>
      <c r="M8" s="1">
        <f t="shared" ref="M8:R8" si="9">+M4*0.08</f>
        <v>153600</v>
      </c>
      <c r="N8" s="1">
        <f t="shared" si="9"/>
        <v>184000</v>
      </c>
      <c r="O8" s="1">
        <f t="shared" si="9"/>
        <v>220000</v>
      </c>
      <c r="P8" s="1">
        <f t="shared" si="9"/>
        <v>264000</v>
      </c>
      <c r="Q8" s="1">
        <f t="shared" si="9"/>
        <v>316800</v>
      </c>
      <c r="R8" s="1">
        <f t="shared" si="9"/>
        <v>380160</v>
      </c>
    </row>
    <row r="9" spans="2:18" s="1" customFormat="1" x14ac:dyDescent="0.25">
      <c r="B9" s="1" t="s">
        <v>5</v>
      </c>
      <c r="E9" s="1">
        <v>4921</v>
      </c>
      <c r="F9" s="1">
        <f>4411+3021</f>
        <v>7432</v>
      </c>
      <c r="G9" s="1">
        <v>41807</v>
      </c>
    </row>
    <row r="10" spans="2:18" s="1" customFormat="1" x14ac:dyDescent="0.25">
      <c r="B10" s="1" t="s">
        <v>6</v>
      </c>
      <c r="E10" s="1">
        <f>+E6-E7-E8-E9</f>
        <v>-131979</v>
      </c>
      <c r="F10" s="1">
        <f t="shared" ref="F10:N10" si="10">+F6-F7-F8-F9</f>
        <v>-230255</v>
      </c>
      <c r="G10" s="1">
        <f t="shared" si="10"/>
        <v>-242669</v>
      </c>
      <c r="H10" s="1">
        <f t="shared" si="10"/>
        <v>-178946.15000000002</v>
      </c>
      <c r="I10" s="1">
        <f t="shared" si="10"/>
        <v>-189508</v>
      </c>
      <c r="J10" s="1">
        <f t="shared" si="10"/>
        <v>-161250</v>
      </c>
      <c r="K10" s="1">
        <f t="shared" si="10"/>
        <v>-60312.5</v>
      </c>
      <c r="L10" s="1">
        <f t="shared" si="10"/>
        <v>175296.875</v>
      </c>
      <c r="M10" s="1">
        <f t="shared" si="10"/>
        <v>270461.71875</v>
      </c>
      <c r="N10" s="1">
        <f t="shared" si="10"/>
        <v>369464.80468750023</v>
      </c>
      <c r="O10" s="1">
        <f t="shared" ref="O10" si="11">+O6-O7-O8-O9</f>
        <v>492488.04492187523</v>
      </c>
      <c r="P10" s="1">
        <f t="shared" ref="P10" si="12">+P6-P7-P8-P9</f>
        <v>649112.44716796919</v>
      </c>
      <c r="Q10" s="1">
        <f t="shared" ref="Q10" si="13">+Q6-Q7-Q8-Q9</f>
        <v>805318.06952636759</v>
      </c>
      <c r="R10" s="1">
        <f t="shared" ref="R10" si="14">+R6-R7-R8-R9</f>
        <v>994083.97300268593</v>
      </c>
    </row>
    <row r="11" spans="2:18" s="1" customFormat="1" x14ac:dyDescent="0.25">
      <c r="B11" s="1" t="s">
        <v>7</v>
      </c>
      <c r="E11" s="1">
        <v>75180</v>
      </c>
      <c r="F11" s="1">
        <v>6180</v>
      </c>
      <c r="G11" s="1">
        <v>12244</v>
      </c>
      <c r="H11" s="1">
        <f>15000+6000</f>
        <v>21000</v>
      </c>
      <c r="I11" s="1">
        <v>20000</v>
      </c>
      <c r="J11" s="1">
        <v>20000</v>
      </c>
      <c r="K11" s="1">
        <v>20000</v>
      </c>
      <c r="L11" s="1">
        <v>20000</v>
      </c>
      <c r="M11" s="1">
        <v>20000</v>
      </c>
      <c r="N11" s="1">
        <v>20000</v>
      </c>
      <c r="O11" s="1">
        <v>20000</v>
      </c>
      <c r="P11" s="1">
        <v>20000</v>
      </c>
      <c r="Q11" s="1">
        <v>20000</v>
      </c>
      <c r="R11" s="1">
        <v>20000</v>
      </c>
    </row>
    <row r="12" spans="2:18" s="1" customFormat="1" x14ac:dyDescent="0.25">
      <c r="B12" s="1" t="s">
        <v>8</v>
      </c>
      <c r="E12" s="1">
        <v>5231</v>
      </c>
      <c r="F12" s="1">
        <v>14070</v>
      </c>
      <c r="G12" s="1">
        <v>12332</v>
      </c>
      <c r="H12" s="1">
        <f>7401*1.33</f>
        <v>9843.33</v>
      </c>
      <c r="I12" s="1">
        <v>10000</v>
      </c>
      <c r="J12" s="1">
        <v>10000</v>
      </c>
      <c r="K12" s="1">
        <v>10000</v>
      </c>
      <c r="L12" s="1">
        <v>10000</v>
      </c>
      <c r="M12" s="1">
        <v>10000</v>
      </c>
      <c r="N12" s="1">
        <v>10000</v>
      </c>
      <c r="O12" s="1">
        <v>10000</v>
      </c>
      <c r="P12" s="1">
        <v>10000</v>
      </c>
      <c r="Q12" s="1">
        <v>10000</v>
      </c>
      <c r="R12" s="1">
        <v>10000</v>
      </c>
    </row>
    <row r="13" spans="2:18" s="1" customFormat="1" x14ac:dyDescent="0.25">
      <c r="B13" s="1" t="s">
        <v>9</v>
      </c>
      <c r="F13" s="1">
        <v>4456</v>
      </c>
      <c r="G13" s="1">
        <v>6787</v>
      </c>
      <c r="H13" s="1">
        <f>15186*1.33</f>
        <v>20197.38</v>
      </c>
      <c r="I13" s="1">
        <v>20000</v>
      </c>
      <c r="J13" s="1">
        <v>20000</v>
      </c>
      <c r="K13" s="1">
        <v>20000</v>
      </c>
      <c r="L13" s="1">
        <v>20000</v>
      </c>
      <c r="M13" s="1">
        <v>20000</v>
      </c>
      <c r="N13" s="1">
        <v>20000</v>
      </c>
      <c r="O13" s="1">
        <v>20000</v>
      </c>
      <c r="P13" s="1">
        <v>20000</v>
      </c>
      <c r="Q13" s="1">
        <v>20000</v>
      </c>
      <c r="R13" s="1">
        <v>20000</v>
      </c>
    </row>
    <row r="14" spans="2:18" s="1" customFormat="1" x14ac:dyDescent="0.25">
      <c r="B14" s="1" t="s">
        <v>10</v>
      </c>
      <c r="E14" s="1">
        <v>-54</v>
      </c>
      <c r="F14" s="1">
        <v>-304</v>
      </c>
      <c r="G14" s="1">
        <v>954</v>
      </c>
      <c r="H14" s="1">
        <v>2000</v>
      </c>
      <c r="I14" s="1">
        <v>2000</v>
      </c>
      <c r="J14" s="1">
        <v>2000</v>
      </c>
      <c r="K14" s="1">
        <v>2000</v>
      </c>
      <c r="L14" s="1">
        <v>2000</v>
      </c>
      <c r="M14" s="1">
        <v>2000</v>
      </c>
      <c r="N14" s="1">
        <v>2000</v>
      </c>
      <c r="O14" s="1">
        <v>2000</v>
      </c>
      <c r="P14" s="1">
        <v>2000</v>
      </c>
      <c r="Q14" s="1">
        <v>2000</v>
      </c>
      <c r="R14" s="1">
        <v>2000</v>
      </c>
    </row>
    <row r="15" spans="2:18" s="1" customFormat="1" x14ac:dyDescent="0.25">
      <c r="B15" s="1" t="s">
        <v>11</v>
      </c>
      <c r="E15" s="1">
        <f>+E10+E11+E12-E13+E14</f>
        <v>-51622</v>
      </c>
      <c r="F15" s="1">
        <f t="shared" ref="F15:N15" si="15">+F10+F11+F12-F13+F14</f>
        <v>-214765</v>
      </c>
      <c r="G15" s="1">
        <f t="shared" si="15"/>
        <v>-223926</v>
      </c>
      <c r="H15" s="1">
        <f t="shared" si="15"/>
        <v>-166300.20000000004</v>
      </c>
      <c r="I15" s="1">
        <f t="shared" si="15"/>
        <v>-177508</v>
      </c>
      <c r="J15" s="1">
        <f t="shared" si="15"/>
        <v>-149250</v>
      </c>
      <c r="K15" s="1">
        <f t="shared" si="15"/>
        <v>-48312.5</v>
      </c>
      <c r="L15" s="1">
        <f t="shared" si="15"/>
        <v>187296.875</v>
      </c>
      <c r="M15" s="1">
        <f t="shared" si="15"/>
        <v>282461.71875</v>
      </c>
      <c r="N15" s="1">
        <f t="shared" si="15"/>
        <v>381464.80468750023</v>
      </c>
      <c r="O15" s="1">
        <f t="shared" ref="O15" si="16">+O10+O11+O12-O13+O14</f>
        <v>504488.04492187523</v>
      </c>
      <c r="P15" s="1">
        <f t="shared" ref="P15" si="17">+P10+P11+P12-P13+P14</f>
        <v>661112.44716796919</v>
      </c>
      <c r="Q15" s="1">
        <f t="shared" ref="Q15" si="18">+Q10+Q11+Q12-Q13+Q14</f>
        <v>817318.06952636759</v>
      </c>
      <c r="R15" s="1">
        <f t="shared" ref="R15" si="19">+R10+R11+R12-R13+R14</f>
        <v>1006083.9730026859</v>
      </c>
    </row>
    <row r="16" spans="2:18" s="1" customFormat="1" x14ac:dyDescent="0.25">
      <c r="B16" s="1" t="s">
        <v>12</v>
      </c>
      <c r="F16" s="1">
        <v>-633</v>
      </c>
      <c r="G16" s="1">
        <v>-1392</v>
      </c>
      <c r="H16" s="1">
        <f>-1445*1.33</f>
        <v>-1921.8500000000001</v>
      </c>
      <c r="I16" s="1">
        <f>+I15*0.2</f>
        <v>-35501.599999999999</v>
      </c>
      <c r="J16" s="1">
        <f t="shared" ref="J16:R16" si="20">+J15*0.2</f>
        <v>-29850</v>
      </c>
      <c r="K16" s="1">
        <f t="shared" si="20"/>
        <v>-9662.5</v>
      </c>
      <c r="L16" s="1">
        <f t="shared" si="20"/>
        <v>37459.375</v>
      </c>
      <c r="M16" s="1">
        <f t="shared" si="20"/>
        <v>56492.34375</v>
      </c>
      <c r="N16" s="1">
        <f t="shared" si="20"/>
        <v>76292.960937500044</v>
      </c>
      <c r="O16" s="1">
        <f t="shared" si="20"/>
        <v>100897.60898437505</v>
      </c>
      <c r="P16" s="1">
        <f t="shared" si="20"/>
        <v>132222.48943359384</v>
      </c>
      <c r="Q16" s="1">
        <f t="shared" si="20"/>
        <v>163463.61390527352</v>
      </c>
      <c r="R16" s="1">
        <f t="shared" si="20"/>
        <v>201216.79460053719</v>
      </c>
    </row>
    <row r="17" spans="2:123" s="1" customFormat="1" x14ac:dyDescent="0.25">
      <c r="B17" s="1" t="s">
        <v>13</v>
      </c>
      <c r="E17" s="1">
        <f>+E15-E16</f>
        <v>-51622</v>
      </c>
      <c r="F17" s="1">
        <f t="shared" ref="F17:N17" si="21">+F15-F16</f>
        <v>-214132</v>
      </c>
      <c r="G17" s="1">
        <f t="shared" si="21"/>
        <v>-222534</v>
      </c>
      <c r="H17" s="1">
        <f t="shared" si="21"/>
        <v>-164378.35000000003</v>
      </c>
      <c r="I17" s="1">
        <f t="shared" si="21"/>
        <v>-142006.39999999999</v>
      </c>
      <c r="J17" s="1">
        <f t="shared" si="21"/>
        <v>-119400</v>
      </c>
      <c r="K17" s="1">
        <f t="shared" si="21"/>
        <v>-38650</v>
      </c>
      <c r="L17" s="1">
        <f t="shared" si="21"/>
        <v>149837.5</v>
      </c>
      <c r="M17" s="1">
        <f t="shared" si="21"/>
        <v>225969.375</v>
      </c>
      <c r="N17" s="1">
        <f t="shared" si="21"/>
        <v>305171.84375000017</v>
      </c>
      <c r="O17" s="1">
        <f t="shared" ref="O17" si="22">+O15-O16</f>
        <v>403590.43593750021</v>
      </c>
      <c r="P17" s="1">
        <f t="shared" ref="P17" si="23">+P15-P16</f>
        <v>528889.95773437538</v>
      </c>
      <c r="Q17" s="1">
        <f t="shared" ref="Q17" si="24">+Q15-Q16</f>
        <v>653854.45562109409</v>
      </c>
      <c r="R17" s="1">
        <f t="shared" ref="R17" si="25">+R15-R16</f>
        <v>804867.17840214877</v>
      </c>
      <c r="S17" s="1">
        <f>+R17*(1+$U20)</f>
        <v>829013.19375421328</v>
      </c>
      <c r="T17" s="1">
        <f t="shared" ref="T17:CE17" si="26">+S17*(1+$U20)</f>
        <v>853883.58956683974</v>
      </c>
      <c r="U17" s="1">
        <f t="shared" si="26"/>
        <v>879500.09725384496</v>
      </c>
      <c r="V17" s="1">
        <f t="shared" si="26"/>
        <v>905885.1001714603</v>
      </c>
      <c r="W17" s="1">
        <f t="shared" si="26"/>
        <v>933061.65317660419</v>
      </c>
      <c r="X17" s="1">
        <f t="shared" si="26"/>
        <v>961053.50277190236</v>
      </c>
      <c r="Y17" s="1">
        <f t="shared" si="26"/>
        <v>989885.10785505944</v>
      </c>
      <c r="Z17" s="1">
        <f t="shared" si="26"/>
        <v>1019581.6610907112</v>
      </c>
      <c r="AA17" s="1">
        <f t="shared" si="26"/>
        <v>1050169.1109234325</v>
      </c>
      <c r="AB17" s="1">
        <f t="shared" si="26"/>
        <v>1081674.1842511354</v>
      </c>
      <c r="AC17" s="1">
        <f t="shared" si="26"/>
        <v>1114124.4097786695</v>
      </c>
      <c r="AD17" s="1">
        <f t="shared" si="26"/>
        <v>1147548.1420720296</v>
      </c>
      <c r="AE17" s="1">
        <f t="shared" si="26"/>
        <v>1181974.5863341906</v>
      </c>
      <c r="AF17" s="1">
        <f t="shared" si="26"/>
        <v>1217433.8239242162</v>
      </c>
      <c r="AG17" s="1">
        <f t="shared" si="26"/>
        <v>1253956.8386419427</v>
      </c>
      <c r="AH17" s="1">
        <f t="shared" si="26"/>
        <v>1291575.543801201</v>
      </c>
      <c r="AI17" s="1">
        <f t="shared" si="26"/>
        <v>1330322.810115237</v>
      </c>
      <c r="AJ17" s="1">
        <f t="shared" si="26"/>
        <v>1370232.4944186942</v>
      </c>
      <c r="AK17" s="1">
        <f t="shared" si="26"/>
        <v>1411339.469251255</v>
      </c>
      <c r="AL17" s="1">
        <f t="shared" si="26"/>
        <v>1453679.6533287927</v>
      </c>
      <c r="AM17" s="1">
        <f t="shared" si="26"/>
        <v>1497290.0429286566</v>
      </c>
      <c r="AN17" s="1">
        <f t="shared" si="26"/>
        <v>1542208.7442165164</v>
      </c>
      <c r="AO17" s="1">
        <f t="shared" si="26"/>
        <v>1588475.0065430119</v>
      </c>
      <c r="AP17" s="1">
        <f t="shared" si="26"/>
        <v>1636129.2567393023</v>
      </c>
      <c r="AQ17" s="1">
        <f t="shared" si="26"/>
        <v>1685213.1344414814</v>
      </c>
      <c r="AR17" s="1">
        <f t="shared" si="26"/>
        <v>1735769.528474726</v>
      </c>
      <c r="AS17" s="1">
        <f t="shared" si="26"/>
        <v>1787842.6143289679</v>
      </c>
      <c r="AT17" s="1">
        <f t="shared" si="26"/>
        <v>1841477.892758837</v>
      </c>
      <c r="AU17" s="1">
        <f t="shared" si="26"/>
        <v>1896722.2295416021</v>
      </c>
      <c r="AV17" s="1">
        <f t="shared" si="26"/>
        <v>1953623.8964278502</v>
      </c>
      <c r="AW17" s="1">
        <f t="shared" si="26"/>
        <v>2012232.6133206857</v>
      </c>
      <c r="AX17" s="1">
        <f t="shared" si="26"/>
        <v>2072599.5917203063</v>
      </c>
      <c r="AY17" s="1">
        <f t="shared" si="26"/>
        <v>2134777.5794719155</v>
      </c>
      <c r="AZ17" s="1">
        <f t="shared" si="26"/>
        <v>2198820.9068560731</v>
      </c>
      <c r="BA17" s="1">
        <f t="shared" si="26"/>
        <v>2264785.5340617555</v>
      </c>
      <c r="BB17" s="1">
        <f t="shared" si="26"/>
        <v>2332729.1000836082</v>
      </c>
      <c r="BC17" s="1">
        <f t="shared" si="26"/>
        <v>2402710.9730861164</v>
      </c>
      <c r="BD17" s="1">
        <f t="shared" si="26"/>
        <v>2474792.3022786998</v>
      </c>
      <c r="BE17" s="1">
        <f t="shared" si="26"/>
        <v>2549036.0713470611</v>
      </c>
      <c r="BF17" s="1">
        <f t="shared" si="26"/>
        <v>2625507.1534874728</v>
      </c>
      <c r="BG17" s="1">
        <f t="shared" si="26"/>
        <v>2704272.3680920969</v>
      </c>
      <c r="BH17" s="1">
        <f t="shared" si="26"/>
        <v>2785400.53913486</v>
      </c>
      <c r="BI17" s="1">
        <f t="shared" si="26"/>
        <v>2868962.5553089059</v>
      </c>
      <c r="BJ17" s="1">
        <f t="shared" si="26"/>
        <v>2955031.431968173</v>
      </c>
      <c r="BK17" s="1">
        <f t="shared" si="26"/>
        <v>3043682.3749272181</v>
      </c>
      <c r="BL17" s="1">
        <f t="shared" si="26"/>
        <v>3134992.8461750345</v>
      </c>
      <c r="BM17" s="1">
        <f t="shared" si="26"/>
        <v>3229042.6315602856</v>
      </c>
      <c r="BN17" s="1">
        <f t="shared" si="26"/>
        <v>3325913.9105070941</v>
      </c>
      <c r="BO17" s="1">
        <f t="shared" si="26"/>
        <v>3425691.3278223071</v>
      </c>
      <c r="BP17" s="1">
        <f t="shared" si="26"/>
        <v>3528462.0676569766</v>
      </c>
      <c r="BQ17" s="1">
        <f t="shared" si="26"/>
        <v>3634315.929686686</v>
      </c>
      <c r="BR17" s="1">
        <f t="shared" si="26"/>
        <v>3743345.4075772865</v>
      </c>
      <c r="BS17" s="1">
        <f t="shared" si="26"/>
        <v>3855645.7698046053</v>
      </c>
      <c r="BT17" s="1">
        <f t="shared" si="26"/>
        <v>3971315.1428987435</v>
      </c>
      <c r="BU17" s="1">
        <f t="shared" si="26"/>
        <v>4090454.5971857058</v>
      </c>
      <c r="BV17" s="1">
        <f t="shared" si="26"/>
        <v>4213168.235101277</v>
      </c>
      <c r="BW17" s="1">
        <f t="shared" si="26"/>
        <v>4339563.2821543152</v>
      </c>
      <c r="BX17" s="1">
        <f t="shared" si="26"/>
        <v>4469750.1806189446</v>
      </c>
      <c r="BY17" s="1">
        <f t="shared" si="26"/>
        <v>4603842.6860375134</v>
      </c>
      <c r="BZ17" s="1">
        <f t="shared" si="26"/>
        <v>4741957.9666186394</v>
      </c>
      <c r="CA17" s="1">
        <f t="shared" si="26"/>
        <v>4884216.7056171987</v>
      </c>
      <c r="CB17" s="1">
        <f t="shared" si="26"/>
        <v>5030743.2067857152</v>
      </c>
      <c r="CC17" s="1">
        <f t="shared" si="26"/>
        <v>5181665.5029892866</v>
      </c>
      <c r="CD17" s="1">
        <f t="shared" si="26"/>
        <v>5337115.4680789653</v>
      </c>
      <c r="CE17" s="1">
        <f t="shared" si="26"/>
        <v>5497228.9321213346</v>
      </c>
      <c r="CF17" s="1">
        <f t="shared" ref="CF17:DS17" si="27">+CE17*(1+$U20)</f>
        <v>5662145.8000849746</v>
      </c>
      <c r="CG17" s="1">
        <f t="shared" si="27"/>
        <v>5832010.1740875244</v>
      </c>
      <c r="CH17" s="1">
        <f t="shared" si="27"/>
        <v>6006970.4793101503</v>
      </c>
      <c r="CI17" s="1">
        <f t="shared" si="27"/>
        <v>6187179.5936894547</v>
      </c>
      <c r="CJ17" s="1">
        <f t="shared" si="27"/>
        <v>6372794.9815001385</v>
      </c>
      <c r="CK17" s="1">
        <f t="shared" si="27"/>
        <v>6563978.8309451425</v>
      </c>
      <c r="CL17" s="1">
        <f t="shared" si="27"/>
        <v>6760898.1958734971</v>
      </c>
      <c r="CM17" s="1">
        <f t="shared" si="27"/>
        <v>6963725.1417497024</v>
      </c>
      <c r="CN17" s="1">
        <f t="shared" si="27"/>
        <v>7172636.8960021939</v>
      </c>
      <c r="CO17" s="1">
        <f t="shared" si="27"/>
        <v>7387816.0028822599</v>
      </c>
      <c r="CP17" s="1">
        <f t="shared" si="27"/>
        <v>7609450.4829687281</v>
      </c>
      <c r="CQ17" s="1">
        <f t="shared" si="27"/>
        <v>7837733.9974577902</v>
      </c>
      <c r="CR17" s="1">
        <f t="shared" si="27"/>
        <v>8072866.0173815237</v>
      </c>
      <c r="CS17" s="1">
        <f t="shared" si="27"/>
        <v>8315051.9979029698</v>
      </c>
      <c r="CT17" s="1">
        <f t="shared" si="27"/>
        <v>8564503.5578400586</v>
      </c>
      <c r="CU17" s="1">
        <f t="shared" si="27"/>
        <v>8821438.6645752601</v>
      </c>
      <c r="CV17" s="1">
        <f t="shared" si="27"/>
        <v>9086081.8245125189</v>
      </c>
      <c r="CW17" s="1">
        <f t="shared" si="27"/>
        <v>9358664.2792478949</v>
      </c>
      <c r="CX17" s="1">
        <f t="shared" si="27"/>
        <v>9639424.2076253314</v>
      </c>
      <c r="CY17" s="1">
        <f t="shared" si="27"/>
        <v>9928606.9338540919</v>
      </c>
      <c r="CZ17" s="1">
        <f t="shared" si="27"/>
        <v>10226465.141869714</v>
      </c>
      <c r="DA17" s="1">
        <f t="shared" si="27"/>
        <v>10533259.096125806</v>
      </c>
      <c r="DB17" s="1">
        <f t="shared" si="27"/>
        <v>10849256.86900958</v>
      </c>
      <c r="DC17" s="1">
        <f t="shared" si="27"/>
        <v>11174734.575079868</v>
      </c>
      <c r="DD17" s="1">
        <f t="shared" si="27"/>
        <v>11509976.612332264</v>
      </c>
      <c r="DE17" s="1">
        <f t="shared" si="27"/>
        <v>11855275.910702232</v>
      </c>
      <c r="DF17" s="1">
        <f t="shared" si="27"/>
        <v>12210934.188023299</v>
      </c>
      <c r="DG17" s="1">
        <f t="shared" si="27"/>
        <v>12577262.213663999</v>
      </c>
      <c r="DH17" s="1">
        <f t="shared" si="27"/>
        <v>12954580.080073919</v>
      </c>
      <c r="DI17" s="1">
        <f t="shared" si="27"/>
        <v>13343217.482476138</v>
      </c>
      <c r="DJ17" s="1">
        <f t="shared" si="27"/>
        <v>13743514.006950421</v>
      </c>
      <c r="DK17" s="1">
        <f t="shared" si="27"/>
        <v>14155819.427158935</v>
      </c>
      <c r="DL17" s="1">
        <f t="shared" si="27"/>
        <v>14580494.009973703</v>
      </c>
      <c r="DM17" s="1">
        <f t="shared" si="27"/>
        <v>15017908.830272915</v>
      </c>
      <c r="DN17" s="1">
        <f t="shared" si="27"/>
        <v>15468446.095181102</v>
      </c>
      <c r="DO17" s="1">
        <f t="shared" si="27"/>
        <v>15932499.478036536</v>
      </c>
      <c r="DP17" s="1">
        <f t="shared" si="27"/>
        <v>16410474.462377632</v>
      </c>
      <c r="DQ17" s="1">
        <f t="shared" si="27"/>
        <v>16902788.69624896</v>
      </c>
      <c r="DR17" s="1">
        <f t="shared" si="27"/>
        <v>17409872.357136428</v>
      </c>
      <c r="DS17" s="1">
        <f t="shared" si="27"/>
        <v>17932168.52785052</v>
      </c>
    </row>
    <row r="18" spans="2:123" s="1" customFormat="1" x14ac:dyDescent="0.25"/>
    <row r="19" spans="2:123" s="2" customFormat="1" x14ac:dyDescent="0.25">
      <c r="B19" s="2" t="s">
        <v>14</v>
      </c>
      <c r="G19" s="2">
        <f>+G6/G4</f>
        <v>-8.8627892866429747E-2</v>
      </c>
      <c r="H19" s="2">
        <f>+H6/H4</f>
        <v>0.19955244210935991</v>
      </c>
      <c r="I19" s="2">
        <v>0.2</v>
      </c>
      <c r="J19" s="2">
        <v>0.22</v>
      </c>
      <c r="K19" s="2">
        <v>0.25</v>
      </c>
      <c r="L19" s="2">
        <v>0.28000000000000003</v>
      </c>
      <c r="M19" s="2">
        <v>0.3</v>
      </c>
      <c r="N19" s="2">
        <v>0.31</v>
      </c>
      <c r="O19" s="2">
        <v>0.32</v>
      </c>
      <c r="P19" s="2">
        <v>0.33</v>
      </c>
      <c r="Q19" s="2">
        <v>0.33</v>
      </c>
      <c r="R19" s="2">
        <v>0.33</v>
      </c>
      <c r="T19" s="2" t="s">
        <v>16</v>
      </c>
      <c r="U19" s="2">
        <v>0.12</v>
      </c>
    </row>
    <row r="20" spans="2:123" s="2" customFormat="1" x14ac:dyDescent="0.25">
      <c r="B20" s="2" t="s">
        <v>15</v>
      </c>
      <c r="I20" s="2">
        <f t="shared" ref="F20:R20" si="28">+I10/I4</f>
        <v>-2.8091906314853246</v>
      </c>
      <c r="J20" s="2">
        <f t="shared" si="28"/>
        <v>-0.64500000000000002</v>
      </c>
      <c r="K20" s="2">
        <f t="shared" si="28"/>
        <v>-8.7409420289855072E-2</v>
      </c>
      <c r="L20" s="2">
        <f t="shared" si="28"/>
        <v>0.109560546875</v>
      </c>
      <c r="M20" s="2">
        <f t="shared" si="28"/>
        <v>0.140865478515625</v>
      </c>
      <c r="N20" s="2">
        <f t="shared" si="28"/>
        <v>0.16063687160326098</v>
      </c>
      <c r="O20" s="2">
        <f t="shared" si="28"/>
        <v>0.17908656178977281</v>
      </c>
      <c r="P20" s="2">
        <f t="shared" si="28"/>
        <v>0.19670074156605127</v>
      </c>
      <c r="Q20" s="2">
        <f t="shared" si="28"/>
        <v>0.20336314887029486</v>
      </c>
      <c r="R20" s="2">
        <f t="shared" si="28"/>
        <v>0.20919275526150799</v>
      </c>
      <c r="T20" s="2" t="s">
        <v>17</v>
      </c>
      <c r="U20" s="2">
        <v>0.03</v>
      </c>
    </row>
    <row r="21" spans="2:123" s="1" customFormat="1" x14ac:dyDescent="0.25">
      <c r="T21" s="1" t="s">
        <v>18</v>
      </c>
      <c r="U21" s="1">
        <f>NPV(U19,H17:DT17)</f>
        <v>3411272.6478621578</v>
      </c>
    </row>
    <row r="22" spans="2:123" s="1" customFormat="1" x14ac:dyDescent="0.25">
      <c r="T22" s="1" t="s">
        <v>19</v>
      </c>
      <c r="U22" s="1">
        <f>335502+223316+89451-10151-518348</f>
        <v>119770</v>
      </c>
    </row>
    <row r="23" spans="2:123" s="1" customFormat="1" x14ac:dyDescent="0.25">
      <c r="T23" s="1" t="s">
        <v>20</v>
      </c>
      <c r="U23" s="1">
        <f>+U21+U22</f>
        <v>3531042.6478621578</v>
      </c>
    </row>
    <row r="24" spans="2:123" s="1" customFormat="1" x14ac:dyDescent="0.25">
      <c r="T24" s="1" t="s">
        <v>21</v>
      </c>
      <c r="U24" s="1">
        <v>1684000</v>
      </c>
    </row>
    <row r="25" spans="2:123" s="1" customFormat="1" x14ac:dyDescent="0.25">
      <c r="T25" s="1" t="s">
        <v>22</v>
      </c>
      <c r="U25" s="2">
        <f>+U23/U24 -1</f>
        <v>1.0968186745024688</v>
      </c>
    </row>
    <row r="26" spans="2:123" s="1" customFormat="1" x14ac:dyDescent="0.25"/>
    <row r="27" spans="2:123" s="1" customFormat="1" x14ac:dyDescent="0.25"/>
    <row r="28" spans="2:123" s="1" customFormat="1" x14ac:dyDescent="0.25"/>
    <row r="29" spans="2:123" s="1" customFormat="1" x14ac:dyDescent="0.25"/>
    <row r="30" spans="2:123" s="1" customFormat="1" x14ac:dyDescent="0.25"/>
    <row r="31" spans="2:123" s="1" customFormat="1" x14ac:dyDescent="0.25"/>
    <row r="32" spans="2:123" s="1" customFormat="1" x14ac:dyDescent="0.25"/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2026-01-22T16:30:08Z</dcterms:created>
  <dcterms:modified xsi:type="dcterms:W3CDTF">2026-01-22T17:17:36Z</dcterms:modified>
</cp:coreProperties>
</file>