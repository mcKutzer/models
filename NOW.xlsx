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2565FCC-30EA-4246-A478-E5833D7A660D}" xr6:coauthVersionLast="47" xr6:coauthVersionMax="47" xr10:uidLastSave="{00000000-0000-0000-0000-000000000000}"/>
  <bookViews>
    <workbookView xWindow="-28920" yWindow="-120" windowWidth="29040" windowHeight="15840" xr2:uid="{91B61A0D-F052-476E-B072-87A5873B3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G49" i="1"/>
  <c r="H49" i="1"/>
  <c r="I49" i="1"/>
  <c r="J49" i="1"/>
  <c r="K49" i="1"/>
  <c r="L49" i="1"/>
  <c r="M49" i="1"/>
  <c r="N49" i="1"/>
  <c r="O49" i="1"/>
  <c r="P49" i="1"/>
  <c r="Q49" i="1"/>
  <c r="E49" i="1"/>
  <c r="T35" i="1"/>
  <c r="T34" i="1"/>
  <c r="F48" i="1"/>
  <c r="G48" i="1"/>
  <c r="H48" i="1"/>
  <c r="I48" i="1"/>
  <c r="J48" i="1"/>
  <c r="K48" i="1"/>
  <c r="L48" i="1"/>
  <c r="M48" i="1"/>
  <c r="N48" i="1"/>
  <c r="O48" i="1"/>
  <c r="P48" i="1"/>
  <c r="Q48" i="1"/>
  <c r="E48" i="1"/>
  <c r="T33" i="1"/>
  <c r="T27" i="1"/>
  <c r="I37" i="1"/>
  <c r="J37" i="1"/>
  <c r="K37" i="1"/>
  <c r="L37" i="1"/>
  <c r="M37" i="1"/>
  <c r="N37" i="1"/>
  <c r="O37" i="1"/>
  <c r="P37" i="1"/>
  <c r="Q37" i="1"/>
  <c r="R37" i="1" s="1"/>
  <c r="H37" i="1"/>
  <c r="G38" i="1"/>
  <c r="F38" i="1"/>
  <c r="E38" i="1"/>
  <c r="S37" i="1" l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T26" i="1" l="1"/>
  <c r="I5" i="1" l="1"/>
  <c r="I8" i="1" s="1"/>
  <c r="H5" i="1"/>
  <c r="H8" i="1" s="1"/>
  <c r="G46" i="1"/>
  <c r="H6" i="1"/>
  <c r="H9" i="1" s="1"/>
  <c r="H22" i="1"/>
  <c r="I22" i="1"/>
  <c r="J22" i="1"/>
  <c r="K22" i="1"/>
  <c r="L22" i="1"/>
  <c r="M22" i="1"/>
  <c r="N22" i="1"/>
  <c r="O22" i="1"/>
  <c r="P22" i="1"/>
  <c r="Q22" i="1"/>
  <c r="E22" i="1"/>
  <c r="F22" i="1"/>
  <c r="G41" i="1"/>
  <c r="G44" i="1" s="1"/>
  <c r="F28" i="1"/>
  <c r="G28" i="1"/>
  <c r="E28" i="1"/>
  <c r="G35" i="1"/>
  <c r="G47" i="1" s="1"/>
  <c r="G7" i="1"/>
  <c r="G31" i="1" s="1"/>
  <c r="E41" i="1"/>
  <c r="E44" i="1" s="1"/>
  <c r="F41" i="1"/>
  <c r="F44" i="1" s="1"/>
  <c r="F35" i="1"/>
  <c r="F47" i="1" s="1"/>
  <c r="E35" i="1"/>
  <c r="D35" i="1"/>
  <c r="D37" i="1" s="1"/>
  <c r="E7" i="1"/>
  <c r="E46" i="1" s="1"/>
  <c r="F7" i="1"/>
  <c r="F46" i="1" s="1"/>
  <c r="E10" i="1"/>
  <c r="F10" i="1"/>
  <c r="D10" i="1"/>
  <c r="D7" i="1"/>
  <c r="D31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D30" i="1" l="1"/>
  <c r="G37" i="1"/>
  <c r="F31" i="1"/>
  <c r="E37" i="1"/>
  <c r="F30" i="1"/>
  <c r="F37" i="1"/>
  <c r="E30" i="1"/>
  <c r="E47" i="1"/>
  <c r="D29" i="1"/>
  <c r="E31" i="1"/>
  <c r="F29" i="1"/>
  <c r="E29" i="1"/>
  <c r="H10" i="1"/>
  <c r="G29" i="1"/>
  <c r="H7" i="1"/>
  <c r="I6" i="1"/>
  <c r="I9" i="1" s="1"/>
  <c r="H28" i="1"/>
  <c r="G30" i="1"/>
  <c r="H14" i="1"/>
  <c r="H31" i="1" s="1"/>
  <c r="G10" i="1"/>
  <c r="G11" i="1" s="1"/>
  <c r="F11" i="1"/>
  <c r="E11" i="1"/>
  <c r="D11" i="1"/>
  <c r="H11" i="1" l="1"/>
  <c r="G15" i="1"/>
  <c r="G24" i="1"/>
  <c r="I28" i="1"/>
  <c r="J5" i="1"/>
  <c r="I7" i="1"/>
  <c r="H13" i="1"/>
  <c r="H12" i="1"/>
  <c r="I10" i="1"/>
  <c r="J6" i="1"/>
  <c r="J9" i="1" s="1"/>
  <c r="H24" i="1"/>
  <c r="E15" i="1"/>
  <c r="E24" i="1"/>
  <c r="D15" i="1"/>
  <c r="D24" i="1"/>
  <c r="F15" i="1"/>
  <c r="F24" i="1"/>
  <c r="K5" i="1" l="1"/>
  <c r="J8" i="1"/>
  <c r="J10" i="1"/>
  <c r="I12" i="1"/>
  <c r="H29" i="1"/>
  <c r="H15" i="1"/>
  <c r="H25" i="1" s="1"/>
  <c r="I13" i="1"/>
  <c r="H30" i="1"/>
  <c r="I11" i="1"/>
  <c r="I24" i="1" s="1"/>
  <c r="I14" i="1"/>
  <c r="I31" i="1" s="1"/>
  <c r="J28" i="1"/>
  <c r="G18" i="1"/>
  <c r="G20" i="1" s="1"/>
  <c r="G25" i="1"/>
  <c r="J7" i="1"/>
  <c r="J14" i="1" s="1"/>
  <c r="J31" i="1" s="1"/>
  <c r="K6" i="1"/>
  <c r="K9" i="1" s="1"/>
  <c r="K28" i="1"/>
  <c r="D18" i="1"/>
  <c r="D20" i="1" s="1"/>
  <c r="D25" i="1"/>
  <c r="F18" i="1"/>
  <c r="F20" i="1" s="1"/>
  <c r="F25" i="1"/>
  <c r="E18" i="1"/>
  <c r="E20" i="1" s="1"/>
  <c r="E25" i="1"/>
  <c r="L5" i="1" l="1"/>
  <c r="K8" i="1"/>
  <c r="I15" i="1"/>
  <c r="I25" i="1" s="1"/>
  <c r="H18" i="1"/>
  <c r="H19" i="1" s="1"/>
  <c r="H20" i="1" s="1"/>
  <c r="G26" i="1"/>
  <c r="G21" i="1"/>
  <c r="J13" i="1"/>
  <c r="I30" i="1"/>
  <c r="J11" i="1"/>
  <c r="K7" i="1"/>
  <c r="K14" i="1" s="1"/>
  <c r="K31" i="1" s="1"/>
  <c r="J12" i="1"/>
  <c r="I29" i="1"/>
  <c r="L6" i="1"/>
  <c r="L9" i="1" s="1"/>
  <c r="L28" i="1"/>
  <c r="K10" i="1"/>
  <c r="E26" i="1"/>
  <c r="E21" i="1"/>
  <c r="F26" i="1"/>
  <c r="F21" i="1"/>
  <c r="D26" i="1"/>
  <c r="D21" i="1"/>
  <c r="I18" i="1" l="1"/>
  <c r="M5" i="1"/>
  <c r="L8" i="1"/>
  <c r="L10" i="1" s="1"/>
  <c r="J15" i="1"/>
  <c r="J18" i="1" s="1"/>
  <c r="K11" i="1"/>
  <c r="K12" i="1"/>
  <c r="J29" i="1"/>
  <c r="J24" i="1"/>
  <c r="K13" i="1"/>
  <c r="J30" i="1"/>
  <c r="H26" i="1"/>
  <c r="H21" i="1"/>
  <c r="L7" i="1"/>
  <c r="I19" i="1"/>
  <c r="I20" i="1" s="1"/>
  <c r="K24" i="1"/>
  <c r="M6" i="1"/>
  <c r="M9" i="1" s="1"/>
  <c r="M28" i="1"/>
  <c r="J25" i="1" l="1"/>
  <c r="N5" i="1"/>
  <c r="M8" i="1"/>
  <c r="L13" i="1"/>
  <c r="M13" i="1" s="1"/>
  <c r="K30" i="1"/>
  <c r="M10" i="1"/>
  <c r="K15" i="1"/>
  <c r="K18" i="1" s="1"/>
  <c r="L12" i="1"/>
  <c r="M12" i="1" s="1"/>
  <c r="K29" i="1"/>
  <c r="M7" i="1"/>
  <c r="M11" i="1" s="1"/>
  <c r="I26" i="1"/>
  <c r="I21" i="1"/>
  <c r="N28" i="1"/>
  <c r="J19" i="1"/>
  <c r="J20" i="1" s="1"/>
  <c r="L11" i="1"/>
  <c r="L14" i="1"/>
  <c r="L31" i="1" s="1"/>
  <c r="O5" i="1" l="1"/>
  <c r="N8" i="1"/>
  <c r="N6" i="1"/>
  <c r="N9" i="1" s="1"/>
  <c r="K25" i="1"/>
  <c r="M29" i="1"/>
  <c r="L30" i="1"/>
  <c r="M30" i="1"/>
  <c r="L29" i="1"/>
  <c r="N7" i="1"/>
  <c r="N14" i="1" s="1"/>
  <c r="N31" i="1" s="1"/>
  <c r="M14" i="1"/>
  <c r="M31" i="1" s="1"/>
  <c r="J26" i="1"/>
  <c r="J21" i="1"/>
  <c r="L15" i="1"/>
  <c r="L24" i="1"/>
  <c r="K19" i="1"/>
  <c r="K20" i="1" s="1"/>
  <c r="O6" i="1"/>
  <c r="O9" i="1" s="1"/>
  <c r="O28" i="1"/>
  <c r="M24" i="1"/>
  <c r="N10" i="1"/>
  <c r="P5" i="1" l="1"/>
  <c r="O8" i="1"/>
  <c r="N11" i="1"/>
  <c r="M15" i="1"/>
  <c r="O7" i="1"/>
  <c r="O10" i="1"/>
  <c r="O13" i="1"/>
  <c r="O30" i="1" s="1"/>
  <c r="O12" i="1"/>
  <c r="O29" i="1" s="1"/>
  <c r="N12" i="1"/>
  <c r="N29" i="1" s="1"/>
  <c r="N13" i="1"/>
  <c r="N30" i="1" s="1"/>
  <c r="N24" i="1"/>
  <c r="K26" i="1"/>
  <c r="K21" i="1"/>
  <c r="P6" i="1"/>
  <c r="P9" i="1" s="1"/>
  <c r="P28" i="1"/>
  <c r="M18" i="1"/>
  <c r="M25" i="1"/>
  <c r="L18" i="1"/>
  <c r="L25" i="1"/>
  <c r="N15" i="1" l="1"/>
  <c r="Q5" i="1"/>
  <c r="Q8" i="1" s="1"/>
  <c r="P8" i="1"/>
  <c r="P10" i="1" s="1"/>
  <c r="O11" i="1"/>
  <c r="O14" i="1"/>
  <c r="O31" i="1" s="1"/>
  <c r="L19" i="1"/>
  <c r="L20" i="1" s="1"/>
  <c r="M19" i="1"/>
  <c r="M20" i="1" s="1"/>
  <c r="Q6" i="1"/>
  <c r="Q9" i="1" s="1"/>
  <c r="Q28" i="1"/>
  <c r="O15" i="1"/>
  <c r="O24" i="1"/>
  <c r="P7" i="1"/>
  <c r="N18" i="1"/>
  <c r="N25" i="1"/>
  <c r="P13" i="1" l="1"/>
  <c r="P12" i="1"/>
  <c r="Q7" i="1"/>
  <c r="Q14" i="1" s="1"/>
  <c r="Q31" i="1" s="1"/>
  <c r="M26" i="1"/>
  <c r="M21" i="1"/>
  <c r="L26" i="1"/>
  <c r="L21" i="1"/>
  <c r="P11" i="1"/>
  <c r="P30" i="1"/>
  <c r="P29" i="1"/>
  <c r="P14" i="1"/>
  <c r="P31" i="1" s="1"/>
  <c r="Q11" i="1"/>
  <c r="O18" i="1"/>
  <c r="O25" i="1"/>
  <c r="Q10" i="1"/>
  <c r="N19" i="1"/>
  <c r="N20" i="1" s="1"/>
  <c r="Q13" i="1" l="1"/>
  <c r="Q30" i="1" s="1"/>
  <c r="Q12" i="1"/>
  <c r="Q29" i="1" s="1"/>
  <c r="N26" i="1"/>
  <c r="N21" i="1"/>
  <c r="O19" i="1"/>
  <c r="O20" i="1" s="1"/>
  <c r="Q15" i="1"/>
  <c r="Q24" i="1"/>
  <c r="P15" i="1"/>
  <c r="P24" i="1"/>
  <c r="O26" i="1" l="1"/>
  <c r="O21" i="1"/>
  <c r="Q18" i="1"/>
  <c r="Q25" i="1"/>
  <c r="P18" i="1"/>
  <c r="P25" i="1"/>
  <c r="P19" i="1" l="1"/>
  <c r="P20" i="1" s="1"/>
  <c r="Q19" i="1"/>
  <c r="Q20" i="1" s="1"/>
  <c r="Q26" i="1" l="1"/>
  <c r="R20" i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T28" i="1" s="1"/>
  <c r="T29" i="1" s="1"/>
  <c r="T31" i="1" s="1"/>
  <c r="Q21" i="1"/>
  <c r="P26" i="1"/>
  <c r="P21" i="1"/>
</calcChain>
</file>

<file path=xl/sharedStrings.xml><?xml version="1.0" encoding="utf-8"?>
<sst xmlns="http://schemas.openxmlformats.org/spreadsheetml/2006/main" count="52" uniqueCount="49">
  <si>
    <t>Pro Services</t>
  </si>
  <si>
    <t>Subscription</t>
  </si>
  <si>
    <t>Total Revenues</t>
  </si>
  <si>
    <t>Cost of Subs</t>
  </si>
  <si>
    <t>Cost of Pro</t>
  </si>
  <si>
    <t>COGS</t>
  </si>
  <si>
    <t>Gross Profit</t>
  </si>
  <si>
    <t>S&amp;M</t>
  </si>
  <si>
    <t>R&amp;D</t>
  </si>
  <si>
    <t>G&amp;A</t>
  </si>
  <si>
    <t>Operating Income</t>
  </si>
  <si>
    <t>Interest Income</t>
  </si>
  <si>
    <t>other expenses</t>
  </si>
  <si>
    <t>Pretax</t>
  </si>
  <si>
    <t>Taxes</t>
  </si>
  <si>
    <t>Net Income</t>
  </si>
  <si>
    <t>Gross Margin</t>
  </si>
  <si>
    <t>Operating Margin</t>
  </si>
  <si>
    <t>Net Margin</t>
  </si>
  <si>
    <t>CFFO</t>
  </si>
  <si>
    <t>CapEx</t>
  </si>
  <si>
    <t>FCF</t>
  </si>
  <si>
    <t>SBC</t>
  </si>
  <si>
    <t>Adj. FCF</t>
  </si>
  <si>
    <t>Cash</t>
  </si>
  <si>
    <t>Investments</t>
  </si>
  <si>
    <t>PP&amp;E</t>
  </si>
  <si>
    <t>Debt</t>
  </si>
  <si>
    <t>Equity</t>
  </si>
  <si>
    <t>EPS</t>
  </si>
  <si>
    <t>Shares</t>
  </si>
  <si>
    <t>Revenue Y/Y (Subs)</t>
  </si>
  <si>
    <t>Discount</t>
  </si>
  <si>
    <t>Terminal</t>
  </si>
  <si>
    <t>NPV</t>
  </si>
  <si>
    <t>Net Cash</t>
  </si>
  <si>
    <t>Value</t>
  </si>
  <si>
    <t>Current</t>
  </si>
  <si>
    <t>Price</t>
  </si>
  <si>
    <t>Q3 25</t>
  </si>
  <si>
    <t>Diff</t>
  </si>
  <si>
    <t>SBC/Rev</t>
  </si>
  <si>
    <t>FCF/Rev</t>
  </si>
  <si>
    <t>NI to FCF Ratio</t>
  </si>
  <si>
    <t>EV/FCF</t>
  </si>
  <si>
    <t>EV</t>
  </si>
  <si>
    <t>FCF %</t>
  </si>
  <si>
    <t>EV/E</t>
  </si>
  <si>
    <t>FCF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</si>
</sst>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#,##0.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2" applyNumberFormat="1" applyFont="1"/>
    <xf numFmtId="165" fontId="0" fillId="0" borderId="0" xfId="1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59121</xdr:colOff>
      <xdr:row>4</xdr:row>
      <xdr:rowOff>6569</xdr:rowOff>
    </xdr:from>
    <xdr:to>
      <xdr:col>7</xdr:col>
      <xdr:colOff>78828</xdr:colOff>
      <xdr:row>37</xdr:row>
      <xdr:rowOff>26276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17D6EAC-0A69-7618-BA08-ECA0D676C2D5}"/>
            </a:ext>
          </a:extLst>
        </xdr:cNvPr>
        <xdr:cNvCxnSpPr/>
      </xdr:nvCxnSpPr>
      <xdr:spPr>
        <a:xfrm>
          <a:off x="4440621" y="768569"/>
          <a:ext cx="19707" cy="63062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85B6-DD81-4325-8D91-8BEEDE95E36D}">
  <dimension ref="B2:DE191"/>
  <sheetViews>
    <sheetView tabSelected="1" zoomScale="145" zoomScaleNormal="145" workbookViewId="0">
      <pane xSplit="2" ySplit="2" topLeftCell="D19" activePane="bottomRight" state="frozen"/>
      <selection pane="topRight" activeCell="C1" sqref="C1"/>
      <selection pane="bottomLeft" activeCell="A3" sqref="A3"/>
      <selection pane="bottomRight" activeCell="T25" sqref="T25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17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 t="shared" ref="H2:Q2" si="0">+G2+1</f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D4" s="5"/>
      <c r="E4" s="5"/>
      <c r="F4" s="5"/>
      <c r="G4" s="5"/>
    </row>
    <row r="5" spans="2:17" s="1" customFormat="1" x14ac:dyDescent="0.25">
      <c r="B5" s="1" t="s">
        <v>1</v>
      </c>
      <c r="D5" s="1">
        <v>6891</v>
      </c>
      <c r="E5" s="1">
        <v>8680</v>
      </c>
      <c r="F5" s="1">
        <v>10646</v>
      </c>
      <c r="G5" s="1">
        <v>12883</v>
      </c>
      <c r="H5" s="1">
        <f>+G5*1.185</f>
        <v>15266.355000000001</v>
      </c>
      <c r="I5" s="1">
        <f>+H5*1.18</f>
        <v>18014.298900000002</v>
      </c>
      <c r="J5" s="1">
        <f>+I5*1.15</f>
        <v>20716.443735000001</v>
      </c>
      <c r="K5" s="1">
        <f>+J5*1.15</f>
        <v>23823.91029525</v>
      </c>
      <c r="L5" s="1">
        <f t="shared" ref="L5:Q5" si="1">+K5*1.15</f>
        <v>27397.496839537496</v>
      </c>
      <c r="M5" s="1">
        <f t="shared" si="1"/>
        <v>31507.12136546812</v>
      </c>
      <c r="N5" s="1">
        <f t="shared" si="1"/>
        <v>36233.189570288334</v>
      </c>
      <c r="O5" s="1">
        <f t="shared" si="1"/>
        <v>41668.168005831583</v>
      </c>
      <c r="P5" s="1">
        <f t="shared" si="1"/>
        <v>47918.393206706314</v>
      </c>
      <c r="Q5" s="1">
        <f t="shared" si="1"/>
        <v>55106.152187712258</v>
      </c>
    </row>
    <row r="6" spans="2:17" s="1" customFormat="1" x14ac:dyDescent="0.25">
      <c r="B6" s="1" t="s">
        <v>0</v>
      </c>
      <c r="D6" s="1">
        <v>354</v>
      </c>
      <c r="E6" s="1">
        <v>291</v>
      </c>
      <c r="F6" s="1">
        <v>338</v>
      </c>
      <c r="G6" s="1">
        <v>395</v>
      </c>
      <c r="H6" s="1">
        <f>+H5*0.03</f>
        <v>457.99065000000002</v>
      </c>
      <c r="I6" s="1">
        <f t="shared" ref="I6:Q6" si="2">+I5*0.03</f>
        <v>540.42896700000006</v>
      </c>
      <c r="J6" s="1">
        <f t="shared" si="2"/>
        <v>621.49331204999999</v>
      </c>
      <c r="K6" s="1">
        <f t="shared" si="2"/>
        <v>714.71730885749992</v>
      </c>
      <c r="L6" s="1">
        <f t="shared" si="2"/>
        <v>821.92490518612487</v>
      </c>
      <c r="M6" s="1">
        <f t="shared" si="2"/>
        <v>945.21364096404352</v>
      </c>
      <c r="N6" s="1">
        <f t="shared" si="2"/>
        <v>1086.9956871086499</v>
      </c>
      <c r="O6" s="1">
        <f t="shared" si="2"/>
        <v>1250.0450401749474</v>
      </c>
      <c r="P6" s="1">
        <f t="shared" si="2"/>
        <v>1437.5517962011893</v>
      </c>
      <c r="Q6" s="1">
        <f t="shared" si="2"/>
        <v>1653.1845656313676</v>
      </c>
    </row>
    <row r="7" spans="2:17" s="2" customFormat="1" x14ac:dyDescent="0.25">
      <c r="B7" s="2" t="s">
        <v>2</v>
      </c>
      <c r="D7" s="2">
        <f>+SUM(D5:D6)</f>
        <v>7245</v>
      </c>
      <c r="E7" s="2">
        <f t="shared" ref="E7:G7" si="3">+SUM(E5:E6)</f>
        <v>8971</v>
      </c>
      <c r="F7" s="2">
        <f t="shared" si="3"/>
        <v>10984</v>
      </c>
      <c r="G7" s="2">
        <f t="shared" si="3"/>
        <v>13278</v>
      </c>
      <c r="H7" s="2">
        <f t="shared" ref="H7" si="4">+SUM(H5:H6)</f>
        <v>15724.345650000001</v>
      </c>
      <c r="I7" s="2">
        <f t="shared" ref="I7" si="5">+SUM(I5:I6)</f>
        <v>18554.727867000001</v>
      </c>
      <c r="J7" s="2">
        <f t="shared" ref="J7" si="6">+SUM(J5:J6)</f>
        <v>21337.93704705</v>
      </c>
      <c r="K7" s="2">
        <f t="shared" ref="K7" si="7">+SUM(K5:K6)</f>
        <v>24538.6276041075</v>
      </c>
      <c r="L7" s="2">
        <f t="shared" ref="L7" si="8">+SUM(L5:L6)</f>
        <v>28219.421744723622</v>
      </c>
      <c r="M7" s="2">
        <f t="shared" ref="M7" si="9">+SUM(M5:M6)</f>
        <v>32452.335006432164</v>
      </c>
      <c r="N7" s="2">
        <f t="shared" ref="N7" si="10">+SUM(N5:N6)</f>
        <v>37320.185257396981</v>
      </c>
      <c r="O7" s="2">
        <f t="shared" ref="O7" si="11">+SUM(O5:O6)</f>
        <v>42918.213046006531</v>
      </c>
      <c r="P7" s="2">
        <f t="shared" ref="P7" si="12">+SUM(P5:P6)</f>
        <v>49355.945002907501</v>
      </c>
      <c r="Q7" s="2">
        <f t="shared" ref="Q7" si="13">+SUM(Q5:Q6)</f>
        <v>56759.336753343625</v>
      </c>
    </row>
    <row r="8" spans="2:17" s="1" customFormat="1" x14ac:dyDescent="0.25">
      <c r="B8" s="1" t="s">
        <v>3</v>
      </c>
      <c r="D8" s="1">
        <v>1187</v>
      </c>
      <c r="E8" s="1">
        <v>1606</v>
      </c>
      <c r="F8" s="1">
        <v>1942</v>
      </c>
      <c r="G8" s="1">
        <v>2569</v>
      </c>
      <c r="H8" s="1">
        <f>+H5*0.2</f>
        <v>3053.2710000000006</v>
      </c>
      <c r="I8" s="1">
        <f t="shared" ref="I8:Q8" si="14">+I5*0.2</f>
        <v>3602.8597800000007</v>
      </c>
      <c r="J8" s="1">
        <f t="shared" si="14"/>
        <v>4143.2887470000005</v>
      </c>
      <c r="K8" s="1">
        <f t="shared" si="14"/>
        <v>4764.7820590500005</v>
      </c>
      <c r="L8" s="1">
        <f t="shared" si="14"/>
        <v>5479.4993679074996</v>
      </c>
      <c r="M8" s="1">
        <f t="shared" si="14"/>
        <v>6301.4242730936239</v>
      </c>
      <c r="N8" s="1">
        <f t="shared" si="14"/>
        <v>7246.6379140576673</v>
      </c>
      <c r="O8" s="1">
        <f t="shared" si="14"/>
        <v>8333.633601166317</v>
      </c>
      <c r="P8" s="1">
        <f t="shared" si="14"/>
        <v>9583.6786413412628</v>
      </c>
      <c r="Q8" s="1">
        <f t="shared" si="14"/>
        <v>11021.230437542452</v>
      </c>
    </row>
    <row r="9" spans="2:17" s="1" customFormat="1" x14ac:dyDescent="0.25">
      <c r="B9" s="1" t="s">
        <v>4</v>
      </c>
      <c r="D9" s="1">
        <v>386</v>
      </c>
      <c r="E9" s="1">
        <v>315</v>
      </c>
      <c r="F9" s="1">
        <v>345</v>
      </c>
      <c r="G9" s="1">
        <v>414</v>
      </c>
      <c r="H9" s="1">
        <f>+H6*1.02</f>
        <v>467.150463</v>
      </c>
      <c r="I9" s="1">
        <f t="shared" ref="I9:Q9" si="15">+I6*1.02</f>
        <v>551.23754634000011</v>
      </c>
      <c r="J9" s="1">
        <f t="shared" si="15"/>
        <v>633.923178291</v>
      </c>
      <c r="K9" s="1">
        <f t="shared" si="15"/>
        <v>729.01165503464995</v>
      </c>
      <c r="L9" s="1">
        <f t="shared" si="15"/>
        <v>838.36340328984738</v>
      </c>
      <c r="M9" s="1">
        <f t="shared" si="15"/>
        <v>964.11791378332441</v>
      </c>
      <c r="N9" s="1">
        <f t="shared" si="15"/>
        <v>1108.7356008508229</v>
      </c>
      <c r="O9" s="1">
        <f t="shared" si="15"/>
        <v>1275.0459409784464</v>
      </c>
      <c r="P9" s="1">
        <f t="shared" si="15"/>
        <v>1466.3028321252132</v>
      </c>
      <c r="Q9" s="1">
        <f t="shared" si="15"/>
        <v>1686.2482569439949</v>
      </c>
    </row>
    <row r="10" spans="2:17" s="1" customFormat="1" x14ac:dyDescent="0.25">
      <c r="B10" s="1" t="s">
        <v>5</v>
      </c>
      <c r="D10" s="1">
        <f>+SUM(D8:D9)</f>
        <v>1573</v>
      </c>
      <c r="E10" s="1">
        <f t="shared" ref="E10:H10" si="16">+SUM(E8:E9)</f>
        <v>1921</v>
      </c>
      <c r="F10" s="1">
        <f t="shared" si="16"/>
        <v>2287</v>
      </c>
      <c r="G10" s="1">
        <f t="shared" si="16"/>
        <v>2983</v>
      </c>
      <c r="H10" s="1">
        <f t="shared" si="16"/>
        <v>3520.4214630000006</v>
      </c>
      <c r="I10" s="1">
        <f t="shared" ref="I10" si="17">+SUM(I8:I9)</f>
        <v>4154.097326340001</v>
      </c>
      <c r="J10" s="1">
        <f t="shared" ref="J10" si="18">+SUM(J8:J9)</f>
        <v>4777.2119252910006</v>
      </c>
      <c r="K10" s="1">
        <f t="shared" ref="K10" si="19">+SUM(K8:K9)</f>
        <v>5493.7937140846507</v>
      </c>
      <c r="L10" s="1">
        <f t="shared" ref="L10" si="20">+SUM(L8:L9)</f>
        <v>6317.8627711973468</v>
      </c>
      <c r="M10" s="1">
        <f t="shared" ref="M10" si="21">+SUM(M8:M9)</f>
        <v>7265.5421868769481</v>
      </c>
      <c r="N10" s="1">
        <f t="shared" ref="N10" si="22">+SUM(N8:N9)</f>
        <v>8355.3735149084896</v>
      </c>
      <c r="O10" s="1">
        <f t="shared" ref="O10" si="23">+SUM(O8:O9)</f>
        <v>9608.6795421447641</v>
      </c>
      <c r="P10" s="1">
        <f t="shared" ref="P10" si="24">+SUM(P8:P9)</f>
        <v>11049.981473466476</v>
      </c>
      <c r="Q10" s="1">
        <f t="shared" ref="Q10" si="25">+SUM(Q8:Q9)</f>
        <v>12707.478694486446</v>
      </c>
    </row>
    <row r="11" spans="2:17" s="1" customFormat="1" x14ac:dyDescent="0.25">
      <c r="B11" s="1" t="s">
        <v>6</v>
      </c>
      <c r="D11" s="1">
        <f>+D7-D10</f>
        <v>5672</v>
      </c>
      <c r="E11" s="1">
        <f t="shared" ref="E11:H11" si="26">+E7-E10</f>
        <v>7050</v>
      </c>
      <c r="F11" s="1">
        <f t="shared" si="26"/>
        <v>8697</v>
      </c>
      <c r="G11" s="1">
        <f t="shared" si="26"/>
        <v>10295</v>
      </c>
      <c r="H11" s="1">
        <f t="shared" si="26"/>
        <v>12203.924187000001</v>
      </c>
      <c r="I11" s="1">
        <f t="shared" ref="I11" si="27">+I7-I10</f>
        <v>14400.63054066</v>
      </c>
      <c r="J11" s="1">
        <f t="shared" ref="J11" si="28">+J7-J10</f>
        <v>16560.725121758998</v>
      </c>
      <c r="K11" s="1">
        <f t="shared" ref="K11" si="29">+K7-K10</f>
        <v>19044.833890022848</v>
      </c>
      <c r="L11" s="1">
        <f t="shared" ref="L11" si="30">+L7-L10</f>
        <v>21901.558973526277</v>
      </c>
      <c r="M11" s="1">
        <f t="shared" ref="M11" si="31">+M7-M10</f>
        <v>25186.792819555216</v>
      </c>
      <c r="N11" s="1">
        <f t="shared" ref="N11" si="32">+N7-N10</f>
        <v>28964.811742488491</v>
      </c>
      <c r="O11" s="1">
        <f t="shared" ref="O11" si="33">+O7-O10</f>
        <v>33309.533503861763</v>
      </c>
      <c r="P11" s="1">
        <f t="shared" ref="P11" si="34">+P7-P10</f>
        <v>38305.963529441025</v>
      </c>
      <c r="Q11" s="1">
        <f t="shared" ref="Q11" si="35">+Q7-Q10</f>
        <v>44051.858058857179</v>
      </c>
    </row>
    <row r="12" spans="2:17" s="1" customFormat="1" x14ac:dyDescent="0.25">
      <c r="B12" s="1" t="s">
        <v>7</v>
      </c>
      <c r="D12" s="1">
        <v>2814</v>
      </c>
      <c r="E12" s="1">
        <v>3301</v>
      </c>
      <c r="F12" s="1">
        <v>3854</v>
      </c>
      <c r="G12" s="1">
        <v>4388</v>
      </c>
      <c r="H12" s="1">
        <f>+G12*(1+H28/2)</f>
        <v>4793.8900000000003</v>
      </c>
      <c r="I12" s="1">
        <f t="shared" ref="I12:M12" si="36">+H12*(1+I28/2)</f>
        <v>5225.3400999999994</v>
      </c>
      <c r="J12" s="1">
        <f t="shared" si="36"/>
        <v>5617.240607499999</v>
      </c>
      <c r="K12" s="1">
        <f t="shared" si="36"/>
        <v>6038.5336530624991</v>
      </c>
      <c r="L12" s="1">
        <f t="shared" si="36"/>
        <v>6491.4236770421867</v>
      </c>
      <c r="M12" s="1">
        <f t="shared" si="36"/>
        <v>6978.2804528203505</v>
      </c>
      <c r="N12" s="1">
        <f>+N7*0.2</f>
        <v>7464.0370514793967</v>
      </c>
      <c r="O12" s="1">
        <f t="shared" ref="O12:Q12" si="37">+O7*0.2</f>
        <v>8583.6426092013062</v>
      </c>
      <c r="P12" s="1">
        <f t="shared" si="37"/>
        <v>9871.1890005815003</v>
      </c>
      <c r="Q12" s="1">
        <f t="shared" si="37"/>
        <v>11351.867350668726</v>
      </c>
    </row>
    <row r="13" spans="2:17" s="1" customFormat="1" x14ac:dyDescent="0.25">
      <c r="B13" s="1" t="s">
        <v>8</v>
      </c>
      <c r="D13" s="1">
        <v>1768</v>
      </c>
      <c r="E13" s="1">
        <v>2124</v>
      </c>
      <c r="F13" s="1">
        <v>2543</v>
      </c>
      <c r="G13" s="1">
        <v>2960</v>
      </c>
      <c r="H13" s="1">
        <f>+G13*(1+H28/2)</f>
        <v>3233.8</v>
      </c>
      <c r="I13" s="1">
        <f t="shared" ref="I13:M13" si="38">+H13*(1+I28/2)</f>
        <v>3524.8419999999996</v>
      </c>
      <c r="J13" s="1">
        <f t="shared" si="38"/>
        <v>3789.2051499999993</v>
      </c>
      <c r="K13" s="1">
        <f t="shared" si="38"/>
        <v>4073.3955362499992</v>
      </c>
      <c r="L13" s="1">
        <f t="shared" si="38"/>
        <v>4378.9002014687485</v>
      </c>
      <c r="M13" s="1">
        <f t="shared" si="38"/>
        <v>4707.3177165789048</v>
      </c>
      <c r="N13" s="1">
        <f>+N7*0.15</f>
        <v>5598.0277886095473</v>
      </c>
      <c r="O13" s="1">
        <f t="shared" ref="O13:Q13" si="39">+O7*0.15</f>
        <v>6437.7319569009796</v>
      </c>
      <c r="P13" s="1">
        <f t="shared" si="39"/>
        <v>7403.3917504361252</v>
      </c>
      <c r="Q13" s="1">
        <f t="shared" si="39"/>
        <v>8513.900513001543</v>
      </c>
    </row>
    <row r="14" spans="2:17" s="1" customFormat="1" x14ac:dyDescent="0.25">
      <c r="B14" s="1" t="s">
        <v>9</v>
      </c>
      <c r="D14" s="1">
        <v>735</v>
      </c>
      <c r="E14" s="1">
        <v>863</v>
      </c>
      <c r="F14" s="1">
        <v>936</v>
      </c>
      <c r="G14" s="1">
        <v>1123</v>
      </c>
      <c r="H14" s="1">
        <f>+H7*0.08</f>
        <v>1257.9476520000001</v>
      </c>
      <c r="I14" s="1">
        <f t="shared" ref="I14:Q14" si="40">+I7*0.08</f>
        <v>1484.3782293600002</v>
      </c>
      <c r="J14" s="1">
        <f t="shared" si="40"/>
        <v>1707.0349637639999</v>
      </c>
      <c r="K14" s="1">
        <f t="shared" si="40"/>
        <v>1963.0902083286001</v>
      </c>
      <c r="L14" s="1">
        <f t="shared" si="40"/>
        <v>2257.5537395778897</v>
      </c>
      <c r="M14" s="1">
        <f t="shared" si="40"/>
        <v>2596.186800514573</v>
      </c>
      <c r="N14" s="1">
        <f t="shared" si="40"/>
        <v>2985.6148205917584</v>
      </c>
      <c r="O14" s="1">
        <f t="shared" si="40"/>
        <v>3433.4570436805225</v>
      </c>
      <c r="P14" s="1">
        <f t="shared" si="40"/>
        <v>3948.4756002326003</v>
      </c>
      <c r="Q14" s="1">
        <f t="shared" si="40"/>
        <v>4540.7469402674897</v>
      </c>
    </row>
    <row r="15" spans="2:17" s="2" customFormat="1" x14ac:dyDescent="0.25">
      <c r="B15" s="2" t="s">
        <v>10</v>
      </c>
      <c r="D15" s="2">
        <f>+D11-SUM(D12:D14)</f>
        <v>355</v>
      </c>
      <c r="E15" s="2">
        <f t="shared" ref="E15:H15" si="41">+E11-SUM(E12:E14)</f>
        <v>762</v>
      </c>
      <c r="F15" s="2">
        <f t="shared" si="41"/>
        <v>1364</v>
      </c>
      <c r="G15" s="2">
        <f t="shared" si="41"/>
        <v>1824</v>
      </c>
      <c r="H15" s="2">
        <f t="shared" si="41"/>
        <v>2918.2865349999993</v>
      </c>
      <c r="I15" s="2">
        <f t="shared" ref="I15" si="42">+I11-SUM(I12:I14)</f>
        <v>4166.0702113000025</v>
      </c>
      <c r="J15" s="2">
        <f t="shared" ref="J15" si="43">+J11-SUM(J12:J14)</f>
        <v>5447.2444004950012</v>
      </c>
      <c r="K15" s="2">
        <f t="shared" ref="K15" si="44">+K11-SUM(K12:K14)</f>
        <v>6969.8144923817508</v>
      </c>
      <c r="L15" s="2">
        <f t="shared" ref="L15" si="45">+L11-SUM(L12:L14)</f>
        <v>8773.6813554374512</v>
      </c>
      <c r="M15" s="2">
        <f t="shared" ref="M15" si="46">+M11-SUM(M12:M14)</f>
        <v>10905.007849641388</v>
      </c>
      <c r="N15" s="2">
        <f t="shared" ref="N15" si="47">+N11-SUM(N12:N14)</f>
        <v>12917.132081807789</v>
      </c>
      <c r="O15" s="2">
        <f t="shared" ref="O15" si="48">+O11-SUM(O12:O14)</f>
        <v>14854.701894078957</v>
      </c>
      <c r="P15" s="2">
        <f t="shared" ref="P15" si="49">+P11-SUM(P12:P14)</f>
        <v>17082.907178190802</v>
      </c>
      <c r="Q15" s="2">
        <f t="shared" ref="Q15" si="50">+Q11-SUM(Q12:Q14)</f>
        <v>19645.343254919419</v>
      </c>
    </row>
    <row r="16" spans="2:17" s="1" customFormat="1" x14ac:dyDescent="0.25">
      <c r="B16" s="1" t="s">
        <v>11</v>
      </c>
      <c r="D16" s="1">
        <v>82</v>
      </c>
      <c r="E16" s="1">
        <v>302</v>
      </c>
      <c r="F16" s="1">
        <v>419</v>
      </c>
      <c r="G16" s="1">
        <v>451</v>
      </c>
    </row>
    <row r="17" spans="2:109" s="1" customFormat="1" x14ac:dyDescent="0.25">
      <c r="B17" s="1" t="s">
        <v>12</v>
      </c>
      <c r="D17" s="1">
        <v>38</v>
      </c>
      <c r="E17" s="1">
        <v>56</v>
      </c>
      <c r="F17" s="1">
        <v>45</v>
      </c>
      <c r="G17" s="1">
        <v>14</v>
      </c>
      <c r="H17" s="1">
        <v>50</v>
      </c>
      <c r="I17" s="1">
        <v>50</v>
      </c>
      <c r="J17" s="1">
        <v>50</v>
      </c>
      <c r="K17" s="1">
        <v>50</v>
      </c>
      <c r="L17" s="1">
        <v>50</v>
      </c>
      <c r="M17" s="1">
        <v>50</v>
      </c>
      <c r="N17" s="1">
        <v>50</v>
      </c>
      <c r="O17" s="1">
        <v>50</v>
      </c>
      <c r="P17" s="1">
        <v>50</v>
      </c>
      <c r="Q17" s="1">
        <v>50</v>
      </c>
    </row>
    <row r="18" spans="2:109" s="1" customFormat="1" x14ac:dyDescent="0.25">
      <c r="B18" s="1" t="s">
        <v>13</v>
      </c>
      <c r="D18" s="1">
        <f>+D15+D16-D17</f>
        <v>399</v>
      </c>
      <c r="E18" s="1">
        <f t="shared" ref="E18:H18" si="51">+E15+E16-E17</f>
        <v>1008</v>
      </c>
      <c r="F18" s="1">
        <f t="shared" si="51"/>
        <v>1738</v>
      </c>
      <c r="G18" s="1">
        <f t="shared" si="51"/>
        <v>2261</v>
      </c>
      <c r="H18" s="1">
        <f t="shared" si="51"/>
        <v>2868.2865349999993</v>
      </c>
      <c r="I18" s="1">
        <f t="shared" ref="I18" si="52">+I15+I16-I17</f>
        <v>4116.0702113000025</v>
      </c>
      <c r="J18" s="1">
        <f t="shared" ref="J18" si="53">+J15+J16-J17</f>
        <v>5397.2444004950012</v>
      </c>
      <c r="K18" s="1">
        <f t="shared" ref="K18" si="54">+K15+K16-K17</f>
        <v>6919.8144923817508</v>
      </c>
      <c r="L18" s="1">
        <f t="shared" ref="L18" si="55">+L15+L16-L17</f>
        <v>8723.6813554374512</v>
      </c>
      <c r="M18" s="1">
        <f t="shared" ref="M18" si="56">+M15+M16-M17</f>
        <v>10855.007849641388</v>
      </c>
      <c r="N18" s="1">
        <f t="shared" ref="N18" si="57">+N15+N16-N17</f>
        <v>12867.132081807789</v>
      </c>
      <c r="O18" s="1">
        <f t="shared" ref="O18" si="58">+O15+O16-O17</f>
        <v>14804.701894078957</v>
      </c>
      <c r="P18" s="1">
        <f t="shared" ref="P18" si="59">+P15+P16-P17</f>
        <v>17032.907178190802</v>
      </c>
      <c r="Q18" s="1">
        <f t="shared" ref="Q18" si="60">+Q15+Q16-Q17</f>
        <v>19595.343254919419</v>
      </c>
    </row>
    <row r="19" spans="2:109" s="1" customFormat="1" x14ac:dyDescent="0.25">
      <c r="B19" s="1" t="s">
        <v>14</v>
      </c>
      <c r="D19" s="1">
        <v>74</v>
      </c>
      <c r="E19" s="1">
        <v>-723</v>
      </c>
      <c r="F19" s="1">
        <v>313</v>
      </c>
      <c r="G19" s="1">
        <v>513</v>
      </c>
      <c r="H19" s="1">
        <f>+H18*0.225</f>
        <v>645.36447037499988</v>
      </c>
      <c r="I19" s="1">
        <f t="shared" ref="I19:Q19" si="61">+I18*0.225</f>
        <v>926.11579754250056</v>
      </c>
      <c r="J19" s="1">
        <f t="shared" si="61"/>
        <v>1214.3799901113753</v>
      </c>
      <c r="K19" s="1">
        <f t="shared" si="61"/>
        <v>1556.958260785894</v>
      </c>
      <c r="L19" s="1">
        <f t="shared" si="61"/>
        <v>1962.8283049734266</v>
      </c>
      <c r="M19" s="1">
        <f t="shared" si="61"/>
        <v>2442.3767661693123</v>
      </c>
      <c r="N19" s="1">
        <f t="shared" si="61"/>
        <v>2895.1047184067525</v>
      </c>
      <c r="O19" s="1">
        <f t="shared" si="61"/>
        <v>3331.0579261677653</v>
      </c>
      <c r="P19" s="1">
        <f t="shared" si="61"/>
        <v>3832.4041150929306</v>
      </c>
      <c r="Q19" s="1">
        <f t="shared" si="61"/>
        <v>4408.952232356869</v>
      </c>
    </row>
    <row r="20" spans="2:109" s="2" customFormat="1" x14ac:dyDescent="0.25">
      <c r="B20" s="2" t="s">
        <v>15</v>
      </c>
      <c r="D20" s="2">
        <f>+D18-D19</f>
        <v>325</v>
      </c>
      <c r="E20" s="2">
        <f t="shared" ref="E20:H20" si="62">+E18-E19</f>
        <v>1731</v>
      </c>
      <c r="F20" s="2">
        <f t="shared" si="62"/>
        <v>1425</v>
      </c>
      <c r="G20" s="2">
        <f t="shared" si="62"/>
        <v>1748</v>
      </c>
      <c r="H20" s="2">
        <f t="shared" si="62"/>
        <v>2222.9220646249996</v>
      </c>
      <c r="I20" s="2">
        <f t="shared" ref="I20" si="63">+I18-I19</f>
        <v>3189.9544137575022</v>
      </c>
      <c r="J20" s="2">
        <f t="shared" ref="J20" si="64">+J18-J19</f>
        <v>4182.8644103836259</v>
      </c>
      <c r="K20" s="2">
        <f t="shared" ref="K20" si="65">+K18-K19</f>
        <v>5362.856231595857</v>
      </c>
      <c r="L20" s="2">
        <f t="shared" ref="L20" si="66">+L18-L19</f>
        <v>6760.8530504640248</v>
      </c>
      <c r="M20" s="2">
        <f t="shared" ref="M20" si="67">+M18-M19</f>
        <v>8412.6310834720753</v>
      </c>
      <c r="N20" s="2">
        <f t="shared" ref="N20" si="68">+N18-N19</f>
        <v>9972.0273634010373</v>
      </c>
      <c r="O20" s="2">
        <f t="shared" ref="O20" si="69">+O18-O19</f>
        <v>11473.643967911192</v>
      </c>
      <c r="P20" s="2">
        <f t="shared" ref="P20" si="70">+P18-P19</f>
        <v>13200.503063097873</v>
      </c>
      <c r="Q20" s="2">
        <f t="shared" ref="Q20" si="71">+Q18-Q19</f>
        <v>15186.39102256255</v>
      </c>
      <c r="R20" s="2">
        <f>+Q20*(1+$T25)</f>
        <v>15641.982753239427</v>
      </c>
      <c r="S20" s="2">
        <f t="shared" ref="S20:CD20" si="72">+R20*(1+$T25)</f>
        <v>16111.242235836609</v>
      </c>
      <c r="T20" s="2">
        <f t="shared" si="72"/>
        <v>16594.579502911707</v>
      </c>
      <c r="U20" s="2">
        <f t="shared" si="72"/>
        <v>17092.416887999058</v>
      </c>
      <c r="V20" s="2">
        <f t="shared" si="72"/>
        <v>17605.18939463903</v>
      </c>
      <c r="W20" s="2">
        <f t="shared" si="72"/>
        <v>18133.345076478203</v>
      </c>
      <c r="X20" s="2">
        <f t="shared" si="72"/>
        <v>18677.345428772551</v>
      </c>
      <c r="Y20" s="2">
        <f t="shared" si="72"/>
        <v>19237.665791635729</v>
      </c>
      <c r="Z20" s="2">
        <f t="shared" si="72"/>
        <v>19814.795765384803</v>
      </c>
      <c r="AA20" s="2">
        <f t="shared" si="72"/>
        <v>20409.239638346346</v>
      </c>
      <c r="AB20" s="2">
        <f t="shared" si="72"/>
        <v>21021.516827496736</v>
      </c>
      <c r="AC20" s="2">
        <f t="shared" si="72"/>
        <v>21652.162332321637</v>
      </c>
      <c r="AD20" s="2">
        <f t="shared" si="72"/>
        <v>22301.727202291288</v>
      </c>
      <c r="AE20" s="2">
        <f t="shared" si="72"/>
        <v>22970.779018360026</v>
      </c>
      <c r="AF20" s="2">
        <f t="shared" si="72"/>
        <v>23659.902388910828</v>
      </c>
      <c r="AG20" s="2">
        <f t="shared" si="72"/>
        <v>24369.699460578155</v>
      </c>
      <c r="AH20" s="2">
        <f t="shared" si="72"/>
        <v>25100.790444395501</v>
      </c>
      <c r="AI20" s="2">
        <f t="shared" si="72"/>
        <v>25853.814157727367</v>
      </c>
      <c r="AJ20" s="2">
        <f t="shared" si="72"/>
        <v>26629.42858245919</v>
      </c>
      <c r="AK20" s="2">
        <f t="shared" si="72"/>
        <v>27428.311439932968</v>
      </c>
      <c r="AL20" s="2">
        <f t="shared" si="72"/>
        <v>28251.160783130959</v>
      </c>
      <c r="AM20" s="2">
        <f t="shared" si="72"/>
        <v>29098.695606624889</v>
      </c>
      <c r="AN20" s="2">
        <f t="shared" si="72"/>
        <v>29971.656474823638</v>
      </c>
      <c r="AO20" s="2">
        <f t="shared" si="72"/>
        <v>30870.806169068346</v>
      </c>
      <c r="AP20" s="2">
        <f t="shared" si="72"/>
        <v>31796.930354140397</v>
      </c>
      <c r="AQ20" s="2">
        <f t="shared" si="72"/>
        <v>32750.83826476461</v>
      </c>
      <c r="AR20" s="2">
        <f t="shared" si="72"/>
        <v>33733.363412707549</v>
      </c>
      <c r="AS20" s="2">
        <f t="shared" si="72"/>
        <v>34745.36431508878</v>
      </c>
      <c r="AT20" s="2">
        <f t="shared" si="72"/>
        <v>35787.725244541441</v>
      </c>
      <c r="AU20" s="2">
        <f t="shared" si="72"/>
        <v>36861.357001877688</v>
      </c>
      <c r="AV20" s="2">
        <f t="shared" si="72"/>
        <v>37967.197711934023</v>
      </c>
      <c r="AW20" s="2">
        <f t="shared" si="72"/>
        <v>39106.213643292045</v>
      </c>
      <c r="AX20" s="2">
        <f t="shared" si="72"/>
        <v>40279.400052590805</v>
      </c>
      <c r="AY20" s="2">
        <f t="shared" si="72"/>
        <v>41487.782054168529</v>
      </c>
      <c r="AZ20" s="2">
        <f t="shared" si="72"/>
        <v>42732.415515793589</v>
      </c>
      <c r="BA20" s="2">
        <f t="shared" si="72"/>
        <v>44014.387981267399</v>
      </c>
      <c r="BB20" s="2">
        <f t="shared" si="72"/>
        <v>45334.819620705421</v>
      </c>
      <c r="BC20" s="2">
        <f t="shared" si="72"/>
        <v>46694.864209326588</v>
      </c>
      <c r="BD20" s="2">
        <f t="shared" si="72"/>
        <v>48095.710135606387</v>
      </c>
      <c r="BE20" s="2">
        <f t="shared" si="72"/>
        <v>49538.581439674577</v>
      </c>
      <c r="BF20" s="2">
        <f t="shared" si="72"/>
        <v>51024.738882864818</v>
      </c>
      <c r="BG20" s="2">
        <f t="shared" si="72"/>
        <v>52555.481049350761</v>
      </c>
      <c r="BH20" s="2">
        <f t="shared" si="72"/>
        <v>54132.145480831285</v>
      </c>
      <c r="BI20" s="2">
        <f t="shared" si="72"/>
        <v>55756.109845256222</v>
      </c>
      <c r="BJ20" s="2">
        <f t="shared" si="72"/>
        <v>57428.793140613911</v>
      </c>
      <c r="BK20" s="2">
        <f t="shared" si="72"/>
        <v>59151.656934832332</v>
      </c>
      <c r="BL20" s="2">
        <f t="shared" si="72"/>
        <v>60926.206642877303</v>
      </c>
      <c r="BM20" s="2">
        <f t="shared" si="72"/>
        <v>62753.992842163621</v>
      </c>
      <c r="BN20" s="2">
        <f t="shared" si="72"/>
        <v>64636.612627428534</v>
      </c>
      <c r="BO20" s="2">
        <f t="shared" si="72"/>
        <v>66575.711006251397</v>
      </c>
      <c r="BP20" s="2">
        <f t="shared" si="72"/>
        <v>68572.982336438945</v>
      </c>
      <c r="BQ20" s="2">
        <f t="shared" si="72"/>
        <v>70630.171806532118</v>
      </c>
      <c r="BR20" s="2">
        <f t="shared" si="72"/>
        <v>72749.076960728082</v>
      </c>
      <c r="BS20" s="2">
        <f t="shared" si="72"/>
        <v>74931.549269549927</v>
      </c>
      <c r="BT20" s="2">
        <f t="shared" si="72"/>
        <v>77179.495747636422</v>
      </c>
      <c r="BU20" s="2">
        <f t="shared" si="72"/>
        <v>79494.880620065524</v>
      </c>
      <c r="BV20" s="2">
        <f t="shared" si="72"/>
        <v>81879.727038667494</v>
      </c>
      <c r="BW20" s="2">
        <f t="shared" si="72"/>
        <v>84336.118849827515</v>
      </c>
      <c r="BX20" s="2">
        <f t="shared" si="72"/>
        <v>86866.202415322346</v>
      </c>
      <c r="BY20" s="2">
        <f t="shared" si="72"/>
        <v>89472.188487782012</v>
      </c>
      <c r="BZ20" s="2">
        <f t="shared" si="72"/>
        <v>92156.354142415468</v>
      </c>
      <c r="CA20" s="2">
        <f t="shared" si="72"/>
        <v>94921.044766687934</v>
      </c>
      <c r="CB20" s="2">
        <f t="shared" si="72"/>
        <v>97768.676109688575</v>
      </c>
      <c r="CC20" s="2">
        <f t="shared" si="72"/>
        <v>100701.73639297923</v>
      </c>
      <c r="CD20" s="2">
        <f t="shared" si="72"/>
        <v>103722.78848476861</v>
      </c>
      <c r="CE20" s="2">
        <f t="shared" ref="CE20:DE20" si="73">+CD20*(1+$T25)</f>
        <v>106834.47213931166</v>
      </c>
      <c r="CF20" s="2">
        <f t="shared" si="73"/>
        <v>110039.50630349101</v>
      </c>
      <c r="CG20" s="2">
        <f t="shared" si="73"/>
        <v>113340.69149259574</v>
      </c>
      <c r="CH20" s="2">
        <f t="shared" si="73"/>
        <v>116740.91223737362</v>
      </c>
      <c r="CI20" s="2">
        <f t="shared" si="73"/>
        <v>120243.13960449483</v>
      </c>
      <c r="CJ20" s="2">
        <f t="shared" si="73"/>
        <v>123850.43379262969</v>
      </c>
      <c r="CK20" s="2">
        <f t="shared" si="73"/>
        <v>127565.94680640858</v>
      </c>
      <c r="CL20" s="2">
        <f t="shared" si="73"/>
        <v>131392.92521060084</v>
      </c>
      <c r="CM20" s="2">
        <f t="shared" si="73"/>
        <v>135334.71296691886</v>
      </c>
      <c r="CN20" s="2">
        <f t="shared" si="73"/>
        <v>139394.75435592642</v>
      </c>
      <c r="CO20" s="2">
        <f t="shared" si="73"/>
        <v>143576.59698660421</v>
      </c>
      <c r="CP20" s="2">
        <f t="shared" si="73"/>
        <v>147883.89489620234</v>
      </c>
      <c r="CQ20" s="2">
        <f t="shared" si="73"/>
        <v>152320.41174308842</v>
      </c>
      <c r="CR20" s="2">
        <f t="shared" si="73"/>
        <v>156890.02409538109</v>
      </c>
      <c r="CS20" s="2">
        <f t="shared" si="73"/>
        <v>161596.72481824251</v>
      </c>
      <c r="CT20" s="2">
        <f t="shared" si="73"/>
        <v>166444.62656278978</v>
      </c>
      <c r="CU20" s="2">
        <f t="shared" si="73"/>
        <v>171437.96535967349</v>
      </c>
      <c r="CV20" s="2">
        <f t="shared" si="73"/>
        <v>176581.1043204637</v>
      </c>
      <c r="CW20" s="2">
        <f t="shared" si="73"/>
        <v>181878.53745007762</v>
      </c>
      <c r="CX20" s="2">
        <f t="shared" si="73"/>
        <v>187334.89357357996</v>
      </c>
      <c r="CY20" s="2">
        <f t="shared" si="73"/>
        <v>192954.94038078736</v>
      </c>
      <c r="CZ20" s="2">
        <f t="shared" si="73"/>
        <v>198743.58859221099</v>
      </c>
      <c r="DA20" s="2">
        <f t="shared" si="73"/>
        <v>204705.89624997732</v>
      </c>
      <c r="DB20" s="2">
        <f t="shared" si="73"/>
        <v>210847.07313747663</v>
      </c>
      <c r="DC20" s="2">
        <f t="shared" si="73"/>
        <v>217172.48533160094</v>
      </c>
      <c r="DD20" s="2">
        <f t="shared" si="73"/>
        <v>223687.65989154897</v>
      </c>
      <c r="DE20" s="2">
        <f t="shared" si="73"/>
        <v>230398.28968829545</v>
      </c>
    </row>
    <row r="21" spans="2:109" s="4" customFormat="1" x14ac:dyDescent="0.25">
      <c r="B21" s="4" t="s">
        <v>29</v>
      </c>
      <c r="D21" s="4">
        <f>+D20/D22</f>
        <v>1.5967769671063945</v>
      </c>
      <c r="E21" s="4">
        <f>+E20/E22</f>
        <v>1.6839258527853846</v>
      </c>
      <c r="F21" s="4">
        <f>+F20/F22</f>
        <v>1.3674114661049883</v>
      </c>
      <c r="G21" s="4">
        <f>+G20/G22</f>
        <v>1.6695319961795607</v>
      </c>
      <c r="H21" s="4">
        <f t="shared" ref="H21:Q21" si="74">+H20/H22</f>
        <v>2.1374250621394228</v>
      </c>
      <c r="I21" s="4">
        <f t="shared" si="74"/>
        <v>3.0672638593822135</v>
      </c>
      <c r="J21" s="4">
        <f t="shared" si="74"/>
        <v>4.021985009984256</v>
      </c>
      <c r="K21" s="4">
        <f t="shared" si="74"/>
        <v>5.1565925303806317</v>
      </c>
      <c r="L21" s="4">
        <f t="shared" si="74"/>
        <v>6.5008202408307927</v>
      </c>
      <c r="M21" s="4">
        <f t="shared" si="74"/>
        <v>8.0890683494923792</v>
      </c>
      <c r="N21" s="4">
        <f t="shared" si="74"/>
        <v>9.5884878494240748</v>
      </c>
      <c r="O21" s="4">
        <f t="shared" si="74"/>
        <v>11.032349969145377</v>
      </c>
      <c r="P21" s="4">
        <f t="shared" si="74"/>
        <v>12.692791406824877</v>
      </c>
      <c r="Q21" s="4">
        <f t="shared" si="74"/>
        <v>14.602299060156298</v>
      </c>
    </row>
    <row r="22" spans="2:109" s="1" customFormat="1" x14ac:dyDescent="0.25">
      <c r="B22" s="1" t="s">
        <v>30</v>
      </c>
      <c r="D22" s="1">
        <v>203.535</v>
      </c>
      <c r="E22" s="1">
        <f>205.591*5</f>
        <v>1027.9549999999999</v>
      </c>
      <c r="F22" s="1">
        <f>208.423*5</f>
        <v>1042.115</v>
      </c>
      <c r="G22" s="1">
        <v>1047</v>
      </c>
      <c r="H22" s="1">
        <f t="shared" ref="H22:Q22" si="75">208*5</f>
        <v>1040</v>
      </c>
      <c r="I22" s="1">
        <f t="shared" si="75"/>
        <v>1040</v>
      </c>
      <c r="J22" s="1">
        <f t="shared" si="75"/>
        <v>1040</v>
      </c>
      <c r="K22" s="1">
        <f t="shared" si="75"/>
        <v>1040</v>
      </c>
      <c r="L22" s="1">
        <f t="shared" si="75"/>
        <v>1040</v>
      </c>
      <c r="M22" s="1">
        <f t="shared" si="75"/>
        <v>1040</v>
      </c>
      <c r="N22" s="1">
        <f t="shared" si="75"/>
        <v>1040</v>
      </c>
      <c r="O22" s="1">
        <f t="shared" si="75"/>
        <v>1040</v>
      </c>
      <c r="P22" s="1">
        <f t="shared" si="75"/>
        <v>1040</v>
      </c>
      <c r="Q22" s="1">
        <f t="shared" si="75"/>
        <v>1040</v>
      </c>
    </row>
    <row r="23" spans="2:109" s="1" customFormat="1" x14ac:dyDescent="0.25">
      <c r="D23" s="5"/>
      <c r="E23" s="5"/>
      <c r="F23" s="5"/>
      <c r="G23" s="5"/>
      <c r="Q23" s="5"/>
    </row>
    <row r="24" spans="2:109" s="3" customFormat="1" x14ac:dyDescent="0.25">
      <c r="B24" s="3" t="s">
        <v>16</v>
      </c>
      <c r="D24" s="3">
        <f>+D11/D7</f>
        <v>0.78288474810213937</v>
      </c>
      <c r="E24" s="3">
        <f t="shared" ref="E24:H24" si="76">+E11/E7</f>
        <v>0.78586556682644071</v>
      </c>
      <c r="F24" s="3">
        <f t="shared" si="76"/>
        <v>0.79178805535324104</v>
      </c>
      <c r="G24" s="3">
        <f t="shared" si="76"/>
        <v>0.77534267208917007</v>
      </c>
      <c r="H24" s="3">
        <f t="shared" si="76"/>
        <v>0.77611650485436889</v>
      </c>
      <c r="I24" s="3">
        <f t="shared" ref="I24:Q24" si="77">+I11/I7</f>
        <v>0.77611650485436889</v>
      </c>
      <c r="J24" s="3">
        <f t="shared" si="77"/>
        <v>0.77611650485436889</v>
      </c>
      <c r="K24" s="3">
        <f t="shared" si="77"/>
        <v>0.77611650485436889</v>
      </c>
      <c r="L24" s="3">
        <f t="shared" si="77"/>
        <v>0.776116504854369</v>
      </c>
      <c r="M24" s="3">
        <f t="shared" si="77"/>
        <v>0.77611650485436889</v>
      </c>
      <c r="N24" s="3">
        <f t="shared" si="77"/>
        <v>0.77611650485436889</v>
      </c>
      <c r="O24" s="3">
        <f t="shared" si="77"/>
        <v>0.77611650485436878</v>
      </c>
      <c r="P24" s="3">
        <f t="shared" si="77"/>
        <v>0.77611650485436889</v>
      </c>
      <c r="Q24" s="3">
        <f t="shared" si="77"/>
        <v>0.77611650485436889</v>
      </c>
      <c r="S24" s="3" t="s">
        <v>32</v>
      </c>
      <c r="T24" s="3">
        <v>0.1</v>
      </c>
    </row>
    <row r="25" spans="2:109" s="3" customFormat="1" x14ac:dyDescent="0.25">
      <c r="B25" s="3" t="s">
        <v>17</v>
      </c>
      <c r="D25" s="3">
        <f>+D15/D7</f>
        <v>4.8999309868875088E-2</v>
      </c>
      <c r="E25" s="3">
        <f t="shared" ref="E25:F25" si="78">+E15/E7</f>
        <v>8.4940363393155721E-2</v>
      </c>
      <c r="F25" s="3">
        <f t="shared" si="78"/>
        <v>0.12418062636562273</v>
      </c>
      <c r="G25" s="3">
        <f t="shared" ref="G25:Q25" si="79">+G15/G7</f>
        <v>0.13737008585630367</v>
      </c>
      <c r="H25" s="3">
        <f t="shared" si="79"/>
        <v>0.18559033233920288</v>
      </c>
      <c r="I25" s="3">
        <f t="shared" si="79"/>
        <v>0.224528769225953</v>
      </c>
      <c r="J25" s="3">
        <f t="shared" si="79"/>
        <v>0.2552844911147627</v>
      </c>
      <c r="K25" s="3">
        <f t="shared" si="79"/>
        <v>0.28403440505430222</v>
      </c>
      <c r="L25" s="3">
        <f t="shared" si="79"/>
        <v>0.31090932460648052</v>
      </c>
      <c r="M25" s="3">
        <f t="shared" si="79"/>
        <v>0.33603153201395147</v>
      </c>
      <c r="N25" s="3">
        <f t="shared" si="79"/>
        <v>0.3461165048543689</v>
      </c>
      <c r="O25" s="3">
        <f t="shared" si="79"/>
        <v>0.34611650485436884</v>
      </c>
      <c r="P25" s="3">
        <f t="shared" si="79"/>
        <v>0.34611650485436896</v>
      </c>
      <c r="Q25" s="3">
        <f t="shared" si="79"/>
        <v>0.3461165048543689</v>
      </c>
      <c r="S25" s="3" t="s">
        <v>33</v>
      </c>
      <c r="T25" s="3">
        <v>0.03</v>
      </c>
    </row>
    <row r="26" spans="2:109" s="3" customFormat="1" x14ac:dyDescent="0.25">
      <c r="B26" s="3" t="s">
        <v>18</v>
      </c>
      <c r="D26" s="3">
        <f>+D20/D7</f>
        <v>4.4858523119392688E-2</v>
      </c>
      <c r="E26" s="3">
        <f t="shared" ref="E26:F26" si="80">+E20/E7</f>
        <v>0.19295507747185375</v>
      </c>
      <c r="F26" s="3">
        <f t="shared" si="80"/>
        <v>0.12973415877640204</v>
      </c>
      <c r="G26" s="3">
        <f t="shared" ref="G26:Q26" si="81">+G20/G7</f>
        <v>0.13164633227895767</v>
      </c>
      <c r="H26" s="3">
        <f t="shared" si="81"/>
        <v>0.14136817608209976</v>
      </c>
      <c r="I26" s="3">
        <f t="shared" si="81"/>
        <v>0.1719213796409759</v>
      </c>
      <c r="J26" s="3">
        <f t="shared" si="81"/>
        <v>0.19602946625816917</v>
      </c>
      <c r="K26" s="3">
        <f t="shared" si="81"/>
        <v>0.21854752099902169</v>
      </c>
      <c r="L26" s="3">
        <f t="shared" si="81"/>
        <v>0.23958155881518542</v>
      </c>
      <c r="M26" s="3">
        <f t="shared" si="81"/>
        <v>0.25923037839356283</v>
      </c>
      <c r="N26" s="3">
        <f t="shared" si="81"/>
        <v>0.26720197916017979</v>
      </c>
      <c r="O26" s="3">
        <f t="shared" si="81"/>
        <v>0.26733741117347837</v>
      </c>
      <c r="P26" s="3">
        <f t="shared" si="81"/>
        <v>0.26745517814156422</v>
      </c>
      <c r="Q26" s="3">
        <f t="shared" si="81"/>
        <v>0.26755758420076919</v>
      </c>
      <c r="S26" s="3" t="s">
        <v>34</v>
      </c>
      <c r="T26" s="1">
        <f>NPV(T24,G37:DE37)</f>
        <v>142326.13545335396</v>
      </c>
    </row>
    <row r="27" spans="2:109" s="3" customFormat="1" x14ac:dyDescent="0.25">
      <c r="S27" s="3" t="s">
        <v>35</v>
      </c>
      <c r="T27" s="1">
        <f>3726+2558+3771-1491</f>
        <v>8564</v>
      </c>
      <c r="U27" s="3" t="s">
        <v>39</v>
      </c>
    </row>
    <row r="28" spans="2:109" s="3" customFormat="1" x14ac:dyDescent="0.25">
      <c r="B28" s="3" t="s">
        <v>31</v>
      </c>
      <c r="E28" s="3">
        <f>+E5/D5 -1</f>
        <v>0.25961398926135537</v>
      </c>
      <c r="F28" s="3">
        <f t="shared" ref="F28:Q28" si="82">+F5/E5 -1</f>
        <v>0.22649769585253465</v>
      </c>
      <c r="G28" s="3">
        <f t="shared" si="82"/>
        <v>0.21012586887093754</v>
      </c>
      <c r="H28" s="3">
        <f t="shared" si="82"/>
        <v>0.18500000000000005</v>
      </c>
      <c r="I28" s="3">
        <f t="shared" si="82"/>
        <v>0.17999999999999994</v>
      </c>
      <c r="J28" s="3">
        <f t="shared" si="82"/>
        <v>0.14999999999999991</v>
      </c>
      <c r="K28" s="3">
        <f t="shared" si="82"/>
        <v>0.14999999999999991</v>
      </c>
      <c r="L28" s="3">
        <f t="shared" si="82"/>
        <v>0.14999999999999991</v>
      </c>
      <c r="M28" s="3">
        <f t="shared" si="82"/>
        <v>0.14999999999999991</v>
      </c>
      <c r="N28" s="3">
        <f t="shared" si="82"/>
        <v>0.14999999999999991</v>
      </c>
      <c r="O28" s="3">
        <f t="shared" si="82"/>
        <v>0.14999999999999991</v>
      </c>
      <c r="P28" s="3">
        <f t="shared" si="82"/>
        <v>0.14999999999999991</v>
      </c>
      <c r="Q28" s="3">
        <f t="shared" si="82"/>
        <v>0.14999999999999991</v>
      </c>
      <c r="S28" s="3" t="s">
        <v>36</v>
      </c>
      <c r="T28" s="1">
        <f>+T26+T27</f>
        <v>150890.13545335396</v>
      </c>
    </row>
    <row r="29" spans="2:109" s="3" customFormat="1" x14ac:dyDescent="0.25">
      <c r="B29" s="1" t="s">
        <v>7</v>
      </c>
      <c r="D29" s="3">
        <f>+D12/D$7</f>
        <v>0.38840579710144929</v>
      </c>
      <c r="E29" s="3">
        <f t="shared" ref="E29:G29" si="83">+E12/E$7</f>
        <v>0.36796343774384127</v>
      </c>
      <c r="F29" s="3">
        <f t="shared" si="83"/>
        <v>0.35087399854333579</v>
      </c>
      <c r="G29" s="3">
        <f t="shared" si="83"/>
        <v>0.33047145654466031</v>
      </c>
      <c r="H29" s="3">
        <f t="shared" ref="H29:Q29" si="84">+H12/H$7</f>
        <v>0.30487055593311763</v>
      </c>
      <c r="I29" s="3">
        <f t="shared" si="84"/>
        <v>0.28161771692126963</v>
      </c>
      <c r="J29" s="3">
        <f t="shared" si="84"/>
        <v>0.26325134407857814</v>
      </c>
      <c r="K29" s="3">
        <f t="shared" si="84"/>
        <v>0.24608277816040999</v>
      </c>
      <c r="L29" s="3">
        <f t="shared" si="84"/>
        <v>0.23003390132386156</v>
      </c>
      <c r="M29" s="3">
        <f t="shared" si="84"/>
        <v>0.21503169036795755</v>
      </c>
      <c r="N29" s="3">
        <f t="shared" si="84"/>
        <v>0.2</v>
      </c>
      <c r="O29" s="3">
        <f t="shared" si="84"/>
        <v>0.2</v>
      </c>
      <c r="P29" s="3">
        <f t="shared" si="84"/>
        <v>0.2</v>
      </c>
      <c r="Q29" s="3">
        <f t="shared" si="84"/>
        <v>0.20000000000000004</v>
      </c>
      <c r="S29" s="3" t="s">
        <v>38</v>
      </c>
      <c r="T29" s="1">
        <f>+T28/Q22</f>
        <v>145.08666870514804</v>
      </c>
    </row>
    <row r="30" spans="2:109" s="3" customFormat="1" x14ac:dyDescent="0.25">
      <c r="B30" s="1" t="s">
        <v>8</v>
      </c>
      <c r="D30" s="3">
        <f t="shared" ref="D30:G31" si="85">+D13/D$7</f>
        <v>0.24403036576949622</v>
      </c>
      <c r="E30" s="3">
        <f t="shared" si="85"/>
        <v>0.23676290268643407</v>
      </c>
      <c r="F30" s="3">
        <f t="shared" si="85"/>
        <v>0.23151857246904589</v>
      </c>
      <c r="G30" s="3">
        <f t="shared" si="85"/>
        <v>0.22292513932821209</v>
      </c>
      <c r="H30" s="3">
        <f t="shared" ref="H30:Q30" si="86">+H13/H$7</f>
        <v>0.20565561658204837</v>
      </c>
      <c r="I30" s="3">
        <f t="shared" si="86"/>
        <v>0.18997001870714633</v>
      </c>
      <c r="J30" s="3">
        <f t="shared" si="86"/>
        <v>0.17758066966102809</v>
      </c>
      <c r="K30" s="3">
        <f t="shared" si="86"/>
        <v>0.16599932163965669</v>
      </c>
      <c r="L30" s="3">
        <f t="shared" si="86"/>
        <v>0.15517327892402691</v>
      </c>
      <c r="M30" s="3">
        <f t="shared" si="86"/>
        <v>0.14505328247245994</v>
      </c>
      <c r="N30" s="3">
        <f t="shared" si="86"/>
        <v>0.15</v>
      </c>
      <c r="O30" s="3">
        <f t="shared" si="86"/>
        <v>0.15</v>
      </c>
      <c r="P30" s="3">
        <f t="shared" si="86"/>
        <v>0.15</v>
      </c>
      <c r="Q30" s="3">
        <f t="shared" si="86"/>
        <v>0.15</v>
      </c>
      <c r="S30" s="3" t="s">
        <v>37</v>
      </c>
      <c r="T30" s="1">
        <v>90</v>
      </c>
    </row>
    <row r="31" spans="2:109" s="3" customFormat="1" x14ac:dyDescent="0.25">
      <c r="B31" s="1" t="s">
        <v>9</v>
      </c>
      <c r="D31" s="3">
        <f t="shared" si="85"/>
        <v>0.10144927536231885</v>
      </c>
      <c r="E31" s="3">
        <f t="shared" si="85"/>
        <v>9.6198863003009699E-2</v>
      </c>
      <c r="F31" s="3">
        <f t="shared" si="85"/>
        <v>8.5214857975236702E-2</v>
      </c>
      <c r="G31" s="3">
        <f t="shared" si="85"/>
        <v>8.4575990359993969E-2</v>
      </c>
      <c r="H31" s="3">
        <f t="shared" ref="H31:Q31" si="87">+H14/H$7</f>
        <v>0.08</v>
      </c>
      <c r="I31" s="3">
        <f t="shared" si="87"/>
        <v>0.08</v>
      </c>
      <c r="J31" s="3">
        <f t="shared" si="87"/>
        <v>0.08</v>
      </c>
      <c r="K31" s="3">
        <f t="shared" si="87"/>
        <v>0.08</v>
      </c>
      <c r="L31" s="3">
        <f t="shared" si="87"/>
        <v>0.08</v>
      </c>
      <c r="M31" s="3">
        <f t="shared" si="87"/>
        <v>0.08</v>
      </c>
      <c r="N31" s="3">
        <f t="shared" si="87"/>
        <v>0.08</v>
      </c>
      <c r="O31" s="3">
        <f t="shared" si="87"/>
        <v>0.08</v>
      </c>
      <c r="P31" s="3">
        <f t="shared" si="87"/>
        <v>0.08</v>
      </c>
      <c r="Q31" s="3">
        <f t="shared" si="87"/>
        <v>7.9999999999999988E-2</v>
      </c>
      <c r="S31" s="3" t="s">
        <v>40</v>
      </c>
      <c r="T31" s="3">
        <f>+T29/T30 -1</f>
        <v>0.61207409672386714</v>
      </c>
    </row>
    <row r="32" spans="2:109" s="1" customFormat="1" x14ac:dyDescent="0.25"/>
    <row r="33" spans="2:109" s="1" customFormat="1" x14ac:dyDescent="0.25">
      <c r="B33" s="1" t="s">
        <v>19</v>
      </c>
      <c r="D33" s="1">
        <v>2723</v>
      </c>
      <c r="E33" s="1">
        <v>3398</v>
      </c>
      <c r="F33" s="1">
        <v>4267</v>
      </c>
      <c r="G33" s="1">
        <v>5444</v>
      </c>
      <c r="S33" s="1" t="s">
        <v>45</v>
      </c>
      <c r="T33" s="1">
        <f>+T30*Q22-T27</f>
        <v>85036</v>
      </c>
    </row>
    <row r="34" spans="2:109" s="1" customFormat="1" x14ac:dyDescent="0.25">
      <c r="B34" s="1" t="s">
        <v>20</v>
      </c>
      <c r="D34" s="1">
        <v>550</v>
      </c>
      <c r="E34" s="1">
        <v>694</v>
      </c>
      <c r="F34" s="1">
        <v>852</v>
      </c>
      <c r="G34" s="1">
        <v>868</v>
      </c>
      <c r="S34" s="1" t="s">
        <v>47</v>
      </c>
      <c r="T34" s="1">
        <f>+T33/H20</f>
        <v>38.254152654850415</v>
      </c>
    </row>
    <row r="35" spans="2:109" s="1" customFormat="1" x14ac:dyDescent="0.25">
      <c r="B35" s="1" t="s">
        <v>21</v>
      </c>
      <c r="D35" s="1">
        <f>+D33-D34</f>
        <v>2173</v>
      </c>
      <c r="E35" s="1">
        <f>+E33-E34</f>
        <v>2704</v>
      </c>
      <c r="F35" s="1">
        <f>+F33-F34</f>
        <v>3415</v>
      </c>
      <c r="G35" s="1">
        <f>+G33-G34</f>
        <v>4576</v>
      </c>
      <c r="S35" s="1" t="s">
        <v>44</v>
      </c>
      <c r="T35" s="1">
        <f>+T33/H37</f>
        <v>31.87846054570868</v>
      </c>
    </row>
    <row r="36" spans="2:109" s="1" customFormat="1" x14ac:dyDescent="0.25">
      <c r="B36" s="1" t="s">
        <v>22</v>
      </c>
      <c r="D36" s="1">
        <v>1401</v>
      </c>
      <c r="E36" s="1">
        <v>1604</v>
      </c>
      <c r="F36" s="1">
        <v>1746</v>
      </c>
      <c r="G36" s="1">
        <v>1955</v>
      </c>
    </row>
    <row r="37" spans="2:109" s="1" customFormat="1" x14ac:dyDescent="0.25">
      <c r="B37" s="1" t="s">
        <v>23</v>
      </c>
      <c r="D37" s="1">
        <f>+D35-D36</f>
        <v>772</v>
      </c>
      <c r="E37" s="1">
        <f>+E35-E36</f>
        <v>1100</v>
      </c>
      <c r="F37" s="1">
        <f>+F35-F36</f>
        <v>1669</v>
      </c>
      <c r="G37" s="1">
        <f>+G35-G36</f>
        <v>2621</v>
      </c>
      <c r="H37" s="1">
        <f>+H20*H38</f>
        <v>2667.5064775499995</v>
      </c>
      <c r="I37" s="1">
        <f t="shared" ref="I37:Q37" si="88">+I20*I38</f>
        <v>3827.9452965090022</v>
      </c>
      <c r="J37" s="1">
        <f t="shared" si="88"/>
        <v>5019.4372924603513</v>
      </c>
      <c r="K37" s="1">
        <f t="shared" si="88"/>
        <v>6435.4274779150282</v>
      </c>
      <c r="L37" s="1">
        <f t="shared" si="88"/>
        <v>8113.0236605568298</v>
      </c>
      <c r="M37" s="1">
        <f t="shared" si="88"/>
        <v>10095.157300166489</v>
      </c>
      <c r="N37" s="1">
        <f t="shared" si="88"/>
        <v>11966.432836081245</v>
      </c>
      <c r="O37" s="1">
        <f t="shared" si="88"/>
        <v>13768.372761493431</v>
      </c>
      <c r="P37" s="1">
        <f t="shared" si="88"/>
        <v>15840.603675717446</v>
      </c>
      <c r="Q37" s="1">
        <f t="shared" si="88"/>
        <v>18223.669227075057</v>
      </c>
      <c r="R37" s="1">
        <f>+Q37*(1+$T25)</f>
        <v>18770.379303887308</v>
      </c>
      <c r="S37" s="1">
        <f t="shared" ref="S37:CD37" si="89">+R37*(1+$T25)</f>
        <v>19333.490683003929</v>
      </c>
      <c r="T37" s="1">
        <f t="shared" si="89"/>
        <v>19913.495403494046</v>
      </c>
      <c r="U37" s="1">
        <f t="shared" si="89"/>
        <v>20510.900265598866</v>
      </c>
      <c r="V37" s="1">
        <f t="shared" si="89"/>
        <v>21126.227273566834</v>
      </c>
      <c r="W37" s="1">
        <f t="shared" si="89"/>
        <v>21760.014091773839</v>
      </c>
      <c r="X37" s="1">
        <f t="shared" si="89"/>
        <v>22412.814514527054</v>
      </c>
      <c r="Y37" s="1">
        <f t="shared" si="89"/>
        <v>23085.198949962865</v>
      </c>
      <c r="Z37" s="1">
        <f t="shared" si="89"/>
        <v>23777.754918461753</v>
      </c>
      <c r="AA37" s="1">
        <f t="shared" si="89"/>
        <v>24491.087566015605</v>
      </c>
      <c r="AB37" s="1">
        <f t="shared" si="89"/>
        <v>25225.820192996074</v>
      </c>
      <c r="AC37" s="1">
        <f t="shared" si="89"/>
        <v>25982.594798785958</v>
      </c>
      <c r="AD37" s="1">
        <f t="shared" si="89"/>
        <v>26762.072642749539</v>
      </c>
      <c r="AE37" s="1">
        <f t="shared" si="89"/>
        <v>27564.934822032024</v>
      </c>
      <c r="AF37" s="1">
        <f t="shared" si="89"/>
        <v>28391.882866692988</v>
      </c>
      <c r="AG37" s="1">
        <f t="shared" si="89"/>
        <v>29243.639352693779</v>
      </c>
      <c r="AH37" s="1">
        <f t="shared" si="89"/>
        <v>30120.948533274594</v>
      </c>
      <c r="AI37" s="1">
        <f t="shared" si="89"/>
        <v>31024.576989272831</v>
      </c>
      <c r="AJ37" s="1">
        <f t="shared" si="89"/>
        <v>31955.314298951016</v>
      </c>
      <c r="AK37" s="1">
        <f t="shared" si="89"/>
        <v>32913.973727919547</v>
      </c>
      <c r="AL37" s="1">
        <f t="shared" si="89"/>
        <v>33901.392939757134</v>
      </c>
      <c r="AM37" s="1">
        <f t="shared" si="89"/>
        <v>34918.434727949847</v>
      </c>
      <c r="AN37" s="1">
        <f t="shared" si="89"/>
        <v>35965.987769788342</v>
      </c>
      <c r="AO37" s="1">
        <f t="shared" si="89"/>
        <v>37044.967402881994</v>
      </c>
      <c r="AP37" s="1">
        <f t="shared" si="89"/>
        <v>38156.316424968456</v>
      </c>
      <c r="AQ37" s="1">
        <f t="shared" si="89"/>
        <v>39301.005917717514</v>
      </c>
      <c r="AR37" s="1">
        <f t="shared" si="89"/>
        <v>40480.036095249037</v>
      </c>
      <c r="AS37" s="1">
        <f t="shared" si="89"/>
        <v>41694.437178106513</v>
      </c>
      <c r="AT37" s="1">
        <f t="shared" si="89"/>
        <v>42945.270293449707</v>
      </c>
      <c r="AU37" s="1">
        <f t="shared" si="89"/>
        <v>44233.628402253198</v>
      </c>
      <c r="AV37" s="1">
        <f t="shared" si="89"/>
        <v>45560.637254320798</v>
      </c>
      <c r="AW37" s="1">
        <f t="shared" si="89"/>
        <v>46927.456371950422</v>
      </c>
      <c r="AX37" s="1">
        <f t="shared" si="89"/>
        <v>48335.280063108934</v>
      </c>
      <c r="AY37" s="1">
        <f t="shared" si="89"/>
        <v>49785.338465002205</v>
      </c>
      <c r="AZ37" s="1">
        <f t="shared" si="89"/>
        <v>51278.898618952269</v>
      </c>
      <c r="BA37" s="1">
        <f t="shared" si="89"/>
        <v>52817.26557752084</v>
      </c>
      <c r="BB37" s="1">
        <f t="shared" si="89"/>
        <v>54401.783544846468</v>
      </c>
      <c r="BC37" s="1">
        <f t="shared" si="89"/>
        <v>56033.837051191862</v>
      </c>
      <c r="BD37" s="1">
        <f t="shared" si="89"/>
        <v>57714.85216272762</v>
      </c>
      <c r="BE37" s="1">
        <f t="shared" si="89"/>
        <v>59446.297727609453</v>
      </c>
      <c r="BF37" s="1">
        <f t="shared" si="89"/>
        <v>61229.686659437735</v>
      </c>
      <c r="BG37" s="1">
        <f t="shared" si="89"/>
        <v>63066.577259220867</v>
      </c>
      <c r="BH37" s="1">
        <f t="shared" si="89"/>
        <v>64958.574576997496</v>
      </c>
      <c r="BI37" s="1">
        <f t="shared" si="89"/>
        <v>66907.331814307428</v>
      </c>
      <c r="BJ37" s="1">
        <f t="shared" si="89"/>
        <v>68914.551768736652</v>
      </c>
      <c r="BK37" s="1">
        <f t="shared" si="89"/>
        <v>70981.988321798752</v>
      </c>
      <c r="BL37" s="1">
        <f t="shared" si="89"/>
        <v>73111.447971452711</v>
      </c>
      <c r="BM37" s="1">
        <f t="shared" si="89"/>
        <v>75304.791410596299</v>
      </c>
      <c r="BN37" s="1">
        <f t="shared" si="89"/>
        <v>77563.935152914186</v>
      </c>
      <c r="BO37" s="1">
        <f t="shared" si="89"/>
        <v>79890.853207501612</v>
      </c>
      <c r="BP37" s="1">
        <f t="shared" si="89"/>
        <v>82287.578803726661</v>
      </c>
      <c r="BQ37" s="1">
        <f t="shared" si="89"/>
        <v>84756.206167838463</v>
      </c>
      <c r="BR37" s="1">
        <f t="shared" si="89"/>
        <v>87298.89235287362</v>
      </c>
      <c r="BS37" s="1">
        <f t="shared" si="89"/>
        <v>89917.859123459828</v>
      </c>
      <c r="BT37" s="1">
        <f t="shared" si="89"/>
        <v>92615.394897163627</v>
      </c>
      <c r="BU37" s="1">
        <f t="shared" si="89"/>
        <v>95393.856744078541</v>
      </c>
      <c r="BV37" s="1">
        <f t="shared" si="89"/>
        <v>98255.672446400902</v>
      </c>
      <c r="BW37" s="1">
        <f t="shared" si="89"/>
        <v>101203.34261979294</v>
      </c>
      <c r="BX37" s="1">
        <f t="shared" si="89"/>
        <v>104239.44289838673</v>
      </c>
      <c r="BY37" s="1">
        <f t="shared" si="89"/>
        <v>107366.62618533833</v>
      </c>
      <c r="BZ37" s="1">
        <f t="shared" si="89"/>
        <v>110587.62497089848</v>
      </c>
      <c r="CA37" s="1">
        <f t="shared" si="89"/>
        <v>113905.25372002544</v>
      </c>
      <c r="CB37" s="1">
        <f t="shared" si="89"/>
        <v>117322.41133162621</v>
      </c>
      <c r="CC37" s="1">
        <f t="shared" si="89"/>
        <v>120842.083671575</v>
      </c>
      <c r="CD37" s="1">
        <f t="shared" si="89"/>
        <v>124467.34618172226</v>
      </c>
      <c r="CE37" s="1">
        <f t="shared" ref="CE37:DE37" si="90">+CD37*(1+$T25)</f>
        <v>128201.36656717393</v>
      </c>
      <c r="CF37" s="1">
        <f t="shared" si="90"/>
        <v>132047.40756418914</v>
      </c>
      <c r="CG37" s="1">
        <f t="shared" si="90"/>
        <v>136008.82979111481</v>
      </c>
      <c r="CH37" s="1">
        <f t="shared" si="90"/>
        <v>140089.09468484827</v>
      </c>
      <c r="CI37" s="1">
        <f t="shared" si="90"/>
        <v>144291.76752539372</v>
      </c>
      <c r="CJ37" s="1">
        <f t="shared" si="90"/>
        <v>148620.52055115553</v>
      </c>
      <c r="CK37" s="1">
        <f t="shared" si="90"/>
        <v>153079.13616769019</v>
      </c>
      <c r="CL37" s="1">
        <f t="shared" si="90"/>
        <v>157671.51025272091</v>
      </c>
      <c r="CM37" s="1">
        <f t="shared" si="90"/>
        <v>162401.65556030255</v>
      </c>
      <c r="CN37" s="1">
        <f t="shared" si="90"/>
        <v>167273.70522711164</v>
      </c>
      <c r="CO37" s="1">
        <f t="shared" si="90"/>
        <v>172291.91638392498</v>
      </c>
      <c r="CP37" s="1">
        <f t="shared" si="90"/>
        <v>177460.67387544274</v>
      </c>
      <c r="CQ37" s="1">
        <f t="shared" si="90"/>
        <v>182784.49409170603</v>
      </c>
      <c r="CR37" s="1">
        <f t="shared" si="90"/>
        <v>188268.02891445722</v>
      </c>
      <c r="CS37" s="1">
        <f t="shared" si="90"/>
        <v>193916.06978189092</v>
      </c>
      <c r="CT37" s="1">
        <f t="shared" si="90"/>
        <v>199733.55187534765</v>
      </c>
      <c r="CU37" s="1">
        <f t="shared" si="90"/>
        <v>205725.55843160808</v>
      </c>
      <c r="CV37" s="1">
        <f t="shared" si="90"/>
        <v>211897.32518455634</v>
      </c>
      <c r="CW37" s="1">
        <f t="shared" si="90"/>
        <v>218254.24494009302</v>
      </c>
      <c r="CX37" s="1">
        <f t="shared" si="90"/>
        <v>224801.87228829582</v>
      </c>
      <c r="CY37" s="1">
        <f t="shared" si="90"/>
        <v>231545.9284569447</v>
      </c>
      <c r="CZ37" s="1">
        <f t="shared" si="90"/>
        <v>238492.30631065305</v>
      </c>
      <c r="DA37" s="1">
        <f t="shared" si="90"/>
        <v>245647.07549997265</v>
      </c>
      <c r="DB37" s="1">
        <f t="shared" si="90"/>
        <v>253016.48776497183</v>
      </c>
      <c r="DC37" s="1">
        <f t="shared" si="90"/>
        <v>260606.98239792098</v>
      </c>
      <c r="DD37" s="1">
        <f t="shared" si="90"/>
        <v>268425.19186985859</v>
      </c>
      <c r="DE37" s="1">
        <f t="shared" si="90"/>
        <v>276477.94762595434</v>
      </c>
    </row>
    <row r="38" spans="2:109" s="6" customFormat="1" x14ac:dyDescent="0.25">
      <c r="B38" s="6" t="s">
        <v>43</v>
      </c>
      <c r="E38" s="7">
        <f>+E37/E20</f>
        <v>0.63547082611207395</v>
      </c>
      <c r="F38" s="7">
        <f>+F37/F20</f>
        <v>1.1712280701754385</v>
      </c>
      <c r="G38" s="7">
        <f>+G37/G20</f>
        <v>1.4994279176201373</v>
      </c>
      <c r="H38" s="6">
        <v>1.2</v>
      </c>
      <c r="I38" s="6">
        <v>1.2</v>
      </c>
      <c r="J38" s="6">
        <v>1.2</v>
      </c>
      <c r="K38" s="6">
        <v>1.2</v>
      </c>
      <c r="L38" s="6">
        <v>1.2</v>
      </c>
      <c r="M38" s="6">
        <v>1.2</v>
      </c>
      <c r="N38" s="6">
        <v>1.2</v>
      </c>
      <c r="O38" s="6">
        <v>1.2</v>
      </c>
      <c r="P38" s="6">
        <v>1.2</v>
      </c>
      <c r="Q38" s="6">
        <v>1.2</v>
      </c>
    </row>
    <row r="39" spans="2:109" s="6" customFormat="1" x14ac:dyDescent="0.25">
      <c r="E39" s="7"/>
      <c r="F39" s="7"/>
      <c r="G39" s="7"/>
    </row>
    <row r="40" spans="2:109" s="1" customFormat="1" x14ac:dyDescent="0.25">
      <c r="B40" s="1" t="s">
        <v>24</v>
      </c>
      <c r="E40" s="1">
        <v>1897</v>
      </c>
      <c r="F40" s="1">
        <v>2304</v>
      </c>
      <c r="G40" s="1">
        <v>2725</v>
      </c>
    </row>
    <row r="41" spans="2:109" s="1" customFormat="1" x14ac:dyDescent="0.25">
      <c r="B41" s="1" t="s">
        <v>25</v>
      </c>
      <c r="E41" s="1">
        <f>2980+3203</f>
        <v>6183</v>
      </c>
      <c r="F41" s="1">
        <f>3458+4111</f>
        <v>7569</v>
      </c>
      <c r="G41" s="1">
        <f>2686+4266</f>
        <v>6952</v>
      </c>
    </row>
    <row r="42" spans="2:109" s="1" customFormat="1" x14ac:dyDescent="0.25">
      <c r="B42" s="1" t="s">
        <v>26</v>
      </c>
      <c r="E42" s="1">
        <v>1358</v>
      </c>
      <c r="F42" s="1">
        <v>1763</v>
      </c>
      <c r="G42" s="1">
        <v>2127</v>
      </c>
    </row>
    <row r="43" spans="2:109" s="1" customFormat="1" x14ac:dyDescent="0.25">
      <c r="B43" s="1" t="s">
        <v>27</v>
      </c>
      <c r="E43" s="1">
        <v>1488</v>
      </c>
      <c r="F43" s="1">
        <v>1489</v>
      </c>
      <c r="G43" s="1">
        <v>1491</v>
      </c>
    </row>
    <row r="44" spans="2:109" s="1" customFormat="1" x14ac:dyDescent="0.25">
      <c r="B44" s="1" t="s">
        <v>28</v>
      </c>
      <c r="E44" s="1">
        <f>+E40+E41+E42-E43</f>
        <v>7950</v>
      </c>
      <c r="F44" s="1">
        <f>+F40+F41+F42-F43</f>
        <v>10147</v>
      </c>
      <c r="G44" s="1">
        <f>+G40+G41+G42-G43</f>
        <v>10313</v>
      </c>
    </row>
    <row r="45" spans="2:109" s="1" customFormat="1" x14ac:dyDescent="0.25"/>
    <row r="46" spans="2:109" s="3" customFormat="1" x14ac:dyDescent="0.25">
      <c r="B46" s="3" t="s">
        <v>41</v>
      </c>
      <c r="E46" s="3">
        <f t="shared" ref="E46:F46" si="91">+E36/E7</f>
        <v>0.17879835023966112</v>
      </c>
      <c r="F46" s="3">
        <f t="shared" si="91"/>
        <v>0.15895848506919155</v>
      </c>
      <c r="G46" s="3">
        <f>+G36/G7</f>
        <v>0.14723602952251846</v>
      </c>
    </row>
    <row r="47" spans="2:109" s="3" customFormat="1" x14ac:dyDescent="0.25">
      <c r="B47" s="3" t="s">
        <v>42</v>
      </c>
      <c r="E47" s="3">
        <f t="shared" ref="E47:F47" si="92">+E35/E7</f>
        <v>0.30141567272321929</v>
      </c>
      <c r="F47" s="3">
        <f t="shared" si="92"/>
        <v>0.31090677348871087</v>
      </c>
      <c r="G47" s="3">
        <f>+G35/G7</f>
        <v>0.34463021539388461</v>
      </c>
    </row>
    <row r="48" spans="2:109" s="8" customFormat="1" x14ac:dyDescent="0.25">
      <c r="B48" s="8" t="s">
        <v>46</v>
      </c>
      <c r="E48" s="8">
        <f>E37/$T$33</f>
        <v>1.2935697822098876E-2</v>
      </c>
      <c r="F48" s="8">
        <f t="shared" ref="F48:Q48" si="93">F37/$T$33</f>
        <v>1.9626981513711839E-2</v>
      </c>
      <c r="G48" s="8">
        <f t="shared" si="93"/>
        <v>3.0822239992473775E-2</v>
      </c>
      <c r="H48" s="8">
        <f t="shared" si="93"/>
        <v>3.1369143392798338E-2</v>
      </c>
      <c r="I48" s="8">
        <f t="shared" si="93"/>
        <v>4.5015585122877393E-2</v>
      </c>
      <c r="J48" s="8">
        <f t="shared" si="93"/>
        <v>5.9027203683855674E-2</v>
      </c>
      <c r="K48" s="8">
        <f t="shared" si="93"/>
        <v>7.5678859282127905E-2</v>
      </c>
      <c r="L48" s="8">
        <f t="shared" si="93"/>
        <v>9.5406929542274213E-2</v>
      </c>
      <c r="M48" s="8">
        <f t="shared" si="93"/>
        <v>0.11871627663773565</v>
      </c>
      <c r="N48" s="8">
        <f t="shared" si="93"/>
        <v>0.14072196288726241</v>
      </c>
      <c r="O48" s="8">
        <f t="shared" si="93"/>
        <v>0.16191228140426914</v>
      </c>
      <c r="P48" s="8">
        <f t="shared" si="93"/>
        <v>0.18628114769882692</v>
      </c>
      <c r="Q48" s="8">
        <f t="shared" si="93"/>
        <v>0.21430534393756828</v>
      </c>
    </row>
    <row r="49" spans="2:17" s="3" customFormat="1" x14ac:dyDescent="0.25">
      <c r="B49" s="3" t="s">
        <v>48</v>
      </c>
      <c r="E49" s="3">
        <f>+E37/E7</f>
        <v>0.12261732248355812</v>
      </c>
      <c r="F49" s="3">
        <f t="shared" ref="F49:Q49" si="94">+F37/F7</f>
        <v>0.1519482884195193</v>
      </c>
      <c r="G49" s="3">
        <f t="shared" si="94"/>
        <v>0.19739418587136617</v>
      </c>
      <c r="H49" s="3">
        <f t="shared" si="94"/>
        <v>0.16964181129851971</v>
      </c>
      <c r="I49" s="3">
        <f t="shared" si="94"/>
        <v>0.20630565556917105</v>
      </c>
      <c r="J49" s="3">
        <f t="shared" si="94"/>
        <v>0.23523535950980301</v>
      </c>
      <c r="K49" s="3">
        <f t="shared" si="94"/>
        <v>0.26225702519882604</v>
      </c>
      <c r="L49" s="3">
        <f t="shared" si="94"/>
        <v>0.28749787057822251</v>
      </c>
      <c r="M49" s="3">
        <f t="shared" si="94"/>
        <v>0.31107645407227535</v>
      </c>
      <c r="N49" s="3">
        <f t="shared" si="94"/>
        <v>0.32064237499221576</v>
      </c>
      <c r="O49" s="3">
        <f t="shared" si="94"/>
        <v>0.32080489340817409</v>
      </c>
      <c r="P49" s="3">
        <f t="shared" si="94"/>
        <v>0.32094621376987703</v>
      </c>
      <c r="Q49" s="3">
        <f t="shared" si="94"/>
        <v>0.32106910104092296</v>
      </c>
    </row>
    <row r="50" spans="2:17" s="1" customFormat="1" x14ac:dyDescent="0.25"/>
    <row r="51" spans="2:17" s="1" customFormat="1" x14ac:dyDescent="0.25"/>
    <row r="52" spans="2:17" s="1" customFormat="1" x14ac:dyDescent="0.25"/>
    <row r="53" spans="2:17" s="1" customFormat="1" x14ac:dyDescent="0.25"/>
    <row r="54" spans="2:17" s="1" customFormat="1" x14ac:dyDescent="0.25"/>
    <row r="55" spans="2:17" s="1" customFormat="1" x14ac:dyDescent="0.25"/>
    <row r="56" spans="2:17" s="1" customFormat="1" x14ac:dyDescent="0.25"/>
    <row r="57" spans="2:17" s="1" customFormat="1" x14ac:dyDescent="0.25"/>
    <row r="58" spans="2:17" s="1" customFormat="1" x14ac:dyDescent="0.25"/>
    <row r="59" spans="2:17" s="1" customFormat="1" x14ac:dyDescent="0.25"/>
    <row r="60" spans="2:17" s="1" customFormat="1" x14ac:dyDescent="0.25"/>
    <row r="61" spans="2:17" s="1" customFormat="1" x14ac:dyDescent="0.25"/>
    <row r="62" spans="2:17" s="1" customFormat="1" x14ac:dyDescent="0.25"/>
    <row r="63" spans="2:17" s="1" customFormat="1" x14ac:dyDescent="0.25"/>
    <row r="64" spans="2:17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2026-01-19T23:28:47Z</dcterms:created>
  <dcterms:modified xsi:type="dcterms:W3CDTF">2026-05-20T09:12:13Z</dcterms:modified>
</cp:coreProperties>
</file>