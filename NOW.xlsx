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ckut\Desktop\Stonks\Analysis\"/>
    </mc:Choice>
  </mc:AlternateContent>
  <xr:revisionPtr revIDLastSave="0" documentId="13_ncr:1_{E8A4379F-5826-45C9-9277-139029367C11}" xr6:coauthVersionLast="47" xr6:coauthVersionMax="47" xr10:uidLastSave="{00000000-0000-0000-0000-000000000000}"/>
  <bookViews>
    <workbookView xWindow="-120" yWindow="-120" windowWidth="29040" windowHeight="15840" xr2:uid="{91B61A0D-F052-476E-B072-87A5873B34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7" i="1" l="1"/>
  <c r="O13" i="1"/>
  <c r="P13" i="1"/>
  <c r="Q13" i="1"/>
  <c r="N13" i="1"/>
  <c r="O12" i="1"/>
  <c r="P12" i="1"/>
  <c r="Q12" i="1"/>
  <c r="N12" i="1"/>
  <c r="I12" i="1"/>
  <c r="J12" i="1" s="1"/>
  <c r="K12" i="1" s="1"/>
  <c r="L12" i="1" s="1"/>
  <c r="M12" i="1" s="1"/>
  <c r="H12" i="1"/>
  <c r="I13" i="1"/>
  <c r="J13" i="1" s="1"/>
  <c r="K13" i="1" s="1"/>
  <c r="L13" i="1" s="1"/>
  <c r="M13" i="1" s="1"/>
  <c r="H13" i="1"/>
  <c r="L5" i="1"/>
  <c r="M5" i="1" s="1"/>
  <c r="N5" i="1" s="1"/>
  <c r="O5" i="1" s="1"/>
  <c r="P5" i="1" s="1"/>
  <c r="Q5" i="1" s="1"/>
  <c r="K5" i="1"/>
  <c r="J5" i="1"/>
  <c r="I5" i="1"/>
  <c r="I28" i="1" s="1"/>
  <c r="H5" i="1"/>
  <c r="H22" i="1"/>
  <c r="I22" i="1"/>
  <c r="J22" i="1"/>
  <c r="K22" i="1"/>
  <c r="L22" i="1"/>
  <c r="M22" i="1"/>
  <c r="N22" i="1"/>
  <c r="O22" i="1"/>
  <c r="P22" i="1"/>
  <c r="Q22" i="1"/>
  <c r="E22" i="1"/>
  <c r="F22" i="1"/>
  <c r="G22" i="1"/>
  <c r="G43" i="1"/>
  <c r="G40" i="1"/>
  <c r="H8" i="1"/>
  <c r="H10" i="1" s="1"/>
  <c r="H9" i="1"/>
  <c r="G25" i="1"/>
  <c r="G24" i="1"/>
  <c r="H6" i="1"/>
  <c r="H28" i="1"/>
  <c r="F28" i="1"/>
  <c r="G28" i="1"/>
  <c r="E29" i="1"/>
  <c r="F29" i="1"/>
  <c r="G29" i="1"/>
  <c r="E30" i="1"/>
  <c r="F30" i="1"/>
  <c r="G30" i="1"/>
  <c r="E31" i="1"/>
  <c r="F31" i="1"/>
  <c r="G31" i="1"/>
  <c r="D30" i="1"/>
  <c r="D31" i="1"/>
  <c r="D29" i="1"/>
  <c r="E28" i="1"/>
  <c r="H7" i="1"/>
  <c r="G36" i="1"/>
  <c r="G34" i="1"/>
  <c r="G33" i="1"/>
  <c r="G35" i="1" s="1"/>
  <c r="G37" i="1" s="1"/>
  <c r="G19" i="1"/>
  <c r="G14" i="1"/>
  <c r="G13" i="1"/>
  <c r="G12" i="1"/>
  <c r="G9" i="1"/>
  <c r="G8" i="1"/>
  <c r="G6" i="1"/>
  <c r="G5" i="1"/>
  <c r="G7" i="1" s="1"/>
  <c r="E40" i="1"/>
  <c r="E43" i="1" s="1"/>
  <c r="F40" i="1"/>
  <c r="F43" i="1" s="1"/>
  <c r="F35" i="1"/>
  <c r="F37" i="1" s="1"/>
  <c r="E35" i="1"/>
  <c r="E37" i="1" s="1"/>
  <c r="D35" i="1"/>
  <c r="D37" i="1" s="1"/>
  <c r="E7" i="1"/>
  <c r="F7" i="1"/>
  <c r="E10" i="1"/>
  <c r="F10" i="1"/>
  <c r="D10" i="1"/>
  <c r="D7" i="1"/>
  <c r="E2" i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H30" i="1" l="1"/>
  <c r="I6" i="1"/>
  <c r="I9" i="1"/>
  <c r="I7" i="1"/>
  <c r="I11" i="1" s="1"/>
  <c r="H29" i="1"/>
  <c r="H14" i="1"/>
  <c r="H31" i="1" s="1"/>
  <c r="I8" i="1"/>
  <c r="I10" i="1" s="1"/>
  <c r="H11" i="1"/>
  <c r="G10" i="1"/>
  <c r="G11" i="1"/>
  <c r="G15" i="1" s="1"/>
  <c r="G18" i="1" s="1"/>
  <c r="G20" i="1" s="1"/>
  <c r="G26" i="1" s="1"/>
  <c r="F11" i="1"/>
  <c r="E11" i="1"/>
  <c r="D11" i="1"/>
  <c r="G21" i="1" l="1"/>
  <c r="I24" i="1"/>
  <c r="J6" i="1"/>
  <c r="J9" i="1" s="1"/>
  <c r="J8" i="1"/>
  <c r="J10" i="1" s="1"/>
  <c r="J28" i="1"/>
  <c r="I29" i="1"/>
  <c r="I30" i="1"/>
  <c r="I14" i="1"/>
  <c r="I31" i="1" s="1"/>
  <c r="H15" i="1"/>
  <c r="H25" i="1" s="1"/>
  <c r="H24" i="1"/>
  <c r="E15" i="1"/>
  <c r="E24" i="1"/>
  <c r="D15" i="1"/>
  <c r="D24" i="1"/>
  <c r="F15" i="1"/>
  <c r="F24" i="1"/>
  <c r="J7" i="1" l="1"/>
  <c r="K6" i="1"/>
  <c r="K9" i="1" s="1"/>
  <c r="K8" i="1"/>
  <c r="K28" i="1"/>
  <c r="K7" i="1"/>
  <c r="J14" i="1"/>
  <c r="J31" i="1" s="1"/>
  <c r="J29" i="1"/>
  <c r="J30" i="1"/>
  <c r="J11" i="1"/>
  <c r="I15" i="1"/>
  <c r="H18" i="1"/>
  <c r="D18" i="1"/>
  <c r="D20" i="1" s="1"/>
  <c r="D25" i="1"/>
  <c r="F18" i="1"/>
  <c r="F20" i="1" s="1"/>
  <c r="F25" i="1"/>
  <c r="E18" i="1"/>
  <c r="E20" i="1" s="1"/>
  <c r="E25" i="1"/>
  <c r="H19" i="1" l="1"/>
  <c r="H20" i="1" s="1"/>
  <c r="I18" i="1"/>
  <c r="I25" i="1"/>
  <c r="K14" i="1"/>
  <c r="K31" i="1" s="1"/>
  <c r="K30" i="1"/>
  <c r="K29" i="1"/>
  <c r="J15" i="1"/>
  <c r="J24" i="1"/>
  <c r="L6" i="1"/>
  <c r="L9" i="1" s="1"/>
  <c r="L8" i="1"/>
  <c r="L28" i="1"/>
  <c r="K10" i="1"/>
  <c r="K11" i="1" s="1"/>
  <c r="E26" i="1"/>
  <c r="E21" i="1"/>
  <c r="F26" i="1"/>
  <c r="F21" i="1"/>
  <c r="D26" i="1"/>
  <c r="D21" i="1"/>
  <c r="H26" i="1" l="1"/>
  <c r="H21" i="1"/>
  <c r="L10" i="1"/>
  <c r="J18" i="1"/>
  <c r="J25" i="1"/>
  <c r="L7" i="1"/>
  <c r="I19" i="1"/>
  <c r="I20" i="1" s="1"/>
  <c r="K15" i="1"/>
  <c r="K24" i="1"/>
  <c r="M6" i="1"/>
  <c r="M9" i="1" s="1"/>
  <c r="M8" i="1"/>
  <c r="M10" i="1" s="1"/>
  <c r="M28" i="1"/>
  <c r="M7" i="1" l="1"/>
  <c r="M11" i="1" s="1"/>
  <c r="I26" i="1"/>
  <c r="I21" i="1"/>
  <c r="N8" i="1"/>
  <c r="N6" i="1"/>
  <c r="N9" i="1" s="1"/>
  <c r="N28" i="1"/>
  <c r="J19" i="1"/>
  <c r="J20" i="1" s="1"/>
  <c r="L11" i="1"/>
  <c r="L29" i="1"/>
  <c r="L30" i="1"/>
  <c r="L14" i="1"/>
  <c r="L31" i="1" s="1"/>
  <c r="M30" i="1"/>
  <c r="M29" i="1"/>
  <c r="K18" i="1"/>
  <c r="K25" i="1"/>
  <c r="N7" i="1" l="1"/>
  <c r="M14" i="1"/>
  <c r="M31" i="1" s="1"/>
  <c r="J26" i="1"/>
  <c r="J21" i="1"/>
  <c r="L15" i="1"/>
  <c r="L24" i="1"/>
  <c r="K19" i="1"/>
  <c r="K20" i="1" s="1"/>
  <c r="O6" i="1"/>
  <c r="O9" i="1" s="1"/>
  <c r="O8" i="1"/>
  <c r="O10" i="1" s="1"/>
  <c r="O7" i="1"/>
  <c r="O28" i="1"/>
  <c r="N29" i="1"/>
  <c r="N14" i="1"/>
  <c r="N31" i="1" s="1"/>
  <c r="N30" i="1"/>
  <c r="M15" i="1"/>
  <c r="M24" i="1"/>
  <c r="N10" i="1"/>
  <c r="N11" i="1" s="1"/>
  <c r="N15" i="1" l="1"/>
  <c r="N24" i="1"/>
  <c r="K26" i="1"/>
  <c r="K21" i="1"/>
  <c r="O11" i="1"/>
  <c r="O30" i="1"/>
  <c r="O29" i="1"/>
  <c r="O14" i="1"/>
  <c r="O31" i="1" s="1"/>
  <c r="P6" i="1"/>
  <c r="P9" i="1" s="1"/>
  <c r="P8" i="1"/>
  <c r="P10" i="1" s="1"/>
  <c r="P28" i="1"/>
  <c r="M18" i="1"/>
  <c r="M25" i="1"/>
  <c r="L18" i="1"/>
  <c r="L25" i="1"/>
  <c r="L19" i="1" l="1"/>
  <c r="L20" i="1" s="1"/>
  <c r="M19" i="1"/>
  <c r="M20" i="1" s="1"/>
  <c r="Q8" i="1"/>
  <c r="Q6" i="1"/>
  <c r="Q9" i="1" s="1"/>
  <c r="Q28" i="1"/>
  <c r="O15" i="1"/>
  <c r="O24" i="1"/>
  <c r="P7" i="1"/>
  <c r="N18" i="1"/>
  <c r="N25" i="1"/>
  <c r="Q7" i="1" l="1"/>
  <c r="M26" i="1"/>
  <c r="M21" i="1"/>
  <c r="L26" i="1"/>
  <c r="L21" i="1"/>
  <c r="P11" i="1"/>
  <c r="P30" i="1"/>
  <c r="P29" i="1"/>
  <c r="P14" i="1"/>
  <c r="P31" i="1" s="1"/>
  <c r="Q11" i="1"/>
  <c r="Q30" i="1"/>
  <c r="Q29" i="1"/>
  <c r="Q14" i="1"/>
  <c r="Q31" i="1" s="1"/>
  <c r="O18" i="1"/>
  <c r="O25" i="1"/>
  <c r="Q10" i="1"/>
  <c r="N19" i="1"/>
  <c r="N20" i="1" s="1"/>
  <c r="N26" i="1" l="1"/>
  <c r="N21" i="1"/>
  <c r="O19" i="1"/>
  <c r="O20" i="1" s="1"/>
  <c r="Q15" i="1"/>
  <c r="Q24" i="1"/>
  <c r="P15" i="1"/>
  <c r="P24" i="1"/>
  <c r="O26" i="1" l="1"/>
  <c r="O21" i="1"/>
  <c r="Q18" i="1"/>
  <c r="Q25" i="1"/>
  <c r="P18" i="1"/>
  <c r="P25" i="1"/>
  <c r="P19" i="1" l="1"/>
  <c r="P20" i="1" s="1"/>
  <c r="Q19" i="1"/>
  <c r="Q20" i="1" s="1"/>
  <c r="Q26" i="1" l="1"/>
  <c r="R20" i="1"/>
  <c r="S20" i="1" s="1"/>
  <c r="T20" i="1" s="1"/>
  <c r="U20" i="1" s="1"/>
  <c r="V20" i="1" s="1"/>
  <c r="W20" i="1" s="1"/>
  <c r="X20" i="1" s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  <c r="AK20" i="1" s="1"/>
  <c r="AL20" i="1" s="1"/>
  <c r="AM20" i="1" s="1"/>
  <c r="AN20" i="1" s="1"/>
  <c r="AO20" i="1" s="1"/>
  <c r="AP20" i="1" s="1"/>
  <c r="AQ20" i="1" s="1"/>
  <c r="AR20" i="1" s="1"/>
  <c r="AS20" i="1" s="1"/>
  <c r="AT20" i="1" s="1"/>
  <c r="AU20" i="1" s="1"/>
  <c r="AV20" i="1" s="1"/>
  <c r="AW20" i="1" s="1"/>
  <c r="AX20" i="1" s="1"/>
  <c r="AY20" i="1" s="1"/>
  <c r="AZ20" i="1" s="1"/>
  <c r="BA20" i="1" s="1"/>
  <c r="BB20" i="1" s="1"/>
  <c r="BC20" i="1" s="1"/>
  <c r="BD20" i="1" s="1"/>
  <c r="BE20" i="1" s="1"/>
  <c r="BF20" i="1" s="1"/>
  <c r="BG20" i="1" s="1"/>
  <c r="BH20" i="1" s="1"/>
  <c r="BI20" i="1" s="1"/>
  <c r="BJ20" i="1" s="1"/>
  <c r="BK20" i="1" s="1"/>
  <c r="BL20" i="1" s="1"/>
  <c r="BM20" i="1" s="1"/>
  <c r="BN20" i="1" s="1"/>
  <c r="BO20" i="1" s="1"/>
  <c r="BP20" i="1" s="1"/>
  <c r="BQ20" i="1" s="1"/>
  <c r="BR20" i="1" s="1"/>
  <c r="BS20" i="1" s="1"/>
  <c r="BT20" i="1" s="1"/>
  <c r="BU20" i="1" s="1"/>
  <c r="BV20" i="1" s="1"/>
  <c r="BW20" i="1" s="1"/>
  <c r="BX20" i="1" s="1"/>
  <c r="BY20" i="1" s="1"/>
  <c r="BZ20" i="1" s="1"/>
  <c r="CA20" i="1" s="1"/>
  <c r="CB20" i="1" s="1"/>
  <c r="CC20" i="1" s="1"/>
  <c r="CD20" i="1" s="1"/>
  <c r="CE20" i="1" s="1"/>
  <c r="CF20" i="1" s="1"/>
  <c r="CG20" i="1" s="1"/>
  <c r="CH20" i="1" s="1"/>
  <c r="CI20" i="1" s="1"/>
  <c r="CJ20" i="1" s="1"/>
  <c r="CK20" i="1" s="1"/>
  <c r="CL20" i="1" s="1"/>
  <c r="CM20" i="1" s="1"/>
  <c r="CN20" i="1" s="1"/>
  <c r="CO20" i="1" s="1"/>
  <c r="CP20" i="1" s="1"/>
  <c r="CQ20" i="1" s="1"/>
  <c r="CR20" i="1" s="1"/>
  <c r="CS20" i="1" s="1"/>
  <c r="CT20" i="1" s="1"/>
  <c r="CU20" i="1" s="1"/>
  <c r="CV20" i="1" s="1"/>
  <c r="CW20" i="1" s="1"/>
  <c r="CX20" i="1" s="1"/>
  <c r="CY20" i="1" s="1"/>
  <c r="CZ20" i="1" s="1"/>
  <c r="DA20" i="1" s="1"/>
  <c r="DB20" i="1" s="1"/>
  <c r="DC20" i="1" s="1"/>
  <c r="DD20" i="1" s="1"/>
  <c r="DE20" i="1" s="1"/>
  <c r="T26" i="1" s="1"/>
  <c r="T28" i="1" s="1"/>
  <c r="T29" i="1" s="1"/>
  <c r="T31" i="1" s="1"/>
  <c r="Q21" i="1"/>
  <c r="P26" i="1"/>
  <c r="P21" i="1"/>
</calcChain>
</file>

<file path=xl/sharedStrings.xml><?xml version="1.0" encoding="utf-8"?>
<sst xmlns="http://schemas.openxmlformats.org/spreadsheetml/2006/main" count="44" uniqueCount="41">
  <si>
    <t>Pro Services</t>
  </si>
  <si>
    <t>Subscription</t>
  </si>
  <si>
    <t>Total Revenues</t>
  </si>
  <si>
    <t>Cost of Subs</t>
  </si>
  <si>
    <t>Cost of Pro</t>
  </si>
  <si>
    <t>COGS</t>
  </si>
  <si>
    <t>Gross Profit</t>
  </si>
  <si>
    <t>S&amp;M</t>
  </si>
  <si>
    <t>R&amp;D</t>
  </si>
  <si>
    <t>G&amp;A</t>
  </si>
  <si>
    <t>Operating Income</t>
  </si>
  <si>
    <t>Interest Income</t>
  </si>
  <si>
    <t>other expenses</t>
  </si>
  <si>
    <t>Pretax</t>
  </si>
  <si>
    <t>Taxes</t>
  </si>
  <si>
    <t>Net Income</t>
  </si>
  <si>
    <t>Gross Margin</t>
  </si>
  <si>
    <t>Operating Margin</t>
  </si>
  <si>
    <t>Net Margin</t>
  </si>
  <si>
    <t>CFFO</t>
  </si>
  <si>
    <t>CapEx</t>
  </si>
  <si>
    <t>FCF</t>
  </si>
  <si>
    <t>SBC</t>
  </si>
  <si>
    <t>Adj. FCF</t>
  </si>
  <si>
    <t>Cash</t>
  </si>
  <si>
    <t>Investments</t>
  </si>
  <si>
    <t>PP&amp;E</t>
  </si>
  <si>
    <t>Debt</t>
  </si>
  <si>
    <t>Equity</t>
  </si>
  <si>
    <t>EPS</t>
  </si>
  <si>
    <t>Shares</t>
  </si>
  <si>
    <t>Revenue Y/Y (Subs)</t>
  </si>
  <si>
    <t>Discount</t>
  </si>
  <si>
    <t>Terminal</t>
  </si>
  <si>
    <t>NPV</t>
  </si>
  <si>
    <t>Net Cash</t>
  </si>
  <si>
    <t>Value</t>
  </si>
  <si>
    <t>Current</t>
  </si>
  <si>
    <t>Price</t>
  </si>
  <si>
    <t>Q3 25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</si>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</sst>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3" fontId="2" fillId="0" borderId="0" xfId="0" applyNumberFormat="1" applyFont="1"/>
    <xf numFmtId="9" fontId="0" fillId="0" borderId="0" xfId="1" applyFont="1"/>
    <xf numFmtId="4" fontId="0" fillId="0" borderId="0" xfId="0" applyNumberForma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39414</xdr:colOff>
      <xdr:row>4</xdr:row>
      <xdr:rowOff>13138</xdr:rowOff>
    </xdr:from>
    <xdr:to>
      <xdr:col>6</xdr:col>
      <xdr:colOff>59121</xdr:colOff>
      <xdr:row>37</xdr:row>
      <xdr:rowOff>32845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17D6EAC-0A69-7618-BA08-ECA0D676C2D5}"/>
            </a:ext>
          </a:extLst>
        </xdr:cNvPr>
        <xdr:cNvCxnSpPr/>
      </xdr:nvCxnSpPr>
      <xdr:spPr>
        <a:xfrm>
          <a:off x="3810000" y="775138"/>
          <a:ext cx="19707" cy="4972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D85B6-DD81-4325-8D91-8BEEDE95E36D}">
  <dimension ref="B2:DE190"/>
  <sheetViews>
    <sheetView tabSelected="1" zoomScale="145" zoomScaleNormal="145" workbookViewId="0">
      <pane xSplit="2" ySplit="2" topLeftCell="D18" activePane="bottomRight" state="frozen"/>
      <selection pane="topRight" activeCell="C1" sqref="C1"/>
      <selection pane="bottomLeft" activeCell="A3" sqref="A3"/>
      <selection pane="bottomRight" activeCell="T33" sqref="T33"/>
    </sheetView>
  </sheetViews>
  <sheetFormatPr defaultRowHeight="15" x14ac:dyDescent="0.25"/>
  <cols>
    <col min="1" max="1" width="2.85546875" customWidth="1"/>
    <col min="2" max="2" width="17" bestFit="1" customWidth="1"/>
  </cols>
  <sheetData>
    <row r="2" spans="2:17" x14ac:dyDescent="0.25">
      <c r="D2">
        <v>2022</v>
      </c>
      <c r="E2">
        <f>+D2+1</f>
        <v>2023</v>
      </c>
      <c r="F2">
        <f>+E2+1</f>
        <v>2024</v>
      </c>
      <c r="G2">
        <f>+F2+1</f>
        <v>2025</v>
      </c>
      <c r="H2">
        <f t="shared" ref="H2:Q2" si="0">+G2+1</f>
        <v>2026</v>
      </c>
      <c r="I2">
        <f t="shared" si="0"/>
        <v>2027</v>
      </c>
      <c r="J2">
        <f t="shared" si="0"/>
        <v>2028</v>
      </c>
      <c r="K2">
        <f t="shared" si="0"/>
        <v>2029</v>
      </c>
      <c r="L2">
        <f t="shared" si="0"/>
        <v>2030</v>
      </c>
      <c r="M2">
        <f t="shared" si="0"/>
        <v>2031</v>
      </c>
      <c r="N2">
        <f t="shared" si="0"/>
        <v>2032</v>
      </c>
      <c r="O2">
        <f t="shared" si="0"/>
        <v>2033</v>
      </c>
      <c r="P2">
        <f t="shared" si="0"/>
        <v>2034</v>
      </c>
      <c r="Q2">
        <f t="shared" si="0"/>
        <v>2035</v>
      </c>
    </row>
    <row r="3" spans="2:17" s="1" customFormat="1" x14ac:dyDescent="0.25"/>
    <row r="4" spans="2:17" s="1" customFormat="1" x14ac:dyDescent="0.25">
      <c r="D4" s="5"/>
      <c r="E4" s="5"/>
      <c r="F4" s="5"/>
      <c r="G4" s="5"/>
    </row>
    <row r="5" spans="2:17" s="1" customFormat="1" x14ac:dyDescent="0.25">
      <c r="B5" s="1" t="s">
        <v>1</v>
      </c>
      <c r="D5" s="1">
        <v>6891</v>
      </c>
      <c r="E5" s="1">
        <v>8680</v>
      </c>
      <c r="F5" s="1">
        <v>10646</v>
      </c>
      <c r="G5" s="1">
        <f>9417*1.33</f>
        <v>12524.61</v>
      </c>
      <c r="H5" s="1">
        <f>+G5*1.18</f>
        <v>14779.0398</v>
      </c>
      <c r="I5" s="1">
        <f>+H5*1.2</f>
        <v>17734.847760000001</v>
      </c>
      <c r="J5" s="1">
        <f>+I5*1.15</f>
        <v>20395.074924</v>
      </c>
      <c r="K5" s="1">
        <f>+J5*1.15</f>
        <v>23454.336162600001</v>
      </c>
      <c r="L5" s="1">
        <f t="shared" ref="L5:Q5" si="1">+K5*1.15</f>
        <v>26972.486586989999</v>
      </c>
      <c r="M5" s="1">
        <f t="shared" si="1"/>
        <v>31018.359575038496</v>
      </c>
      <c r="N5" s="1">
        <f t="shared" si="1"/>
        <v>35671.113511294265</v>
      </c>
      <c r="O5" s="1">
        <f t="shared" si="1"/>
        <v>41021.780537988401</v>
      </c>
      <c r="P5" s="1">
        <f t="shared" si="1"/>
        <v>47175.047618686658</v>
      </c>
      <c r="Q5" s="1">
        <f t="shared" si="1"/>
        <v>54251.30476148965</v>
      </c>
    </row>
    <row r="6" spans="2:17" s="1" customFormat="1" x14ac:dyDescent="0.25">
      <c r="B6" s="1" t="s">
        <v>0</v>
      </c>
      <c r="D6" s="1">
        <v>354</v>
      </c>
      <c r="E6" s="1">
        <v>291</v>
      </c>
      <c r="F6" s="1">
        <v>338</v>
      </c>
      <c r="G6" s="1">
        <f>293*1.33</f>
        <v>389.69</v>
      </c>
      <c r="H6" s="1">
        <f>+H5*0.03</f>
        <v>443.371194</v>
      </c>
      <c r="I6" s="1">
        <f t="shared" ref="I6:Q6" si="2">+I5*0.03</f>
        <v>532.04543279999996</v>
      </c>
      <c r="J6" s="1">
        <f t="shared" si="2"/>
        <v>611.85224772000004</v>
      </c>
      <c r="K6" s="1">
        <f t="shared" si="2"/>
        <v>703.63008487799993</v>
      </c>
      <c r="L6" s="1">
        <f t="shared" si="2"/>
        <v>809.17459760969996</v>
      </c>
      <c r="M6" s="1">
        <f t="shared" si="2"/>
        <v>930.55078725115482</v>
      </c>
      <c r="N6" s="1">
        <f t="shared" si="2"/>
        <v>1070.133405338828</v>
      </c>
      <c r="O6" s="1">
        <f t="shared" si="2"/>
        <v>1230.6534161396519</v>
      </c>
      <c r="P6" s="1">
        <f t="shared" si="2"/>
        <v>1415.2514285605996</v>
      </c>
      <c r="Q6" s="1">
        <f t="shared" si="2"/>
        <v>1627.5391428446894</v>
      </c>
    </row>
    <row r="7" spans="2:17" s="2" customFormat="1" x14ac:dyDescent="0.25">
      <c r="B7" s="2" t="s">
        <v>2</v>
      </c>
      <c r="D7" s="2">
        <f>+SUM(D5:D6)</f>
        <v>7245</v>
      </c>
      <c r="E7" s="2">
        <f t="shared" ref="E7:G7" si="3">+SUM(E5:E6)</f>
        <v>8971</v>
      </c>
      <c r="F7" s="2">
        <f t="shared" si="3"/>
        <v>10984</v>
      </c>
      <c r="G7" s="2">
        <f t="shared" si="3"/>
        <v>12914.300000000001</v>
      </c>
      <c r="H7" s="2">
        <f t="shared" ref="H7" si="4">+SUM(H5:H6)</f>
        <v>15222.410994</v>
      </c>
      <c r="I7" s="2">
        <f t="shared" ref="I7" si="5">+SUM(I5:I6)</f>
        <v>18266.893192800002</v>
      </c>
      <c r="J7" s="2">
        <f t="shared" ref="J7" si="6">+SUM(J5:J6)</f>
        <v>21006.927171719999</v>
      </c>
      <c r="K7" s="2">
        <f t="shared" ref="K7" si="7">+SUM(K5:K6)</f>
        <v>24157.966247478002</v>
      </c>
      <c r="L7" s="2">
        <f t="shared" ref="L7" si="8">+SUM(L5:L6)</f>
        <v>27781.661184599699</v>
      </c>
      <c r="M7" s="2">
        <f t="shared" ref="M7" si="9">+SUM(M5:M6)</f>
        <v>31948.910362289651</v>
      </c>
      <c r="N7" s="2">
        <f t="shared" ref="N7" si="10">+SUM(N5:N6)</f>
        <v>36741.246916633092</v>
      </c>
      <c r="O7" s="2">
        <f t="shared" ref="O7" si="11">+SUM(O5:O6)</f>
        <v>42252.43395412805</v>
      </c>
      <c r="P7" s="2">
        <f t="shared" ref="P7" si="12">+SUM(P5:P6)</f>
        <v>48590.299047247259</v>
      </c>
      <c r="Q7" s="2">
        <f t="shared" ref="Q7" si="13">+SUM(Q5:Q6)</f>
        <v>55878.843904334339</v>
      </c>
    </row>
    <row r="8" spans="2:17" s="1" customFormat="1" x14ac:dyDescent="0.25">
      <c r="B8" s="1" t="s">
        <v>3</v>
      </c>
      <c r="D8" s="1">
        <v>1187</v>
      </c>
      <c r="E8" s="1">
        <v>1606</v>
      </c>
      <c r="F8" s="1">
        <v>1942</v>
      </c>
      <c r="G8" s="1">
        <f>1852*1.33</f>
        <v>2463.1600000000003</v>
      </c>
      <c r="H8" s="1">
        <f>+H5*0.2</f>
        <v>2955.8079600000001</v>
      </c>
      <c r="I8" s="1">
        <f t="shared" ref="I8:Q8" si="14">+I5*0.2</f>
        <v>3546.9695520000005</v>
      </c>
      <c r="J8" s="1">
        <f t="shared" si="14"/>
        <v>4079.0149848000001</v>
      </c>
      <c r="K8" s="1">
        <f t="shared" si="14"/>
        <v>4690.8672325200005</v>
      </c>
      <c r="L8" s="1">
        <f t="shared" si="14"/>
        <v>5394.4973173979997</v>
      </c>
      <c r="M8" s="1">
        <f t="shared" si="14"/>
        <v>6203.6719150076997</v>
      </c>
      <c r="N8" s="1">
        <f t="shared" si="14"/>
        <v>7134.2227022588531</v>
      </c>
      <c r="O8" s="1">
        <f t="shared" si="14"/>
        <v>8204.3561075976813</v>
      </c>
      <c r="P8" s="1">
        <f t="shared" si="14"/>
        <v>9435.0095237373316</v>
      </c>
      <c r="Q8" s="1">
        <f t="shared" si="14"/>
        <v>10850.260952297931</v>
      </c>
    </row>
    <row r="9" spans="2:17" s="1" customFormat="1" x14ac:dyDescent="0.25">
      <c r="B9" s="1" t="s">
        <v>4</v>
      </c>
      <c r="D9" s="1">
        <v>386</v>
      </c>
      <c r="E9" s="1">
        <v>315</v>
      </c>
      <c r="F9" s="1">
        <v>345</v>
      </c>
      <c r="G9" s="1">
        <f>297*1.33</f>
        <v>395.01000000000005</v>
      </c>
      <c r="H9" s="1">
        <f>+H6*1.02</f>
        <v>452.23861787999999</v>
      </c>
      <c r="I9" s="1">
        <f t="shared" ref="I9:Q9" si="15">+I6*1.02</f>
        <v>542.68634145599992</v>
      </c>
      <c r="J9" s="1">
        <f t="shared" si="15"/>
        <v>624.0892926744001</v>
      </c>
      <c r="K9" s="1">
        <f t="shared" si="15"/>
        <v>717.70268657555994</v>
      </c>
      <c r="L9" s="1">
        <f t="shared" si="15"/>
        <v>825.35808956189396</v>
      </c>
      <c r="M9" s="1">
        <f t="shared" si="15"/>
        <v>949.16180299617793</v>
      </c>
      <c r="N9" s="1">
        <f t="shared" si="15"/>
        <v>1091.5360734456046</v>
      </c>
      <c r="O9" s="1">
        <f t="shared" si="15"/>
        <v>1255.2664844624449</v>
      </c>
      <c r="P9" s="1">
        <f t="shared" si="15"/>
        <v>1443.5564571318116</v>
      </c>
      <c r="Q9" s="1">
        <f t="shared" si="15"/>
        <v>1660.0899257015833</v>
      </c>
    </row>
    <row r="10" spans="2:17" s="1" customFormat="1" x14ac:dyDescent="0.25">
      <c r="B10" s="1" t="s">
        <v>5</v>
      </c>
      <c r="D10" s="1">
        <f>+SUM(D8:D9)</f>
        <v>1573</v>
      </c>
      <c r="E10" s="1">
        <f t="shared" ref="E10:H10" si="16">+SUM(E8:E9)</f>
        <v>1921</v>
      </c>
      <c r="F10" s="1">
        <f t="shared" si="16"/>
        <v>2287</v>
      </c>
      <c r="G10" s="1">
        <f t="shared" si="16"/>
        <v>2858.1700000000005</v>
      </c>
      <c r="H10" s="1">
        <f t="shared" si="16"/>
        <v>3408.0465778799999</v>
      </c>
      <c r="I10" s="1">
        <f t="shared" ref="I10" si="17">+SUM(I8:I9)</f>
        <v>4089.6558934560003</v>
      </c>
      <c r="J10" s="1">
        <f t="shared" ref="J10" si="18">+SUM(J8:J9)</f>
        <v>4703.1042774744001</v>
      </c>
      <c r="K10" s="1">
        <f t="shared" ref="K10" si="19">+SUM(K8:K9)</f>
        <v>5408.5699190955602</v>
      </c>
      <c r="L10" s="1">
        <f t="shared" ref="L10" si="20">+SUM(L8:L9)</f>
        <v>6219.855406959894</v>
      </c>
      <c r="M10" s="1">
        <f t="shared" ref="M10" si="21">+SUM(M8:M9)</f>
        <v>7152.8337180038779</v>
      </c>
      <c r="N10" s="1">
        <f t="shared" ref="N10" si="22">+SUM(N8:N9)</f>
        <v>8225.7587757044585</v>
      </c>
      <c r="O10" s="1">
        <f t="shared" ref="O10" si="23">+SUM(O8:O9)</f>
        <v>9459.6225920601264</v>
      </c>
      <c r="P10" s="1">
        <f t="shared" ref="P10" si="24">+SUM(P8:P9)</f>
        <v>10878.565980869143</v>
      </c>
      <c r="Q10" s="1">
        <f t="shared" ref="Q10" si="25">+SUM(Q8:Q9)</f>
        <v>12510.350877999514</v>
      </c>
    </row>
    <row r="11" spans="2:17" s="1" customFormat="1" x14ac:dyDescent="0.25">
      <c r="B11" s="1" t="s">
        <v>6</v>
      </c>
      <c r="D11" s="1">
        <f>+D7-D10</f>
        <v>5672</v>
      </c>
      <c r="E11" s="1">
        <f t="shared" ref="E11:H11" si="26">+E7-E10</f>
        <v>7050</v>
      </c>
      <c r="F11" s="1">
        <f t="shared" si="26"/>
        <v>8697</v>
      </c>
      <c r="G11" s="1">
        <f t="shared" si="26"/>
        <v>10056.130000000001</v>
      </c>
      <c r="H11" s="1">
        <f t="shared" si="26"/>
        <v>11814.364416119999</v>
      </c>
      <c r="I11" s="1">
        <f t="shared" ref="I11" si="27">+I7-I10</f>
        <v>14177.237299344002</v>
      </c>
      <c r="J11" s="1">
        <f t="shared" ref="J11" si="28">+J7-J10</f>
        <v>16303.822894245599</v>
      </c>
      <c r="K11" s="1">
        <f t="shared" ref="K11" si="29">+K7-K10</f>
        <v>18749.396328382441</v>
      </c>
      <c r="L11" s="1">
        <f t="shared" ref="L11" si="30">+L7-L10</f>
        <v>21561.805777639805</v>
      </c>
      <c r="M11" s="1">
        <f t="shared" ref="M11" si="31">+M7-M10</f>
        <v>24796.076644285771</v>
      </c>
      <c r="N11" s="1">
        <f t="shared" ref="N11" si="32">+N7-N10</f>
        <v>28515.488140928632</v>
      </c>
      <c r="O11" s="1">
        <f t="shared" ref="O11" si="33">+O7-O10</f>
        <v>32792.811362067921</v>
      </c>
      <c r="P11" s="1">
        <f t="shared" ref="P11" si="34">+P7-P10</f>
        <v>37711.733066378118</v>
      </c>
      <c r="Q11" s="1">
        <f t="shared" ref="Q11" si="35">+Q7-Q10</f>
        <v>43368.493026334821</v>
      </c>
    </row>
    <row r="12" spans="2:17" s="1" customFormat="1" x14ac:dyDescent="0.25">
      <c r="B12" s="1" t="s">
        <v>7</v>
      </c>
      <c r="D12" s="1">
        <v>2814</v>
      </c>
      <c r="E12" s="1">
        <v>3301</v>
      </c>
      <c r="F12" s="1">
        <v>3854</v>
      </c>
      <c r="G12" s="1">
        <f>3238*1.33</f>
        <v>4306.54</v>
      </c>
      <c r="H12" s="1">
        <f>+G12*(1+H28/2)</f>
        <v>4694.1285999999991</v>
      </c>
      <c r="I12" s="1">
        <f t="shared" ref="I12:M12" si="36">+H12*(1+I28/2)</f>
        <v>5163.5414599999995</v>
      </c>
      <c r="J12" s="1">
        <f t="shared" si="36"/>
        <v>5550.8070694999988</v>
      </c>
      <c r="K12" s="1">
        <f t="shared" si="36"/>
        <v>5967.1175997124983</v>
      </c>
      <c r="L12" s="1">
        <f t="shared" si="36"/>
        <v>6414.6514196909357</v>
      </c>
      <c r="M12" s="1">
        <f t="shared" si="36"/>
        <v>6895.7502761677551</v>
      </c>
      <c r="N12" s="1">
        <f>+N7*0.2</f>
        <v>7348.249383326619</v>
      </c>
      <c r="O12" s="1">
        <f t="shared" ref="O12:Q12" si="37">+O7*0.2</f>
        <v>8450.486790825611</v>
      </c>
      <c r="P12" s="1">
        <f t="shared" si="37"/>
        <v>9718.0598094494526</v>
      </c>
      <c r="Q12" s="1">
        <f t="shared" si="37"/>
        <v>11175.768780866869</v>
      </c>
    </row>
    <row r="13" spans="2:17" s="1" customFormat="1" x14ac:dyDescent="0.25">
      <c r="B13" s="1" t="s">
        <v>8</v>
      </c>
      <c r="D13" s="1">
        <v>1768</v>
      </c>
      <c r="E13" s="1">
        <v>2124</v>
      </c>
      <c r="F13" s="1">
        <v>2543</v>
      </c>
      <c r="G13" s="1">
        <f>2187*1.33</f>
        <v>2908.71</v>
      </c>
      <c r="H13" s="1">
        <f>+G13*(1+H28/2)</f>
        <v>3170.4938999999995</v>
      </c>
      <c r="I13" s="1">
        <f t="shared" ref="I13:M13" si="38">+H13*(1+I28/2)</f>
        <v>3487.5432899999996</v>
      </c>
      <c r="J13" s="1">
        <f t="shared" si="38"/>
        <v>3749.1090367499996</v>
      </c>
      <c r="K13" s="1">
        <f t="shared" si="38"/>
        <v>4030.2922145062494</v>
      </c>
      <c r="L13" s="1">
        <f t="shared" si="38"/>
        <v>4332.5641305942181</v>
      </c>
      <c r="M13" s="1">
        <f t="shared" si="38"/>
        <v>4657.5064403887845</v>
      </c>
      <c r="N13" s="1">
        <f>+N7*0.15</f>
        <v>5511.187037494964</v>
      </c>
      <c r="O13" s="1">
        <f t="shared" ref="O13:Q13" si="39">+O7*0.15</f>
        <v>6337.8650931192069</v>
      </c>
      <c r="P13" s="1">
        <f t="shared" si="39"/>
        <v>7288.5448570870885</v>
      </c>
      <c r="Q13" s="1">
        <f t="shared" si="39"/>
        <v>8381.8265856501512</v>
      </c>
    </row>
    <row r="14" spans="2:17" s="1" customFormat="1" x14ac:dyDescent="0.25">
      <c r="B14" s="1" t="s">
        <v>9</v>
      </c>
      <c r="D14" s="1">
        <v>735</v>
      </c>
      <c r="E14" s="1">
        <v>863</v>
      </c>
      <c r="F14" s="1">
        <v>936</v>
      </c>
      <c r="G14" s="1">
        <f>755*1.33</f>
        <v>1004.1500000000001</v>
      </c>
      <c r="H14" s="1">
        <f>+H7*0.08</f>
        <v>1217.79287952</v>
      </c>
      <c r="I14" s="1">
        <f t="shared" ref="I14:Q14" si="40">+I7*0.08</f>
        <v>1461.3514554240003</v>
      </c>
      <c r="J14" s="1">
        <f t="shared" si="40"/>
        <v>1680.5541737376</v>
      </c>
      <c r="K14" s="1">
        <f t="shared" si="40"/>
        <v>1932.6372997982401</v>
      </c>
      <c r="L14" s="1">
        <f t="shared" si="40"/>
        <v>2222.5328947679759</v>
      </c>
      <c r="M14" s="1">
        <f t="shared" si="40"/>
        <v>2555.9128289831719</v>
      </c>
      <c r="N14" s="1">
        <f t="shared" si="40"/>
        <v>2939.2997533306475</v>
      </c>
      <c r="O14" s="1">
        <f t="shared" si="40"/>
        <v>3380.1947163302439</v>
      </c>
      <c r="P14" s="1">
        <f t="shared" si="40"/>
        <v>3887.2239237797808</v>
      </c>
      <c r="Q14" s="1">
        <f t="shared" si="40"/>
        <v>4470.307512346747</v>
      </c>
    </row>
    <row r="15" spans="2:17" s="2" customFormat="1" x14ac:dyDescent="0.25">
      <c r="B15" s="2" t="s">
        <v>10</v>
      </c>
      <c r="D15" s="2">
        <f>+D11-SUM(D12:D14)</f>
        <v>355</v>
      </c>
      <c r="E15" s="2">
        <f t="shared" ref="E15:H15" si="41">+E11-SUM(E12:E14)</f>
        <v>762</v>
      </c>
      <c r="F15" s="2">
        <f t="shared" si="41"/>
        <v>1364</v>
      </c>
      <c r="G15" s="2">
        <f t="shared" si="41"/>
        <v>1836.7300000000014</v>
      </c>
      <c r="H15" s="2">
        <f t="shared" si="41"/>
        <v>2731.9490366000009</v>
      </c>
      <c r="I15" s="2">
        <f t="shared" ref="I15" si="42">+I11-SUM(I12:I14)</f>
        <v>4064.801093920003</v>
      </c>
      <c r="J15" s="2">
        <f t="shared" ref="J15" si="43">+J11-SUM(J12:J14)</f>
        <v>5323.3526142579994</v>
      </c>
      <c r="K15" s="2">
        <f t="shared" ref="K15" si="44">+K11-SUM(K12:K14)</f>
        <v>6819.3492143654548</v>
      </c>
      <c r="L15" s="2">
        <f t="shared" ref="L15" si="45">+L11-SUM(L12:L14)</f>
        <v>8592.0573325866771</v>
      </c>
      <c r="M15" s="2">
        <f t="shared" ref="M15" si="46">+M11-SUM(M12:M14)</f>
        <v>10686.90709874606</v>
      </c>
      <c r="N15" s="2">
        <f t="shared" ref="N15" si="47">+N11-SUM(N12:N14)</f>
        <v>12716.751966776401</v>
      </c>
      <c r="O15" s="2">
        <f t="shared" ref="O15" si="48">+O11-SUM(O12:O14)</f>
        <v>14624.26476179286</v>
      </c>
      <c r="P15" s="2">
        <f t="shared" ref="P15" si="49">+P11-SUM(P12:P14)</f>
        <v>16817.904476061794</v>
      </c>
      <c r="Q15" s="2">
        <f t="shared" ref="Q15" si="50">+Q11-SUM(Q12:Q14)</f>
        <v>19340.590147471055</v>
      </c>
    </row>
    <row r="16" spans="2:17" s="1" customFormat="1" x14ac:dyDescent="0.25">
      <c r="B16" s="1" t="s">
        <v>11</v>
      </c>
      <c r="D16" s="1">
        <v>82</v>
      </c>
      <c r="E16" s="1">
        <v>302</v>
      </c>
      <c r="F16" s="1">
        <v>419</v>
      </c>
    </row>
    <row r="17" spans="2:109" s="1" customFormat="1" x14ac:dyDescent="0.25">
      <c r="B17" s="1" t="s">
        <v>12</v>
      </c>
      <c r="D17" s="1">
        <v>38</v>
      </c>
      <c r="E17" s="1">
        <v>56</v>
      </c>
      <c r="F17" s="1">
        <v>45</v>
      </c>
      <c r="G17" s="1">
        <v>50</v>
      </c>
      <c r="H17" s="1">
        <v>50</v>
      </c>
      <c r="I17" s="1">
        <v>50</v>
      </c>
      <c r="J17" s="1">
        <v>50</v>
      </c>
      <c r="K17" s="1">
        <v>50</v>
      </c>
      <c r="L17" s="1">
        <v>50</v>
      </c>
      <c r="M17" s="1">
        <v>50</v>
      </c>
      <c r="N17" s="1">
        <v>50</v>
      </c>
      <c r="O17" s="1">
        <v>50</v>
      </c>
      <c r="P17" s="1">
        <v>50</v>
      </c>
      <c r="Q17" s="1">
        <v>50</v>
      </c>
    </row>
    <row r="18" spans="2:109" s="1" customFormat="1" x14ac:dyDescent="0.25">
      <c r="B18" s="1" t="s">
        <v>13</v>
      </c>
      <c r="D18" s="1">
        <f>+D15+D16-D17</f>
        <v>399</v>
      </c>
      <c r="E18" s="1">
        <f t="shared" ref="E18:H18" si="51">+E15+E16-E17</f>
        <v>1008</v>
      </c>
      <c r="F18" s="1">
        <f t="shared" si="51"/>
        <v>1738</v>
      </c>
      <c r="G18" s="1">
        <f t="shared" si="51"/>
        <v>1786.7300000000014</v>
      </c>
      <c r="H18" s="1">
        <f t="shared" si="51"/>
        <v>2681.9490366000009</v>
      </c>
      <c r="I18" s="1">
        <f t="shared" ref="I18" si="52">+I15+I16-I17</f>
        <v>4014.801093920003</v>
      </c>
      <c r="J18" s="1">
        <f t="shared" ref="J18" si="53">+J15+J16-J17</f>
        <v>5273.3526142579994</v>
      </c>
      <c r="K18" s="1">
        <f t="shared" ref="K18" si="54">+K15+K16-K17</f>
        <v>6769.3492143654548</v>
      </c>
      <c r="L18" s="1">
        <f t="shared" ref="L18" si="55">+L15+L16-L17</f>
        <v>8542.0573325866771</v>
      </c>
      <c r="M18" s="1">
        <f t="shared" ref="M18" si="56">+M15+M16-M17</f>
        <v>10636.90709874606</v>
      </c>
      <c r="N18" s="1">
        <f t="shared" ref="N18" si="57">+N15+N16-N17</f>
        <v>12666.751966776401</v>
      </c>
      <c r="O18" s="1">
        <f t="shared" ref="O18" si="58">+O15+O16-O17</f>
        <v>14574.26476179286</v>
      </c>
      <c r="P18" s="1">
        <f t="shared" ref="P18" si="59">+P15+P16-P17</f>
        <v>16767.904476061794</v>
      </c>
      <c r="Q18" s="1">
        <f t="shared" ref="Q18" si="60">+Q15+Q16-Q17</f>
        <v>19290.590147471055</v>
      </c>
    </row>
    <row r="19" spans="2:109" s="1" customFormat="1" x14ac:dyDescent="0.25">
      <c r="B19" s="1" t="s">
        <v>14</v>
      </c>
      <c r="D19" s="1">
        <v>74</v>
      </c>
      <c r="E19" s="1">
        <v>-723</v>
      </c>
      <c r="F19" s="1">
        <v>313</v>
      </c>
      <c r="G19" s="1">
        <f>373*1.33</f>
        <v>496.09000000000003</v>
      </c>
      <c r="H19" s="1">
        <f>+H18*0.225</f>
        <v>603.43853323500025</v>
      </c>
      <c r="I19" s="1">
        <f t="shared" ref="I19:Q19" si="61">+I18*0.225</f>
        <v>903.33024613200075</v>
      </c>
      <c r="J19" s="1">
        <f t="shared" si="61"/>
        <v>1186.5043382080498</v>
      </c>
      <c r="K19" s="1">
        <f t="shared" si="61"/>
        <v>1523.1035732322273</v>
      </c>
      <c r="L19" s="1">
        <f t="shared" si="61"/>
        <v>1921.9628998320024</v>
      </c>
      <c r="M19" s="1">
        <f t="shared" si="61"/>
        <v>2393.3040972178637</v>
      </c>
      <c r="N19" s="1">
        <f t="shared" si="61"/>
        <v>2850.0191925246904</v>
      </c>
      <c r="O19" s="1">
        <f t="shared" si="61"/>
        <v>3279.2095714033935</v>
      </c>
      <c r="P19" s="1">
        <f t="shared" si="61"/>
        <v>3772.7785071139037</v>
      </c>
      <c r="Q19" s="1">
        <f t="shared" si="61"/>
        <v>4340.3827831809876</v>
      </c>
    </row>
    <row r="20" spans="2:109" s="2" customFormat="1" x14ac:dyDescent="0.25">
      <c r="B20" s="2" t="s">
        <v>15</v>
      </c>
      <c r="D20" s="2">
        <f>+D18-D19</f>
        <v>325</v>
      </c>
      <c r="E20" s="2">
        <f t="shared" ref="E20:H20" si="62">+E18-E19</f>
        <v>1731</v>
      </c>
      <c r="F20" s="2">
        <f t="shared" si="62"/>
        <v>1425</v>
      </c>
      <c r="G20" s="2">
        <f t="shared" si="62"/>
        <v>1290.6400000000012</v>
      </c>
      <c r="H20" s="2">
        <f t="shared" si="62"/>
        <v>2078.5105033650007</v>
      </c>
      <c r="I20" s="2">
        <f t="shared" ref="I20" si="63">+I18-I19</f>
        <v>3111.4708477880022</v>
      </c>
      <c r="J20" s="2">
        <f t="shared" ref="J20" si="64">+J18-J19</f>
        <v>4086.8482760499496</v>
      </c>
      <c r="K20" s="2">
        <f t="shared" ref="K20" si="65">+K18-K19</f>
        <v>5246.2456411332278</v>
      </c>
      <c r="L20" s="2">
        <f t="shared" ref="L20" si="66">+L18-L19</f>
        <v>6620.0944327546749</v>
      </c>
      <c r="M20" s="2">
        <f t="shared" ref="M20" si="67">+M18-M19</f>
        <v>8243.6030015281958</v>
      </c>
      <c r="N20" s="2">
        <f t="shared" ref="N20" si="68">+N18-N19</f>
        <v>9816.73277425171</v>
      </c>
      <c r="O20" s="2">
        <f t="shared" ref="O20" si="69">+O18-O19</f>
        <v>11295.055190389467</v>
      </c>
      <c r="P20" s="2">
        <f t="shared" ref="P20" si="70">+P18-P19</f>
        <v>12995.12596894789</v>
      </c>
      <c r="Q20" s="2">
        <f t="shared" ref="Q20" si="71">+Q18-Q19</f>
        <v>14950.207364290069</v>
      </c>
      <c r="R20" s="2">
        <f>+Q20*(1+$T25)</f>
        <v>15398.713585218771</v>
      </c>
      <c r="S20" s="2">
        <f t="shared" ref="S20:CD20" si="72">+R20*(1+$T25)</f>
        <v>15860.674992775335</v>
      </c>
      <c r="T20" s="2">
        <f t="shared" si="72"/>
        <v>16336.495242558596</v>
      </c>
      <c r="U20" s="2">
        <f t="shared" si="72"/>
        <v>16826.590099835354</v>
      </c>
      <c r="V20" s="2">
        <f t="shared" si="72"/>
        <v>17331.387802830413</v>
      </c>
      <c r="W20" s="2">
        <f t="shared" si="72"/>
        <v>17851.329436915326</v>
      </c>
      <c r="X20" s="2">
        <f t="shared" si="72"/>
        <v>18386.869320022786</v>
      </c>
      <c r="Y20" s="2">
        <f t="shared" si="72"/>
        <v>18938.475399623469</v>
      </c>
      <c r="Z20" s="2">
        <f t="shared" si="72"/>
        <v>19506.629661612173</v>
      </c>
      <c r="AA20" s="2">
        <f t="shared" si="72"/>
        <v>20091.828551460538</v>
      </c>
      <c r="AB20" s="2">
        <f t="shared" si="72"/>
        <v>20694.583408004353</v>
      </c>
      <c r="AC20" s="2">
        <f t="shared" si="72"/>
        <v>21315.420910244484</v>
      </c>
      <c r="AD20" s="2">
        <f t="shared" si="72"/>
        <v>21954.883537551817</v>
      </c>
      <c r="AE20" s="2">
        <f t="shared" si="72"/>
        <v>22613.530043678373</v>
      </c>
      <c r="AF20" s="2">
        <f t="shared" si="72"/>
        <v>23291.935944988723</v>
      </c>
      <c r="AG20" s="2">
        <f t="shared" si="72"/>
        <v>23990.694023338387</v>
      </c>
      <c r="AH20" s="2">
        <f t="shared" si="72"/>
        <v>24710.41484403854</v>
      </c>
      <c r="AI20" s="2">
        <f t="shared" si="72"/>
        <v>25451.727289359696</v>
      </c>
      <c r="AJ20" s="2">
        <f t="shared" si="72"/>
        <v>26215.27910804049</v>
      </c>
      <c r="AK20" s="2">
        <f t="shared" si="72"/>
        <v>27001.737481281703</v>
      </c>
      <c r="AL20" s="2">
        <f t="shared" si="72"/>
        <v>27811.789605720154</v>
      </c>
      <c r="AM20" s="2">
        <f t="shared" si="72"/>
        <v>28646.143293891761</v>
      </c>
      <c r="AN20" s="2">
        <f t="shared" si="72"/>
        <v>29505.527592708513</v>
      </c>
      <c r="AO20" s="2">
        <f t="shared" si="72"/>
        <v>30390.69342048977</v>
      </c>
      <c r="AP20" s="2">
        <f t="shared" si="72"/>
        <v>31302.414223104464</v>
      </c>
      <c r="AQ20" s="2">
        <f t="shared" si="72"/>
        <v>32241.4866497976</v>
      </c>
      <c r="AR20" s="2">
        <f t="shared" si="72"/>
        <v>33208.73124929153</v>
      </c>
      <c r="AS20" s="2">
        <f t="shared" si="72"/>
        <v>34204.993186770276</v>
      </c>
      <c r="AT20" s="2">
        <f t="shared" si="72"/>
        <v>35231.142982373385</v>
      </c>
      <c r="AU20" s="2">
        <f t="shared" si="72"/>
        <v>36288.077271844588</v>
      </c>
      <c r="AV20" s="2">
        <f t="shared" si="72"/>
        <v>37376.719589999928</v>
      </c>
      <c r="AW20" s="2">
        <f t="shared" si="72"/>
        <v>38498.021177699928</v>
      </c>
      <c r="AX20" s="2">
        <f t="shared" si="72"/>
        <v>39652.961813030925</v>
      </c>
      <c r="AY20" s="2">
        <f t="shared" si="72"/>
        <v>40842.550667421856</v>
      </c>
      <c r="AZ20" s="2">
        <f t="shared" si="72"/>
        <v>42067.827187444513</v>
      </c>
      <c r="BA20" s="2">
        <f t="shared" si="72"/>
        <v>43329.86200306785</v>
      </c>
      <c r="BB20" s="2">
        <f t="shared" si="72"/>
        <v>44629.757863159888</v>
      </c>
      <c r="BC20" s="2">
        <f t="shared" si="72"/>
        <v>45968.650599054687</v>
      </c>
      <c r="BD20" s="2">
        <f t="shared" si="72"/>
        <v>47347.710117026327</v>
      </c>
      <c r="BE20" s="2">
        <f t="shared" si="72"/>
        <v>48768.141420537118</v>
      </c>
      <c r="BF20" s="2">
        <f t="shared" si="72"/>
        <v>50231.185663153236</v>
      </c>
      <c r="BG20" s="2">
        <f t="shared" si="72"/>
        <v>51738.121233047837</v>
      </c>
      <c r="BH20" s="2">
        <f t="shared" si="72"/>
        <v>53290.264870039275</v>
      </c>
      <c r="BI20" s="2">
        <f t="shared" si="72"/>
        <v>54888.972816140456</v>
      </c>
      <c r="BJ20" s="2">
        <f t="shared" si="72"/>
        <v>56535.64200062467</v>
      </c>
      <c r="BK20" s="2">
        <f t="shared" si="72"/>
        <v>58231.711260643409</v>
      </c>
      <c r="BL20" s="2">
        <f t="shared" si="72"/>
        <v>59978.66259846271</v>
      </c>
      <c r="BM20" s="2">
        <f t="shared" si="72"/>
        <v>61778.022476416591</v>
      </c>
      <c r="BN20" s="2">
        <f t="shared" si="72"/>
        <v>63631.36315070909</v>
      </c>
      <c r="BO20" s="2">
        <f t="shared" si="72"/>
        <v>65540.304045230369</v>
      </c>
      <c r="BP20" s="2">
        <f t="shared" si="72"/>
        <v>67506.513166587276</v>
      </c>
      <c r="BQ20" s="2">
        <f t="shared" si="72"/>
        <v>69531.708561584892</v>
      </c>
      <c r="BR20" s="2">
        <f t="shared" si="72"/>
        <v>71617.659818432439</v>
      </c>
      <c r="BS20" s="2">
        <f t="shared" si="72"/>
        <v>73766.189612985414</v>
      </c>
      <c r="BT20" s="2">
        <f t="shared" si="72"/>
        <v>75979.175301374984</v>
      </c>
      <c r="BU20" s="2">
        <f t="shared" si="72"/>
        <v>78258.550560416232</v>
      </c>
      <c r="BV20" s="2">
        <f t="shared" si="72"/>
        <v>80606.307077228717</v>
      </c>
      <c r="BW20" s="2">
        <f t="shared" si="72"/>
        <v>83024.496289545583</v>
      </c>
      <c r="BX20" s="2">
        <f t="shared" si="72"/>
        <v>85515.231178231959</v>
      </c>
      <c r="BY20" s="2">
        <f t="shared" si="72"/>
        <v>88080.688113578915</v>
      </c>
      <c r="BZ20" s="2">
        <f t="shared" si="72"/>
        <v>90723.108756986287</v>
      </c>
      <c r="CA20" s="2">
        <f t="shared" si="72"/>
        <v>93444.802019695882</v>
      </c>
      <c r="CB20" s="2">
        <f t="shared" si="72"/>
        <v>96248.146080286766</v>
      </c>
      <c r="CC20" s="2">
        <f t="shared" si="72"/>
        <v>99135.590462695371</v>
      </c>
      <c r="CD20" s="2">
        <f t="shared" si="72"/>
        <v>102109.65817657624</v>
      </c>
      <c r="CE20" s="2">
        <f t="shared" ref="CE20:DE20" si="73">+CD20*(1+$T25)</f>
        <v>105172.94792187352</v>
      </c>
      <c r="CF20" s="2">
        <f t="shared" si="73"/>
        <v>108328.13635952973</v>
      </c>
      <c r="CG20" s="2">
        <f t="shared" si="73"/>
        <v>111577.98045031562</v>
      </c>
      <c r="CH20" s="2">
        <f t="shared" si="73"/>
        <v>114925.31986382509</v>
      </c>
      <c r="CI20" s="2">
        <f t="shared" si="73"/>
        <v>118373.07945973985</v>
      </c>
      <c r="CJ20" s="2">
        <f t="shared" si="73"/>
        <v>121924.27184353204</v>
      </c>
      <c r="CK20" s="2">
        <f t="shared" si="73"/>
        <v>125581.999998838</v>
      </c>
      <c r="CL20" s="2">
        <f t="shared" si="73"/>
        <v>129349.45999880314</v>
      </c>
      <c r="CM20" s="2">
        <f t="shared" si="73"/>
        <v>133229.94379876723</v>
      </c>
      <c r="CN20" s="2">
        <f t="shared" si="73"/>
        <v>137226.84211273026</v>
      </c>
      <c r="CO20" s="2">
        <f t="shared" si="73"/>
        <v>141343.64737611217</v>
      </c>
      <c r="CP20" s="2">
        <f t="shared" si="73"/>
        <v>145583.95679739554</v>
      </c>
      <c r="CQ20" s="2">
        <f t="shared" si="73"/>
        <v>149951.47550131741</v>
      </c>
      <c r="CR20" s="2">
        <f t="shared" si="73"/>
        <v>154450.01976635694</v>
      </c>
      <c r="CS20" s="2">
        <f t="shared" si="73"/>
        <v>159083.52035934766</v>
      </c>
      <c r="CT20" s="2">
        <f t="shared" si="73"/>
        <v>163856.0259701281</v>
      </c>
      <c r="CU20" s="2">
        <f t="shared" si="73"/>
        <v>168771.70674923196</v>
      </c>
      <c r="CV20" s="2">
        <f t="shared" si="73"/>
        <v>173834.85795170892</v>
      </c>
      <c r="CW20" s="2">
        <f t="shared" si="73"/>
        <v>179049.90369026019</v>
      </c>
      <c r="CX20" s="2">
        <f t="shared" si="73"/>
        <v>184421.400800968</v>
      </c>
      <c r="CY20" s="2">
        <f t="shared" si="73"/>
        <v>189954.04282499704</v>
      </c>
      <c r="CZ20" s="2">
        <f t="shared" si="73"/>
        <v>195652.66410974695</v>
      </c>
      <c r="DA20" s="2">
        <f t="shared" si="73"/>
        <v>201522.24403303937</v>
      </c>
      <c r="DB20" s="2">
        <f t="shared" si="73"/>
        <v>207567.91135403057</v>
      </c>
      <c r="DC20" s="2">
        <f t="shared" si="73"/>
        <v>213794.94869465148</v>
      </c>
      <c r="DD20" s="2">
        <f t="shared" si="73"/>
        <v>220208.79715549102</v>
      </c>
      <c r="DE20" s="2">
        <f t="shared" si="73"/>
        <v>226815.06107015576</v>
      </c>
    </row>
    <row r="21" spans="2:109" s="4" customFormat="1" x14ac:dyDescent="0.25">
      <c r="B21" s="4" t="s">
        <v>29</v>
      </c>
      <c r="D21" s="4">
        <f>+D20/D22</f>
        <v>1.5967769671063945</v>
      </c>
      <c r="E21" s="4">
        <f>+E20/E22</f>
        <v>1.6839258527853846</v>
      </c>
      <c r="F21" s="4">
        <f>+F20/F22</f>
        <v>1.3674114661049883</v>
      </c>
      <c r="G21" s="4">
        <f>+G20/G22</f>
        <v>1.2410000000000012</v>
      </c>
      <c r="H21" s="4">
        <f t="shared" ref="H21:Q21" si="74">+H20/H22</f>
        <v>1.9985677916971161</v>
      </c>
      <c r="I21" s="4">
        <f t="shared" si="74"/>
        <v>2.9917988921038483</v>
      </c>
      <c r="J21" s="4">
        <f t="shared" si="74"/>
        <v>3.9296618038941822</v>
      </c>
      <c r="K21" s="4">
        <f t="shared" si="74"/>
        <v>5.0444669626281033</v>
      </c>
      <c r="L21" s="4">
        <f t="shared" si="74"/>
        <v>6.3654754161102645</v>
      </c>
      <c r="M21" s="4">
        <f t="shared" si="74"/>
        <v>7.9265413476232656</v>
      </c>
      <c r="N21" s="4">
        <f t="shared" si="74"/>
        <v>9.4391661290881821</v>
      </c>
      <c r="O21" s="4">
        <f t="shared" si="74"/>
        <v>10.860629990759103</v>
      </c>
      <c r="P21" s="4">
        <f t="shared" si="74"/>
        <v>12.495313431680664</v>
      </c>
      <c r="Q21" s="4">
        <f t="shared" si="74"/>
        <v>14.37519938874045</v>
      </c>
    </row>
    <row r="22" spans="2:109" s="1" customFormat="1" x14ac:dyDescent="0.25">
      <c r="B22" s="1" t="s">
        <v>30</v>
      </c>
      <c r="D22" s="1">
        <v>203.535</v>
      </c>
      <c r="E22" s="1">
        <f>205.591*5</f>
        <v>1027.9549999999999</v>
      </c>
      <c r="F22" s="1">
        <f>208.423*5</f>
        <v>1042.115</v>
      </c>
      <c r="G22" s="1">
        <f>208*5</f>
        <v>1040</v>
      </c>
      <c r="H22" s="1">
        <f t="shared" ref="H22:Q22" si="75">208*5</f>
        <v>1040</v>
      </c>
      <c r="I22" s="1">
        <f t="shared" si="75"/>
        <v>1040</v>
      </c>
      <c r="J22" s="1">
        <f t="shared" si="75"/>
        <v>1040</v>
      </c>
      <c r="K22" s="1">
        <f t="shared" si="75"/>
        <v>1040</v>
      </c>
      <c r="L22" s="1">
        <f t="shared" si="75"/>
        <v>1040</v>
      </c>
      <c r="M22" s="1">
        <f t="shared" si="75"/>
        <v>1040</v>
      </c>
      <c r="N22" s="1">
        <f t="shared" si="75"/>
        <v>1040</v>
      </c>
      <c r="O22" s="1">
        <f t="shared" si="75"/>
        <v>1040</v>
      </c>
      <c r="P22" s="1">
        <f t="shared" si="75"/>
        <v>1040</v>
      </c>
      <c r="Q22" s="1">
        <f t="shared" si="75"/>
        <v>1040</v>
      </c>
    </row>
    <row r="23" spans="2:109" s="1" customFormat="1" x14ac:dyDescent="0.25">
      <c r="D23" s="5"/>
      <c r="E23" s="5"/>
      <c r="F23" s="5"/>
      <c r="G23" s="5"/>
      <c r="Q23" s="5"/>
    </row>
    <row r="24" spans="2:109" s="3" customFormat="1" x14ac:dyDescent="0.25">
      <c r="B24" s="3" t="s">
        <v>16</v>
      </c>
      <c r="D24" s="3">
        <f>+D11/D7</f>
        <v>0.78288474810213937</v>
      </c>
      <c r="E24" s="3">
        <f t="shared" ref="E24:H24" si="76">+E11/E7</f>
        <v>0.78586556682644071</v>
      </c>
      <c r="F24" s="3">
        <f t="shared" si="76"/>
        <v>0.79178805535324104</v>
      </c>
      <c r="G24" s="3">
        <f t="shared" si="76"/>
        <v>0.77868177136972194</v>
      </c>
      <c r="H24" s="3">
        <f t="shared" si="76"/>
        <v>0.77611650485436889</v>
      </c>
      <c r="I24" s="3">
        <f t="shared" ref="I24:Q24" si="77">+I11/I7</f>
        <v>0.776116504854369</v>
      </c>
      <c r="J24" s="3">
        <f t="shared" si="77"/>
        <v>0.77611650485436889</v>
      </c>
      <c r="K24" s="3">
        <f t="shared" si="77"/>
        <v>0.77611650485436889</v>
      </c>
      <c r="L24" s="3">
        <f t="shared" si="77"/>
        <v>0.77611650485436889</v>
      </c>
      <c r="M24" s="3">
        <f t="shared" si="77"/>
        <v>0.77611650485436889</v>
      </c>
      <c r="N24" s="3">
        <f t="shared" si="77"/>
        <v>0.77611650485436889</v>
      </c>
      <c r="O24" s="3">
        <f t="shared" si="77"/>
        <v>0.77611650485436889</v>
      </c>
      <c r="P24" s="3">
        <f t="shared" si="77"/>
        <v>0.776116504854369</v>
      </c>
      <c r="Q24" s="3">
        <f t="shared" si="77"/>
        <v>0.77611650485436889</v>
      </c>
      <c r="S24" s="3" t="s">
        <v>32</v>
      </c>
      <c r="T24" s="3">
        <v>0.1</v>
      </c>
    </row>
    <row r="25" spans="2:109" s="3" customFormat="1" x14ac:dyDescent="0.25">
      <c r="B25" s="3" t="s">
        <v>17</v>
      </c>
      <c r="D25" s="3">
        <f>+D15/D7</f>
        <v>4.8999309868875088E-2</v>
      </c>
      <c r="E25" s="3">
        <f t="shared" ref="E25:F25" si="78">+E15/E7</f>
        <v>8.4940363393155721E-2</v>
      </c>
      <c r="F25" s="3">
        <f t="shared" si="78"/>
        <v>0.12418062636562273</v>
      </c>
      <c r="G25" s="3">
        <f t="shared" ref="G25:Q25" si="79">+G15/G7</f>
        <v>0.14222451081359433</v>
      </c>
      <c r="H25" s="3">
        <f t="shared" si="79"/>
        <v>0.17946887898880237</v>
      </c>
      <c r="I25" s="3">
        <f t="shared" si="79"/>
        <v>0.22252284781093301</v>
      </c>
      <c r="J25" s="3">
        <f t="shared" si="79"/>
        <v>0.25340939066159174</v>
      </c>
      <c r="K25" s="3">
        <f t="shared" si="79"/>
        <v>0.28228159376112089</v>
      </c>
      <c r="L25" s="3">
        <f t="shared" si="79"/>
        <v>0.30927082709328918</v>
      </c>
      <c r="M25" s="3">
        <f t="shared" si="79"/>
        <v>0.33449989303422906</v>
      </c>
      <c r="N25" s="3">
        <f t="shared" si="79"/>
        <v>0.34611650485436879</v>
      </c>
      <c r="O25" s="3">
        <f t="shared" si="79"/>
        <v>0.34611650485436884</v>
      </c>
      <c r="P25" s="3">
        <f t="shared" si="79"/>
        <v>0.34611650485436896</v>
      </c>
      <c r="Q25" s="3">
        <f t="shared" si="79"/>
        <v>0.34611650485436884</v>
      </c>
      <c r="S25" s="3" t="s">
        <v>33</v>
      </c>
      <c r="T25" s="3">
        <v>0.03</v>
      </c>
    </row>
    <row r="26" spans="2:109" s="3" customFormat="1" x14ac:dyDescent="0.25">
      <c r="B26" s="3" t="s">
        <v>18</v>
      </c>
      <c r="D26" s="3">
        <f>+D20/D7</f>
        <v>4.4858523119392688E-2</v>
      </c>
      <c r="E26" s="3">
        <f t="shared" ref="E26:F26" si="80">+E20/E7</f>
        <v>0.19295507747185375</v>
      </c>
      <c r="F26" s="3">
        <f t="shared" si="80"/>
        <v>0.12973415877640204</v>
      </c>
      <c r="G26" s="3">
        <f t="shared" ref="G26:Q26" si="81">+G20/G7</f>
        <v>9.9938827501297095E-2</v>
      </c>
      <c r="H26" s="3">
        <f t="shared" si="81"/>
        <v>0.13654279234638045</v>
      </c>
      <c r="I26" s="3">
        <f t="shared" si="81"/>
        <v>0.17033388299518856</v>
      </c>
      <c r="J26" s="3">
        <f t="shared" si="81"/>
        <v>0.19454764814683403</v>
      </c>
      <c r="K26" s="3">
        <f t="shared" si="81"/>
        <v>0.21716420941191253</v>
      </c>
      <c r="L26" s="3">
        <f t="shared" si="81"/>
        <v>0.23829008599472856</v>
      </c>
      <c r="M26" s="3">
        <f t="shared" si="81"/>
        <v>0.25802454318624873</v>
      </c>
      <c r="N26" s="3">
        <f t="shared" si="81"/>
        <v>0.26718561829232823</v>
      </c>
      <c r="O26" s="3">
        <f t="shared" si="81"/>
        <v>0.26732318433186836</v>
      </c>
      <c r="P26" s="3">
        <f t="shared" si="81"/>
        <v>0.26744280697494682</v>
      </c>
      <c r="Q26" s="3">
        <f t="shared" si="81"/>
        <v>0.26754682666458013</v>
      </c>
      <c r="S26" s="3" t="s">
        <v>34</v>
      </c>
      <c r="T26" s="1">
        <f>NPV(T24,G20:DE20)</f>
        <v>115784.98704609519</v>
      </c>
    </row>
    <row r="27" spans="2:109" s="3" customFormat="1" x14ac:dyDescent="0.25">
      <c r="S27" s="3" t="s">
        <v>35</v>
      </c>
      <c r="T27" s="1">
        <f>+G39-G42+G40</f>
        <v>8186</v>
      </c>
      <c r="U27" s="3" t="s">
        <v>39</v>
      </c>
    </row>
    <row r="28" spans="2:109" s="3" customFormat="1" x14ac:dyDescent="0.25">
      <c r="B28" s="3" t="s">
        <v>31</v>
      </c>
      <c r="E28" s="3">
        <f>+E5/D5 -1</f>
        <v>0.25961398926135537</v>
      </c>
      <c r="F28" s="3">
        <f t="shared" ref="F28:Q28" si="82">+F5/E5 -1</f>
        <v>0.22649769585253465</v>
      </c>
      <c r="G28" s="3">
        <f t="shared" si="82"/>
        <v>0.17646158181476612</v>
      </c>
      <c r="H28" s="3">
        <f t="shared" si="82"/>
        <v>0.17999999999999994</v>
      </c>
      <c r="I28" s="3">
        <f t="shared" si="82"/>
        <v>0.19999999999999996</v>
      </c>
      <c r="J28" s="3">
        <f t="shared" si="82"/>
        <v>0.14999999999999991</v>
      </c>
      <c r="K28" s="3">
        <f t="shared" si="82"/>
        <v>0.14999999999999991</v>
      </c>
      <c r="L28" s="3">
        <f t="shared" si="82"/>
        <v>0.14999999999999991</v>
      </c>
      <c r="M28" s="3">
        <f t="shared" si="82"/>
        <v>0.14999999999999991</v>
      </c>
      <c r="N28" s="3">
        <f t="shared" si="82"/>
        <v>0.14999999999999991</v>
      </c>
      <c r="O28" s="3">
        <f t="shared" si="82"/>
        <v>0.14999999999999991</v>
      </c>
      <c r="P28" s="3">
        <f t="shared" si="82"/>
        <v>0.14999999999999991</v>
      </c>
      <c r="Q28" s="3">
        <f t="shared" si="82"/>
        <v>0.14999999999999991</v>
      </c>
      <c r="S28" s="3" t="s">
        <v>36</v>
      </c>
      <c r="T28" s="1">
        <f>+T26+T27</f>
        <v>123970.98704609519</v>
      </c>
    </row>
    <row r="29" spans="2:109" s="3" customFormat="1" x14ac:dyDescent="0.25">
      <c r="B29" s="1" t="s">
        <v>7</v>
      </c>
      <c r="D29" s="3">
        <f>+D12/D$7</f>
        <v>0.38840579710144929</v>
      </c>
      <c r="E29" s="3">
        <f t="shared" ref="E29:G29" si="83">+E12/E$7</f>
        <v>0.36796343774384127</v>
      </c>
      <c r="F29" s="3">
        <f t="shared" si="83"/>
        <v>0.35087399854333579</v>
      </c>
      <c r="G29" s="3">
        <f t="shared" si="83"/>
        <v>0.33347064881565391</v>
      </c>
      <c r="H29" s="3">
        <f t="shared" ref="H29:Q29" si="84">+H12/H$7</f>
        <v>0.3083695875673188</v>
      </c>
      <c r="I29" s="3">
        <f t="shared" si="84"/>
        <v>0.28267212193670888</v>
      </c>
      <c r="J29" s="3">
        <f t="shared" si="84"/>
        <v>0.26423698354953223</v>
      </c>
      <c r="K29" s="3">
        <f t="shared" si="84"/>
        <v>0.24700413679630182</v>
      </c>
      <c r="L29" s="3">
        <f t="shared" si="84"/>
        <v>0.23089517135306475</v>
      </c>
      <c r="M29" s="3">
        <f t="shared" si="84"/>
        <v>0.21583679061264749</v>
      </c>
      <c r="N29" s="3">
        <f t="shared" si="84"/>
        <v>0.2</v>
      </c>
      <c r="O29" s="3">
        <f t="shared" si="84"/>
        <v>0.20000000000000004</v>
      </c>
      <c r="P29" s="3">
        <f t="shared" si="84"/>
        <v>0.2</v>
      </c>
      <c r="Q29" s="3">
        <f t="shared" si="84"/>
        <v>0.2</v>
      </c>
      <c r="S29" s="3" t="s">
        <v>38</v>
      </c>
      <c r="T29" s="1">
        <f>+T28/Q22</f>
        <v>119.20287215970691</v>
      </c>
    </row>
    <row r="30" spans="2:109" s="3" customFormat="1" x14ac:dyDescent="0.25">
      <c r="B30" s="1" t="s">
        <v>8</v>
      </c>
      <c r="D30" s="3">
        <f t="shared" ref="D30:G31" si="85">+D13/D$7</f>
        <v>0.24403036576949622</v>
      </c>
      <c r="E30" s="3">
        <f t="shared" si="85"/>
        <v>0.23676290268643407</v>
      </c>
      <c r="F30" s="3">
        <f t="shared" si="85"/>
        <v>0.23151857246904589</v>
      </c>
      <c r="G30" s="3">
        <f t="shared" si="85"/>
        <v>0.22523171987641605</v>
      </c>
      <c r="H30" s="3">
        <f t="shared" ref="H30:Q30" si="86">+H13/H$7</f>
        <v>0.20827803829824773</v>
      </c>
      <c r="I30" s="3">
        <f t="shared" si="86"/>
        <v>0.19092153510672707</v>
      </c>
      <c r="J30" s="3">
        <f t="shared" si="86"/>
        <v>0.17847013064324491</v>
      </c>
      <c r="K30" s="3">
        <f t="shared" si="86"/>
        <v>0.16683077429694632</v>
      </c>
      <c r="L30" s="3">
        <f t="shared" si="86"/>
        <v>0.15595050640801503</v>
      </c>
      <c r="M30" s="3">
        <f t="shared" si="86"/>
        <v>0.14577982120749233</v>
      </c>
      <c r="N30" s="3">
        <f t="shared" si="86"/>
        <v>0.15</v>
      </c>
      <c r="O30" s="3">
        <f t="shared" si="86"/>
        <v>0.15</v>
      </c>
      <c r="P30" s="3">
        <f t="shared" si="86"/>
        <v>0.15</v>
      </c>
      <c r="Q30" s="3">
        <f t="shared" si="86"/>
        <v>0.15</v>
      </c>
      <c r="S30" s="3" t="s">
        <v>37</v>
      </c>
      <c r="T30" s="1">
        <v>100</v>
      </c>
    </row>
    <row r="31" spans="2:109" s="3" customFormat="1" x14ac:dyDescent="0.25">
      <c r="B31" s="1" t="s">
        <v>9</v>
      </c>
      <c r="D31" s="3">
        <f t="shared" si="85"/>
        <v>0.10144927536231885</v>
      </c>
      <c r="E31" s="3">
        <f t="shared" si="85"/>
        <v>9.6198863003009699E-2</v>
      </c>
      <c r="F31" s="3">
        <f t="shared" si="85"/>
        <v>8.5214857975236702E-2</v>
      </c>
      <c r="G31" s="3">
        <f t="shared" si="85"/>
        <v>7.7754891864057679E-2</v>
      </c>
      <c r="H31" s="3">
        <f t="shared" ref="H31:Q31" si="87">+H14/H$7</f>
        <v>0.08</v>
      </c>
      <c r="I31" s="3">
        <f t="shared" si="87"/>
        <v>0.08</v>
      </c>
      <c r="J31" s="3">
        <f t="shared" si="87"/>
        <v>0.08</v>
      </c>
      <c r="K31" s="3">
        <f t="shared" si="87"/>
        <v>0.08</v>
      </c>
      <c r="L31" s="3">
        <f t="shared" si="87"/>
        <v>0.08</v>
      </c>
      <c r="M31" s="3">
        <f t="shared" si="87"/>
        <v>0.08</v>
      </c>
      <c r="N31" s="3">
        <f t="shared" si="87"/>
        <v>0.08</v>
      </c>
      <c r="O31" s="3">
        <f t="shared" si="87"/>
        <v>0.08</v>
      </c>
      <c r="P31" s="3">
        <f t="shared" si="87"/>
        <v>0.08</v>
      </c>
      <c r="Q31" s="3">
        <f t="shared" si="87"/>
        <v>0.08</v>
      </c>
      <c r="S31" s="3" t="s">
        <v>40</v>
      </c>
      <c r="T31" s="3">
        <f>+T29/T30 -1</f>
        <v>0.19202872159706907</v>
      </c>
    </row>
    <row r="32" spans="2:109" s="1" customFormat="1" x14ac:dyDescent="0.25"/>
    <row r="33" spans="2:7" s="1" customFormat="1" x14ac:dyDescent="0.25">
      <c r="B33" s="1" t="s">
        <v>19</v>
      </c>
      <c r="D33" s="1">
        <v>2723</v>
      </c>
      <c r="E33" s="1">
        <v>3398</v>
      </c>
      <c r="F33" s="1">
        <v>4267</v>
      </c>
      <c r="G33" s="1">
        <f>3206*1.33</f>
        <v>4263.9800000000005</v>
      </c>
    </row>
    <row r="34" spans="2:7" s="1" customFormat="1" x14ac:dyDescent="0.25">
      <c r="B34" s="1" t="s">
        <v>20</v>
      </c>
      <c r="D34" s="1">
        <v>550</v>
      </c>
      <c r="E34" s="1">
        <v>694</v>
      </c>
      <c r="F34" s="1">
        <v>852</v>
      </c>
      <c r="G34" s="1">
        <f>630*1.33</f>
        <v>837.90000000000009</v>
      </c>
    </row>
    <row r="35" spans="2:7" s="1" customFormat="1" x14ac:dyDescent="0.25">
      <c r="B35" s="1" t="s">
        <v>21</v>
      </c>
      <c r="D35" s="1">
        <f>+D33-D34</f>
        <v>2173</v>
      </c>
      <c r="E35" s="1">
        <f>+E33-E34</f>
        <v>2704</v>
      </c>
      <c r="F35" s="1">
        <f>+F33-F34</f>
        <v>3415</v>
      </c>
      <c r="G35" s="1">
        <f>+G33-G34</f>
        <v>3426.0800000000004</v>
      </c>
    </row>
    <row r="36" spans="2:7" s="1" customFormat="1" x14ac:dyDescent="0.25">
      <c r="B36" s="1" t="s">
        <v>22</v>
      </c>
      <c r="D36" s="1">
        <v>1401</v>
      </c>
      <c r="E36" s="1">
        <v>1604</v>
      </c>
      <c r="F36" s="1">
        <v>1746</v>
      </c>
      <c r="G36" s="1">
        <f>1461*1.33</f>
        <v>1943.13</v>
      </c>
    </row>
    <row r="37" spans="2:7" s="1" customFormat="1" x14ac:dyDescent="0.25">
      <c r="B37" s="1" t="s">
        <v>23</v>
      </c>
      <c r="D37" s="1">
        <f>+D35-D36</f>
        <v>772</v>
      </c>
      <c r="E37" s="1">
        <f>+E35-E36</f>
        <v>1100</v>
      </c>
      <c r="F37" s="1">
        <f>+F35-F36</f>
        <v>1669</v>
      </c>
      <c r="G37" s="1">
        <f>+G35-G36</f>
        <v>1482.9500000000003</v>
      </c>
    </row>
    <row r="38" spans="2:7" s="1" customFormat="1" x14ac:dyDescent="0.25"/>
    <row r="39" spans="2:7" s="1" customFormat="1" x14ac:dyDescent="0.25">
      <c r="B39" s="1" t="s">
        <v>24</v>
      </c>
      <c r="E39" s="1">
        <v>1897</v>
      </c>
      <c r="F39" s="1">
        <v>2304</v>
      </c>
      <c r="G39" s="1">
        <v>2725</v>
      </c>
    </row>
    <row r="40" spans="2:7" s="1" customFormat="1" x14ac:dyDescent="0.25">
      <c r="B40" s="1" t="s">
        <v>25</v>
      </c>
      <c r="E40" s="1">
        <f>2980+3203</f>
        <v>6183</v>
      </c>
      <c r="F40" s="1">
        <f>3458+4111</f>
        <v>7569</v>
      </c>
      <c r="G40" s="1">
        <f>2686+4266</f>
        <v>6952</v>
      </c>
    </row>
    <row r="41" spans="2:7" s="1" customFormat="1" x14ac:dyDescent="0.25">
      <c r="B41" s="1" t="s">
        <v>26</v>
      </c>
      <c r="E41" s="1">
        <v>1358</v>
      </c>
      <c r="F41" s="1">
        <v>1763</v>
      </c>
      <c r="G41" s="1">
        <v>2127</v>
      </c>
    </row>
    <row r="42" spans="2:7" s="1" customFormat="1" x14ac:dyDescent="0.25">
      <c r="B42" s="1" t="s">
        <v>27</v>
      </c>
      <c r="E42" s="1">
        <v>1488</v>
      </c>
      <c r="F42" s="1">
        <v>1489</v>
      </c>
      <c r="G42" s="1">
        <v>1491</v>
      </c>
    </row>
    <row r="43" spans="2:7" s="1" customFormat="1" x14ac:dyDescent="0.25">
      <c r="B43" s="1" t="s">
        <v>28</v>
      </c>
      <c r="E43" s="1">
        <f>+E39+E40+E41-E42</f>
        <v>7950</v>
      </c>
      <c r="F43" s="1">
        <f>+F39+F40+F41-F42</f>
        <v>10147</v>
      </c>
      <c r="G43" s="1">
        <f>+G39+G40+G41-G42</f>
        <v>10313</v>
      </c>
    </row>
    <row r="44" spans="2:7" s="1" customFormat="1" x14ac:dyDescent="0.25"/>
    <row r="45" spans="2:7" s="1" customFormat="1" x14ac:dyDescent="0.25"/>
    <row r="46" spans="2:7" s="1" customFormat="1" x14ac:dyDescent="0.25"/>
    <row r="47" spans="2:7" s="1" customFormat="1" x14ac:dyDescent="0.25"/>
    <row r="48" spans="2:7" s="1" customFormat="1" x14ac:dyDescent="0.25"/>
    <row r="49" s="1" customFormat="1" x14ac:dyDescent="0.25"/>
    <row r="50" s="1" customFormat="1" x14ac:dyDescent="0.25"/>
    <row r="51" s="1" customFormat="1" x14ac:dyDescent="0.25"/>
    <row r="52" s="1" customFormat="1" x14ac:dyDescent="0.25"/>
    <row r="53" s="1" customFormat="1" x14ac:dyDescent="0.25"/>
    <row r="54" s="1" customFormat="1" x14ac:dyDescent="0.25"/>
    <row r="55" s="1" customFormat="1" x14ac:dyDescent="0.25"/>
    <row r="56" s="1" customFormat="1" x14ac:dyDescent="0.25"/>
    <row r="57" s="1" customFormat="1" x14ac:dyDescent="0.25"/>
    <row r="58" s="1" customFormat="1" x14ac:dyDescent="0.25"/>
    <row r="59" s="1" customFormat="1" x14ac:dyDescent="0.25"/>
    <row r="60" s="1" customFormat="1" x14ac:dyDescent="0.25"/>
    <row r="61" s="1" customFormat="1" x14ac:dyDescent="0.25"/>
    <row r="62" s="1" customFormat="1" x14ac:dyDescent="0.25"/>
    <row r="63" s="1" customFormat="1" x14ac:dyDescent="0.25"/>
    <row r="64" s="1" customFormat="1" x14ac:dyDescent="0.25"/>
    <row r="65" s="1" customFormat="1" x14ac:dyDescent="0.25"/>
    <row r="66" s="1" customFormat="1" x14ac:dyDescent="0.25"/>
    <row r="67" s="1" customFormat="1" x14ac:dyDescent="0.25"/>
    <row r="68" s="1" customFormat="1" x14ac:dyDescent="0.25"/>
    <row r="69" s="1" customFormat="1" x14ac:dyDescent="0.25"/>
    <row r="70" s="1" customFormat="1" x14ac:dyDescent="0.25"/>
    <row r="71" s="1" customFormat="1" x14ac:dyDescent="0.25"/>
    <row r="72" s="1" customFormat="1" x14ac:dyDescent="0.25"/>
    <row r="73" s="1" customFormat="1" x14ac:dyDescent="0.25"/>
    <row r="74" s="1" customFormat="1" x14ac:dyDescent="0.25"/>
    <row r="75" s="1" customFormat="1" x14ac:dyDescent="0.25"/>
    <row r="76" s="1" customFormat="1" x14ac:dyDescent="0.25"/>
    <row r="77" s="1" customFormat="1" x14ac:dyDescent="0.25"/>
    <row r="78" s="1" customFormat="1" x14ac:dyDescent="0.25"/>
    <row r="79" s="1" customFormat="1" x14ac:dyDescent="0.25"/>
    <row r="80" s="1" customFormat="1" x14ac:dyDescent="0.25"/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Kutzer Maximilian Claudius</dc:creator>
  <cp:lastModifiedBy>Kutzer Maximilian Claudius</cp:lastModifiedBy>
  <dcterms:created xsi:type="dcterms:W3CDTF">2026-01-19T23:28:47Z</dcterms:created>
  <dcterms:modified xsi:type="dcterms:W3CDTF">2026-02-23T14:15:54Z</dcterms:modified>
</cp:coreProperties>
</file>