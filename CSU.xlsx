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94DE59C3-570F-4494-A90A-E101B59CD653}" xr6:coauthVersionLast="47" xr6:coauthVersionMax="47" xr10:uidLastSave="{00000000-0000-0000-0000-000000000000}"/>
  <bookViews>
    <workbookView xWindow="-28920" yWindow="-120" windowWidth="29040" windowHeight="15840" xr2:uid="{0A3E7CDA-E8A4-4F9C-8893-44A999749CD8}"/>
  </bookViews>
  <sheets>
    <sheet name="Model" sheetId="1" r:id="rId1"/>
    <sheet name="Portfoli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6" i="1" l="1"/>
  <c r="Q35" i="1"/>
  <c r="Q34" i="1"/>
  <c r="T36" i="1" l="1"/>
  <c r="T48" i="1"/>
  <c r="Q30" i="1"/>
  <c r="N8" i="1"/>
  <c r="O8" i="1" s="1"/>
  <c r="P8" i="1" s="1"/>
  <c r="Q8" i="1" s="1"/>
  <c r="M8" i="1"/>
  <c r="H8" i="1"/>
  <c r="I8" i="1" s="1"/>
  <c r="T37" i="1"/>
  <c r="H30" i="1"/>
  <c r="H28" i="1" s="1"/>
  <c r="F28" i="1"/>
  <c r="G28" i="1"/>
  <c r="E28" i="1"/>
  <c r="G20" i="1"/>
  <c r="G18" i="1"/>
  <c r="G16" i="1"/>
  <c r="G15" i="1"/>
  <c r="G14" i="1"/>
  <c r="G13" i="1"/>
  <c r="G12" i="1"/>
  <c r="G11" i="1"/>
  <c r="G10" i="1"/>
  <c r="G9" i="1"/>
  <c r="G7" i="1"/>
  <c r="G6" i="1"/>
  <c r="G5" i="1"/>
  <c r="G4" i="1"/>
  <c r="F31" i="1"/>
  <c r="E31" i="1"/>
  <c r="E32" i="1" s="1"/>
  <c r="G31" i="1"/>
  <c r="G30" i="1"/>
  <c r="G32" i="1" s="1"/>
  <c r="F32" i="1"/>
  <c r="F20" i="1"/>
  <c r="F16" i="1"/>
  <c r="E20" i="1"/>
  <c r="E16" i="1"/>
  <c r="E8" i="1"/>
  <c r="E2" i="1"/>
  <c r="F8" i="1"/>
  <c r="G2" i="1"/>
  <c r="H2" i="1" s="1"/>
  <c r="I2" i="1" s="1"/>
  <c r="J2" i="1" s="1"/>
  <c r="K2" i="1" s="1"/>
  <c r="L2" i="1" s="1"/>
  <c r="M2" i="1" s="1"/>
  <c r="N2" i="1" s="1"/>
  <c r="O2" i="1" s="1"/>
  <c r="P2" i="1" s="1"/>
  <c r="Q2" i="1" s="1"/>
  <c r="I30" i="1" l="1"/>
  <c r="J8" i="1"/>
  <c r="F27" i="1"/>
  <c r="F17" i="1"/>
  <c r="G8" i="1"/>
  <c r="E17" i="1"/>
  <c r="J30" i="1" l="1"/>
  <c r="J28" i="1" s="1"/>
  <c r="K8" i="1"/>
  <c r="I28" i="1"/>
  <c r="E19" i="1"/>
  <c r="E21" i="1" s="1"/>
  <c r="E26" i="1" s="1"/>
  <c r="E25" i="1"/>
  <c r="G17" i="1"/>
  <c r="G27" i="1"/>
  <c r="F19" i="1"/>
  <c r="F21" i="1" s="1"/>
  <c r="F25" i="1"/>
  <c r="G19" i="1"/>
  <c r="G21" i="1" s="1"/>
  <c r="G25" i="1"/>
  <c r="L8" i="1" l="1"/>
  <c r="L30" i="1" s="1"/>
  <c r="L28" i="1" s="1"/>
  <c r="K30" i="1"/>
  <c r="G26" i="1"/>
  <c r="G22" i="1"/>
  <c r="F26" i="1"/>
  <c r="F22" i="1"/>
  <c r="H27" i="1"/>
  <c r="K28" i="1" l="1"/>
  <c r="I27" i="1"/>
  <c r="H25" i="1"/>
  <c r="H26" i="1"/>
  <c r="I25" i="1" l="1"/>
  <c r="I26" i="1"/>
  <c r="J27" i="1"/>
  <c r="J25" i="1" l="1"/>
  <c r="J26" i="1"/>
  <c r="K27" i="1"/>
  <c r="L27" i="1" l="1"/>
  <c r="M30" i="1"/>
  <c r="K25" i="1"/>
  <c r="K26" i="1"/>
  <c r="M28" i="1" l="1"/>
  <c r="M27" i="1"/>
  <c r="N30" i="1"/>
  <c r="N28" i="1" s="1"/>
  <c r="L25" i="1"/>
  <c r="L26" i="1"/>
  <c r="O30" i="1" l="1"/>
  <c r="O28" i="1" s="1"/>
  <c r="N27" i="1"/>
  <c r="M25" i="1"/>
  <c r="M26" i="1"/>
  <c r="N25" i="1" l="1"/>
  <c r="N26" i="1"/>
  <c r="P30" i="1"/>
  <c r="O27" i="1"/>
  <c r="P28" i="1" l="1"/>
  <c r="O25" i="1"/>
  <c r="O26" i="1"/>
  <c r="P27" i="1"/>
  <c r="R30" i="1" l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AK30" i="1" s="1"/>
  <c r="AL30" i="1" s="1"/>
  <c r="AM30" i="1" s="1"/>
  <c r="AN30" i="1" s="1"/>
  <c r="AO30" i="1" s="1"/>
  <c r="AP30" i="1" s="1"/>
  <c r="AQ30" i="1" s="1"/>
  <c r="AR30" i="1" s="1"/>
  <c r="AS30" i="1" s="1"/>
  <c r="AT30" i="1" s="1"/>
  <c r="AU30" i="1" s="1"/>
  <c r="AV30" i="1" s="1"/>
  <c r="AW30" i="1" s="1"/>
  <c r="AX30" i="1" s="1"/>
  <c r="AY30" i="1" s="1"/>
  <c r="AZ30" i="1" s="1"/>
  <c r="BA30" i="1" s="1"/>
  <c r="BB30" i="1" s="1"/>
  <c r="BC30" i="1" s="1"/>
  <c r="BD30" i="1" s="1"/>
  <c r="BE30" i="1" s="1"/>
  <c r="BF30" i="1" s="1"/>
  <c r="BG30" i="1" s="1"/>
  <c r="BH30" i="1" s="1"/>
  <c r="BI30" i="1" s="1"/>
  <c r="BJ30" i="1" s="1"/>
  <c r="BK30" i="1" s="1"/>
  <c r="BL30" i="1" s="1"/>
  <c r="BM30" i="1" s="1"/>
  <c r="BN30" i="1" s="1"/>
  <c r="BO30" i="1" s="1"/>
  <c r="BP30" i="1" s="1"/>
  <c r="BQ30" i="1" s="1"/>
  <c r="BR30" i="1" s="1"/>
  <c r="BS30" i="1" s="1"/>
  <c r="BT30" i="1" s="1"/>
  <c r="BU30" i="1" s="1"/>
  <c r="BV30" i="1" s="1"/>
  <c r="BW30" i="1" s="1"/>
  <c r="BX30" i="1" s="1"/>
  <c r="BY30" i="1" s="1"/>
  <c r="BZ30" i="1" s="1"/>
  <c r="CA30" i="1" s="1"/>
  <c r="CB30" i="1" s="1"/>
  <c r="CC30" i="1" s="1"/>
  <c r="CD30" i="1" s="1"/>
  <c r="CE30" i="1" s="1"/>
  <c r="T38" i="1" s="1"/>
  <c r="T39" i="1" s="1"/>
  <c r="Q28" i="1"/>
  <c r="P25" i="1"/>
  <c r="P26" i="1"/>
  <c r="Q27" i="1"/>
  <c r="T41" i="1" l="1"/>
  <c r="T43" i="1" s="1"/>
  <c r="Q25" i="1"/>
  <c r="Q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Maximilian Kutzer</author>
  </authors>
  <commentList>
    <comment ref="B13" authorId="0" shapeId="0" xr:uid="{9C8BB8D0-6FFE-4E5F-92B2-92B339D7E321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Travel, Telecom., Supplies, Software and equipment
</t>
        </r>
      </text>
    </comment>
  </commentList>
</comments>
</file>

<file path=xl/sharedStrings.xml><?xml version="1.0" encoding="utf-8"?>
<sst xmlns="http://schemas.openxmlformats.org/spreadsheetml/2006/main" count="1907" uniqueCount="1139">
  <si>
    <t>License</t>
  </si>
  <si>
    <t>Professional Services</t>
  </si>
  <si>
    <t>Hardware</t>
  </si>
  <si>
    <t>Maintenance</t>
  </si>
  <si>
    <t>Total Revenue</t>
  </si>
  <si>
    <t>Staff</t>
  </si>
  <si>
    <t>Occupancy</t>
  </si>
  <si>
    <t>TTSSE</t>
  </si>
  <si>
    <t>Professional Fees</t>
  </si>
  <si>
    <t xml:space="preserve">Other </t>
  </si>
  <si>
    <t>D&amp;A</t>
  </si>
  <si>
    <t>Operating Income</t>
  </si>
  <si>
    <t>Finance &amp; other, net</t>
  </si>
  <si>
    <t>Pretax</t>
  </si>
  <si>
    <t>Taxes</t>
  </si>
  <si>
    <t>Net Income</t>
  </si>
  <si>
    <t>Operating Margin</t>
  </si>
  <si>
    <t>Net Marign</t>
  </si>
  <si>
    <t>CFFO</t>
  </si>
  <si>
    <t>FCF</t>
  </si>
  <si>
    <t>M&amp;A</t>
  </si>
  <si>
    <t>Revenue Y/Y</t>
  </si>
  <si>
    <t>Shares</t>
  </si>
  <si>
    <t>EPS</t>
  </si>
  <si>
    <t>CFFO Margin</t>
  </si>
  <si>
    <t>Discount</t>
  </si>
  <si>
    <t>Terminal</t>
  </si>
  <si>
    <t>NPV</t>
  </si>
  <si>
    <t>Net Cash</t>
  </si>
  <si>
    <t>Value</t>
  </si>
  <si>
    <t>In CAD</t>
  </si>
  <si>
    <t>Current</t>
  </si>
  <si>
    <t>Diff</t>
  </si>
  <si>
    <t>Price</t>
  </si>
  <si>
    <t>Symplicity</t>
  </si>
  <si>
    <t>Education software</t>
  </si>
  <si>
    <t>BIG Consulting</t>
  </si>
  <si>
    <t>Agri-food software</t>
  </si>
  <si>
    <t>Automate</t>
  </si>
  <si>
    <t>Dealer management systems</t>
  </si>
  <si>
    <t>Alpine Testing Solutions</t>
  </si>
  <si>
    <t>Workforce management software</t>
  </si>
  <si>
    <t>AskCody</t>
  </si>
  <si>
    <t>Resource &amp; workplace management</t>
  </si>
  <si>
    <t>Maze Feedback AS</t>
  </si>
  <si>
    <t>Marketing analytics software</t>
  </si>
  <si>
    <t>Surveypal Oy</t>
  </si>
  <si>
    <t>Survey &amp; experience management</t>
  </si>
  <si>
    <t>Nydus Systems Informatica</t>
  </si>
  <si>
    <t>Human capital management</t>
  </si>
  <si>
    <t>Bit Soft</t>
  </si>
  <si>
    <t>Hospitality &amp; foodservice software</t>
  </si>
  <si>
    <t>Trellint</t>
  </si>
  <si>
    <t>Professional services software</t>
  </si>
  <si>
    <t>Squirrel Systems</t>
  </si>
  <si>
    <t>Restaurant POS systems</t>
  </si>
  <si>
    <t>Servoy</t>
  </si>
  <si>
    <t>Application development platform</t>
  </si>
  <si>
    <t>Service ERP</t>
  </si>
  <si>
    <t>Service management ERP</t>
  </si>
  <si>
    <t>PC Soft</t>
  </si>
  <si>
    <t>Accounting &amp; ERP software</t>
  </si>
  <si>
    <t>Parlance</t>
  </si>
  <si>
    <t>Contact center &amp; speech technology</t>
  </si>
  <si>
    <t>Orkis</t>
  </si>
  <si>
    <t>Social care &amp; welfare software</t>
  </si>
  <si>
    <t>Metadados</t>
  </si>
  <si>
    <t>Credit &amp; risk management software</t>
  </si>
  <si>
    <t>Maxima Tech</t>
  </si>
  <si>
    <t>Public sector software</t>
  </si>
  <si>
    <t>Kielkone Oy</t>
  </si>
  <si>
    <t>Industrial &amp; logistics software</t>
  </si>
  <si>
    <t>Intellior</t>
  </si>
  <si>
    <t>Industrial analytics software</t>
  </si>
  <si>
    <t>IDS</t>
  </si>
  <si>
    <t>Retail &amp; merchandising software</t>
  </si>
  <si>
    <t>iCore</t>
  </si>
  <si>
    <t>Insurance software</t>
  </si>
  <si>
    <t>Hypersoft</t>
  </si>
  <si>
    <t>Hospitality POS software</t>
  </si>
  <si>
    <t>Food Experts</t>
  </si>
  <si>
    <t>Foodservice management software</t>
  </si>
  <si>
    <t>Elovate</t>
  </si>
  <si>
    <t>Telecom &amp; infrastructure software</t>
  </si>
  <si>
    <t>Dragintra</t>
  </si>
  <si>
    <t>Transport &amp; logistics software</t>
  </si>
  <si>
    <t>Data Consulting</t>
  </si>
  <si>
    <t>Data management software</t>
  </si>
  <si>
    <t>Dassian</t>
  </si>
  <si>
    <t>SAP-based ERP solutions</t>
  </si>
  <si>
    <t>Crealogix</t>
  </si>
  <si>
    <t>Banking &amp; financial software</t>
  </si>
  <si>
    <t>Cammax</t>
  </si>
  <si>
    <t>Retail space analytics</t>
  </si>
  <si>
    <t>Avencall</t>
  </si>
  <si>
    <t>Unified communications software</t>
  </si>
  <si>
    <t>Agiboo</t>
  </si>
  <si>
    <t>Project portfolio management</t>
  </si>
  <si>
    <t>agentOS</t>
  </si>
  <si>
    <t>Insurance distribution software</t>
  </si>
  <si>
    <t>AudioNET</t>
  </si>
  <si>
    <t>Broadcast &amp; media software</t>
  </si>
  <si>
    <t>Gold-Vision</t>
  </si>
  <si>
    <t>CRM software</t>
  </si>
  <si>
    <t>Zupa</t>
  </si>
  <si>
    <t>Marketing &amp; CRM software</t>
  </si>
  <si>
    <t>Zeit AG</t>
  </si>
  <si>
    <t>Media &amp; publishing software</t>
  </si>
  <si>
    <t>Sentean</t>
  </si>
  <si>
    <t>IT service management software</t>
  </si>
  <si>
    <t>Husk</t>
  </si>
  <si>
    <t>Field service software</t>
  </si>
  <si>
    <t>4D SAS</t>
  </si>
  <si>
    <t>Public administration software</t>
  </si>
  <si>
    <t>Quarzo</t>
  </si>
  <si>
    <t>Professional services ERP</t>
  </si>
  <si>
    <t>WideOrbit</t>
  </si>
  <si>
    <t>Advertising &amp; media software</t>
  </si>
  <si>
    <t>WennSoft</t>
  </si>
  <si>
    <t>Construction &amp; field service ERP</t>
  </si>
  <si>
    <t>Titanium</t>
  </si>
  <si>
    <t>Student information systems</t>
  </si>
  <si>
    <t>Squirrels</t>
  </si>
  <si>
    <t>Media streaming &amp; AV software</t>
  </si>
  <si>
    <t>RAF</t>
  </si>
  <si>
    <t>Aviation maintenance software</t>
  </si>
  <si>
    <t>ProFundo</t>
  </si>
  <si>
    <t>Financial data &amp; analytics</t>
  </si>
  <si>
    <t>Multiforce Systems Corporation</t>
  </si>
  <si>
    <t>Retail software</t>
  </si>
  <si>
    <t>HGEM</t>
  </si>
  <si>
    <t>Government enterprise management</t>
  </si>
  <si>
    <t>GOVBR</t>
  </si>
  <si>
    <t>FunctionFox</t>
  </si>
  <si>
    <t>Creative agency project management</t>
  </si>
  <si>
    <t>DisplayNote</t>
  </si>
  <si>
    <t>Presentation &amp; collaboration software</t>
  </si>
  <si>
    <t>Delacon</t>
  </si>
  <si>
    <t>Agri &amp; feed additive software</t>
  </si>
  <si>
    <t>ClickDimensions</t>
  </si>
  <si>
    <t>Marketing automation software</t>
  </si>
  <si>
    <t>CELCAT</t>
  </si>
  <si>
    <t>Education timetabling software</t>
  </si>
  <si>
    <t>IMS</t>
  </si>
  <si>
    <t>Utility &amp; infrastructure software</t>
  </si>
  <si>
    <t>Wiztivi</t>
  </si>
  <si>
    <t>Digital TV &amp; UX software</t>
  </si>
  <si>
    <t>TransLoc</t>
  </si>
  <si>
    <t>Public transport software</t>
  </si>
  <si>
    <t>Tomia</t>
  </si>
  <si>
    <t>Telecom revenue management</t>
  </si>
  <si>
    <t>Technology Blueprint (TBL)</t>
  </si>
  <si>
    <t>Enterprise architecture software</t>
  </si>
  <si>
    <t>Sunrise Software</t>
  </si>
  <si>
    <t>SDM Housing</t>
  </si>
  <si>
    <t>Social housing software</t>
  </si>
  <si>
    <t>Pcentra</t>
  </si>
  <si>
    <t>Healthcare workforce software</t>
  </si>
  <si>
    <t>Geomatic</t>
  </si>
  <si>
    <t>Utility &amp; geospatial software</t>
  </si>
  <si>
    <t>fmade</t>
  </si>
  <si>
    <t>Manufacturing software</t>
  </si>
  <si>
    <t>Equiplano</t>
  </si>
  <si>
    <t>Financial planning software</t>
  </si>
  <si>
    <t>EASA</t>
  </si>
  <si>
    <t>Aviation safety software</t>
  </si>
  <si>
    <t>CrossCap</t>
  </si>
  <si>
    <t>Financial analytics software</t>
  </si>
  <si>
    <t>ComputerCamp</t>
  </si>
  <si>
    <t>Education administration software</t>
  </si>
  <si>
    <t>Company Watch</t>
  </si>
  <si>
    <t>Credit risk analytics</t>
  </si>
  <si>
    <t>Cactus Utilities</t>
  </si>
  <si>
    <t>Utility billing software</t>
  </si>
  <si>
    <t>Bravura Security</t>
  </si>
  <si>
    <t>Identity &amp; access management</t>
  </si>
  <si>
    <t>Artsystems</t>
  </si>
  <si>
    <t>Museum &amp; collection management</t>
  </si>
  <si>
    <t>ArtBinder</t>
  </si>
  <si>
    <t>Art collection software</t>
  </si>
  <si>
    <t>Alemba</t>
  </si>
  <si>
    <t>Agronomix Software</t>
  </si>
  <si>
    <t>Research &amp; lab management</t>
  </si>
  <si>
    <t>AdaptIt</t>
  </si>
  <si>
    <t>Localization &amp; translation software</t>
  </si>
  <si>
    <t>Intellicene</t>
  </si>
  <si>
    <t>Corporate performance management</t>
  </si>
  <si>
    <t>Aislelabs</t>
  </si>
  <si>
    <t>Retail analytics &amp; location intelligence</t>
  </si>
  <si>
    <t>WebSell</t>
  </si>
  <si>
    <t>Ecommerce software</t>
  </si>
  <si>
    <t>Vontas</t>
  </si>
  <si>
    <t>Transport ticketing systems</t>
  </si>
  <si>
    <t>VAS-X</t>
  </si>
  <si>
    <t>Telecom value-added services</t>
  </si>
  <si>
    <t>Ubersmith</t>
  </si>
  <si>
    <t>Hosting &amp; data center software</t>
  </si>
  <si>
    <t>TransMedia Dynamics (TMD)</t>
  </si>
  <si>
    <t>Transport management software</t>
  </si>
  <si>
    <t>TrackOne Studio</t>
  </si>
  <si>
    <t>Broadcast traffic software</t>
  </si>
  <si>
    <t>SSP</t>
  </si>
  <si>
    <t>Softlink Information Centres</t>
  </si>
  <si>
    <t>Library management systems</t>
  </si>
  <si>
    <t>Softlink Education</t>
  </si>
  <si>
    <t>Softchalk</t>
  </si>
  <si>
    <t>E-learning authoring software</t>
  </si>
  <si>
    <t>Sansio</t>
  </si>
  <si>
    <t>Digital signage software</t>
  </si>
  <si>
    <t>ResultsPlus</t>
  </si>
  <si>
    <t>Education assessment software</t>
  </si>
  <si>
    <t>PurpleView</t>
  </si>
  <si>
    <t>Regulatory &amp; compliance software</t>
  </si>
  <si>
    <t>Oasys</t>
  </si>
  <si>
    <t>Engineering &amp; infrastructure software</t>
  </si>
  <si>
    <t>Neural Technologies</t>
  </si>
  <si>
    <t>Fraud &amp; risk analytics</t>
  </si>
  <si>
    <t>NetEngage</t>
  </si>
  <si>
    <t>Digital engagement platforms</t>
  </si>
  <si>
    <t>MetaViewer</t>
  </si>
  <si>
    <t>Data visualization software</t>
  </si>
  <si>
    <t>Macos</t>
  </si>
  <si>
    <t>Industrial software</t>
  </si>
  <si>
    <t>Lightbulb Analytics</t>
  </si>
  <si>
    <t>Retail analytics software</t>
  </si>
  <si>
    <t>Kansys</t>
  </si>
  <si>
    <t>Telecom network analytics</t>
  </si>
  <si>
    <t>ISB</t>
  </si>
  <si>
    <t>Business intelligence software</t>
  </si>
  <si>
    <t>Incom Gieres</t>
  </si>
  <si>
    <t>Industrial ERP software</t>
  </si>
  <si>
    <t>Hospedia</t>
  </si>
  <si>
    <t>Hospitality procurement software</t>
  </si>
  <si>
    <t>Four Js</t>
  </si>
  <si>
    <t>EnvisionWare</t>
  </si>
  <si>
    <t>Library technology solutions</t>
  </si>
  <si>
    <t>DecideWare</t>
  </si>
  <si>
    <t>Procurement &amp; sourcing software</t>
  </si>
  <si>
    <t>Datapro</t>
  </si>
  <si>
    <t>Payroll &amp; HR software</t>
  </si>
  <si>
    <t>Curbstone</t>
  </si>
  <si>
    <t>Project management software</t>
  </si>
  <si>
    <t>CPR Vision</t>
  </si>
  <si>
    <t>Healthcare analytics</t>
  </si>
  <si>
    <t>ConWX</t>
  </si>
  <si>
    <t>Weather &amp; aviation software</t>
  </si>
  <si>
    <t>ASSET Intertech</t>
  </si>
  <si>
    <t>Asset management software</t>
  </si>
  <si>
    <t>AMS</t>
  </si>
  <si>
    <t>Aviation software</t>
  </si>
  <si>
    <t>AgVision</t>
  </si>
  <si>
    <t>Agriculture management software</t>
  </si>
  <si>
    <t>AEP Ticketing Solution</t>
  </si>
  <si>
    <t>Event &amp; ticketing software</t>
  </si>
  <si>
    <t>Across Systems</t>
  </si>
  <si>
    <t>Translation management systems</t>
  </si>
  <si>
    <t>Broadcast M.A.P.</t>
  </si>
  <si>
    <t>Broadcast management software</t>
  </si>
  <si>
    <t>Unique Business Systems</t>
  </si>
  <si>
    <t>ERP for SMBs</t>
  </si>
  <si>
    <t>Tribute</t>
  </si>
  <si>
    <t>Financial services software</t>
  </si>
  <si>
    <t>Taranto Systems</t>
  </si>
  <si>
    <t>Symbrio</t>
  </si>
  <si>
    <t>Integration &amp; middleware software</t>
  </si>
  <si>
    <t>SPARK TSL</t>
  </si>
  <si>
    <t>Logistics software</t>
  </si>
  <si>
    <t>Saatmann</t>
  </si>
  <si>
    <t>Healthcare quality management</t>
  </si>
  <si>
    <t>MotionData Vector</t>
  </si>
  <si>
    <t>Data analytics software</t>
  </si>
  <si>
    <t>medaptus</t>
  </si>
  <si>
    <t>Healthcare interoperability software</t>
  </si>
  <si>
    <t>Lifecycle Software</t>
  </si>
  <si>
    <t>Healthcare administration software</t>
  </si>
  <si>
    <t>Intranote</t>
  </si>
  <si>
    <t>Infoview</t>
  </si>
  <si>
    <t>Go Solutions</t>
  </si>
  <si>
    <t>CRM &amp; customer service software</t>
  </si>
  <si>
    <t>Flash Networks</t>
  </si>
  <si>
    <t>Telecom optimization software</t>
  </si>
  <si>
    <t>Eureka Technology</t>
  </si>
  <si>
    <t>Manufacturing ERP</t>
  </si>
  <si>
    <t>Edge Learning Solutions</t>
  </si>
  <si>
    <t>Education technology</t>
  </si>
  <si>
    <t>Dealernet</t>
  </si>
  <si>
    <t>Automotive dealer systems</t>
  </si>
  <si>
    <t>Datagrafikk</t>
  </si>
  <si>
    <t>Retail &amp; POS software</t>
  </si>
  <si>
    <t>Clarity Group</t>
  </si>
  <si>
    <t>Financial software</t>
  </si>
  <si>
    <t>Charity Dynamics</t>
  </si>
  <si>
    <t>Non-profit fundraising software</t>
  </si>
  <si>
    <t>BiblioCommons</t>
  </si>
  <si>
    <t>Library discovery platforms</t>
  </si>
  <si>
    <t>Cittati</t>
  </si>
  <si>
    <t>Apdata</t>
  </si>
  <si>
    <t>Worldwide Chain Stores</t>
  </si>
  <si>
    <t>Windward</t>
  </si>
  <si>
    <t>Document automation software</t>
  </si>
  <si>
    <t>Velocix</t>
  </si>
  <si>
    <t>Media delivery &amp; CDN software</t>
  </si>
  <si>
    <t>ValuePRO</t>
  </si>
  <si>
    <t>RedHawk</t>
  </si>
  <si>
    <t>Utility asset management</t>
  </si>
  <si>
    <t>Portfolio+</t>
  </si>
  <si>
    <t>Credit union software</t>
  </si>
  <si>
    <t>Pegasus Systems</t>
  </si>
  <si>
    <t>Transportation software</t>
  </si>
  <si>
    <t>Insuresoft</t>
  </si>
  <si>
    <t>Insurance core systems</t>
  </si>
  <si>
    <t>Infogate</t>
  </si>
  <si>
    <t>Industrial communication software</t>
  </si>
  <si>
    <t>IndiCater</t>
  </si>
  <si>
    <t>Catering management software</t>
  </si>
  <si>
    <t>Imperial</t>
  </si>
  <si>
    <t>Holocentric Compliance</t>
  </si>
  <si>
    <t>Compliance management software</t>
  </si>
  <si>
    <t>FIVE x 5</t>
  </si>
  <si>
    <t>Delta Logic</t>
  </si>
  <si>
    <t>Manufacturing &amp; automation software</t>
  </si>
  <si>
    <t>Criterions</t>
  </si>
  <si>
    <t>Covenir</t>
  </si>
  <si>
    <t>Financial crime &amp; compliance software</t>
  </si>
  <si>
    <t>Binary System</t>
  </si>
  <si>
    <t>Avance Metering</t>
  </si>
  <si>
    <t>Smart metering software</t>
  </si>
  <si>
    <t>Artifax</t>
  </si>
  <si>
    <t>Arts &amp; events management</t>
  </si>
  <si>
    <t>Akuiteo</t>
  </si>
  <si>
    <t>Project accounting software</t>
  </si>
  <si>
    <t>Advantage360</t>
  </si>
  <si>
    <t>Customer feedback software</t>
  </si>
  <si>
    <t>ASC Automotive</t>
  </si>
  <si>
    <t>Automotive dealer software</t>
  </si>
  <si>
    <t>Sicap</t>
  </si>
  <si>
    <t>Public procurement software</t>
  </si>
  <si>
    <t>Prima</t>
  </si>
  <si>
    <t>Retail ERP software</t>
  </si>
  <si>
    <t>Incadea</t>
  </si>
  <si>
    <t>Automotive retail software</t>
  </si>
  <si>
    <t>Helm</t>
  </si>
  <si>
    <t>Maritime software</t>
  </si>
  <si>
    <t>Grosvenor Systems</t>
  </si>
  <si>
    <t>Retail &amp; hospitality software</t>
  </si>
  <si>
    <t>Function Point</t>
  </si>
  <si>
    <t>Agency management software</t>
  </si>
  <si>
    <t>Empresa1</t>
  </si>
  <si>
    <t>ERP software</t>
  </si>
  <si>
    <t>DRAMS Software</t>
  </si>
  <si>
    <t>Baseplan</t>
  </si>
  <si>
    <t>Aleyant</t>
  </si>
  <si>
    <t>Print &amp; MIS software</t>
  </si>
  <si>
    <t>BBT Software</t>
  </si>
  <si>
    <t>Government ERP</t>
  </si>
  <si>
    <t>WebCheckout</t>
  </si>
  <si>
    <t>Resource booking software</t>
  </si>
  <si>
    <t>WDS</t>
  </si>
  <si>
    <t>TransTrack</t>
  </si>
  <si>
    <t>Transport analytics</t>
  </si>
  <si>
    <t>Tibersoft</t>
  </si>
  <si>
    <t>Tarantula</t>
  </si>
  <si>
    <t>Testing &amp; QA software</t>
  </si>
  <si>
    <t>SYSTEMTECHNIK</t>
  </si>
  <si>
    <t>Industrial automation software</t>
  </si>
  <si>
    <t>Smartrak</t>
  </si>
  <si>
    <t>Fleet management software</t>
  </si>
  <si>
    <t>Signature Rail</t>
  </si>
  <si>
    <t>Rail industry software</t>
  </si>
  <si>
    <t>ShipNet</t>
  </si>
  <si>
    <t>Maritime ERP</t>
  </si>
  <si>
    <t>IDEA</t>
  </si>
  <si>
    <t>Furlong</t>
  </si>
  <si>
    <t>Edumate</t>
  </si>
  <si>
    <t>Education management systems</t>
  </si>
  <si>
    <t>CaterTrax</t>
  </si>
  <si>
    <t>Catering &amp; events software</t>
  </si>
  <si>
    <t>TOPAZ Technologies</t>
  </si>
  <si>
    <t>Payment &amp; transaction software</t>
  </si>
  <si>
    <t>TASS</t>
  </si>
  <si>
    <t>Primetics</t>
  </si>
  <si>
    <t>Data quality software</t>
  </si>
  <si>
    <t>Greenstone</t>
  </si>
  <si>
    <t>Sustainability &amp; ESG software</t>
  </si>
  <si>
    <t>Gaina</t>
  </si>
  <si>
    <t>Fisa Group</t>
  </si>
  <si>
    <t>Andar Software</t>
  </si>
  <si>
    <t>Real estate management software</t>
  </si>
  <si>
    <t>AMIC</t>
  </si>
  <si>
    <t>Membership management software</t>
  </si>
  <si>
    <t>Solentra</t>
  </si>
  <si>
    <t>Safety &amp; compliance software</t>
  </si>
  <si>
    <t>Red River Software</t>
  </si>
  <si>
    <t>Public sector financial software</t>
  </si>
  <si>
    <t>Netadmin Systems</t>
  </si>
  <si>
    <t>Telecom network management</t>
  </si>
  <si>
    <t>Kinetic</t>
  </si>
  <si>
    <t>Education ERP</t>
  </si>
  <si>
    <t>InTempo</t>
  </si>
  <si>
    <t>CORE Tech</t>
  </si>
  <si>
    <t>Asset &amp; infrastructure management</t>
  </si>
  <si>
    <t>Wellington IT</t>
  </si>
  <si>
    <t>Utility software</t>
  </si>
  <si>
    <t>TripSpark</t>
  </si>
  <si>
    <t>Telepin</t>
  </si>
  <si>
    <t>Mobile commerce platforms</t>
  </si>
  <si>
    <t>PLANit</t>
  </si>
  <si>
    <t>Transport planning software</t>
  </si>
  <si>
    <t>MDS Global</t>
  </si>
  <si>
    <t>Telecom billing software</t>
  </si>
  <si>
    <t>Malmator</t>
  </si>
  <si>
    <t>Incognito</t>
  </si>
  <si>
    <t>Broadband access management</t>
  </si>
  <si>
    <t>Holmedal</t>
  </si>
  <si>
    <t>Silvervine</t>
  </si>
  <si>
    <t>Insurance underwriting software</t>
  </si>
  <si>
    <t>ExtendAg</t>
  </si>
  <si>
    <t>Agriculture software</t>
  </si>
  <si>
    <t>Aeros</t>
  </si>
  <si>
    <t>SpecTec Cruise</t>
  </si>
  <si>
    <t>Cruise &amp; maritime software</t>
  </si>
  <si>
    <t>Wynne Systems</t>
  </si>
  <si>
    <t>Equipment rental ERP</t>
  </si>
  <si>
    <t>Travisoft</t>
  </si>
  <si>
    <t>Travel &amp; tourism software</t>
  </si>
  <si>
    <t>Gallery Systems</t>
  </si>
  <si>
    <t>Museum collection management</t>
  </si>
  <si>
    <t>equivant</t>
  </si>
  <si>
    <t>Justice &amp; court software</t>
  </si>
  <si>
    <t>FacilityForce</t>
  </si>
  <si>
    <t>Facility management software</t>
  </si>
  <si>
    <t>Centurisk</t>
  </si>
  <si>
    <t>Insurance risk analytics</t>
  </si>
  <si>
    <t>AssetWorks Appraisal – Risk Management</t>
  </si>
  <si>
    <t>Government asset management</t>
  </si>
  <si>
    <t>AssetWorks – Fleet</t>
  </si>
  <si>
    <t>AssetWorks</t>
  </si>
  <si>
    <t>Public sector asset management</t>
  </si>
  <si>
    <t>Trapeze Group</t>
  </si>
  <si>
    <t>Volaris Group</t>
  </si>
  <si>
    <t>Harris</t>
  </si>
  <si>
    <t>2Team</t>
  </si>
  <si>
    <t>Europe</t>
  </si>
  <si>
    <t>ACCEO Retail</t>
  </si>
  <si>
    <t>Private sector software</t>
  </si>
  <si>
    <t>North America</t>
  </si>
  <si>
    <t>ACCEO SMB Solutions</t>
  </si>
  <si>
    <t>ADL Data Systems</t>
  </si>
  <si>
    <t>Healthcare software</t>
  </si>
  <si>
    <t>AGO</t>
  </si>
  <si>
    <t>AQS</t>
  </si>
  <si>
    <t>Advanced Utility Systems</t>
  </si>
  <si>
    <t>Utilities software</t>
  </si>
  <si>
    <t>Agency Software</t>
  </si>
  <si>
    <t>Altera</t>
  </si>
  <si>
    <t>Africa, Australia, Europe, North America</t>
  </si>
  <si>
    <t>Amazing Charts</t>
  </si>
  <si>
    <t>Apex42</t>
  </si>
  <si>
    <t>Aumentum Technologies</t>
  </si>
  <si>
    <t>North America, Africa, Asia</t>
  </si>
  <si>
    <t>BobCAD-CAM</t>
  </si>
  <si>
    <t>North America, Europe, South America, Asia</t>
  </si>
  <si>
    <t>CITSL</t>
  </si>
  <si>
    <t>COATS</t>
  </si>
  <si>
    <t>Caliber Public Safety</t>
  </si>
  <si>
    <t>Capitol Appraisal Group</t>
  </si>
  <si>
    <t>Cayenta</t>
  </si>
  <si>
    <t>CityView</t>
  </si>
  <si>
    <t>Cognera</t>
  </si>
  <si>
    <t>North America, Europe</t>
  </si>
  <si>
    <t>Cogsdale</t>
  </si>
  <si>
    <t>North America, South America, Africa</t>
  </si>
  <si>
    <t>Collain Healthcare</t>
  </si>
  <si>
    <t>Commerce Decisions</t>
  </si>
  <si>
    <t>North America, Australia, Europe</t>
  </si>
  <si>
    <t>Connecture</t>
  </si>
  <si>
    <t>Copernic</t>
  </si>
  <si>
    <t>North America, Asia, Australia, Europe</t>
  </si>
  <si>
    <t>Creditron</t>
  </si>
  <si>
    <t>Dakis</t>
  </si>
  <si>
    <t>North America, Australia, Europe, Asia</t>
  </si>
  <si>
    <t>DataVoice International</t>
  </si>
  <si>
    <t>DynaTouch</t>
  </si>
  <si>
    <t>Eagle Advantage Solutions</t>
  </si>
  <si>
    <t>Excelergy</t>
  </si>
  <si>
    <t>Executive Information Services</t>
  </si>
  <si>
    <t>Force Information Systems</t>
  </si>
  <si>
    <t>GEMMS</t>
  </si>
  <si>
    <t>Genial Genetics</t>
  </si>
  <si>
    <t>North America, Africa, Australia, Asia, Europe</t>
  </si>
  <si>
    <t>Global Public Safety</t>
  </si>
  <si>
    <t>Globys</t>
  </si>
  <si>
    <t>Asia, Australia, Europe, North America</t>
  </si>
  <si>
    <t>Gtechna</t>
  </si>
  <si>
    <t>North America, Asia</t>
  </si>
  <si>
    <t>HOPEM</t>
  </si>
  <si>
    <t>Harris Affinity</t>
  </si>
  <si>
    <t>Harris Benchmark</t>
  </si>
  <si>
    <t>Harris CareTracker</t>
  </si>
  <si>
    <t>Harris Corrections</t>
  </si>
  <si>
    <t>Harris Enterprise Resource Planning</t>
  </si>
  <si>
    <t>Harris Govern</t>
  </si>
  <si>
    <t>Harris Healthcare</t>
  </si>
  <si>
    <t>North America, Asia, Europe</t>
  </si>
  <si>
    <t>Harris Local Government</t>
  </si>
  <si>
    <t>Harris OnPoint</t>
  </si>
  <si>
    <t>Harris Recording Solutions</t>
  </si>
  <si>
    <t>Harris School Solutions</t>
  </si>
  <si>
    <t>Harris Utility Consumer Analytics</t>
  </si>
  <si>
    <t>I2</t>
  </si>
  <si>
    <t>Australia, North America, Africa, Asia, Europe</t>
  </si>
  <si>
    <t>ICarol</t>
  </si>
  <si>
    <t>Australia, North America, Asia, Europe</t>
  </si>
  <si>
    <t>IMDsoft</t>
  </si>
  <si>
    <t>North America, Australia, Asia, Europe</t>
  </si>
  <si>
    <t>Iatric Systems</t>
  </si>
  <si>
    <t>North America, Africa, Europe</t>
  </si>
  <si>
    <t>InHANCE</t>
  </si>
  <si>
    <t>Informat</t>
  </si>
  <si>
    <t>Integrative</t>
  </si>
  <si>
    <t>Interfile</t>
  </si>
  <si>
    <t>Africa</t>
  </si>
  <si>
    <t>Ivrnet</t>
  </si>
  <si>
    <t>Just Associates</t>
  </si>
  <si>
    <t>K2 Medical Systems</t>
  </si>
  <si>
    <t>MACC</t>
  </si>
  <si>
    <t>MediSolution</t>
  </si>
  <si>
    <t>Modyo</t>
  </si>
  <si>
    <t>South America, North America</t>
  </si>
  <si>
    <t>MorCare</t>
  </si>
  <si>
    <t>Mquadr.at</t>
  </si>
  <si>
    <t>Europe, North America, South America, Asia</t>
  </si>
  <si>
    <t>NorthStar Utilities Solutions</t>
  </si>
  <si>
    <t>Novum</t>
  </si>
  <si>
    <t>OBIX Perinatal Data System</t>
  </si>
  <si>
    <t>Asia, Africa, North America</t>
  </si>
  <si>
    <t>Onefile</t>
  </si>
  <si>
    <t>Africa, Asia, Europe</t>
  </si>
  <si>
    <t>PG Solutions</t>
  </si>
  <si>
    <t>Partner Software</t>
  </si>
  <si>
    <t>Picis</t>
  </si>
  <si>
    <t>PrismRBS</t>
  </si>
  <si>
    <t>PrognoCIS by bizmatics</t>
  </si>
  <si>
    <t>PulseCheck</t>
  </si>
  <si>
    <t>QuadraMed</t>
  </si>
  <si>
    <t>Questline Digital</t>
  </si>
  <si>
    <t>Quicksilva</t>
  </si>
  <si>
    <t>QuoteBurst</t>
  </si>
  <si>
    <t>Resolv Healthcare</t>
  </si>
  <si>
    <t>Rialtas</t>
  </si>
  <si>
    <t>SIV</t>
  </si>
  <si>
    <t>ServiceLink</t>
  </si>
  <si>
    <t>North America, South America</t>
  </si>
  <si>
    <t>SilverBlaze</t>
  </si>
  <si>
    <t>SirsiDynix</t>
  </si>
  <si>
    <t>SmartCOP</t>
  </si>
  <si>
    <t>SmartWorks</t>
  </si>
  <si>
    <t>Syscon Justice Systems</t>
  </si>
  <si>
    <t>System Innovators</t>
  </si>
  <si>
    <t>Trancite Logic Systems</t>
  </si>
  <si>
    <t>VLN Partners</t>
  </si>
  <si>
    <t>Vantrix</t>
  </si>
  <si>
    <t>Xanalys</t>
  </si>
  <si>
    <t>South America</t>
  </si>
  <si>
    <t>Australia</t>
  </si>
  <si>
    <t>Jonas Construction</t>
  </si>
  <si>
    <t>Construction</t>
  </si>
  <si>
    <t>Jonas Club Management</t>
  </si>
  <si>
    <t>Club Management</t>
  </si>
  <si>
    <t>Jonas Fitness</t>
  </si>
  <si>
    <t>Fitness, Leisure &amp; Sports</t>
  </si>
  <si>
    <t>Jonas Hospitality</t>
  </si>
  <si>
    <t>Hotel &amp; Resorts</t>
  </si>
  <si>
    <t>Jonas Food &amp; Beverage</t>
  </si>
  <si>
    <t>Food &amp; Beverage</t>
  </si>
  <si>
    <t>Jonas Leisure</t>
  </si>
  <si>
    <t>Jonas Sports</t>
  </si>
  <si>
    <t>Club Systems International</t>
  </si>
  <si>
    <t>Northstar Technologies</t>
  </si>
  <si>
    <t>Perennial Software</t>
  </si>
  <si>
    <t>eFit Financial</t>
  </si>
  <si>
    <t>ABC Financial</t>
  </si>
  <si>
    <t>Glofox</t>
  </si>
  <si>
    <t>TeamUp</t>
  </si>
  <si>
    <t>GymMaster</t>
  </si>
  <si>
    <t>Legend Recreation Software</t>
  </si>
  <si>
    <t>Perfect Gym</t>
  </si>
  <si>
    <t>Ashbourne Membership Management</t>
  </si>
  <si>
    <t>Exerp</t>
  </si>
  <si>
    <t>Xplor Technologies</t>
  </si>
  <si>
    <t>OpenPlay</t>
  </si>
  <si>
    <t>CourtReserve</t>
  </si>
  <si>
    <t>EZFacility</t>
  </si>
  <si>
    <t>GolfManager</t>
  </si>
  <si>
    <t>Golf &amp; Leisure</t>
  </si>
  <si>
    <t>Teesnap</t>
  </si>
  <si>
    <t>Jonas Club Software</t>
  </si>
  <si>
    <t>Centaur Software</t>
  </si>
  <si>
    <t>Cobra Golf</t>
  </si>
  <si>
    <t>ForeUP</t>
  </si>
  <si>
    <t>MemberFirst</t>
  </si>
  <si>
    <t>Alphatool</t>
  </si>
  <si>
    <t>Construct Solutions</t>
  </si>
  <si>
    <t>e-Builder</t>
  </si>
  <si>
    <t>Jonas Premier</t>
  </si>
  <si>
    <t>MCS Solutions</t>
  </si>
  <si>
    <t>Textura</t>
  </si>
  <si>
    <t>BuildTools</t>
  </si>
  <si>
    <t>ProEst</t>
  </si>
  <si>
    <t>Stack Construction Technologies</t>
  </si>
  <si>
    <t>Deltek ComputerEase</t>
  </si>
  <si>
    <t>Applied Software</t>
  </si>
  <si>
    <t>ECI JobBOSS</t>
  </si>
  <si>
    <t>Manufacturing</t>
  </si>
  <si>
    <t>ECI M1</t>
  </si>
  <si>
    <t>Shoptech Manufacturing</t>
  </si>
  <si>
    <t>E2 Manufacturing Systems</t>
  </si>
  <si>
    <t>Expandable Software</t>
  </si>
  <si>
    <t>Deacom</t>
  </si>
  <si>
    <t>IQMS</t>
  </si>
  <si>
    <t>Victory Manufacturing</t>
  </si>
  <si>
    <t>Restaurant Magic</t>
  </si>
  <si>
    <t>MealSuite</t>
  </si>
  <si>
    <t>ChefTec</t>
  </si>
  <si>
    <t>Jonas Foodservice</t>
  </si>
  <si>
    <t>Crunchtime</t>
  </si>
  <si>
    <t>Optimum Control</t>
  </si>
  <si>
    <t>CBORD</t>
  </si>
  <si>
    <t>Fourth</t>
  </si>
  <si>
    <t>Infrasys</t>
  </si>
  <si>
    <t>Agilysys</t>
  </si>
  <si>
    <t>StayNTouch</t>
  </si>
  <si>
    <t>Springer-Miller Systems</t>
  </si>
  <si>
    <t>Visual Matrix</t>
  </si>
  <si>
    <t>Guestline</t>
  </si>
  <si>
    <t>RoomKeyPMS</t>
  </si>
  <si>
    <t>RMS Cloud</t>
  </si>
  <si>
    <t>Jonas Chorum</t>
  </si>
  <si>
    <t>Bookassist</t>
  </si>
  <si>
    <t>SHR</t>
  </si>
  <si>
    <t>ResNexus</t>
  </si>
  <si>
    <t>InnQuest</t>
  </si>
  <si>
    <t>Maestro PMS</t>
  </si>
  <si>
    <t>Jonas Club &amp; Resort Management</t>
  </si>
  <si>
    <t>Radius Software</t>
  </si>
  <si>
    <t>Digital Solutions</t>
  </si>
  <si>
    <t>Tractivity</t>
  </si>
  <si>
    <t>Dash</t>
  </si>
  <si>
    <t>Advertising &amp; Marketing</t>
  </si>
  <si>
    <t>Blue Spider</t>
  </si>
  <si>
    <t>Red Book</t>
  </si>
  <si>
    <t>Intelligent Office</t>
  </si>
  <si>
    <t>Financial</t>
  </si>
  <si>
    <t>Junxure</t>
  </si>
  <si>
    <t>Salentica</t>
  </si>
  <si>
    <t>Advent Portfolio Exchange</t>
  </si>
  <si>
    <t>Black Diamond</t>
  </si>
  <si>
    <t>Tamarac</t>
  </si>
  <si>
    <t>Orion Advisor Solutions</t>
  </si>
  <si>
    <t>Eclipse</t>
  </si>
  <si>
    <t>Schwab PortfolioCenter</t>
  </si>
  <si>
    <t>Crestwood Associates</t>
  </si>
  <si>
    <t>ASPEA Software</t>
  </si>
  <si>
    <t>Calyx</t>
  </si>
  <si>
    <t>Defaqto</t>
  </si>
  <si>
    <t>Mortgage Brain</t>
  </si>
  <si>
    <t>MidlandHR</t>
  </si>
  <si>
    <t>Human Capital Management</t>
  </si>
  <si>
    <t>Zellis</t>
  </si>
  <si>
    <t>ResourceLink</t>
  </si>
  <si>
    <t>Talentia</t>
  </si>
  <si>
    <t>Planday</t>
  </si>
  <si>
    <t>Allocate Software</t>
  </si>
  <si>
    <t>RotaCloud</t>
  </si>
  <si>
    <t>Jonas HR</t>
  </si>
  <si>
    <t>MHR</t>
  </si>
  <si>
    <t>Access People</t>
  </si>
  <si>
    <t>Penta Technologies</t>
  </si>
  <si>
    <t>Real Estate</t>
  </si>
  <si>
    <t>MRI Software</t>
  </si>
  <si>
    <t>Yardi Systems</t>
  </si>
  <si>
    <t>Buildium</t>
  </si>
  <si>
    <t>RealPage</t>
  </si>
  <si>
    <t>Rent Manager</t>
  </si>
  <si>
    <t>Entrata</t>
  </si>
  <si>
    <t>AppFolio</t>
  </si>
  <si>
    <t>Propertyware</t>
  </si>
  <si>
    <t>Jenark</t>
  </si>
  <si>
    <t>Jonas Property Management</t>
  </si>
  <si>
    <t>CivicPlus</t>
  </si>
  <si>
    <t>Government</t>
  </si>
  <si>
    <t>Kahootz</t>
  </si>
  <si>
    <t>Nodum</t>
  </si>
  <si>
    <t>SupportAbility</t>
  </si>
  <si>
    <t>AMT Sybex</t>
  </si>
  <si>
    <t>C-SAM</t>
  </si>
  <si>
    <t>Open Systems International</t>
  </si>
  <si>
    <t>TechOne</t>
  </si>
  <si>
    <t>Tyler Technologies</t>
  </si>
  <si>
    <t>Unit4</t>
  </si>
  <si>
    <t>Jonas Public Sector</t>
  </si>
  <si>
    <t>ePOS Group</t>
  </si>
  <si>
    <t>Retail</t>
  </si>
  <si>
    <t>FashionMaster</t>
  </si>
  <si>
    <t>Cunninghams</t>
  </si>
  <si>
    <t>Eurostop</t>
  </si>
  <si>
    <t>S4 Retail</t>
  </si>
  <si>
    <t>Retail Pro</t>
  </si>
  <si>
    <t>Brightpearl</t>
  </si>
  <si>
    <t>Lightspeed</t>
  </si>
  <si>
    <t>Vend</t>
  </si>
  <si>
    <t>Kounta</t>
  </si>
  <si>
    <t>Jonas Retail Solutions</t>
  </si>
  <si>
    <t>Trackplan</t>
  </si>
  <si>
    <t>Asset Management</t>
  </si>
  <si>
    <t>Wheatley Software Solutions</t>
  </si>
  <si>
    <t>Halo Leisure Enterprise</t>
  </si>
  <si>
    <t>C-SAM Asset Management</t>
  </si>
  <si>
    <t>VLogic</t>
  </si>
  <si>
    <t>Lucity</t>
  </si>
  <si>
    <t>Assetic</t>
  </si>
  <si>
    <t>Brightly Software</t>
  </si>
  <si>
    <t>Confirm</t>
  </si>
  <si>
    <t>Jonas Asset Management</t>
  </si>
  <si>
    <t>Jonas</t>
  </si>
  <si>
    <t>World</t>
  </si>
  <si>
    <t>Enterprise software</t>
  </si>
  <si>
    <t>Automotive software</t>
  </si>
  <si>
    <t>Vela Software</t>
  </si>
  <si>
    <t>Compusense</t>
  </si>
  <si>
    <t>CPG</t>
  </si>
  <si>
    <t>InfoBate</t>
  </si>
  <si>
    <t>Emphasys</t>
  </si>
  <si>
    <t>Government / Public Sector</t>
  </si>
  <si>
    <t>Friedman</t>
  </si>
  <si>
    <t>ERP / Horizontal</t>
  </si>
  <si>
    <t>Mainpac</t>
  </si>
  <si>
    <t>Xdata</t>
  </si>
  <si>
    <t>Accredo</t>
  </si>
  <si>
    <t>Avalon</t>
  </si>
  <si>
    <t>SVAM</t>
  </si>
  <si>
    <t>A+W</t>
  </si>
  <si>
    <t>Glass, Windows &amp; Doors</t>
  </si>
  <si>
    <t>Quadrature</t>
  </si>
  <si>
    <t>Windflite</t>
  </si>
  <si>
    <t>PMC Software</t>
  </si>
  <si>
    <t>Bitec</t>
  </si>
  <si>
    <t>Lightning Payroll</t>
  </si>
  <si>
    <t>HR, Payroll &amp; Recruiting</t>
  </si>
  <si>
    <t>TamblaWFM Solutions</t>
  </si>
  <si>
    <t>AVIS</t>
  </si>
  <si>
    <t>Healthcare</t>
  </si>
  <si>
    <t>RAYEN SALUD</t>
  </si>
  <si>
    <t>SYAC</t>
  </si>
  <si>
    <t>MCS</t>
  </si>
  <si>
    <t>Jadran-Informatika</t>
  </si>
  <si>
    <t>Aurum</t>
  </si>
  <si>
    <t>Legal Tech</t>
  </si>
  <si>
    <t>Kurier</t>
  </si>
  <si>
    <t>LDSOFT</t>
  </si>
  <si>
    <t>CartDigi</t>
  </si>
  <si>
    <t>ABECAS Insight</t>
  </si>
  <si>
    <t>Logistics, Supply Chain &amp; WMS</t>
  </si>
  <si>
    <t>ASCTrac</t>
  </si>
  <si>
    <t>Cadre</t>
  </si>
  <si>
    <t>Varsity Logistics</t>
  </si>
  <si>
    <t>Viewlocity</t>
  </si>
  <si>
    <t>SphereWMS</t>
  </si>
  <si>
    <t>Datamine</t>
  </si>
  <si>
    <t>Metals &amp; Mining</t>
  </si>
  <si>
    <t>acQuire</t>
  </si>
  <si>
    <t>Snowden Optiro</t>
  </si>
  <si>
    <t>Minemax</t>
  </si>
  <si>
    <t>Centric Mining Systems</t>
  </si>
  <si>
    <t>GeoMineSoft</t>
  </si>
  <si>
    <t>Flairbase</t>
  </si>
  <si>
    <t>Coresoft</t>
  </si>
  <si>
    <t>Nonprofit / Industry Associations</t>
  </si>
  <si>
    <t>MemNet</t>
  </si>
  <si>
    <t>Atex</t>
  </si>
  <si>
    <t>Publishing</t>
  </si>
  <si>
    <t>Comosoft</t>
  </si>
  <si>
    <t>ACR</t>
  </si>
  <si>
    <t>AdvanceRetail</t>
  </si>
  <si>
    <t>Beacon</t>
  </si>
  <si>
    <t>CORESense</t>
  </si>
  <si>
    <t>EDIStech</t>
  </si>
  <si>
    <t>Foresiight</t>
  </si>
  <si>
    <t>Freestyle Solutions</t>
  </si>
  <si>
    <t>Independent Solutions</t>
  </si>
  <si>
    <t>Intelligent Retail</t>
  </si>
  <si>
    <t>Island Pacific</t>
  </si>
  <si>
    <t>IT Visions</t>
  </si>
  <si>
    <t>KRISP Systems</t>
  </si>
  <si>
    <t>Qdos</t>
  </si>
  <si>
    <t>Solutionists</t>
  </si>
  <si>
    <t>Surefire Systems</t>
  </si>
  <si>
    <t>Sympac</t>
  </si>
  <si>
    <t>Triquestra</t>
  </si>
  <si>
    <t>Volo Commerce</t>
  </si>
  <si>
    <t>Vortx</t>
  </si>
  <si>
    <t>3Q</t>
  </si>
  <si>
    <t>Apparel21</t>
  </si>
  <si>
    <t>Textile &amp; Apparel</t>
  </si>
  <si>
    <t>Future Business Systems</t>
  </si>
  <si>
    <t>NedGraphics</t>
  </si>
  <si>
    <t>Optitex</t>
  </si>
  <si>
    <t>Inspiretec</t>
  </si>
  <si>
    <t>Travel</t>
  </si>
  <si>
    <t>Roibos</t>
  </si>
  <si>
    <t>InteRES</t>
  </si>
  <si>
    <t>RezMagic</t>
  </si>
  <si>
    <t>Juniper</t>
  </si>
  <si>
    <t>TPF Software (TSI)</t>
  </si>
  <si>
    <t>T4W (Cangooroo)</t>
  </si>
  <si>
    <t>IST</t>
  </si>
  <si>
    <t>AIS</t>
  </si>
  <si>
    <t>Alturos</t>
  </si>
  <si>
    <t>Lleego</t>
  </si>
  <si>
    <t>Peakwork</t>
  </si>
  <si>
    <t>Vervotech</t>
  </si>
  <si>
    <t>Traveltek</t>
  </si>
  <si>
    <t>Dome</t>
  </si>
  <si>
    <t>Hotetec</t>
  </si>
  <si>
    <t>Auto-IT</t>
  </si>
  <si>
    <t>Dealership software</t>
  </si>
  <si>
    <t>c-Systems</t>
  </si>
  <si>
    <t>Charter Software</t>
  </si>
  <si>
    <t>Catalyst Computer Systems</t>
  </si>
  <si>
    <t>Magstar</t>
  </si>
  <si>
    <t>BuildTopia</t>
  </si>
  <si>
    <t>Axacore</t>
  </si>
  <si>
    <t>MOPSsys</t>
  </si>
  <si>
    <t>SmartZip</t>
  </si>
  <si>
    <t>GoldCare</t>
  </si>
  <si>
    <t>IBCOS</t>
  </si>
  <si>
    <t>IDS Automotive</t>
  </si>
  <si>
    <t>Paulson Computer Systems</t>
  </si>
  <si>
    <t>DIS (Dealer Information Systems)</t>
  </si>
  <si>
    <t>Specialty retail ERP</t>
  </si>
  <si>
    <t>Horizon Retail Solutions</t>
  </si>
  <si>
    <t>Homebuilder software</t>
  </si>
  <si>
    <t>Newstar</t>
  </si>
  <si>
    <t>Sales1440</t>
  </si>
  <si>
    <t>Homebuilder CRM</t>
  </si>
  <si>
    <t>LandDev</t>
  </si>
  <si>
    <t>Homebuilder land development software</t>
  </si>
  <si>
    <t>CONASYS</t>
  </si>
  <si>
    <t>Homebuilder customer experience</t>
  </si>
  <si>
    <t>Woodland O’Brien &amp; Scott</t>
  </si>
  <si>
    <t>CustomerInsight</t>
  </si>
  <si>
    <t>Homebuilder analytics</t>
  </si>
  <si>
    <t>G1440</t>
  </si>
  <si>
    <t>Homebuilder ERP</t>
  </si>
  <si>
    <t>NewHomeListingService</t>
  </si>
  <si>
    <t>Homebuilder listings</t>
  </si>
  <si>
    <t>Constellation HomeBuilder Systems</t>
  </si>
  <si>
    <t>Mortgage Builder</t>
  </si>
  <si>
    <t>Mortgage software</t>
  </si>
  <si>
    <t>Mortgage document workflow</t>
  </si>
  <si>
    <t>Optimal Blue</t>
  </si>
  <si>
    <t>Mortgage pricing &amp; analytics</t>
  </si>
  <si>
    <t>ReverseVision</t>
  </si>
  <si>
    <t>Mortgage origination software</t>
  </si>
  <si>
    <t>Dark Matter Technologies</t>
  </si>
  <si>
    <t>Mortgage technology</t>
  </si>
  <si>
    <t>Showcase IDX</t>
  </si>
  <si>
    <t>Real estate marketing software</t>
  </si>
  <si>
    <t>Market Leader</t>
  </si>
  <si>
    <t>Real estate CRM</t>
  </si>
  <si>
    <t>Constellation1</t>
  </si>
  <si>
    <t>Real estate platforms</t>
  </si>
  <si>
    <t>Sharper Agent</t>
  </si>
  <si>
    <t>Paradym</t>
  </si>
  <si>
    <t>Real estate digital marketing</t>
  </si>
  <si>
    <t>Top Producer</t>
  </si>
  <si>
    <t>Virtual Properties</t>
  </si>
  <si>
    <t>Real estate websites</t>
  </si>
  <si>
    <t>Real estate predictive analytics</t>
  </si>
  <si>
    <t>offrs</t>
  </si>
  <si>
    <t>Real estate marketing analytics</t>
  </si>
  <si>
    <t>Relocation Specialist</t>
  </si>
  <si>
    <t>Real estate relocation software</t>
  </si>
  <si>
    <t>Z57</t>
  </si>
  <si>
    <t>Zurple</t>
  </si>
  <si>
    <t>Real estate lead generation</t>
  </si>
  <si>
    <t>Enterprise Online</t>
  </si>
  <si>
    <t>Diverse Solutions</t>
  </si>
  <si>
    <t>Real estate IDX software</t>
  </si>
  <si>
    <t>Birdview</t>
  </si>
  <si>
    <t>Real estate transaction software</t>
  </si>
  <si>
    <t>Baynet World</t>
  </si>
  <si>
    <t>MAJIQ</t>
  </si>
  <si>
    <t>POMS</t>
  </si>
  <si>
    <t>Manufacturing execution systems</t>
  </si>
  <si>
    <t>ediwise</t>
  </si>
  <si>
    <t>Manufacturing process software</t>
  </si>
  <si>
    <t>OPTIVIQ</t>
  </si>
  <si>
    <t>Manufacturing quality systems</t>
  </si>
  <si>
    <t>Healthcare information management</t>
  </si>
  <si>
    <t>Infian</t>
  </si>
  <si>
    <t>Clinical Computing</t>
  </si>
  <si>
    <t>MIQS</t>
  </si>
  <si>
    <t>Renal Insights</t>
  </si>
  <si>
    <t>Matrix Healthcare Systems</t>
  </si>
  <si>
    <t>Cake</t>
  </si>
  <si>
    <t>Digital marketing software</t>
  </si>
  <si>
    <t>Journey by CAKE</t>
  </si>
  <si>
    <t>Digital marketing analytics</t>
  </si>
  <si>
    <t>TUNE</t>
  </si>
  <si>
    <t>Digital marketing &amp; attribution</t>
  </si>
  <si>
    <t>Enspire</t>
  </si>
  <si>
    <t>R.O. Writer</t>
  </si>
  <si>
    <t>Automotive repair software</t>
  </si>
  <si>
    <t>Campana Systems</t>
  </si>
  <si>
    <t>Perseus</t>
  </si>
  <si>
    <t>Public Sector Software</t>
  </si>
  <si>
    <t>Vertical Market Software</t>
  </si>
  <si>
    <t>Healthcare Software</t>
  </si>
  <si>
    <t>Holding Entity</t>
  </si>
  <si>
    <t>Education Software</t>
  </si>
  <si>
    <t>Passfield Data Systems Limited</t>
  </si>
  <si>
    <t>Dynamic Software D.S. N.V.</t>
  </si>
  <si>
    <t>TSS Blue Youth Holding sp.z o.o.</t>
  </si>
  <si>
    <t>IDT Capture B.V.</t>
  </si>
  <si>
    <t>Simple S.A.</t>
  </si>
  <si>
    <t>BCT Deutschland GmbH</t>
  </si>
  <si>
    <t>Topicus B.V.</t>
  </si>
  <si>
    <t>BCT B.V.</t>
  </si>
  <si>
    <t>Topicus Zorg Holding B.V.</t>
  </si>
  <si>
    <t>Oravision B.V.</t>
  </si>
  <si>
    <t>Calculus Software B.V.</t>
  </si>
  <si>
    <t>Pro/Future B.V.</t>
  </si>
  <si>
    <t>Proigia B.V.</t>
  </si>
  <si>
    <t>Topicus Healthcare B.V.</t>
  </si>
  <si>
    <t>Alcuin Software SAS</t>
  </si>
  <si>
    <t>Simple Invest sp.zo.o.</t>
  </si>
  <si>
    <t>Datamed SA</t>
  </si>
  <si>
    <t>Medinet Systemy Informatyczne sp.zo.o</t>
  </si>
  <si>
    <t>Ofimática TSS S.L.</t>
  </si>
  <si>
    <t>Topicus Overheid Holding B.V.</t>
  </si>
  <si>
    <t>RTS Remote Terminal System Srl</t>
  </si>
  <si>
    <t>Topicus Overheid B.V.</t>
  </si>
  <si>
    <t>FDT-System AB</t>
  </si>
  <si>
    <t>Topicus Education B.V.</t>
  </si>
  <si>
    <t>TSS Denmark ApS</t>
  </si>
  <si>
    <t>Fortion Holding B.V.</t>
  </si>
  <si>
    <t>Helios Auto ApS</t>
  </si>
  <si>
    <t>Topicus Ambulancezorg B.V.</t>
  </si>
  <si>
    <t>Helios Auto AS</t>
  </si>
  <si>
    <t>GS Holding B.V.</t>
  </si>
  <si>
    <t>Schilling ApS</t>
  </si>
  <si>
    <t>Geosoftware Holdings Inc.</t>
  </si>
  <si>
    <t>isp-insoft Gesellschaft für Entwicklung und Vertrieb individueller Software GmbH</t>
  </si>
  <si>
    <t>Geosoftware LP</t>
  </si>
  <si>
    <t>GeoSoftware C.V.</t>
  </si>
  <si>
    <t>GS GP Holdings Inc.</t>
  </si>
  <si>
    <t>GeoSoftware B.V.</t>
  </si>
  <si>
    <t>Geosoftware Sdn. Bhd.</t>
  </si>
  <si>
    <t>Geosoftware LLC</t>
  </si>
  <si>
    <t>PT Geosoftware Indonesia</t>
  </si>
  <si>
    <t>Algardata - Sistemas Informaticos, S.A.</t>
  </si>
  <si>
    <t>Geosoftware Technology Services (Beijing) Co., Ltd.</t>
  </si>
  <si>
    <t>Airdesk Unipessoal Lda.</t>
  </si>
  <si>
    <t>Total Specific Solutions Spain S.L.U.</t>
  </si>
  <si>
    <t>Gesinf S.r.l.</t>
  </si>
  <si>
    <t>Systeme Conseils Etudes Produits Informatiques Appliques SAS</t>
  </si>
  <si>
    <t>Geoactive Ltd.</t>
  </si>
  <si>
    <t>TSS Italy</t>
  </si>
  <si>
    <t>RiskSpectrum AB</t>
  </si>
  <si>
    <t>Sicon Limited</t>
  </si>
  <si>
    <t>Total Specific Solutions (TSS) Unipessoal Lda.</t>
  </si>
  <si>
    <t>Lusoinfo II Multimedia S.A.</t>
  </si>
  <si>
    <t>Ubika Holding SAS</t>
  </si>
  <si>
    <t>Waer Systems Limited</t>
  </si>
  <si>
    <t>Advisor Software Solutions B.V.</t>
  </si>
  <si>
    <t>TS Blue Trinity Holding ehf</t>
  </si>
  <si>
    <t>Five Degrees ehf</t>
  </si>
  <si>
    <t>AS Systems OOD</t>
  </si>
  <si>
    <t>TSS Norge Holding AS</t>
  </si>
  <si>
    <t>Hi Tech Mobility AS</t>
  </si>
  <si>
    <t>Topicus Vietnam LLC</t>
  </si>
  <si>
    <t>Five Degrees Holding B.V.</t>
  </si>
  <si>
    <t>Digibus S.L.U.</t>
  </si>
  <si>
    <t>Five Degrees Neo B.V.</t>
  </si>
  <si>
    <t>A6 Conseil Methodes Organisation SAS</t>
  </si>
  <si>
    <t>Five Degrees Solutions B.V.</t>
  </si>
  <si>
    <t>Primeur France SAS</t>
  </si>
  <si>
    <t>Primeur Suisse SA</t>
  </si>
  <si>
    <t>Primeur Corporation</t>
  </si>
  <si>
    <t>e-Loo B.V.</t>
  </si>
  <si>
    <t>Primeur Italy Srl</t>
  </si>
  <si>
    <t>Primeur Espana SA</t>
  </si>
  <si>
    <t>Ivido B.V.</t>
  </si>
  <si>
    <t>JetLab Srl</t>
  </si>
  <si>
    <t>Glasof Informatica S.L.</t>
  </si>
  <si>
    <t>Ghibli Innovation Sarl</t>
  </si>
  <si>
    <t>TRUEITSYSTSTEMS S.L.</t>
  </si>
  <si>
    <t>B. Rekencentra N.V.</t>
  </si>
  <si>
    <t>Dot.Cy Hellas IKE</t>
  </si>
  <si>
    <t>Total Specific Solutions Yuste S.L.</t>
  </si>
  <si>
    <t>Sofinn Italia S.r.l.</t>
  </si>
  <si>
    <t>Dot.Cy Developments Limited</t>
  </si>
  <si>
    <t>Creative Information Technology SAS</t>
  </si>
  <si>
    <t>DOTCY DMCC</t>
  </si>
  <si>
    <t>ExpertDoc B.V.</t>
  </si>
  <si>
    <t>CS Bidco B.V.</t>
  </si>
  <si>
    <t>iSOFT Nederland B.V.</t>
  </si>
  <si>
    <t>topicus.com</t>
  </si>
  <si>
    <t>PinkRoccade Healthcare</t>
  </si>
  <si>
    <t>PinkRoccade Local Government</t>
  </si>
  <si>
    <t>NCCW</t>
  </si>
  <si>
    <t>PharmaPartners</t>
  </si>
  <si>
    <t>Topicus Zorg</t>
  </si>
  <si>
    <t>Topicus Overheid</t>
  </si>
  <si>
    <t>Topicus Onderwijs</t>
  </si>
  <si>
    <t>Blueriq</t>
  </si>
  <si>
    <t>Low-code / case management</t>
  </si>
  <si>
    <t>Vicrea</t>
  </si>
  <si>
    <t>Social domain &amp; welfare software</t>
  </si>
  <si>
    <t>KZA</t>
  </si>
  <si>
    <t>Justice &amp; enforcement software</t>
  </si>
  <si>
    <t>Divide</t>
  </si>
  <si>
    <t>Public safety &amp; enforcement software</t>
  </si>
  <si>
    <t>Stadsbeheer</t>
  </si>
  <si>
    <t>Public space management software</t>
  </si>
  <si>
    <t>Notubiz</t>
  </si>
  <si>
    <t>Citizen participation software</t>
  </si>
  <si>
    <t>Civity</t>
  </si>
  <si>
    <t>Itris</t>
  </si>
  <si>
    <t>Hercules</t>
  </si>
  <si>
    <t>BCT</t>
  </si>
  <si>
    <t>Document &amp; case management</t>
  </si>
  <si>
    <t>Quantaris</t>
  </si>
  <si>
    <t>Data analytics &amp; compliance software</t>
  </si>
  <si>
    <t>Emergo Systems</t>
  </si>
  <si>
    <t>Five Degrees</t>
  </si>
  <si>
    <t>Banking &amp; financial services software</t>
  </si>
  <si>
    <t>Advisor Software Solutions</t>
  </si>
  <si>
    <t>Financial advisory software</t>
  </si>
  <si>
    <t>RiskSpectrum</t>
  </si>
  <si>
    <t>Risk &amp; safety analysis software</t>
  </si>
  <si>
    <t>Technidata</t>
  </si>
  <si>
    <t>Healthcare &amp; life sciences software</t>
  </si>
  <si>
    <t>Heliantis</t>
  </si>
  <si>
    <t>Datamed</t>
  </si>
  <si>
    <t>Medinet</t>
  </si>
  <si>
    <t>Mediamaestro</t>
  </si>
  <si>
    <t>IQDoQ</t>
  </si>
  <si>
    <t>ExpertDoc</t>
  </si>
  <si>
    <t>wiko</t>
  </si>
  <si>
    <t>Square Information Solutions</t>
  </si>
  <si>
    <t>DEDACT</t>
  </si>
  <si>
    <t>Microcash</t>
  </si>
  <si>
    <t>Prohandel</t>
  </si>
  <si>
    <t>Retail &amp; wholesale software</t>
  </si>
  <si>
    <t>Yonder</t>
  </si>
  <si>
    <t>Supply chain &amp; planning software</t>
  </si>
  <si>
    <t>Cosoluce</t>
  </si>
  <si>
    <t>Salvia</t>
  </si>
  <si>
    <t>Construction &amp; real estate software</t>
  </si>
  <si>
    <t>Arter</t>
  </si>
  <si>
    <t>Arter ICT</t>
  </si>
  <si>
    <t>Public infrastructure software</t>
  </si>
  <si>
    <t>Infoflex</t>
  </si>
  <si>
    <t>Data exchange &amp; interoperability</t>
  </si>
  <si>
    <t>Forsikringens DataCenter</t>
  </si>
  <si>
    <t>Insurance data platforms</t>
  </si>
  <si>
    <t>Spyro</t>
  </si>
  <si>
    <t>A.P. SYSTEM</t>
  </si>
  <si>
    <t>Nextip</t>
  </si>
  <si>
    <t>Gesinf</t>
  </si>
  <si>
    <t>Public sector ERP</t>
  </si>
  <si>
    <t>Ofimática TSS</t>
  </si>
  <si>
    <t>Sicon</t>
  </si>
  <si>
    <t>Primeur</t>
  </si>
  <si>
    <t>Data integration software</t>
  </si>
  <si>
    <t>JetLab</t>
  </si>
  <si>
    <t>Ghibli</t>
  </si>
  <si>
    <t>Innovation &amp; R&amp;D software</t>
  </si>
  <si>
    <t>Dot.Cy</t>
  </si>
  <si>
    <t>Digital platforms software</t>
  </si>
  <si>
    <t>Creative Information Technology</t>
  </si>
  <si>
    <t>Algardata</t>
  </si>
  <si>
    <t>Airdesk</t>
  </si>
  <si>
    <t>Facility &amp; workspace software</t>
  </si>
  <si>
    <t>Adapt Informatique</t>
  </si>
  <si>
    <t>Alcuin</t>
  </si>
  <si>
    <t>Passfield</t>
  </si>
  <si>
    <t>Dynamic Software</t>
  </si>
  <si>
    <t>Ivido</t>
  </si>
  <si>
    <t>Digital engagement software</t>
  </si>
  <si>
    <t>Vlot Systemen</t>
  </si>
  <si>
    <t>Municipal management software</t>
  </si>
  <si>
    <t>Helios Auto</t>
  </si>
  <si>
    <t>Schilling</t>
  </si>
  <si>
    <t>Geosoftware</t>
  </si>
  <si>
    <t>Geospatial &amp; mapping software</t>
  </si>
  <si>
    <t>ISP-Insoft</t>
  </si>
  <si>
    <t>Geospatial software</t>
  </si>
  <si>
    <t>Geoactive</t>
  </si>
  <si>
    <t>FDT-System</t>
  </si>
  <si>
    <t>TRUEITSYSTEMS</t>
  </si>
  <si>
    <t>Enterprise IT software</t>
  </si>
  <si>
    <t>Lusoinfo</t>
  </si>
  <si>
    <t>Ubika</t>
  </si>
  <si>
    <t>Security &amp; identity software</t>
  </si>
  <si>
    <t>Waer Systems</t>
  </si>
  <si>
    <t>Data &amp; integration software</t>
  </si>
  <si>
    <t>Pro/Future</t>
  </si>
  <si>
    <t>Industry-specific ERP</t>
  </si>
  <si>
    <t>Calculus</t>
  </si>
  <si>
    <t>Financial &amp; planning software</t>
  </si>
  <si>
    <t>Oravision</t>
  </si>
  <si>
    <t>Media &amp; broadcasting software</t>
  </si>
  <si>
    <t>Tribofilm</t>
  </si>
  <si>
    <t>Engineering &amp; simulation software</t>
  </si>
  <si>
    <t>TPCS</t>
  </si>
  <si>
    <t>Nostradamus ICT</t>
  </si>
  <si>
    <t>OneTrail</t>
  </si>
  <si>
    <t>SpraakLab</t>
  </si>
  <si>
    <t>Speech &amp; language technology</t>
  </si>
  <si>
    <t>Easysoft</t>
  </si>
  <si>
    <t>Integration &amp; connectivity software</t>
  </si>
  <si>
    <t>Tri-ennium</t>
  </si>
  <si>
    <t>Fortion</t>
  </si>
  <si>
    <t>GS Software</t>
  </si>
  <si>
    <t>Group utilities software</t>
  </si>
  <si>
    <t>Hi Tech Mobility</t>
  </si>
  <si>
    <t>Transport software</t>
  </si>
  <si>
    <t>Digibus</t>
  </si>
  <si>
    <t>Transport &amp; ticketing software</t>
  </si>
  <si>
    <t>Primeur France</t>
  </si>
  <si>
    <t>Primeur Italy</t>
  </si>
  <si>
    <t>Primeur Spain</t>
  </si>
  <si>
    <t>Primeur Switzerland</t>
  </si>
  <si>
    <t>e-Loo</t>
  </si>
  <si>
    <t>Healthcare sanitation software</t>
  </si>
  <si>
    <t>Isoft Nederland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</si>
</sst>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164" fontId="0" fillId="0" borderId="0" xfId="0" applyNumberFormat="1"/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5953</xdr:colOff>
      <xdr:row>3</xdr:row>
      <xdr:rowOff>11906</xdr:rowOff>
    </xdr:from>
    <xdr:to>
      <xdr:col>6</xdr:col>
      <xdr:colOff>11906</xdr:colOff>
      <xdr:row>33</xdr:row>
      <xdr:rowOff>11906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3ADD347-4351-7358-D70D-104C945A068C}"/>
            </a:ext>
          </a:extLst>
        </xdr:cNvPr>
        <xdr:cNvCxnSpPr/>
      </xdr:nvCxnSpPr>
      <xdr:spPr>
        <a:xfrm>
          <a:off x="3970734" y="583406"/>
          <a:ext cx="5953" cy="514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7</xdr:col>
      <xdr:colOff>1248276</xdr:colOff>
      <xdr:row>56</xdr:row>
      <xdr:rowOff>178468</xdr:rowOff>
    </xdr:to>
    <xdr:sp macro="" textlink="">
      <xdr:nvSpPr>
        <xdr:cNvPr id="2050" name="AutoShape 2" descr="Centurisk">
          <a:extLst>
            <a:ext uri="{FF2B5EF4-FFF2-40B4-BE49-F238E27FC236}">
              <a16:creationId xmlns:a16="http://schemas.microsoft.com/office/drawing/2014/main" id="{44B536B3-9493-87DE-E22A-533A01EF7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9753600" cy="975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7</xdr:col>
      <xdr:colOff>1248276</xdr:colOff>
      <xdr:row>60</xdr:row>
      <xdr:rowOff>18047</xdr:rowOff>
    </xdr:to>
    <xdr:sp macro="" textlink="">
      <xdr:nvSpPr>
        <xdr:cNvPr id="2053" name="AutoShape 5" descr="AssetWorks">
          <a:extLst>
            <a:ext uri="{FF2B5EF4-FFF2-40B4-BE49-F238E27FC236}">
              <a16:creationId xmlns:a16="http://schemas.microsoft.com/office/drawing/2014/main" id="{BE9A6313-2647-433B-3596-5B23578D4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4500"/>
          <a:ext cx="9753600" cy="975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2096-5D1D-4104-8307-9C3CEF6DA391}">
  <dimension ref="B2:CE147"/>
  <sheetViews>
    <sheetView tabSelected="1" zoomScale="160" zoomScaleNormal="160" workbookViewId="0">
      <pane xSplit="2" ySplit="2" topLeftCell="F24" activePane="bottomRight" state="frozen"/>
      <selection pane="topRight" activeCell="C1" sqref="C1"/>
      <selection pane="bottomLeft" activeCell="A3" sqref="A3"/>
      <selection pane="bottomRight" activeCell="Q37" sqref="Q37"/>
    </sheetView>
  </sheetViews>
  <sheetFormatPr defaultRowHeight="15" x14ac:dyDescent="0.25"/>
  <cols>
    <col min="1" max="1" width="3" customWidth="1"/>
    <col min="2" max="2" width="20" bestFit="1" customWidth="1"/>
  </cols>
  <sheetData>
    <row r="2" spans="2:17" x14ac:dyDescent="0.25">
      <c r="E2">
        <f>+F2-1</f>
        <v>2023</v>
      </c>
      <c r="F2">
        <v>2024</v>
      </c>
      <c r="G2">
        <f>+F2+1</f>
        <v>2025</v>
      </c>
      <c r="H2">
        <f t="shared" ref="H2:Q2" si="0">+G2+1</f>
        <v>2026</v>
      </c>
      <c r="I2">
        <f t="shared" si="0"/>
        <v>2027</v>
      </c>
      <c r="J2">
        <f t="shared" si="0"/>
        <v>2028</v>
      </c>
      <c r="K2">
        <f t="shared" si="0"/>
        <v>2029</v>
      </c>
      <c r="L2">
        <f t="shared" si="0"/>
        <v>2030</v>
      </c>
      <c r="M2">
        <f t="shared" si="0"/>
        <v>2031</v>
      </c>
      <c r="N2">
        <f t="shared" si="0"/>
        <v>2032</v>
      </c>
      <c r="O2">
        <f t="shared" si="0"/>
        <v>2033</v>
      </c>
      <c r="P2">
        <f t="shared" si="0"/>
        <v>2034</v>
      </c>
      <c r="Q2">
        <f t="shared" si="0"/>
        <v>2035</v>
      </c>
    </row>
    <row r="3" spans="2:17" s="1" customFormat="1" x14ac:dyDescent="0.25"/>
    <row r="4" spans="2:17" s="1" customFormat="1" x14ac:dyDescent="0.25">
      <c r="B4" s="1" t="s">
        <v>0</v>
      </c>
      <c r="E4" s="1">
        <v>386</v>
      </c>
      <c r="F4" s="1">
        <v>393</v>
      </c>
      <c r="G4" s="1">
        <f>290*1.3</f>
        <v>377</v>
      </c>
    </row>
    <row r="5" spans="2:17" s="1" customFormat="1" x14ac:dyDescent="0.25">
      <c r="B5" s="1" t="s">
        <v>1</v>
      </c>
      <c r="E5" s="1">
        <v>1766</v>
      </c>
      <c r="F5" s="1">
        <v>1975</v>
      </c>
      <c r="G5" s="1">
        <f>1558*1.3</f>
        <v>2025.4</v>
      </c>
    </row>
    <row r="6" spans="2:17" s="1" customFormat="1" x14ac:dyDescent="0.25">
      <c r="B6" s="1" t="s">
        <v>2</v>
      </c>
      <c r="E6" s="1">
        <v>268</v>
      </c>
      <c r="F6" s="1">
        <v>302</v>
      </c>
      <c r="G6" s="1">
        <f>244*1.3</f>
        <v>317.2</v>
      </c>
    </row>
    <row r="7" spans="2:17" s="1" customFormat="1" x14ac:dyDescent="0.25">
      <c r="B7" s="1" t="s">
        <v>3</v>
      </c>
      <c r="E7" s="1">
        <v>5985</v>
      </c>
      <c r="F7" s="1">
        <v>7396</v>
      </c>
      <c r="G7" s="1">
        <f>6354*1.3</f>
        <v>8260.2000000000007</v>
      </c>
    </row>
    <row r="8" spans="2:17" s="2" customFormat="1" x14ac:dyDescent="0.25">
      <c r="B8" s="2" t="s">
        <v>4</v>
      </c>
      <c r="E8" s="2">
        <f>+SUM(E4:E7)</f>
        <v>8405</v>
      </c>
      <c r="F8" s="2">
        <f>+SUM(F4:F7)</f>
        <v>10066</v>
      </c>
      <c r="G8" s="2">
        <f>+SUM(G4:G7)</f>
        <v>10979.800000000001</v>
      </c>
      <c r="H8" s="2">
        <f t="shared" ref="H8:L8" si="1">+G8*1.1</f>
        <v>12077.780000000002</v>
      </c>
      <c r="I8" s="2">
        <f t="shared" si="1"/>
        <v>13285.558000000005</v>
      </c>
      <c r="J8" s="2">
        <f t="shared" si="1"/>
        <v>14614.113800000006</v>
      </c>
      <c r="K8" s="2">
        <f t="shared" si="1"/>
        <v>16075.525180000008</v>
      </c>
      <c r="L8" s="2">
        <f t="shared" si="1"/>
        <v>17683.077698000008</v>
      </c>
      <c r="M8" s="2">
        <f>+L8*1.08</f>
        <v>19097.723913840011</v>
      </c>
      <c r="N8" s="2">
        <f t="shared" ref="N8:Q8" si="2">+M8*1.08</f>
        <v>20625.541826947214</v>
      </c>
      <c r="O8" s="2">
        <f t="shared" si="2"/>
        <v>22275.585173102991</v>
      </c>
      <c r="P8" s="2">
        <f t="shared" si="2"/>
        <v>24057.63198695123</v>
      </c>
      <c r="Q8" s="2">
        <f t="shared" si="2"/>
        <v>25982.242545907331</v>
      </c>
    </row>
    <row r="9" spans="2:17" s="1" customFormat="1" x14ac:dyDescent="0.25">
      <c r="B9" s="1" t="s">
        <v>5</v>
      </c>
      <c r="E9" s="1">
        <v>4493</v>
      </c>
      <c r="F9" s="1">
        <v>5322</v>
      </c>
      <c r="G9" s="1">
        <f>4356*1.3</f>
        <v>5662.8</v>
      </c>
    </row>
    <row r="10" spans="2:17" s="1" customFormat="1" x14ac:dyDescent="0.25">
      <c r="B10" s="1" t="s">
        <v>2</v>
      </c>
      <c r="E10" s="1">
        <v>158</v>
      </c>
      <c r="F10" s="1">
        <v>169</v>
      </c>
      <c r="G10" s="1">
        <f>134*1.3</f>
        <v>174.20000000000002</v>
      </c>
    </row>
    <row r="11" spans="2:17" s="1" customFormat="1" x14ac:dyDescent="0.25">
      <c r="B11" s="1" t="s">
        <v>0</v>
      </c>
      <c r="E11" s="1">
        <v>810</v>
      </c>
      <c r="F11" s="1">
        <v>960</v>
      </c>
      <c r="G11" s="1">
        <f>807*1.3</f>
        <v>1049.1000000000001</v>
      </c>
    </row>
    <row r="12" spans="2:17" s="1" customFormat="1" x14ac:dyDescent="0.25">
      <c r="B12" s="1" t="s">
        <v>6</v>
      </c>
      <c r="E12" s="1">
        <v>51</v>
      </c>
      <c r="F12" s="1">
        <v>64</v>
      </c>
      <c r="G12" s="1">
        <f>51*1.3</f>
        <v>66.3</v>
      </c>
    </row>
    <row r="13" spans="2:17" s="1" customFormat="1" x14ac:dyDescent="0.25">
      <c r="B13" s="1" t="s">
        <v>7</v>
      </c>
      <c r="E13" s="1">
        <v>398</v>
      </c>
      <c r="F13" s="1">
        <v>502</v>
      </c>
      <c r="G13" s="1">
        <f>424*1.3</f>
        <v>551.20000000000005</v>
      </c>
    </row>
    <row r="14" spans="2:17" s="1" customFormat="1" x14ac:dyDescent="0.25">
      <c r="B14" s="1" t="s">
        <v>8</v>
      </c>
      <c r="E14" s="1">
        <v>151</v>
      </c>
      <c r="F14" s="1">
        <v>178</v>
      </c>
      <c r="G14" s="1">
        <f>157*1.3</f>
        <v>204.1</v>
      </c>
    </row>
    <row r="15" spans="2:17" s="1" customFormat="1" x14ac:dyDescent="0.25">
      <c r="B15" s="1" t="s">
        <v>9</v>
      </c>
      <c r="E15" s="1">
        <v>138</v>
      </c>
      <c r="F15" s="1">
        <v>182</v>
      </c>
      <c r="G15" s="1">
        <f>154*1.3</f>
        <v>200.20000000000002</v>
      </c>
    </row>
    <row r="16" spans="2:17" s="1" customFormat="1" x14ac:dyDescent="0.25">
      <c r="B16" s="1" t="s">
        <v>10</v>
      </c>
      <c r="E16" s="1">
        <f>162+859</f>
        <v>1021</v>
      </c>
      <c r="F16" s="1">
        <f>182+1044</f>
        <v>1226</v>
      </c>
      <c r="G16" s="1">
        <f>(148+865)*1.3</f>
        <v>1316.9</v>
      </c>
    </row>
    <row r="17" spans="2:83" s="1" customFormat="1" x14ac:dyDescent="0.25">
      <c r="B17" s="1" t="s">
        <v>11</v>
      </c>
      <c r="E17" s="1">
        <f>+E8-SUM(E9:E16)</f>
        <v>1185</v>
      </c>
      <c r="F17" s="1">
        <f>+F8-SUM(F9:F16)</f>
        <v>1463</v>
      </c>
      <c r="G17" s="1">
        <f>+G8-SUM(G9:G16)</f>
        <v>1755</v>
      </c>
    </row>
    <row r="18" spans="2:83" s="1" customFormat="1" x14ac:dyDescent="0.25">
      <c r="B18" s="1" t="s">
        <v>12</v>
      </c>
      <c r="E18" s="1">
        <v>922</v>
      </c>
      <c r="F18" s="1">
        <v>452</v>
      </c>
      <c r="G18" s="1">
        <f>670*1.3</f>
        <v>871</v>
      </c>
    </row>
    <row r="19" spans="2:83" s="1" customFormat="1" x14ac:dyDescent="0.25">
      <c r="B19" s="1" t="s">
        <v>13</v>
      </c>
      <c r="E19" s="1">
        <f>+E17-E18</f>
        <v>263</v>
      </c>
      <c r="F19" s="1">
        <f>+F17-F18</f>
        <v>1011</v>
      </c>
      <c r="G19" s="1">
        <f>+G17-G18</f>
        <v>884</v>
      </c>
    </row>
    <row r="20" spans="2:83" s="1" customFormat="1" x14ac:dyDescent="0.25">
      <c r="B20" s="1" t="s">
        <v>14</v>
      </c>
      <c r="E20" s="1">
        <f>370-166</f>
        <v>204</v>
      </c>
      <c r="F20" s="1">
        <f>525-281</f>
        <v>244</v>
      </c>
      <c r="G20" s="1">
        <f>(445-185)*1.3</f>
        <v>338</v>
      </c>
    </row>
    <row r="21" spans="2:83" s="1" customFormat="1" x14ac:dyDescent="0.25">
      <c r="B21" s="1" t="s">
        <v>15</v>
      </c>
      <c r="E21" s="1">
        <f>+E19-E20</f>
        <v>59</v>
      </c>
      <c r="F21" s="1">
        <f>+F19-F20</f>
        <v>767</v>
      </c>
      <c r="G21" s="1">
        <f>+G19-G20</f>
        <v>546</v>
      </c>
    </row>
    <row r="22" spans="2:83" s="1" customFormat="1" x14ac:dyDescent="0.25">
      <c r="B22" s="1" t="s">
        <v>23</v>
      </c>
      <c r="F22" s="1">
        <f>+F21/F23</f>
        <v>36.193705692793301</v>
      </c>
      <c r="G22" s="1">
        <f>+G21/G23</f>
        <v>25.765010832157941</v>
      </c>
    </row>
    <row r="23" spans="2:83" s="1" customFormat="1" x14ac:dyDescent="0.25">
      <c r="B23" s="1" t="s">
        <v>22</v>
      </c>
      <c r="F23" s="1">
        <v>21.19153</v>
      </c>
      <c r="G23" s="1">
        <v>21.19153</v>
      </c>
    </row>
    <row r="24" spans="2:83" s="1" customFormat="1" x14ac:dyDescent="0.25"/>
    <row r="25" spans="2:83" s="3" customFormat="1" x14ac:dyDescent="0.25">
      <c r="B25" s="3" t="s">
        <v>16</v>
      </c>
      <c r="E25" s="3">
        <f>+E17/E8</f>
        <v>0.14098750743604996</v>
      </c>
      <c r="F25" s="3">
        <f>+F17/F8</f>
        <v>0.14534075104311545</v>
      </c>
      <c r="G25" s="3">
        <f>+G17/G8</f>
        <v>0.15983897703054697</v>
      </c>
      <c r="H25" s="3">
        <f t="shared" ref="H25:Q25" si="3">+H17/H8</f>
        <v>0</v>
      </c>
      <c r="I25" s="3">
        <f t="shared" si="3"/>
        <v>0</v>
      </c>
      <c r="J25" s="3">
        <f t="shared" si="3"/>
        <v>0</v>
      </c>
      <c r="K25" s="3">
        <f t="shared" si="3"/>
        <v>0</v>
      </c>
      <c r="L25" s="3">
        <f t="shared" si="3"/>
        <v>0</v>
      </c>
      <c r="M25" s="3">
        <f t="shared" si="3"/>
        <v>0</v>
      </c>
      <c r="N25" s="3">
        <f t="shared" si="3"/>
        <v>0</v>
      </c>
      <c r="O25" s="3">
        <f t="shared" si="3"/>
        <v>0</v>
      </c>
      <c r="P25" s="3">
        <f t="shared" si="3"/>
        <v>0</v>
      </c>
      <c r="Q25" s="3">
        <f t="shared" si="3"/>
        <v>0</v>
      </c>
    </row>
    <row r="26" spans="2:83" s="3" customFormat="1" x14ac:dyDescent="0.25">
      <c r="B26" s="3" t="s">
        <v>17</v>
      </c>
      <c r="E26" s="3">
        <f>+E21/E8</f>
        <v>7.0196311719214755E-3</v>
      </c>
      <c r="F26" s="3">
        <f>+F21/F8</f>
        <v>7.6197099145638783E-2</v>
      </c>
      <c r="G26" s="3">
        <f>+G21/G8</f>
        <v>4.9727681742836843E-2</v>
      </c>
      <c r="H26" s="3">
        <f t="shared" ref="H26:Q26" si="4">+H21/H8</f>
        <v>0</v>
      </c>
      <c r="I26" s="3">
        <f t="shared" si="4"/>
        <v>0</v>
      </c>
      <c r="J26" s="3">
        <f t="shared" si="4"/>
        <v>0</v>
      </c>
      <c r="K26" s="3">
        <f t="shared" si="4"/>
        <v>0</v>
      </c>
      <c r="L26" s="3">
        <f t="shared" si="4"/>
        <v>0</v>
      </c>
      <c r="M26" s="3">
        <f t="shared" si="4"/>
        <v>0</v>
      </c>
      <c r="N26" s="3">
        <f t="shared" si="4"/>
        <v>0</v>
      </c>
      <c r="O26" s="3">
        <f t="shared" si="4"/>
        <v>0</v>
      </c>
      <c r="P26" s="3">
        <f t="shared" si="4"/>
        <v>0</v>
      </c>
      <c r="Q26" s="3">
        <f t="shared" si="4"/>
        <v>0</v>
      </c>
    </row>
    <row r="27" spans="2:83" s="3" customFormat="1" x14ac:dyDescent="0.25">
      <c r="B27" s="3" t="s">
        <v>21</v>
      </c>
      <c r="F27" s="3">
        <f>+F8/E8 -1</f>
        <v>0.19762046400951805</v>
      </c>
      <c r="G27" s="3">
        <f>+G8/F8 -1</f>
        <v>9.0780846413669902E-2</v>
      </c>
      <c r="H27" s="3">
        <f t="shared" ref="H27:Q27" si="5">+H8/G8 -1</f>
        <v>0.10000000000000009</v>
      </c>
      <c r="I27" s="3">
        <f t="shared" si="5"/>
        <v>0.10000000000000009</v>
      </c>
      <c r="J27" s="3">
        <f t="shared" si="5"/>
        <v>0.10000000000000009</v>
      </c>
      <c r="K27" s="3">
        <f t="shared" si="5"/>
        <v>0.10000000000000009</v>
      </c>
      <c r="L27" s="3">
        <f t="shared" si="5"/>
        <v>9.9999999999999867E-2</v>
      </c>
      <c r="M27" s="3">
        <f t="shared" si="5"/>
        <v>8.0000000000000071E-2</v>
      </c>
      <c r="N27" s="3">
        <f t="shared" si="5"/>
        <v>8.0000000000000071E-2</v>
      </c>
      <c r="O27" s="3">
        <f t="shared" si="5"/>
        <v>8.0000000000000071E-2</v>
      </c>
      <c r="P27" s="3">
        <f t="shared" si="5"/>
        <v>8.0000000000000071E-2</v>
      </c>
      <c r="Q27" s="3">
        <f t="shared" si="5"/>
        <v>8.0000000000000071E-2</v>
      </c>
    </row>
    <row r="28" spans="2:83" s="3" customFormat="1" x14ac:dyDescent="0.25">
      <c r="B28" s="3" t="s">
        <v>24</v>
      </c>
      <c r="E28" s="3">
        <f>+E30/E8</f>
        <v>0.21165972635336108</v>
      </c>
      <c r="F28" s="3">
        <f t="shared" ref="F28:Q28" si="6">+F30/F8</f>
        <v>0.21816014305583151</v>
      </c>
      <c r="G28" s="3">
        <f t="shared" si="6"/>
        <v>0.23016812692398769</v>
      </c>
      <c r="H28" s="3">
        <f t="shared" si="6"/>
        <v>0.2</v>
      </c>
      <c r="I28" s="3">
        <f t="shared" si="6"/>
        <v>0.2</v>
      </c>
      <c r="J28" s="3">
        <f t="shared" si="6"/>
        <v>0.2</v>
      </c>
      <c r="K28" s="3">
        <f t="shared" si="6"/>
        <v>0.2</v>
      </c>
      <c r="L28" s="3">
        <f t="shared" si="6"/>
        <v>0.2</v>
      </c>
      <c r="M28" s="3">
        <f t="shared" si="6"/>
        <v>0.2</v>
      </c>
      <c r="N28" s="3">
        <f t="shared" si="6"/>
        <v>0.2</v>
      </c>
      <c r="O28" s="3">
        <f t="shared" si="6"/>
        <v>0.2</v>
      </c>
      <c r="P28" s="3">
        <f t="shared" si="6"/>
        <v>0.2</v>
      </c>
      <c r="Q28" s="3">
        <f t="shared" si="6"/>
        <v>0.2</v>
      </c>
    </row>
    <row r="29" spans="2:83" s="1" customFormat="1" x14ac:dyDescent="0.25"/>
    <row r="30" spans="2:83" s="1" customFormat="1" x14ac:dyDescent="0.25">
      <c r="B30" s="1" t="s">
        <v>18</v>
      </c>
      <c r="E30" s="1">
        <v>1779</v>
      </c>
      <c r="F30" s="1">
        <v>2196</v>
      </c>
      <c r="G30" s="1">
        <f>1944*1.3</f>
        <v>2527.2000000000003</v>
      </c>
      <c r="H30" s="1">
        <f>+H8*0.2</f>
        <v>2415.5560000000005</v>
      </c>
      <c r="I30" s="1">
        <f t="shared" ref="I30:P30" si="7">+I8*0.2</f>
        <v>2657.1116000000011</v>
      </c>
      <c r="J30" s="1">
        <f t="shared" si="7"/>
        <v>2922.8227600000014</v>
      </c>
      <c r="K30" s="1">
        <f t="shared" si="7"/>
        <v>3215.1050360000017</v>
      </c>
      <c r="L30" s="1">
        <f t="shared" si="7"/>
        <v>3536.6155396000017</v>
      </c>
      <c r="M30" s="1">
        <f t="shared" si="7"/>
        <v>3819.5447827680023</v>
      </c>
      <c r="N30" s="1">
        <f t="shared" si="7"/>
        <v>4125.108365389443</v>
      </c>
      <c r="O30" s="1">
        <f t="shared" si="7"/>
        <v>4455.1170346205981</v>
      </c>
      <c r="P30" s="1">
        <f t="shared" si="7"/>
        <v>4811.5263973902465</v>
      </c>
      <c r="Q30" s="1">
        <f>+Q8*0.2</f>
        <v>5196.4485091814668</v>
      </c>
      <c r="R30" s="1">
        <f>+Q30*(1+$T35)</f>
        <v>5404.3064495487261</v>
      </c>
      <c r="S30" s="1">
        <f t="shared" ref="S30:CD30" si="8">+R30*(1+$T35)</f>
        <v>5620.4787075306749</v>
      </c>
      <c r="T30" s="1">
        <f t="shared" si="8"/>
        <v>5845.2978558319019</v>
      </c>
      <c r="U30" s="1">
        <f t="shared" si="8"/>
        <v>6079.1097700651781</v>
      </c>
      <c r="V30" s="1">
        <f t="shared" si="8"/>
        <v>6322.2741608677852</v>
      </c>
      <c r="W30" s="1">
        <f t="shared" si="8"/>
        <v>6575.1651273024972</v>
      </c>
      <c r="X30" s="1">
        <f t="shared" si="8"/>
        <v>6838.1717323945977</v>
      </c>
      <c r="Y30" s="1">
        <f t="shared" si="8"/>
        <v>7111.698601690382</v>
      </c>
      <c r="Z30" s="1">
        <f t="shared" si="8"/>
        <v>7396.1665457579975</v>
      </c>
      <c r="AA30" s="1">
        <f t="shared" si="8"/>
        <v>7692.0132075883175</v>
      </c>
      <c r="AB30" s="1">
        <f t="shared" si="8"/>
        <v>7999.6937358918503</v>
      </c>
      <c r="AC30" s="1">
        <f t="shared" si="8"/>
        <v>8319.6814853275246</v>
      </c>
      <c r="AD30" s="1">
        <f t="shared" si="8"/>
        <v>8652.468744740625</v>
      </c>
      <c r="AE30" s="1">
        <f t="shared" si="8"/>
        <v>8998.5674945302508</v>
      </c>
      <c r="AF30" s="1">
        <f t="shared" si="8"/>
        <v>9358.5101943114605</v>
      </c>
      <c r="AG30" s="1">
        <f t="shared" si="8"/>
        <v>9732.8506020839195</v>
      </c>
      <c r="AH30" s="1">
        <f t="shared" si="8"/>
        <v>10122.164626167276</v>
      </c>
      <c r="AI30" s="1">
        <f t="shared" si="8"/>
        <v>10527.051211213968</v>
      </c>
      <c r="AJ30" s="1">
        <f t="shared" si="8"/>
        <v>10948.133259662527</v>
      </c>
      <c r="AK30" s="1">
        <f t="shared" si="8"/>
        <v>11386.058590049028</v>
      </c>
      <c r="AL30" s="1">
        <f t="shared" si="8"/>
        <v>11841.50093365099</v>
      </c>
      <c r="AM30" s="1">
        <f t="shared" si="8"/>
        <v>12315.160970997031</v>
      </c>
      <c r="AN30" s="1">
        <f t="shared" si="8"/>
        <v>12807.767409836912</v>
      </c>
      <c r="AO30" s="1">
        <f t="shared" si="8"/>
        <v>13320.078106230389</v>
      </c>
      <c r="AP30" s="1">
        <f t="shared" si="8"/>
        <v>13852.881230479605</v>
      </c>
      <c r="AQ30" s="1">
        <f t="shared" si="8"/>
        <v>14406.99647969879</v>
      </c>
      <c r="AR30" s="1">
        <f t="shared" si="8"/>
        <v>14983.276338886742</v>
      </c>
      <c r="AS30" s="1">
        <f t="shared" si="8"/>
        <v>15582.607392442213</v>
      </c>
      <c r="AT30" s="1">
        <f t="shared" si="8"/>
        <v>16205.911688139902</v>
      </c>
      <c r="AU30" s="1">
        <f t="shared" si="8"/>
        <v>16854.148155665498</v>
      </c>
      <c r="AV30" s="1">
        <f t="shared" si="8"/>
        <v>17528.31408189212</v>
      </c>
      <c r="AW30" s="1">
        <f t="shared" si="8"/>
        <v>18229.446645167805</v>
      </c>
      <c r="AX30" s="1">
        <f t="shared" si="8"/>
        <v>18958.624510974518</v>
      </c>
      <c r="AY30" s="1">
        <f t="shared" si="8"/>
        <v>19716.9694914135</v>
      </c>
      <c r="AZ30" s="1">
        <f t="shared" si="8"/>
        <v>20505.64827107004</v>
      </c>
      <c r="BA30" s="1">
        <f t="shared" si="8"/>
        <v>21325.874201912844</v>
      </c>
      <c r="BB30" s="1">
        <f t="shared" si="8"/>
        <v>22178.909169989358</v>
      </c>
      <c r="BC30" s="1">
        <f t="shared" si="8"/>
        <v>23066.065536788934</v>
      </c>
      <c r="BD30" s="1">
        <f t="shared" si="8"/>
        <v>23988.708158260491</v>
      </c>
      <c r="BE30" s="1">
        <f t="shared" si="8"/>
        <v>24948.256484590911</v>
      </c>
      <c r="BF30" s="1">
        <f t="shared" si="8"/>
        <v>25946.186743974547</v>
      </c>
      <c r="BG30" s="1">
        <f t="shared" si="8"/>
        <v>26984.034213733532</v>
      </c>
      <c r="BH30" s="1">
        <f t="shared" si="8"/>
        <v>28063.395582282876</v>
      </c>
      <c r="BI30" s="1">
        <f t="shared" si="8"/>
        <v>29185.931405574192</v>
      </c>
      <c r="BJ30" s="1">
        <f t="shared" si="8"/>
        <v>30353.368661797162</v>
      </c>
      <c r="BK30" s="1">
        <f t="shared" si="8"/>
        <v>31567.503408269051</v>
      </c>
      <c r="BL30" s="1">
        <f t="shared" si="8"/>
        <v>32830.203544599812</v>
      </c>
      <c r="BM30" s="1">
        <f t="shared" si="8"/>
        <v>34143.411686383806</v>
      </c>
      <c r="BN30" s="1">
        <f t="shared" si="8"/>
        <v>35509.14815383916</v>
      </c>
      <c r="BO30" s="1">
        <f t="shared" si="8"/>
        <v>36929.514079992725</v>
      </c>
      <c r="BP30" s="1">
        <f t="shared" si="8"/>
        <v>38406.694643192437</v>
      </c>
      <c r="BQ30" s="1">
        <f t="shared" si="8"/>
        <v>39942.962428920138</v>
      </c>
      <c r="BR30" s="1">
        <f t="shared" si="8"/>
        <v>41540.680926076944</v>
      </c>
      <c r="BS30" s="1">
        <f t="shared" si="8"/>
        <v>43202.308163120026</v>
      </c>
      <c r="BT30" s="1">
        <f t="shared" si="8"/>
        <v>44930.400489644831</v>
      </c>
      <c r="BU30" s="1">
        <f t="shared" si="8"/>
        <v>46727.616509230626</v>
      </c>
      <c r="BV30" s="1">
        <f t="shared" si="8"/>
        <v>48596.721169599856</v>
      </c>
      <c r="BW30" s="1">
        <f t="shared" si="8"/>
        <v>50540.590016383852</v>
      </c>
      <c r="BX30" s="1">
        <f t="shared" si="8"/>
        <v>52562.213617039211</v>
      </c>
      <c r="BY30" s="1">
        <f t="shared" si="8"/>
        <v>54664.702161720779</v>
      </c>
      <c r="BZ30" s="1">
        <f t="shared" si="8"/>
        <v>56851.290248189609</v>
      </c>
      <c r="CA30" s="1">
        <f t="shared" si="8"/>
        <v>59125.341858117194</v>
      </c>
      <c r="CB30" s="1">
        <f t="shared" si="8"/>
        <v>61490.355532441885</v>
      </c>
      <c r="CC30" s="1">
        <f t="shared" si="8"/>
        <v>63949.969753739562</v>
      </c>
      <c r="CD30" s="1">
        <f t="shared" si="8"/>
        <v>66507.968543889147</v>
      </c>
      <c r="CE30" s="1">
        <f t="shared" ref="CE30" si="9">+CD30*(1+$T35)</f>
        <v>69168.287285644721</v>
      </c>
    </row>
    <row r="31" spans="2:83" s="1" customFormat="1" x14ac:dyDescent="0.25">
      <c r="B31" s="1" t="s">
        <v>20</v>
      </c>
      <c r="E31" s="1">
        <f>1609+238-152</f>
        <v>1695</v>
      </c>
      <c r="F31" s="1">
        <f>1347+336-164</f>
        <v>1519</v>
      </c>
      <c r="G31" s="1">
        <f>+(755+200-100)*1.3</f>
        <v>1111.5</v>
      </c>
    </row>
    <row r="32" spans="2:83" s="1" customFormat="1" x14ac:dyDescent="0.25">
      <c r="B32" s="1" t="s">
        <v>19</v>
      </c>
      <c r="E32" s="1">
        <f>+E30-E31</f>
        <v>84</v>
      </c>
      <c r="F32" s="1">
        <f>+F30-F31</f>
        <v>677</v>
      </c>
      <c r="G32" s="1">
        <f>+G30-G31</f>
        <v>1415.7000000000003</v>
      </c>
    </row>
    <row r="33" spans="17:20" s="1" customFormat="1" x14ac:dyDescent="0.25"/>
    <row r="34" spans="17:20" s="1" customFormat="1" x14ac:dyDescent="0.25">
      <c r="Q34" s="1">
        <f>+Q30/G23</f>
        <v>245.21346543555217</v>
      </c>
      <c r="S34" s="1" t="s">
        <v>25</v>
      </c>
      <c r="T34" s="3">
        <v>0.1</v>
      </c>
    </row>
    <row r="35" spans="17:20" s="1" customFormat="1" x14ac:dyDescent="0.25">
      <c r="Q35" s="1">
        <f>+Q34*20</f>
        <v>4904.2693087110438</v>
      </c>
      <c r="S35" s="1" t="s">
        <v>26</v>
      </c>
      <c r="T35" s="3">
        <v>0.04</v>
      </c>
    </row>
    <row r="36" spans="17:20" s="1" customFormat="1" x14ac:dyDescent="0.25">
      <c r="Q36" s="1">
        <f>+Q35*1.39</f>
        <v>6816.9343391083503</v>
      </c>
      <c r="S36" s="1" t="s">
        <v>27</v>
      </c>
      <c r="T36" s="1">
        <f>NPV(T34,G30:CL30)</f>
        <v>52519.87519726251</v>
      </c>
    </row>
    <row r="37" spans="17:20" s="1" customFormat="1" x14ac:dyDescent="0.25">
      <c r="S37" s="1" t="s">
        <v>28</v>
      </c>
      <c r="T37" s="1">
        <f>2770-565-578-1948-1924</f>
        <v>-2245</v>
      </c>
    </row>
    <row r="38" spans="17:20" s="1" customFormat="1" x14ac:dyDescent="0.25">
      <c r="S38" s="1" t="s">
        <v>29</v>
      </c>
      <c r="T38" s="1">
        <f>+T36+T37</f>
        <v>50274.87519726251</v>
      </c>
    </row>
    <row r="39" spans="17:20" s="1" customFormat="1" x14ac:dyDescent="0.25">
      <c r="S39" s="1" t="s">
        <v>30</v>
      </c>
      <c r="T39" s="1">
        <f>+T38*1.39</f>
        <v>69882.076524194883</v>
      </c>
    </row>
    <row r="40" spans="17:20" s="1" customFormat="1" x14ac:dyDescent="0.25">
      <c r="S40" s="1" t="s">
        <v>22</v>
      </c>
      <c r="T40" s="1">
        <v>21.19153</v>
      </c>
    </row>
    <row r="41" spans="17:20" s="1" customFormat="1" x14ac:dyDescent="0.25">
      <c r="S41" s="1" t="s">
        <v>33</v>
      </c>
      <c r="T41" s="1">
        <f>+T39/T40</f>
        <v>3297.6418656036108</v>
      </c>
    </row>
    <row r="42" spans="17:20" s="1" customFormat="1" x14ac:dyDescent="0.25">
      <c r="S42" s="1" t="s">
        <v>31</v>
      </c>
      <c r="T42" s="1">
        <v>2350</v>
      </c>
    </row>
    <row r="43" spans="17:20" s="1" customFormat="1" x14ac:dyDescent="0.25">
      <c r="S43" s="1" t="s">
        <v>32</v>
      </c>
      <c r="T43" s="3">
        <f>+T41/T42 -1</f>
        <v>0.40325185770366412</v>
      </c>
    </row>
    <row r="44" spans="17:20" s="1" customFormat="1" x14ac:dyDescent="0.25"/>
    <row r="45" spans="17:20" s="1" customFormat="1" x14ac:dyDescent="0.25"/>
    <row r="46" spans="17:20" s="1" customFormat="1" x14ac:dyDescent="0.25">
      <c r="T46" s="1">
        <v>2845</v>
      </c>
    </row>
    <row r="47" spans="17:20" s="1" customFormat="1" x14ac:dyDescent="0.25">
      <c r="T47" s="1">
        <v>60346</v>
      </c>
    </row>
    <row r="48" spans="17:20" s="1" customFormat="1" x14ac:dyDescent="0.25">
      <c r="T48" s="4">
        <f>+T47/T46</f>
        <v>21.211247803163445</v>
      </c>
    </row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F279E-9863-43A6-A035-617AA597C08B}">
  <dimension ref="B3:T223"/>
  <sheetViews>
    <sheetView topLeftCell="K70" zoomScale="190" zoomScaleNormal="190" workbookViewId="0">
      <selection activeCell="P12" sqref="P12"/>
    </sheetView>
  </sheetViews>
  <sheetFormatPr defaultRowHeight="15" x14ac:dyDescent="0.25"/>
  <cols>
    <col min="2" max="2" width="24.5703125" style="5" customWidth="1"/>
    <col min="3" max="3" width="35.85546875" style="5" bestFit="1" customWidth="1"/>
    <col min="4" max="4" width="14" bestFit="1" customWidth="1"/>
    <col min="6" max="6" width="22.5703125" customWidth="1"/>
    <col min="7" max="7" width="21.85546875" bestFit="1" customWidth="1"/>
    <col min="8" max="8" width="39.42578125" customWidth="1"/>
    <col min="10" max="10" width="24.42578125" customWidth="1"/>
    <col min="11" max="11" width="26.5703125" bestFit="1" customWidth="1"/>
    <col min="13" max="13" width="23.140625" bestFit="1" customWidth="1"/>
    <col min="14" max="14" width="30.85546875" bestFit="1" customWidth="1"/>
    <col min="16" max="16" width="30.28515625" bestFit="1" customWidth="1"/>
    <col min="17" max="17" width="38.7109375" bestFit="1" customWidth="1"/>
    <col min="19" max="19" width="29.42578125" customWidth="1"/>
    <col min="20" max="20" width="35.28515625" bestFit="1" customWidth="1"/>
  </cols>
  <sheetData>
    <row r="3" spans="2:20" x14ac:dyDescent="0.25">
      <c r="B3" s="8" t="s">
        <v>439</v>
      </c>
      <c r="F3" s="7" t="s">
        <v>440</v>
      </c>
      <c r="J3" s="7" t="s">
        <v>724</v>
      </c>
      <c r="M3" s="7" t="s">
        <v>728</v>
      </c>
      <c r="P3" s="7" t="s">
        <v>915</v>
      </c>
      <c r="S3" s="7" t="s">
        <v>1008</v>
      </c>
    </row>
    <row r="5" spans="2:20" x14ac:dyDescent="0.25">
      <c r="B5" s="5" t="s">
        <v>34</v>
      </c>
      <c r="C5" s="5" t="s">
        <v>35</v>
      </c>
      <c r="D5" t="s">
        <v>445</v>
      </c>
      <c r="F5" t="s">
        <v>441</v>
      </c>
      <c r="G5" t="s">
        <v>77</v>
      </c>
      <c r="H5" t="s">
        <v>442</v>
      </c>
      <c r="J5" t="s">
        <v>565</v>
      </c>
      <c r="K5" t="s">
        <v>566</v>
      </c>
      <c r="M5" t="s">
        <v>729</v>
      </c>
      <c r="N5" t="s">
        <v>730</v>
      </c>
      <c r="P5" t="s">
        <v>824</v>
      </c>
      <c r="Q5" t="s">
        <v>825</v>
      </c>
      <c r="S5" t="s">
        <v>1009</v>
      </c>
      <c r="T5" t="s">
        <v>448</v>
      </c>
    </row>
    <row r="6" spans="2:20" ht="15.75" x14ac:dyDescent="0.25">
      <c r="B6" s="6" t="s">
        <v>36</v>
      </c>
      <c r="C6" s="5" t="s">
        <v>37</v>
      </c>
      <c r="D6" t="s">
        <v>445</v>
      </c>
      <c r="F6" t="s">
        <v>443</v>
      </c>
      <c r="G6" t="s">
        <v>444</v>
      </c>
      <c r="H6" t="s">
        <v>445</v>
      </c>
      <c r="J6" t="s">
        <v>567</v>
      </c>
      <c r="K6" t="s">
        <v>568</v>
      </c>
      <c r="M6" t="s">
        <v>731</v>
      </c>
      <c r="N6" t="s">
        <v>730</v>
      </c>
      <c r="P6" t="s">
        <v>826</v>
      </c>
      <c r="Q6" t="s">
        <v>825</v>
      </c>
      <c r="S6" t="s">
        <v>1010</v>
      </c>
      <c r="T6" t="s">
        <v>69</v>
      </c>
    </row>
    <row r="7" spans="2:20" ht="15.75" x14ac:dyDescent="0.25">
      <c r="B7" s="6" t="s">
        <v>38</v>
      </c>
      <c r="C7" s="5" t="s">
        <v>39</v>
      </c>
      <c r="D7" t="s">
        <v>521</v>
      </c>
      <c r="F7" t="s">
        <v>446</v>
      </c>
      <c r="G7" t="s">
        <v>444</v>
      </c>
      <c r="H7" t="s">
        <v>445</v>
      </c>
      <c r="J7" t="s">
        <v>569</v>
      </c>
      <c r="K7" t="s">
        <v>570</v>
      </c>
      <c r="M7" t="s">
        <v>732</v>
      </c>
      <c r="N7" t="s">
        <v>733</v>
      </c>
      <c r="P7" t="s">
        <v>827</v>
      </c>
      <c r="Q7" t="s">
        <v>825</v>
      </c>
      <c r="S7" t="s">
        <v>1011</v>
      </c>
      <c r="T7" t="s">
        <v>69</v>
      </c>
    </row>
    <row r="8" spans="2:20" ht="15.75" x14ac:dyDescent="0.25">
      <c r="B8" s="6" t="s">
        <v>40</v>
      </c>
      <c r="C8" s="5" t="s">
        <v>41</v>
      </c>
      <c r="D8" t="s">
        <v>445</v>
      </c>
      <c r="F8" t="s">
        <v>447</v>
      </c>
      <c r="G8" t="s">
        <v>448</v>
      </c>
      <c r="H8" t="s">
        <v>445</v>
      </c>
      <c r="J8" t="s">
        <v>571</v>
      </c>
      <c r="K8" t="s">
        <v>572</v>
      </c>
      <c r="M8" t="s">
        <v>734</v>
      </c>
      <c r="N8" t="s">
        <v>735</v>
      </c>
      <c r="P8" t="s">
        <v>835</v>
      </c>
      <c r="Q8" t="s">
        <v>825</v>
      </c>
      <c r="S8" t="s">
        <v>1012</v>
      </c>
      <c r="T8" t="s">
        <v>448</v>
      </c>
    </row>
    <row r="9" spans="2:20" ht="15.75" x14ac:dyDescent="0.25">
      <c r="B9" s="6" t="s">
        <v>42</v>
      </c>
      <c r="C9" s="5" t="s">
        <v>43</v>
      </c>
      <c r="D9" t="s">
        <v>442</v>
      </c>
      <c r="F9" t="s">
        <v>449</v>
      </c>
      <c r="G9" t="s">
        <v>77</v>
      </c>
      <c r="H9" t="s">
        <v>445</v>
      </c>
      <c r="J9" t="s">
        <v>573</v>
      </c>
      <c r="K9" t="s">
        <v>574</v>
      </c>
      <c r="M9" t="s">
        <v>736</v>
      </c>
      <c r="N9" t="s">
        <v>735</v>
      </c>
      <c r="P9" t="s">
        <v>836</v>
      </c>
      <c r="Q9" t="s">
        <v>825</v>
      </c>
      <c r="S9" t="s">
        <v>1013</v>
      </c>
      <c r="T9" t="s">
        <v>448</v>
      </c>
    </row>
    <row r="10" spans="2:20" ht="15.75" x14ac:dyDescent="0.25">
      <c r="B10" s="6" t="s">
        <v>44</v>
      </c>
      <c r="C10" s="5" t="s">
        <v>45</v>
      </c>
      <c r="D10" t="s">
        <v>442</v>
      </c>
      <c r="F10" t="s">
        <v>450</v>
      </c>
      <c r="G10" t="s">
        <v>77</v>
      </c>
      <c r="H10" t="s">
        <v>445</v>
      </c>
      <c r="J10" t="s">
        <v>575</v>
      </c>
      <c r="K10" t="s">
        <v>570</v>
      </c>
      <c r="M10" t="s">
        <v>737</v>
      </c>
      <c r="N10" t="s">
        <v>735</v>
      </c>
      <c r="P10" t="s">
        <v>828</v>
      </c>
      <c r="Q10" t="s">
        <v>825</v>
      </c>
      <c r="S10" t="s">
        <v>1014</v>
      </c>
      <c r="T10" t="s">
        <v>69</v>
      </c>
    </row>
    <row r="11" spans="2:20" ht="15.75" x14ac:dyDescent="0.25">
      <c r="B11" s="6" t="s">
        <v>46</v>
      </c>
      <c r="C11" s="5" t="s">
        <v>47</v>
      </c>
      <c r="D11" t="s">
        <v>442</v>
      </c>
      <c r="F11" t="s">
        <v>451</v>
      </c>
      <c r="G11" t="s">
        <v>452</v>
      </c>
      <c r="H11" t="s">
        <v>445</v>
      </c>
      <c r="J11" t="s">
        <v>576</v>
      </c>
      <c r="K11" t="s">
        <v>570</v>
      </c>
      <c r="M11" t="s">
        <v>738</v>
      </c>
      <c r="N11" t="s">
        <v>735</v>
      </c>
      <c r="P11" t="s">
        <v>837</v>
      </c>
      <c r="Q11" t="s">
        <v>825</v>
      </c>
      <c r="S11" t="s">
        <v>1015</v>
      </c>
      <c r="T11" t="s">
        <v>35</v>
      </c>
    </row>
    <row r="12" spans="2:20" x14ac:dyDescent="0.25">
      <c r="B12" s="5" t="s">
        <v>48</v>
      </c>
      <c r="C12" s="5" t="s">
        <v>49</v>
      </c>
      <c r="D12" t="s">
        <v>563</v>
      </c>
      <c r="F12" t="s">
        <v>453</v>
      </c>
      <c r="G12" t="s">
        <v>77</v>
      </c>
      <c r="H12" t="s">
        <v>445</v>
      </c>
      <c r="J12" t="s">
        <v>577</v>
      </c>
      <c r="K12" t="s">
        <v>568</v>
      </c>
      <c r="M12" t="s">
        <v>739</v>
      </c>
      <c r="N12" t="s">
        <v>735</v>
      </c>
      <c r="P12" t="s">
        <v>838</v>
      </c>
      <c r="Q12" t="s">
        <v>825</v>
      </c>
      <c r="S12" t="s">
        <v>1016</v>
      </c>
      <c r="T12" t="s">
        <v>1017</v>
      </c>
    </row>
    <row r="13" spans="2:20" x14ac:dyDescent="0.25">
      <c r="B13" s="5" t="s">
        <v>50</v>
      </c>
      <c r="C13" s="5" t="s">
        <v>51</v>
      </c>
      <c r="D13" t="s">
        <v>442</v>
      </c>
      <c r="F13" t="s">
        <v>454</v>
      </c>
      <c r="G13" t="s">
        <v>448</v>
      </c>
      <c r="H13" t="s">
        <v>455</v>
      </c>
      <c r="J13" t="s">
        <v>578</v>
      </c>
      <c r="K13" t="s">
        <v>568</v>
      </c>
      <c r="M13" t="s">
        <v>740</v>
      </c>
      <c r="N13" t="s">
        <v>735</v>
      </c>
      <c r="P13" t="s">
        <v>829</v>
      </c>
      <c r="Q13" t="s">
        <v>839</v>
      </c>
      <c r="S13" t="s">
        <v>1018</v>
      </c>
      <c r="T13" t="s">
        <v>1019</v>
      </c>
    </row>
    <row r="14" spans="2:20" x14ac:dyDescent="0.25">
      <c r="B14" s="5" t="s">
        <v>52</v>
      </c>
      <c r="C14" s="5" t="s">
        <v>53</v>
      </c>
      <c r="D14" t="s">
        <v>445</v>
      </c>
      <c r="F14" t="s">
        <v>456</v>
      </c>
      <c r="G14" t="s">
        <v>448</v>
      </c>
      <c r="H14" t="s">
        <v>445</v>
      </c>
      <c r="J14" t="s">
        <v>579</v>
      </c>
      <c r="K14" t="s">
        <v>568</v>
      </c>
      <c r="M14" t="s">
        <v>741</v>
      </c>
      <c r="N14" t="s">
        <v>742</v>
      </c>
      <c r="P14" t="s">
        <v>840</v>
      </c>
      <c r="Q14" t="s">
        <v>839</v>
      </c>
      <c r="S14" t="s">
        <v>1020</v>
      </c>
      <c r="T14" t="s">
        <v>1021</v>
      </c>
    </row>
    <row r="15" spans="2:20" x14ac:dyDescent="0.25">
      <c r="B15" s="5" t="s">
        <v>54</v>
      </c>
      <c r="C15" s="5" t="s">
        <v>55</v>
      </c>
      <c r="D15" t="s">
        <v>445</v>
      </c>
      <c r="F15" t="s">
        <v>457</v>
      </c>
      <c r="G15" t="s">
        <v>444</v>
      </c>
      <c r="H15" t="s">
        <v>445</v>
      </c>
      <c r="J15" t="s">
        <v>580</v>
      </c>
      <c r="K15" t="s">
        <v>570</v>
      </c>
      <c r="M15" t="s">
        <v>743</v>
      </c>
      <c r="N15" t="s">
        <v>742</v>
      </c>
      <c r="P15" t="s">
        <v>830</v>
      </c>
      <c r="Q15" t="s">
        <v>841</v>
      </c>
      <c r="S15" t="s">
        <v>1022</v>
      </c>
      <c r="T15" t="s">
        <v>1023</v>
      </c>
    </row>
    <row r="16" spans="2:20" x14ac:dyDescent="0.25">
      <c r="B16" s="5" t="s">
        <v>56</v>
      </c>
      <c r="C16" s="5" t="s">
        <v>57</v>
      </c>
      <c r="D16" t="s">
        <v>442</v>
      </c>
      <c r="F16" t="s">
        <v>458</v>
      </c>
      <c r="G16" t="s">
        <v>69</v>
      </c>
      <c r="H16" t="s">
        <v>459</v>
      </c>
      <c r="J16" t="s">
        <v>581</v>
      </c>
      <c r="K16" t="s">
        <v>570</v>
      </c>
      <c r="M16" t="s">
        <v>744</v>
      </c>
      <c r="N16" t="s">
        <v>742</v>
      </c>
      <c r="P16" t="s">
        <v>842</v>
      </c>
      <c r="Q16" t="s">
        <v>841</v>
      </c>
      <c r="S16" t="s">
        <v>1024</v>
      </c>
      <c r="T16" t="s">
        <v>1025</v>
      </c>
    </row>
    <row r="17" spans="2:20" x14ac:dyDescent="0.25">
      <c r="B17" s="5" t="s">
        <v>58</v>
      </c>
      <c r="C17" s="5" t="s">
        <v>59</v>
      </c>
      <c r="D17" t="s">
        <v>442</v>
      </c>
      <c r="F17" t="s">
        <v>460</v>
      </c>
      <c r="G17" t="s">
        <v>444</v>
      </c>
      <c r="H17" t="s">
        <v>461</v>
      </c>
      <c r="J17" t="s">
        <v>582</v>
      </c>
      <c r="K17" t="s">
        <v>570</v>
      </c>
      <c r="M17" t="s">
        <v>745</v>
      </c>
      <c r="N17" t="s">
        <v>742</v>
      </c>
      <c r="P17" t="s">
        <v>843</v>
      </c>
      <c r="Q17" t="s">
        <v>844</v>
      </c>
      <c r="S17" t="s">
        <v>1026</v>
      </c>
      <c r="T17" t="s">
        <v>1027</v>
      </c>
    </row>
    <row r="18" spans="2:20" x14ac:dyDescent="0.25">
      <c r="B18" s="5" t="s">
        <v>60</v>
      </c>
      <c r="C18" s="5" t="s">
        <v>61</v>
      </c>
      <c r="D18" t="s">
        <v>442</v>
      </c>
      <c r="F18" t="s">
        <v>462</v>
      </c>
      <c r="G18" t="s">
        <v>69</v>
      </c>
      <c r="H18" t="s">
        <v>442</v>
      </c>
      <c r="J18" t="s">
        <v>583</v>
      </c>
      <c r="K18" t="s">
        <v>570</v>
      </c>
      <c r="M18" t="s">
        <v>746</v>
      </c>
      <c r="N18" t="s">
        <v>742</v>
      </c>
      <c r="P18" t="s">
        <v>845</v>
      </c>
      <c r="Q18" t="s">
        <v>846</v>
      </c>
      <c r="S18" t="s">
        <v>1028</v>
      </c>
      <c r="T18" t="s">
        <v>69</v>
      </c>
    </row>
    <row r="19" spans="2:20" x14ac:dyDescent="0.25">
      <c r="B19" s="5" t="s">
        <v>62</v>
      </c>
      <c r="C19" s="5" t="s">
        <v>63</v>
      </c>
      <c r="D19" t="s">
        <v>445</v>
      </c>
      <c r="F19" t="s">
        <v>463</v>
      </c>
      <c r="G19" t="s">
        <v>452</v>
      </c>
      <c r="H19" t="s">
        <v>445</v>
      </c>
      <c r="J19" t="s">
        <v>584</v>
      </c>
      <c r="K19" t="s">
        <v>570</v>
      </c>
      <c r="M19" t="s">
        <v>747</v>
      </c>
      <c r="N19" t="s">
        <v>748</v>
      </c>
      <c r="P19" t="s">
        <v>847</v>
      </c>
      <c r="Q19" t="s">
        <v>848</v>
      </c>
      <c r="S19" t="s">
        <v>1029</v>
      </c>
      <c r="T19" t="s">
        <v>69</v>
      </c>
    </row>
    <row r="20" spans="2:20" x14ac:dyDescent="0.25">
      <c r="B20" s="5" t="s">
        <v>64</v>
      </c>
      <c r="C20" s="5" t="s">
        <v>65</v>
      </c>
      <c r="D20" t="s">
        <v>442</v>
      </c>
      <c r="F20" t="s">
        <v>464</v>
      </c>
      <c r="G20" t="s">
        <v>69</v>
      </c>
      <c r="H20" t="s">
        <v>445</v>
      </c>
      <c r="J20" t="s">
        <v>585</v>
      </c>
      <c r="K20" t="s">
        <v>570</v>
      </c>
      <c r="M20" t="s">
        <v>749</v>
      </c>
      <c r="N20" t="s">
        <v>748</v>
      </c>
      <c r="P20" t="s">
        <v>849</v>
      </c>
      <c r="Q20" t="s">
        <v>841</v>
      </c>
      <c r="S20" t="s">
        <v>1030</v>
      </c>
      <c r="T20" t="s">
        <v>155</v>
      </c>
    </row>
    <row r="21" spans="2:20" x14ac:dyDescent="0.25">
      <c r="B21" s="5" t="s">
        <v>66</v>
      </c>
      <c r="C21" s="5" t="s">
        <v>67</v>
      </c>
      <c r="D21" t="s">
        <v>563</v>
      </c>
      <c r="F21" t="s">
        <v>465</v>
      </c>
      <c r="G21" t="s">
        <v>69</v>
      </c>
      <c r="H21" t="s">
        <v>445</v>
      </c>
      <c r="J21" t="s">
        <v>586</v>
      </c>
      <c r="K21" t="s">
        <v>570</v>
      </c>
      <c r="M21" t="s">
        <v>750</v>
      </c>
      <c r="N21" t="s">
        <v>751</v>
      </c>
      <c r="P21" t="s">
        <v>850</v>
      </c>
      <c r="Q21" t="s">
        <v>851</v>
      </c>
      <c r="S21" t="s">
        <v>1031</v>
      </c>
      <c r="T21" t="s">
        <v>1032</v>
      </c>
    </row>
    <row r="22" spans="2:20" x14ac:dyDescent="0.25">
      <c r="B22" s="5" t="s">
        <v>68</v>
      </c>
      <c r="C22" s="5" t="s">
        <v>69</v>
      </c>
      <c r="D22" t="s">
        <v>445</v>
      </c>
      <c r="F22" t="s">
        <v>466</v>
      </c>
      <c r="G22" t="s">
        <v>452</v>
      </c>
      <c r="H22" t="s">
        <v>445</v>
      </c>
      <c r="J22" t="s">
        <v>587</v>
      </c>
      <c r="K22" t="s">
        <v>570</v>
      </c>
      <c r="M22" t="s">
        <v>752</v>
      </c>
      <c r="N22" t="s">
        <v>751</v>
      </c>
      <c r="P22" t="s">
        <v>852</v>
      </c>
      <c r="Q22" t="s">
        <v>853</v>
      </c>
      <c r="S22" t="s">
        <v>1033</v>
      </c>
      <c r="T22" t="s">
        <v>1034</v>
      </c>
    </row>
    <row r="23" spans="2:20" x14ac:dyDescent="0.25">
      <c r="B23" s="5" t="s">
        <v>70</v>
      </c>
      <c r="C23" s="5" t="s">
        <v>71</v>
      </c>
      <c r="D23" t="s">
        <v>442</v>
      </c>
      <c r="F23" t="s">
        <v>467</v>
      </c>
      <c r="G23" t="s">
        <v>69</v>
      </c>
      <c r="H23" t="s">
        <v>445</v>
      </c>
      <c r="J23" t="s">
        <v>588</v>
      </c>
      <c r="K23" t="s">
        <v>570</v>
      </c>
      <c r="M23" t="s">
        <v>753</v>
      </c>
      <c r="N23" t="s">
        <v>751</v>
      </c>
      <c r="P23" t="s">
        <v>854</v>
      </c>
      <c r="Q23" t="s">
        <v>855</v>
      </c>
      <c r="S23" t="s">
        <v>1035</v>
      </c>
      <c r="T23" t="s">
        <v>212</v>
      </c>
    </row>
    <row r="24" spans="2:20" x14ac:dyDescent="0.25">
      <c r="B24" s="5" t="s">
        <v>72</v>
      </c>
      <c r="C24" s="5" t="s">
        <v>73</v>
      </c>
      <c r="D24" t="s">
        <v>442</v>
      </c>
      <c r="F24" t="s">
        <v>468</v>
      </c>
      <c r="G24" t="s">
        <v>452</v>
      </c>
      <c r="H24" t="s">
        <v>469</v>
      </c>
      <c r="J24" t="s">
        <v>589</v>
      </c>
      <c r="K24" t="s">
        <v>570</v>
      </c>
      <c r="M24" t="s">
        <v>754</v>
      </c>
      <c r="N24" t="s">
        <v>751</v>
      </c>
      <c r="P24" t="s">
        <v>856</v>
      </c>
      <c r="Q24" t="s">
        <v>841</v>
      </c>
      <c r="S24" t="s">
        <v>1036</v>
      </c>
      <c r="T24" t="s">
        <v>1037</v>
      </c>
    </row>
    <row r="25" spans="2:20" x14ac:dyDescent="0.25">
      <c r="B25" s="5" t="s">
        <v>74</v>
      </c>
      <c r="C25" s="5" t="s">
        <v>75</v>
      </c>
      <c r="D25" t="s">
        <v>445</v>
      </c>
      <c r="F25" t="s">
        <v>470</v>
      </c>
      <c r="G25" t="s">
        <v>452</v>
      </c>
      <c r="H25" t="s">
        <v>471</v>
      </c>
      <c r="J25" t="s">
        <v>590</v>
      </c>
      <c r="K25" t="s">
        <v>570</v>
      </c>
      <c r="M25" t="s">
        <v>755</v>
      </c>
      <c r="N25" t="s">
        <v>751</v>
      </c>
      <c r="P25" t="s">
        <v>857</v>
      </c>
      <c r="Q25" t="s">
        <v>858</v>
      </c>
      <c r="S25" t="s">
        <v>1038</v>
      </c>
      <c r="T25" t="s">
        <v>1039</v>
      </c>
    </row>
    <row r="26" spans="2:20" x14ac:dyDescent="0.25">
      <c r="B26" s="5" t="s">
        <v>76</v>
      </c>
      <c r="C26" s="5" t="s">
        <v>77</v>
      </c>
      <c r="D26" t="s">
        <v>445</v>
      </c>
      <c r="F26" t="s">
        <v>472</v>
      </c>
      <c r="G26" t="s">
        <v>448</v>
      </c>
      <c r="H26" t="s">
        <v>445</v>
      </c>
      <c r="J26" t="s">
        <v>591</v>
      </c>
      <c r="K26" t="s">
        <v>570</v>
      </c>
      <c r="M26" t="s">
        <v>756</v>
      </c>
      <c r="N26" t="s">
        <v>757</v>
      </c>
      <c r="P26" t="s">
        <v>831</v>
      </c>
      <c r="Q26" t="s">
        <v>859</v>
      </c>
      <c r="S26" t="s">
        <v>1040</v>
      </c>
      <c r="T26" t="s">
        <v>1041</v>
      </c>
    </row>
    <row r="27" spans="2:20" x14ac:dyDescent="0.25">
      <c r="B27" s="5" t="s">
        <v>78</v>
      </c>
      <c r="C27" s="5" t="s">
        <v>79</v>
      </c>
      <c r="D27" t="s">
        <v>442</v>
      </c>
      <c r="F27" t="s">
        <v>473</v>
      </c>
      <c r="G27" t="s">
        <v>69</v>
      </c>
      <c r="H27" t="s">
        <v>474</v>
      </c>
      <c r="J27" t="s">
        <v>592</v>
      </c>
      <c r="K27" t="s">
        <v>570</v>
      </c>
      <c r="M27" t="s">
        <v>758</v>
      </c>
      <c r="N27" t="s">
        <v>757</v>
      </c>
      <c r="P27" t="s">
        <v>860</v>
      </c>
      <c r="Q27" t="s">
        <v>861</v>
      </c>
      <c r="S27" t="s">
        <v>1042</v>
      </c>
      <c r="T27" t="s">
        <v>1043</v>
      </c>
    </row>
    <row r="28" spans="2:20" x14ac:dyDescent="0.25">
      <c r="B28" s="5" t="s">
        <v>80</v>
      </c>
      <c r="C28" s="5" t="s">
        <v>81</v>
      </c>
      <c r="D28" t="s">
        <v>442</v>
      </c>
      <c r="F28" t="s">
        <v>475</v>
      </c>
      <c r="G28" t="s">
        <v>77</v>
      </c>
      <c r="H28" t="s">
        <v>445</v>
      </c>
      <c r="J28" t="s">
        <v>593</v>
      </c>
      <c r="K28" t="s">
        <v>594</v>
      </c>
      <c r="M28" t="s">
        <v>759</v>
      </c>
      <c r="N28" t="s">
        <v>757</v>
      </c>
      <c r="P28" t="s">
        <v>862</v>
      </c>
      <c r="Q28" t="s">
        <v>863</v>
      </c>
      <c r="S28" t="s">
        <v>1044</v>
      </c>
      <c r="T28" t="s">
        <v>448</v>
      </c>
    </row>
    <row r="29" spans="2:20" x14ac:dyDescent="0.25">
      <c r="B29" s="5" t="s">
        <v>82</v>
      </c>
      <c r="C29" s="5" t="s">
        <v>83</v>
      </c>
      <c r="D29" t="s">
        <v>442</v>
      </c>
      <c r="F29" t="s">
        <v>476</v>
      </c>
      <c r="G29" t="s">
        <v>69</v>
      </c>
      <c r="H29" t="s">
        <v>477</v>
      </c>
      <c r="J29" t="s">
        <v>595</v>
      </c>
      <c r="K29" t="s">
        <v>594</v>
      </c>
      <c r="M29" t="s">
        <v>760</v>
      </c>
      <c r="N29" t="s">
        <v>757</v>
      </c>
      <c r="P29" t="s">
        <v>864</v>
      </c>
      <c r="Q29" t="s">
        <v>865</v>
      </c>
      <c r="S29" t="s">
        <v>1045</v>
      </c>
      <c r="T29" t="s">
        <v>448</v>
      </c>
    </row>
    <row r="30" spans="2:20" x14ac:dyDescent="0.25">
      <c r="B30" s="5" t="s">
        <v>84</v>
      </c>
      <c r="C30" s="5" t="s">
        <v>85</v>
      </c>
      <c r="D30" t="s">
        <v>442</v>
      </c>
      <c r="F30" t="s">
        <v>478</v>
      </c>
      <c r="G30" t="s">
        <v>444</v>
      </c>
      <c r="H30" t="s">
        <v>445</v>
      </c>
      <c r="J30" t="s">
        <v>596</v>
      </c>
      <c r="K30" t="s">
        <v>594</v>
      </c>
      <c r="M30" t="s">
        <v>761</v>
      </c>
      <c r="N30" t="s">
        <v>762</v>
      </c>
      <c r="P30" t="s">
        <v>866</v>
      </c>
      <c r="Q30" t="s">
        <v>867</v>
      </c>
      <c r="S30" t="s">
        <v>1046</v>
      </c>
      <c r="T30" t="s">
        <v>448</v>
      </c>
    </row>
    <row r="31" spans="2:20" x14ac:dyDescent="0.25">
      <c r="B31" s="5" t="s">
        <v>86</v>
      </c>
      <c r="C31" s="5" t="s">
        <v>87</v>
      </c>
      <c r="D31" t="s">
        <v>442</v>
      </c>
      <c r="F31" t="s">
        <v>479</v>
      </c>
      <c r="G31" t="s">
        <v>444</v>
      </c>
      <c r="H31" t="s">
        <v>480</v>
      </c>
      <c r="J31" t="s">
        <v>597</v>
      </c>
      <c r="K31" t="s">
        <v>594</v>
      </c>
      <c r="M31" t="s">
        <v>763</v>
      </c>
      <c r="N31" t="s">
        <v>762</v>
      </c>
      <c r="P31" t="s">
        <v>868</v>
      </c>
      <c r="Q31" t="s">
        <v>869</v>
      </c>
      <c r="S31" t="s">
        <v>1047</v>
      </c>
      <c r="T31" t="s">
        <v>448</v>
      </c>
    </row>
    <row r="32" spans="2:20" x14ac:dyDescent="0.25">
      <c r="B32" s="5" t="s">
        <v>88</v>
      </c>
      <c r="C32" s="5" t="s">
        <v>89</v>
      </c>
      <c r="D32" t="s">
        <v>442</v>
      </c>
      <c r="F32" t="s">
        <v>481</v>
      </c>
      <c r="G32" t="s">
        <v>452</v>
      </c>
      <c r="H32" t="s">
        <v>445</v>
      </c>
      <c r="J32" t="s">
        <v>598</v>
      </c>
      <c r="K32" t="s">
        <v>594</v>
      </c>
      <c r="M32" t="s">
        <v>764</v>
      </c>
      <c r="N32" t="s">
        <v>762</v>
      </c>
      <c r="P32" t="s">
        <v>870</v>
      </c>
      <c r="Q32" t="s">
        <v>871</v>
      </c>
      <c r="S32" t="s">
        <v>1048</v>
      </c>
      <c r="T32" t="s">
        <v>448</v>
      </c>
    </row>
    <row r="33" spans="2:20" x14ac:dyDescent="0.25">
      <c r="B33" s="5" t="s">
        <v>90</v>
      </c>
      <c r="C33" s="5" t="s">
        <v>91</v>
      </c>
      <c r="D33" t="s">
        <v>442</v>
      </c>
      <c r="F33" t="s">
        <v>482</v>
      </c>
      <c r="G33" t="s">
        <v>69</v>
      </c>
      <c r="H33" t="s">
        <v>445</v>
      </c>
      <c r="J33" t="s">
        <v>599</v>
      </c>
      <c r="K33" t="s">
        <v>594</v>
      </c>
      <c r="M33" t="s">
        <v>765</v>
      </c>
      <c r="N33" t="s">
        <v>762</v>
      </c>
      <c r="P33" t="s">
        <v>872</v>
      </c>
      <c r="Q33" t="s">
        <v>867</v>
      </c>
      <c r="S33" t="s">
        <v>1049</v>
      </c>
      <c r="T33" t="s">
        <v>299</v>
      </c>
    </row>
    <row r="34" spans="2:20" x14ac:dyDescent="0.25">
      <c r="B34" s="5" t="s">
        <v>92</v>
      </c>
      <c r="C34" s="5" t="s">
        <v>93</v>
      </c>
      <c r="D34" t="s">
        <v>442</v>
      </c>
      <c r="F34" t="s">
        <v>483</v>
      </c>
      <c r="G34" t="s">
        <v>69</v>
      </c>
      <c r="H34" t="s">
        <v>445</v>
      </c>
      <c r="J34" t="s">
        <v>600</v>
      </c>
      <c r="K34" t="s">
        <v>568</v>
      </c>
      <c r="M34" t="s">
        <v>766</v>
      </c>
      <c r="N34" t="s">
        <v>762</v>
      </c>
      <c r="P34" t="s">
        <v>873</v>
      </c>
      <c r="Q34" t="s">
        <v>874</v>
      </c>
      <c r="S34" t="s">
        <v>1050</v>
      </c>
      <c r="T34" t="s">
        <v>169</v>
      </c>
    </row>
    <row r="35" spans="2:20" x14ac:dyDescent="0.25">
      <c r="B35" s="5" t="s">
        <v>94</v>
      </c>
      <c r="C35" s="5" t="s">
        <v>95</v>
      </c>
      <c r="D35" t="s">
        <v>442</v>
      </c>
      <c r="F35" t="s">
        <v>484</v>
      </c>
      <c r="G35" t="s">
        <v>452</v>
      </c>
      <c r="H35" t="s">
        <v>445</v>
      </c>
      <c r="J35" t="s">
        <v>601</v>
      </c>
      <c r="K35" t="s">
        <v>566</v>
      </c>
      <c r="M35" t="s">
        <v>767</v>
      </c>
      <c r="N35" t="s">
        <v>762</v>
      </c>
      <c r="P35" t="s">
        <v>875</v>
      </c>
      <c r="Q35" t="s">
        <v>869</v>
      </c>
      <c r="S35" t="s">
        <v>1051</v>
      </c>
      <c r="T35" t="s">
        <v>35</v>
      </c>
    </row>
    <row r="36" spans="2:20" x14ac:dyDescent="0.25">
      <c r="B36" s="5" t="s">
        <v>96</v>
      </c>
      <c r="C36" s="5" t="s">
        <v>97</v>
      </c>
      <c r="D36" t="s">
        <v>442</v>
      </c>
      <c r="F36" t="s">
        <v>485</v>
      </c>
      <c r="G36" t="s">
        <v>69</v>
      </c>
      <c r="H36" t="s">
        <v>445</v>
      </c>
      <c r="J36" t="s">
        <v>602</v>
      </c>
      <c r="K36" t="s">
        <v>566</v>
      </c>
      <c r="M36" t="s">
        <v>768</v>
      </c>
      <c r="N36" t="s">
        <v>769</v>
      </c>
      <c r="P36" t="s">
        <v>876</v>
      </c>
      <c r="Q36" t="s">
        <v>877</v>
      </c>
      <c r="S36" t="s">
        <v>1052</v>
      </c>
      <c r="T36" t="s">
        <v>35</v>
      </c>
    </row>
    <row r="37" spans="2:20" x14ac:dyDescent="0.25">
      <c r="B37" s="5" t="s">
        <v>98</v>
      </c>
      <c r="C37" s="5" t="s">
        <v>99</v>
      </c>
      <c r="D37" t="s">
        <v>445</v>
      </c>
      <c r="F37" t="s">
        <v>486</v>
      </c>
      <c r="G37" t="s">
        <v>69</v>
      </c>
      <c r="H37" t="s">
        <v>442</v>
      </c>
      <c r="J37" t="s">
        <v>603</v>
      </c>
      <c r="K37" t="s">
        <v>566</v>
      </c>
      <c r="M37" t="s">
        <v>770</v>
      </c>
      <c r="N37" t="s">
        <v>769</v>
      </c>
      <c r="P37" t="s">
        <v>833</v>
      </c>
      <c r="Q37" t="s">
        <v>878</v>
      </c>
      <c r="S37" t="s">
        <v>1053</v>
      </c>
      <c r="T37" t="s">
        <v>129</v>
      </c>
    </row>
    <row r="38" spans="2:20" x14ac:dyDescent="0.25">
      <c r="B38" s="5" t="s">
        <v>100</v>
      </c>
      <c r="C38" s="5" t="s">
        <v>101</v>
      </c>
      <c r="D38" t="s">
        <v>445</v>
      </c>
      <c r="F38" t="s">
        <v>487</v>
      </c>
      <c r="G38" t="s">
        <v>448</v>
      </c>
      <c r="H38" t="s">
        <v>445</v>
      </c>
      <c r="J38" t="s">
        <v>604</v>
      </c>
      <c r="K38" t="s">
        <v>566</v>
      </c>
      <c r="M38" t="s">
        <v>771</v>
      </c>
      <c r="N38" t="s">
        <v>769</v>
      </c>
      <c r="P38" t="s">
        <v>879</v>
      </c>
      <c r="Q38" t="s">
        <v>880</v>
      </c>
      <c r="S38" t="s">
        <v>1054</v>
      </c>
      <c r="T38" t="s">
        <v>1055</v>
      </c>
    </row>
    <row r="39" spans="2:20" x14ac:dyDescent="0.25">
      <c r="B39" s="5" t="s">
        <v>102</v>
      </c>
      <c r="C39" s="5" t="s">
        <v>103</v>
      </c>
      <c r="D39" t="s">
        <v>442</v>
      </c>
      <c r="F39" t="s">
        <v>488</v>
      </c>
      <c r="G39" t="s">
        <v>448</v>
      </c>
      <c r="H39" t="s">
        <v>489</v>
      </c>
      <c r="J39" t="s">
        <v>605</v>
      </c>
      <c r="K39" t="s">
        <v>566</v>
      </c>
      <c r="M39" t="s">
        <v>772</v>
      </c>
      <c r="N39" t="s">
        <v>769</v>
      </c>
      <c r="P39" t="s">
        <v>881</v>
      </c>
      <c r="Q39" t="s">
        <v>882</v>
      </c>
      <c r="S39" t="s">
        <v>1056</v>
      </c>
      <c r="T39" t="s">
        <v>1057</v>
      </c>
    </row>
    <row r="40" spans="2:20" x14ac:dyDescent="0.25">
      <c r="B40" s="5" t="s">
        <v>104</v>
      </c>
      <c r="C40" s="5" t="s">
        <v>105</v>
      </c>
      <c r="D40" t="s">
        <v>442</v>
      </c>
      <c r="F40" t="s">
        <v>490</v>
      </c>
      <c r="G40" t="s">
        <v>69</v>
      </c>
      <c r="H40" t="s">
        <v>445</v>
      </c>
      <c r="J40" t="s">
        <v>606</v>
      </c>
      <c r="K40" t="s">
        <v>566</v>
      </c>
      <c r="M40" t="s">
        <v>773</v>
      </c>
      <c r="N40" t="s">
        <v>769</v>
      </c>
      <c r="P40" t="s">
        <v>883</v>
      </c>
      <c r="Q40" t="s">
        <v>874</v>
      </c>
      <c r="S40" t="s">
        <v>1058</v>
      </c>
      <c r="T40" t="s">
        <v>113</v>
      </c>
    </row>
    <row r="41" spans="2:20" x14ac:dyDescent="0.25">
      <c r="B41" s="5" t="s">
        <v>106</v>
      </c>
      <c r="C41" s="5" t="s">
        <v>107</v>
      </c>
      <c r="D41" t="s">
        <v>442</v>
      </c>
      <c r="F41" t="s">
        <v>491</v>
      </c>
      <c r="G41" t="s">
        <v>452</v>
      </c>
      <c r="H41" t="s">
        <v>492</v>
      </c>
      <c r="J41" t="s">
        <v>607</v>
      </c>
      <c r="K41" t="s">
        <v>566</v>
      </c>
      <c r="M41" t="s">
        <v>774</v>
      </c>
      <c r="N41" t="s">
        <v>769</v>
      </c>
      <c r="P41" t="s">
        <v>884</v>
      </c>
      <c r="Q41" t="s">
        <v>885</v>
      </c>
      <c r="S41" t="s">
        <v>1059</v>
      </c>
      <c r="T41" t="s">
        <v>1060</v>
      </c>
    </row>
    <row r="42" spans="2:20" x14ac:dyDescent="0.25">
      <c r="B42" s="5" t="s">
        <v>108</v>
      </c>
      <c r="C42" s="5" t="s">
        <v>109</v>
      </c>
      <c r="D42" t="s">
        <v>442</v>
      </c>
      <c r="F42" t="s">
        <v>493</v>
      </c>
      <c r="G42" t="s">
        <v>69</v>
      </c>
      <c r="H42" t="s">
        <v>494</v>
      </c>
      <c r="J42" t="s">
        <v>608</v>
      </c>
      <c r="K42" t="s">
        <v>566</v>
      </c>
      <c r="M42" t="s">
        <v>775</v>
      </c>
      <c r="N42" t="s">
        <v>769</v>
      </c>
      <c r="P42" t="s">
        <v>886</v>
      </c>
      <c r="Q42" t="s">
        <v>877</v>
      </c>
      <c r="S42" t="s">
        <v>1061</v>
      </c>
      <c r="T42" t="s">
        <v>400</v>
      </c>
    </row>
    <row r="43" spans="2:20" x14ac:dyDescent="0.25">
      <c r="B43" s="5" t="s">
        <v>110</v>
      </c>
      <c r="C43" s="5" t="s">
        <v>111</v>
      </c>
      <c r="D43" t="s">
        <v>442</v>
      </c>
      <c r="F43" t="s">
        <v>495</v>
      </c>
      <c r="G43" t="s">
        <v>444</v>
      </c>
      <c r="H43" t="s">
        <v>445</v>
      </c>
      <c r="J43" t="s">
        <v>609</v>
      </c>
      <c r="K43" t="s">
        <v>566</v>
      </c>
      <c r="M43" t="s">
        <v>776</v>
      </c>
      <c r="N43" t="s">
        <v>777</v>
      </c>
      <c r="P43" t="s">
        <v>887</v>
      </c>
      <c r="Q43" t="s">
        <v>888</v>
      </c>
      <c r="S43" t="s">
        <v>1062</v>
      </c>
      <c r="T43" t="s">
        <v>1063</v>
      </c>
    </row>
    <row r="44" spans="2:20" x14ac:dyDescent="0.25">
      <c r="B44" s="5" t="s">
        <v>112</v>
      </c>
      <c r="C44" s="5" t="s">
        <v>113</v>
      </c>
      <c r="D44" t="s">
        <v>442</v>
      </c>
      <c r="F44" t="s">
        <v>496</v>
      </c>
      <c r="G44" t="s">
        <v>448</v>
      </c>
      <c r="H44" t="s">
        <v>445</v>
      </c>
      <c r="J44" t="s">
        <v>610</v>
      </c>
      <c r="K44" t="s">
        <v>566</v>
      </c>
      <c r="M44" t="s">
        <v>778</v>
      </c>
      <c r="N44" t="s">
        <v>777</v>
      </c>
      <c r="P44" t="s">
        <v>889</v>
      </c>
      <c r="Q44" t="s">
        <v>890</v>
      </c>
      <c r="S44" t="s">
        <v>1064</v>
      </c>
      <c r="T44" t="s">
        <v>1065</v>
      </c>
    </row>
    <row r="45" spans="2:20" x14ac:dyDescent="0.25">
      <c r="B45" s="5" t="s">
        <v>114</v>
      </c>
      <c r="C45" s="5" t="s">
        <v>115</v>
      </c>
      <c r="D45" t="s">
        <v>442</v>
      </c>
      <c r="F45" t="s">
        <v>497</v>
      </c>
      <c r="G45" t="s">
        <v>448</v>
      </c>
      <c r="H45" t="s">
        <v>445</v>
      </c>
      <c r="J45" t="s">
        <v>611</v>
      </c>
      <c r="K45" t="s">
        <v>566</v>
      </c>
      <c r="M45" t="s">
        <v>779</v>
      </c>
      <c r="N45" t="s">
        <v>780</v>
      </c>
      <c r="P45" t="s">
        <v>891</v>
      </c>
      <c r="Q45" t="s">
        <v>869</v>
      </c>
      <c r="S45" t="s">
        <v>1066</v>
      </c>
      <c r="T45" t="s">
        <v>1067</v>
      </c>
    </row>
    <row r="46" spans="2:20" x14ac:dyDescent="0.25">
      <c r="B46" s="5" t="s">
        <v>116</v>
      </c>
      <c r="C46" s="5" t="s">
        <v>117</v>
      </c>
      <c r="D46" t="s">
        <v>445</v>
      </c>
      <c r="F46" t="s">
        <v>498</v>
      </c>
      <c r="G46" t="s">
        <v>448</v>
      </c>
      <c r="H46" t="s">
        <v>445</v>
      </c>
      <c r="J46" t="s">
        <v>612</v>
      </c>
      <c r="K46" t="s">
        <v>613</v>
      </c>
      <c r="M46" t="s">
        <v>781</v>
      </c>
      <c r="N46" t="s">
        <v>780</v>
      </c>
      <c r="P46" t="s">
        <v>892</v>
      </c>
      <c r="Q46" t="s">
        <v>161</v>
      </c>
      <c r="S46" t="s">
        <v>1068</v>
      </c>
      <c r="T46" t="s">
        <v>348</v>
      </c>
    </row>
    <row r="47" spans="2:20" x14ac:dyDescent="0.25">
      <c r="B47" s="5" t="s">
        <v>118</v>
      </c>
      <c r="C47" s="5" t="s">
        <v>119</v>
      </c>
      <c r="D47" t="s">
        <v>445</v>
      </c>
      <c r="F47" t="s">
        <v>499</v>
      </c>
      <c r="G47" t="s">
        <v>69</v>
      </c>
      <c r="H47" t="s">
        <v>445</v>
      </c>
      <c r="J47" t="s">
        <v>614</v>
      </c>
      <c r="K47" t="s">
        <v>613</v>
      </c>
      <c r="M47" t="s">
        <v>782</v>
      </c>
      <c r="N47" t="s">
        <v>702</v>
      </c>
      <c r="P47" t="s">
        <v>893</v>
      </c>
      <c r="Q47" t="s">
        <v>894</v>
      </c>
      <c r="S47" t="s">
        <v>1069</v>
      </c>
      <c r="T47" t="s">
        <v>348</v>
      </c>
    </row>
    <row r="48" spans="2:20" x14ac:dyDescent="0.25">
      <c r="B48" s="5" t="s">
        <v>120</v>
      </c>
      <c r="C48" s="5" t="s">
        <v>121</v>
      </c>
      <c r="D48" t="s">
        <v>445</v>
      </c>
      <c r="F48" t="s">
        <v>500</v>
      </c>
      <c r="G48" t="s">
        <v>69</v>
      </c>
      <c r="H48" t="s">
        <v>445</v>
      </c>
      <c r="J48" t="s">
        <v>615</v>
      </c>
      <c r="K48" t="s">
        <v>613</v>
      </c>
      <c r="M48" t="s">
        <v>783</v>
      </c>
      <c r="N48" t="s">
        <v>702</v>
      </c>
      <c r="P48" t="s">
        <v>895</v>
      </c>
      <c r="Q48" t="s">
        <v>282</v>
      </c>
      <c r="S48" t="s">
        <v>1070</v>
      </c>
      <c r="T48" t="s">
        <v>348</v>
      </c>
    </row>
    <row r="49" spans="2:20" x14ac:dyDescent="0.25">
      <c r="B49" s="5" t="s">
        <v>122</v>
      </c>
      <c r="C49" s="5" t="s">
        <v>123</v>
      </c>
      <c r="D49" t="s">
        <v>445</v>
      </c>
      <c r="F49" t="s">
        <v>501</v>
      </c>
      <c r="G49" t="s">
        <v>69</v>
      </c>
      <c r="H49" t="s">
        <v>445</v>
      </c>
      <c r="J49" t="s">
        <v>616</v>
      </c>
      <c r="K49" t="s">
        <v>613</v>
      </c>
      <c r="M49" t="s">
        <v>784</v>
      </c>
      <c r="N49" t="s">
        <v>702</v>
      </c>
      <c r="P49" t="s">
        <v>832</v>
      </c>
      <c r="Q49" t="s">
        <v>896</v>
      </c>
      <c r="S49" t="s">
        <v>1071</v>
      </c>
      <c r="T49" t="s">
        <v>1072</v>
      </c>
    </row>
    <row r="50" spans="2:20" x14ac:dyDescent="0.25">
      <c r="B50" s="5" t="s">
        <v>124</v>
      </c>
      <c r="C50" s="5" t="s">
        <v>125</v>
      </c>
      <c r="D50" t="s">
        <v>442</v>
      </c>
      <c r="F50" t="s">
        <v>502</v>
      </c>
      <c r="G50" t="s">
        <v>448</v>
      </c>
      <c r="H50" t="s">
        <v>503</v>
      </c>
      <c r="J50" t="s">
        <v>617</v>
      </c>
      <c r="K50" t="s">
        <v>613</v>
      </c>
      <c r="M50" t="s">
        <v>785</v>
      </c>
      <c r="N50" t="s">
        <v>702</v>
      </c>
      <c r="P50" t="s">
        <v>897</v>
      </c>
      <c r="Q50" t="s">
        <v>898</v>
      </c>
      <c r="S50" t="s">
        <v>1073</v>
      </c>
      <c r="T50" t="s">
        <v>348</v>
      </c>
    </row>
    <row r="51" spans="2:20" x14ac:dyDescent="0.25">
      <c r="B51" s="5" t="s">
        <v>126</v>
      </c>
      <c r="C51" s="5" t="s">
        <v>127</v>
      </c>
      <c r="D51" t="s">
        <v>442</v>
      </c>
      <c r="F51" t="s">
        <v>504</v>
      </c>
      <c r="G51" t="s">
        <v>69</v>
      </c>
      <c r="H51" t="s">
        <v>445</v>
      </c>
      <c r="J51" t="s">
        <v>618</v>
      </c>
      <c r="K51" t="s">
        <v>613</v>
      </c>
      <c r="M51" t="s">
        <v>786</v>
      </c>
      <c r="N51" t="s">
        <v>702</v>
      </c>
      <c r="P51" t="s">
        <v>834</v>
      </c>
      <c r="Q51" t="s">
        <v>899</v>
      </c>
      <c r="S51" t="s">
        <v>1074</v>
      </c>
      <c r="T51" t="s">
        <v>348</v>
      </c>
    </row>
    <row r="52" spans="2:20" x14ac:dyDescent="0.25">
      <c r="B52" s="5" t="s">
        <v>128</v>
      </c>
      <c r="C52" s="5" t="s">
        <v>129</v>
      </c>
      <c r="D52" t="s">
        <v>445</v>
      </c>
      <c r="F52" t="s">
        <v>505</v>
      </c>
      <c r="G52" t="s">
        <v>448</v>
      </c>
      <c r="H52" t="s">
        <v>445</v>
      </c>
      <c r="J52" t="s">
        <v>619</v>
      </c>
      <c r="K52" t="s">
        <v>613</v>
      </c>
      <c r="M52" t="s">
        <v>787</v>
      </c>
      <c r="N52" t="s">
        <v>702</v>
      </c>
      <c r="P52" t="s">
        <v>900</v>
      </c>
      <c r="Q52" t="s">
        <v>448</v>
      </c>
      <c r="S52" t="s">
        <v>1075</v>
      </c>
      <c r="T52" t="s">
        <v>1076</v>
      </c>
    </row>
    <row r="53" spans="2:20" x14ac:dyDescent="0.25">
      <c r="B53" s="5" t="s">
        <v>130</v>
      </c>
      <c r="C53" s="5" t="s">
        <v>131</v>
      </c>
      <c r="D53" t="s">
        <v>563</v>
      </c>
      <c r="F53" t="s">
        <v>506</v>
      </c>
      <c r="G53" t="s">
        <v>69</v>
      </c>
      <c r="H53" t="s">
        <v>445</v>
      </c>
      <c r="J53" t="s">
        <v>620</v>
      </c>
      <c r="K53" t="s">
        <v>613</v>
      </c>
      <c r="M53" t="s">
        <v>788</v>
      </c>
      <c r="N53" t="s">
        <v>702</v>
      </c>
      <c r="P53" t="s">
        <v>901</v>
      </c>
      <c r="Q53" t="s">
        <v>448</v>
      </c>
      <c r="S53" t="s">
        <v>1077</v>
      </c>
      <c r="T53" t="s">
        <v>362</v>
      </c>
    </row>
    <row r="54" spans="2:20" x14ac:dyDescent="0.25">
      <c r="B54" s="5" t="s">
        <v>132</v>
      </c>
      <c r="C54" s="5" t="s">
        <v>69</v>
      </c>
      <c r="D54" t="s">
        <v>563</v>
      </c>
      <c r="F54" t="s">
        <v>507</v>
      </c>
      <c r="G54" t="s">
        <v>69</v>
      </c>
      <c r="H54" t="s">
        <v>445</v>
      </c>
      <c r="J54" t="s">
        <v>621</v>
      </c>
      <c r="K54" t="s">
        <v>574</v>
      </c>
      <c r="M54" t="s">
        <v>789</v>
      </c>
      <c r="N54" t="s">
        <v>702</v>
      </c>
      <c r="P54" t="s">
        <v>902</v>
      </c>
      <c r="Q54" t="s">
        <v>243</v>
      </c>
      <c r="S54" t="s">
        <v>1078</v>
      </c>
      <c r="T54" t="s">
        <v>1079</v>
      </c>
    </row>
    <row r="55" spans="2:20" x14ac:dyDescent="0.25">
      <c r="B55" s="5" t="s">
        <v>133</v>
      </c>
      <c r="C55" s="5" t="s">
        <v>134</v>
      </c>
      <c r="D55" t="s">
        <v>445</v>
      </c>
      <c r="F55" t="s">
        <v>508</v>
      </c>
      <c r="G55" t="s">
        <v>452</v>
      </c>
      <c r="H55" t="s">
        <v>445</v>
      </c>
      <c r="J55" t="s">
        <v>622</v>
      </c>
      <c r="K55" t="s">
        <v>574</v>
      </c>
      <c r="M55" t="s">
        <v>790</v>
      </c>
      <c r="N55" t="s">
        <v>702</v>
      </c>
      <c r="P55" t="s">
        <v>903</v>
      </c>
      <c r="Q55" t="s">
        <v>243</v>
      </c>
      <c r="S55" t="s">
        <v>1080</v>
      </c>
      <c r="T55" t="s">
        <v>1081</v>
      </c>
    </row>
    <row r="56" spans="2:20" x14ac:dyDescent="0.25">
      <c r="B56" s="5" t="s">
        <v>135</v>
      </c>
      <c r="C56" s="5" t="s">
        <v>136</v>
      </c>
      <c r="D56" t="s">
        <v>442</v>
      </c>
      <c r="F56" t="s">
        <v>509</v>
      </c>
      <c r="G56" t="s">
        <v>69</v>
      </c>
      <c r="H56" t="s">
        <v>510</v>
      </c>
      <c r="J56" t="s">
        <v>623</v>
      </c>
      <c r="K56" t="s">
        <v>574</v>
      </c>
      <c r="M56" t="s">
        <v>791</v>
      </c>
      <c r="N56" t="s">
        <v>702</v>
      </c>
      <c r="P56" t="s">
        <v>904</v>
      </c>
      <c r="Q56" t="s">
        <v>448</v>
      </c>
      <c r="S56" t="s">
        <v>1082</v>
      </c>
      <c r="T56" t="s">
        <v>726</v>
      </c>
    </row>
    <row r="57" spans="2:20" x14ac:dyDescent="0.25">
      <c r="B57" s="5" t="s">
        <v>137</v>
      </c>
      <c r="C57" s="5" t="s">
        <v>138</v>
      </c>
      <c r="D57" t="s">
        <v>442</v>
      </c>
      <c r="F57" t="s">
        <v>511</v>
      </c>
      <c r="G57" t="s">
        <v>69</v>
      </c>
      <c r="H57" t="s">
        <v>512</v>
      </c>
      <c r="J57" t="s">
        <v>624</v>
      </c>
      <c r="K57" t="s">
        <v>574</v>
      </c>
      <c r="M57" t="s">
        <v>792</v>
      </c>
      <c r="N57" t="s">
        <v>702</v>
      </c>
      <c r="P57" t="s">
        <v>905</v>
      </c>
      <c r="Q57" t="s">
        <v>906</v>
      </c>
      <c r="S57" t="s">
        <v>1083</v>
      </c>
      <c r="T57" t="s">
        <v>113</v>
      </c>
    </row>
    <row r="58" spans="2:20" x14ac:dyDescent="0.25">
      <c r="B58" s="5" t="s">
        <v>139</v>
      </c>
      <c r="C58" s="5" t="s">
        <v>140</v>
      </c>
      <c r="D58" t="s">
        <v>445</v>
      </c>
      <c r="F58" t="s">
        <v>513</v>
      </c>
      <c r="G58" t="s">
        <v>448</v>
      </c>
      <c r="H58" t="s">
        <v>514</v>
      </c>
      <c r="J58" t="s">
        <v>625</v>
      </c>
      <c r="K58" t="s">
        <v>574</v>
      </c>
      <c r="M58" t="s">
        <v>793</v>
      </c>
      <c r="N58" t="s">
        <v>702</v>
      </c>
      <c r="P58" t="s">
        <v>907</v>
      </c>
      <c r="Q58" t="s">
        <v>908</v>
      </c>
      <c r="S58" t="s">
        <v>1084</v>
      </c>
      <c r="T58" t="s">
        <v>1085</v>
      </c>
    </row>
    <row r="59" spans="2:20" x14ac:dyDescent="0.25">
      <c r="B59" s="5" t="s">
        <v>141</v>
      </c>
      <c r="C59" s="5" t="s">
        <v>142</v>
      </c>
      <c r="D59" t="s">
        <v>442</v>
      </c>
      <c r="F59" t="s">
        <v>515</v>
      </c>
      <c r="G59" t="s">
        <v>448</v>
      </c>
      <c r="H59" t="s">
        <v>516</v>
      </c>
      <c r="J59" t="s">
        <v>626</v>
      </c>
      <c r="K59" t="s">
        <v>574</v>
      </c>
      <c r="M59" t="s">
        <v>794</v>
      </c>
      <c r="N59" t="s">
        <v>702</v>
      </c>
      <c r="P59" t="s">
        <v>909</v>
      </c>
      <c r="Q59" t="s">
        <v>910</v>
      </c>
      <c r="S59" t="s">
        <v>1086</v>
      </c>
      <c r="T59" t="s">
        <v>69</v>
      </c>
    </row>
    <row r="60" spans="2:20" x14ac:dyDescent="0.25">
      <c r="B60" s="5" t="s">
        <v>143</v>
      </c>
      <c r="C60" s="5" t="s">
        <v>144</v>
      </c>
      <c r="D60" t="s">
        <v>442</v>
      </c>
      <c r="F60" t="s">
        <v>517</v>
      </c>
      <c r="G60" t="s">
        <v>452</v>
      </c>
      <c r="H60" t="s">
        <v>494</v>
      </c>
      <c r="J60" t="s">
        <v>627</v>
      </c>
      <c r="K60" t="s">
        <v>574</v>
      </c>
      <c r="M60" t="s">
        <v>795</v>
      </c>
      <c r="N60" t="s">
        <v>702</v>
      </c>
      <c r="P60" t="s">
        <v>911</v>
      </c>
      <c r="Q60" t="s">
        <v>906</v>
      </c>
      <c r="S60" t="s">
        <v>1087</v>
      </c>
      <c r="T60" t="s">
        <v>53</v>
      </c>
    </row>
    <row r="61" spans="2:20" x14ac:dyDescent="0.25">
      <c r="B61" s="5" t="s">
        <v>145</v>
      </c>
      <c r="C61" s="5" t="s">
        <v>146</v>
      </c>
      <c r="D61" t="s">
        <v>442</v>
      </c>
      <c r="F61" t="s">
        <v>518</v>
      </c>
      <c r="G61" t="s">
        <v>444</v>
      </c>
      <c r="H61" t="s">
        <v>445</v>
      </c>
      <c r="J61" t="s">
        <v>628</v>
      </c>
      <c r="K61" t="s">
        <v>574</v>
      </c>
      <c r="M61" t="s">
        <v>796</v>
      </c>
      <c r="N61" t="s">
        <v>702</v>
      </c>
      <c r="P61" t="s">
        <v>912</v>
      </c>
      <c r="Q61" t="s">
        <v>913</v>
      </c>
      <c r="S61" t="s">
        <v>1088</v>
      </c>
      <c r="T61" t="s">
        <v>87</v>
      </c>
    </row>
    <row r="62" spans="2:20" x14ac:dyDescent="0.25">
      <c r="B62" s="5" t="s">
        <v>147</v>
      </c>
      <c r="C62" s="5" t="s">
        <v>148</v>
      </c>
      <c r="D62" t="s">
        <v>445</v>
      </c>
      <c r="F62" t="s">
        <v>519</v>
      </c>
      <c r="G62" t="s">
        <v>448</v>
      </c>
      <c r="H62" t="s">
        <v>445</v>
      </c>
      <c r="J62" t="s">
        <v>629</v>
      </c>
      <c r="K62" t="s">
        <v>574</v>
      </c>
      <c r="M62" t="s">
        <v>797</v>
      </c>
      <c r="N62" t="s">
        <v>702</v>
      </c>
      <c r="P62" t="s">
        <v>914</v>
      </c>
      <c r="Q62" t="s">
        <v>389</v>
      </c>
      <c r="S62" t="s">
        <v>1089</v>
      </c>
      <c r="T62" t="s">
        <v>726</v>
      </c>
    </row>
    <row r="63" spans="2:20" x14ac:dyDescent="0.25">
      <c r="B63" s="5" t="s">
        <v>149</v>
      </c>
      <c r="C63" s="5" t="s">
        <v>150</v>
      </c>
      <c r="D63" t="s">
        <v>442</v>
      </c>
      <c r="F63" t="s">
        <v>520</v>
      </c>
      <c r="G63" t="s">
        <v>69</v>
      </c>
      <c r="H63" t="s">
        <v>521</v>
      </c>
      <c r="J63" t="s">
        <v>630</v>
      </c>
      <c r="K63" t="s">
        <v>574</v>
      </c>
      <c r="M63" t="s">
        <v>798</v>
      </c>
      <c r="N63" t="s">
        <v>702</v>
      </c>
      <c r="S63" t="s">
        <v>1090</v>
      </c>
      <c r="T63" t="s">
        <v>1091</v>
      </c>
    </row>
    <row r="64" spans="2:20" x14ac:dyDescent="0.25">
      <c r="B64" s="5" t="s">
        <v>151</v>
      </c>
      <c r="C64" s="5" t="s">
        <v>152</v>
      </c>
      <c r="D64" t="s">
        <v>442</v>
      </c>
      <c r="F64" t="s">
        <v>522</v>
      </c>
      <c r="G64" t="s">
        <v>452</v>
      </c>
      <c r="H64" t="s">
        <v>445</v>
      </c>
      <c r="J64" t="s">
        <v>631</v>
      </c>
      <c r="K64" t="s">
        <v>572</v>
      </c>
      <c r="M64" t="s">
        <v>799</v>
      </c>
      <c r="N64" t="s">
        <v>702</v>
      </c>
      <c r="S64" t="s">
        <v>1092</v>
      </c>
      <c r="T64" t="s">
        <v>1093</v>
      </c>
    </row>
    <row r="65" spans="2:20" x14ac:dyDescent="0.25">
      <c r="B65" s="5" t="s">
        <v>153</v>
      </c>
      <c r="C65" s="5" t="s">
        <v>109</v>
      </c>
      <c r="D65" t="s">
        <v>442</v>
      </c>
      <c r="F65" t="s">
        <v>523</v>
      </c>
      <c r="G65" t="s">
        <v>448</v>
      </c>
      <c r="H65" t="s">
        <v>445</v>
      </c>
      <c r="J65" t="s">
        <v>632</v>
      </c>
      <c r="K65" t="s">
        <v>572</v>
      </c>
      <c r="M65" t="s">
        <v>800</v>
      </c>
      <c r="N65" t="s">
        <v>702</v>
      </c>
      <c r="S65" t="s">
        <v>1094</v>
      </c>
      <c r="T65" t="s">
        <v>727</v>
      </c>
    </row>
    <row r="66" spans="2:20" x14ac:dyDescent="0.25">
      <c r="B66" s="5" t="s">
        <v>154</v>
      </c>
      <c r="C66" s="5" t="s">
        <v>155</v>
      </c>
      <c r="D66" t="s">
        <v>442</v>
      </c>
      <c r="F66" t="s">
        <v>524</v>
      </c>
      <c r="G66" t="s">
        <v>448</v>
      </c>
      <c r="H66" t="s">
        <v>474</v>
      </c>
      <c r="J66" t="s">
        <v>633</v>
      </c>
      <c r="K66" t="s">
        <v>572</v>
      </c>
      <c r="M66" t="s">
        <v>801</v>
      </c>
      <c r="N66" t="s">
        <v>702</v>
      </c>
      <c r="S66" t="s">
        <v>1095</v>
      </c>
      <c r="T66" t="s">
        <v>266</v>
      </c>
    </row>
    <row r="67" spans="2:20" x14ac:dyDescent="0.25">
      <c r="B67" s="5" t="s">
        <v>156</v>
      </c>
      <c r="C67" s="5" t="s">
        <v>157</v>
      </c>
      <c r="D67" t="s">
        <v>445</v>
      </c>
      <c r="F67" t="s">
        <v>525</v>
      </c>
      <c r="G67" t="s">
        <v>452</v>
      </c>
      <c r="H67" t="s">
        <v>445</v>
      </c>
      <c r="J67" t="s">
        <v>634</v>
      </c>
      <c r="K67" t="s">
        <v>572</v>
      </c>
      <c r="M67" t="s">
        <v>802</v>
      </c>
      <c r="N67" t="s">
        <v>803</v>
      </c>
      <c r="S67" t="s">
        <v>1096</v>
      </c>
      <c r="T67" t="s">
        <v>1097</v>
      </c>
    </row>
    <row r="68" spans="2:20" x14ac:dyDescent="0.25">
      <c r="B68" s="5" t="s">
        <v>158</v>
      </c>
      <c r="C68" s="5" t="s">
        <v>159</v>
      </c>
      <c r="D68" t="s">
        <v>445</v>
      </c>
      <c r="F68" t="s">
        <v>526</v>
      </c>
      <c r="G68" t="s">
        <v>448</v>
      </c>
      <c r="H68" t="s">
        <v>469</v>
      </c>
      <c r="J68" t="s">
        <v>635</v>
      </c>
      <c r="K68" t="s">
        <v>572</v>
      </c>
      <c r="M68" t="s">
        <v>804</v>
      </c>
      <c r="N68" t="s">
        <v>803</v>
      </c>
      <c r="S68" t="s">
        <v>1098</v>
      </c>
      <c r="T68" t="s">
        <v>1099</v>
      </c>
    </row>
    <row r="69" spans="2:20" x14ac:dyDescent="0.25">
      <c r="B69" s="5" t="s">
        <v>160</v>
      </c>
      <c r="C69" s="5" t="s">
        <v>161</v>
      </c>
      <c r="D69" t="s">
        <v>442</v>
      </c>
      <c r="F69" t="s">
        <v>527</v>
      </c>
      <c r="G69" t="s">
        <v>69</v>
      </c>
      <c r="H69" t="s">
        <v>528</v>
      </c>
      <c r="J69" t="s">
        <v>636</v>
      </c>
      <c r="K69" t="s">
        <v>572</v>
      </c>
      <c r="M69" t="s">
        <v>805</v>
      </c>
      <c r="N69" t="s">
        <v>803</v>
      </c>
      <c r="S69" t="s">
        <v>1100</v>
      </c>
      <c r="T69" t="s">
        <v>1099</v>
      </c>
    </row>
    <row r="70" spans="2:20" x14ac:dyDescent="0.25">
      <c r="B70" s="5" t="s">
        <v>162</v>
      </c>
      <c r="C70" s="5" t="s">
        <v>163</v>
      </c>
      <c r="D70" t="s">
        <v>442</v>
      </c>
      <c r="F70" t="s">
        <v>529</v>
      </c>
      <c r="G70" t="s">
        <v>448</v>
      </c>
      <c r="H70" t="s">
        <v>445</v>
      </c>
      <c r="J70" t="s">
        <v>637</v>
      </c>
      <c r="K70" t="s">
        <v>572</v>
      </c>
      <c r="M70" t="s">
        <v>806</v>
      </c>
      <c r="N70" t="s">
        <v>803</v>
      </c>
      <c r="S70" t="s">
        <v>1101</v>
      </c>
      <c r="T70" t="s">
        <v>1099</v>
      </c>
    </row>
    <row r="71" spans="2:20" x14ac:dyDescent="0.25">
      <c r="B71" s="5" t="s">
        <v>164</v>
      </c>
      <c r="C71" s="5" t="s">
        <v>165</v>
      </c>
      <c r="D71" t="s">
        <v>442</v>
      </c>
      <c r="F71" t="s">
        <v>530</v>
      </c>
      <c r="G71" t="s">
        <v>452</v>
      </c>
      <c r="H71" t="s">
        <v>531</v>
      </c>
      <c r="J71" t="s">
        <v>638</v>
      </c>
      <c r="K71" t="s">
        <v>572</v>
      </c>
      <c r="M71" t="s">
        <v>807</v>
      </c>
      <c r="N71" t="s">
        <v>808</v>
      </c>
      <c r="S71" t="s">
        <v>1102</v>
      </c>
      <c r="T71" t="s">
        <v>1103</v>
      </c>
    </row>
    <row r="72" spans="2:20" x14ac:dyDescent="0.25">
      <c r="B72" s="5" t="s">
        <v>166</v>
      </c>
      <c r="C72" s="5" t="s">
        <v>167</v>
      </c>
      <c r="D72" t="s">
        <v>442</v>
      </c>
      <c r="F72" t="s">
        <v>532</v>
      </c>
      <c r="G72" t="s">
        <v>452</v>
      </c>
      <c r="H72" t="s">
        <v>445</v>
      </c>
      <c r="J72" t="s">
        <v>639</v>
      </c>
      <c r="K72" t="s">
        <v>572</v>
      </c>
      <c r="M72" t="s">
        <v>809</v>
      </c>
      <c r="N72" t="s">
        <v>808</v>
      </c>
      <c r="S72" t="s">
        <v>1104</v>
      </c>
      <c r="T72" t="s">
        <v>69</v>
      </c>
    </row>
    <row r="73" spans="2:20" x14ac:dyDescent="0.25">
      <c r="B73" s="5" t="s">
        <v>168</v>
      </c>
      <c r="C73" s="5" t="s">
        <v>169</v>
      </c>
      <c r="D73" t="s">
        <v>445</v>
      </c>
      <c r="F73" t="s">
        <v>533</v>
      </c>
      <c r="G73" t="s">
        <v>448</v>
      </c>
      <c r="H73" t="s">
        <v>445</v>
      </c>
      <c r="J73" t="s">
        <v>640</v>
      </c>
      <c r="K73" t="s">
        <v>572</v>
      </c>
      <c r="M73" t="s">
        <v>810</v>
      </c>
      <c r="N73" t="s">
        <v>808</v>
      </c>
      <c r="S73" t="s">
        <v>1105</v>
      </c>
      <c r="T73" t="s">
        <v>1106</v>
      </c>
    </row>
    <row r="74" spans="2:20" x14ac:dyDescent="0.25">
      <c r="B74" s="5" t="s">
        <v>170</v>
      </c>
      <c r="C74" s="5" t="s">
        <v>171</v>
      </c>
      <c r="D74" t="s">
        <v>442</v>
      </c>
      <c r="F74" t="s">
        <v>534</v>
      </c>
      <c r="G74" t="s">
        <v>448</v>
      </c>
      <c r="H74" t="s">
        <v>535</v>
      </c>
      <c r="J74" t="s">
        <v>641</v>
      </c>
      <c r="K74" t="s">
        <v>572</v>
      </c>
      <c r="M74" t="s">
        <v>811</v>
      </c>
      <c r="N74" t="s">
        <v>808</v>
      </c>
      <c r="S74" t="s">
        <v>1107</v>
      </c>
      <c r="T74" t="s">
        <v>1108</v>
      </c>
    </row>
    <row r="75" spans="2:20" x14ac:dyDescent="0.25">
      <c r="B75" s="5" t="s">
        <v>172</v>
      </c>
      <c r="C75" s="5" t="s">
        <v>173</v>
      </c>
      <c r="D75" t="s">
        <v>445</v>
      </c>
      <c r="F75" t="s">
        <v>536</v>
      </c>
      <c r="G75" t="s">
        <v>69</v>
      </c>
      <c r="H75" t="s">
        <v>537</v>
      </c>
      <c r="J75" t="s">
        <v>642</v>
      </c>
      <c r="K75" t="s">
        <v>572</v>
      </c>
      <c r="M75" t="s">
        <v>812</v>
      </c>
      <c r="N75" t="s">
        <v>808</v>
      </c>
      <c r="S75" t="s">
        <v>1109</v>
      </c>
      <c r="T75" t="s">
        <v>1110</v>
      </c>
    </row>
    <row r="76" spans="2:20" x14ac:dyDescent="0.25">
      <c r="B76" s="5" t="s">
        <v>174</v>
      </c>
      <c r="C76" s="5" t="s">
        <v>175</v>
      </c>
      <c r="D76" t="s">
        <v>442</v>
      </c>
      <c r="F76" t="s">
        <v>538</v>
      </c>
      <c r="G76" t="s">
        <v>69</v>
      </c>
      <c r="H76" t="s">
        <v>445</v>
      </c>
      <c r="J76" t="s">
        <v>643</v>
      </c>
      <c r="K76" t="s">
        <v>572</v>
      </c>
      <c r="M76" t="s">
        <v>813</v>
      </c>
      <c r="N76" t="s">
        <v>808</v>
      </c>
      <c r="S76" t="s">
        <v>1111</v>
      </c>
      <c r="T76" t="s">
        <v>1112</v>
      </c>
    </row>
    <row r="77" spans="2:20" x14ac:dyDescent="0.25">
      <c r="B77" s="5" t="s">
        <v>176</v>
      </c>
      <c r="C77" s="5" t="s">
        <v>177</v>
      </c>
      <c r="D77" t="s">
        <v>445</v>
      </c>
      <c r="F77" t="s">
        <v>539</v>
      </c>
      <c r="G77" t="s">
        <v>452</v>
      </c>
      <c r="H77" t="s">
        <v>445</v>
      </c>
      <c r="J77" t="s">
        <v>644</v>
      </c>
      <c r="K77" t="s">
        <v>645</v>
      </c>
      <c r="M77" t="s">
        <v>814</v>
      </c>
      <c r="N77" t="s">
        <v>808</v>
      </c>
      <c r="S77" t="s">
        <v>1113</v>
      </c>
      <c r="T77" t="s">
        <v>1114</v>
      </c>
    </row>
    <row r="78" spans="2:20" x14ac:dyDescent="0.25">
      <c r="B78" s="5" t="s">
        <v>178</v>
      </c>
      <c r="C78" s="5" t="s">
        <v>179</v>
      </c>
      <c r="D78" t="s">
        <v>445</v>
      </c>
      <c r="F78" t="s">
        <v>540</v>
      </c>
      <c r="G78" t="s">
        <v>448</v>
      </c>
      <c r="H78" t="s">
        <v>469</v>
      </c>
      <c r="J78" t="s">
        <v>646</v>
      </c>
      <c r="K78" t="s">
        <v>645</v>
      </c>
      <c r="M78" t="s">
        <v>815</v>
      </c>
      <c r="N78" t="s">
        <v>808</v>
      </c>
      <c r="S78" t="s">
        <v>1115</v>
      </c>
      <c r="T78" t="s">
        <v>1116</v>
      </c>
    </row>
    <row r="79" spans="2:20" x14ac:dyDescent="0.25">
      <c r="B79" s="5" t="s">
        <v>180</v>
      </c>
      <c r="C79" s="5" t="s">
        <v>109</v>
      </c>
      <c r="D79" t="s">
        <v>442</v>
      </c>
      <c r="F79" t="s">
        <v>541</v>
      </c>
      <c r="G79" t="s">
        <v>69</v>
      </c>
      <c r="H79" t="s">
        <v>445</v>
      </c>
      <c r="J79" t="s">
        <v>647</v>
      </c>
      <c r="K79" t="s">
        <v>648</v>
      </c>
      <c r="M79" t="s">
        <v>816</v>
      </c>
      <c r="N79" t="s">
        <v>808</v>
      </c>
      <c r="S79" t="s">
        <v>1117</v>
      </c>
      <c r="T79" t="s">
        <v>53</v>
      </c>
    </row>
    <row r="80" spans="2:20" x14ac:dyDescent="0.25">
      <c r="B80" s="5" t="s">
        <v>181</v>
      </c>
      <c r="C80" s="5" t="s">
        <v>182</v>
      </c>
      <c r="D80" t="s">
        <v>445</v>
      </c>
      <c r="F80" t="s">
        <v>542</v>
      </c>
      <c r="G80" t="s">
        <v>448</v>
      </c>
      <c r="H80" t="s">
        <v>494</v>
      </c>
      <c r="J80" t="s">
        <v>649</v>
      </c>
      <c r="K80" t="s">
        <v>645</v>
      </c>
      <c r="M80" t="s">
        <v>817</v>
      </c>
      <c r="N80" t="s">
        <v>808</v>
      </c>
      <c r="S80" t="s">
        <v>1118</v>
      </c>
      <c r="T80" t="s">
        <v>726</v>
      </c>
    </row>
    <row r="81" spans="2:20" x14ac:dyDescent="0.25">
      <c r="B81" s="5" t="s">
        <v>183</v>
      </c>
      <c r="C81" s="5" t="s">
        <v>184</v>
      </c>
      <c r="D81" t="s">
        <v>445</v>
      </c>
      <c r="F81" t="s">
        <v>543</v>
      </c>
      <c r="G81" t="s">
        <v>448</v>
      </c>
      <c r="H81" t="s">
        <v>445</v>
      </c>
      <c r="J81" t="s">
        <v>650</v>
      </c>
      <c r="K81" t="s">
        <v>645</v>
      </c>
      <c r="M81" t="s">
        <v>818</v>
      </c>
      <c r="N81" t="s">
        <v>808</v>
      </c>
      <c r="S81" t="s">
        <v>1119</v>
      </c>
      <c r="T81" t="s">
        <v>85</v>
      </c>
    </row>
    <row r="82" spans="2:20" x14ac:dyDescent="0.25">
      <c r="B82" s="5" t="s">
        <v>185</v>
      </c>
      <c r="C82" s="5" t="s">
        <v>186</v>
      </c>
      <c r="D82" t="s">
        <v>442</v>
      </c>
      <c r="F82" t="s">
        <v>544</v>
      </c>
      <c r="G82" t="s">
        <v>448</v>
      </c>
      <c r="H82" t="s">
        <v>445</v>
      </c>
      <c r="J82" t="s">
        <v>651</v>
      </c>
      <c r="K82" t="s">
        <v>652</v>
      </c>
      <c r="M82" t="s">
        <v>819</v>
      </c>
      <c r="N82" t="s">
        <v>808</v>
      </c>
      <c r="S82" t="s">
        <v>1120</v>
      </c>
      <c r="T82" t="s">
        <v>1121</v>
      </c>
    </row>
    <row r="83" spans="2:20" x14ac:dyDescent="0.25">
      <c r="B83" s="5" t="s">
        <v>187</v>
      </c>
      <c r="C83" s="5" t="s">
        <v>188</v>
      </c>
      <c r="D83" t="s">
        <v>445</v>
      </c>
      <c r="F83" t="s">
        <v>545</v>
      </c>
      <c r="G83" t="s">
        <v>452</v>
      </c>
      <c r="H83" t="s">
        <v>445</v>
      </c>
      <c r="J83" t="s">
        <v>653</v>
      </c>
      <c r="K83" t="s">
        <v>652</v>
      </c>
      <c r="M83" t="s">
        <v>820</v>
      </c>
      <c r="N83" t="s">
        <v>808</v>
      </c>
      <c r="S83" t="s">
        <v>1122</v>
      </c>
      <c r="T83" t="s">
        <v>1123</v>
      </c>
    </row>
    <row r="84" spans="2:20" x14ac:dyDescent="0.25">
      <c r="B84" s="5" t="s">
        <v>189</v>
      </c>
      <c r="C84" s="5" t="s">
        <v>190</v>
      </c>
      <c r="D84" t="s">
        <v>442</v>
      </c>
      <c r="F84" t="s">
        <v>546</v>
      </c>
      <c r="G84" t="s">
        <v>448</v>
      </c>
      <c r="H84" t="s">
        <v>474</v>
      </c>
      <c r="J84" t="s">
        <v>654</v>
      </c>
      <c r="K84" t="s">
        <v>652</v>
      </c>
      <c r="M84" t="s">
        <v>821</v>
      </c>
      <c r="N84" t="s">
        <v>808</v>
      </c>
      <c r="S84" t="s">
        <v>1124</v>
      </c>
      <c r="T84" t="s">
        <v>726</v>
      </c>
    </row>
    <row r="85" spans="2:20" x14ac:dyDescent="0.25">
      <c r="B85" s="5" t="s">
        <v>191</v>
      </c>
      <c r="C85" s="5" t="s">
        <v>192</v>
      </c>
      <c r="D85" t="s">
        <v>442</v>
      </c>
      <c r="F85" t="s">
        <v>547</v>
      </c>
      <c r="G85" t="s">
        <v>77</v>
      </c>
      <c r="H85" t="s">
        <v>445</v>
      </c>
      <c r="J85" t="s">
        <v>655</v>
      </c>
      <c r="K85" t="s">
        <v>652</v>
      </c>
      <c r="M85" t="s">
        <v>822</v>
      </c>
      <c r="N85" t="s">
        <v>808</v>
      </c>
      <c r="S85" t="s">
        <v>1125</v>
      </c>
      <c r="T85" t="s">
        <v>247</v>
      </c>
    </row>
    <row r="86" spans="2:20" x14ac:dyDescent="0.25">
      <c r="B86" s="5" t="s">
        <v>193</v>
      </c>
      <c r="C86" s="5" t="s">
        <v>194</v>
      </c>
      <c r="D86" t="s">
        <v>442</v>
      </c>
      <c r="F86" t="s">
        <v>548</v>
      </c>
      <c r="G86" t="s">
        <v>448</v>
      </c>
      <c r="H86" t="s">
        <v>474</v>
      </c>
      <c r="J86" t="s">
        <v>656</v>
      </c>
      <c r="K86" t="s">
        <v>652</v>
      </c>
      <c r="M86" t="s">
        <v>823</v>
      </c>
      <c r="N86" t="s">
        <v>808</v>
      </c>
      <c r="S86" t="s">
        <v>1126</v>
      </c>
      <c r="T86" t="s">
        <v>1127</v>
      </c>
    </row>
    <row r="87" spans="2:20" x14ac:dyDescent="0.25">
      <c r="B87" s="5" t="s">
        <v>195</v>
      </c>
      <c r="C87" s="5" t="s">
        <v>196</v>
      </c>
      <c r="D87" t="s">
        <v>445</v>
      </c>
      <c r="F87" t="s">
        <v>549</v>
      </c>
      <c r="G87" t="s">
        <v>69</v>
      </c>
      <c r="H87" t="s">
        <v>442</v>
      </c>
      <c r="J87" t="s">
        <v>657</v>
      </c>
      <c r="K87" t="s">
        <v>652</v>
      </c>
      <c r="S87" t="s">
        <v>1128</v>
      </c>
      <c r="T87" t="s">
        <v>1129</v>
      </c>
    </row>
    <row r="88" spans="2:20" x14ac:dyDescent="0.25">
      <c r="B88" s="5" t="s">
        <v>197</v>
      </c>
      <c r="C88" s="5" t="s">
        <v>198</v>
      </c>
      <c r="D88" t="s">
        <v>445</v>
      </c>
      <c r="F88" t="s">
        <v>550</v>
      </c>
      <c r="G88" t="s">
        <v>452</v>
      </c>
      <c r="H88" t="s">
        <v>442</v>
      </c>
      <c r="J88" t="s">
        <v>658</v>
      </c>
      <c r="K88" t="s">
        <v>652</v>
      </c>
      <c r="S88" t="s">
        <v>1130</v>
      </c>
      <c r="T88" t="s">
        <v>1131</v>
      </c>
    </row>
    <row r="89" spans="2:20" x14ac:dyDescent="0.25">
      <c r="B89" s="5" t="s">
        <v>199</v>
      </c>
      <c r="C89" s="5" t="s">
        <v>200</v>
      </c>
      <c r="D89" t="s">
        <v>445</v>
      </c>
      <c r="F89" t="s">
        <v>551</v>
      </c>
      <c r="G89" t="s">
        <v>452</v>
      </c>
      <c r="H89" t="s">
        <v>552</v>
      </c>
      <c r="J89" t="s">
        <v>659</v>
      </c>
      <c r="K89" t="s">
        <v>652</v>
      </c>
      <c r="S89" t="s">
        <v>1132</v>
      </c>
      <c r="T89" t="s">
        <v>1076</v>
      </c>
    </row>
    <row r="90" spans="2:20" x14ac:dyDescent="0.25">
      <c r="B90" s="5" t="s">
        <v>201</v>
      </c>
      <c r="C90" s="5" t="s">
        <v>69</v>
      </c>
      <c r="D90" t="s">
        <v>442</v>
      </c>
      <c r="F90" t="s">
        <v>553</v>
      </c>
      <c r="G90" t="s">
        <v>452</v>
      </c>
      <c r="H90" t="s">
        <v>445</v>
      </c>
      <c r="J90" t="s">
        <v>660</v>
      </c>
      <c r="K90" t="s">
        <v>652</v>
      </c>
      <c r="S90" t="s">
        <v>1133</v>
      </c>
      <c r="T90" t="s">
        <v>1076</v>
      </c>
    </row>
    <row r="91" spans="2:20" x14ac:dyDescent="0.25">
      <c r="B91" s="5" t="s">
        <v>202</v>
      </c>
      <c r="C91" s="5" t="s">
        <v>203</v>
      </c>
      <c r="D91" t="s">
        <v>442</v>
      </c>
      <c r="F91" t="s">
        <v>554</v>
      </c>
      <c r="G91" t="s">
        <v>452</v>
      </c>
      <c r="H91" t="s">
        <v>725</v>
      </c>
      <c r="J91" t="s">
        <v>661</v>
      </c>
      <c r="K91" t="s">
        <v>652</v>
      </c>
      <c r="S91" t="s">
        <v>1134</v>
      </c>
      <c r="T91" t="s">
        <v>1076</v>
      </c>
    </row>
    <row r="92" spans="2:20" x14ac:dyDescent="0.25">
      <c r="B92" s="5" t="s">
        <v>204</v>
      </c>
      <c r="C92" s="5" t="s">
        <v>169</v>
      </c>
      <c r="D92" t="s">
        <v>442</v>
      </c>
      <c r="F92" t="s">
        <v>555</v>
      </c>
      <c r="G92" t="s">
        <v>69</v>
      </c>
      <c r="H92" t="s">
        <v>445</v>
      </c>
      <c r="J92" t="s">
        <v>662</v>
      </c>
      <c r="K92" t="s">
        <v>652</v>
      </c>
      <c r="S92" t="s">
        <v>1135</v>
      </c>
      <c r="T92" t="s">
        <v>1076</v>
      </c>
    </row>
    <row r="93" spans="2:20" x14ac:dyDescent="0.25">
      <c r="B93" s="5" t="s">
        <v>205</v>
      </c>
      <c r="C93" s="5" t="s">
        <v>206</v>
      </c>
      <c r="D93" t="s">
        <v>445</v>
      </c>
      <c r="F93" t="s">
        <v>556</v>
      </c>
      <c r="G93" t="s">
        <v>452</v>
      </c>
      <c r="H93" t="s">
        <v>445</v>
      </c>
      <c r="J93" t="s">
        <v>663</v>
      </c>
      <c r="K93" t="s">
        <v>652</v>
      </c>
      <c r="S93" t="s">
        <v>1136</v>
      </c>
      <c r="T93" t="s">
        <v>1137</v>
      </c>
    </row>
    <row r="94" spans="2:20" x14ac:dyDescent="0.25">
      <c r="B94" s="5" t="s">
        <v>207</v>
      </c>
      <c r="C94" s="5" t="s">
        <v>208</v>
      </c>
      <c r="D94" t="s">
        <v>445</v>
      </c>
      <c r="F94" t="s">
        <v>557</v>
      </c>
      <c r="G94" t="s">
        <v>69</v>
      </c>
      <c r="H94" t="s">
        <v>474</v>
      </c>
      <c r="J94" t="s">
        <v>664</v>
      </c>
      <c r="K94" t="s">
        <v>652</v>
      </c>
      <c r="S94" t="s">
        <v>1138</v>
      </c>
      <c r="T94" t="s">
        <v>448</v>
      </c>
    </row>
    <row r="95" spans="2:20" x14ac:dyDescent="0.25">
      <c r="B95" s="5" t="s">
        <v>209</v>
      </c>
      <c r="C95" s="5" t="s">
        <v>210</v>
      </c>
      <c r="D95" t="s">
        <v>442</v>
      </c>
      <c r="F95" t="s">
        <v>558</v>
      </c>
      <c r="G95" t="s">
        <v>69</v>
      </c>
      <c r="H95" t="s">
        <v>445</v>
      </c>
      <c r="J95" t="s">
        <v>665</v>
      </c>
      <c r="K95" t="s">
        <v>652</v>
      </c>
      <c r="S95" t="s">
        <v>921</v>
      </c>
      <c r="T95" t="s">
        <v>917</v>
      </c>
    </row>
    <row r="96" spans="2:20" x14ac:dyDescent="0.25">
      <c r="B96" s="5" t="s">
        <v>211</v>
      </c>
      <c r="C96" s="5" t="s">
        <v>212</v>
      </c>
      <c r="D96" t="s">
        <v>442</v>
      </c>
      <c r="F96" t="s">
        <v>559</v>
      </c>
      <c r="G96" t="s">
        <v>69</v>
      </c>
      <c r="H96" t="s">
        <v>445</v>
      </c>
      <c r="J96" t="s">
        <v>666</v>
      </c>
      <c r="K96" t="s">
        <v>667</v>
      </c>
      <c r="S96" t="s">
        <v>922</v>
      </c>
      <c r="T96" t="s">
        <v>917</v>
      </c>
    </row>
    <row r="97" spans="2:20" x14ac:dyDescent="0.25">
      <c r="B97" s="5" t="s">
        <v>213</v>
      </c>
      <c r="C97" s="5" t="s">
        <v>214</v>
      </c>
      <c r="D97" t="s">
        <v>442</v>
      </c>
      <c r="F97" t="s">
        <v>560</v>
      </c>
      <c r="G97" t="s">
        <v>69</v>
      </c>
      <c r="H97" t="s">
        <v>445</v>
      </c>
      <c r="J97" t="s">
        <v>668</v>
      </c>
      <c r="K97" t="s">
        <v>667</v>
      </c>
      <c r="S97" t="s">
        <v>923</v>
      </c>
      <c r="T97" t="s">
        <v>917</v>
      </c>
    </row>
    <row r="98" spans="2:20" x14ac:dyDescent="0.25">
      <c r="B98" s="5" t="s">
        <v>215</v>
      </c>
      <c r="C98" s="5" t="s">
        <v>216</v>
      </c>
      <c r="D98" t="s">
        <v>442</v>
      </c>
      <c r="F98" t="s">
        <v>561</v>
      </c>
      <c r="G98" t="s">
        <v>452</v>
      </c>
      <c r="H98" t="s">
        <v>445</v>
      </c>
      <c r="J98" t="s">
        <v>669</v>
      </c>
      <c r="K98" t="s">
        <v>667</v>
      </c>
      <c r="S98" t="s">
        <v>924</v>
      </c>
      <c r="T98" t="s">
        <v>917</v>
      </c>
    </row>
    <row r="99" spans="2:20" x14ac:dyDescent="0.25">
      <c r="B99" s="5" t="s">
        <v>217</v>
      </c>
      <c r="C99" s="5" t="s">
        <v>218</v>
      </c>
      <c r="D99" t="s">
        <v>442</v>
      </c>
      <c r="F99" t="s">
        <v>562</v>
      </c>
      <c r="G99" t="s">
        <v>69</v>
      </c>
      <c r="H99" t="s">
        <v>474</v>
      </c>
      <c r="J99" t="s">
        <v>670</v>
      </c>
      <c r="K99" t="s">
        <v>667</v>
      </c>
      <c r="S99" t="s">
        <v>925</v>
      </c>
      <c r="T99" t="s">
        <v>917</v>
      </c>
    </row>
    <row r="100" spans="2:20" x14ac:dyDescent="0.25">
      <c r="B100" s="5" t="s">
        <v>219</v>
      </c>
      <c r="C100" s="5" t="s">
        <v>220</v>
      </c>
      <c r="D100" t="s">
        <v>442</v>
      </c>
      <c r="J100" t="s">
        <v>671</v>
      </c>
      <c r="K100" t="s">
        <v>667</v>
      </c>
      <c r="S100" t="s">
        <v>926</v>
      </c>
      <c r="T100" t="s">
        <v>917</v>
      </c>
    </row>
    <row r="101" spans="2:20" x14ac:dyDescent="0.25">
      <c r="B101" s="5" t="s">
        <v>221</v>
      </c>
      <c r="C101" s="5" t="s">
        <v>222</v>
      </c>
      <c r="D101" t="s">
        <v>442</v>
      </c>
      <c r="J101" t="s">
        <v>672</v>
      </c>
      <c r="K101" t="s">
        <v>667</v>
      </c>
      <c r="S101" t="s">
        <v>927</v>
      </c>
      <c r="T101" t="s">
        <v>919</v>
      </c>
    </row>
    <row r="102" spans="2:20" x14ac:dyDescent="0.25">
      <c r="B102" s="5" t="s">
        <v>223</v>
      </c>
      <c r="C102" s="5" t="s">
        <v>224</v>
      </c>
      <c r="D102" t="s">
        <v>442</v>
      </c>
      <c r="J102" t="s">
        <v>673</v>
      </c>
      <c r="K102" t="s">
        <v>667</v>
      </c>
      <c r="S102" t="s">
        <v>928</v>
      </c>
      <c r="T102" t="s">
        <v>917</v>
      </c>
    </row>
    <row r="103" spans="2:20" x14ac:dyDescent="0.25">
      <c r="B103" s="5" t="s">
        <v>225</v>
      </c>
      <c r="C103" s="5" t="s">
        <v>226</v>
      </c>
      <c r="D103" t="s">
        <v>442</v>
      </c>
      <c r="J103" t="s">
        <v>674</v>
      </c>
      <c r="K103" t="s">
        <v>667</v>
      </c>
      <c r="S103" t="s">
        <v>929</v>
      </c>
      <c r="T103" t="s">
        <v>918</v>
      </c>
    </row>
    <row r="104" spans="2:20" x14ac:dyDescent="0.25">
      <c r="B104" s="5" t="s">
        <v>227</v>
      </c>
      <c r="C104" s="5" t="s">
        <v>228</v>
      </c>
      <c r="D104" t="s">
        <v>442</v>
      </c>
      <c r="J104" t="s">
        <v>675</v>
      </c>
      <c r="K104" t="s">
        <v>667</v>
      </c>
      <c r="S104" t="s">
        <v>930</v>
      </c>
      <c r="T104" t="s">
        <v>917</v>
      </c>
    </row>
    <row r="105" spans="2:20" x14ac:dyDescent="0.25">
      <c r="B105" s="5" t="s">
        <v>229</v>
      </c>
      <c r="C105" s="5" t="s">
        <v>230</v>
      </c>
      <c r="D105" t="s">
        <v>442</v>
      </c>
      <c r="J105" t="s">
        <v>676</v>
      </c>
      <c r="K105" t="s">
        <v>667</v>
      </c>
      <c r="S105" t="s">
        <v>931</v>
      </c>
      <c r="T105" t="s">
        <v>917</v>
      </c>
    </row>
    <row r="106" spans="2:20" x14ac:dyDescent="0.25">
      <c r="B106" s="5" t="s">
        <v>231</v>
      </c>
      <c r="C106" s="5" t="s">
        <v>232</v>
      </c>
      <c r="D106" t="s">
        <v>442</v>
      </c>
      <c r="J106" t="s">
        <v>677</v>
      </c>
      <c r="K106" t="s">
        <v>678</v>
      </c>
      <c r="S106" t="s">
        <v>932</v>
      </c>
      <c r="T106" t="s">
        <v>917</v>
      </c>
    </row>
    <row r="107" spans="2:20" x14ac:dyDescent="0.25">
      <c r="B107" s="5" t="s">
        <v>233</v>
      </c>
      <c r="C107" s="5" t="s">
        <v>129</v>
      </c>
      <c r="D107" t="s">
        <v>445</v>
      </c>
      <c r="J107" t="s">
        <v>679</v>
      </c>
      <c r="K107" t="s">
        <v>678</v>
      </c>
      <c r="S107" t="s">
        <v>933</v>
      </c>
      <c r="T107" t="s">
        <v>917</v>
      </c>
    </row>
    <row r="108" spans="2:20" x14ac:dyDescent="0.25">
      <c r="B108" s="5" t="s">
        <v>234</v>
      </c>
      <c r="C108" s="5" t="s">
        <v>235</v>
      </c>
      <c r="D108" t="s">
        <v>445</v>
      </c>
      <c r="J108" t="s">
        <v>680</v>
      </c>
      <c r="K108" t="s">
        <v>678</v>
      </c>
      <c r="S108" t="s">
        <v>934</v>
      </c>
      <c r="T108" t="s">
        <v>918</v>
      </c>
    </row>
    <row r="109" spans="2:20" x14ac:dyDescent="0.25">
      <c r="B109" s="5" t="s">
        <v>236</v>
      </c>
      <c r="C109" s="5" t="s">
        <v>237</v>
      </c>
      <c r="D109" t="s">
        <v>442</v>
      </c>
      <c r="J109" t="s">
        <v>681</v>
      </c>
      <c r="K109" t="s">
        <v>678</v>
      </c>
      <c r="S109" t="s">
        <v>935</v>
      </c>
      <c r="T109" t="s">
        <v>917</v>
      </c>
    </row>
    <row r="110" spans="2:20" x14ac:dyDescent="0.25">
      <c r="B110" s="5" t="s">
        <v>238</v>
      </c>
      <c r="C110" s="5" t="s">
        <v>239</v>
      </c>
      <c r="D110" t="s">
        <v>442</v>
      </c>
      <c r="J110" t="s">
        <v>682</v>
      </c>
      <c r="K110" t="s">
        <v>678</v>
      </c>
      <c r="S110" t="s">
        <v>936</v>
      </c>
      <c r="T110" t="s">
        <v>917</v>
      </c>
    </row>
    <row r="111" spans="2:20" x14ac:dyDescent="0.25">
      <c r="B111" s="5" t="s">
        <v>240</v>
      </c>
      <c r="C111" s="5" t="s">
        <v>241</v>
      </c>
      <c r="D111" t="s">
        <v>445</v>
      </c>
      <c r="J111" t="s">
        <v>683</v>
      </c>
      <c r="K111" t="s">
        <v>678</v>
      </c>
      <c r="S111" t="s">
        <v>937</v>
      </c>
      <c r="T111" t="s">
        <v>918</v>
      </c>
    </row>
    <row r="112" spans="2:20" x14ac:dyDescent="0.25">
      <c r="B112" s="5" t="s">
        <v>242</v>
      </c>
      <c r="C112" s="5" t="s">
        <v>243</v>
      </c>
      <c r="D112" t="s">
        <v>445</v>
      </c>
      <c r="J112" t="s">
        <v>684</v>
      </c>
      <c r="K112" t="s">
        <v>678</v>
      </c>
      <c r="S112" t="s">
        <v>938</v>
      </c>
      <c r="T112" t="s">
        <v>918</v>
      </c>
    </row>
    <row r="113" spans="2:20" x14ac:dyDescent="0.25">
      <c r="B113" s="5" t="s">
        <v>244</v>
      </c>
      <c r="C113" s="5" t="s">
        <v>245</v>
      </c>
      <c r="D113" t="s">
        <v>445</v>
      </c>
      <c r="J113" t="s">
        <v>685</v>
      </c>
      <c r="K113" t="s">
        <v>678</v>
      </c>
      <c r="S113" t="s">
        <v>939</v>
      </c>
      <c r="T113" t="s">
        <v>917</v>
      </c>
    </row>
    <row r="114" spans="2:20" x14ac:dyDescent="0.25">
      <c r="B114" s="5" t="s">
        <v>246</v>
      </c>
      <c r="C114" s="5" t="s">
        <v>247</v>
      </c>
      <c r="D114" t="s">
        <v>442</v>
      </c>
      <c r="J114" t="s">
        <v>686</v>
      </c>
      <c r="K114" t="s">
        <v>678</v>
      </c>
      <c r="S114" t="s">
        <v>940</v>
      </c>
      <c r="T114" t="s">
        <v>916</v>
      </c>
    </row>
    <row r="115" spans="2:20" x14ac:dyDescent="0.25">
      <c r="B115" s="5" t="s">
        <v>248</v>
      </c>
      <c r="C115" s="5" t="s">
        <v>249</v>
      </c>
      <c r="D115" t="s">
        <v>442</v>
      </c>
      <c r="J115" t="s">
        <v>687</v>
      </c>
      <c r="K115" t="s">
        <v>678</v>
      </c>
      <c r="S115" t="s">
        <v>941</v>
      </c>
      <c r="T115" t="s">
        <v>916</v>
      </c>
    </row>
    <row r="116" spans="2:20" x14ac:dyDescent="0.25">
      <c r="B116" s="5" t="s">
        <v>250</v>
      </c>
      <c r="C116" s="5" t="s">
        <v>251</v>
      </c>
      <c r="D116" t="s">
        <v>445</v>
      </c>
      <c r="J116" t="s">
        <v>688</v>
      </c>
      <c r="K116" t="s">
        <v>678</v>
      </c>
      <c r="S116" t="s">
        <v>942</v>
      </c>
      <c r="T116" t="s">
        <v>916</v>
      </c>
    </row>
    <row r="117" spans="2:20" x14ac:dyDescent="0.25">
      <c r="B117" s="5" t="s">
        <v>252</v>
      </c>
      <c r="C117" s="5" t="s">
        <v>253</v>
      </c>
      <c r="D117" t="s">
        <v>442</v>
      </c>
      <c r="J117" t="s">
        <v>689</v>
      </c>
      <c r="K117" t="s">
        <v>690</v>
      </c>
      <c r="S117" t="s">
        <v>943</v>
      </c>
      <c r="T117" t="s">
        <v>917</v>
      </c>
    </row>
    <row r="118" spans="2:20" x14ac:dyDescent="0.25">
      <c r="B118" s="5" t="s">
        <v>254</v>
      </c>
      <c r="C118" s="5" t="s">
        <v>255</v>
      </c>
      <c r="D118" t="s">
        <v>442</v>
      </c>
      <c r="J118" t="s">
        <v>691</v>
      </c>
      <c r="K118" t="s">
        <v>690</v>
      </c>
      <c r="S118" t="s">
        <v>944</v>
      </c>
      <c r="T118" t="s">
        <v>920</v>
      </c>
    </row>
    <row r="119" spans="2:20" x14ac:dyDescent="0.25">
      <c r="B119" s="5" t="s">
        <v>256</v>
      </c>
      <c r="C119" s="5" t="s">
        <v>257</v>
      </c>
      <c r="D119" t="s">
        <v>445</v>
      </c>
      <c r="J119" t="s">
        <v>692</v>
      </c>
      <c r="K119" t="s">
        <v>690</v>
      </c>
      <c r="S119" t="s">
        <v>945</v>
      </c>
      <c r="T119" t="s">
        <v>917</v>
      </c>
    </row>
    <row r="120" spans="2:20" x14ac:dyDescent="0.25">
      <c r="B120" s="5" t="s">
        <v>258</v>
      </c>
      <c r="C120" s="5" t="s">
        <v>259</v>
      </c>
      <c r="D120" t="s">
        <v>442</v>
      </c>
      <c r="J120" t="s">
        <v>693</v>
      </c>
      <c r="K120" t="s">
        <v>690</v>
      </c>
      <c r="S120" t="s">
        <v>946</v>
      </c>
      <c r="T120" t="s">
        <v>917</v>
      </c>
    </row>
    <row r="121" spans="2:20" x14ac:dyDescent="0.25">
      <c r="B121" s="5" t="s">
        <v>260</v>
      </c>
      <c r="C121" s="5" t="s">
        <v>261</v>
      </c>
      <c r="D121" t="s">
        <v>442</v>
      </c>
      <c r="J121" t="s">
        <v>694</v>
      </c>
      <c r="K121" t="s">
        <v>690</v>
      </c>
      <c r="S121" t="s">
        <v>947</v>
      </c>
      <c r="T121" t="s">
        <v>917</v>
      </c>
    </row>
    <row r="122" spans="2:20" x14ac:dyDescent="0.25">
      <c r="B122" s="5" t="s">
        <v>262</v>
      </c>
      <c r="C122" s="5" t="s">
        <v>85</v>
      </c>
      <c r="D122" t="s">
        <v>442</v>
      </c>
      <c r="J122" t="s">
        <v>695</v>
      </c>
      <c r="K122" t="s">
        <v>690</v>
      </c>
      <c r="S122" t="s">
        <v>948</v>
      </c>
      <c r="T122" t="s">
        <v>918</v>
      </c>
    </row>
    <row r="123" spans="2:20" x14ac:dyDescent="0.25">
      <c r="B123" s="5" t="s">
        <v>263</v>
      </c>
      <c r="C123" s="5" t="s">
        <v>264</v>
      </c>
      <c r="D123" t="s">
        <v>442</v>
      </c>
      <c r="J123" t="s">
        <v>696</v>
      </c>
      <c r="K123" t="s">
        <v>690</v>
      </c>
      <c r="S123" t="s">
        <v>949</v>
      </c>
      <c r="T123" t="s">
        <v>917</v>
      </c>
    </row>
    <row r="124" spans="2:20" x14ac:dyDescent="0.25">
      <c r="B124" s="5" t="s">
        <v>265</v>
      </c>
      <c r="C124" s="5" t="s">
        <v>266</v>
      </c>
      <c r="D124" t="s">
        <v>442</v>
      </c>
      <c r="J124" t="s">
        <v>697</v>
      </c>
      <c r="K124" t="s">
        <v>690</v>
      </c>
      <c r="S124" t="s">
        <v>950</v>
      </c>
      <c r="T124" t="s">
        <v>917</v>
      </c>
    </row>
    <row r="125" spans="2:20" x14ac:dyDescent="0.25">
      <c r="B125" s="5" t="s">
        <v>267</v>
      </c>
      <c r="C125" s="5" t="s">
        <v>268</v>
      </c>
      <c r="D125" t="s">
        <v>442</v>
      </c>
      <c r="J125" t="s">
        <v>698</v>
      </c>
      <c r="K125" t="s">
        <v>690</v>
      </c>
      <c r="S125" t="s">
        <v>951</v>
      </c>
      <c r="T125" t="s">
        <v>917</v>
      </c>
    </row>
    <row r="126" spans="2:20" x14ac:dyDescent="0.25">
      <c r="B126" s="5" t="s">
        <v>269</v>
      </c>
      <c r="C126" s="5" t="s">
        <v>270</v>
      </c>
      <c r="D126" t="s">
        <v>442</v>
      </c>
      <c r="J126" t="s">
        <v>699</v>
      </c>
      <c r="K126" t="s">
        <v>690</v>
      </c>
      <c r="S126" t="s">
        <v>952</v>
      </c>
      <c r="T126" t="s">
        <v>917</v>
      </c>
    </row>
    <row r="127" spans="2:20" x14ac:dyDescent="0.25">
      <c r="B127" s="5" t="s">
        <v>271</v>
      </c>
      <c r="C127" s="5" t="s">
        <v>272</v>
      </c>
      <c r="D127" t="s">
        <v>445</v>
      </c>
      <c r="J127" t="s">
        <v>700</v>
      </c>
      <c r="K127" t="s">
        <v>690</v>
      </c>
      <c r="S127" t="s">
        <v>953</v>
      </c>
      <c r="T127" t="s">
        <v>917</v>
      </c>
    </row>
    <row r="128" spans="2:20" x14ac:dyDescent="0.25">
      <c r="B128" s="5" t="s">
        <v>273</v>
      </c>
      <c r="C128" s="5" t="s">
        <v>274</v>
      </c>
      <c r="D128" t="s">
        <v>442</v>
      </c>
      <c r="J128" t="s">
        <v>701</v>
      </c>
      <c r="K128" t="s">
        <v>702</v>
      </c>
      <c r="S128" t="s">
        <v>954</v>
      </c>
      <c r="T128" t="s">
        <v>917</v>
      </c>
    </row>
    <row r="129" spans="2:20" x14ac:dyDescent="0.25">
      <c r="B129" s="5" t="s">
        <v>275</v>
      </c>
      <c r="C129" s="5" t="s">
        <v>169</v>
      </c>
      <c r="D129" t="s">
        <v>445</v>
      </c>
      <c r="J129" t="s">
        <v>703</v>
      </c>
      <c r="K129" t="s">
        <v>702</v>
      </c>
      <c r="S129" t="s">
        <v>955</v>
      </c>
      <c r="T129" t="s">
        <v>917</v>
      </c>
    </row>
    <row r="130" spans="2:20" x14ac:dyDescent="0.25">
      <c r="B130" s="5" t="s">
        <v>276</v>
      </c>
      <c r="C130" s="5" t="s">
        <v>270</v>
      </c>
      <c r="D130" t="s">
        <v>442</v>
      </c>
      <c r="J130" t="s">
        <v>704</v>
      </c>
      <c r="K130" t="s">
        <v>702</v>
      </c>
      <c r="S130" t="s">
        <v>956</v>
      </c>
      <c r="T130" t="s">
        <v>917</v>
      </c>
    </row>
    <row r="131" spans="2:20" x14ac:dyDescent="0.25">
      <c r="B131" s="5" t="s">
        <v>277</v>
      </c>
      <c r="C131" s="5" t="s">
        <v>278</v>
      </c>
      <c r="D131" t="s">
        <v>442</v>
      </c>
      <c r="J131" t="s">
        <v>705</v>
      </c>
      <c r="K131" t="s">
        <v>702</v>
      </c>
      <c r="S131" t="s">
        <v>957</v>
      </c>
      <c r="T131" t="s">
        <v>917</v>
      </c>
    </row>
    <row r="132" spans="2:20" x14ac:dyDescent="0.25">
      <c r="B132" s="5" t="s">
        <v>279</v>
      </c>
      <c r="C132" s="5" t="s">
        <v>280</v>
      </c>
      <c r="D132" t="s">
        <v>442</v>
      </c>
      <c r="J132" t="s">
        <v>706</v>
      </c>
      <c r="K132" t="s">
        <v>702</v>
      </c>
      <c r="S132" t="s">
        <v>958</v>
      </c>
      <c r="T132" t="s">
        <v>917</v>
      </c>
    </row>
    <row r="133" spans="2:20" x14ac:dyDescent="0.25">
      <c r="B133" s="5" t="s">
        <v>281</v>
      </c>
      <c r="C133" s="5" t="s">
        <v>282</v>
      </c>
      <c r="D133" t="s">
        <v>445</v>
      </c>
      <c r="J133" t="s">
        <v>707</v>
      </c>
      <c r="K133" t="s">
        <v>702</v>
      </c>
      <c r="S133" t="s">
        <v>959</v>
      </c>
      <c r="T133" t="s">
        <v>917</v>
      </c>
    </row>
    <row r="134" spans="2:20" x14ac:dyDescent="0.25">
      <c r="B134" s="5" t="s">
        <v>283</v>
      </c>
      <c r="C134" s="5" t="s">
        <v>284</v>
      </c>
      <c r="D134" t="s">
        <v>445</v>
      </c>
      <c r="J134" t="s">
        <v>708</v>
      </c>
      <c r="K134" t="s">
        <v>702</v>
      </c>
      <c r="S134" t="s">
        <v>960</v>
      </c>
      <c r="T134" t="s">
        <v>917</v>
      </c>
    </row>
    <row r="135" spans="2:20" x14ac:dyDescent="0.25">
      <c r="B135" s="5" t="s">
        <v>285</v>
      </c>
      <c r="C135" s="5" t="s">
        <v>286</v>
      </c>
      <c r="D135" t="s">
        <v>442</v>
      </c>
      <c r="J135" t="s">
        <v>709</v>
      </c>
      <c r="K135" t="s">
        <v>702</v>
      </c>
      <c r="S135" t="s">
        <v>961</v>
      </c>
      <c r="T135" t="s">
        <v>917</v>
      </c>
    </row>
    <row r="136" spans="2:20" x14ac:dyDescent="0.25">
      <c r="B136" s="5" t="s">
        <v>287</v>
      </c>
      <c r="C136" s="5" t="s">
        <v>288</v>
      </c>
      <c r="D136" t="s">
        <v>442</v>
      </c>
      <c r="J136" t="s">
        <v>710</v>
      </c>
      <c r="K136" t="s">
        <v>702</v>
      </c>
      <c r="S136" t="s">
        <v>962</v>
      </c>
      <c r="T136" t="s">
        <v>917</v>
      </c>
    </row>
    <row r="137" spans="2:20" x14ac:dyDescent="0.25">
      <c r="B137" s="5" t="s">
        <v>289</v>
      </c>
      <c r="C137" s="5" t="s">
        <v>290</v>
      </c>
      <c r="D137" t="s">
        <v>442</v>
      </c>
      <c r="J137" t="s">
        <v>711</v>
      </c>
      <c r="K137" t="s">
        <v>702</v>
      </c>
      <c r="S137" t="s">
        <v>963</v>
      </c>
      <c r="T137" t="s">
        <v>917</v>
      </c>
    </row>
    <row r="138" spans="2:20" x14ac:dyDescent="0.25">
      <c r="B138" s="5" t="s">
        <v>291</v>
      </c>
      <c r="C138" s="5" t="s">
        <v>292</v>
      </c>
      <c r="D138" t="s">
        <v>445</v>
      </c>
      <c r="J138" t="s">
        <v>712</v>
      </c>
      <c r="K138" t="s">
        <v>702</v>
      </c>
      <c r="S138" t="s">
        <v>964</v>
      </c>
      <c r="T138" t="s">
        <v>917</v>
      </c>
    </row>
    <row r="139" spans="2:20" x14ac:dyDescent="0.25">
      <c r="B139" s="5" t="s">
        <v>293</v>
      </c>
      <c r="C139" s="5" t="s">
        <v>294</v>
      </c>
      <c r="D139" t="s">
        <v>445</v>
      </c>
      <c r="J139" t="s">
        <v>713</v>
      </c>
      <c r="K139" t="s">
        <v>714</v>
      </c>
      <c r="S139" t="s">
        <v>965</v>
      </c>
      <c r="T139" t="s">
        <v>917</v>
      </c>
    </row>
    <row r="140" spans="2:20" x14ac:dyDescent="0.25">
      <c r="B140" s="5" t="s">
        <v>295</v>
      </c>
      <c r="C140" s="5" t="s">
        <v>173</v>
      </c>
      <c r="D140" t="s">
        <v>442</v>
      </c>
      <c r="J140" t="s">
        <v>715</v>
      </c>
      <c r="K140" t="s">
        <v>714</v>
      </c>
      <c r="S140" t="s">
        <v>966</v>
      </c>
      <c r="T140" t="s">
        <v>917</v>
      </c>
    </row>
    <row r="141" spans="2:20" x14ac:dyDescent="0.25">
      <c r="B141" s="5" t="s">
        <v>296</v>
      </c>
      <c r="C141" s="5" t="s">
        <v>261</v>
      </c>
      <c r="D141" t="s">
        <v>442</v>
      </c>
      <c r="J141" t="s">
        <v>716</v>
      </c>
      <c r="K141" t="s">
        <v>714</v>
      </c>
      <c r="S141" t="s">
        <v>967</v>
      </c>
      <c r="T141" t="s">
        <v>917</v>
      </c>
    </row>
    <row r="142" spans="2:20" x14ac:dyDescent="0.25">
      <c r="B142" s="5" t="s">
        <v>297</v>
      </c>
      <c r="C142" s="5" t="s">
        <v>129</v>
      </c>
      <c r="D142" t="s">
        <v>445</v>
      </c>
      <c r="J142" t="s">
        <v>717</v>
      </c>
      <c r="K142" t="s">
        <v>714</v>
      </c>
      <c r="S142" t="s">
        <v>968</v>
      </c>
      <c r="T142" t="s">
        <v>917</v>
      </c>
    </row>
    <row r="143" spans="2:20" x14ac:dyDescent="0.25">
      <c r="B143" s="5" t="s">
        <v>298</v>
      </c>
      <c r="C143" s="5" t="s">
        <v>299</v>
      </c>
      <c r="D143" t="s">
        <v>445</v>
      </c>
      <c r="J143" t="s">
        <v>718</v>
      </c>
      <c r="K143" t="s">
        <v>714</v>
      </c>
      <c r="S143" t="s">
        <v>969</v>
      </c>
      <c r="T143" t="s">
        <v>917</v>
      </c>
    </row>
    <row r="144" spans="2:20" x14ac:dyDescent="0.25">
      <c r="B144" s="5" t="s">
        <v>300</v>
      </c>
      <c r="C144" s="5" t="s">
        <v>301</v>
      </c>
      <c r="D144" t="s">
        <v>442</v>
      </c>
      <c r="J144" t="s">
        <v>719</v>
      </c>
      <c r="K144" t="s">
        <v>714</v>
      </c>
      <c r="S144" t="s">
        <v>970</v>
      </c>
      <c r="T144" t="s">
        <v>917</v>
      </c>
    </row>
    <row r="145" spans="2:20" x14ac:dyDescent="0.25">
      <c r="B145" s="5" t="s">
        <v>302</v>
      </c>
      <c r="C145" s="5" t="s">
        <v>163</v>
      </c>
      <c r="D145" t="s">
        <v>442</v>
      </c>
      <c r="J145" t="s">
        <v>720</v>
      </c>
      <c r="K145" t="s">
        <v>714</v>
      </c>
      <c r="S145" t="s">
        <v>971</v>
      </c>
      <c r="T145" t="s">
        <v>917</v>
      </c>
    </row>
    <row r="146" spans="2:20" x14ac:dyDescent="0.25">
      <c r="B146" s="5" t="s">
        <v>303</v>
      </c>
      <c r="C146" s="5" t="s">
        <v>304</v>
      </c>
      <c r="D146" t="s">
        <v>445</v>
      </c>
      <c r="J146" t="s">
        <v>721</v>
      </c>
      <c r="K146" t="s">
        <v>714</v>
      </c>
      <c r="S146" t="s">
        <v>972</v>
      </c>
      <c r="T146" t="s">
        <v>917</v>
      </c>
    </row>
    <row r="147" spans="2:20" x14ac:dyDescent="0.25">
      <c r="B147" s="5" t="s">
        <v>305</v>
      </c>
      <c r="C147" s="5" t="s">
        <v>306</v>
      </c>
      <c r="D147" t="s">
        <v>445</v>
      </c>
      <c r="J147" t="s">
        <v>722</v>
      </c>
      <c r="K147" t="s">
        <v>714</v>
      </c>
      <c r="S147" t="s">
        <v>973</v>
      </c>
      <c r="T147" t="s">
        <v>917</v>
      </c>
    </row>
    <row r="148" spans="2:20" x14ac:dyDescent="0.25">
      <c r="B148" s="5" t="s">
        <v>307</v>
      </c>
      <c r="C148" s="5" t="s">
        <v>308</v>
      </c>
      <c r="D148" t="s">
        <v>445</v>
      </c>
      <c r="J148" t="s">
        <v>723</v>
      </c>
      <c r="K148" t="s">
        <v>714</v>
      </c>
      <c r="S148" t="s">
        <v>974</v>
      </c>
      <c r="T148" t="s">
        <v>917</v>
      </c>
    </row>
    <row r="149" spans="2:20" x14ac:dyDescent="0.25">
      <c r="B149" s="5" t="s">
        <v>309</v>
      </c>
      <c r="C149" s="5" t="s">
        <v>310</v>
      </c>
      <c r="D149" t="s">
        <v>445</v>
      </c>
      <c r="S149" t="s">
        <v>975</v>
      </c>
      <c r="T149" t="s">
        <v>917</v>
      </c>
    </row>
    <row r="150" spans="2:20" x14ac:dyDescent="0.25">
      <c r="B150" s="5" t="s">
        <v>311</v>
      </c>
      <c r="C150" s="5" t="s">
        <v>312</v>
      </c>
      <c r="D150" t="s">
        <v>442</v>
      </c>
      <c r="S150" t="s">
        <v>976</v>
      </c>
      <c r="T150" t="s">
        <v>917</v>
      </c>
    </row>
    <row r="151" spans="2:20" x14ac:dyDescent="0.25">
      <c r="B151" s="5" t="s">
        <v>313</v>
      </c>
      <c r="C151" s="5" t="s">
        <v>314</v>
      </c>
      <c r="D151" t="s">
        <v>442</v>
      </c>
      <c r="S151" t="s">
        <v>977</v>
      </c>
      <c r="T151" t="s">
        <v>917</v>
      </c>
    </row>
    <row r="152" spans="2:20" x14ac:dyDescent="0.25">
      <c r="B152" s="5" t="s">
        <v>315</v>
      </c>
      <c r="C152" s="5" t="s">
        <v>266</v>
      </c>
      <c r="D152" t="s">
        <v>442</v>
      </c>
      <c r="S152" t="s">
        <v>978</v>
      </c>
      <c r="T152" t="s">
        <v>917</v>
      </c>
    </row>
    <row r="153" spans="2:20" x14ac:dyDescent="0.25">
      <c r="B153" s="5" t="s">
        <v>316</v>
      </c>
      <c r="C153" s="5" t="s">
        <v>317</v>
      </c>
      <c r="D153" t="s">
        <v>442</v>
      </c>
      <c r="S153" t="s">
        <v>979</v>
      </c>
      <c r="T153" t="s">
        <v>917</v>
      </c>
    </row>
    <row r="154" spans="2:20" x14ac:dyDescent="0.25">
      <c r="B154" s="5" t="s">
        <v>318</v>
      </c>
      <c r="C154" s="5" t="s">
        <v>105</v>
      </c>
      <c r="D154" t="s">
        <v>442</v>
      </c>
      <c r="S154" t="s">
        <v>980</v>
      </c>
      <c r="T154" t="s">
        <v>917</v>
      </c>
    </row>
    <row r="155" spans="2:20" x14ac:dyDescent="0.25">
      <c r="B155" s="5" t="s">
        <v>319</v>
      </c>
      <c r="C155" s="5" t="s">
        <v>320</v>
      </c>
      <c r="D155" t="s">
        <v>445</v>
      </c>
      <c r="S155" t="s">
        <v>981</v>
      </c>
      <c r="T155" t="s">
        <v>917</v>
      </c>
    </row>
    <row r="156" spans="2:20" x14ac:dyDescent="0.25">
      <c r="B156" s="5" t="s">
        <v>321</v>
      </c>
      <c r="C156" s="5" t="s">
        <v>53</v>
      </c>
      <c r="D156" t="s">
        <v>442</v>
      </c>
      <c r="S156" t="s">
        <v>982</v>
      </c>
      <c r="T156" t="s">
        <v>917</v>
      </c>
    </row>
    <row r="157" spans="2:20" x14ac:dyDescent="0.25">
      <c r="B157" s="5" t="s">
        <v>322</v>
      </c>
      <c r="C157" s="5" t="s">
        <v>323</v>
      </c>
      <c r="D157" t="s">
        <v>442</v>
      </c>
      <c r="S157" t="s">
        <v>983</v>
      </c>
      <c r="T157" t="s">
        <v>917</v>
      </c>
    </row>
    <row r="158" spans="2:20" x14ac:dyDescent="0.25">
      <c r="B158" s="5" t="s">
        <v>324</v>
      </c>
      <c r="C158" s="5" t="s">
        <v>69</v>
      </c>
      <c r="D158" t="s">
        <v>442</v>
      </c>
      <c r="S158" t="s">
        <v>984</v>
      </c>
      <c r="T158" t="s">
        <v>917</v>
      </c>
    </row>
    <row r="159" spans="2:20" x14ac:dyDescent="0.25">
      <c r="B159" s="5" t="s">
        <v>325</v>
      </c>
      <c r="C159" s="5" t="s">
        <v>326</v>
      </c>
      <c r="D159" t="s">
        <v>442</v>
      </c>
      <c r="S159" t="s">
        <v>985</v>
      </c>
      <c r="T159" t="s">
        <v>917</v>
      </c>
    </row>
    <row r="160" spans="2:20" x14ac:dyDescent="0.25">
      <c r="B160" s="5" t="s">
        <v>327</v>
      </c>
      <c r="C160" s="5" t="s">
        <v>328</v>
      </c>
      <c r="D160" t="s">
        <v>442</v>
      </c>
      <c r="S160" t="s">
        <v>986</v>
      </c>
      <c r="T160" t="s">
        <v>917</v>
      </c>
    </row>
    <row r="161" spans="2:20" x14ac:dyDescent="0.25">
      <c r="B161" s="5" t="s">
        <v>329</v>
      </c>
      <c r="C161" s="5" t="s">
        <v>330</v>
      </c>
      <c r="D161" t="s">
        <v>442</v>
      </c>
      <c r="S161" t="s">
        <v>987</v>
      </c>
      <c r="T161" t="s">
        <v>917</v>
      </c>
    </row>
    <row r="162" spans="2:20" x14ac:dyDescent="0.25">
      <c r="B162" s="5" t="s">
        <v>331</v>
      </c>
      <c r="C162" s="5" t="s">
        <v>332</v>
      </c>
      <c r="D162" t="s">
        <v>445</v>
      </c>
      <c r="S162" t="s">
        <v>988</v>
      </c>
      <c r="T162" t="s">
        <v>917</v>
      </c>
    </row>
    <row r="163" spans="2:20" x14ac:dyDescent="0.25">
      <c r="B163" s="5" t="s">
        <v>333</v>
      </c>
      <c r="C163" s="5" t="s">
        <v>334</v>
      </c>
      <c r="D163" t="s">
        <v>442</v>
      </c>
      <c r="S163" t="s">
        <v>989</v>
      </c>
      <c r="T163" t="s">
        <v>917</v>
      </c>
    </row>
    <row r="164" spans="2:20" x14ac:dyDescent="0.25">
      <c r="B164" s="5" t="s">
        <v>335</v>
      </c>
      <c r="C164" s="5" t="s">
        <v>336</v>
      </c>
      <c r="D164" t="s">
        <v>442</v>
      </c>
      <c r="S164" t="s">
        <v>990</v>
      </c>
      <c r="T164" t="s">
        <v>917</v>
      </c>
    </row>
    <row r="165" spans="2:20" x14ac:dyDescent="0.25">
      <c r="B165" s="5" t="s">
        <v>337</v>
      </c>
      <c r="C165" s="5" t="s">
        <v>338</v>
      </c>
      <c r="D165" t="s">
        <v>442</v>
      </c>
      <c r="S165" t="s">
        <v>991</v>
      </c>
      <c r="T165" t="s">
        <v>917</v>
      </c>
    </row>
    <row r="166" spans="2:20" x14ac:dyDescent="0.25">
      <c r="B166" s="5" t="s">
        <v>339</v>
      </c>
      <c r="C166" s="5" t="s">
        <v>340</v>
      </c>
      <c r="D166" t="s">
        <v>442</v>
      </c>
      <c r="S166" t="s">
        <v>992</v>
      </c>
      <c r="T166" t="s">
        <v>917</v>
      </c>
    </row>
    <row r="167" spans="2:20" x14ac:dyDescent="0.25">
      <c r="B167" s="5" t="s">
        <v>341</v>
      </c>
      <c r="C167" s="5" t="s">
        <v>342</v>
      </c>
      <c r="D167" t="s">
        <v>442</v>
      </c>
      <c r="S167" t="s">
        <v>993</v>
      </c>
      <c r="T167" t="s">
        <v>917</v>
      </c>
    </row>
    <row r="168" spans="2:20" x14ac:dyDescent="0.25">
      <c r="B168" s="5" t="s">
        <v>343</v>
      </c>
      <c r="C168" s="5" t="s">
        <v>344</v>
      </c>
      <c r="D168" t="s">
        <v>442</v>
      </c>
      <c r="S168" t="s">
        <v>994</v>
      </c>
      <c r="T168" t="s">
        <v>917</v>
      </c>
    </row>
    <row r="169" spans="2:20" x14ac:dyDescent="0.25">
      <c r="B169" s="5" t="s">
        <v>345</v>
      </c>
      <c r="C169" s="5" t="s">
        <v>346</v>
      </c>
      <c r="D169" t="s">
        <v>445</v>
      </c>
      <c r="S169" t="s">
        <v>995</v>
      </c>
      <c r="T169" t="s">
        <v>917</v>
      </c>
    </row>
    <row r="170" spans="2:20" x14ac:dyDescent="0.25">
      <c r="B170" s="5" t="s">
        <v>347</v>
      </c>
      <c r="C170" s="5" t="s">
        <v>348</v>
      </c>
      <c r="D170" t="s">
        <v>442</v>
      </c>
      <c r="S170" t="s">
        <v>996</v>
      </c>
      <c r="T170" t="s">
        <v>917</v>
      </c>
    </row>
    <row r="171" spans="2:20" x14ac:dyDescent="0.25">
      <c r="B171" s="5" t="s">
        <v>349</v>
      </c>
      <c r="C171" s="5" t="s">
        <v>342</v>
      </c>
      <c r="D171" t="s">
        <v>442</v>
      </c>
      <c r="S171" t="s">
        <v>997</v>
      </c>
      <c r="T171" t="s">
        <v>917</v>
      </c>
    </row>
    <row r="172" spans="2:20" x14ac:dyDescent="0.25">
      <c r="B172" s="5" t="s">
        <v>350</v>
      </c>
      <c r="C172" s="5" t="s">
        <v>163</v>
      </c>
      <c r="D172" t="s">
        <v>442</v>
      </c>
      <c r="S172" t="s">
        <v>998</v>
      </c>
      <c r="T172" t="s">
        <v>917</v>
      </c>
    </row>
    <row r="173" spans="2:20" x14ac:dyDescent="0.25">
      <c r="B173" s="5" t="s">
        <v>351</v>
      </c>
      <c r="C173" s="5" t="s">
        <v>352</v>
      </c>
      <c r="D173" t="s">
        <v>445</v>
      </c>
      <c r="S173" t="s">
        <v>999</v>
      </c>
      <c r="T173" t="s">
        <v>917</v>
      </c>
    </row>
    <row r="174" spans="2:20" x14ac:dyDescent="0.25">
      <c r="B174" s="5" t="s">
        <v>353</v>
      </c>
      <c r="C174" s="5" t="s">
        <v>354</v>
      </c>
      <c r="D174" t="s">
        <v>445</v>
      </c>
      <c r="S174" t="s">
        <v>1000</v>
      </c>
      <c r="T174" t="s">
        <v>917</v>
      </c>
    </row>
    <row r="175" spans="2:20" x14ac:dyDescent="0.25">
      <c r="B175" s="5" t="s">
        <v>355</v>
      </c>
      <c r="C175" s="5" t="s">
        <v>356</v>
      </c>
      <c r="D175" t="s">
        <v>445</v>
      </c>
      <c r="S175" t="s">
        <v>1001</v>
      </c>
      <c r="T175" t="s">
        <v>917</v>
      </c>
    </row>
    <row r="176" spans="2:20" x14ac:dyDescent="0.25">
      <c r="B176" s="5" t="s">
        <v>357</v>
      </c>
      <c r="C176" s="5" t="s">
        <v>266</v>
      </c>
      <c r="D176" t="s">
        <v>442</v>
      </c>
      <c r="S176" t="s">
        <v>1002</v>
      </c>
      <c r="T176" t="s">
        <v>917</v>
      </c>
    </row>
    <row r="177" spans="2:20" x14ac:dyDescent="0.25">
      <c r="B177" s="5" t="s">
        <v>358</v>
      </c>
      <c r="C177" s="5" t="s">
        <v>359</v>
      </c>
      <c r="D177" t="s">
        <v>445</v>
      </c>
      <c r="S177" t="s">
        <v>1003</v>
      </c>
      <c r="T177" t="s">
        <v>917</v>
      </c>
    </row>
    <row r="178" spans="2:20" x14ac:dyDescent="0.25">
      <c r="B178" s="5" t="s">
        <v>360</v>
      </c>
      <c r="C178" s="5" t="s">
        <v>69</v>
      </c>
      <c r="D178" t="s">
        <v>442</v>
      </c>
      <c r="S178" t="s">
        <v>1004</v>
      </c>
      <c r="T178" t="s">
        <v>917</v>
      </c>
    </row>
    <row r="179" spans="2:20" x14ac:dyDescent="0.25">
      <c r="B179" s="5" t="s">
        <v>361</v>
      </c>
      <c r="C179" s="5" t="s">
        <v>362</v>
      </c>
      <c r="D179" t="s">
        <v>442</v>
      </c>
      <c r="S179" t="s">
        <v>1005</v>
      </c>
      <c r="T179" t="s">
        <v>917</v>
      </c>
    </row>
    <row r="180" spans="2:20" x14ac:dyDescent="0.25">
      <c r="B180" s="5" t="s">
        <v>363</v>
      </c>
      <c r="C180" s="5" t="s">
        <v>364</v>
      </c>
      <c r="D180" t="s">
        <v>442</v>
      </c>
      <c r="S180" t="s">
        <v>1006</v>
      </c>
      <c r="T180" t="s">
        <v>917</v>
      </c>
    </row>
    <row r="181" spans="2:20" x14ac:dyDescent="0.25">
      <c r="B181" s="5" t="s">
        <v>365</v>
      </c>
      <c r="C181" s="5" t="s">
        <v>366</v>
      </c>
      <c r="D181" t="s">
        <v>445</v>
      </c>
      <c r="S181" t="s">
        <v>1007</v>
      </c>
      <c r="T181" t="s">
        <v>917</v>
      </c>
    </row>
    <row r="182" spans="2:20" x14ac:dyDescent="0.25">
      <c r="B182" s="5" t="s">
        <v>367</v>
      </c>
      <c r="C182" s="5" t="s">
        <v>368</v>
      </c>
      <c r="D182" t="s">
        <v>442</v>
      </c>
    </row>
    <row r="183" spans="2:20" x14ac:dyDescent="0.25">
      <c r="B183" s="5" t="s">
        <v>369</v>
      </c>
      <c r="C183" s="5" t="s">
        <v>370</v>
      </c>
      <c r="D183" t="s">
        <v>442</v>
      </c>
    </row>
    <row r="184" spans="2:20" x14ac:dyDescent="0.25">
      <c r="B184" s="5" t="s">
        <v>371</v>
      </c>
      <c r="C184" s="5" t="s">
        <v>224</v>
      </c>
      <c r="D184" t="s">
        <v>442</v>
      </c>
    </row>
    <row r="185" spans="2:20" x14ac:dyDescent="0.25">
      <c r="B185" s="5" t="s">
        <v>372</v>
      </c>
      <c r="C185" s="5" t="s">
        <v>261</v>
      </c>
      <c r="D185" t="s">
        <v>442</v>
      </c>
    </row>
    <row r="186" spans="2:20" x14ac:dyDescent="0.25">
      <c r="B186" s="5" t="s">
        <v>373</v>
      </c>
      <c r="C186" s="5" t="s">
        <v>374</v>
      </c>
      <c r="D186" t="s">
        <v>442</v>
      </c>
    </row>
    <row r="187" spans="2:20" x14ac:dyDescent="0.25">
      <c r="B187" s="5" t="s">
        <v>375</v>
      </c>
      <c r="C187" s="5" t="s">
        <v>376</v>
      </c>
      <c r="D187" t="s">
        <v>445</v>
      </c>
    </row>
    <row r="188" spans="2:20" x14ac:dyDescent="0.25">
      <c r="B188" s="5" t="s">
        <v>377</v>
      </c>
      <c r="C188" s="5" t="s">
        <v>378</v>
      </c>
      <c r="D188" t="s">
        <v>445</v>
      </c>
    </row>
    <row r="189" spans="2:20" x14ac:dyDescent="0.25">
      <c r="B189" s="5" t="s">
        <v>379</v>
      </c>
      <c r="C189" s="5" t="s">
        <v>169</v>
      </c>
      <c r="D189" t="s">
        <v>564</v>
      </c>
    </row>
    <row r="190" spans="2:20" x14ac:dyDescent="0.25">
      <c r="B190" s="5" t="s">
        <v>380</v>
      </c>
      <c r="C190" s="5" t="s">
        <v>381</v>
      </c>
      <c r="D190" t="s">
        <v>442</v>
      </c>
    </row>
    <row r="191" spans="2:20" x14ac:dyDescent="0.25">
      <c r="B191" s="5" t="s">
        <v>382</v>
      </c>
      <c r="C191" s="5" t="s">
        <v>383</v>
      </c>
      <c r="D191" t="s">
        <v>442</v>
      </c>
    </row>
    <row r="192" spans="2:20" x14ac:dyDescent="0.25">
      <c r="B192" s="5" t="s">
        <v>384</v>
      </c>
      <c r="C192" s="5" t="s">
        <v>140</v>
      </c>
      <c r="D192" t="s">
        <v>442</v>
      </c>
    </row>
    <row r="193" spans="2:4" x14ac:dyDescent="0.25">
      <c r="B193" s="5" t="s">
        <v>385</v>
      </c>
      <c r="C193" s="5" t="s">
        <v>261</v>
      </c>
      <c r="D193" t="s">
        <v>442</v>
      </c>
    </row>
    <row r="194" spans="2:4" x14ac:dyDescent="0.25">
      <c r="B194" s="5" t="s">
        <v>386</v>
      </c>
      <c r="C194" s="5" t="s">
        <v>387</v>
      </c>
      <c r="D194" t="s">
        <v>442</v>
      </c>
    </row>
    <row r="195" spans="2:4" x14ac:dyDescent="0.25">
      <c r="B195" s="5" t="s">
        <v>388</v>
      </c>
      <c r="C195" s="5" t="s">
        <v>389</v>
      </c>
      <c r="D195" t="s">
        <v>442</v>
      </c>
    </row>
    <row r="196" spans="2:4" x14ac:dyDescent="0.25">
      <c r="B196" s="5" t="s">
        <v>390</v>
      </c>
      <c r="C196" s="5" t="s">
        <v>391</v>
      </c>
      <c r="D196" t="s">
        <v>442</v>
      </c>
    </row>
    <row r="197" spans="2:4" x14ac:dyDescent="0.25">
      <c r="B197" s="5" t="s">
        <v>392</v>
      </c>
      <c r="C197" s="5" t="s">
        <v>393</v>
      </c>
      <c r="D197" t="s">
        <v>445</v>
      </c>
    </row>
    <row r="198" spans="2:4" x14ac:dyDescent="0.25">
      <c r="B198" s="5" t="s">
        <v>394</v>
      </c>
      <c r="C198" s="5" t="s">
        <v>395</v>
      </c>
      <c r="D198" t="s">
        <v>442</v>
      </c>
    </row>
    <row r="199" spans="2:4" x14ac:dyDescent="0.25">
      <c r="B199" s="5" t="s">
        <v>396</v>
      </c>
      <c r="C199" s="5" t="s">
        <v>397</v>
      </c>
      <c r="D199" t="s">
        <v>445</v>
      </c>
    </row>
    <row r="200" spans="2:4" x14ac:dyDescent="0.25">
      <c r="B200" s="5" t="s">
        <v>398</v>
      </c>
      <c r="C200" s="5" t="s">
        <v>41</v>
      </c>
      <c r="D200" t="s">
        <v>442</v>
      </c>
    </row>
    <row r="201" spans="2:4" x14ac:dyDescent="0.25">
      <c r="B201" s="5" t="s">
        <v>399</v>
      </c>
      <c r="C201" s="5" t="s">
        <v>400</v>
      </c>
      <c r="D201" t="s">
        <v>442</v>
      </c>
    </row>
    <row r="202" spans="2:4" x14ac:dyDescent="0.25">
      <c r="B202" s="5" t="s">
        <v>401</v>
      </c>
      <c r="C202" s="5" t="s">
        <v>402</v>
      </c>
      <c r="D202" t="s">
        <v>442</v>
      </c>
    </row>
    <row r="203" spans="2:4" x14ac:dyDescent="0.25">
      <c r="B203" s="5" t="s">
        <v>403</v>
      </c>
      <c r="C203" s="5" t="s">
        <v>148</v>
      </c>
      <c r="D203" t="s">
        <v>445</v>
      </c>
    </row>
    <row r="204" spans="2:4" x14ac:dyDescent="0.25">
      <c r="B204" s="5" t="s">
        <v>404</v>
      </c>
      <c r="C204" s="5" t="s">
        <v>405</v>
      </c>
      <c r="D204" t="s">
        <v>442</v>
      </c>
    </row>
    <row r="205" spans="2:4" x14ac:dyDescent="0.25">
      <c r="B205" s="5" t="s">
        <v>406</v>
      </c>
      <c r="C205" s="5" t="s">
        <v>407</v>
      </c>
      <c r="D205" t="s">
        <v>442</v>
      </c>
    </row>
    <row r="206" spans="2:4" x14ac:dyDescent="0.25">
      <c r="B206" s="5" t="s">
        <v>408</v>
      </c>
      <c r="C206" s="5" t="s">
        <v>409</v>
      </c>
      <c r="D206" t="s">
        <v>442</v>
      </c>
    </row>
    <row r="207" spans="2:4" x14ac:dyDescent="0.25">
      <c r="B207" s="5" t="s">
        <v>410</v>
      </c>
      <c r="C207" s="5" t="s">
        <v>111</v>
      </c>
      <c r="D207" t="s">
        <v>442</v>
      </c>
    </row>
    <row r="208" spans="2:4" x14ac:dyDescent="0.25">
      <c r="B208" s="5" t="s">
        <v>411</v>
      </c>
      <c r="C208" s="5" t="s">
        <v>412</v>
      </c>
      <c r="D208" t="s">
        <v>445</v>
      </c>
    </row>
    <row r="209" spans="2:4" x14ac:dyDescent="0.25">
      <c r="B209" s="5" t="s">
        <v>413</v>
      </c>
      <c r="C209" s="5" t="s">
        <v>342</v>
      </c>
      <c r="D209" t="s">
        <v>442</v>
      </c>
    </row>
    <row r="210" spans="2:4" x14ac:dyDescent="0.25">
      <c r="B210" s="5" t="s">
        <v>414</v>
      </c>
      <c r="C210" s="5" t="s">
        <v>415</v>
      </c>
      <c r="D210" t="s">
        <v>445</v>
      </c>
    </row>
    <row r="211" spans="2:4" x14ac:dyDescent="0.25">
      <c r="B211" s="5" t="s">
        <v>416</v>
      </c>
      <c r="C211" s="5" t="s">
        <v>417</v>
      </c>
      <c r="D211" t="s">
        <v>445</v>
      </c>
    </row>
    <row r="212" spans="2:4" x14ac:dyDescent="0.25">
      <c r="B212" s="5" t="s">
        <v>418</v>
      </c>
      <c r="C212" s="5" t="s">
        <v>249</v>
      </c>
      <c r="D212" t="s">
        <v>442</v>
      </c>
    </row>
    <row r="213" spans="2:4" x14ac:dyDescent="0.25">
      <c r="B213" s="5" t="s">
        <v>419</v>
      </c>
      <c r="C213" s="5" t="s">
        <v>420</v>
      </c>
      <c r="D213" t="s">
        <v>442</v>
      </c>
    </row>
    <row r="214" spans="2:4" x14ac:dyDescent="0.25">
      <c r="B214" s="5" t="s">
        <v>421</v>
      </c>
      <c r="C214" s="5" t="s">
        <v>422</v>
      </c>
      <c r="D214" t="s">
        <v>445</v>
      </c>
    </row>
    <row r="215" spans="2:4" x14ac:dyDescent="0.25">
      <c r="B215" s="5" t="s">
        <v>423</v>
      </c>
      <c r="C215" s="5" t="s">
        <v>424</v>
      </c>
      <c r="D215" t="s">
        <v>442</v>
      </c>
    </row>
    <row r="216" spans="2:4" x14ac:dyDescent="0.25">
      <c r="B216" s="5" t="s">
        <v>425</v>
      </c>
      <c r="C216" s="5" t="s">
        <v>426</v>
      </c>
      <c r="D216" t="s">
        <v>445</v>
      </c>
    </row>
    <row r="217" spans="2:4" x14ac:dyDescent="0.25">
      <c r="B217" s="5" t="s">
        <v>427</v>
      </c>
      <c r="C217" s="5" t="s">
        <v>428</v>
      </c>
      <c r="D217" t="s">
        <v>445</v>
      </c>
    </row>
    <row r="218" spans="2:4" x14ac:dyDescent="0.25">
      <c r="B218" s="5" t="s">
        <v>429</v>
      </c>
      <c r="C218" s="5" t="s">
        <v>430</v>
      </c>
      <c r="D218" t="s">
        <v>445</v>
      </c>
    </row>
    <row r="219" spans="2:4" x14ac:dyDescent="0.25">
      <c r="B219" s="5" t="s">
        <v>431</v>
      </c>
      <c r="C219" s="5" t="s">
        <v>432</v>
      </c>
      <c r="D219" t="s">
        <v>442</v>
      </c>
    </row>
    <row r="220" spans="2:4" x14ac:dyDescent="0.25">
      <c r="B220" s="5" t="s">
        <v>433</v>
      </c>
      <c r="C220" s="5" t="s">
        <v>434</v>
      </c>
      <c r="D220" t="s">
        <v>445</v>
      </c>
    </row>
    <row r="221" spans="2:4" x14ac:dyDescent="0.25">
      <c r="B221" s="5" t="s">
        <v>435</v>
      </c>
      <c r="C221" s="5" t="s">
        <v>366</v>
      </c>
      <c r="D221" t="s">
        <v>445</v>
      </c>
    </row>
    <row r="222" spans="2:4" x14ac:dyDescent="0.25">
      <c r="B222" s="5" t="s">
        <v>436</v>
      </c>
      <c r="C222" s="5" t="s">
        <v>437</v>
      </c>
      <c r="D222" t="s">
        <v>445</v>
      </c>
    </row>
    <row r="223" spans="2:4" x14ac:dyDescent="0.25">
      <c r="B223" s="5" t="s">
        <v>438</v>
      </c>
      <c r="C223" s="5" t="s">
        <v>148</v>
      </c>
      <c r="D223" t="s">
        <v>445</v>
      </c>
    </row>
  </sheetData>
  <sortState xmlns:xlrd2="http://schemas.microsoft.com/office/spreadsheetml/2017/richdata2" ref="M15:N51">
    <sortCondition ref="M15:M5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</vt:lpstr>
      <vt:lpstr>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2026-01-15T23:22:47Z</dcterms:created>
  <dcterms:modified xsi:type="dcterms:W3CDTF">2026-02-19T01:33:37Z</dcterms:modified>
</cp:coreProperties>
</file>