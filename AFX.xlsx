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C0924384-A228-438E-9FC7-2B837843876F}" xr6:coauthVersionLast="47" xr6:coauthVersionMax="47" xr10:uidLastSave="{00000000-0000-0000-0000-000000000000}"/>
  <bookViews>
    <workbookView xWindow="-120" yWindow="-120" windowWidth="29040" windowHeight="15840" xr2:uid="{6F374301-EBB4-468A-8B63-A92F5D9B923C}"/>
  </bookViews>
  <sheets>
    <sheet name="Sheet1" sheetId="1" r:id="rId1"/>
  </sheets>
  <definedNames>
    <definedName name="TR">Sheet1!$AC$37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8" i="1" l="1"/>
  <c r="V18" i="1"/>
  <c r="W18" i="1"/>
  <c r="X18" i="1"/>
  <c r="Y18" i="1"/>
  <c r="Z18" i="1"/>
  <c r="T18" i="1"/>
  <c r="U17" i="1"/>
  <c r="V17" i="1" s="1"/>
  <c r="T17" i="1"/>
  <c r="T43" i="1"/>
  <c r="U43" i="1"/>
  <c r="V43" i="1"/>
  <c r="W43" i="1"/>
  <c r="X43" i="1"/>
  <c r="Y43" i="1"/>
  <c r="Z43" i="1"/>
  <c r="T44" i="1"/>
  <c r="U44" i="1"/>
  <c r="T45" i="1"/>
  <c r="Q43" i="1"/>
  <c r="R43" i="1"/>
  <c r="S43" i="1"/>
  <c r="Q44" i="1"/>
  <c r="R44" i="1"/>
  <c r="S44" i="1"/>
  <c r="Q45" i="1"/>
  <c r="R45" i="1"/>
  <c r="S45" i="1"/>
  <c r="P44" i="1"/>
  <c r="P45" i="1"/>
  <c r="P43" i="1"/>
  <c r="T6" i="1"/>
  <c r="U6" i="1" s="1"/>
  <c r="V6" i="1" s="1"/>
  <c r="W6" i="1" s="1"/>
  <c r="X6" i="1" s="1"/>
  <c r="Y6" i="1" s="1"/>
  <c r="Z6" i="1" s="1"/>
  <c r="T5" i="1"/>
  <c r="T13" i="1" s="1"/>
  <c r="T16" i="1"/>
  <c r="U16" i="1" s="1"/>
  <c r="V16" i="1" s="1"/>
  <c r="W16" i="1" s="1"/>
  <c r="X16" i="1" s="1"/>
  <c r="Y16" i="1" s="1"/>
  <c r="Z16" i="1" s="1"/>
  <c r="R10" i="1"/>
  <c r="R7" i="1"/>
  <c r="R8" i="1"/>
  <c r="I9" i="1"/>
  <c r="J9" i="1"/>
  <c r="K9" i="1"/>
  <c r="L9" i="1"/>
  <c r="M9" i="1"/>
  <c r="N9" i="1"/>
  <c r="O9" i="1"/>
  <c r="P9" i="1"/>
  <c r="I10" i="1"/>
  <c r="J10" i="1"/>
  <c r="K10" i="1"/>
  <c r="L10" i="1"/>
  <c r="M10" i="1"/>
  <c r="N10" i="1"/>
  <c r="O10" i="1"/>
  <c r="K7" i="1"/>
  <c r="L7" i="1"/>
  <c r="M7" i="1"/>
  <c r="N7" i="1"/>
  <c r="M8" i="1"/>
  <c r="N8" i="1"/>
  <c r="O8" i="1"/>
  <c r="H13" i="1"/>
  <c r="H8" i="1" s="1"/>
  <c r="I13" i="1"/>
  <c r="I8" i="1" s="1"/>
  <c r="J13" i="1"/>
  <c r="J8" i="1" s="1"/>
  <c r="K13" i="1"/>
  <c r="K8" i="1" s="1"/>
  <c r="L13" i="1"/>
  <c r="L8" i="1" s="1"/>
  <c r="M13" i="1"/>
  <c r="N13" i="1"/>
  <c r="O13" i="1"/>
  <c r="O7" i="1" s="1"/>
  <c r="Q5" i="1"/>
  <c r="Q9" i="1"/>
  <c r="P8" i="1"/>
  <c r="P7" i="1"/>
  <c r="Q8" i="1"/>
  <c r="Q7" i="1"/>
  <c r="P6" i="1"/>
  <c r="P10" i="1" s="1"/>
  <c r="Q6" i="1"/>
  <c r="Q10" i="1" s="1"/>
  <c r="P5" i="1"/>
  <c r="S15" i="1"/>
  <c r="S35" i="1" s="1"/>
  <c r="T23" i="1"/>
  <c r="U23" i="1" s="1"/>
  <c r="V23" i="1" s="1"/>
  <c r="W23" i="1" s="1"/>
  <c r="X23" i="1" s="1"/>
  <c r="Y23" i="1" s="1"/>
  <c r="Z23" i="1" s="1"/>
  <c r="T22" i="1"/>
  <c r="U22" i="1" s="1"/>
  <c r="V22" i="1" s="1"/>
  <c r="W22" i="1" s="1"/>
  <c r="X22" i="1" s="1"/>
  <c r="Y22" i="1" s="1"/>
  <c r="Z22" i="1" s="1"/>
  <c r="P60" i="1"/>
  <c r="Q54" i="1"/>
  <c r="Q59" i="1" s="1"/>
  <c r="P54" i="1"/>
  <c r="P57" i="1" s="1"/>
  <c r="Q60" i="1"/>
  <c r="Z45" i="1"/>
  <c r="R15" i="1"/>
  <c r="Q41" i="1"/>
  <c r="P41" i="1"/>
  <c r="Q15" i="1"/>
  <c r="Q20" i="1" s="1"/>
  <c r="Q27" i="1" s="1"/>
  <c r="Q29" i="1" s="1"/>
  <c r="Q31" i="1" s="1"/>
  <c r="Q33" i="1" s="1"/>
  <c r="P15" i="1"/>
  <c r="P20" i="1" s="1"/>
  <c r="P27" i="1" s="1"/>
  <c r="P29" i="1" s="1"/>
  <c r="P31" i="1" s="1"/>
  <c r="Q2" i="1"/>
  <c r="R2" i="1" s="1"/>
  <c r="S2" i="1" s="1"/>
  <c r="T2" i="1" s="1"/>
  <c r="U2" i="1" s="1"/>
  <c r="V2" i="1" s="1"/>
  <c r="W2" i="1" s="1"/>
  <c r="X2" i="1" s="1"/>
  <c r="Y2" i="1" s="1"/>
  <c r="Z2" i="1" s="1"/>
  <c r="C15" i="1"/>
  <c r="C20" i="1" s="1"/>
  <c r="C27" i="1" s="1"/>
  <c r="C29" i="1" s="1"/>
  <c r="C31" i="1" s="1"/>
  <c r="Y45" i="1" l="1"/>
  <c r="X45" i="1"/>
  <c r="W45" i="1"/>
  <c r="V45" i="1"/>
  <c r="U45" i="1"/>
  <c r="W17" i="1"/>
  <c r="V44" i="1"/>
  <c r="T14" i="1"/>
  <c r="J7" i="1"/>
  <c r="H7" i="1"/>
  <c r="I7" i="1"/>
  <c r="T15" i="1"/>
  <c r="T35" i="1" s="1"/>
  <c r="R9" i="1"/>
  <c r="U5" i="1"/>
  <c r="U13" i="1" s="1"/>
  <c r="T9" i="1"/>
  <c r="T7" i="1"/>
  <c r="S7" i="1"/>
  <c r="S9" i="1"/>
  <c r="P59" i="1"/>
  <c r="AC39" i="1"/>
  <c r="S20" i="1"/>
  <c r="Q57" i="1"/>
  <c r="P35" i="1"/>
  <c r="Q35" i="1"/>
  <c r="P36" i="1"/>
  <c r="Q36" i="1"/>
  <c r="P37" i="1"/>
  <c r="Q37" i="1"/>
  <c r="R20" i="1"/>
  <c r="R35" i="1"/>
  <c r="X17" i="1" l="1"/>
  <c r="W44" i="1"/>
  <c r="U14" i="1"/>
  <c r="U15" i="1"/>
  <c r="T20" i="1"/>
  <c r="T36" i="1" s="1"/>
  <c r="S10" i="1"/>
  <c r="S8" i="1"/>
  <c r="T10" i="1"/>
  <c r="T8" i="1"/>
  <c r="V5" i="1"/>
  <c r="V13" i="1" s="1"/>
  <c r="U7" i="1"/>
  <c r="U9" i="1"/>
  <c r="S27" i="1"/>
  <c r="S36" i="1"/>
  <c r="R27" i="1"/>
  <c r="R36" i="1"/>
  <c r="Y17" i="1" l="1"/>
  <c r="X44" i="1"/>
  <c r="T27" i="1"/>
  <c r="T28" i="1" s="1"/>
  <c r="T29" i="1" s="1"/>
  <c r="V14" i="1"/>
  <c r="V15" i="1"/>
  <c r="U35" i="1"/>
  <c r="U20" i="1"/>
  <c r="U10" i="1"/>
  <c r="U8" i="1"/>
  <c r="V7" i="1"/>
  <c r="V9" i="1"/>
  <c r="W5" i="1"/>
  <c r="W13" i="1" s="1"/>
  <c r="W14" i="1" s="1"/>
  <c r="S29" i="1"/>
  <c r="R29" i="1"/>
  <c r="Z17" i="1" l="1"/>
  <c r="Z44" i="1" s="1"/>
  <c r="Y44" i="1"/>
  <c r="U36" i="1"/>
  <c r="U27" i="1"/>
  <c r="U28" i="1" s="1"/>
  <c r="U29" i="1" s="1"/>
  <c r="U31" i="1" s="1"/>
  <c r="U33" i="1" s="1"/>
  <c r="V35" i="1"/>
  <c r="V20" i="1"/>
  <c r="V10" i="1"/>
  <c r="V8" i="1"/>
  <c r="X5" i="1"/>
  <c r="X13" i="1" s="1"/>
  <c r="X14" i="1" s="1"/>
  <c r="W9" i="1"/>
  <c r="S31" i="1"/>
  <c r="S33" i="1" s="1"/>
  <c r="S37" i="1"/>
  <c r="T31" i="1"/>
  <c r="T33" i="1" s="1"/>
  <c r="T37" i="1"/>
  <c r="R31" i="1"/>
  <c r="R37" i="1"/>
  <c r="V36" i="1" l="1"/>
  <c r="V27" i="1"/>
  <c r="V28" i="1" s="1"/>
  <c r="V29" i="1" s="1"/>
  <c r="U37" i="1"/>
  <c r="W7" i="1"/>
  <c r="W15" i="1"/>
  <c r="W10" i="1"/>
  <c r="W8" i="1"/>
  <c r="Y5" i="1"/>
  <c r="Y13" i="1" s="1"/>
  <c r="Y14" i="1" s="1"/>
  <c r="X9" i="1"/>
  <c r="X7" i="1"/>
  <c r="R33" i="1"/>
  <c r="V31" i="1" l="1"/>
  <c r="V33" i="1" s="1"/>
  <c r="V37" i="1"/>
  <c r="X15" i="1"/>
  <c r="Z5" i="1"/>
  <c r="Z13" i="1" s="1"/>
  <c r="Z14" i="1" s="1"/>
  <c r="Y9" i="1"/>
  <c r="X10" i="1"/>
  <c r="X8" i="1"/>
  <c r="W35" i="1"/>
  <c r="W20" i="1"/>
  <c r="Y15" i="1" l="1"/>
  <c r="Y7" i="1"/>
  <c r="W27" i="1"/>
  <c r="W28" i="1" s="1"/>
  <c r="W29" i="1" s="1"/>
  <c r="W36" i="1"/>
  <c r="X35" i="1"/>
  <c r="X20" i="1"/>
  <c r="Y8" i="1"/>
  <c r="Y10" i="1"/>
  <c r="Z9" i="1"/>
  <c r="Y35" i="1" l="1"/>
  <c r="Y20" i="1"/>
  <c r="W37" i="1"/>
  <c r="W31" i="1"/>
  <c r="Z10" i="1"/>
  <c r="Z8" i="1"/>
  <c r="X27" i="1"/>
  <c r="X28" i="1" s="1"/>
  <c r="X29" i="1" s="1"/>
  <c r="X36" i="1"/>
  <c r="X31" i="1" l="1"/>
  <c r="X33" i="1" s="1"/>
  <c r="X37" i="1"/>
  <c r="W33" i="1"/>
  <c r="Z15" i="1"/>
  <c r="Z7" i="1"/>
  <c r="Y36" i="1"/>
  <c r="Y27" i="1"/>
  <c r="Y28" i="1" s="1"/>
  <c r="Y29" i="1" s="1"/>
  <c r="Y31" i="1" l="1"/>
  <c r="Y37" i="1"/>
  <c r="Z35" i="1"/>
  <c r="Z20" i="1"/>
  <c r="Z27" i="1" l="1"/>
  <c r="Z28" i="1" s="1"/>
  <c r="Z29" i="1" s="1"/>
  <c r="Z36" i="1"/>
  <c r="Y33" i="1"/>
  <c r="Z31" i="1" l="1"/>
  <c r="Z37" i="1"/>
  <c r="AA31" i="1" l="1"/>
  <c r="Z33" i="1"/>
  <c r="AB31" i="1" l="1"/>
  <c r="AC31" i="1" s="1"/>
  <c r="AD31" i="1" s="1"/>
  <c r="AE31" i="1" s="1"/>
  <c r="AF31" i="1" s="1"/>
  <c r="AG31" i="1" s="1"/>
  <c r="AH31" i="1" s="1"/>
  <c r="AI31" i="1" s="1"/>
  <c r="AJ31" i="1" s="1"/>
  <c r="AK31" i="1" s="1"/>
  <c r="AL31" i="1" s="1"/>
  <c r="AM31" i="1" s="1"/>
  <c r="AN31" i="1" s="1"/>
  <c r="AO31" i="1" s="1"/>
  <c r="AP31" i="1" s="1"/>
  <c r="AQ31" i="1" s="1"/>
  <c r="AR31" i="1" s="1"/>
  <c r="AS31" i="1" s="1"/>
  <c r="AT31" i="1" s="1"/>
  <c r="AU31" i="1" s="1"/>
  <c r="AV31" i="1" s="1"/>
  <c r="AW31" i="1" s="1"/>
  <c r="AX31" i="1" s="1"/>
  <c r="AY31" i="1" s="1"/>
  <c r="AZ31" i="1" s="1"/>
  <c r="BA31" i="1" s="1"/>
  <c r="BB31" i="1" s="1"/>
  <c r="BC31" i="1" s="1"/>
  <c r="BD31" i="1" s="1"/>
  <c r="BE31" i="1" s="1"/>
  <c r="BF31" i="1" s="1"/>
  <c r="BG31" i="1" s="1"/>
  <c r="BH31" i="1" s="1"/>
  <c r="BI31" i="1" s="1"/>
  <c r="BJ31" i="1" s="1"/>
  <c r="BK31" i="1" s="1"/>
  <c r="BL31" i="1" s="1"/>
  <c r="BM31" i="1" s="1"/>
  <c r="BN31" i="1" s="1"/>
  <c r="BO31" i="1" s="1"/>
  <c r="BP31" i="1" s="1"/>
  <c r="BQ31" i="1" s="1"/>
  <c r="BR31" i="1" s="1"/>
  <c r="BS31" i="1" s="1"/>
  <c r="BT31" i="1" s="1"/>
  <c r="BU31" i="1" s="1"/>
  <c r="BV31" i="1" s="1"/>
  <c r="BW31" i="1" s="1"/>
  <c r="BX31" i="1" s="1"/>
  <c r="BY31" i="1" s="1"/>
  <c r="BZ31" i="1" s="1"/>
  <c r="CA31" i="1" s="1"/>
  <c r="CB31" i="1" s="1"/>
  <c r="CC31" i="1" s="1"/>
  <c r="CD31" i="1" s="1"/>
  <c r="CE31" i="1" s="1"/>
  <c r="CF31" i="1" s="1"/>
  <c r="CG31" i="1" s="1"/>
  <c r="CH31" i="1" s="1"/>
  <c r="CI31" i="1" s="1"/>
  <c r="CJ31" i="1" s="1"/>
  <c r="CK31" i="1" s="1"/>
  <c r="CL31" i="1" s="1"/>
  <c r="CM31" i="1" s="1"/>
  <c r="CN31" i="1" s="1"/>
  <c r="CO31" i="1" s="1"/>
  <c r="CP31" i="1" s="1"/>
  <c r="CQ31" i="1" s="1"/>
  <c r="CR31" i="1" s="1"/>
  <c r="CS31" i="1" s="1"/>
  <c r="CT31" i="1" s="1"/>
  <c r="CU31" i="1" s="1"/>
  <c r="CV31" i="1" s="1"/>
  <c r="CW31" i="1" s="1"/>
  <c r="CX31" i="1" s="1"/>
  <c r="CY31" i="1" s="1"/>
  <c r="CZ31" i="1" s="1"/>
  <c r="DA31" i="1" s="1"/>
  <c r="DB31" i="1" s="1"/>
  <c r="DC31" i="1" s="1"/>
  <c r="DD31" i="1" s="1"/>
  <c r="DE31" i="1" s="1"/>
  <c r="DF31" i="1" s="1"/>
  <c r="DG31" i="1" s="1"/>
  <c r="DH31" i="1" s="1"/>
  <c r="DI31" i="1" s="1"/>
  <c r="DJ31" i="1" s="1"/>
  <c r="DK31" i="1" s="1"/>
  <c r="DL31" i="1" s="1"/>
  <c r="DM31" i="1" s="1"/>
  <c r="DN31" i="1" s="1"/>
  <c r="DO31" i="1" s="1"/>
  <c r="DP31" i="1" s="1"/>
  <c r="DQ31" i="1" s="1"/>
  <c r="DR31" i="1" s="1"/>
  <c r="DS31" i="1" s="1"/>
  <c r="DT31" i="1" s="1"/>
  <c r="DU31" i="1" s="1"/>
  <c r="DV31" i="1" s="1"/>
  <c r="DW31" i="1" s="1"/>
  <c r="DX31" i="1" s="1"/>
  <c r="DY31" i="1" s="1"/>
  <c r="DZ31" i="1" s="1"/>
  <c r="EA31" i="1" s="1"/>
  <c r="AC38" i="1" l="1"/>
  <c r="AC40" i="1" s="1"/>
  <c r="AC41" i="1" s="1"/>
</calcChain>
</file>

<file path=xl/sharedStrings.xml><?xml version="1.0" encoding="utf-8"?>
<sst xmlns="http://schemas.openxmlformats.org/spreadsheetml/2006/main" count="63" uniqueCount="54">
  <si>
    <t>Revenue</t>
  </si>
  <si>
    <t>R&amp;D</t>
  </si>
  <si>
    <t>COGS</t>
  </si>
  <si>
    <t>Gross Profit</t>
  </si>
  <si>
    <t>Selling</t>
  </si>
  <si>
    <t>G&amp;A</t>
  </si>
  <si>
    <t>Other</t>
  </si>
  <si>
    <t>EBIT</t>
  </si>
  <si>
    <t>Interest Income</t>
  </si>
  <si>
    <t>Interest Expense</t>
  </si>
  <si>
    <t>EBT</t>
  </si>
  <si>
    <t>Taxes</t>
  </si>
  <si>
    <t>Net Income</t>
  </si>
  <si>
    <t>Minority Income</t>
  </si>
  <si>
    <t>Company Income</t>
  </si>
  <si>
    <t>Equity, net</t>
  </si>
  <si>
    <t>Pension plans, net</t>
  </si>
  <si>
    <t>Currency, net</t>
  </si>
  <si>
    <t>Other Fiannce, net</t>
  </si>
  <si>
    <t>Q122</t>
  </si>
  <si>
    <t>Q222</t>
  </si>
  <si>
    <t>Q322</t>
  </si>
  <si>
    <t>Q422</t>
  </si>
  <si>
    <t>Q123</t>
  </si>
  <si>
    <t>Q223</t>
  </si>
  <si>
    <t>Q323</t>
  </si>
  <si>
    <t>Gross Margin</t>
  </si>
  <si>
    <t>EBIT Margin</t>
  </si>
  <si>
    <t>Net Margin</t>
  </si>
  <si>
    <t>CFFO</t>
  </si>
  <si>
    <t>CapEx</t>
  </si>
  <si>
    <t>FCF</t>
  </si>
  <si>
    <t>PP&amp;E</t>
  </si>
  <si>
    <t>Beteiligungen</t>
  </si>
  <si>
    <t>Inventory</t>
  </si>
  <si>
    <t>Cash</t>
  </si>
  <si>
    <t>Debt</t>
  </si>
  <si>
    <t>Pension</t>
  </si>
  <si>
    <t>NAV</t>
  </si>
  <si>
    <t>Interest-Bearing</t>
  </si>
  <si>
    <t>Cost of Debt</t>
  </si>
  <si>
    <t>Interest Yield</t>
  </si>
  <si>
    <t>Discount</t>
  </si>
  <si>
    <t>NPV</t>
  </si>
  <si>
    <t>Terminal</t>
  </si>
  <si>
    <t>Net Cash</t>
  </si>
  <si>
    <t>Value</t>
  </si>
  <si>
    <t>Shares</t>
  </si>
  <si>
    <t>EPS</t>
  </si>
  <si>
    <t>Ophthalmology</t>
  </si>
  <si>
    <t>Microsurgery</t>
  </si>
  <si>
    <t>Y/Y</t>
  </si>
  <si>
    <t>%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</si>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</sst>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0"/>
    <numFmt numFmtId="166" formatCode="#,##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9" fontId="0" fillId="0" borderId="0" xfId="1" applyFont="1"/>
    <xf numFmtId="164" fontId="0" fillId="0" borderId="0" xfId="1" applyNumberFormat="1" applyFont="1"/>
    <xf numFmtId="4" fontId="0" fillId="0" borderId="0" xfId="0" applyNumberFormat="1"/>
    <xf numFmtId="165" fontId="0" fillId="0" borderId="0" xfId="0" applyNumberFormat="1"/>
    <xf numFmtId="3" fontId="3" fillId="0" borderId="0" xfId="0" applyNumberFormat="1" applyFont="1"/>
    <xf numFmtId="2" fontId="0" fillId="0" borderId="0" xfId="1" applyNumberFormat="1" applyFont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29766</xdr:colOff>
      <xdr:row>4</xdr:row>
      <xdr:rowOff>11906</xdr:rowOff>
    </xdr:from>
    <xdr:to>
      <xdr:col>19</xdr:col>
      <xdr:colOff>47625</xdr:colOff>
      <xdr:row>41</xdr:row>
      <xdr:rowOff>95249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454E2D9-781A-CC56-9A72-62940892CF4F}"/>
            </a:ext>
          </a:extLst>
        </xdr:cNvPr>
        <xdr:cNvCxnSpPr/>
      </xdr:nvCxnSpPr>
      <xdr:spPr>
        <a:xfrm>
          <a:off x="11751469" y="773906"/>
          <a:ext cx="17859" cy="71318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9DB75-40DB-4ACE-9D51-8291067FB71C}">
  <dimension ref="A2:EA69"/>
  <sheetViews>
    <sheetView tabSelected="1" zoomScale="160" zoomScaleNormal="160" workbookViewId="0">
      <pane xSplit="2" ySplit="2" topLeftCell="O27" activePane="bottomRight" state="frozen"/>
      <selection pane="topRight" activeCell="C1" sqref="C1"/>
      <selection pane="bottomLeft" activeCell="A3" sqref="A3"/>
      <selection pane="bottomRight" activeCell="AC37" sqref="AC37"/>
    </sheetView>
  </sheetViews>
  <sheetFormatPr defaultRowHeight="15" x14ac:dyDescent="0.25"/>
  <cols>
    <col min="1" max="1" width="3.85546875" bestFit="1" customWidth="1"/>
    <col min="2" max="2" width="16.42578125" bestFit="1" customWidth="1"/>
    <col min="16" max="26" width="9.28515625" bestFit="1" customWidth="1"/>
  </cols>
  <sheetData>
    <row r="2" spans="1:26" x14ac:dyDescent="0.25"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P2">
        <v>2022</v>
      </c>
      <c r="Q2">
        <f t="shared" ref="Q2:Z2" si="0">+P2+1</f>
        <v>2023</v>
      </c>
      <c r="R2">
        <f t="shared" si="0"/>
        <v>2024</v>
      </c>
      <c r="S2">
        <f t="shared" si="0"/>
        <v>2025</v>
      </c>
      <c r="T2">
        <f t="shared" si="0"/>
        <v>2026</v>
      </c>
      <c r="U2">
        <f t="shared" si="0"/>
        <v>2027</v>
      </c>
      <c r="V2">
        <f t="shared" si="0"/>
        <v>2028</v>
      </c>
      <c r="W2">
        <f t="shared" si="0"/>
        <v>2029</v>
      </c>
      <c r="X2">
        <f t="shared" si="0"/>
        <v>2030</v>
      </c>
      <c r="Y2">
        <f t="shared" si="0"/>
        <v>2031</v>
      </c>
      <c r="Z2">
        <f t="shared" si="0"/>
        <v>2032</v>
      </c>
    </row>
    <row r="3" spans="1:26" s="1" customFormat="1" x14ac:dyDescent="0.25"/>
    <row r="4" spans="1:26" s="1" customFormat="1" x14ac:dyDescent="0.25"/>
    <row r="5" spans="1:26" s="1" customFormat="1" x14ac:dyDescent="0.25">
      <c r="B5" s="1" t="s">
        <v>49</v>
      </c>
      <c r="H5" s="1">
        <v>860000</v>
      </c>
      <c r="I5" s="1">
        <v>920100</v>
      </c>
      <c r="J5" s="1">
        <v>980200</v>
      </c>
      <c r="K5" s="1">
        <v>1050300</v>
      </c>
      <c r="L5" s="1">
        <v>1120800</v>
      </c>
      <c r="M5" s="1">
        <v>1205600</v>
      </c>
      <c r="N5" s="1">
        <v>1300500</v>
      </c>
      <c r="O5" s="1">
        <v>1392000</v>
      </c>
      <c r="P5" s="1">
        <f>+P13*0.772</f>
        <v>1468989.392</v>
      </c>
      <c r="Q5" s="1">
        <f>+Q13*0.755</f>
        <v>1577421.5</v>
      </c>
      <c r="R5" s="1">
        <v>1589200</v>
      </c>
      <c r="S5" s="1">
        <v>1723700</v>
      </c>
      <c r="T5" s="1">
        <f t="shared" ref="T5:Z5" si="1">+S5*1.07</f>
        <v>1844359</v>
      </c>
      <c r="U5" s="1">
        <f t="shared" si="1"/>
        <v>1973464.1300000001</v>
      </c>
      <c r="V5" s="1">
        <f t="shared" si="1"/>
        <v>2111606.6191000002</v>
      </c>
      <c r="W5" s="1">
        <f t="shared" si="1"/>
        <v>2259419.0824370002</v>
      </c>
      <c r="X5" s="1">
        <f t="shared" si="1"/>
        <v>2417578.4182075905</v>
      </c>
      <c r="Y5" s="1">
        <f t="shared" si="1"/>
        <v>2586808.9074821221</v>
      </c>
      <c r="Z5" s="1">
        <f t="shared" si="1"/>
        <v>2767885.5310058706</v>
      </c>
    </row>
    <row r="6" spans="1:26" s="1" customFormat="1" x14ac:dyDescent="0.25">
      <c r="B6" s="1" t="s">
        <v>50</v>
      </c>
      <c r="H6" s="1">
        <v>210000</v>
      </c>
      <c r="I6" s="1">
        <v>230000</v>
      </c>
      <c r="J6" s="1">
        <v>250500</v>
      </c>
      <c r="K6" s="1">
        <v>270000</v>
      </c>
      <c r="L6" s="1">
        <v>290100</v>
      </c>
      <c r="M6" s="1">
        <v>320000</v>
      </c>
      <c r="N6" s="1">
        <v>350400</v>
      </c>
      <c r="O6" s="1">
        <v>390200</v>
      </c>
      <c r="P6" s="1">
        <f>+P13*0.228</f>
        <v>433846.60800000001</v>
      </c>
      <c r="Q6" s="1">
        <f>+Q13*0.245</f>
        <v>511878.5</v>
      </c>
      <c r="R6" s="1">
        <v>477000</v>
      </c>
      <c r="S6" s="1">
        <v>503900</v>
      </c>
      <c r="T6" s="1">
        <f>+S6*1.05</f>
        <v>529095</v>
      </c>
      <c r="U6" s="1">
        <f t="shared" ref="U6:Z6" si="2">+T6*1.05</f>
        <v>555549.75</v>
      </c>
      <c r="V6" s="1">
        <f t="shared" si="2"/>
        <v>583327.23750000005</v>
      </c>
      <c r="W6" s="1">
        <f t="shared" si="2"/>
        <v>612493.59937500011</v>
      </c>
      <c r="X6" s="1">
        <f t="shared" si="2"/>
        <v>643118.27934375009</v>
      </c>
      <c r="Y6" s="1">
        <f t="shared" si="2"/>
        <v>675274.19331093761</v>
      </c>
      <c r="Z6" s="1">
        <f t="shared" si="2"/>
        <v>709037.9029764845</v>
      </c>
    </row>
    <row r="7" spans="1:26" s="1" customFormat="1" x14ac:dyDescent="0.25">
      <c r="A7" s="1" t="s">
        <v>52</v>
      </c>
      <c r="B7" s="1" t="s">
        <v>49</v>
      </c>
      <c r="H7" s="2">
        <f t="shared" ref="H7:O7" si="3">+H5/H13</f>
        <v>0.80373831775700932</v>
      </c>
      <c r="I7" s="2">
        <f t="shared" si="3"/>
        <v>0.80001738979219195</v>
      </c>
      <c r="J7" s="2">
        <f t="shared" si="3"/>
        <v>0.79645730072316567</v>
      </c>
      <c r="K7" s="2">
        <f t="shared" si="3"/>
        <v>0.79550102249488752</v>
      </c>
      <c r="L7" s="2">
        <f t="shared" si="3"/>
        <v>0.79438656176908351</v>
      </c>
      <c r="M7" s="2">
        <f t="shared" si="3"/>
        <v>0.79024646040901936</v>
      </c>
      <c r="N7" s="2">
        <f t="shared" si="3"/>
        <v>0.78775213519898235</v>
      </c>
      <c r="O7" s="2">
        <f t="shared" si="3"/>
        <v>0.78105712041297271</v>
      </c>
      <c r="P7" s="2">
        <f>+P5/P13</f>
        <v>0.77200000000000002</v>
      </c>
      <c r="Q7" s="2">
        <f>+Q5/Q13</f>
        <v>0.755</v>
      </c>
      <c r="R7" s="2">
        <f t="shared" ref="R7" si="4">+R5/R13</f>
        <v>0.76916859418612704</v>
      </c>
      <c r="S7" s="2">
        <f t="shared" ref="S7:Z7" si="5">+S5/S13</f>
        <v>0.77377679118531006</v>
      </c>
      <c r="T7" s="2">
        <f t="shared" si="5"/>
        <v>0.77707804743635223</v>
      </c>
      <c r="U7" s="2">
        <f t="shared" si="5"/>
        <v>0.78032949744032254</v>
      </c>
      <c r="V7" s="2">
        <f t="shared" si="5"/>
        <v>0.78354673304080968</v>
      </c>
      <c r="W7" s="2">
        <f t="shared" si="5"/>
        <v>0.78672972780336958</v>
      </c>
      <c r="X7" s="2">
        <f t="shared" si="5"/>
        <v>0.78987846791279048</v>
      </c>
      <c r="Y7" s="2">
        <f t="shared" si="5"/>
        <v>0.79299295191260799</v>
      </c>
      <c r="Z7" s="2">
        <f t="shared" si="5"/>
        <v>0.7960731904399817</v>
      </c>
    </row>
    <row r="8" spans="1:26" s="1" customFormat="1" x14ac:dyDescent="0.25">
      <c r="A8" s="1" t="s">
        <v>52</v>
      </c>
      <c r="B8" s="1" t="s">
        <v>50</v>
      </c>
      <c r="H8" s="2">
        <f t="shared" ref="H8:O8" si="6">+H6/H13</f>
        <v>0.19626168224299065</v>
      </c>
      <c r="I8" s="2">
        <f t="shared" si="6"/>
        <v>0.19998261020780803</v>
      </c>
      <c r="J8" s="2">
        <f t="shared" si="6"/>
        <v>0.20354269927683433</v>
      </c>
      <c r="K8" s="2">
        <f t="shared" si="6"/>
        <v>0.20449897750511248</v>
      </c>
      <c r="L8" s="2">
        <f t="shared" si="6"/>
        <v>0.20561343823091643</v>
      </c>
      <c r="M8" s="2">
        <f t="shared" si="6"/>
        <v>0.20975353959098059</v>
      </c>
      <c r="N8" s="2">
        <f t="shared" si="6"/>
        <v>0.21224786480101762</v>
      </c>
      <c r="O8" s="2">
        <f t="shared" si="6"/>
        <v>0.21894287958702727</v>
      </c>
      <c r="P8" s="2">
        <f>+P6/P13</f>
        <v>0.22800000000000001</v>
      </c>
      <c r="Q8" s="2">
        <f>+Q6/Q13</f>
        <v>0.245</v>
      </c>
      <c r="R8" s="2">
        <f t="shared" ref="R8" si="7">+R6/R13</f>
        <v>0.23086673762067869</v>
      </c>
      <c r="S8" s="2">
        <f t="shared" ref="S8:Z8" si="8">+S6/S13</f>
        <v>0.2262030081094609</v>
      </c>
      <c r="T8" s="2">
        <f t="shared" si="8"/>
        <v>0.22292195256364775</v>
      </c>
      <c r="U8" s="2">
        <f t="shared" si="8"/>
        <v>0.21967050255967754</v>
      </c>
      <c r="V8" s="2">
        <f t="shared" si="8"/>
        <v>0.21645326695919026</v>
      </c>
      <c r="W8" s="2">
        <f t="shared" si="8"/>
        <v>0.21327027219663039</v>
      </c>
      <c r="X8" s="2">
        <f t="shared" si="8"/>
        <v>0.21012153208720946</v>
      </c>
      <c r="Y8" s="2">
        <f t="shared" si="8"/>
        <v>0.20700704808739195</v>
      </c>
      <c r="Z8" s="2">
        <f t="shared" si="8"/>
        <v>0.20392680956001827</v>
      </c>
    </row>
    <row r="9" spans="1:26" s="1" customFormat="1" x14ac:dyDescent="0.25">
      <c r="A9" s="1" t="s">
        <v>51</v>
      </c>
      <c r="B9" s="1" t="s">
        <v>49</v>
      </c>
      <c r="I9" s="2">
        <f t="shared" ref="I9:P9" si="9">+I5/H5 -1</f>
        <v>6.988372093023254E-2</v>
      </c>
      <c r="J9" s="2">
        <f t="shared" si="9"/>
        <v>6.5318987066623091E-2</v>
      </c>
      <c r="K9" s="2">
        <f t="shared" si="9"/>
        <v>7.15160171393594E-2</v>
      </c>
      <c r="L9" s="2">
        <f t="shared" si="9"/>
        <v>6.7123678948871834E-2</v>
      </c>
      <c r="M9" s="2">
        <f t="shared" si="9"/>
        <v>7.5660242683797341E-2</v>
      </c>
      <c r="N9" s="2">
        <f t="shared" si="9"/>
        <v>7.8715992037159843E-2</v>
      </c>
      <c r="O9" s="2">
        <f t="shared" si="9"/>
        <v>7.0357554786620424E-2</v>
      </c>
      <c r="P9" s="2">
        <f t="shared" si="9"/>
        <v>5.5308471264367887E-2</v>
      </c>
      <c r="Q9" s="2">
        <f>+Q5/P5 -1</f>
        <v>7.3814085105387894E-2</v>
      </c>
      <c r="R9" s="2">
        <f t="shared" ref="R9:Y9" si="10">+R5/Q5 -1</f>
        <v>7.4669325858687241E-3</v>
      </c>
      <c r="S9" s="2">
        <f t="shared" si="10"/>
        <v>8.4633778001510285E-2</v>
      </c>
      <c r="T9" s="2">
        <f t="shared" si="10"/>
        <v>7.0000000000000062E-2</v>
      </c>
      <c r="U9" s="2">
        <f t="shared" si="10"/>
        <v>7.0000000000000062E-2</v>
      </c>
      <c r="V9" s="2">
        <f t="shared" si="10"/>
        <v>7.0000000000000062E-2</v>
      </c>
      <c r="W9" s="2">
        <f t="shared" si="10"/>
        <v>7.0000000000000062E-2</v>
      </c>
      <c r="X9" s="2">
        <f t="shared" si="10"/>
        <v>7.0000000000000062E-2</v>
      </c>
      <c r="Y9" s="2">
        <f t="shared" si="10"/>
        <v>7.0000000000000062E-2</v>
      </c>
      <c r="Z9" s="2">
        <f t="shared" ref="Z9" si="11">+Z5/Y5 -1</f>
        <v>7.0000000000000062E-2</v>
      </c>
    </row>
    <row r="10" spans="1:26" s="1" customFormat="1" x14ac:dyDescent="0.25">
      <c r="A10" s="1" t="s">
        <v>51</v>
      </c>
      <c r="B10" s="1" t="s">
        <v>50</v>
      </c>
      <c r="I10" s="2">
        <f t="shared" ref="I10:P10" si="12">+I6/H6 -1</f>
        <v>9.5238095238095344E-2</v>
      </c>
      <c r="J10" s="2">
        <f t="shared" si="12"/>
        <v>8.9130434782608736E-2</v>
      </c>
      <c r="K10" s="2">
        <f t="shared" si="12"/>
        <v>7.7844311377245567E-2</v>
      </c>
      <c r="L10" s="2">
        <f t="shared" si="12"/>
        <v>7.4444444444444535E-2</v>
      </c>
      <c r="M10" s="2">
        <f t="shared" si="12"/>
        <v>0.10306790761806273</v>
      </c>
      <c r="N10" s="2">
        <f t="shared" si="12"/>
        <v>9.4999999999999973E-2</v>
      </c>
      <c r="O10" s="2">
        <f t="shared" si="12"/>
        <v>0.11358447488584478</v>
      </c>
      <c r="P10" s="2">
        <f t="shared" si="12"/>
        <v>0.11185701691440286</v>
      </c>
      <c r="Q10" s="2">
        <f>+Q6/P6 -1</f>
        <v>0.17986055569207071</v>
      </c>
      <c r="R10" s="2">
        <f t="shared" ref="R10:Y10" si="13">+R6/Q6 -1</f>
        <v>-6.8138239836211145E-2</v>
      </c>
      <c r="S10" s="2">
        <f t="shared" si="13"/>
        <v>5.639412997903559E-2</v>
      </c>
      <c r="T10" s="2">
        <f t="shared" si="13"/>
        <v>5.0000000000000044E-2</v>
      </c>
      <c r="U10" s="2">
        <f t="shared" si="13"/>
        <v>5.0000000000000044E-2</v>
      </c>
      <c r="V10" s="2">
        <f t="shared" si="13"/>
        <v>5.0000000000000044E-2</v>
      </c>
      <c r="W10" s="2">
        <f t="shared" si="13"/>
        <v>5.0000000000000044E-2</v>
      </c>
      <c r="X10" s="2">
        <f t="shared" si="13"/>
        <v>5.0000000000000044E-2</v>
      </c>
      <c r="Y10" s="2">
        <f t="shared" si="13"/>
        <v>5.0000000000000044E-2</v>
      </c>
      <c r="Z10" s="2">
        <f t="shared" ref="Z10" si="14">+Z6/Y6 -1</f>
        <v>5.0000000000000044E-2</v>
      </c>
    </row>
    <row r="11" spans="1:26" s="1" customFormat="1" x14ac:dyDescent="0.25"/>
    <row r="12" spans="1:26" s="1" customFormat="1" x14ac:dyDescent="0.25"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s="6" customFormat="1" x14ac:dyDescent="0.25">
      <c r="B13" s="6" t="s">
        <v>0</v>
      </c>
      <c r="H13" s="6">
        <f t="shared" ref="H13:N13" si="15">+H5+H6</f>
        <v>1070000</v>
      </c>
      <c r="I13" s="6">
        <f t="shared" si="15"/>
        <v>1150100</v>
      </c>
      <c r="J13" s="6">
        <f t="shared" si="15"/>
        <v>1230700</v>
      </c>
      <c r="K13" s="6">
        <f t="shared" si="15"/>
        <v>1320300</v>
      </c>
      <c r="L13" s="6">
        <f t="shared" si="15"/>
        <v>1410900</v>
      </c>
      <c r="M13" s="6">
        <f t="shared" si="15"/>
        <v>1525600</v>
      </c>
      <c r="N13" s="6">
        <f t="shared" si="15"/>
        <v>1650900</v>
      </c>
      <c r="O13" s="6">
        <f>+O5+O6</f>
        <v>1782200</v>
      </c>
      <c r="P13" s="6">
        <v>1902836</v>
      </c>
      <c r="Q13" s="6">
        <v>2089300</v>
      </c>
      <c r="R13" s="6">
        <v>2066127</v>
      </c>
      <c r="S13" s="6">
        <v>2227645</v>
      </c>
      <c r="T13" s="6">
        <f>+T5+T6</f>
        <v>2373454</v>
      </c>
      <c r="U13" s="6">
        <f t="shared" ref="U13:Z13" si="16">+U5+U6</f>
        <v>2529013.88</v>
      </c>
      <c r="V13" s="6">
        <f t="shared" si="16"/>
        <v>2694933.8566000005</v>
      </c>
      <c r="W13" s="6">
        <f t="shared" si="16"/>
        <v>2871912.6818120005</v>
      </c>
      <c r="X13" s="6">
        <f t="shared" si="16"/>
        <v>3060696.6975513408</v>
      </c>
      <c r="Y13" s="6">
        <f t="shared" si="16"/>
        <v>3262083.1007930599</v>
      </c>
      <c r="Z13" s="6">
        <f t="shared" si="16"/>
        <v>3476923.4339823551</v>
      </c>
    </row>
    <row r="14" spans="1:26" s="1" customFormat="1" x14ac:dyDescent="0.25">
      <c r="B14" s="1" t="s">
        <v>2</v>
      </c>
      <c r="P14" s="1">
        <v>775238</v>
      </c>
      <c r="Q14" s="1">
        <v>883535</v>
      </c>
      <c r="R14" s="1">
        <v>977497</v>
      </c>
      <c r="S14" s="1">
        <v>1052448</v>
      </c>
      <c r="T14" s="1">
        <f>+T13*(1-0.53)</f>
        <v>1115523.3799999999</v>
      </c>
      <c r="U14" s="1">
        <f t="shared" ref="U14:Z14" si="17">+U13*(1-0.53)</f>
        <v>1188636.5236</v>
      </c>
      <c r="V14" s="1">
        <f t="shared" si="17"/>
        <v>1266618.9126020002</v>
      </c>
      <c r="W14" s="1">
        <f t="shared" si="17"/>
        <v>1349798.9604516402</v>
      </c>
      <c r="X14" s="1">
        <f t="shared" si="17"/>
        <v>1438527.44784913</v>
      </c>
      <c r="Y14" s="1">
        <f t="shared" si="17"/>
        <v>1533179.0573727381</v>
      </c>
      <c r="Z14" s="1">
        <f t="shared" si="17"/>
        <v>1634154.0139717069</v>
      </c>
    </row>
    <row r="15" spans="1:26" s="1" customFormat="1" x14ac:dyDescent="0.25">
      <c r="B15" s="1" t="s">
        <v>3</v>
      </c>
      <c r="C15" s="1">
        <f>+C13-C14</f>
        <v>0</v>
      </c>
      <c r="P15" s="1">
        <f>+P13-P14</f>
        <v>1127598</v>
      </c>
      <c r="Q15" s="1">
        <f>+Q13-Q14</f>
        <v>1205765</v>
      </c>
      <c r="R15" s="1">
        <f>+R13-R14</f>
        <v>1088630</v>
      </c>
      <c r="S15" s="1">
        <f>+S13-S14</f>
        <v>1175197</v>
      </c>
      <c r="T15" s="1">
        <f>+T13-T14</f>
        <v>1257930.6200000001</v>
      </c>
      <c r="U15" s="1">
        <f t="shared" ref="U15:Z15" si="18">+U13-U14</f>
        <v>1340377.3563999999</v>
      </c>
      <c r="V15" s="1">
        <f t="shared" si="18"/>
        <v>1428314.9439980004</v>
      </c>
      <c r="W15" s="1">
        <f t="shared" si="18"/>
        <v>1522113.7213603603</v>
      </c>
      <c r="X15" s="1">
        <f t="shared" si="18"/>
        <v>1622169.2497022108</v>
      </c>
      <c r="Y15" s="1">
        <f t="shared" si="18"/>
        <v>1728904.0434203218</v>
      </c>
      <c r="Z15" s="1">
        <f t="shared" si="18"/>
        <v>1842769.4200106482</v>
      </c>
    </row>
    <row r="16" spans="1:26" s="1" customFormat="1" x14ac:dyDescent="0.25">
      <c r="B16" s="1" t="s">
        <v>4</v>
      </c>
      <c r="P16" s="1">
        <v>360179</v>
      </c>
      <c r="Q16" s="1">
        <v>420279</v>
      </c>
      <c r="R16" s="1">
        <v>458198</v>
      </c>
      <c r="S16" s="1">
        <v>495098</v>
      </c>
      <c r="T16" s="1">
        <f t="shared" ref="T16" si="19">+S16*1.04</f>
        <v>514901.92000000004</v>
      </c>
      <c r="U16" s="1">
        <f>+T16*1.05</f>
        <v>540647.01600000006</v>
      </c>
      <c r="V16" s="1">
        <f t="shared" ref="V16:Z16" si="20">+U16*1.05</f>
        <v>567679.36680000008</v>
      </c>
      <c r="W16" s="1">
        <f t="shared" si="20"/>
        <v>596063.3351400001</v>
      </c>
      <c r="X16" s="1">
        <f t="shared" si="20"/>
        <v>625866.50189700013</v>
      </c>
      <c r="Y16" s="1">
        <f t="shared" si="20"/>
        <v>657159.82699185016</v>
      </c>
      <c r="Z16" s="1">
        <f t="shared" si="20"/>
        <v>690017.81834144273</v>
      </c>
    </row>
    <row r="17" spans="2:131" s="1" customFormat="1" x14ac:dyDescent="0.25">
      <c r="B17" s="1" t="s">
        <v>5</v>
      </c>
      <c r="P17" s="1">
        <v>77881</v>
      </c>
      <c r="Q17" s="1">
        <v>83778</v>
      </c>
      <c r="R17" s="1">
        <v>111010</v>
      </c>
      <c r="S17" s="1">
        <v>131421</v>
      </c>
      <c r="T17" s="1">
        <f>+S17*1.04</f>
        <v>136677.84</v>
      </c>
      <c r="U17" s="1">
        <f t="shared" ref="U17:Z17" si="21">+T17*1.04</f>
        <v>142144.95360000001</v>
      </c>
      <c r="V17" s="1">
        <f t="shared" si="21"/>
        <v>147830.75174400001</v>
      </c>
      <c r="W17" s="1">
        <f t="shared" si="21"/>
        <v>153743.98181376001</v>
      </c>
      <c r="X17" s="1">
        <f t="shared" si="21"/>
        <v>159893.74108631042</v>
      </c>
      <c r="Y17" s="1">
        <f t="shared" si="21"/>
        <v>166289.49072976285</v>
      </c>
      <c r="Z17" s="1">
        <f t="shared" si="21"/>
        <v>172941.07035895338</v>
      </c>
    </row>
    <row r="18" spans="2:131" s="1" customFormat="1" x14ac:dyDescent="0.25">
      <c r="B18" s="1" t="s">
        <v>1</v>
      </c>
      <c r="P18" s="1">
        <v>291365</v>
      </c>
      <c r="Q18" s="1">
        <v>349278</v>
      </c>
      <c r="R18" s="1">
        <v>343089</v>
      </c>
      <c r="S18" s="1">
        <v>326275</v>
      </c>
      <c r="T18" s="1">
        <f>+T13*0.15</f>
        <v>356018.1</v>
      </c>
      <c r="U18" s="1">
        <f t="shared" ref="U18:Z18" si="22">+U13*0.15</f>
        <v>379352.08199999999</v>
      </c>
      <c r="V18" s="1">
        <f t="shared" si="22"/>
        <v>404240.07849000004</v>
      </c>
      <c r="W18" s="1">
        <f t="shared" si="22"/>
        <v>430786.90227180003</v>
      </c>
      <c r="X18" s="1">
        <f t="shared" si="22"/>
        <v>459104.50463270111</v>
      </c>
      <c r="Y18" s="1">
        <f t="shared" si="22"/>
        <v>489312.46511895896</v>
      </c>
      <c r="Z18" s="1">
        <f t="shared" si="22"/>
        <v>521538.51509735326</v>
      </c>
    </row>
    <row r="19" spans="2:131" s="1" customFormat="1" x14ac:dyDescent="0.25">
      <c r="B19" s="1" t="s">
        <v>6</v>
      </c>
      <c r="P19" s="1">
        <v>1294</v>
      </c>
      <c r="Q19" s="1">
        <v>4306</v>
      </c>
      <c r="R19" s="1">
        <v>-18119</v>
      </c>
      <c r="S19" s="1">
        <v>-917</v>
      </c>
      <c r="T19" s="1">
        <v>5000</v>
      </c>
      <c r="U19" s="1">
        <v>5000</v>
      </c>
      <c r="V19" s="1">
        <v>5000</v>
      </c>
      <c r="W19" s="1">
        <v>5000</v>
      </c>
      <c r="X19" s="1">
        <v>5000</v>
      </c>
      <c r="Y19" s="1">
        <v>5000</v>
      </c>
      <c r="Z19" s="1">
        <v>5000</v>
      </c>
    </row>
    <row r="20" spans="2:131" s="1" customFormat="1" x14ac:dyDescent="0.25">
      <c r="B20" s="1" t="s">
        <v>7</v>
      </c>
      <c r="C20" s="1">
        <f>+C15-C16-C17-C18-C19</f>
        <v>0</v>
      </c>
      <c r="P20" s="1">
        <f>+P15-P16-P17-P18-P19</f>
        <v>396879</v>
      </c>
      <c r="Q20" s="1">
        <f>+Q15-Q16-Q17-Q18-Q19</f>
        <v>348124</v>
      </c>
      <c r="R20" s="1">
        <f>+R15-R16-R17-R18-R19</f>
        <v>194452</v>
      </c>
      <c r="S20" s="1">
        <f>+S15-S16-S17-S18-S19</f>
        <v>223320</v>
      </c>
      <c r="T20" s="1">
        <f>+T15-T16-T17-T18-T19</f>
        <v>245332.76000000013</v>
      </c>
      <c r="U20" s="1">
        <f t="shared" ref="U20:Z20" si="23">+U15-U16-U17-U18-U19</f>
        <v>273233.30479999987</v>
      </c>
      <c r="V20" s="1">
        <f t="shared" si="23"/>
        <v>303564.74696400022</v>
      </c>
      <c r="W20" s="1">
        <f t="shared" si="23"/>
        <v>336519.50213480013</v>
      </c>
      <c r="X20" s="1">
        <f t="shared" si="23"/>
        <v>372304.50208619918</v>
      </c>
      <c r="Y20" s="1">
        <f t="shared" si="23"/>
        <v>411142.26057974994</v>
      </c>
      <c r="Z20" s="1">
        <f t="shared" si="23"/>
        <v>453272.01621289866</v>
      </c>
    </row>
    <row r="21" spans="2:131" s="1" customFormat="1" x14ac:dyDescent="0.25">
      <c r="B21" s="1" t="s">
        <v>15</v>
      </c>
      <c r="P21" s="1">
        <v>0</v>
      </c>
      <c r="Q21" s="1">
        <v>-893</v>
      </c>
      <c r="R21" s="1">
        <v>-3022</v>
      </c>
      <c r="S21" s="1">
        <v>30</v>
      </c>
    </row>
    <row r="22" spans="2:131" s="1" customFormat="1" x14ac:dyDescent="0.25">
      <c r="B22" s="1" t="s">
        <v>8</v>
      </c>
      <c r="P22" s="1">
        <v>13250</v>
      </c>
      <c r="Q22" s="1">
        <v>28111</v>
      </c>
      <c r="R22" s="1">
        <v>22396</v>
      </c>
      <c r="S22" s="1">
        <v>6570</v>
      </c>
      <c r="T22" s="1">
        <f>+S22*0.8</f>
        <v>5256</v>
      </c>
      <c r="U22" s="1">
        <f>+T22*0.97</f>
        <v>5098.32</v>
      </c>
      <c r="V22" s="1">
        <f t="shared" ref="V22:Z22" si="24">+U22*0.97</f>
        <v>4945.3703999999998</v>
      </c>
      <c r="W22" s="1">
        <f t="shared" si="24"/>
        <v>4797.0092879999993</v>
      </c>
      <c r="X22" s="1">
        <f t="shared" si="24"/>
        <v>4653.0990093599994</v>
      </c>
      <c r="Y22" s="1">
        <f t="shared" si="24"/>
        <v>4513.5060390791996</v>
      </c>
      <c r="Z22" s="1">
        <f t="shared" si="24"/>
        <v>4378.1008579068239</v>
      </c>
    </row>
    <row r="23" spans="2:131" s="1" customFormat="1" x14ac:dyDescent="0.25">
      <c r="B23" s="1" t="s">
        <v>9</v>
      </c>
      <c r="P23" s="1">
        <v>9099</v>
      </c>
      <c r="Q23" s="1">
        <v>15250</v>
      </c>
      <c r="R23" s="1">
        <v>29424</v>
      </c>
      <c r="S23" s="1">
        <v>26600</v>
      </c>
      <c r="T23" s="1">
        <f t="shared" ref="T23" si="25">+S23*0.9</f>
        <v>23940</v>
      </c>
      <c r="U23" s="1">
        <f>+T23*0.97</f>
        <v>23221.8</v>
      </c>
      <c r="V23" s="1">
        <f t="shared" ref="V23:Z23" si="26">+U23*0.97</f>
        <v>22525.145999999997</v>
      </c>
      <c r="W23" s="1">
        <f t="shared" si="26"/>
        <v>21849.391619999995</v>
      </c>
      <c r="X23" s="1">
        <f t="shared" si="26"/>
        <v>21193.909871399996</v>
      </c>
      <c r="Y23" s="1">
        <f t="shared" si="26"/>
        <v>20558.092575257997</v>
      </c>
      <c r="Z23" s="1">
        <f t="shared" si="26"/>
        <v>19941.349798000258</v>
      </c>
    </row>
    <row r="24" spans="2:131" s="1" customFormat="1" x14ac:dyDescent="0.25">
      <c r="B24" s="1" t="s">
        <v>16</v>
      </c>
      <c r="P24" s="1">
        <v>-494</v>
      </c>
      <c r="Q24" s="1">
        <v>936</v>
      </c>
      <c r="R24" s="1">
        <v>877</v>
      </c>
      <c r="S24" s="1">
        <v>-24</v>
      </c>
      <c r="T24" s="1">
        <v>500</v>
      </c>
      <c r="U24" s="1">
        <v>500</v>
      </c>
      <c r="V24" s="1">
        <v>500</v>
      </c>
      <c r="W24" s="1">
        <v>500</v>
      </c>
      <c r="X24" s="1">
        <v>500</v>
      </c>
      <c r="Y24" s="1">
        <v>500</v>
      </c>
      <c r="Z24" s="1">
        <v>500</v>
      </c>
    </row>
    <row r="25" spans="2:131" s="1" customFormat="1" x14ac:dyDescent="0.25">
      <c r="B25" s="1" t="s">
        <v>17</v>
      </c>
      <c r="P25" s="1">
        <v>-48630</v>
      </c>
      <c r="Q25" s="1">
        <v>38202</v>
      </c>
      <c r="R25" s="1">
        <v>11584</v>
      </c>
      <c r="S25" s="1">
        <v>-10463</v>
      </c>
    </row>
    <row r="26" spans="2:131" s="1" customFormat="1" x14ac:dyDescent="0.25">
      <c r="B26" s="1" t="s">
        <v>18</v>
      </c>
      <c r="P26" s="1">
        <v>51583</v>
      </c>
      <c r="Q26" s="1">
        <v>13334</v>
      </c>
      <c r="R26" s="1">
        <v>44003</v>
      </c>
      <c r="S26" s="1">
        <v>1059</v>
      </c>
      <c r="T26" s="1">
        <v>5000</v>
      </c>
      <c r="U26" s="1">
        <v>5000</v>
      </c>
      <c r="V26" s="1">
        <v>5000</v>
      </c>
      <c r="W26" s="1">
        <v>5000</v>
      </c>
      <c r="X26" s="1">
        <v>5000</v>
      </c>
      <c r="Y26" s="1">
        <v>5000</v>
      </c>
      <c r="Z26" s="1">
        <v>5000</v>
      </c>
    </row>
    <row r="27" spans="2:131" s="1" customFormat="1" x14ac:dyDescent="0.25">
      <c r="B27" s="1" t="s">
        <v>10</v>
      </c>
      <c r="C27" s="1">
        <f>+C20+C21+C22-C23+C24+C25+C26</f>
        <v>0</v>
      </c>
      <c r="P27" s="1">
        <f>+P20+P21+P22-P23+P24+P25+P26</f>
        <v>403489</v>
      </c>
      <c r="Q27" s="1">
        <f>+Q20+Q21+Q22-Q23+Q24+Q25+Q26</f>
        <v>412564</v>
      </c>
      <c r="R27" s="1">
        <f>+R20+R21+R22-R23+R24+R25+R26</f>
        <v>240866</v>
      </c>
      <c r="S27" s="1">
        <f>+S20+S21+S22-S23+S24+S25+S26</f>
        <v>193892</v>
      </c>
      <c r="T27" s="1">
        <f>+T20+T21+T22-T23+T24+T25+T26</f>
        <v>232148.76000000013</v>
      </c>
      <c r="U27" s="1">
        <f t="shared" ref="U27:Z27" si="27">+U20+U21+U22-U23+U24+U25+U26</f>
        <v>260609.82479999989</v>
      </c>
      <c r="V27" s="1">
        <f t="shared" si="27"/>
        <v>291484.97136400023</v>
      </c>
      <c r="W27" s="1">
        <f t="shared" si="27"/>
        <v>324967.11980280012</v>
      </c>
      <c r="X27" s="1">
        <f t="shared" si="27"/>
        <v>361263.69122415921</v>
      </c>
      <c r="Y27" s="1">
        <f t="shared" si="27"/>
        <v>400597.67404357117</v>
      </c>
      <c r="Z27" s="1">
        <f t="shared" si="27"/>
        <v>443208.76727280521</v>
      </c>
    </row>
    <row r="28" spans="2:131" s="1" customFormat="1" x14ac:dyDescent="0.25">
      <c r="B28" s="1" t="s">
        <v>11</v>
      </c>
      <c r="P28" s="1">
        <v>107578</v>
      </c>
      <c r="Q28" s="1">
        <v>120555</v>
      </c>
      <c r="R28" s="1">
        <v>60712</v>
      </c>
      <c r="S28" s="1">
        <v>51547</v>
      </c>
      <c r="T28" s="1">
        <f t="shared" ref="T28:Z28" si="28">+T27*0.27</f>
        <v>62680.165200000039</v>
      </c>
      <c r="U28" s="1">
        <f t="shared" si="28"/>
        <v>70364.652695999976</v>
      </c>
      <c r="V28" s="1">
        <f t="shared" si="28"/>
        <v>78700.942268280065</v>
      </c>
      <c r="W28" s="1">
        <f t="shared" si="28"/>
        <v>87741.122346756034</v>
      </c>
      <c r="X28" s="1">
        <f t="shared" si="28"/>
        <v>97541.196630522987</v>
      </c>
      <c r="Y28" s="1">
        <f t="shared" si="28"/>
        <v>108161.37199176422</v>
      </c>
      <c r="Z28" s="1">
        <f t="shared" si="28"/>
        <v>119666.36716365741</v>
      </c>
    </row>
    <row r="29" spans="2:131" s="1" customFormat="1" x14ac:dyDescent="0.25">
      <c r="B29" s="1" t="s">
        <v>12</v>
      </c>
      <c r="C29" s="1">
        <f>+C27-C28</f>
        <v>0</v>
      </c>
      <c r="P29" s="1">
        <f>+P27-P28</f>
        <v>295911</v>
      </c>
      <c r="Q29" s="1">
        <f>+Q27-Q28</f>
        <v>292009</v>
      </c>
      <c r="R29" s="1">
        <f>+R27-R28</f>
        <v>180154</v>
      </c>
      <c r="S29" s="1">
        <f>+S27-S28</f>
        <v>142345</v>
      </c>
      <c r="T29" s="1">
        <f>+T27-T28</f>
        <v>169468.59480000008</v>
      </c>
      <c r="U29" s="1">
        <f t="shared" ref="U29:Z29" si="29">+U27-U28</f>
        <v>190245.17210399991</v>
      </c>
      <c r="V29" s="1">
        <f t="shared" si="29"/>
        <v>212784.02909572015</v>
      </c>
      <c r="W29" s="1">
        <f t="shared" si="29"/>
        <v>237225.99745604408</v>
      </c>
      <c r="X29" s="1">
        <f t="shared" si="29"/>
        <v>263722.49459363625</v>
      </c>
      <c r="Y29" s="1">
        <f t="shared" si="29"/>
        <v>292436.30205180694</v>
      </c>
      <c r="Z29" s="1">
        <f t="shared" si="29"/>
        <v>323542.40010914777</v>
      </c>
    </row>
    <row r="30" spans="2:131" s="1" customFormat="1" x14ac:dyDescent="0.25">
      <c r="B30" s="1" t="s">
        <v>13</v>
      </c>
      <c r="P30" s="1">
        <v>2002</v>
      </c>
      <c r="Q30" s="1">
        <v>1613</v>
      </c>
      <c r="R30" s="1">
        <v>1428</v>
      </c>
      <c r="S30" s="1">
        <v>1135</v>
      </c>
      <c r="T30" s="1">
        <v>2000</v>
      </c>
      <c r="U30" s="1">
        <v>2000</v>
      </c>
      <c r="V30" s="1">
        <v>2000</v>
      </c>
      <c r="W30" s="1">
        <v>2000</v>
      </c>
      <c r="X30" s="1">
        <v>2000</v>
      </c>
      <c r="Y30" s="1">
        <v>2000</v>
      </c>
      <c r="Z30" s="1">
        <v>2000</v>
      </c>
    </row>
    <row r="31" spans="2:131" s="1" customFormat="1" x14ac:dyDescent="0.25">
      <c r="B31" s="1" t="s">
        <v>14</v>
      </c>
      <c r="C31" s="1">
        <f>+C29-C30</f>
        <v>0</v>
      </c>
      <c r="P31" s="1">
        <f>+P29-P30</f>
        <v>293909</v>
      </c>
      <c r="Q31" s="1">
        <f>+Q29-Q30</f>
        <v>290396</v>
      </c>
      <c r="R31" s="1">
        <f>+R29-R30</f>
        <v>178726</v>
      </c>
      <c r="S31" s="1">
        <f>+S29-S30</f>
        <v>141210</v>
      </c>
      <c r="T31" s="1">
        <f>+T29-T30</f>
        <v>167468.59480000008</v>
      </c>
      <c r="U31" s="1">
        <f t="shared" ref="U31:Z31" si="30">+U29-U30</f>
        <v>188245.17210399991</v>
      </c>
      <c r="V31" s="1">
        <f t="shared" si="30"/>
        <v>210784.02909572015</v>
      </c>
      <c r="W31" s="1">
        <f t="shared" si="30"/>
        <v>235225.99745604408</v>
      </c>
      <c r="X31" s="1">
        <f t="shared" si="30"/>
        <v>261722.49459363625</v>
      </c>
      <c r="Y31" s="1">
        <f t="shared" si="30"/>
        <v>290436.30205180694</v>
      </c>
      <c r="Z31" s="1">
        <f t="shared" si="30"/>
        <v>321542.40010914777</v>
      </c>
      <c r="AA31" s="1">
        <f t="shared" ref="AA31:BF31" si="31">+Z31*(1+TR)</f>
        <v>327973.24811133073</v>
      </c>
      <c r="AB31" s="1">
        <f t="shared" si="31"/>
        <v>334532.71307355736</v>
      </c>
      <c r="AC31" s="1">
        <f t="shared" si="31"/>
        <v>341223.36733502854</v>
      </c>
      <c r="AD31" s="1">
        <f t="shared" si="31"/>
        <v>348047.83468172909</v>
      </c>
      <c r="AE31" s="1">
        <f t="shared" si="31"/>
        <v>355008.79137536365</v>
      </c>
      <c r="AF31" s="1">
        <f t="shared" si="31"/>
        <v>362108.96720287093</v>
      </c>
      <c r="AG31" s="1">
        <f t="shared" si="31"/>
        <v>369351.14654692833</v>
      </c>
      <c r="AH31" s="1">
        <f t="shared" si="31"/>
        <v>376738.1694778669</v>
      </c>
      <c r="AI31" s="1">
        <f t="shared" si="31"/>
        <v>384272.93286742427</v>
      </c>
      <c r="AJ31" s="1">
        <f t="shared" si="31"/>
        <v>391958.39152477274</v>
      </c>
      <c r="AK31" s="1">
        <f t="shared" si="31"/>
        <v>399797.5593552682</v>
      </c>
      <c r="AL31" s="1">
        <f t="shared" si="31"/>
        <v>407793.51054237358</v>
      </c>
      <c r="AM31" s="1">
        <f t="shared" si="31"/>
        <v>415949.38075322105</v>
      </c>
      <c r="AN31" s="1">
        <f t="shared" si="31"/>
        <v>424268.36836828548</v>
      </c>
      <c r="AO31" s="1">
        <f t="shared" si="31"/>
        <v>432753.73573565116</v>
      </c>
      <c r="AP31" s="1">
        <f t="shared" si="31"/>
        <v>441408.8104503642</v>
      </c>
      <c r="AQ31" s="1">
        <f t="shared" si="31"/>
        <v>450236.98665937147</v>
      </c>
      <c r="AR31" s="1">
        <f t="shared" si="31"/>
        <v>459241.72639255889</v>
      </c>
      <c r="AS31" s="1">
        <f t="shared" si="31"/>
        <v>468426.56092041009</v>
      </c>
      <c r="AT31" s="1">
        <f t="shared" si="31"/>
        <v>477795.09213881829</v>
      </c>
      <c r="AU31" s="1">
        <f t="shared" si="31"/>
        <v>487350.99398159469</v>
      </c>
      <c r="AV31" s="1">
        <f t="shared" si="31"/>
        <v>497098.01386122662</v>
      </c>
      <c r="AW31" s="1">
        <f t="shared" si="31"/>
        <v>507039.97413845116</v>
      </c>
      <c r="AX31" s="1">
        <f t="shared" si="31"/>
        <v>517180.7736212202</v>
      </c>
      <c r="AY31" s="1">
        <f t="shared" si="31"/>
        <v>527524.38909364457</v>
      </c>
      <c r="AZ31" s="1">
        <f t="shared" si="31"/>
        <v>538074.87687551742</v>
      </c>
      <c r="BA31" s="1">
        <f t="shared" si="31"/>
        <v>548836.37441302778</v>
      </c>
      <c r="BB31" s="1">
        <f t="shared" si="31"/>
        <v>559813.10190128838</v>
      </c>
      <c r="BC31" s="1">
        <f t="shared" si="31"/>
        <v>571009.36393931415</v>
      </c>
      <c r="BD31" s="1">
        <f t="shared" si="31"/>
        <v>582429.55121810047</v>
      </c>
      <c r="BE31" s="1">
        <f t="shared" si="31"/>
        <v>594078.14224246249</v>
      </c>
      <c r="BF31" s="1">
        <f t="shared" si="31"/>
        <v>605959.7050873118</v>
      </c>
      <c r="BG31" s="1">
        <f t="shared" ref="BG31:CL31" si="32">+BF31*(1+TR)</f>
        <v>618078.89918905799</v>
      </c>
      <c r="BH31" s="1">
        <f t="shared" si="32"/>
        <v>630440.47717283911</v>
      </c>
      <c r="BI31" s="1">
        <f t="shared" si="32"/>
        <v>643049.28671629587</v>
      </c>
      <c r="BJ31" s="1">
        <f t="shared" si="32"/>
        <v>655910.27245062182</v>
      </c>
      <c r="BK31" s="1">
        <f t="shared" si="32"/>
        <v>669028.47789963428</v>
      </c>
      <c r="BL31" s="1">
        <f t="shared" si="32"/>
        <v>682409.04745762702</v>
      </c>
      <c r="BM31" s="1">
        <f t="shared" si="32"/>
        <v>696057.22840677958</v>
      </c>
      <c r="BN31" s="1">
        <f t="shared" si="32"/>
        <v>709978.3729749152</v>
      </c>
      <c r="BO31" s="1">
        <f t="shared" si="32"/>
        <v>724177.9404344135</v>
      </c>
      <c r="BP31" s="1">
        <f t="shared" si="32"/>
        <v>738661.4992431018</v>
      </c>
      <c r="BQ31" s="1">
        <f t="shared" si="32"/>
        <v>753434.72922796384</v>
      </c>
      <c r="BR31" s="1">
        <f t="shared" si="32"/>
        <v>768503.42381252313</v>
      </c>
      <c r="BS31" s="1">
        <f t="shared" si="32"/>
        <v>783873.49228877365</v>
      </c>
      <c r="BT31" s="1">
        <f t="shared" si="32"/>
        <v>799550.96213454916</v>
      </c>
      <c r="BU31" s="1">
        <f t="shared" si="32"/>
        <v>815541.98137724015</v>
      </c>
      <c r="BV31" s="1">
        <f t="shared" si="32"/>
        <v>831852.82100478502</v>
      </c>
      <c r="BW31" s="1">
        <f t="shared" si="32"/>
        <v>848489.87742488075</v>
      </c>
      <c r="BX31" s="1">
        <f t="shared" si="32"/>
        <v>865459.67497337842</v>
      </c>
      <c r="BY31" s="1">
        <f t="shared" si="32"/>
        <v>882768.86847284599</v>
      </c>
      <c r="BZ31" s="1">
        <f t="shared" si="32"/>
        <v>900424.24584230292</v>
      </c>
      <c r="CA31" s="1">
        <f t="shared" si="32"/>
        <v>918432.73075914895</v>
      </c>
      <c r="CB31" s="1">
        <f t="shared" si="32"/>
        <v>936801.38537433196</v>
      </c>
      <c r="CC31" s="1">
        <f t="shared" si="32"/>
        <v>955537.41308181861</v>
      </c>
      <c r="CD31" s="1">
        <f t="shared" si="32"/>
        <v>974648.16134345497</v>
      </c>
      <c r="CE31" s="1">
        <f t="shared" si="32"/>
        <v>994141.12457032409</v>
      </c>
      <c r="CF31" s="1">
        <f t="shared" si="32"/>
        <v>1014023.9470617305</v>
      </c>
      <c r="CG31" s="1">
        <f t="shared" si="32"/>
        <v>1034304.4260029652</v>
      </c>
      <c r="CH31" s="1">
        <f t="shared" si="32"/>
        <v>1054990.5145230244</v>
      </c>
      <c r="CI31" s="1">
        <f t="shared" si="32"/>
        <v>1076090.3248134849</v>
      </c>
      <c r="CJ31" s="1">
        <f t="shared" si="32"/>
        <v>1097612.1313097547</v>
      </c>
      <c r="CK31" s="1">
        <f t="shared" si="32"/>
        <v>1119564.3739359498</v>
      </c>
      <c r="CL31" s="1">
        <f t="shared" si="32"/>
        <v>1141955.6614146687</v>
      </c>
      <c r="CM31" s="1">
        <f t="shared" ref="CM31:DR31" si="33">+CL31*(1+TR)</f>
        <v>1164794.774642962</v>
      </c>
      <c r="CN31" s="1">
        <f t="shared" si="33"/>
        <v>1188090.6701358212</v>
      </c>
      <c r="CO31" s="1">
        <f t="shared" si="33"/>
        <v>1211852.4835385378</v>
      </c>
      <c r="CP31" s="1">
        <f t="shared" si="33"/>
        <v>1236089.5332093085</v>
      </c>
      <c r="CQ31" s="1">
        <f t="shared" si="33"/>
        <v>1260811.3238734948</v>
      </c>
      <c r="CR31" s="1">
        <f t="shared" si="33"/>
        <v>1286027.5503509648</v>
      </c>
      <c r="CS31" s="1">
        <f t="shared" si="33"/>
        <v>1311748.1013579841</v>
      </c>
      <c r="CT31" s="1">
        <f t="shared" si="33"/>
        <v>1337983.0633851439</v>
      </c>
      <c r="CU31" s="1">
        <f t="shared" si="33"/>
        <v>1364742.7246528468</v>
      </c>
      <c r="CV31" s="1">
        <f t="shared" si="33"/>
        <v>1392037.5791459037</v>
      </c>
      <c r="CW31" s="1">
        <f t="shared" si="33"/>
        <v>1419878.3307288217</v>
      </c>
      <c r="CX31" s="1">
        <f t="shared" si="33"/>
        <v>1448275.8973433981</v>
      </c>
      <c r="CY31" s="1">
        <f t="shared" si="33"/>
        <v>1477241.415290266</v>
      </c>
      <c r="CZ31" s="1">
        <f t="shared" si="33"/>
        <v>1506786.2435960714</v>
      </c>
      <c r="DA31" s="1">
        <f t="shared" si="33"/>
        <v>1536921.9684679927</v>
      </c>
      <c r="DB31" s="1">
        <f t="shared" si="33"/>
        <v>1567660.4078373527</v>
      </c>
      <c r="DC31" s="1">
        <f t="shared" si="33"/>
        <v>1599013.6159940998</v>
      </c>
      <c r="DD31" s="1">
        <f t="shared" si="33"/>
        <v>1630993.8883139817</v>
      </c>
      <c r="DE31" s="1">
        <f t="shared" si="33"/>
        <v>1663613.7660802614</v>
      </c>
      <c r="DF31" s="1">
        <f t="shared" si="33"/>
        <v>1696886.0414018666</v>
      </c>
      <c r="DG31" s="1">
        <f t="shared" si="33"/>
        <v>1730823.7622299041</v>
      </c>
      <c r="DH31" s="1">
        <f t="shared" si="33"/>
        <v>1765440.2374745021</v>
      </c>
      <c r="DI31" s="1">
        <f t="shared" si="33"/>
        <v>1800749.0422239921</v>
      </c>
      <c r="DJ31" s="1">
        <f t="shared" si="33"/>
        <v>1836764.023068472</v>
      </c>
      <c r="DK31" s="1">
        <f t="shared" si="33"/>
        <v>1873499.3035298416</v>
      </c>
      <c r="DL31" s="1">
        <f t="shared" si="33"/>
        <v>1910969.2896004384</v>
      </c>
      <c r="DM31" s="1">
        <f t="shared" si="33"/>
        <v>1949188.6753924473</v>
      </c>
      <c r="DN31" s="1">
        <f t="shared" si="33"/>
        <v>1988172.4489002964</v>
      </c>
      <c r="DO31" s="1">
        <f t="shared" si="33"/>
        <v>2027935.8978783023</v>
      </c>
      <c r="DP31" s="1">
        <f t="shared" si="33"/>
        <v>2068494.6158358683</v>
      </c>
      <c r="DQ31" s="1">
        <f t="shared" si="33"/>
        <v>2109864.5081525855</v>
      </c>
      <c r="DR31" s="1">
        <f t="shared" si="33"/>
        <v>2152061.7983156373</v>
      </c>
      <c r="DS31" s="1">
        <f t="shared" ref="DS31:EA31" si="34">+DR31*(1+TR)</f>
        <v>2195103.03428195</v>
      </c>
      <c r="DT31" s="1">
        <f t="shared" si="34"/>
        <v>2239005.0949675892</v>
      </c>
      <c r="DU31" s="1">
        <f t="shared" si="34"/>
        <v>2283785.1968669412</v>
      </c>
      <c r="DV31" s="1">
        <f t="shared" si="34"/>
        <v>2329460.9008042798</v>
      </c>
      <c r="DW31" s="1">
        <f t="shared" si="34"/>
        <v>2376050.1188203655</v>
      </c>
      <c r="DX31" s="1">
        <f t="shared" si="34"/>
        <v>2423571.1211967729</v>
      </c>
      <c r="DY31" s="1">
        <f t="shared" si="34"/>
        <v>2472042.5436207084</v>
      </c>
      <c r="DZ31" s="1">
        <f t="shared" si="34"/>
        <v>2521483.3944931226</v>
      </c>
      <c r="EA31" s="1">
        <f t="shared" si="34"/>
        <v>2571913.0623829849</v>
      </c>
    </row>
    <row r="32" spans="2:131" s="1" customFormat="1" x14ac:dyDescent="0.25">
      <c r="B32" s="1" t="s">
        <v>47</v>
      </c>
      <c r="Q32" s="1">
        <v>89440.57</v>
      </c>
      <c r="R32" s="1">
        <v>89440.57</v>
      </c>
      <c r="S32" s="1">
        <v>89440.57</v>
      </c>
      <c r="T32" s="1">
        <v>89440.57</v>
      </c>
      <c r="U32" s="1">
        <v>89440.57</v>
      </c>
      <c r="V32" s="1">
        <v>89440.57</v>
      </c>
      <c r="W32" s="1">
        <v>89440.57</v>
      </c>
      <c r="X32" s="1">
        <v>89440.57</v>
      </c>
      <c r="Y32" s="1">
        <v>89440.57</v>
      </c>
      <c r="Z32" s="1">
        <v>89440.57</v>
      </c>
    </row>
    <row r="33" spans="2:29" s="4" customFormat="1" x14ac:dyDescent="0.25">
      <c r="B33" s="4" t="s">
        <v>48</v>
      </c>
      <c r="Q33" s="4">
        <f t="shared" ref="Q33:Z33" si="35">+Q31/Q32</f>
        <v>3.2468039950997625</v>
      </c>
      <c r="R33" s="4">
        <f t="shared" si="35"/>
        <v>1.9982654403924303</v>
      </c>
      <c r="S33" s="4">
        <f>+S31/S32</f>
        <v>1.5788137307264476</v>
      </c>
      <c r="T33" s="4">
        <f t="shared" si="35"/>
        <v>1.8724007997712901</v>
      </c>
      <c r="U33" s="4">
        <f t="shared" si="35"/>
        <v>2.1046955772307792</v>
      </c>
      <c r="V33" s="4">
        <f t="shared" si="35"/>
        <v>2.3566937140016004</v>
      </c>
      <c r="W33" s="4">
        <f t="shared" si="35"/>
        <v>2.6299697939765374</v>
      </c>
      <c r="X33" s="4">
        <f t="shared" si="35"/>
        <v>2.9262167559267147</v>
      </c>
      <c r="Y33" s="4">
        <f t="shared" si="35"/>
        <v>3.2472545965640305</v>
      </c>
      <c r="Z33" s="4">
        <f t="shared" si="35"/>
        <v>3.5950397018841422</v>
      </c>
    </row>
    <row r="34" spans="2:29" s="1" customFormat="1" x14ac:dyDescent="0.25">
      <c r="P34" s="5"/>
      <c r="Q34" s="5"/>
    </row>
    <row r="35" spans="2:29" s="2" customFormat="1" x14ac:dyDescent="0.25">
      <c r="B35" s="2" t="s">
        <v>26</v>
      </c>
      <c r="P35" s="2">
        <f>+P15/P13</f>
        <v>0.59258811584392979</v>
      </c>
      <c r="Q35" s="2">
        <f>+Q15/Q13</f>
        <v>0.57711434451730248</v>
      </c>
      <c r="R35" s="2">
        <f>+R15/R13</f>
        <v>0.52689403894339504</v>
      </c>
      <c r="S35" s="2">
        <f t="shared" ref="S35:Z35" si="36">+S15/S13</f>
        <v>0.52755129295736081</v>
      </c>
      <c r="T35" s="2">
        <f t="shared" si="36"/>
        <v>0.53</v>
      </c>
      <c r="U35" s="2">
        <f t="shared" si="36"/>
        <v>0.53</v>
      </c>
      <c r="V35" s="2">
        <f t="shared" si="36"/>
        <v>0.53</v>
      </c>
      <c r="W35" s="2">
        <f t="shared" si="36"/>
        <v>0.53</v>
      </c>
      <c r="X35" s="2">
        <f t="shared" si="36"/>
        <v>0.53</v>
      </c>
      <c r="Y35" s="2">
        <f t="shared" si="36"/>
        <v>0.53</v>
      </c>
      <c r="Z35" s="2">
        <f t="shared" si="36"/>
        <v>0.53</v>
      </c>
    </row>
    <row r="36" spans="2:29" s="2" customFormat="1" x14ac:dyDescent="0.25">
      <c r="B36" s="2" t="s">
        <v>27</v>
      </c>
      <c r="P36" s="2">
        <f>+P20/P13</f>
        <v>0.20857236251573966</v>
      </c>
      <c r="Q36" s="2">
        <f>+Q20/Q13</f>
        <v>0.16662231369358158</v>
      </c>
      <c r="R36" s="2">
        <f>+R20/R13</f>
        <v>9.41142533832625E-2</v>
      </c>
      <c r="S36" s="2">
        <f t="shared" ref="S36:Z36" si="37">+S20/S13</f>
        <v>0.1002493664834388</v>
      </c>
      <c r="T36" s="2">
        <f t="shared" si="37"/>
        <v>0.10336528957376048</v>
      </c>
      <c r="U36" s="2">
        <f t="shared" si="37"/>
        <v>0.10803946429902547</v>
      </c>
      <c r="V36" s="2">
        <f t="shared" si="37"/>
        <v>0.11264274491210909</v>
      </c>
      <c r="W36" s="2">
        <f t="shared" si="37"/>
        <v>0.11717609113466396</v>
      </c>
      <c r="X36" s="2">
        <f t="shared" si="37"/>
        <v>0.12164044296975103</v>
      </c>
      <c r="Y36" s="2">
        <f t="shared" si="37"/>
        <v>0.12603672189705875</v>
      </c>
      <c r="Z36" s="2">
        <f t="shared" si="37"/>
        <v>0.13036583198317245</v>
      </c>
      <c r="AB36" s="2" t="s">
        <v>42</v>
      </c>
      <c r="AC36" s="2">
        <v>0.1</v>
      </c>
    </row>
    <row r="37" spans="2:29" s="2" customFormat="1" x14ac:dyDescent="0.25">
      <c r="B37" s="2" t="s">
        <v>28</v>
      </c>
      <c r="P37" s="2">
        <f>+P29/P13</f>
        <v>0.155510511678358</v>
      </c>
      <c r="Q37" s="2">
        <f>+Q29/Q13</f>
        <v>0.1397640358014646</v>
      </c>
      <c r="R37" s="2">
        <f>+R29/R13</f>
        <v>8.7194059222884174E-2</v>
      </c>
      <c r="S37" s="2">
        <f t="shared" ref="S37:Z37" si="38">+S29/S13</f>
        <v>6.3899319685138345E-2</v>
      </c>
      <c r="T37" s="2">
        <f t="shared" si="38"/>
        <v>7.1401676543973502E-2</v>
      </c>
      <c r="U37" s="2">
        <f t="shared" si="38"/>
        <v>7.522504071982393E-2</v>
      </c>
      <c r="V37" s="2">
        <f t="shared" si="38"/>
        <v>7.8957050680336205E-2</v>
      </c>
      <c r="W37" s="2">
        <f t="shared" si="38"/>
        <v>8.26020926605502E-2</v>
      </c>
      <c r="X37" s="2">
        <f t="shared" si="38"/>
        <v>8.6164203988138718E-2</v>
      </c>
      <c r="Y37" s="2">
        <f t="shared" si="38"/>
        <v>8.9647103711340589E-2</v>
      </c>
      <c r="Z37" s="2">
        <f t="shared" si="38"/>
        <v>9.3054220563773771E-2</v>
      </c>
      <c r="AB37" s="2" t="s">
        <v>44</v>
      </c>
      <c r="AC37" s="2">
        <v>0.02</v>
      </c>
    </row>
    <row r="38" spans="2:29" s="1" customFormat="1" x14ac:dyDescent="0.25">
      <c r="AB38" s="1" t="s">
        <v>43</v>
      </c>
      <c r="AC38" s="1">
        <f>NPV(AC36,T31:EC31)</f>
        <v>3221319.7550755832</v>
      </c>
    </row>
    <row r="39" spans="2:29" s="1" customFormat="1" x14ac:dyDescent="0.25">
      <c r="B39" s="1" t="s">
        <v>29</v>
      </c>
      <c r="P39" s="1">
        <v>188199</v>
      </c>
      <c r="Q39" s="1">
        <v>250861</v>
      </c>
      <c r="AB39" s="1" t="s">
        <v>45</v>
      </c>
      <c r="AC39" s="1">
        <f>+Q52-Q54</f>
        <v>-109611</v>
      </c>
    </row>
    <row r="40" spans="2:29" s="1" customFormat="1" x14ac:dyDescent="0.25">
      <c r="B40" s="1" t="s">
        <v>30</v>
      </c>
      <c r="P40" s="1">
        <v>42804</v>
      </c>
      <c r="Q40" s="1">
        <v>65651</v>
      </c>
      <c r="AB40" s="1" t="s">
        <v>46</v>
      </c>
      <c r="AC40" s="1">
        <f>+AC38+AC39</f>
        <v>3111708.7550755832</v>
      </c>
    </row>
    <row r="41" spans="2:29" s="1" customFormat="1" x14ac:dyDescent="0.25">
      <c r="B41" s="1" t="s">
        <v>31</v>
      </c>
      <c r="P41" s="1">
        <f>+P39-P40</f>
        <v>145395</v>
      </c>
      <c r="Q41" s="1">
        <f>+Q39-Q40</f>
        <v>185210</v>
      </c>
      <c r="AB41" s="1" t="s">
        <v>53</v>
      </c>
      <c r="AC41" s="8">
        <f>+AC40/Z32</f>
        <v>34.790797454394387</v>
      </c>
    </row>
    <row r="42" spans="2:29" s="1" customFormat="1" x14ac:dyDescent="0.25"/>
    <row r="43" spans="2:29" s="2" customFormat="1" x14ac:dyDescent="0.25">
      <c r="B43" s="2" t="s">
        <v>4</v>
      </c>
      <c r="P43" s="2">
        <f>+P16/P$13</f>
        <v>0.18928536142894081</v>
      </c>
      <c r="Q43" s="2">
        <f t="shared" ref="Q43:S43" si="39">+Q16/Q$13</f>
        <v>0.20115780404920308</v>
      </c>
      <c r="R43" s="2">
        <f t="shared" si="39"/>
        <v>0.22176661938012524</v>
      </c>
      <c r="S43" s="2">
        <f t="shared" si="39"/>
        <v>0.22225175016665583</v>
      </c>
      <c r="T43" s="2">
        <f t="shared" ref="T43:Z43" si="40">+T16/T$13</f>
        <v>0.21694202626214792</v>
      </c>
      <c r="U43" s="2">
        <f t="shared" si="40"/>
        <v>0.21377779705977734</v>
      </c>
      <c r="V43" s="2">
        <f t="shared" si="40"/>
        <v>0.21064686445262124</v>
      </c>
      <c r="W43" s="2">
        <f t="shared" si="40"/>
        <v>0.2075492541660148</v>
      </c>
      <c r="X43" s="2">
        <f t="shared" si="40"/>
        <v>0.20448497964457379</v>
      </c>
      <c r="Y43" s="2">
        <f t="shared" si="40"/>
        <v>0.20145404230569267</v>
      </c>
      <c r="Z43" s="2">
        <f t="shared" si="40"/>
        <v>0.19845643179755579</v>
      </c>
      <c r="AC43" s="7"/>
    </row>
    <row r="44" spans="2:29" s="2" customFormat="1" x14ac:dyDescent="0.25">
      <c r="B44" s="2" t="s">
        <v>5</v>
      </c>
      <c r="P44" s="2">
        <f t="shared" ref="P44:S45" si="41">+P17/P$13</f>
        <v>4.0928908219100335E-2</v>
      </c>
      <c r="Q44" s="2">
        <f t="shared" si="41"/>
        <v>4.0098597616426555E-2</v>
      </c>
      <c r="R44" s="2">
        <f t="shared" si="41"/>
        <v>5.3728546212309311E-2</v>
      </c>
      <c r="S44" s="2">
        <f t="shared" si="41"/>
        <v>5.8995486264642703E-2</v>
      </c>
      <c r="T44" s="2">
        <f t="shared" ref="T44:Z44" si="42">+T17/T$13</f>
        <v>5.7586049698035012E-2</v>
      </c>
      <c r="U44" s="2">
        <f t="shared" si="42"/>
        <v>5.620568345793342E-2</v>
      </c>
      <c r="V44" s="2">
        <f t="shared" si="42"/>
        <v>5.4855057530245721E-2</v>
      </c>
      <c r="W44" s="2">
        <f t="shared" si="42"/>
        <v>5.3533654692021135E-2</v>
      </c>
      <c r="X44" s="2">
        <f t="shared" si="42"/>
        <v>5.2240962397296906E-2</v>
      </c>
      <c r="Y44" s="2">
        <f t="shared" si="42"/>
        <v>5.0976472883028472E-2</v>
      </c>
      <c r="Z44" s="2">
        <f t="shared" si="42"/>
        <v>4.9739683269606053E-2</v>
      </c>
    </row>
    <row r="45" spans="2:29" s="2" customFormat="1" x14ac:dyDescent="0.25">
      <c r="B45" s="2" t="s">
        <v>1</v>
      </c>
      <c r="P45" s="2">
        <f t="shared" si="41"/>
        <v>0.1531214460941458</v>
      </c>
      <c r="Q45" s="2">
        <f t="shared" si="41"/>
        <v>0.16717465179725266</v>
      </c>
      <c r="R45" s="2">
        <f t="shared" si="41"/>
        <v>0.1660541680158093</v>
      </c>
      <c r="S45" s="2">
        <f t="shared" si="41"/>
        <v>0.14646633552473576</v>
      </c>
      <c r="T45" s="2">
        <f t="shared" ref="T45:Z45" si="43">+T18/T$13</f>
        <v>0.15</v>
      </c>
      <c r="U45" s="2">
        <f t="shared" si="43"/>
        <v>0.15</v>
      </c>
      <c r="V45" s="2">
        <f t="shared" si="43"/>
        <v>0.15</v>
      </c>
      <c r="W45" s="2">
        <f t="shared" si="43"/>
        <v>0.15</v>
      </c>
      <c r="X45" s="2">
        <f t="shared" si="43"/>
        <v>0.15</v>
      </c>
      <c r="Y45" s="2">
        <f t="shared" si="43"/>
        <v>0.15</v>
      </c>
      <c r="Z45" s="2">
        <f t="shared" si="43"/>
        <v>0.15</v>
      </c>
    </row>
    <row r="46" spans="2:29" s="1" customFormat="1" x14ac:dyDescent="0.25"/>
    <row r="47" spans="2:29" s="1" customFormat="1" x14ac:dyDescent="0.25"/>
    <row r="48" spans="2:29" s="1" customFormat="1" x14ac:dyDescent="0.25">
      <c r="B48" s="1" t="s">
        <v>32</v>
      </c>
      <c r="P48" s="1">
        <v>236145</v>
      </c>
      <c r="Q48" s="1">
        <v>315773</v>
      </c>
    </row>
    <row r="49" spans="2:17" s="1" customFormat="1" x14ac:dyDescent="0.25">
      <c r="B49" s="1" t="s">
        <v>39</v>
      </c>
      <c r="P49" s="1">
        <v>907534</v>
      </c>
      <c r="Q49" s="1">
        <v>869990</v>
      </c>
    </row>
    <row r="50" spans="2:17" s="1" customFormat="1" x14ac:dyDescent="0.25">
      <c r="B50" s="1" t="s">
        <v>33</v>
      </c>
      <c r="P50" s="1">
        <v>0</v>
      </c>
      <c r="Q50" s="1">
        <v>12871</v>
      </c>
    </row>
    <row r="51" spans="2:17" s="1" customFormat="1" x14ac:dyDescent="0.25">
      <c r="B51" s="1" t="s">
        <v>34</v>
      </c>
      <c r="P51" s="1">
        <v>382745</v>
      </c>
      <c r="Q51" s="1">
        <v>520228</v>
      </c>
    </row>
    <row r="52" spans="2:17" s="1" customFormat="1" x14ac:dyDescent="0.25">
      <c r="B52" s="1" t="s">
        <v>35</v>
      </c>
      <c r="P52" s="1">
        <v>7729</v>
      </c>
      <c r="Q52" s="1">
        <v>10601</v>
      </c>
    </row>
    <row r="53" spans="2:17" s="1" customFormat="1" x14ac:dyDescent="0.25"/>
    <row r="54" spans="2:17" s="1" customFormat="1" x14ac:dyDescent="0.25">
      <c r="B54" s="1" t="s">
        <v>36</v>
      </c>
      <c r="P54" s="1">
        <f>66879+91772</f>
        <v>158651</v>
      </c>
      <c r="Q54" s="1">
        <f>96030+24182</f>
        <v>120212</v>
      </c>
    </row>
    <row r="55" spans="2:17" s="1" customFormat="1" x14ac:dyDescent="0.25">
      <c r="B55" s="1" t="s">
        <v>37</v>
      </c>
      <c r="P55" s="1">
        <v>8480</v>
      </c>
      <c r="Q55" s="1">
        <v>7663</v>
      </c>
    </row>
    <row r="56" spans="2:17" s="1" customFormat="1" x14ac:dyDescent="0.25"/>
    <row r="57" spans="2:17" s="1" customFormat="1" x14ac:dyDescent="0.25">
      <c r="B57" s="1" t="s">
        <v>38</v>
      </c>
      <c r="P57" s="1">
        <f>+P48+P50+P51+P52-P54-P55</f>
        <v>459488</v>
      </c>
      <c r="Q57" s="1">
        <f>+Q48+Q50+Q51+Q52-Q54-Q55</f>
        <v>731598</v>
      </c>
    </row>
    <row r="58" spans="2:17" s="1" customFormat="1" x14ac:dyDescent="0.25"/>
    <row r="59" spans="2:17" s="3" customFormat="1" x14ac:dyDescent="0.25">
      <c r="B59" s="3" t="s">
        <v>40</v>
      </c>
      <c r="P59" s="3">
        <f>+P23/P54</f>
        <v>5.7352301592804335E-2</v>
      </c>
      <c r="Q59" s="3">
        <f>+Q23/Q54</f>
        <v>0.12685921538615114</v>
      </c>
    </row>
    <row r="60" spans="2:17" s="3" customFormat="1" x14ac:dyDescent="0.25">
      <c r="B60" s="3" t="s">
        <v>41</v>
      </c>
      <c r="P60" s="3">
        <f>+P22/P49</f>
        <v>1.4600003966793531E-2</v>
      </c>
      <c r="Q60" s="3">
        <f>+Q22/Q49</f>
        <v>3.2311865653628202E-2</v>
      </c>
    </row>
    <row r="61" spans="2:17" s="1" customFormat="1" x14ac:dyDescent="0.25"/>
    <row r="62" spans="2:17" s="1" customFormat="1" x14ac:dyDescent="0.25"/>
    <row r="63" spans="2:17" s="1" customFormat="1" x14ac:dyDescent="0.25"/>
    <row r="64" spans="2:17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2024-06-18T17:26:16Z</dcterms:created>
  <dcterms:modified xsi:type="dcterms:W3CDTF">2026-02-05T17:44:23Z</dcterms:modified>
</cp:coreProperties>
</file>