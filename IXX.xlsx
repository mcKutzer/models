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kut\Desktop\Stonks\Analysis\"/>
    </mc:Choice>
  </mc:AlternateContent>
  <xr:revisionPtr revIDLastSave="0" documentId="13_ncr:1_{24604192-1041-479F-AA72-A8DDA50170FA}" xr6:coauthVersionLast="47" xr6:coauthVersionMax="47" xr10:uidLastSave="{00000000-0000-0000-0000-000000000000}"/>
  <bookViews>
    <workbookView xWindow="-120" yWindow="-120" windowWidth="29040" windowHeight="15840" xr2:uid="{86CEA125-6E3A-4FC9-AA33-33B5B4930BDD}"/>
  </bookViews>
  <sheets>
    <sheet name="Sheet1" sheetId="1" r:id="rId1"/>
  </sheets>
  <definedNames>
    <definedName name="TR">Sheet1!$V$24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5" i="1" l="1"/>
  <c r="V27" i="1" s="1"/>
  <c r="V29" i="1" l="1"/>
  <c r="V31" i="1" s="1"/>
  <c r="V26" i="1"/>
  <c r="U21" i="1"/>
  <c r="V21" i="1" s="1"/>
  <c r="W21" i="1" s="1"/>
  <c r="X21" i="1" s="1"/>
  <c r="Y21" i="1" s="1"/>
  <c r="Z21" i="1" s="1"/>
  <c r="AA21" i="1" s="1"/>
  <c r="AB21" i="1" s="1"/>
  <c r="AC21" i="1" s="1"/>
  <c r="AD21" i="1" s="1"/>
  <c r="AE21" i="1" s="1"/>
  <c r="AF21" i="1" s="1"/>
  <c r="AG21" i="1" s="1"/>
  <c r="AH21" i="1" s="1"/>
  <c r="AI21" i="1" s="1"/>
  <c r="AJ21" i="1" s="1"/>
  <c r="AK21" i="1" s="1"/>
  <c r="AL21" i="1" s="1"/>
  <c r="AM21" i="1" s="1"/>
  <c r="AN21" i="1" s="1"/>
  <c r="AO21" i="1" s="1"/>
  <c r="AP21" i="1" s="1"/>
  <c r="AQ21" i="1" s="1"/>
  <c r="AR21" i="1" s="1"/>
  <c r="AS21" i="1" s="1"/>
  <c r="AT21" i="1" s="1"/>
  <c r="AU21" i="1" s="1"/>
  <c r="AV21" i="1" s="1"/>
  <c r="AW21" i="1" s="1"/>
  <c r="AX21" i="1" s="1"/>
  <c r="AY21" i="1" s="1"/>
  <c r="AZ21" i="1" s="1"/>
  <c r="BA21" i="1" s="1"/>
  <c r="BB21" i="1" s="1"/>
  <c r="BC21" i="1" s="1"/>
  <c r="BD21" i="1" s="1"/>
  <c r="BE21" i="1" s="1"/>
  <c r="BF21" i="1" s="1"/>
  <c r="BG21" i="1" s="1"/>
  <c r="BH21" i="1" s="1"/>
  <c r="BI21" i="1" s="1"/>
  <c r="BJ21" i="1" s="1"/>
  <c r="BK21" i="1" s="1"/>
  <c r="BL21" i="1" s="1"/>
  <c r="BM21" i="1" s="1"/>
  <c r="BN21" i="1" s="1"/>
  <c r="BO21" i="1" s="1"/>
  <c r="BP21" i="1" s="1"/>
  <c r="BQ21" i="1" s="1"/>
  <c r="BR21" i="1" s="1"/>
  <c r="BS21" i="1" s="1"/>
  <c r="BT21" i="1" s="1"/>
  <c r="BU21" i="1" s="1"/>
  <c r="BV21" i="1" s="1"/>
  <c r="BW21" i="1" s="1"/>
  <c r="BX21" i="1" s="1"/>
  <c r="BY21" i="1" s="1"/>
  <c r="BZ21" i="1" s="1"/>
  <c r="CA21" i="1" s="1"/>
  <c r="CB21" i="1" s="1"/>
  <c r="CC21" i="1" s="1"/>
  <c r="CD21" i="1" s="1"/>
  <c r="CE21" i="1" s="1"/>
  <c r="CF21" i="1" s="1"/>
  <c r="CG21" i="1" s="1"/>
  <c r="CH21" i="1" s="1"/>
  <c r="CI21" i="1" s="1"/>
  <c r="CJ21" i="1" s="1"/>
  <c r="CK21" i="1" s="1"/>
  <c r="CL21" i="1" s="1"/>
  <c r="CM21" i="1" s="1"/>
  <c r="CN21" i="1" s="1"/>
  <c r="CO21" i="1" s="1"/>
  <c r="CP21" i="1" s="1"/>
  <c r="CQ21" i="1" s="1"/>
  <c r="CR21" i="1" s="1"/>
  <c r="CS21" i="1" s="1"/>
  <c r="CT21" i="1" s="1"/>
  <c r="CU21" i="1" s="1"/>
  <c r="CV21" i="1" s="1"/>
  <c r="CW21" i="1" s="1"/>
  <c r="CX21" i="1" s="1"/>
  <c r="CY21" i="1" s="1"/>
  <c r="CZ21" i="1" s="1"/>
  <c r="DA21" i="1" s="1"/>
  <c r="DB21" i="1" s="1"/>
  <c r="DC21" i="1" s="1"/>
  <c r="DD21" i="1" s="1"/>
  <c r="DE21" i="1" s="1"/>
  <c r="DF21" i="1" s="1"/>
  <c r="DG21" i="1" s="1"/>
  <c r="DH21" i="1" s="1"/>
  <c r="DI21" i="1" s="1"/>
  <c r="DJ21" i="1" s="1"/>
  <c r="DK21" i="1" s="1"/>
  <c r="DL21" i="1" s="1"/>
  <c r="DM21" i="1" s="1"/>
  <c r="DN21" i="1" s="1"/>
  <c r="DO21" i="1" s="1"/>
  <c r="DP21" i="1" s="1"/>
  <c r="DQ21" i="1" s="1"/>
  <c r="DR21" i="1" s="1"/>
  <c r="T21" i="1"/>
  <c r="L20" i="1"/>
  <c r="M20" i="1"/>
  <c r="N20" i="1"/>
  <c r="O20" i="1"/>
  <c r="P20" i="1"/>
  <c r="Q20" i="1"/>
  <c r="R20" i="1"/>
  <c r="S20" i="1"/>
  <c r="K20" i="1"/>
  <c r="M18" i="1"/>
  <c r="N18" i="1" s="1"/>
  <c r="O18" i="1" s="1"/>
  <c r="P18" i="1" s="1"/>
  <c r="Q18" i="1" s="1"/>
  <c r="R18" i="1" s="1"/>
  <c r="S18" i="1" s="1"/>
  <c r="L18" i="1"/>
  <c r="K18" i="1"/>
  <c r="L12" i="1"/>
  <c r="M12" i="1"/>
  <c r="N12" i="1" s="1"/>
  <c r="O12" i="1" s="1"/>
  <c r="P12" i="1" s="1"/>
  <c r="K12" i="1"/>
  <c r="L11" i="1"/>
  <c r="M11" i="1"/>
  <c r="N11" i="1"/>
  <c r="O11" i="1"/>
  <c r="P11" i="1"/>
  <c r="Q11" i="1"/>
  <c r="R11" i="1"/>
  <c r="S11" i="1"/>
  <c r="K11" i="1"/>
  <c r="L10" i="1"/>
  <c r="M10" i="1"/>
  <c r="N10" i="1"/>
  <c r="O10" i="1"/>
  <c r="P10" i="1"/>
  <c r="Q10" i="1"/>
  <c r="R10" i="1"/>
  <c r="S10" i="1"/>
  <c r="K10" i="1"/>
  <c r="L4" i="1"/>
  <c r="M4" i="1"/>
  <c r="N4" i="1"/>
  <c r="O4" i="1"/>
  <c r="P4" i="1"/>
  <c r="Q4" i="1"/>
  <c r="R4" i="1"/>
  <c r="S4" i="1"/>
  <c r="K4" i="1"/>
  <c r="L8" i="1"/>
  <c r="L9" i="1" s="1"/>
  <c r="M8" i="1"/>
  <c r="M9" i="1" s="1"/>
  <c r="N8" i="1"/>
  <c r="O8" i="1"/>
  <c r="P8" i="1"/>
  <c r="Q8" i="1"/>
  <c r="R8" i="1"/>
  <c r="R9" i="1" s="1"/>
  <c r="S8" i="1"/>
  <c r="N9" i="1"/>
  <c r="O9" i="1"/>
  <c r="P9" i="1"/>
  <c r="Q9" i="1"/>
  <c r="S9" i="1"/>
  <c r="K9" i="1"/>
  <c r="P23" i="1"/>
  <c r="Q23" i="1"/>
  <c r="S23" i="1"/>
  <c r="K8" i="1"/>
  <c r="Q7" i="1"/>
  <c r="R7" i="1" s="1"/>
  <c r="S7" i="1" s="1"/>
  <c r="P7" i="1"/>
  <c r="S2" i="1"/>
  <c r="Q2" i="1"/>
  <c r="R2" i="1" s="1"/>
  <c r="K2" i="1"/>
  <c r="L2" i="1" s="1"/>
  <c r="M2" i="1" s="1"/>
  <c r="N2" i="1" s="1"/>
  <c r="O2" i="1" s="1"/>
  <c r="P2" i="1" s="1"/>
  <c r="J44" i="1"/>
  <c r="I44" i="1"/>
  <c r="J46" i="1"/>
  <c r="I46" i="1"/>
  <c r="E42" i="1"/>
  <c r="F42" i="1"/>
  <c r="G42" i="1"/>
  <c r="H42" i="1"/>
  <c r="I42" i="1"/>
  <c r="E43" i="1"/>
  <c r="F43" i="1"/>
  <c r="G43" i="1"/>
  <c r="H43" i="1"/>
  <c r="J42" i="1"/>
  <c r="H2" i="1"/>
  <c r="G2" i="1" s="1"/>
  <c r="F2" i="1" s="1"/>
  <c r="E2" i="1" s="1"/>
  <c r="I28" i="1"/>
  <c r="J28" i="1"/>
  <c r="I39" i="1"/>
  <c r="I38" i="1"/>
  <c r="J38" i="1"/>
  <c r="J39" i="1" s="1"/>
  <c r="I32" i="1"/>
  <c r="J32" i="1"/>
  <c r="J33" i="1" s="1"/>
  <c r="J9" i="1"/>
  <c r="J16" i="1" s="1"/>
  <c r="J19" i="1" s="1"/>
  <c r="J21" i="1" s="1"/>
  <c r="J24" i="1" s="1"/>
  <c r="I9" i="1"/>
  <c r="I16" i="1" s="1"/>
  <c r="I19" i="1" s="1"/>
  <c r="I21" i="1" s="1"/>
  <c r="I24" i="1" s="1"/>
  <c r="J2" i="1"/>
  <c r="C9" i="1"/>
  <c r="C16" i="1" s="1"/>
  <c r="C19" i="1" s="1"/>
  <c r="C21" i="1" s="1"/>
  <c r="P16" i="1" l="1"/>
  <c r="P19" i="1" s="1"/>
  <c r="P21" i="1" s="1"/>
  <c r="P24" i="1" s="1"/>
  <c r="Q12" i="1"/>
  <c r="O16" i="1"/>
  <c r="O19" i="1" s="1"/>
  <c r="O21" i="1" s="1"/>
  <c r="O24" i="1" s="1"/>
  <c r="N16" i="1"/>
  <c r="N19" i="1" s="1"/>
  <c r="N21" i="1" s="1"/>
  <c r="N24" i="1" s="1"/>
  <c r="K16" i="1"/>
  <c r="K19" i="1" s="1"/>
  <c r="K21" i="1" s="1"/>
  <c r="K24" i="1" s="1"/>
  <c r="L16" i="1"/>
  <c r="L19" i="1" s="1"/>
  <c r="L21" i="1" s="1"/>
  <c r="L24" i="1" s="1"/>
  <c r="L23" i="1"/>
  <c r="R23" i="1"/>
  <c r="M16" i="1"/>
  <c r="M19" i="1" s="1"/>
  <c r="M21" i="1" s="1"/>
  <c r="M24" i="1" s="1"/>
  <c r="M23" i="1"/>
  <c r="O23" i="1"/>
  <c r="N23" i="1"/>
  <c r="K23" i="1"/>
  <c r="J23" i="1"/>
  <c r="I23" i="1"/>
  <c r="J43" i="1"/>
  <c r="I43" i="1"/>
  <c r="Q16" i="1" l="1"/>
  <c r="Q19" i="1" s="1"/>
  <c r="Q21" i="1" s="1"/>
  <c r="Q24" i="1" s="1"/>
  <c r="R12" i="1"/>
  <c r="S12" i="1" l="1"/>
  <c r="S16" i="1" s="1"/>
  <c r="S19" i="1" s="1"/>
  <c r="S21" i="1" s="1"/>
  <c r="S24" i="1" s="1"/>
  <c r="R16" i="1"/>
  <c r="R19" i="1" s="1"/>
  <c r="R21" i="1" s="1"/>
  <c r="R24" i="1" s="1"/>
</calcChain>
</file>

<file path=xl/sharedStrings.xml><?xml version="1.0" encoding="utf-8"?>
<sst xmlns="http://schemas.openxmlformats.org/spreadsheetml/2006/main" count="52" uniqueCount="48">
  <si>
    <t>Revenue</t>
  </si>
  <si>
    <t>COGS</t>
  </si>
  <si>
    <t>Selling</t>
  </si>
  <si>
    <t>G&amp;A</t>
  </si>
  <si>
    <t>R&amp;D</t>
  </si>
  <si>
    <t>Other Income</t>
  </si>
  <si>
    <t>Other Expense</t>
  </si>
  <si>
    <t>EBIT</t>
  </si>
  <si>
    <t>Interest Income</t>
  </si>
  <si>
    <t>Interest expense</t>
  </si>
  <si>
    <t>EBT</t>
  </si>
  <si>
    <t>Taxes</t>
  </si>
  <si>
    <t>Net Income</t>
  </si>
  <si>
    <t>Venture, net</t>
  </si>
  <si>
    <t>Gross Margin</t>
  </si>
  <si>
    <t>Net Margin</t>
  </si>
  <si>
    <t>CFFO</t>
  </si>
  <si>
    <t>CapEx</t>
  </si>
  <si>
    <t>FCF</t>
  </si>
  <si>
    <t>Current Assets</t>
  </si>
  <si>
    <t>Current Liab.</t>
  </si>
  <si>
    <t>WC</t>
  </si>
  <si>
    <t>Delta</t>
  </si>
  <si>
    <t>Cash</t>
  </si>
  <si>
    <t>Investments</t>
  </si>
  <si>
    <t>PP&amp;E</t>
  </si>
  <si>
    <t>Debt</t>
  </si>
  <si>
    <t>NAV</t>
  </si>
  <si>
    <t>Gross Profit</t>
  </si>
  <si>
    <t>Employees</t>
  </si>
  <si>
    <t>Rev/Empl.</t>
  </si>
  <si>
    <t>EBIT/Empl.</t>
  </si>
  <si>
    <t>Project Business</t>
  </si>
  <si>
    <t>Support &amp; Maint.</t>
  </si>
  <si>
    <t>Spare Parts</t>
  </si>
  <si>
    <t>Personal Exp.</t>
  </si>
  <si>
    <t xml:space="preserve">Software </t>
  </si>
  <si>
    <t>Hardware</t>
  </si>
  <si>
    <t>Salary</t>
  </si>
  <si>
    <t>Discount</t>
  </si>
  <si>
    <t>Terminal</t>
  </si>
  <si>
    <t>NPV</t>
  </si>
  <si>
    <t>Net Cash</t>
  </si>
  <si>
    <t>Value</t>
  </si>
  <si>
    <t>Shares</t>
  </si>
  <si>
    <t>Price</t>
  </si>
  <si>
    <t>Current</t>
  </si>
  <si>
    <t>MoS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</si>
</sst>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,##0.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3" fontId="0" fillId="0" borderId="0" xfId="0" applyNumberFormat="1"/>
    <xf numFmtId="0" fontId="0" fillId="0" borderId="0" xfId="0" applyNumberFormat="1"/>
    <xf numFmtId="3" fontId="2" fillId="0" borderId="0" xfId="0" applyNumberFormat="1" applyFont="1"/>
    <xf numFmtId="9" fontId="0" fillId="0" borderId="0" xfId="1" applyFont="1"/>
    <xf numFmtId="164" fontId="0" fillId="0" borderId="0" xfId="0" applyNumberFormat="1"/>
    <xf numFmtId="165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23812</xdr:colOff>
      <xdr:row>2</xdr:row>
      <xdr:rowOff>178594</xdr:rowOff>
    </xdr:from>
    <xdr:to>
      <xdr:col>10</xdr:col>
      <xdr:colOff>23812</xdr:colOff>
      <xdr:row>44</xdr:row>
      <xdr:rowOff>107156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1C9FC7FD-1BC9-1619-8606-DB56C6DFFFE9}"/>
            </a:ext>
          </a:extLst>
        </xdr:cNvPr>
        <xdr:cNvCxnSpPr/>
      </xdr:nvCxnSpPr>
      <xdr:spPr>
        <a:xfrm>
          <a:off x="6149578" y="559594"/>
          <a:ext cx="0" cy="716756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CA0F2-75EC-4C54-873F-BEC829A659DA}">
  <dimension ref="B2:DR53"/>
  <sheetViews>
    <sheetView tabSelected="1" zoomScale="160" zoomScaleNormal="160" workbookViewId="0">
      <pane xSplit="2" ySplit="2" topLeftCell="H15" activePane="bottomRight" state="frozen"/>
      <selection pane="topRight" activeCell="C1" sqref="C1"/>
      <selection pane="bottomLeft" activeCell="A3" sqref="A3"/>
      <selection pane="bottomRight" activeCell="V32" sqref="V32"/>
    </sheetView>
  </sheetViews>
  <sheetFormatPr defaultRowHeight="15" x14ac:dyDescent="0.25"/>
  <cols>
    <col min="1" max="1" width="2.85546875" style="1" customWidth="1"/>
    <col min="2" max="2" width="16.140625" style="1" bestFit="1" customWidth="1"/>
    <col min="3" max="16384" width="9.140625" style="1"/>
  </cols>
  <sheetData>
    <row r="2" spans="2:19" s="2" customFormat="1" x14ac:dyDescent="0.25">
      <c r="E2" s="2">
        <f>+F2-1</f>
        <v>2018</v>
      </c>
      <c r="F2" s="2">
        <f>+G2-1</f>
        <v>2019</v>
      </c>
      <c r="G2" s="2">
        <f>+H2-1</f>
        <v>2020</v>
      </c>
      <c r="H2" s="2">
        <f>+I2-1</f>
        <v>2021</v>
      </c>
      <c r="I2" s="2">
        <v>2022</v>
      </c>
      <c r="J2" s="2">
        <f>+I2+1</f>
        <v>2023</v>
      </c>
      <c r="K2" s="2">
        <f t="shared" ref="K2:S2" si="0">+J2+1</f>
        <v>2024</v>
      </c>
      <c r="L2" s="2">
        <f t="shared" si="0"/>
        <v>2025</v>
      </c>
      <c r="M2" s="2">
        <f t="shared" si="0"/>
        <v>2026</v>
      </c>
      <c r="N2" s="2">
        <f t="shared" si="0"/>
        <v>2027</v>
      </c>
      <c r="O2" s="2">
        <f t="shared" si="0"/>
        <v>2028</v>
      </c>
      <c r="P2" s="2">
        <f t="shared" si="0"/>
        <v>2029</v>
      </c>
      <c r="Q2" s="2">
        <f>+P2+1</f>
        <v>2030</v>
      </c>
      <c r="R2" s="2">
        <f t="shared" si="0"/>
        <v>2031</v>
      </c>
      <c r="S2" s="2">
        <f t="shared" si="0"/>
        <v>2032</v>
      </c>
    </row>
    <row r="3" spans="2:19" x14ac:dyDescent="0.25">
      <c r="I3" s="6"/>
      <c r="J3" s="6"/>
    </row>
    <row r="4" spans="2:19" x14ac:dyDescent="0.25">
      <c r="B4" s="1" t="s">
        <v>32</v>
      </c>
      <c r="I4" s="1">
        <v>82218</v>
      </c>
      <c r="J4" s="1">
        <v>84591</v>
      </c>
      <c r="K4" s="1">
        <f>+K7*0.4</f>
        <v>101120</v>
      </c>
      <c r="L4" s="1">
        <f t="shared" ref="L4:S4" si="1">+L7*0.4</f>
        <v>115460</v>
      </c>
      <c r="M4" s="1">
        <f t="shared" si="1"/>
        <v>132980</v>
      </c>
      <c r="N4" s="1">
        <f t="shared" si="1"/>
        <v>160120</v>
      </c>
      <c r="O4" s="1">
        <f t="shared" si="1"/>
        <v>179320</v>
      </c>
      <c r="P4" s="1">
        <f t="shared" si="1"/>
        <v>193665.60000000003</v>
      </c>
      <c r="Q4" s="1">
        <f t="shared" si="1"/>
        <v>209158.84800000006</v>
      </c>
      <c r="R4" s="1">
        <f t="shared" si="1"/>
        <v>225891.55584000004</v>
      </c>
      <c r="S4" s="1">
        <f t="shared" si="1"/>
        <v>243962.8803072001</v>
      </c>
    </row>
    <row r="5" spans="2:19" x14ac:dyDescent="0.25">
      <c r="B5" s="1" t="s">
        <v>33</v>
      </c>
      <c r="I5" s="1">
        <v>41400</v>
      </c>
      <c r="J5" s="1">
        <v>50208</v>
      </c>
    </row>
    <row r="6" spans="2:19" x14ac:dyDescent="0.25">
      <c r="B6" s="1" t="s">
        <v>34</v>
      </c>
      <c r="I6" s="1">
        <v>67634</v>
      </c>
      <c r="J6" s="1">
        <v>79002</v>
      </c>
    </row>
    <row r="7" spans="2:19" s="3" customFormat="1" x14ac:dyDescent="0.25">
      <c r="B7" s="3" t="s">
        <v>0</v>
      </c>
      <c r="E7" s="3">
        <v>135700</v>
      </c>
      <c r="F7" s="3">
        <v>156500</v>
      </c>
      <c r="G7" s="3">
        <v>180700</v>
      </c>
      <c r="H7" s="3">
        <v>179700</v>
      </c>
      <c r="I7" s="3">
        <v>191252</v>
      </c>
      <c r="J7" s="3">
        <v>210801</v>
      </c>
      <c r="K7" s="3">
        <v>252800</v>
      </c>
      <c r="L7" s="3">
        <v>288650</v>
      </c>
      <c r="M7" s="3">
        <v>332450</v>
      </c>
      <c r="N7" s="3">
        <v>400300</v>
      </c>
      <c r="O7" s="3">
        <v>448300</v>
      </c>
      <c r="P7" s="3">
        <f>+O7*1.08</f>
        <v>484164.00000000006</v>
      </c>
      <c r="Q7" s="3">
        <f t="shared" ref="Q7:S7" si="2">+P7*1.08</f>
        <v>522897.12000000011</v>
      </c>
      <c r="R7" s="3">
        <f t="shared" si="2"/>
        <v>564728.88960000011</v>
      </c>
      <c r="S7" s="3">
        <f t="shared" si="2"/>
        <v>609907.20076800021</v>
      </c>
    </row>
    <row r="8" spans="2:19" x14ac:dyDescent="0.25">
      <c r="B8" s="1" t="s">
        <v>1</v>
      </c>
      <c r="I8" s="1">
        <v>114690</v>
      </c>
      <c r="J8" s="1">
        <v>130409</v>
      </c>
      <c r="K8" s="1">
        <f>+K7*0.6</f>
        <v>151680</v>
      </c>
      <c r="L8" s="1">
        <f t="shared" ref="L8:S8" si="3">+L7*0.6</f>
        <v>173190</v>
      </c>
      <c r="M8" s="1">
        <f t="shared" si="3"/>
        <v>199470</v>
      </c>
      <c r="N8" s="1">
        <f t="shared" si="3"/>
        <v>240180</v>
      </c>
      <c r="O8" s="1">
        <f t="shared" si="3"/>
        <v>268980</v>
      </c>
      <c r="P8" s="1">
        <f t="shared" si="3"/>
        <v>290498.40000000002</v>
      </c>
      <c r="Q8" s="1">
        <f t="shared" si="3"/>
        <v>313738.27200000006</v>
      </c>
      <c r="R8" s="1">
        <f t="shared" si="3"/>
        <v>338837.33376000007</v>
      </c>
      <c r="S8" s="1">
        <f t="shared" si="3"/>
        <v>365944.32046080014</v>
      </c>
    </row>
    <row r="9" spans="2:19" x14ac:dyDescent="0.25">
      <c r="B9" s="1" t="s">
        <v>28</v>
      </c>
      <c r="C9" s="1">
        <f>+C7-C8</f>
        <v>0</v>
      </c>
      <c r="I9" s="1">
        <f>+I7-I8</f>
        <v>76562</v>
      </c>
      <c r="J9" s="1">
        <f>+J7-J8</f>
        <v>80392</v>
      </c>
      <c r="K9" s="1">
        <f>+K7-K8</f>
        <v>101120</v>
      </c>
      <c r="L9" s="1">
        <f t="shared" ref="L9:S9" si="4">+L7-L8</f>
        <v>115460</v>
      </c>
      <c r="M9" s="1">
        <f t="shared" si="4"/>
        <v>132980</v>
      </c>
      <c r="N9" s="1">
        <f t="shared" si="4"/>
        <v>160120</v>
      </c>
      <c r="O9" s="1">
        <f t="shared" si="4"/>
        <v>179320</v>
      </c>
      <c r="P9" s="1">
        <f t="shared" si="4"/>
        <v>193665.60000000003</v>
      </c>
      <c r="Q9" s="1">
        <f t="shared" si="4"/>
        <v>209158.84800000006</v>
      </c>
      <c r="R9" s="1">
        <f t="shared" si="4"/>
        <v>225891.55584000004</v>
      </c>
      <c r="S9" s="1">
        <f t="shared" si="4"/>
        <v>243962.88030720007</v>
      </c>
    </row>
    <row r="10" spans="2:19" x14ac:dyDescent="0.25">
      <c r="B10" s="1" t="s">
        <v>2</v>
      </c>
      <c r="I10" s="1">
        <v>24097</v>
      </c>
      <c r="J10" s="1">
        <v>26110</v>
      </c>
      <c r="K10" s="1">
        <f>+K4*0.3</f>
        <v>30336</v>
      </c>
      <c r="L10" s="1">
        <f t="shared" ref="L10:S10" si="5">+L4*0.3</f>
        <v>34638</v>
      </c>
      <c r="M10" s="1">
        <f t="shared" si="5"/>
        <v>39894</v>
      </c>
      <c r="N10" s="1">
        <f t="shared" si="5"/>
        <v>48036</v>
      </c>
      <c r="O10" s="1">
        <f t="shared" si="5"/>
        <v>53796</v>
      </c>
      <c r="P10" s="1">
        <f t="shared" si="5"/>
        <v>58099.680000000008</v>
      </c>
      <c r="Q10" s="1">
        <f t="shared" si="5"/>
        <v>62747.654400000014</v>
      </c>
      <c r="R10" s="1">
        <f t="shared" si="5"/>
        <v>67767.466752000008</v>
      </c>
      <c r="S10" s="1">
        <f t="shared" si="5"/>
        <v>73188.864092160031</v>
      </c>
    </row>
    <row r="11" spans="2:19" x14ac:dyDescent="0.25">
      <c r="B11" s="1" t="s">
        <v>3</v>
      </c>
      <c r="I11" s="1">
        <v>20443</v>
      </c>
      <c r="J11" s="1">
        <v>23395</v>
      </c>
      <c r="K11" s="1">
        <f>+K7*0.11</f>
        <v>27808</v>
      </c>
      <c r="L11" s="1">
        <f t="shared" ref="L11:S11" si="6">+L7*0.11</f>
        <v>31751.5</v>
      </c>
      <c r="M11" s="1">
        <f t="shared" si="6"/>
        <v>36569.5</v>
      </c>
      <c r="N11" s="1">
        <f t="shared" si="6"/>
        <v>44033</v>
      </c>
      <c r="O11" s="1">
        <f t="shared" si="6"/>
        <v>49313</v>
      </c>
      <c r="P11" s="1">
        <f t="shared" si="6"/>
        <v>53258.040000000008</v>
      </c>
      <c r="Q11" s="1">
        <f t="shared" si="6"/>
        <v>57518.683200000014</v>
      </c>
      <c r="R11" s="1">
        <f t="shared" si="6"/>
        <v>62120.177856000009</v>
      </c>
      <c r="S11" s="1">
        <f t="shared" si="6"/>
        <v>67089.792084480025</v>
      </c>
    </row>
    <row r="12" spans="2:19" x14ac:dyDescent="0.25">
      <c r="B12" s="1" t="s">
        <v>4</v>
      </c>
      <c r="I12" s="1">
        <v>13506</v>
      </c>
      <c r="J12" s="1">
        <v>13026</v>
      </c>
      <c r="K12" s="1">
        <f>+J12*1.02</f>
        <v>13286.52</v>
      </c>
      <c r="L12" s="1">
        <f t="shared" ref="L12:S12" si="7">+K12*1.02</f>
        <v>13552.250400000001</v>
      </c>
      <c r="M12" s="1">
        <f t="shared" si="7"/>
        <v>13823.295408000002</v>
      </c>
      <c r="N12" s="1">
        <f t="shared" si="7"/>
        <v>14099.761316160002</v>
      </c>
      <c r="O12" s="1">
        <f t="shared" si="7"/>
        <v>14381.756542483203</v>
      </c>
      <c r="P12" s="1">
        <f t="shared" si="7"/>
        <v>14669.391673332868</v>
      </c>
      <c r="Q12" s="1">
        <f t="shared" si="7"/>
        <v>14962.779506799525</v>
      </c>
      <c r="R12" s="1">
        <f t="shared" si="7"/>
        <v>15262.035096935515</v>
      </c>
      <c r="S12" s="1">
        <f t="shared" si="7"/>
        <v>15567.275798874225</v>
      </c>
    </row>
    <row r="13" spans="2:19" x14ac:dyDescent="0.25">
      <c r="B13" s="1" t="s">
        <v>5</v>
      </c>
      <c r="I13" s="1">
        <v>3897</v>
      </c>
      <c r="J13" s="1">
        <v>3302</v>
      </c>
      <c r="K13" s="1">
        <v>3000</v>
      </c>
      <c r="L13" s="1">
        <v>3000</v>
      </c>
      <c r="M13" s="1">
        <v>3000</v>
      </c>
      <c r="N13" s="1">
        <v>3000</v>
      </c>
      <c r="O13" s="1">
        <v>3000</v>
      </c>
      <c r="P13" s="1">
        <v>3000</v>
      </c>
      <c r="Q13" s="1">
        <v>3000</v>
      </c>
      <c r="R13" s="1">
        <v>3000</v>
      </c>
      <c r="S13" s="1">
        <v>3000</v>
      </c>
    </row>
    <row r="14" spans="2:19" x14ac:dyDescent="0.25">
      <c r="B14" s="1" t="s">
        <v>6</v>
      </c>
      <c r="I14" s="1">
        <v>831</v>
      </c>
      <c r="J14" s="1">
        <v>418</v>
      </c>
      <c r="K14" s="1">
        <v>500</v>
      </c>
      <c r="L14" s="1">
        <v>500</v>
      </c>
      <c r="M14" s="1">
        <v>500</v>
      </c>
      <c r="N14" s="1">
        <v>500</v>
      </c>
      <c r="O14" s="1">
        <v>500</v>
      </c>
      <c r="P14" s="1">
        <v>500</v>
      </c>
      <c r="Q14" s="1">
        <v>500</v>
      </c>
      <c r="R14" s="1">
        <v>500</v>
      </c>
      <c r="S14" s="1">
        <v>500</v>
      </c>
    </row>
    <row r="15" spans="2:19" x14ac:dyDescent="0.25">
      <c r="B15" s="1" t="s">
        <v>13</v>
      </c>
      <c r="I15" s="1">
        <v>177</v>
      </c>
      <c r="J15" s="1">
        <v>143</v>
      </c>
      <c r="K15" s="1">
        <v>150</v>
      </c>
      <c r="L15" s="1">
        <v>150</v>
      </c>
      <c r="M15" s="1">
        <v>150</v>
      </c>
      <c r="N15" s="1">
        <v>150</v>
      </c>
      <c r="O15" s="1">
        <v>150</v>
      </c>
      <c r="P15" s="1">
        <v>150</v>
      </c>
      <c r="Q15" s="1">
        <v>150</v>
      </c>
      <c r="R15" s="1">
        <v>150</v>
      </c>
      <c r="S15" s="1">
        <v>150</v>
      </c>
    </row>
    <row r="16" spans="2:19" x14ac:dyDescent="0.25">
      <c r="B16" s="1" t="s">
        <v>7</v>
      </c>
      <c r="C16" s="1">
        <f>+C9-C10-C12-C11+C13-C14+C15</f>
        <v>0</v>
      </c>
      <c r="E16" s="1">
        <v>6400</v>
      </c>
      <c r="F16" s="1">
        <v>16200</v>
      </c>
      <c r="G16" s="1">
        <v>19600</v>
      </c>
      <c r="H16" s="1">
        <v>17600</v>
      </c>
      <c r="I16" s="1">
        <f>+I9-I10-I12-I11+I13-I14+I15</f>
        <v>21759</v>
      </c>
      <c r="J16" s="1">
        <f>+J9-J10-J12-J11+J13-J14+J15</f>
        <v>20888</v>
      </c>
      <c r="K16" s="1">
        <f>+K9-K10-K12-K11+K13-K14+K15</f>
        <v>32339.479999999996</v>
      </c>
      <c r="L16" s="1">
        <f t="shared" ref="L16:S16" si="8">+L9-L10-L12-L11+L13-L14+L15</f>
        <v>38168.249599999996</v>
      </c>
      <c r="M16" s="1">
        <f t="shared" si="8"/>
        <v>45343.204591999995</v>
      </c>
      <c r="N16" s="1">
        <f t="shared" si="8"/>
        <v>56601.238683839998</v>
      </c>
      <c r="O16" s="1">
        <f t="shared" si="8"/>
        <v>64479.243457516801</v>
      </c>
      <c r="P16" s="1">
        <f t="shared" si="8"/>
        <v>70288.488326667168</v>
      </c>
      <c r="Q16" s="1">
        <f t="shared" si="8"/>
        <v>76579.730893200511</v>
      </c>
      <c r="R16" s="1">
        <f t="shared" si="8"/>
        <v>83391.876135064507</v>
      </c>
      <c r="S16" s="1">
        <f t="shared" si="8"/>
        <v>90766.948331685795</v>
      </c>
    </row>
    <row r="17" spans="2:122" x14ac:dyDescent="0.25">
      <c r="B17" s="1" t="s">
        <v>8</v>
      </c>
      <c r="I17" s="1">
        <v>24</v>
      </c>
      <c r="J17" s="1">
        <v>278</v>
      </c>
      <c r="K17" s="1">
        <v>250</v>
      </c>
      <c r="L17" s="1">
        <v>200</v>
      </c>
      <c r="M17" s="1">
        <v>200</v>
      </c>
      <c r="N17" s="1">
        <v>200</v>
      </c>
      <c r="O17" s="1">
        <v>200</v>
      </c>
      <c r="P17" s="1">
        <v>200</v>
      </c>
      <c r="Q17" s="1">
        <v>200</v>
      </c>
      <c r="R17" s="1">
        <v>200</v>
      </c>
      <c r="S17" s="1">
        <v>200</v>
      </c>
    </row>
    <row r="18" spans="2:122" x14ac:dyDescent="0.25">
      <c r="B18" s="1" t="s">
        <v>9</v>
      </c>
      <c r="I18" s="1">
        <v>750</v>
      </c>
      <c r="J18" s="1">
        <v>2017</v>
      </c>
      <c r="K18" s="1">
        <f>+J18*1.2</f>
        <v>2420.4</v>
      </c>
      <c r="L18" s="1">
        <f>+K18*1.1</f>
        <v>2662.4400000000005</v>
      </c>
      <c r="M18" s="1">
        <f t="shared" ref="M18:S18" si="9">+L18*1.1</f>
        <v>2928.6840000000007</v>
      </c>
      <c r="N18" s="1">
        <f t="shared" si="9"/>
        <v>3221.5524000000009</v>
      </c>
      <c r="O18" s="1">
        <f t="shared" si="9"/>
        <v>3543.7076400000014</v>
      </c>
      <c r="P18" s="1">
        <f t="shared" si="9"/>
        <v>3898.0784040000017</v>
      </c>
      <c r="Q18" s="1">
        <f t="shared" si="9"/>
        <v>4287.8862444000024</v>
      </c>
      <c r="R18" s="1">
        <f t="shared" si="9"/>
        <v>4716.674868840003</v>
      </c>
      <c r="S18" s="1">
        <f t="shared" si="9"/>
        <v>5188.3423557240039</v>
      </c>
    </row>
    <row r="19" spans="2:122" x14ac:dyDescent="0.25">
      <c r="B19" s="1" t="s">
        <v>10</v>
      </c>
      <c r="C19" s="1">
        <f>+C16+C17-C18</f>
        <v>0</v>
      </c>
      <c r="I19" s="1">
        <f>+I16+I17-I18</f>
        <v>21033</v>
      </c>
      <c r="J19" s="1">
        <f>+J16+J17-J18</f>
        <v>19149</v>
      </c>
      <c r="K19" s="1">
        <f>+K16+K17-K18</f>
        <v>30169.079999999994</v>
      </c>
      <c r="L19" s="1">
        <f t="shared" ref="L19:S19" si="10">+L16+L17-L18</f>
        <v>35705.809599999993</v>
      </c>
      <c r="M19" s="1">
        <f t="shared" si="10"/>
        <v>42614.520591999993</v>
      </c>
      <c r="N19" s="1">
        <f t="shared" si="10"/>
        <v>53579.686283839997</v>
      </c>
      <c r="O19" s="1">
        <f t="shared" si="10"/>
        <v>61135.5358175168</v>
      </c>
      <c r="P19" s="1">
        <f t="shared" si="10"/>
        <v>66590.409922667168</v>
      </c>
      <c r="Q19" s="1">
        <f t="shared" si="10"/>
        <v>72491.844648800514</v>
      </c>
      <c r="R19" s="1">
        <f t="shared" si="10"/>
        <v>78875.201266224511</v>
      </c>
      <c r="S19" s="1">
        <f t="shared" si="10"/>
        <v>85778.605975961793</v>
      </c>
    </row>
    <row r="20" spans="2:122" x14ac:dyDescent="0.25">
      <c r="B20" s="1" t="s">
        <v>11</v>
      </c>
      <c r="I20" s="1">
        <v>3778</v>
      </c>
      <c r="J20" s="1">
        <v>4130</v>
      </c>
      <c r="K20" s="1">
        <f>+K19*0.25</f>
        <v>7542.2699999999986</v>
      </c>
      <c r="L20" s="1">
        <f t="shared" ref="L20:S20" si="11">+L19*0.25</f>
        <v>8926.4523999999983</v>
      </c>
      <c r="M20" s="1">
        <f t="shared" si="11"/>
        <v>10653.630147999998</v>
      </c>
      <c r="N20" s="1">
        <f t="shared" si="11"/>
        <v>13394.921570959999</v>
      </c>
      <c r="O20" s="1">
        <f t="shared" si="11"/>
        <v>15283.8839543792</v>
      </c>
      <c r="P20" s="1">
        <f t="shared" si="11"/>
        <v>16647.602480666792</v>
      </c>
      <c r="Q20" s="1">
        <f t="shared" si="11"/>
        <v>18122.961162200128</v>
      </c>
      <c r="R20" s="1">
        <f t="shared" si="11"/>
        <v>19718.800316556128</v>
      </c>
      <c r="S20" s="1">
        <f t="shared" si="11"/>
        <v>21444.651493990448</v>
      </c>
    </row>
    <row r="21" spans="2:122" s="3" customFormat="1" x14ac:dyDescent="0.25">
      <c r="B21" s="3" t="s">
        <v>12</v>
      </c>
      <c r="C21" s="3">
        <f>+C19-C20</f>
        <v>0</v>
      </c>
      <c r="I21" s="3">
        <f>+I19-I20</f>
        <v>17255</v>
      </c>
      <c r="J21" s="3">
        <f>+J19-J20</f>
        <v>15019</v>
      </c>
      <c r="K21" s="3">
        <f>+K19-K20</f>
        <v>22626.809999999998</v>
      </c>
      <c r="L21" s="3">
        <f t="shared" ref="L21:S21" si="12">+L19-L20</f>
        <v>26779.357199999995</v>
      </c>
      <c r="M21" s="3">
        <f t="shared" si="12"/>
        <v>31960.890443999997</v>
      </c>
      <c r="N21" s="3">
        <f t="shared" si="12"/>
        <v>40184.764712880002</v>
      </c>
      <c r="O21" s="3">
        <f t="shared" si="12"/>
        <v>45851.651863137602</v>
      </c>
      <c r="P21" s="3">
        <f t="shared" si="12"/>
        <v>49942.807442000376</v>
      </c>
      <c r="Q21" s="3">
        <f t="shared" si="12"/>
        <v>54368.883486600389</v>
      </c>
      <c r="R21" s="3">
        <f t="shared" si="12"/>
        <v>59156.400949668387</v>
      </c>
      <c r="S21" s="3">
        <f t="shared" si="12"/>
        <v>64333.954481971348</v>
      </c>
      <c r="T21" s="3">
        <f>+S21*(1+TR)</f>
        <v>63690.614937151637</v>
      </c>
      <c r="U21" s="3">
        <f>+T21*(1+TR)</f>
        <v>63053.708787780117</v>
      </c>
      <c r="V21" s="3">
        <f>+U21*(1+TR)</f>
        <v>62423.171699902312</v>
      </c>
      <c r="W21" s="3">
        <f>+V21*(1+TR)</f>
        <v>61798.939982903292</v>
      </c>
      <c r="X21" s="3">
        <f>+W21*(1+TR)</f>
        <v>61180.950583074256</v>
      </c>
      <c r="Y21" s="3">
        <f>+X21*(1+TR)</f>
        <v>60569.141077243512</v>
      </c>
      <c r="Z21" s="3">
        <f>+Y21*(1+TR)</f>
        <v>59963.449666471075</v>
      </c>
      <c r="AA21" s="3">
        <f>+Z21*(1+TR)</f>
        <v>59363.815169806367</v>
      </c>
      <c r="AB21" s="3">
        <f>+AA21*(1+TR)</f>
        <v>58770.177018108305</v>
      </c>
      <c r="AC21" s="3">
        <f>+AB21*(1+TR)</f>
        <v>58182.475247927221</v>
      </c>
      <c r="AD21" s="3">
        <f>+AC21*(1+TR)</f>
        <v>57600.650495447946</v>
      </c>
      <c r="AE21" s="3">
        <f>+AD21*(1+TR)</f>
        <v>57024.643990493467</v>
      </c>
      <c r="AF21" s="3">
        <f>+AE21*(1+TR)</f>
        <v>56454.397550588532</v>
      </c>
      <c r="AG21" s="3">
        <f>+AF21*(1+TR)</f>
        <v>55889.853575082649</v>
      </c>
      <c r="AH21" s="3">
        <f>+AG21*(1+TR)</f>
        <v>55330.95503933182</v>
      </c>
      <c r="AI21" s="3">
        <f>+AH21*(1+TR)</f>
        <v>54777.645488938499</v>
      </c>
      <c r="AJ21" s="3">
        <f>+AI21*(1+TR)</f>
        <v>54229.869034049116</v>
      </c>
      <c r="AK21" s="3">
        <f>+AJ21*(1+TR)</f>
        <v>53687.570343708627</v>
      </c>
      <c r="AL21" s="3">
        <f>+AK21*(1+TR)</f>
        <v>53150.69464027154</v>
      </c>
      <c r="AM21" s="3">
        <f>+AL21*(1+TR)</f>
        <v>52619.187693868822</v>
      </c>
      <c r="AN21" s="3">
        <f>+AM21*(1+TR)</f>
        <v>52092.995816930132</v>
      </c>
      <c r="AO21" s="3">
        <f>+AN21*(1+TR)</f>
        <v>51572.065858760827</v>
      </c>
      <c r="AP21" s="3">
        <f>+AO21*(1+TR)</f>
        <v>51056.345200173215</v>
      </c>
      <c r="AQ21" s="3">
        <f>+AP21*(1+TR)</f>
        <v>50545.781748171481</v>
      </c>
      <c r="AR21" s="3">
        <f>+AQ21*(1+TR)</f>
        <v>50040.323930689767</v>
      </c>
      <c r="AS21" s="3">
        <f>+AR21*(1+TR)</f>
        <v>49539.920691382868</v>
      </c>
      <c r="AT21" s="3">
        <f>+AS21*(1+TR)</f>
        <v>49044.521484469042</v>
      </c>
      <c r="AU21" s="3">
        <f>+AT21*(1+TR)</f>
        <v>48554.076269624347</v>
      </c>
      <c r="AV21" s="3">
        <f>+AU21*(1+TR)</f>
        <v>48068.535506928107</v>
      </c>
      <c r="AW21" s="3">
        <f>+AV21*(1+TR)</f>
        <v>47587.850151858824</v>
      </c>
      <c r="AX21" s="3">
        <f>+AW21*(1+TR)</f>
        <v>47111.971650340238</v>
      </c>
      <c r="AY21" s="3">
        <f>+AX21*(1+TR)</f>
        <v>46640.851933836835</v>
      </c>
      <c r="AZ21" s="3">
        <f>+AY21*(1+TR)</f>
        <v>46174.44341449847</v>
      </c>
      <c r="BA21" s="3">
        <f>+AZ21*(1+TR)</f>
        <v>45712.698980353482</v>
      </c>
      <c r="BB21" s="3">
        <f>+BA21*(1+TR)</f>
        <v>45255.57199054995</v>
      </c>
      <c r="BC21" s="3">
        <f>+BB21*(1+TR)</f>
        <v>44803.016270644453</v>
      </c>
      <c r="BD21" s="3">
        <f>+BC21*(1+TR)</f>
        <v>44354.986107938006</v>
      </c>
      <c r="BE21" s="3">
        <f>+BD21*(1+TR)</f>
        <v>43911.436246858626</v>
      </c>
      <c r="BF21" s="3">
        <f>+BE21*(1+TR)</f>
        <v>43472.321884390039</v>
      </c>
      <c r="BG21" s="3">
        <f>+BF21*(1+TR)</f>
        <v>43037.598665546138</v>
      </c>
      <c r="BH21" s="3">
        <f>+BG21*(1+TR)</f>
        <v>42607.222678890677</v>
      </c>
      <c r="BI21" s="3">
        <f>+BH21*(1+TR)</f>
        <v>42181.15045210177</v>
      </c>
      <c r="BJ21" s="3">
        <f>+BI21*(1+TR)</f>
        <v>41759.338947580749</v>
      </c>
      <c r="BK21" s="3">
        <f>+BJ21*(1+TR)</f>
        <v>41341.745558104943</v>
      </c>
      <c r="BL21" s="3">
        <f>+BK21*(1+TR)</f>
        <v>40928.32810252389</v>
      </c>
      <c r="BM21" s="3">
        <f>+BL21*(1+TR)</f>
        <v>40519.044821498654</v>
      </c>
      <c r="BN21" s="3">
        <f>+BM21*(1+TR)</f>
        <v>40113.85437328367</v>
      </c>
      <c r="BO21" s="3">
        <f>+BN21*(1+TR)</f>
        <v>39712.715829550834</v>
      </c>
      <c r="BP21" s="3">
        <f>+BO21*(1+TR)</f>
        <v>39315.588671255326</v>
      </c>
      <c r="BQ21" s="3">
        <f>+BP21*(1+TR)</f>
        <v>38922.432784542769</v>
      </c>
      <c r="BR21" s="3">
        <f>+BQ21*(1+TR)</f>
        <v>38533.208456697343</v>
      </c>
      <c r="BS21" s="3">
        <f>+BR21*(1+TR)</f>
        <v>38147.876372130369</v>
      </c>
      <c r="BT21" s="3">
        <f>+BS21*(1+TR)</f>
        <v>37766.397608409068</v>
      </c>
      <c r="BU21" s="3">
        <f>+BT21*(1+TR)</f>
        <v>37388.733632324976</v>
      </c>
      <c r="BV21" s="3">
        <f>+BU21*(1+TR)</f>
        <v>37014.846296001728</v>
      </c>
      <c r="BW21" s="3">
        <f>+BV21*(1+TR)</f>
        <v>36644.697833041711</v>
      </c>
      <c r="BX21" s="3">
        <f>+BW21*(1+TR)</f>
        <v>36278.250854711296</v>
      </c>
      <c r="BY21" s="3">
        <f>+BX21*(1+TR)</f>
        <v>35915.468346164183</v>
      </c>
      <c r="BZ21" s="3">
        <f>+BY21*(1+TR)</f>
        <v>35556.313662702538</v>
      </c>
      <c r="CA21" s="3">
        <f>+BZ21*(1+TR)</f>
        <v>35200.750526075513</v>
      </c>
      <c r="CB21" s="3">
        <f>+CA21*(1+TR)</f>
        <v>34848.743020814756</v>
      </c>
      <c r="CC21" s="3">
        <f>+CB21*(1+TR)</f>
        <v>34500.255590606612</v>
      </c>
      <c r="CD21" s="3">
        <f>+CC21*(1+TR)</f>
        <v>34155.253034700545</v>
      </c>
      <c r="CE21" s="3">
        <f>+CD21*(1+TR)</f>
        <v>33813.700504353539</v>
      </c>
      <c r="CF21" s="3">
        <f>+CE21*(1+TR)</f>
        <v>33475.563499310003</v>
      </c>
      <c r="CG21" s="3">
        <f>+CF21*(1+TR)</f>
        <v>33140.807864316899</v>
      </c>
      <c r="CH21" s="3">
        <f>+CG21*(1+TR)</f>
        <v>32809.399785673733</v>
      </c>
      <c r="CI21" s="3">
        <f>+CH21*(1+TR)</f>
        <v>32481.305787816997</v>
      </c>
      <c r="CJ21" s="3">
        <f>+CI21*(1+TR)</f>
        <v>32156.492729938826</v>
      </c>
      <c r="CK21" s="3">
        <f>+CJ21*(1+TR)</f>
        <v>31834.927802639439</v>
      </c>
      <c r="CL21" s="3">
        <f>+CK21*(1+TR)</f>
        <v>31516.578524613044</v>
      </c>
      <c r="CM21" s="3">
        <f>+CL21*(1+TR)</f>
        <v>31201.412739366911</v>
      </c>
      <c r="CN21" s="3">
        <f>+CM21*(1+TR)</f>
        <v>30889.398611973244</v>
      </c>
      <c r="CO21" s="3">
        <f>+CN21*(1+TR)</f>
        <v>30580.504625853511</v>
      </c>
      <c r="CP21" s="3">
        <f>+CO21*(1+TR)</f>
        <v>30274.699579594977</v>
      </c>
      <c r="CQ21" s="3">
        <f>+CP21*(1+TR)</f>
        <v>29971.952583799026</v>
      </c>
      <c r="CR21" s="3">
        <f>+CQ21*(1+TR)</f>
        <v>29672.233057961035</v>
      </c>
      <c r="CS21" s="3">
        <f>+CR21*(1+TR)</f>
        <v>29375.510727381425</v>
      </c>
      <c r="CT21" s="3">
        <f>+CS21*(1+TR)</f>
        <v>29081.755620107611</v>
      </c>
      <c r="CU21" s="3">
        <f>+CT21*(1+TR)</f>
        <v>28790.938063906535</v>
      </c>
      <c r="CV21" s="3">
        <f>+CU21*(1+TR)</f>
        <v>28503.028683267468</v>
      </c>
      <c r="CW21" s="3">
        <f>+CV21*(1+TR)</f>
        <v>28217.998396434792</v>
      </c>
      <c r="CX21" s="3">
        <f>+CW21*(1+TR)</f>
        <v>27935.818412470442</v>
      </c>
      <c r="CY21" s="3">
        <f>+CX21*(1+TR)</f>
        <v>27656.460228345739</v>
      </c>
      <c r="CZ21" s="3">
        <f>+CY21*(1+TR)</f>
        <v>27379.89562606228</v>
      </c>
      <c r="DA21" s="3">
        <f>+CZ21*(1+TR)</f>
        <v>27106.096669801656</v>
      </c>
      <c r="DB21" s="3">
        <f>+DA21*(1+TR)</f>
        <v>26835.03570310364</v>
      </c>
      <c r="DC21" s="3">
        <f>+DB21*(1+TR)</f>
        <v>26566.685346072605</v>
      </c>
      <c r="DD21" s="3">
        <f>+DC21*(1+TR)</f>
        <v>26301.018492611878</v>
      </c>
      <c r="DE21" s="3">
        <f>+DD21*(1+TR)</f>
        <v>26038.008307685759</v>
      </c>
      <c r="DF21" s="3">
        <f>+DE21*(1+TR)</f>
        <v>25777.628224608899</v>
      </c>
      <c r="DG21" s="3">
        <f>+DF21*(1+TR)</f>
        <v>25519.851942362809</v>
      </c>
      <c r="DH21" s="3">
        <f>+DG21*(1+TR)</f>
        <v>25264.65342293918</v>
      </c>
      <c r="DI21" s="3">
        <f>+DH21*(1+TR)</f>
        <v>25012.006888709788</v>
      </c>
      <c r="DJ21" s="3">
        <f>+DI21*(1+TR)</f>
        <v>24761.886819822688</v>
      </c>
      <c r="DK21" s="3">
        <f>+DJ21*(1+TR)</f>
        <v>24514.267951624461</v>
      </c>
      <c r="DL21" s="3">
        <f>+DK21*(1+TR)</f>
        <v>24269.125272108216</v>
      </c>
      <c r="DM21" s="3">
        <f>+DL21*(1+TR)</f>
        <v>24026.434019387136</v>
      </c>
      <c r="DN21" s="3">
        <f>+DM21*(1+TR)</f>
        <v>23786.169679193263</v>
      </c>
      <c r="DO21" s="3">
        <f>+DN21*(1+TR)</f>
        <v>23548.307982401329</v>
      </c>
      <c r="DP21" s="3">
        <f>+DO21*(1+TR)</f>
        <v>23312.824902577315</v>
      </c>
      <c r="DQ21" s="3">
        <f>+DP21*(1+TR)</f>
        <v>23079.696653551542</v>
      </c>
      <c r="DR21" s="3">
        <f>+DQ21*(1+TR)</f>
        <v>22848.899687016026</v>
      </c>
    </row>
    <row r="22" spans="2:122" x14ac:dyDescent="0.25">
      <c r="I22" s="6"/>
      <c r="J22" s="6"/>
    </row>
    <row r="23" spans="2:122" s="4" customFormat="1" x14ac:dyDescent="0.25">
      <c r="B23" s="4" t="s">
        <v>14</v>
      </c>
      <c r="I23" s="4">
        <f>+I9/I7</f>
        <v>0.40031999665362977</v>
      </c>
      <c r="J23" s="4">
        <f>+J9/J7</f>
        <v>0.38136441477981603</v>
      </c>
      <c r="K23" s="4">
        <f>+K9/K7</f>
        <v>0.4</v>
      </c>
      <c r="L23" s="4">
        <f t="shared" ref="L23:S23" si="13">+L9/L7</f>
        <v>0.4</v>
      </c>
      <c r="M23" s="4">
        <f t="shared" si="13"/>
        <v>0.4</v>
      </c>
      <c r="N23" s="4">
        <f t="shared" si="13"/>
        <v>0.4</v>
      </c>
      <c r="O23" s="4">
        <f t="shared" si="13"/>
        <v>0.4</v>
      </c>
      <c r="P23" s="4">
        <f t="shared" si="13"/>
        <v>0.4</v>
      </c>
      <c r="Q23" s="4">
        <f t="shared" si="13"/>
        <v>0.4</v>
      </c>
      <c r="R23" s="4">
        <f t="shared" si="13"/>
        <v>0.4</v>
      </c>
      <c r="S23" s="4">
        <f t="shared" si="13"/>
        <v>0.39999999999999997</v>
      </c>
      <c r="U23" s="4" t="s">
        <v>39</v>
      </c>
      <c r="V23" s="4">
        <v>0.09</v>
      </c>
    </row>
    <row r="24" spans="2:122" s="4" customFormat="1" x14ac:dyDescent="0.25">
      <c r="B24" s="4" t="s">
        <v>15</v>
      </c>
      <c r="I24" s="4">
        <f>+I21/I7</f>
        <v>9.0221278731725682E-2</v>
      </c>
      <c r="J24" s="4">
        <f>+J21/J7</f>
        <v>7.124729009824432E-2</v>
      </c>
      <c r="K24" s="4">
        <f>+K21/K7</f>
        <v>8.9504786392405056E-2</v>
      </c>
      <c r="L24" s="4">
        <f t="shared" ref="L24:S24" si="14">+L21/L7</f>
        <v>9.2774492291702731E-2</v>
      </c>
      <c r="M24" s="4">
        <f t="shared" si="14"/>
        <v>9.6137435536170837E-2</v>
      </c>
      <c r="N24" s="4">
        <f t="shared" si="14"/>
        <v>0.10038662181583813</v>
      </c>
      <c r="O24" s="4">
        <f t="shared" si="14"/>
        <v>0.10227894682832389</v>
      </c>
      <c r="P24" s="4">
        <f t="shared" si="14"/>
        <v>0.10315266612552848</v>
      </c>
      <c r="Q24" s="4">
        <f t="shared" si="14"/>
        <v>0.10397625346760445</v>
      </c>
      <c r="R24" s="4">
        <f t="shared" si="14"/>
        <v>0.10475185888146986</v>
      </c>
      <c r="S24" s="4">
        <f t="shared" si="14"/>
        <v>0.10548154604661414</v>
      </c>
      <c r="U24" s="4" t="s">
        <v>40</v>
      </c>
      <c r="V24" s="4">
        <v>-0.01</v>
      </c>
    </row>
    <row r="25" spans="2:122" x14ac:dyDescent="0.25">
      <c r="U25" s="1" t="s">
        <v>41</v>
      </c>
      <c r="V25" s="1">
        <f>NPV(V23,K21:DR21)</f>
        <v>538311.57672768773</v>
      </c>
    </row>
    <row r="26" spans="2:122" x14ac:dyDescent="0.25">
      <c r="B26" s="1" t="s">
        <v>16</v>
      </c>
      <c r="I26" s="1">
        <v>24382</v>
      </c>
      <c r="J26" s="1">
        <v>7981</v>
      </c>
      <c r="U26" s="1" t="s">
        <v>42</v>
      </c>
      <c r="V26" s="1">
        <f>+J35-J38</f>
        <v>-18042</v>
      </c>
    </row>
    <row r="27" spans="2:122" x14ac:dyDescent="0.25">
      <c r="B27" s="1" t="s">
        <v>17</v>
      </c>
      <c r="I27" s="1">
        <v>4328</v>
      </c>
      <c r="J27" s="1">
        <v>4088</v>
      </c>
      <c r="U27" s="1" t="s">
        <v>43</v>
      </c>
      <c r="V27" s="1">
        <f>+V25+V26</f>
        <v>520269.57672768773</v>
      </c>
    </row>
    <row r="28" spans="2:122" x14ac:dyDescent="0.25">
      <c r="B28" s="1" t="s">
        <v>18</v>
      </c>
      <c r="I28" s="1">
        <f>+I26-I27</f>
        <v>20054</v>
      </c>
      <c r="J28" s="1">
        <f>+J26-J27</f>
        <v>3893</v>
      </c>
      <c r="U28" s="1" t="s">
        <v>44</v>
      </c>
      <c r="V28" s="1">
        <v>9570.2610000000004</v>
      </c>
    </row>
    <row r="29" spans="2:122" x14ac:dyDescent="0.25">
      <c r="U29" s="1" t="s">
        <v>45</v>
      </c>
      <c r="V29" s="1">
        <f>+V27/V28</f>
        <v>54.36315443514944</v>
      </c>
    </row>
    <row r="30" spans="2:122" x14ac:dyDescent="0.25">
      <c r="B30" s="1" t="s">
        <v>19</v>
      </c>
      <c r="I30" s="1">
        <v>137682</v>
      </c>
      <c r="J30" s="1">
        <v>147870</v>
      </c>
      <c r="U30" s="1" t="s">
        <v>46</v>
      </c>
      <c r="V30" s="1">
        <v>37.200000000000003</v>
      </c>
    </row>
    <row r="31" spans="2:122" x14ac:dyDescent="0.25">
      <c r="B31" s="1" t="s">
        <v>20</v>
      </c>
      <c r="I31" s="1">
        <v>73564</v>
      </c>
      <c r="J31" s="1">
        <v>78407</v>
      </c>
      <c r="U31" s="1" t="s">
        <v>47</v>
      </c>
      <c r="V31" s="4">
        <f>1-(V30/V29)</f>
        <v>0.31571299740568959</v>
      </c>
    </row>
    <row r="32" spans="2:122" x14ac:dyDescent="0.25">
      <c r="B32" s="1" t="s">
        <v>21</v>
      </c>
      <c r="I32" s="1">
        <f>+I30-I31</f>
        <v>64118</v>
      </c>
      <c r="J32" s="1">
        <f>+J30-J31</f>
        <v>69463</v>
      </c>
    </row>
    <row r="33" spans="2:10" x14ac:dyDescent="0.25">
      <c r="B33" s="1" t="s">
        <v>22</v>
      </c>
      <c r="J33" s="1">
        <f>+J32-I32</f>
        <v>5345</v>
      </c>
    </row>
    <row r="35" spans="2:10" x14ac:dyDescent="0.25">
      <c r="B35" s="1" t="s">
        <v>23</v>
      </c>
      <c r="I35" s="1">
        <v>40050</v>
      </c>
      <c r="J35" s="1">
        <v>27303</v>
      </c>
    </row>
    <row r="36" spans="2:10" x14ac:dyDescent="0.25">
      <c r="B36" s="1" t="s">
        <v>24</v>
      </c>
      <c r="I36" s="1">
        <v>29</v>
      </c>
      <c r="J36" s="1">
        <v>30</v>
      </c>
    </row>
    <row r="37" spans="2:10" x14ac:dyDescent="0.25">
      <c r="B37" s="1" t="s">
        <v>25</v>
      </c>
      <c r="I37" s="1">
        <v>65037</v>
      </c>
      <c r="J37" s="1">
        <v>64055</v>
      </c>
    </row>
    <row r="38" spans="2:10" x14ac:dyDescent="0.25">
      <c r="B38" s="1" t="s">
        <v>26</v>
      </c>
      <c r="I38" s="1">
        <f>19575+18460</f>
        <v>38035</v>
      </c>
      <c r="J38" s="1">
        <f>19665+25680</f>
        <v>45345</v>
      </c>
    </row>
    <row r="39" spans="2:10" s="3" customFormat="1" x14ac:dyDescent="0.25">
      <c r="B39" s="3" t="s">
        <v>27</v>
      </c>
      <c r="I39" s="3">
        <f>+I35+I36+I37-I38</f>
        <v>67081</v>
      </c>
      <c r="J39" s="3">
        <f>+J35+J36+J37-J38</f>
        <v>46043</v>
      </c>
    </row>
    <row r="41" spans="2:10" x14ac:dyDescent="0.25">
      <c r="B41" s="1" t="s">
        <v>29</v>
      </c>
      <c r="E41" s="1">
        <v>796</v>
      </c>
      <c r="F41" s="1">
        <v>866</v>
      </c>
      <c r="G41" s="1">
        <v>1009</v>
      </c>
      <c r="H41" s="1">
        <v>1055</v>
      </c>
      <c r="I41" s="1">
        <v>1098</v>
      </c>
      <c r="J41" s="1">
        <v>1140</v>
      </c>
    </row>
    <row r="42" spans="2:10" x14ac:dyDescent="0.25">
      <c r="B42" s="1" t="s">
        <v>30</v>
      </c>
      <c r="E42" s="1">
        <f t="shared" ref="E42:I42" si="15">+E7/E41</f>
        <v>170.47738693467338</v>
      </c>
      <c r="F42" s="1">
        <f t="shared" si="15"/>
        <v>180.71593533487297</v>
      </c>
      <c r="G42" s="1">
        <f t="shared" si="15"/>
        <v>179.08820614469772</v>
      </c>
      <c r="H42" s="1">
        <f t="shared" si="15"/>
        <v>170.33175355450237</v>
      </c>
      <c r="I42" s="1">
        <f t="shared" si="15"/>
        <v>174.18214936247722</v>
      </c>
      <c r="J42" s="1">
        <f>+J7/J41</f>
        <v>184.91315789473686</v>
      </c>
    </row>
    <row r="43" spans="2:10" x14ac:dyDescent="0.25">
      <c r="B43" s="1" t="s">
        <v>31</v>
      </c>
      <c r="E43" s="5">
        <f t="shared" ref="E43:I43" si="16">+E16/E41</f>
        <v>8.0402010050251249</v>
      </c>
      <c r="F43" s="5">
        <f t="shared" si="16"/>
        <v>18.706697459584294</v>
      </c>
      <c r="G43" s="5">
        <f t="shared" si="16"/>
        <v>19.425173439048564</v>
      </c>
      <c r="H43" s="5">
        <f t="shared" si="16"/>
        <v>16.682464454976305</v>
      </c>
      <c r="I43" s="5">
        <f t="shared" si="16"/>
        <v>19.816939890710383</v>
      </c>
      <c r="J43" s="5">
        <f>+J16/J41</f>
        <v>18.322807017543859</v>
      </c>
    </row>
    <row r="44" spans="2:10" x14ac:dyDescent="0.25">
      <c r="B44" s="1" t="s">
        <v>38</v>
      </c>
      <c r="E44" s="5"/>
      <c r="F44" s="5"/>
      <c r="G44" s="5"/>
      <c r="H44" s="5"/>
      <c r="I44" s="1">
        <f>+I46/I41 *1000</f>
        <v>71038.251366120225</v>
      </c>
      <c r="J44" s="1">
        <f>+J46/J41 *1000</f>
        <v>75075.438596491222</v>
      </c>
    </row>
    <row r="46" spans="2:10" x14ac:dyDescent="0.25">
      <c r="B46" s="3" t="s">
        <v>35</v>
      </c>
      <c r="I46" s="1">
        <f>+I47+I48+I49</f>
        <v>78000</v>
      </c>
      <c r="J46" s="1">
        <f>+J47+J48+J49</f>
        <v>85586</v>
      </c>
    </row>
    <row r="47" spans="2:10" x14ac:dyDescent="0.25">
      <c r="B47" s="1" t="s">
        <v>1</v>
      </c>
      <c r="I47" s="1">
        <v>47962</v>
      </c>
      <c r="J47" s="1">
        <v>53229</v>
      </c>
    </row>
    <row r="48" spans="2:10" x14ac:dyDescent="0.25">
      <c r="B48" s="1" t="s">
        <v>2</v>
      </c>
      <c r="I48" s="1">
        <v>16677</v>
      </c>
      <c r="J48" s="1">
        <v>17464</v>
      </c>
    </row>
    <row r="49" spans="2:10" x14ac:dyDescent="0.25">
      <c r="B49" s="1" t="s">
        <v>3</v>
      </c>
      <c r="I49" s="1">
        <v>13361</v>
      </c>
      <c r="J49" s="1">
        <v>14893</v>
      </c>
    </row>
    <row r="51" spans="2:10" x14ac:dyDescent="0.25">
      <c r="B51" s="3" t="s">
        <v>4</v>
      </c>
    </row>
    <row r="52" spans="2:10" x14ac:dyDescent="0.25">
      <c r="B52" s="1" t="s">
        <v>36</v>
      </c>
      <c r="I52" s="1">
        <v>12085</v>
      </c>
      <c r="J52" s="1">
        <v>11549</v>
      </c>
    </row>
    <row r="53" spans="2:10" x14ac:dyDescent="0.25">
      <c r="B53" s="1" t="s">
        <v>37</v>
      </c>
      <c r="I53" s="1">
        <v>1421</v>
      </c>
      <c r="J53" s="1">
        <v>1477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TR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Kutzer Maximilian Claudius</dc:creator>
  <cp:lastModifiedBy>Kutzer Maximilian Claudius</cp:lastModifiedBy>
  <dcterms:created xsi:type="dcterms:W3CDTF">2024-12-07T15:37:05Z</dcterms:created>
  <dcterms:modified xsi:type="dcterms:W3CDTF">2024-12-07T16:35:50Z</dcterms:modified>
</cp:coreProperties>
</file>