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kut\Desktop\Stonks\Analysis\"/>
    </mc:Choice>
  </mc:AlternateContent>
  <xr:revisionPtr revIDLastSave="0" documentId="13_ncr:1_{572AB742-3917-4C08-A73D-DB2B95CA302F}" xr6:coauthVersionLast="47" xr6:coauthVersionMax="47" xr10:uidLastSave="{00000000-0000-0000-0000-000000000000}"/>
  <bookViews>
    <workbookView xWindow="-120" yWindow="-120" windowWidth="29040" windowHeight="15840" activeTab="1" xr2:uid="{D92089E8-B56E-4CAF-A75B-C7CFBE815220}"/>
  </bookViews>
  <sheets>
    <sheet name="Sheet1" sheetId="1" r:id="rId1"/>
    <sheet name="Sheet2" sheetId="2" r:id="rId2"/>
  </sheets>
  <definedNames>
    <definedName name="TR">Sheet1!$AW$43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19" i="2" l="1"/>
  <c r="N5" i="2"/>
  <c r="O5" i="2"/>
  <c r="P5" i="2"/>
  <c r="Q5" i="2"/>
  <c r="M5" i="2"/>
  <c r="L5" i="2"/>
  <c r="L11" i="2" s="1"/>
  <c r="K5" i="2"/>
  <c r="J5" i="2"/>
  <c r="J11" i="2" s="1"/>
  <c r="I5" i="2"/>
  <c r="M11" i="2"/>
  <c r="N11" i="2"/>
  <c r="O11" i="2"/>
  <c r="P11" i="2"/>
  <c r="Q11" i="2"/>
  <c r="M12" i="2"/>
  <c r="L14" i="2"/>
  <c r="M14" i="2"/>
  <c r="N14" i="2"/>
  <c r="O14" i="2"/>
  <c r="P14" i="2"/>
  <c r="Q14" i="2"/>
  <c r="M6" i="2"/>
  <c r="M7" i="2" s="1"/>
  <c r="M8" i="2" s="1"/>
  <c r="N6" i="2"/>
  <c r="N7" i="2" s="1"/>
  <c r="N8" i="2" s="1"/>
  <c r="O6" i="2"/>
  <c r="O7" i="2" s="1"/>
  <c r="O8" i="2" s="1"/>
  <c r="P6" i="2"/>
  <c r="P7" i="2" s="1"/>
  <c r="P8" i="2" s="1"/>
  <c r="Q6" i="2"/>
  <c r="Q12" i="2" s="1"/>
  <c r="N4" i="2"/>
  <c r="O4" i="2" s="1"/>
  <c r="P4" i="2" s="1"/>
  <c r="Q4" i="2" s="1"/>
  <c r="M4" i="2"/>
  <c r="L4" i="2"/>
  <c r="Q2" i="2"/>
  <c r="P2" i="2"/>
  <c r="H2" i="2"/>
  <c r="I2" i="2" s="1"/>
  <c r="J2" i="2" s="1"/>
  <c r="K2" i="2" s="1"/>
  <c r="L2" i="2" s="1"/>
  <c r="M2" i="2" s="1"/>
  <c r="N2" i="2" s="1"/>
  <c r="O2" i="2" s="1"/>
  <c r="H14" i="2"/>
  <c r="I14" i="2"/>
  <c r="J14" i="2"/>
  <c r="K14" i="2"/>
  <c r="H7" i="2"/>
  <c r="H8" i="2"/>
  <c r="H6" i="2"/>
  <c r="I6" i="2"/>
  <c r="I7" i="2" s="1"/>
  <c r="I13" i="2" s="1"/>
  <c r="J6" i="2"/>
  <c r="J7" i="2" s="1"/>
  <c r="K6" i="2"/>
  <c r="K7" i="2" s="1"/>
  <c r="K13" i="2" s="1"/>
  <c r="H11" i="2"/>
  <c r="I11" i="2"/>
  <c r="K11" i="2"/>
  <c r="H12" i="2"/>
  <c r="J12" i="2"/>
  <c r="H13" i="2"/>
  <c r="H5" i="2"/>
  <c r="G13" i="2"/>
  <c r="G12" i="2"/>
  <c r="G11" i="2"/>
  <c r="G14" i="2"/>
  <c r="G5" i="2"/>
  <c r="G6" i="2" s="1"/>
  <c r="E11" i="2"/>
  <c r="F11" i="2"/>
  <c r="E12" i="2"/>
  <c r="F12" i="2"/>
  <c r="E13" i="2"/>
  <c r="F13" i="2"/>
  <c r="D13" i="2"/>
  <c r="D12" i="2"/>
  <c r="D11" i="2"/>
  <c r="F14" i="2"/>
  <c r="E14" i="2"/>
  <c r="F8" i="2"/>
  <c r="E8" i="2"/>
  <c r="D8" i="2"/>
  <c r="F4" i="2"/>
  <c r="E4" i="2"/>
  <c r="D4" i="2"/>
  <c r="E2" i="2"/>
  <c r="F2" i="2" s="1"/>
  <c r="G2" i="2" s="1"/>
  <c r="AG4" i="1"/>
  <c r="AJ24" i="1"/>
  <c r="AK24" i="1" s="1"/>
  <c r="AL24" i="1" s="1"/>
  <c r="AM24" i="1" s="1"/>
  <c r="AN24" i="1" s="1"/>
  <c r="AO24" i="1" s="1"/>
  <c r="AP24" i="1" s="1"/>
  <c r="AQ24" i="1" s="1"/>
  <c r="AR24" i="1" s="1"/>
  <c r="AS24" i="1" s="1"/>
  <c r="AI24" i="1"/>
  <c r="AJ23" i="1"/>
  <c r="AK23" i="1" s="1"/>
  <c r="AL23" i="1" s="1"/>
  <c r="AM23" i="1" s="1"/>
  <c r="AN23" i="1" s="1"/>
  <c r="AO23" i="1" s="1"/>
  <c r="AP23" i="1" s="1"/>
  <c r="AQ23" i="1" s="1"/>
  <c r="AR23" i="1" s="1"/>
  <c r="AS23" i="1" s="1"/>
  <c r="AI23" i="1"/>
  <c r="AI13" i="1"/>
  <c r="AJ13" i="1" s="1"/>
  <c r="AK13" i="1" s="1"/>
  <c r="AL13" i="1" s="1"/>
  <c r="AM13" i="1" s="1"/>
  <c r="AN13" i="1" s="1"/>
  <c r="AO13" i="1" s="1"/>
  <c r="AP13" i="1" s="1"/>
  <c r="AQ13" i="1" s="1"/>
  <c r="AR13" i="1" s="1"/>
  <c r="AS13" i="1" s="1"/>
  <c r="AH13" i="1"/>
  <c r="AI12" i="1"/>
  <c r="AJ12" i="1" s="1"/>
  <c r="AK12" i="1" s="1"/>
  <c r="AL12" i="1" s="1"/>
  <c r="AM12" i="1" s="1"/>
  <c r="AN12" i="1" s="1"/>
  <c r="AO12" i="1" s="1"/>
  <c r="AP12" i="1" s="1"/>
  <c r="AQ12" i="1" s="1"/>
  <c r="AR12" i="1" s="1"/>
  <c r="AS12" i="1" s="1"/>
  <c r="AH12" i="1"/>
  <c r="AI34" i="1"/>
  <c r="AJ34" i="1" s="1"/>
  <c r="AK34" i="1" s="1"/>
  <c r="AL34" i="1" s="1"/>
  <c r="AM34" i="1" s="1"/>
  <c r="AN34" i="1" s="1"/>
  <c r="AO34" i="1" s="1"/>
  <c r="AP34" i="1" s="1"/>
  <c r="AQ34" i="1" s="1"/>
  <c r="AR34" i="1" s="1"/>
  <c r="AS34" i="1" s="1"/>
  <c r="AH34" i="1"/>
  <c r="AI28" i="1"/>
  <c r="AJ28" i="1" s="1"/>
  <c r="AK28" i="1" s="1"/>
  <c r="AL28" i="1" s="1"/>
  <c r="AM28" i="1" s="1"/>
  <c r="AN28" i="1" s="1"/>
  <c r="AO28" i="1" s="1"/>
  <c r="AP28" i="1" s="1"/>
  <c r="AQ28" i="1" s="1"/>
  <c r="AR28" i="1" s="1"/>
  <c r="AS28" i="1" s="1"/>
  <c r="AJ27" i="1"/>
  <c r="AK27" i="1" s="1"/>
  <c r="AL27" i="1" s="1"/>
  <c r="AM27" i="1" s="1"/>
  <c r="AN27" i="1" s="1"/>
  <c r="AO27" i="1" s="1"/>
  <c r="AP27" i="1" s="1"/>
  <c r="AQ27" i="1" s="1"/>
  <c r="AR27" i="1" s="1"/>
  <c r="AS27" i="1" s="1"/>
  <c r="AI27" i="1"/>
  <c r="AH5" i="1"/>
  <c r="AI5" i="1" s="1"/>
  <c r="AJ5" i="1" s="1"/>
  <c r="AK5" i="1" s="1"/>
  <c r="AL5" i="1" s="1"/>
  <c r="AM5" i="1" s="1"/>
  <c r="AN5" i="1" s="1"/>
  <c r="AO5" i="1" s="1"/>
  <c r="AP5" i="1" s="1"/>
  <c r="AQ5" i="1" s="1"/>
  <c r="AR5" i="1" s="1"/>
  <c r="AS5" i="1" s="1"/>
  <c r="AH4" i="1"/>
  <c r="AI4" i="1" s="1"/>
  <c r="AJ4" i="1" s="1"/>
  <c r="AK4" i="1" s="1"/>
  <c r="AL4" i="1" s="1"/>
  <c r="AM4" i="1" s="1"/>
  <c r="AN4" i="1" s="1"/>
  <c r="AH24" i="1"/>
  <c r="AE43" i="1"/>
  <c r="AF43" i="1"/>
  <c r="AD43" i="1"/>
  <c r="AH20" i="1"/>
  <c r="AI20" i="1" s="1"/>
  <c r="AJ20" i="1" s="1"/>
  <c r="AK20" i="1" s="1"/>
  <c r="AL20" i="1" s="1"/>
  <c r="AM20" i="1" s="1"/>
  <c r="AN20" i="1" s="1"/>
  <c r="AO20" i="1" s="1"/>
  <c r="AP20" i="1" s="1"/>
  <c r="AQ20" i="1" s="1"/>
  <c r="AR20" i="1" s="1"/>
  <c r="AS20" i="1" s="1"/>
  <c r="AI19" i="1"/>
  <c r="AJ19" i="1" s="1"/>
  <c r="AK19" i="1" s="1"/>
  <c r="AL19" i="1" s="1"/>
  <c r="AM19" i="1" s="1"/>
  <c r="AN19" i="1" s="1"/>
  <c r="AO19" i="1" s="1"/>
  <c r="AP19" i="1" s="1"/>
  <c r="AQ19" i="1" s="1"/>
  <c r="AR19" i="1" s="1"/>
  <c r="AS19" i="1" s="1"/>
  <c r="AH19" i="1"/>
  <c r="AI18" i="1"/>
  <c r="AJ18" i="1" s="1"/>
  <c r="AK18" i="1" s="1"/>
  <c r="AL18" i="1" s="1"/>
  <c r="AM18" i="1" s="1"/>
  <c r="AN18" i="1" s="1"/>
  <c r="AO18" i="1" s="1"/>
  <c r="AP18" i="1" s="1"/>
  <c r="AQ18" i="1" s="1"/>
  <c r="AR18" i="1" s="1"/>
  <c r="AS18" i="1" s="1"/>
  <c r="AH18" i="1"/>
  <c r="AL17" i="1"/>
  <c r="AM17" i="1" s="1"/>
  <c r="AN17" i="1" s="1"/>
  <c r="AO17" i="1" s="1"/>
  <c r="AP17" i="1" s="1"/>
  <c r="AQ17" i="1" s="1"/>
  <c r="AR17" i="1" s="1"/>
  <c r="AS17" i="1" s="1"/>
  <c r="AK17" i="1"/>
  <c r="AJ17" i="1"/>
  <c r="AI17" i="1"/>
  <c r="AH17" i="1"/>
  <c r="AI16" i="1"/>
  <c r="AJ16" i="1" s="1"/>
  <c r="AK16" i="1" s="1"/>
  <c r="AL16" i="1" s="1"/>
  <c r="AM16" i="1" s="1"/>
  <c r="AN16" i="1" s="1"/>
  <c r="AO16" i="1" s="1"/>
  <c r="AP16" i="1" s="1"/>
  <c r="AQ16" i="1" s="1"/>
  <c r="AR16" i="1" s="1"/>
  <c r="AS16" i="1" s="1"/>
  <c r="AH16" i="1"/>
  <c r="AK15" i="1"/>
  <c r="AL15" i="1" s="1"/>
  <c r="AM15" i="1" s="1"/>
  <c r="AN15" i="1" s="1"/>
  <c r="AO15" i="1" s="1"/>
  <c r="AP15" i="1" s="1"/>
  <c r="AQ15" i="1" s="1"/>
  <c r="AR15" i="1" s="1"/>
  <c r="AS15" i="1" s="1"/>
  <c r="AJ15" i="1"/>
  <c r="AI15" i="1"/>
  <c r="AH15" i="1"/>
  <c r="AI14" i="1"/>
  <c r="AJ14" i="1" s="1"/>
  <c r="AK14" i="1" s="1"/>
  <c r="AL14" i="1" s="1"/>
  <c r="AM14" i="1" s="1"/>
  <c r="AN14" i="1" s="1"/>
  <c r="AO14" i="1" s="1"/>
  <c r="AP14" i="1" s="1"/>
  <c r="AQ14" i="1" s="1"/>
  <c r="AR14" i="1" s="1"/>
  <c r="AS14" i="1" s="1"/>
  <c r="AH14" i="1"/>
  <c r="AH11" i="1"/>
  <c r="AI11" i="1" s="1"/>
  <c r="AI10" i="1"/>
  <c r="AJ10" i="1" s="1"/>
  <c r="AK10" i="1" s="1"/>
  <c r="AL10" i="1" s="1"/>
  <c r="AM10" i="1" s="1"/>
  <c r="AN10" i="1" s="1"/>
  <c r="AO10" i="1" s="1"/>
  <c r="AP10" i="1" s="1"/>
  <c r="AQ10" i="1" s="1"/>
  <c r="AR10" i="1" s="1"/>
  <c r="AS10" i="1" s="1"/>
  <c r="AH10" i="1"/>
  <c r="AI6" i="1"/>
  <c r="AJ6" i="1" s="1"/>
  <c r="AK6" i="1" s="1"/>
  <c r="AL6" i="1" s="1"/>
  <c r="AM6" i="1" s="1"/>
  <c r="AN6" i="1" s="1"/>
  <c r="AO6" i="1" s="1"/>
  <c r="AP6" i="1" s="1"/>
  <c r="AQ6" i="1" s="1"/>
  <c r="AR6" i="1" s="1"/>
  <c r="AS6" i="1" s="1"/>
  <c r="AH6" i="1"/>
  <c r="AD42" i="1"/>
  <c r="AE42" i="1"/>
  <c r="AF42" i="1"/>
  <c r="AG42" i="1"/>
  <c r="AD41" i="1"/>
  <c r="AD40" i="1"/>
  <c r="AE41" i="1"/>
  <c r="AE40" i="1"/>
  <c r="AF41" i="1"/>
  <c r="AF40" i="1"/>
  <c r="AG41" i="1"/>
  <c r="AG40" i="1"/>
  <c r="AF51" i="1"/>
  <c r="AG51" i="1"/>
  <c r="AD51" i="1"/>
  <c r="AC51" i="1"/>
  <c r="AE51" i="1"/>
  <c r="V34" i="1"/>
  <c r="V29" i="1"/>
  <c r="V15" i="1"/>
  <c r="V9" i="1"/>
  <c r="V21" i="1" s="1"/>
  <c r="V7" i="1"/>
  <c r="AG28" i="1"/>
  <c r="AG29" i="1" s="1"/>
  <c r="AG27" i="1"/>
  <c r="AF32" i="1"/>
  <c r="AF28" i="1"/>
  <c r="AF27" i="1"/>
  <c r="AE32" i="1"/>
  <c r="AE28" i="1"/>
  <c r="AE27" i="1"/>
  <c r="AG24" i="1"/>
  <c r="AF24" i="1"/>
  <c r="AE24" i="1"/>
  <c r="AE23" i="1"/>
  <c r="AG34" i="1"/>
  <c r="AF34" i="1"/>
  <c r="AE34" i="1"/>
  <c r="AD34" i="1"/>
  <c r="AC34" i="1"/>
  <c r="AH29" i="1"/>
  <c r="AG20" i="1"/>
  <c r="AG19" i="1"/>
  <c r="AG18" i="1"/>
  <c r="AG17" i="1"/>
  <c r="AG16" i="1"/>
  <c r="AG15" i="1"/>
  <c r="AG14" i="1"/>
  <c r="AG13" i="1"/>
  <c r="AG12" i="1"/>
  <c r="AG11" i="1"/>
  <c r="AG10" i="1"/>
  <c r="AG9" i="1"/>
  <c r="AG6" i="1"/>
  <c r="AG5" i="1"/>
  <c r="AG54" i="1" s="1"/>
  <c r="AG53" i="1"/>
  <c r="AF20" i="1"/>
  <c r="AF19" i="1"/>
  <c r="AF18" i="1"/>
  <c r="AF17" i="1"/>
  <c r="AF16" i="1"/>
  <c r="AF15" i="1"/>
  <c r="AF14" i="1"/>
  <c r="AF13" i="1"/>
  <c r="AF12" i="1"/>
  <c r="AF11" i="1"/>
  <c r="AF10" i="1"/>
  <c r="AF9" i="1"/>
  <c r="AF6" i="1"/>
  <c r="AF5" i="1"/>
  <c r="AF4" i="1"/>
  <c r="AF52" i="1" s="1"/>
  <c r="AE7" i="1"/>
  <c r="AE11" i="1"/>
  <c r="AE12" i="1"/>
  <c r="AE13" i="1"/>
  <c r="AE14" i="1"/>
  <c r="AE15" i="1"/>
  <c r="AE16" i="1"/>
  <c r="AE17" i="1"/>
  <c r="AE18" i="1"/>
  <c r="AE19" i="1"/>
  <c r="AE20" i="1"/>
  <c r="AE10" i="1"/>
  <c r="AE9" i="1"/>
  <c r="AE6" i="1"/>
  <c r="AE5" i="1"/>
  <c r="AE54" i="1" s="1"/>
  <c r="AE4" i="1"/>
  <c r="AE53" i="1" s="1"/>
  <c r="AD32" i="1"/>
  <c r="AD28" i="1"/>
  <c r="AD27" i="1"/>
  <c r="AD29" i="1" s="1"/>
  <c r="AD24" i="1"/>
  <c r="AD23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6" i="1"/>
  <c r="AD5" i="1"/>
  <c r="AD54" i="1" s="1"/>
  <c r="AD4" i="1"/>
  <c r="AD53" i="1" s="1"/>
  <c r="AC32" i="1"/>
  <c r="AC28" i="1"/>
  <c r="AC27" i="1"/>
  <c r="AC24" i="1"/>
  <c r="AC23" i="1"/>
  <c r="AC13" i="1"/>
  <c r="AC20" i="1"/>
  <c r="AC19" i="1"/>
  <c r="AC18" i="1"/>
  <c r="AC17" i="1"/>
  <c r="AC16" i="1"/>
  <c r="AC15" i="1"/>
  <c r="AC14" i="1"/>
  <c r="AC12" i="1"/>
  <c r="AC11" i="1"/>
  <c r="AC10" i="1"/>
  <c r="AC9" i="1"/>
  <c r="AC6" i="1"/>
  <c r="AC5" i="1"/>
  <c r="AC54" i="1" s="1"/>
  <c r="AC4" i="1"/>
  <c r="AE2" i="1"/>
  <c r="AF2" i="1" s="1"/>
  <c r="AG2" i="1" s="1"/>
  <c r="AH2" i="1" s="1"/>
  <c r="AI2" i="1" s="1"/>
  <c r="AJ2" i="1" s="1"/>
  <c r="AK2" i="1" s="1"/>
  <c r="AL2" i="1" s="1"/>
  <c r="AM2" i="1" s="1"/>
  <c r="AN2" i="1" s="1"/>
  <c r="AO2" i="1" s="1"/>
  <c r="AP2" i="1" s="1"/>
  <c r="AQ2" i="1" s="1"/>
  <c r="AR2" i="1" s="1"/>
  <c r="AS2" i="1" s="1"/>
  <c r="AD2" i="1"/>
  <c r="D52" i="1"/>
  <c r="E52" i="1"/>
  <c r="F52" i="1"/>
  <c r="G52" i="1"/>
  <c r="H52" i="1"/>
  <c r="I52" i="1"/>
  <c r="J52" i="1"/>
  <c r="K52" i="1"/>
  <c r="L52" i="1"/>
  <c r="M52" i="1"/>
  <c r="N52" i="1"/>
  <c r="O52" i="1"/>
  <c r="P52" i="1"/>
  <c r="Q52" i="1"/>
  <c r="R52" i="1"/>
  <c r="S52" i="1"/>
  <c r="T52" i="1"/>
  <c r="U52" i="1"/>
  <c r="C52" i="1"/>
  <c r="L49" i="1"/>
  <c r="M49" i="1"/>
  <c r="N49" i="1"/>
  <c r="O49" i="1"/>
  <c r="P49" i="1"/>
  <c r="Q49" i="1"/>
  <c r="R49" i="1"/>
  <c r="S49" i="1"/>
  <c r="T49" i="1"/>
  <c r="U49" i="1"/>
  <c r="K49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C29" i="1"/>
  <c r="R23" i="1"/>
  <c r="AF23" i="1" s="1"/>
  <c r="S23" i="1"/>
  <c r="T23" i="1"/>
  <c r="U23" i="1"/>
  <c r="U25" i="1" s="1"/>
  <c r="D21" i="1"/>
  <c r="E21" i="1"/>
  <c r="F21" i="1"/>
  <c r="G21" i="1"/>
  <c r="H21" i="1"/>
  <c r="I21" i="1"/>
  <c r="J21" i="1"/>
  <c r="K21" i="1"/>
  <c r="L21" i="1"/>
  <c r="M21" i="1"/>
  <c r="M25" i="1" s="1"/>
  <c r="N21" i="1"/>
  <c r="N25" i="1" s="1"/>
  <c r="N37" i="1" s="1"/>
  <c r="O21" i="1"/>
  <c r="P21" i="1"/>
  <c r="Q21" i="1"/>
  <c r="R21" i="1"/>
  <c r="S21" i="1"/>
  <c r="T21" i="1"/>
  <c r="U21" i="1"/>
  <c r="C21" i="1"/>
  <c r="D7" i="1"/>
  <c r="D25" i="1" s="1"/>
  <c r="E7" i="1"/>
  <c r="F7" i="1"/>
  <c r="F25" i="1" s="1"/>
  <c r="G7" i="1"/>
  <c r="G25" i="1" s="1"/>
  <c r="H7" i="1"/>
  <c r="H25" i="1" s="1"/>
  <c r="I7" i="1"/>
  <c r="I25" i="1" s="1"/>
  <c r="J7" i="1"/>
  <c r="J25" i="1" s="1"/>
  <c r="K7" i="1"/>
  <c r="K25" i="1" s="1"/>
  <c r="L7" i="1"/>
  <c r="L25" i="1" s="1"/>
  <c r="L31" i="1" s="1"/>
  <c r="L33" i="1" s="1"/>
  <c r="M7" i="1"/>
  <c r="N7" i="1"/>
  <c r="O7" i="1"/>
  <c r="P7" i="1"/>
  <c r="P25" i="1" s="1"/>
  <c r="Q7" i="1"/>
  <c r="R7" i="1"/>
  <c r="S7" i="1"/>
  <c r="S25" i="1" s="1"/>
  <c r="T7" i="1"/>
  <c r="T25" i="1" s="1"/>
  <c r="U7" i="1"/>
  <c r="C7" i="1"/>
  <c r="C25" i="1" s="1"/>
  <c r="P13" i="2" l="1"/>
  <c r="O13" i="2"/>
  <c r="N13" i="2"/>
  <c r="P12" i="2"/>
  <c r="O12" i="2"/>
  <c r="N12" i="2"/>
  <c r="M13" i="2"/>
  <c r="L6" i="2"/>
  <c r="L12" i="2" s="1"/>
  <c r="K8" i="2"/>
  <c r="K12" i="2"/>
  <c r="J8" i="2"/>
  <c r="J13" i="2"/>
  <c r="I8" i="2"/>
  <c r="I12" i="2"/>
  <c r="L7" i="2"/>
  <c r="Q7" i="2"/>
  <c r="G7" i="2"/>
  <c r="G8" i="2" s="1"/>
  <c r="AI29" i="1"/>
  <c r="AK29" i="1"/>
  <c r="AJ29" i="1"/>
  <c r="AO4" i="1"/>
  <c r="AP4" i="1" s="1"/>
  <c r="AQ4" i="1" s="1"/>
  <c r="AR4" i="1" s="1"/>
  <c r="AS4" i="1" s="1"/>
  <c r="AI7" i="1"/>
  <c r="AI9" i="1" s="1"/>
  <c r="AI21" i="1" s="1"/>
  <c r="AI25" i="1" s="1"/>
  <c r="AJ11" i="1"/>
  <c r="AK11" i="1" s="1"/>
  <c r="AL11" i="1" s="1"/>
  <c r="AM11" i="1" s="1"/>
  <c r="AN11" i="1" s="1"/>
  <c r="AO11" i="1" s="1"/>
  <c r="AP11" i="1" s="1"/>
  <c r="AQ11" i="1" s="1"/>
  <c r="AR11" i="1" s="1"/>
  <c r="AS11" i="1" s="1"/>
  <c r="AJ7" i="1"/>
  <c r="AH7" i="1"/>
  <c r="K31" i="1"/>
  <c r="K33" i="1" s="1"/>
  <c r="K37" i="1"/>
  <c r="I31" i="1"/>
  <c r="I33" i="1" s="1"/>
  <c r="I37" i="1"/>
  <c r="AC52" i="1"/>
  <c r="AD21" i="1"/>
  <c r="AF21" i="1"/>
  <c r="V25" i="1"/>
  <c r="AG23" i="1"/>
  <c r="E25" i="1"/>
  <c r="E31" i="1" s="1"/>
  <c r="E33" i="1" s="1"/>
  <c r="AC7" i="1"/>
  <c r="AC25" i="1" s="1"/>
  <c r="AC37" i="1" s="1"/>
  <c r="R25" i="1"/>
  <c r="R31" i="1" s="1"/>
  <c r="R33" i="1" s="1"/>
  <c r="O25" i="1"/>
  <c r="AC21" i="1"/>
  <c r="AD7" i="1"/>
  <c r="Q25" i="1"/>
  <c r="AC29" i="1"/>
  <c r="AE21" i="1"/>
  <c r="AE25" i="1" s="1"/>
  <c r="AF7" i="1"/>
  <c r="AF25" i="1" s="1"/>
  <c r="AF37" i="1" s="1"/>
  <c r="AC53" i="1"/>
  <c r="M37" i="1"/>
  <c r="M31" i="1"/>
  <c r="M33" i="1" s="1"/>
  <c r="U37" i="1"/>
  <c r="U31" i="1"/>
  <c r="U33" i="1" s="1"/>
  <c r="T31" i="1"/>
  <c r="T33" i="1" s="1"/>
  <c r="T37" i="1"/>
  <c r="P37" i="1"/>
  <c r="P31" i="1"/>
  <c r="P33" i="1" s="1"/>
  <c r="O37" i="1"/>
  <c r="O31" i="1"/>
  <c r="O33" i="1" s="1"/>
  <c r="K38" i="1"/>
  <c r="K35" i="1"/>
  <c r="I38" i="1"/>
  <c r="I35" i="1"/>
  <c r="G31" i="1"/>
  <c r="G33" i="1" s="1"/>
  <c r="G37" i="1"/>
  <c r="Q31" i="1"/>
  <c r="Q33" i="1" s="1"/>
  <c r="Q37" i="1"/>
  <c r="D37" i="1"/>
  <c r="D31" i="1"/>
  <c r="D33" i="1" s="1"/>
  <c r="L38" i="1"/>
  <c r="L35" i="1"/>
  <c r="H31" i="1"/>
  <c r="H33" i="1" s="1"/>
  <c r="H37" i="1"/>
  <c r="S31" i="1"/>
  <c r="S33" i="1" s="1"/>
  <c r="S37" i="1"/>
  <c r="V37" i="1"/>
  <c r="V31" i="1"/>
  <c r="F31" i="1"/>
  <c r="F33" i="1" s="1"/>
  <c r="F37" i="1"/>
  <c r="AD25" i="1"/>
  <c r="C31" i="1"/>
  <c r="C33" i="1" s="1"/>
  <c r="C37" i="1"/>
  <c r="J31" i="1"/>
  <c r="J33" i="1" s="1"/>
  <c r="J37" i="1"/>
  <c r="L37" i="1"/>
  <c r="AG52" i="1"/>
  <c r="AF54" i="1"/>
  <c r="N31" i="1"/>
  <c r="N33" i="1" s="1"/>
  <c r="AD52" i="1"/>
  <c r="AE52" i="1"/>
  <c r="AF53" i="1"/>
  <c r="AG21" i="1"/>
  <c r="AG43" i="1"/>
  <c r="AF29" i="1"/>
  <c r="AE29" i="1"/>
  <c r="Q8" i="2" l="1"/>
  <c r="R8" i="2" s="1"/>
  <c r="Q13" i="2"/>
  <c r="L8" i="2"/>
  <c r="L13" i="2"/>
  <c r="AJ43" i="1"/>
  <c r="AJ9" i="1"/>
  <c r="AJ21" i="1" s="1"/>
  <c r="AH43" i="1"/>
  <c r="AH9" i="1"/>
  <c r="AH21" i="1" s="1"/>
  <c r="AI31" i="1"/>
  <c r="AI37" i="1"/>
  <c r="AL29" i="1"/>
  <c r="AI43" i="1"/>
  <c r="AJ25" i="1"/>
  <c r="AH25" i="1"/>
  <c r="AK7" i="1"/>
  <c r="E37" i="1"/>
  <c r="R37" i="1"/>
  <c r="AD31" i="1"/>
  <c r="AD33" i="1" s="1"/>
  <c r="AD37" i="1"/>
  <c r="C38" i="1"/>
  <c r="C35" i="1"/>
  <c r="D38" i="1"/>
  <c r="D35" i="1"/>
  <c r="T38" i="1"/>
  <c r="T35" i="1"/>
  <c r="Q35" i="1"/>
  <c r="Q38" i="1"/>
  <c r="N38" i="1"/>
  <c r="N35" i="1"/>
  <c r="R35" i="1"/>
  <c r="R38" i="1"/>
  <c r="U38" i="1"/>
  <c r="U35" i="1"/>
  <c r="H35" i="1"/>
  <c r="H38" i="1"/>
  <c r="E35" i="1"/>
  <c r="E38" i="1"/>
  <c r="V32" i="1"/>
  <c r="AG32" i="1" s="1"/>
  <c r="G35" i="1"/>
  <c r="G38" i="1"/>
  <c r="AE31" i="1"/>
  <c r="AE33" i="1" s="1"/>
  <c r="AE37" i="1"/>
  <c r="J38" i="1"/>
  <c r="J35" i="1"/>
  <c r="O35" i="1"/>
  <c r="O38" i="1"/>
  <c r="M38" i="1"/>
  <c r="M35" i="1"/>
  <c r="P38" i="1"/>
  <c r="P35" i="1"/>
  <c r="F35" i="1"/>
  <c r="F38" i="1"/>
  <c r="S35" i="1"/>
  <c r="S38" i="1"/>
  <c r="AF31" i="1"/>
  <c r="AF33" i="1" s="1"/>
  <c r="AG25" i="1"/>
  <c r="AG37" i="1" s="1"/>
  <c r="AC31" i="1"/>
  <c r="AC33" i="1" s="1"/>
  <c r="AC38" i="1" s="1"/>
  <c r="S8" i="2" l="1"/>
  <c r="T8" i="2" s="1"/>
  <c r="U8" i="2" s="1"/>
  <c r="V8" i="2" s="1"/>
  <c r="W8" i="2" s="1"/>
  <c r="X8" i="2" s="1"/>
  <c r="Y8" i="2" s="1"/>
  <c r="Z8" i="2" s="1"/>
  <c r="AA8" i="2" s="1"/>
  <c r="AB8" i="2" s="1"/>
  <c r="AC8" i="2" s="1"/>
  <c r="AD8" i="2" s="1"/>
  <c r="AE8" i="2" s="1"/>
  <c r="AF8" i="2" s="1"/>
  <c r="AG8" i="2" s="1"/>
  <c r="AH8" i="2" s="1"/>
  <c r="AI8" i="2" s="1"/>
  <c r="AJ8" i="2" s="1"/>
  <c r="AK8" i="2" s="1"/>
  <c r="AL8" i="2" s="1"/>
  <c r="AM8" i="2" s="1"/>
  <c r="AN8" i="2" s="1"/>
  <c r="AO8" i="2" s="1"/>
  <c r="AP8" i="2" s="1"/>
  <c r="AQ8" i="2" s="1"/>
  <c r="AR8" i="2" s="1"/>
  <c r="AS8" i="2" s="1"/>
  <c r="AT8" i="2" s="1"/>
  <c r="AU8" i="2" s="1"/>
  <c r="AV8" i="2" s="1"/>
  <c r="AW8" i="2" s="1"/>
  <c r="AX8" i="2" s="1"/>
  <c r="AY8" i="2" s="1"/>
  <c r="AZ8" i="2" s="1"/>
  <c r="BA8" i="2" s="1"/>
  <c r="BB8" i="2" s="1"/>
  <c r="BC8" i="2" s="1"/>
  <c r="BD8" i="2" s="1"/>
  <c r="BE8" i="2" s="1"/>
  <c r="BF8" i="2" s="1"/>
  <c r="BG8" i="2" s="1"/>
  <c r="BH8" i="2" s="1"/>
  <c r="BI8" i="2" s="1"/>
  <c r="BJ8" i="2" s="1"/>
  <c r="BK8" i="2" s="1"/>
  <c r="BL8" i="2" s="1"/>
  <c r="BM8" i="2" s="1"/>
  <c r="BN8" i="2" s="1"/>
  <c r="BO8" i="2" s="1"/>
  <c r="BP8" i="2" s="1"/>
  <c r="BQ8" i="2" s="1"/>
  <c r="BR8" i="2" s="1"/>
  <c r="BS8" i="2" s="1"/>
  <c r="BT8" i="2" s="1"/>
  <c r="BU8" i="2" s="1"/>
  <c r="BV8" i="2" s="1"/>
  <c r="BW8" i="2" s="1"/>
  <c r="BX8" i="2" s="1"/>
  <c r="BY8" i="2" s="1"/>
  <c r="BZ8" i="2" s="1"/>
  <c r="CA8" i="2" s="1"/>
  <c r="CB8" i="2" s="1"/>
  <c r="CC8" i="2" s="1"/>
  <c r="CD8" i="2" s="1"/>
  <c r="CE8" i="2" s="1"/>
  <c r="CF8" i="2" s="1"/>
  <c r="T15" i="2"/>
  <c r="T17" i="2" s="1"/>
  <c r="AK43" i="1"/>
  <c r="AK9" i="1"/>
  <c r="AK21" i="1" s="1"/>
  <c r="AH31" i="1"/>
  <c r="AH37" i="1"/>
  <c r="AJ31" i="1"/>
  <c r="AJ37" i="1"/>
  <c r="AI32" i="1"/>
  <c r="AI33" i="1" s="1"/>
  <c r="AM29" i="1"/>
  <c r="AK25" i="1"/>
  <c r="AL7" i="1"/>
  <c r="V33" i="1"/>
  <c r="AF35" i="1"/>
  <c r="AF38" i="1"/>
  <c r="AE35" i="1"/>
  <c r="AE38" i="1"/>
  <c r="AD35" i="1"/>
  <c r="AD38" i="1"/>
  <c r="AG31" i="1"/>
  <c r="AG33" i="1" s="1"/>
  <c r="AG35" i="1" s="1"/>
  <c r="AC35" i="1"/>
  <c r="AL43" i="1" l="1"/>
  <c r="AL9" i="1"/>
  <c r="AL21" i="1" s="1"/>
  <c r="AI38" i="1"/>
  <c r="AI35" i="1"/>
  <c r="AK31" i="1"/>
  <c r="AK37" i="1"/>
  <c r="AJ32" i="1"/>
  <c r="AJ33" i="1" s="1"/>
  <c r="AH32" i="1"/>
  <c r="AH33" i="1" s="1"/>
  <c r="AN29" i="1"/>
  <c r="AL25" i="1"/>
  <c r="AM7" i="1"/>
  <c r="V38" i="1"/>
  <c r="V35" i="1"/>
  <c r="AG38" i="1"/>
  <c r="AM43" i="1" l="1"/>
  <c r="AM9" i="1"/>
  <c r="AM21" i="1" s="1"/>
  <c r="AH35" i="1"/>
  <c r="AH38" i="1"/>
  <c r="AJ38" i="1"/>
  <c r="AJ35" i="1"/>
  <c r="AL31" i="1"/>
  <c r="AL37" i="1"/>
  <c r="AK32" i="1"/>
  <c r="AK33" i="1" s="1"/>
  <c r="AO29" i="1"/>
  <c r="AM25" i="1"/>
  <c r="AN7" i="1"/>
  <c r="AN43" i="1" l="1"/>
  <c r="AN9" i="1"/>
  <c r="AN21" i="1" s="1"/>
  <c r="AK38" i="1"/>
  <c r="AK35" i="1"/>
  <c r="AM31" i="1"/>
  <c r="AM37" i="1"/>
  <c r="AL32" i="1"/>
  <c r="AL33" i="1" s="1"/>
  <c r="AP29" i="1"/>
  <c r="AN25" i="1"/>
  <c r="AO7" i="1"/>
  <c r="AO43" i="1" l="1"/>
  <c r="AO9" i="1"/>
  <c r="AO21" i="1" s="1"/>
  <c r="AL38" i="1"/>
  <c r="AL35" i="1"/>
  <c r="AN31" i="1"/>
  <c r="AN37" i="1"/>
  <c r="AM32" i="1"/>
  <c r="AM33" i="1" s="1"/>
  <c r="AQ29" i="1"/>
  <c r="AO25" i="1"/>
  <c r="AP7" i="1"/>
  <c r="AP43" i="1" l="1"/>
  <c r="AP9" i="1"/>
  <c r="AP21" i="1" s="1"/>
  <c r="AM38" i="1"/>
  <c r="AM35" i="1"/>
  <c r="AO31" i="1"/>
  <c r="AO37" i="1"/>
  <c r="AN32" i="1"/>
  <c r="AN33" i="1" s="1"/>
  <c r="AR29" i="1"/>
  <c r="AS29" i="1"/>
  <c r="AP25" i="1"/>
  <c r="AQ7" i="1"/>
  <c r="AQ43" i="1" l="1"/>
  <c r="AQ9" i="1"/>
  <c r="AQ21" i="1" s="1"/>
  <c r="AN38" i="1"/>
  <c r="AN35" i="1"/>
  <c r="AP31" i="1"/>
  <c r="AP37" i="1"/>
  <c r="AO32" i="1"/>
  <c r="AO33" i="1" s="1"/>
  <c r="AQ25" i="1"/>
  <c r="AR7" i="1"/>
  <c r="AS7" i="1"/>
  <c r="AS9" i="1" s="1"/>
  <c r="AS21" i="1" s="1"/>
  <c r="AR43" i="1" l="1"/>
  <c r="AR9" i="1"/>
  <c r="AR21" i="1" s="1"/>
  <c r="AO38" i="1"/>
  <c r="AO35" i="1"/>
  <c r="AQ31" i="1"/>
  <c r="AQ37" i="1"/>
  <c r="AP32" i="1"/>
  <c r="AP33" i="1" s="1"/>
  <c r="AS25" i="1"/>
  <c r="AS43" i="1"/>
  <c r="AR25" i="1"/>
  <c r="AP38" i="1" l="1"/>
  <c r="AP35" i="1"/>
  <c r="AR31" i="1"/>
  <c r="AR37" i="1"/>
  <c r="AS31" i="1"/>
  <c r="AS37" i="1"/>
  <c r="AQ32" i="1"/>
  <c r="AQ33" i="1" s="1"/>
  <c r="AQ35" i="1" l="1"/>
  <c r="AQ38" i="1"/>
  <c r="AS32" i="1"/>
  <c r="AS33" i="1" s="1"/>
  <c r="AT33" i="1" s="1"/>
  <c r="AU33" i="1" s="1"/>
  <c r="AV33" i="1" s="1"/>
  <c r="AW33" i="1" s="1"/>
  <c r="AX33" i="1" s="1"/>
  <c r="AY33" i="1" s="1"/>
  <c r="AZ33" i="1" s="1"/>
  <c r="BA33" i="1" s="1"/>
  <c r="BB33" i="1" s="1"/>
  <c r="BC33" i="1" s="1"/>
  <c r="BD33" i="1" s="1"/>
  <c r="BE33" i="1" s="1"/>
  <c r="BF33" i="1" s="1"/>
  <c r="BG33" i="1" s="1"/>
  <c r="BH33" i="1" s="1"/>
  <c r="BI33" i="1" s="1"/>
  <c r="BJ33" i="1" s="1"/>
  <c r="BK33" i="1" s="1"/>
  <c r="BL33" i="1" s="1"/>
  <c r="BM33" i="1" s="1"/>
  <c r="BN33" i="1" s="1"/>
  <c r="BO33" i="1" s="1"/>
  <c r="BP33" i="1" s="1"/>
  <c r="BQ33" i="1" s="1"/>
  <c r="BR33" i="1" s="1"/>
  <c r="BS33" i="1" s="1"/>
  <c r="BT33" i="1" s="1"/>
  <c r="BU33" i="1" s="1"/>
  <c r="BV33" i="1" s="1"/>
  <c r="BW33" i="1" s="1"/>
  <c r="BX33" i="1" s="1"/>
  <c r="BY33" i="1" s="1"/>
  <c r="BZ33" i="1" s="1"/>
  <c r="CA33" i="1" s="1"/>
  <c r="CB33" i="1" s="1"/>
  <c r="CC33" i="1" s="1"/>
  <c r="CD33" i="1" s="1"/>
  <c r="CE33" i="1" s="1"/>
  <c r="CF33" i="1" s="1"/>
  <c r="CG33" i="1" s="1"/>
  <c r="CH33" i="1" s="1"/>
  <c r="CI33" i="1" s="1"/>
  <c r="CJ33" i="1" s="1"/>
  <c r="CK33" i="1" s="1"/>
  <c r="CL33" i="1" s="1"/>
  <c r="CM33" i="1" s="1"/>
  <c r="CN33" i="1" s="1"/>
  <c r="CO33" i="1" s="1"/>
  <c r="CP33" i="1" s="1"/>
  <c r="CQ33" i="1" s="1"/>
  <c r="CR33" i="1" s="1"/>
  <c r="CS33" i="1" s="1"/>
  <c r="CT33" i="1" s="1"/>
  <c r="CU33" i="1" s="1"/>
  <c r="CV33" i="1" s="1"/>
  <c r="CW33" i="1" s="1"/>
  <c r="AW44" i="1" s="1"/>
  <c r="AW46" i="1" s="1"/>
  <c r="AW47" i="1" s="1"/>
  <c r="AW49" i="1" s="1"/>
  <c r="AR32" i="1"/>
  <c r="AR33" i="1" s="1"/>
  <c r="AS35" i="1" l="1"/>
  <c r="AS38" i="1"/>
  <c r="AR38" i="1"/>
  <c r="AR35" i="1"/>
</calcChain>
</file>

<file path=xl/sharedStrings.xml><?xml version="1.0" encoding="utf-8"?>
<sst xmlns="http://schemas.openxmlformats.org/spreadsheetml/2006/main" count="84" uniqueCount="74">
  <si>
    <t>Search</t>
  </si>
  <si>
    <t>Advertising</t>
  </si>
  <si>
    <t>Tech Licensing</t>
  </si>
  <si>
    <t>Revenue</t>
  </si>
  <si>
    <t>Q119</t>
  </si>
  <si>
    <t>Q219</t>
  </si>
  <si>
    <t>Q319</t>
  </si>
  <si>
    <t>Q419</t>
  </si>
  <si>
    <t>Q120</t>
  </si>
  <si>
    <t>Q220</t>
  </si>
  <si>
    <t>Q320</t>
  </si>
  <si>
    <t>Q420</t>
  </si>
  <si>
    <t>Q121</t>
  </si>
  <si>
    <t>Q221</t>
  </si>
  <si>
    <t>Q321</t>
  </si>
  <si>
    <t>Q421</t>
  </si>
  <si>
    <t>Q122</t>
  </si>
  <si>
    <t>Q222</t>
  </si>
  <si>
    <t>Q322</t>
  </si>
  <si>
    <t>Q422</t>
  </si>
  <si>
    <t>Q123</t>
  </si>
  <si>
    <t>Q223</t>
  </si>
  <si>
    <t>Q323</t>
  </si>
  <si>
    <t>Hosting</t>
  </si>
  <si>
    <t>Travel</t>
  </si>
  <si>
    <t>Other</t>
  </si>
  <si>
    <t>Personnel expenses</t>
  </si>
  <si>
    <t>Tech and platform fees</t>
  </si>
  <si>
    <t>Content Cost</t>
  </si>
  <si>
    <t>Inventory Cost</t>
  </si>
  <si>
    <t>Marketing and Selling</t>
  </si>
  <si>
    <t>Credit Loss</t>
  </si>
  <si>
    <t>Legal and advisory fees</t>
  </si>
  <si>
    <t>Software licenses</t>
  </si>
  <si>
    <t>Rent</t>
  </si>
  <si>
    <t>Operating Expenses</t>
  </si>
  <si>
    <t>Operating Income</t>
  </si>
  <si>
    <t>Share-Based remuneration</t>
  </si>
  <si>
    <t>D&amp;A</t>
  </si>
  <si>
    <t>Finance Income</t>
  </si>
  <si>
    <t>Finance Expenses</t>
  </si>
  <si>
    <t>Finance, net</t>
  </si>
  <si>
    <t>Pretax</t>
  </si>
  <si>
    <t>Taxes</t>
  </si>
  <si>
    <t>Net Income</t>
  </si>
  <si>
    <t>Shares</t>
  </si>
  <si>
    <t>EPS</t>
  </si>
  <si>
    <t>Net Margin</t>
  </si>
  <si>
    <t>Operating Margin</t>
  </si>
  <si>
    <t>CFFO</t>
  </si>
  <si>
    <t>CapEx</t>
  </si>
  <si>
    <t>DevEx</t>
  </si>
  <si>
    <t>Payment of lease liab.</t>
  </si>
  <si>
    <t>FCF</t>
  </si>
  <si>
    <t>Total userbase, million</t>
  </si>
  <si>
    <t>Search&amp;Ad per User</t>
  </si>
  <si>
    <t>Search per User</t>
  </si>
  <si>
    <t>Ad per User</t>
  </si>
  <si>
    <t>Search Revenue Y/Y</t>
  </si>
  <si>
    <t>Ad Revenue Y/Y</t>
  </si>
  <si>
    <t>Tech Revenue Y/Y</t>
  </si>
  <si>
    <t>Revenue Y/Y</t>
  </si>
  <si>
    <t>Discount</t>
  </si>
  <si>
    <t>Terminal</t>
  </si>
  <si>
    <t>NPV</t>
  </si>
  <si>
    <t>Net Cash</t>
  </si>
  <si>
    <t>Price</t>
  </si>
  <si>
    <t>Value</t>
  </si>
  <si>
    <t>Current</t>
  </si>
  <si>
    <t>Return</t>
  </si>
  <si>
    <t>Operating Profit</t>
  </si>
  <si>
    <t>net Income</t>
  </si>
  <si>
    <t>Profit Margin</t>
  </si>
  <si>
    <t>Profit to Pretax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</si>
</sst>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2" fillId="0" borderId="0" xfId="0" applyFont="1"/>
    <xf numFmtId="3" fontId="2" fillId="0" borderId="0" xfId="0" applyNumberFormat="1" applyFont="1"/>
    <xf numFmtId="3" fontId="0" fillId="0" borderId="0" xfId="0" applyNumberFormat="1"/>
    <xf numFmtId="3" fontId="5" fillId="2" borderId="0" xfId="0" applyNumberFormat="1" applyFont="1" applyFill="1"/>
    <xf numFmtId="2" fontId="0" fillId="0" borderId="0" xfId="0" applyNumberFormat="1"/>
    <xf numFmtId="9" fontId="0" fillId="0" borderId="0" xfId="1" applyFont="1"/>
    <xf numFmtId="3" fontId="4" fillId="0" borderId="0" xfId="0" applyNumberFormat="1" applyFont="1"/>
    <xf numFmtId="0" fontId="4" fillId="0" borderId="0" xfId="0" applyFont="1"/>
    <xf numFmtId="164" fontId="4" fillId="0" borderId="0" xfId="0" applyNumberFormat="1" applyFont="1" applyAlignment="1">
      <alignment horizontal="right"/>
    </xf>
    <xf numFmtId="1" fontId="0" fillId="0" borderId="0" xfId="0" applyNumberFormat="1"/>
    <xf numFmtId="164" fontId="0" fillId="0" borderId="0" xfId="0" applyNumberFormat="1"/>
    <xf numFmtId="4" fontId="0" fillId="0" borderId="0" xfId="0" applyNumberFormat="1"/>
    <xf numFmtId="3" fontId="5" fillId="3" borderId="0" xfId="0" applyNumberFormat="1" applyFont="1" applyFill="1" applyAlignment="1">
      <alignment horizontal="right"/>
    </xf>
    <xf numFmtId="164" fontId="5" fillId="2" borderId="0" xfId="0" applyNumberFormat="1" applyFont="1" applyFill="1"/>
    <xf numFmtId="9" fontId="2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596348</xdr:colOff>
      <xdr:row>2</xdr:row>
      <xdr:rowOff>182217</xdr:rowOff>
    </xdr:from>
    <xdr:to>
      <xdr:col>33</xdr:col>
      <xdr:colOff>8283</xdr:colOff>
      <xdr:row>52</xdr:row>
      <xdr:rowOff>8283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FBDB93B6-FB1F-679D-03C4-2533D5A705CF}"/>
            </a:ext>
          </a:extLst>
        </xdr:cNvPr>
        <xdr:cNvCxnSpPr/>
      </xdr:nvCxnSpPr>
      <xdr:spPr>
        <a:xfrm>
          <a:off x="20971565" y="563217"/>
          <a:ext cx="24848" cy="858906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10886</xdr:colOff>
      <xdr:row>2</xdr:row>
      <xdr:rowOff>119743</xdr:rowOff>
    </xdr:from>
    <xdr:to>
      <xdr:col>6</xdr:col>
      <xdr:colOff>16329</xdr:colOff>
      <xdr:row>17</xdr:row>
      <xdr:rowOff>114300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2B3A2975-6652-90B8-677D-89D0042DC0FB}"/>
            </a:ext>
          </a:extLst>
        </xdr:cNvPr>
        <xdr:cNvCxnSpPr/>
      </xdr:nvCxnSpPr>
      <xdr:spPr>
        <a:xfrm>
          <a:off x="3668486" y="500743"/>
          <a:ext cx="5443" cy="28520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FB607-DF0C-4035-B965-6D832E6C6EA6}">
  <dimension ref="B2:CW54"/>
  <sheetViews>
    <sheetView zoomScale="160" zoomScaleNormal="160" workbookViewId="0">
      <pane xSplit="2" ySplit="2" topLeftCell="AE3" activePane="bottomRight" state="frozen"/>
      <selection pane="topRight" activeCell="C1" sqref="C1"/>
      <selection pane="bottomLeft" activeCell="A3" sqref="A3"/>
      <selection pane="bottomRight" activeCell="AF9" sqref="AF9"/>
    </sheetView>
  </sheetViews>
  <sheetFormatPr defaultRowHeight="15" x14ac:dyDescent="0.25"/>
  <cols>
    <col min="1" max="1" width="4.7109375" customWidth="1"/>
    <col min="2" max="2" width="25.140625" bestFit="1" customWidth="1"/>
    <col min="49" max="49" width="14.28515625" bestFit="1" customWidth="1"/>
  </cols>
  <sheetData>
    <row r="2" spans="2:45" x14ac:dyDescent="0.25"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  <c r="AC2">
        <v>2019</v>
      </c>
      <c r="AD2">
        <f t="shared" ref="AD2:AS2" si="0">+AC2+1</f>
        <v>2020</v>
      </c>
      <c r="AE2">
        <f t="shared" si="0"/>
        <v>2021</v>
      </c>
      <c r="AF2">
        <f t="shared" si="0"/>
        <v>2022</v>
      </c>
      <c r="AG2">
        <f t="shared" si="0"/>
        <v>2023</v>
      </c>
      <c r="AH2">
        <f t="shared" si="0"/>
        <v>2024</v>
      </c>
      <c r="AI2">
        <f t="shared" si="0"/>
        <v>2025</v>
      </c>
      <c r="AJ2">
        <f t="shared" si="0"/>
        <v>2026</v>
      </c>
      <c r="AK2">
        <f t="shared" si="0"/>
        <v>2027</v>
      </c>
      <c r="AL2">
        <f t="shared" si="0"/>
        <v>2028</v>
      </c>
      <c r="AM2">
        <f t="shared" si="0"/>
        <v>2029</v>
      </c>
      <c r="AN2">
        <f t="shared" si="0"/>
        <v>2030</v>
      </c>
      <c r="AO2">
        <f t="shared" si="0"/>
        <v>2031</v>
      </c>
      <c r="AP2">
        <f t="shared" si="0"/>
        <v>2032</v>
      </c>
      <c r="AQ2">
        <f t="shared" si="0"/>
        <v>2033</v>
      </c>
      <c r="AR2">
        <f t="shared" si="0"/>
        <v>2034</v>
      </c>
      <c r="AS2">
        <f t="shared" si="0"/>
        <v>2035</v>
      </c>
    </row>
    <row r="4" spans="2:45" s="3" customFormat="1" x14ac:dyDescent="0.25">
      <c r="B4" s="3" t="s">
        <v>0</v>
      </c>
      <c r="C4" s="4">
        <v>20583</v>
      </c>
      <c r="D4" s="4">
        <v>21404</v>
      </c>
      <c r="E4" s="4">
        <v>21527</v>
      </c>
      <c r="F4" s="4">
        <v>22641</v>
      </c>
      <c r="G4" s="4">
        <v>19664</v>
      </c>
      <c r="H4" s="4">
        <v>17626</v>
      </c>
      <c r="I4" s="4">
        <v>21237</v>
      </c>
      <c r="J4" s="4">
        <v>25653</v>
      </c>
      <c r="K4" s="4">
        <v>26725</v>
      </c>
      <c r="L4" s="4">
        <v>29782</v>
      </c>
      <c r="M4" s="4">
        <v>30703</v>
      </c>
      <c r="N4" s="4">
        <v>34751</v>
      </c>
      <c r="O4" s="4">
        <v>32027</v>
      </c>
      <c r="P4" s="4">
        <v>33734</v>
      </c>
      <c r="Q4" s="4">
        <v>35368</v>
      </c>
      <c r="R4" s="4">
        <v>39034</v>
      </c>
      <c r="S4" s="4">
        <v>37788</v>
      </c>
      <c r="T4" s="4">
        <v>38856</v>
      </c>
      <c r="U4" s="4">
        <v>40820</v>
      </c>
      <c r="V4" s="4">
        <v>42500</v>
      </c>
      <c r="AC4" s="3">
        <f>+SUM(C4:F4)</f>
        <v>86155</v>
      </c>
      <c r="AD4" s="3">
        <f>+SUM(G4:J4)</f>
        <v>84180</v>
      </c>
      <c r="AE4" s="3">
        <f>+SUM(K4:N4)</f>
        <v>121961</v>
      </c>
      <c r="AF4" s="3">
        <f>+SUM(O4:R4)</f>
        <v>140163</v>
      </c>
      <c r="AG4" s="3">
        <f>+SUM(S4:V4)</f>
        <v>159964</v>
      </c>
      <c r="AH4" s="3">
        <f>+AG4*1.1</f>
        <v>175960.40000000002</v>
      </c>
      <c r="AI4" s="3">
        <f>+AH4*1.08</f>
        <v>190037.23200000005</v>
      </c>
      <c r="AJ4" s="3">
        <f>+AI4*1.06</f>
        <v>201439.46592000005</v>
      </c>
      <c r="AK4" s="3">
        <f>+AJ4*1.05</f>
        <v>211511.43921600006</v>
      </c>
      <c r="AL4" s="3">
        <f t="shared" ref="AL4:AN5" si="1">+AK4*1.05</f>
        <v>222087.01117680006</v>
      </c>
      <c r="AM4" s="3">
        <f t="shared" si="1"/>
        <v>233191.36173564006</v>
      </c>
      <c r="AN4" s="3">
        <f t="shared" si="1"/>
        <v>244850.92982242207</v>
      </c>
      <c r="AO4" s="3">
        <f t="shared" ref="AO4:AS5" si="2">+AN4*1.03</f>
        <v>252196.45771709475</v>
      </c>
      <c r="AP4" s="3">
        <f t="shared" si="2"/>
        <v>259762.3514486076</v>
      </c>
      <c r="AQ4" s="3">
        <f t="shared" si="2"/>
        <v>267555.22199206584</v>
      </c>
      <c r="AR4" s="3">
        <f t="shared" si="2"/>
        <v>275581.87865182781</v>
      </c>
      <c r="AS4" s="3">
        <f t="shared" si="2"/>
        <v>283849.33501138265</v>
      </c>
    </row>
    <row r="5" spans="2:45" s="3" customFormat="1" x14ac:dyDescent="0.25">
      <c r="B5" s="3" t="s">
        <v>1</v>
      </c>
      <c r="C5" s="4">
        <v>14142</v>
      </c>
      <c r="D5" s="4">
        <v>16158</v>
      </c>
      <c r="E5" s="4">
        <v>18349</v>
      </c>
      <c r="F5" s="4">
        <v>20164</v>
      </c>
      <c r="G5" s="4">
        <v>16752</v>
      </c>
      <c r="H5" s="4">
        <v>12669</v>
      </c>
      <c r="I5" s="4">
        <v>19004</v>
      </c>
      <c r="J5" s="4">
        <v>23083</v>
      </c>
      <c r="K5" s="4">
        <v>23430</v>
      </c>
      <c r="L5" s="4">
        <v>28942</v>
      </c>
      <c r="M5" s="4">
        <v>34872</v>
      </c>
      <c r="N5" s="4">
        <v>36666</v>
      </c>
      <c r="O5" s="4">
        <v>38451</v>
      </c>
      <c r="P5" s="4">
        <v>43085</v>
      </c>
      <c r="Q5" s="4">
        <v>49145</v>
      </c>
      <c r="R5" s="4">
        <v>56753</v>
      </c>
      <c r="S5" s="4">
        <v>48519</v>
      </c>
      <c r="T5" s="4">
        <v>53828</v>
      </c>
      <c r="U5" s="4">
        <v>60800</v>
      </c>
      <c r="V5" s="4">
        <v>68000</v>
      </c>
      <c r="AC5" s="3">
        <f>+SUM(C5:F5)</f>
        <v>68813</v>
      </c>
      <c r="AD5" s="3">
        <f>+SUM(G5:J5)</f>
        <v>71508</v>
      </c>
      <c r="AE5" s="3">
        <f>+SUM(K5:N5)</f>
        <v>123910</v>
      </c>
      <c r="AF5" s="3">
        <f>+SUM(O5:R5)</f>
        <v>187434</v>
      </c>
      <c r="AG5" s="3">
        <f>+SUM(S5:V5)</f>
        <v>231147</v>
      </c>
      <c r="AH5" s="3">
        <f>+AG5*1.03</f>
        <v>238081.41</v>
      </c>
      <c r="AI5" s="3">
        <f>+AH5*1.08</f>
        <v>257127.92280000003</v>
      </c>
      <c r="AJ5" s="3">
        <f>+AI5*1.06</f>
        <v>272555.59816800006</v>
      </c>
      <c r="AK5" s="3">
        <f>+AJ5*1.05</f>
        <v>286183.37807640008</v>
      </c>
      <c r="AL5" s="3">
        <f t="shared" si="1"/>
        <v>300492.54698022013</v>
      </c>
      <c r="AM5" s="3">
        <f t="shared" si="1"/>
        <v>315517.17432923114</v>
      </c>
      <c r="AN5" s="3">
        <f t="shared" si="1"/>
        <v>331293.03304569272</v>
      </c>
      <c r="AO5" s="3">
        <f t="shared" si="2"/>
        <v>341231.82403706352</v>
      </c>
      <c r="AP5" s="3">
        <f t="shared" si="2"/>
        <v>351468.77875817544</v>
      </c>
      <c r="AQ5" s="3">
        <f t="shared" si="2"/>
        <v>362012.84212092072</v>
      </c>
      <c r="AR5" s="3">
        <f t="shared" si="2"/>
        <v>372873.22738454834</v>
      </c>
      <c r="AS5" s="3">
        <f t="shared" si="2"/>
        <v>384059.4242060848</v>
      </c>
    </row>
    <row r="6" spans="2:45" s="3" customFormat="1" x14ac:dyDescent="0.25">
      <c r="B6" s="3" t="s">
        <v>2</v>
      </c>
      <c r="C6" s="4">
        <v>3250</v>
      </c>
      <c r="D6" s="4">
        <v>4958</v>
      </c>
      <c r="E6" s="4">
        <v>7944</v>
      </c>
      <c r="F6" s="4">
        <v>5958</v>
      </c>
      <c r="G6" s="4">
        <v>3779</v>
      </c>
      <c r="H6" s="4">
        <v>1921</v>
      </c>
      <c r="I6" s="4">
        <v>2175</v>
      </c>
      <c r="J6" s="4">
        <v>1492</v>
      </c>
      <c r="K6" s="4">
        <v>1428</v>
      </c>
      <c r="L6" s="4">
        <v>1436</v>
      </c>
      <c r="M6" s="4">
        <v>1045</v>
      </c>
      <c r="N6" s="4">
        <v>1210</v>
      </c>
      <c r="O6" s="4">
        <v>1106</v>
      </c>
      <c r="P6" s="4">
        <v>1016</v>
      </c>
      <c r="Q6" s="4">
        <v>834</v>
      </c>
      <c r="R6" s="4">
        <v>485</v>
      </c>
      <c r="S6" s="4">
        <v>744</v>
      </c>
      <c r="T6" s="4">
        <v>1450</v>
      </c>
      <c r="U6" s="4">
        <v>1019</v>
      </c>
      <c r="V6" s="4">
        <v>1500</v>
      </c>
      <c r="AC6" s="3">
        <f>+SUM(C6:F6)</f>
        <v>22110</v>
      </c>
      <c r="AD6" s="3">
        <f>+SUM(G6:J6)</f>
        <v>9367</v>
      </c>
      <c r="AE6" s="3">
        <f>+SUM(K6:N6)</f>
        <v>5119</v>
      </c>
      <c r="AF6" s="3">
        <f>+SUM(O6:R6)</f>
        <v>3441</v>
      </c>
      <c r="AG6" s="3">
        <f>+SUM(S6:V6)</f>
        <v>4713</v>
      </c>
      <c r="AH6" s="3">
        <f>+AG6*1.05</f>
        <v>4948.6500000000005</v>
      </c>
      <c r="AI6" s="3">
        <f t="shared" ref="AI6:AS6" si="3">+AH6*1.05</f>
        <v>5196.0825000000004</v>
      </c>
      <c r="AJ6" s="3">
        <f t="shared" si="3"/>
        <v>5455.886625000001</v>
      </c>
      <c r="AK6" s="3">
        <f t="shared" si="3"/>
        <v>5728.6809562500011</v>
      </c>
      <c r="AL6" s="3">
        <f t="shared" si="3"/>
        <v>6015.1150040625016</v>
      </c>
      <c r="AM6" s="3">
        <f t="shared" si="3"/>
        <v>6315.8707542656266</v>
      </c>
      <c r="AN6" s="3">
        <f t="shared" si="3"/>
        <v>6631.6642919789083</v>
      </c>
      <c r="AO6" s="3">
        <f t="shared" si="3"/>
        <v>6963.2475065778544</v>
      </c>
      <c r="AP6" s="3">
        <f t="shared" si="3"/>
        <v>7311.4098819067476</v>
      </c>
      <c r="AQ6" s="3">
        <f t="shared" si="3"/>
        <v>7676.980376002085</v>
      </c>
      <c r="AR6" s="3">
        <f t="shared" si="3"/>
        <v>8060.8293948021892</v>
      </c>
      <c r="AS6" s="3">
        <f t="shared" si="3"/>
        <v>8463.8708645422994</v>
      </c>
    </row>
    <row r="7" spans="2:45" s="2" customFormat="1" x14ac:dyDescent="0.25">
      <c r="B7" s="2" t="s">
        <v>3</v>
      </c>
      <c r="C7" s="2">
        <f>+C4+C5+C6</f>
        <v>37975</v>
      </c>
      <c r="D7" s="2">
        <f t="shared" ref="D7:V7" si="4">+D4+D5+D6</f>
        <v>42520</v>
      </c>
      <c r="E7" s="2">
        <f t="shared" si="4"/>
        <v>47820</v>
      </c>
      <c r="F7" s="2">
        <f t="shared" si="4"/>
        <v>48763</v>
      </c>
      <c r="G7" s="2">
        <f t="shared" si="4"/>
        <v>40195</v>
      </c>
      <c r="H7" s="2">
        <f t="shared" si="4"/>
        <v>32216</v>
      </c>
      <c r="I7" s="2">
        <f t="shared" si="4"/>
        <v>42416</v>
      </c>
      <c r="J7" s="2">
        <f t="shared" si="4"/>
        <v>50228</v>
      </c>
      <c r="K7" s="2">
        <f t="shared" si="4"/>
        <v>51583</v>
      </c>
      <c r="L7" s="2">
        <f t="shared" si="4"/>
        <v>60160</v>
      </c>
      <c r="M7" s="2">
        <f t="shared" si="4"/>
        <v>66620</v>
      </c>
      <c r="N7" s="2">
        <f t="shared" si="4"/>
        <v>72627</v>
      </c>
      <c r="O7" s="2">
        <f t="shared" si="4"/>
        <v>71584</v>
      </c>
      <c r="P7" s="2">
        <f t="shared" si="4"/>
        <v>77835</v>
      </c>
      <c r="Q7" s="2">
        <f t="shared" si="4"/>
        <v>85347</v>
      </c>
      <c r="R7" s="2">
        <f t="shared" si="4"/>
        <v>96272</v>
      </c>
      <c r="S7" s="2">
        <f t="shared" si="4"/>
        <v>87051</v>
      </c>
      <c r="T7" s="2">
        <f t="shared" si="4"/>
        <v>94134</v>
      </c>
      <c r="U7" s="2">
        <f t="shared" si="4"/>
        <v>102639</v>
      </c>
      <c r="V7" s="2">
        <f t="shared" si="4"/>
        <v>112000</v>
      </c>
      <c r="AC7" s="2">
        <f t="shared" ref="AC7:AF7" si="5">+AC4+AC5+AC6</f>
        <v>177078</v>
      </c>
      <c r="AD7" s="2">
        <f t="shared" si="5"/>
        <v>165055</v>
      </c>
      <c r="AE7" s="2">
        <f t="shared" si="5"/>
        <v>250990</v>
      </c>
      <c r="AF7" s="2">
        <f t="shared" si="5"/>
        <v>331038</v>
      </c>
      <c r="AG7" s="2">
        <v>396827</v>
      </c>
      <c r="AH7" s="2">
        <f t="shared" ref="AH7" si="6">+AH4+AH5+AH6</f>
        <v>418990.46000000008</v>
      </c>
      <c r="AI7" s="2">
        <f t="shared" ref="AI7" si="7">+AI4+AI5+AI6</f>
        <v>452361.2373000001</v>
      </c>
      <c r="AJ7" s="2">
        <f t="shared" ref="AJ7" si="8">+AJ4+AJ5+AJ6</f>
        <v>479450.95071300009</v>
      </c>
      <c r="AK7" s="2">
        <f t="shared" ref="AK7" si="9">+AK4+AK5+AK6</f>
        <v>503423.49824865017</v>
      </c>
      <c r="AL7" s="2">
        <f t="shared" ref="AL7" si="10">+AL4+AL5+AL6</f>
        <v>528594.67316108267</v>
      </c>
      <c r="AM7" s="2">
        <f t="shared" ref="AM7" si="11">+AM4+AM5+AM6</f>
        <v>555024.40681913681</v>
      </c>
      <c r="AN7" s="2">
        <f t="shared" ref="AN7" si="12">+AN4+AN5+AN6</f>
        <v>582775.62716009375</v>
      </c>
      <c r="AO7" s="2">
        <f t="shared" ref="AO7" si="13">+AO4+AO5+AO6</f>
        <v>600391.52926073608</v>
      </c>
      <c r="AP7" s="2">
        <f t="shared" ref="AP7" si="14">+AP4+AP5+AP6</f>
        <v>618542.54008868977</v>
      </c>
      <c r="AQ7" s="2">
        <f t="shared" ref="AQ7" si="15">+AQ4+AQ5+AQ6</f>
        <v>637245.04448898858</v>
      </c>
      <c r="AR7" s="2">
        <f t="shared" ref="AR7" si="16">+AR4+AR5+AR6</f>
        <v>656515.93543117843</v>
      </c>
      <c r="AS7" s="2">
        <f t="shared" ref="AS7" si="17">+AS4+AS5+AS6</f>
        <v>676372.63008200971</v>
      </c>
    </row>
    <row r="8" spans="2:45" s="3" customFormat="1" x14ac:dyDescent="0.25">
      <c r="AC8" s="12"/>
      <c r="AD8" s="12"/>
      <c r="AE8" s="12"/>
      <c r="AF8" s="12"/>
      <c r="AG8" s="12"/>
    </row>
    <row r="9" spans="2:45" s="3" customFormat="1" x14ac:dyDescent="0.25">
      <c r="B9" s="3" t="s">
        <v>26</v>
      </c>
      <c r="C9" s="4">
        <v>-8864</v>
      </c>
      <c r="D9" s="4">
        <v>-12857</v>
      </c>
      <c r="E9" s="4">
        <v>-15846</v>
      </c>
      <c r="F9" s="4">
        <v>-18827</v>
      </c>
      <c r="G9" s="4">
        <v>-15978</v>
      </c>
      <c r="H9" s="4">
        <v>-12712</v>
      </c>
      <c r="I9" s="4">
        <v>-13917</v>
      </c>
      <c r="J9" s="4">
        <v>-14790</v>
      </c>
      <c r="K9" s="4">
        <v>-16041</v>
      </c>
      <c r="L9" s="4">
        <v>-16544</v>
      </c>
      <c r="M9" s="4">
        <v>-17274</v>
      </c>
      <c r="N9" s="4">
        <v>-14125</v>
      </c>
      <c r="O9" s="4">
        <v>-14546</v>
      </c>
      <c r="P9" s="4">
        <v>-17593</v>
      </c>
      <c r="Q9" s="4">
        <v>-16146</v>
      </c>
      <c r="R9" s="4">
        <v>-16999</v>
      </c>
      <c r="S9" s="4">
        <v>-15516</v>
      </c>
      <c r="T9" s="4">
        <v>-16744</v>
      </c>
      <c r="U9" s="4">
        <v>-17488</v>
      </c>
      <c r="V9" s="3">
        <f>+U9*1.05</f>
        <v>-18362.400000000001</v>
      </c>
      <c r="AC9" s="3">
        <f t="shared" ref="AC9:AC20" si="18">+SUM(C9:F9)</f>
        <v>-56394</v>
      </c>
      <c r="AD9" s="3">
        <f t="shared" ref="AD9:AD20" si="19">+SUM(G9:J9)</f>
        <v>-57397</v>
      </c>
      <c r="AE9" s="3">
        <f>+SUM(K9:N9)</f>
        <v>-63984</v>
      </c>
      <c r="AF9" s="3">
        <f t="shared" ref="AF9:AF20" si="20">+SUM(O9:R9)</f>
        <v>-65284</v>
      </c>
      <c r="AG9" s="3">
        <f t="shared" ref="AG9:AG20" si="21">+SUM(S9:V9)</f>
        <v>-68110.399999999994</v>
      </c>
      <c r="AH9" s="3">
        <f>+AH7*-0.17</f>
        <v>-71228.378200000021</v>
      </c>
      <c r="AI9" s="3">
        <f t="shared" ref="AI9:AS9" si="22">+AI7*-0.17</f>
        <v>-76901.410341000024</v>
      </c>
      <c r="AJ9" s="3">
        <f t="shared" si="22"/>
        <v>-81506.66162121002</v>
      </c>
      <c r="AK9" s="3">
        <f t="shared" si="22"/>
        <v>-85581.994702270531</v>
      </c>
      <c r="AL9" s="3">
        <f t="shared" si="22"/>
        <v>-89861.094437384061</v>
      </c>
      <c r="AM9" s="3">
        <f t="shared" si="22"/>
        <v>-94354.149159253269</v>
      </c>
      <c r="AN9" s="3">
        <f t="shared" si="22"/>
        <v>-99071.856617215948</v>
      </c>
      <c r="AO9" s="3">
        <f t="shared" si="22"/>
        <v>-102066.55997432514</v>
      </c>
      <c r="AP9" s="3">
        <f t="shared" si="22"/>
        <v>-105152.23181507726</v>
      </c>
      <c r="AQ9" s="3">
        <f t="shared" si="22"/>
        <v>-108331.65756312807</v>
      </c>
      <c r="AR9" s="3">
        <f t="shared" si="22"/>
        <v>-111607.70902330034</v>
      </c>
      <c r="AS9" s="3">
        <f t="shared" si="22"/>
        <v>-114983.34711394167</v>
      </c>
    </row>
    <row r="10" spans="2:45" s="3" customFormat="1" x14ac:dyDescent="0.25">
      <c r="B10" s="3" t="s">
        <v>27</v>
      </c>
      <c r="C10" s="4">
        <v>-500</v>
      </c>
      <c r="D10" s="4">
        <v>-566</v>
      </c>
      <c r="E10" s="4">
        <v>93</v>
      </c>
      <c r="F10" s="4">
        <v>176</v>
      </c>
      <c r="G10" s="4">
        <v>-547</v>
      </c>
      <c r="H10" s="4">
        <v>-587</v>
      </c>
      <c r="I10" s="4">
        <v>-1240</v>
      </c>
      <c r="J10" s="4">
        <v>-941</v>
      </c>
      <c r="K10" s="4">
        <v>-873</v>
      </c>
      <c r="L10" s="4">
        <v>-1112</v>
      </c>
      <c r="M10" s="4">
        <v>-1191</v>
      </c>
      <c r="N10" s="4">
        <v>-1297</v>
      </c>
      <c r="O10" s="4">
        <v>-1219</v>
      </c>
      <c r="P10" s="4">
        <v>-1064</v>
      </c>
      <c r="Q10" s="4">
        <v>-1037</v>
      </c>
      <c r="R10" s="4">
        <v>-784</v>
      </c>
      <c r="S10" s="4">
        <v>-841</v>
      </c>
      <c r="T10" s="4">
        <v>-1114</v>
      </c>
      <c r="U10" s="4">
        <v>-736</v>
      </c>
      <c r="V10" s="3">
        <v>-750</v>
      </c>
      <c r="AC10" s="3">
        <f t="shared" si="18"/>
        <v>-797</v>
      </c>
      <c r="AD10" s="3">
        <f t="shared" si="19"/>
        <v>-3315</v>
      </c>
      <c r="AE10" s="3">
        <f>+SUM(K10:N10)</f>
        <v>-4473</v>
      </c>
      <c r="AF10" s="3">
        <f t="shared" si="20"/>
        <v>-4104</v>
      </c>
      <c r="AG10" s="3">
        <f t="shared" si="21"/>
        <v>-3441</v>
      </c>
      <c r="AH10" s="3">
        <f>+AG10*1.02</f>
        <v>-3509.82</v>
      </c>
      <c r="AI10" s="3">
        <f t="shared" ref="AI10:AS10" si="23">+AH10*1.02</f>
        <v>-3580.0164000000004</v>
      </c>
      <c r="AJ10" s="3">
        <f t="shared" si="23"/>
        <v>-3651.6167280000004</v>
      </c>
      <c r="AK10" s="3">
        <f t="shared" si="23"/>
        <v>-3724.6490625600004</v>
      </c>
      <c r="AL10" s="3">
        <f t="shared" si="23"/>
        <v>-3799.1420438112004</v>
      </c>
      <c r="AM10" s="3">
        <f t="shared" si="23"/>
        <v>-3875.1248846874246</v>
      </c>
      <c r="AN10" s="3">
        <f t="shared" si="23"/>
        <v>-3952.627382381173</v>
      </c>
      <c r="AO10" s="3">
        <f t="shared" si="23"/>
        <v>-4031.6799300287967</v>
      </c>
      <c r="AP10" s="3">
        <f t="shared" si="23"/>
        <v>-4112.3135286293727</v>
      </c>
      <c r="AQ10" s="3">
        <f t="shared" si="23"/>
        <v>-4194.5597992019602</v>
      </c>
      <c r="AR10" s="3">
        <f t="shared" si="23"/>
        <v>-4278.4509951859991</v>
      </c>
      <c r="AS10" s="3">
        <f t="shared" si="23"/>
        <v>-4364.020015089719</v>
      </c>
    </row>
    <row r="11" spans="2:45" s="3" customFormat="1" x14ac:dyDescent="0.25">
      <c r="B11" s="3" t="s">
        <v>28</v>
      </c>
      <c r="C11" s="4">
        <v>-47</v>
      </c>
      <c r="D11" s="4">
        <v>-162</v>
      </c>
      <c r="E11" s="4">
        <v>-104</v>
      </c>
      <c r="F11" s="4">
        <v>-1231</v>
      </c>
      <c r="G11" s="4">
        <v>-1075</v>
      </c>
      <c r="H11" s="4">
        <v>-1548</v>
      </c>
      <c r="I11" s="4">
        <v>-847</v>
      </c>
      <c r="J11" s="4">
        <v>-842</v>
      </c>
      <c r="K11" s="4">
        <v>-845</v>
      </c>
      <c r="L11" s="4">
        <v>-741</v>
      </c>
      <c r="M11" s="4">
        <v>-926</v>
      </c>
      <c r="N11" s="4">
        <v>-1200</v>
      </c>
      <c r="O11" s="4">
        <v>-1044</v>
      </c>
      <c r="P11" s="4">
        <v>-1059</v>
      </c>
      <c r="Q11" s="4">
        <v>-841</v>
      </c>
      <c r="R11" s="4">
        <v>-891</v>
      </c>
      <c r="S11" s="4">
        <v>-889</v>
      </c>
      <c r="T11" s="4">
        <v>-1094</v>
      </c>
      <c r="U11" s="4">
        <v>-1181</v>
      </c>
      <c r="V11" s="3">
        <v>-1250</v>
      </c>
      <c r="AC11" s="3">
        <f t="shared" si="18"/>
        <v>-1544</v>
      </c>
      <c r="AD11" s="3">
        <f t="shared" si="19"/>
        <v>-4312</v>
      </c>
      <c r="AE11" s="3">
        <f t="shared" ref="AE11:AE20" si="24">+SUM(K11:N11)</f>
        <v>-3712</v>
      </c>
      <c r="AF11" s="3">
        <f t="shared" si="20"/>
        <v>-3835</v>
      </c>
      <c r="AG11" s="3">
        <f t="shared" si="21"/>
        <v>-4414</v>
      </c>
      <c r="AH11" s="3">
        <f>+AG11*1.2</f>
        <v>-5296.8</v>
      </c>
      <c r="AI11" s="3">
        <f>+AH11*1.13</f>
        <v>-5985.384</v>
      </c>
      <c r="AJ11" s="3">
        <f>+AI11*1.08</f>
        <v>-6464.2147200000009</v>
      </c>
      <c r="AK11" s="3">
        <f>+AJ11*1.05</f>
        <v>-6787.4254560000008</v>
      </c>
      <c r="AL11" s="3">
        <f>+AK11*1.03</f>
        <v>-6991.0482196800012</v>
      </c>
      <c r="AM11" s="3">
        <f t="shared" ref="AM11:AS11" si="25">+AL11*1.03</f>
        <v>-7200.7796662704013</v>
      </c>
      <c r="AN11" s="3">
        <f t="shared" si="25"/>
        <v>-7416.8030562585136</v>
      </c>
      <c r="AO11" s="3">
        <f t="shared" si="25"/>
        <v>-7639.3071479462697</v>
      </c>
      <c r="AP11" s="3">
        <f t="shared" si="25"/>
        <v>-7868.4863623846577</v>
      </c>
      <c r="AQ11" s="3">
        <f t="shared" si="25"/>
        <v>-8104.540953256198</v>
      </c>
      <c r="AR11" s="3">
        <f t="shared" si="25"/>
        <v>-8347.6771818538837</v>
      </c>
      <c r="AS11" s="3">
        <f t="shared" si="25"/>
        <v>-8598.1074973095001</v>
      </c>
    </row>
    <row r="12" spans="2:45" s="3" customFormat="1" x14ac:dyDescent="0.25">
      <c r="B12" s="3" t="s">
        <v>29</v>
      </c>
      <c r="C12" s="4">
        <v>-22</v>
      </c>
      <c r="D12" s="4">
        <v>10</v>
      </c>
      <c r="E12" s="4">
        <v>-193</v>
      </c>
      <c r="F12" s="4">
        <v>-3</v>
      </c>
      <c r="G12" s="4">
        <v>-49</v>
      </c>
      <c r="H12" s="4">
        <v>-9</v>
      </c>
      <c r="I12" s="4">
        <v>-211</v>
      </c>
      <c r="J12" s="4">
        <v>-431</v>
      </c>
      <c r="K12" s="4">
        <v>-446</v>
      </c>
      <c r="L12" s="4">
        <v>-798</v>
      </c>
      <c r="M12" s="4">
        <v>-1220</v>
      </c>
      <c r="N12" s="4">
        <v>-3043</v>
      </c>
      <c r="O12" s="4">
        <v>-5785</v>
      </c>
      <c r="P12" s="4">
        <v>-9719</v>
      </c>
      <c r="Q12" s="4">
        <v>-13868</v>
      </c>
      <c r="R12" s="4">
        <v>-17277</v>
      </c>
      <c r="S12" s="4">
        <v>-15165</v>
      </c>
      <c r="T12" s="4">
        <v>-20357</v>
      </c>
      <c r="U12" s="4">
        <v>-23332</v>
      </c>
      <c r="V12" s="3">
        <v>-25000</v>
      </c>
      <c r="AC12" s="3">
        <f t="shared" si="18"/>
        <v>-208</v>
      </c>
      <c r="AD12" s="3">
        <f t="shared" si="19"/>
        <v>-700</v>
      </c>
      <c r="AE12" s="3">
        <f t="shared" si="24"/>
        <v>-5507</v>
      </c>
      <c r="AF12" s="3">
        <f t="shared" si="20"/>
        <v>-46649</v>
      </c>
      <c r="AG12" s="3">
        <f t="shared" si="21"/>
        <v>-83854</v>
      </c>
      <c r="AH12" s="3">
        <f>+AG12*1.04</f>
        <v>-87208.16</v>
      </c>
      <c r="AI12" s="3">
        <f t="shared" ref="AI12:AS12" si="26">+AH12*1.04</f>
        <v>-90696.486400000009</v>
      </c>
      <c r="AJ12" s="3">
        <f t="shared" si="26"/>
        <v>-94324.345856000014</v>
      </c>
      <c r="AK12" s="3">
        <f t="shared" si="26"/>
        <v>-98097.319690240023</v>
      </c>
      <c r="AL12" s="3">
        <f t="shared" si="26"/>
        <v>-102021.21247784962</v>
      </c>
      <c r="AM12" s="3">
        <f t="shared" si="26"/>
        <v>-106102.06097696361</v>
      </c>
      <c r="AN12" s="3">
        <f t="shared" si="26"/>
        <v>-110346.14341604215</v>
      </c>
      <c r="AO12" s="3">
        <f t="shared" si="26"/>
        <v>-114759.98915268383</v>
      </c>
      <c r="AP12" s="3">
        <f t="shared" si="26"/>
        <v>-119350.38871879119</v>
      </c>
      <c r="AQ12" s="3">
        <f t="shared" si="26"/>
        <v>-124124.40426754284</v>
      </c>
      <c r="AR12" s="3">
        <f t="shared" si="26"/>
        <v>-129089.38043824455</v>
      </c>
      <c r="AS12" s="3">
        <f t="shared" si="26"/>
        <v>-134252.95565577433</v>
      </c>
    </row>
    <row r="13" spans="2:45" s="3" customFormat="1" x14ac:dyDescent="0.25">
      <c r="B13" s="3" t="s">
        <v>30</v>
      </c>
      <c r="C13" s="4">
        <v>-14181</v>
      </c>
      <c r="D13" s="4">
        <v>-20799</v>
      </c>
      <c r="E13" s="4">
        <v>-16946</v>
      </c>
      <c r="F13" s="4">
        <v>-13148</v>
      </c>
      <c r="G13" s="4">
        <v>-14526</v>
      </c>
      <c r="H13" s="4">
        <v>-9978</v>
      </c>
      <c r="I13" s="4">
        <v>-11038</v>
      </c>
      <c r="J13" s="4">
        <v>-12318</v>
      </c>
      <c r="K13" s="4">
        <v>-23357</v>
      </c>
      <c r="L13" s="4">
        <v>-35301</v>
      </c>
      <c r="M13" s="4">
        <v>-32317</v>
      </c>
      <c r="N13" s="4">
        <v>-29969</v>
      </c>
      <c r="O13" s="4">
        <v>-34140</v>
      </c>
      <c r="P13" s="4">
        <v>-25285</v>
      </c>
      <c r="Q13" s="4">
        <v>-26005</v>
      </c>
      <c r="R13" s="4">
        <v>-29558</v>
      </c>
      <c r="S13" s="4">
        <v>-24396</v>
      </c>
      <c r="T13" s="4">
        <v>-26996</v>
      </c>
      <c r="U13" s="4">
        <v>-28406</v>
      </c>
      <c r="V13" s="3">
        <v>-30000</v>
      </c>
      <c r="AC13" s="3">
        <f t="shared" si="18"/>
        <v>-65074</v>
      </c>
      <c r="AD13" s="3">
        <f t="shared" si="19"/>
        <v>-47860</v>
      </c>
      <c r="AE13" s="3">
        <f t="shared" si="24"/>
        <v>-120944</v>
      </c>
      <c r="AF13" s="3">
        <f t="shared" si="20"/>
        <v>-114988</v>
      </c>
      <c r="AG13" s="3">
        <f t="shared" si="21"/>
        <v>-109798</v>
      </c>
      <c r="AH13" s="3">
        <f>+AG13*1.04</f>
        <v>-114189.92</v>
      </c>
      <c r="AI13" s="3">
        <f t="shared" ref="AI13:AS13" si="27">+AH13*1.04</f>
        <v>-118757.5168</v>
      </c>
      <c r="AJ13" s="3">
        <f t="shared" si="27"/>
        <v>-123507.817472</v>
      </c>
      <c r="AK13" s="3">
        <f t="shared" si="27"/>
        <v>-128448.13017088</v>
      </c>
      <c r="AL13" s="3">
        <f t="shared" si="27"/>
        <v>-133586.05537771521</v>
      </c>
      <c r="AM13" s="3">
        <f t="shared" si="27"/>
        <v>-138929.49759282381</v>
      </c>
      <c r="AN13" s="3">
        <f t="shared" si="27"/>
        <v>-144486.67749653678</v>
      </c>
      <c r="AO13" s="3">
        <f t="shared" si="27"/>
        <v>-150266.14459639826</v>
      </c>
      <c r="AP13" s="3">
        <f t="shared" si="27"/>
        <v>-156276.79038025418</v>
      </c>
      <c r="AQ13" s="3">
        <f t="shared" si="27"/>
        <v>-162527.86199546437</v>
      </c>
      <c r="AR13" s="3">
        <f t="shared" si="27"/>
        <v>-169028.97647528295</v>
      </c>
      <c r="AS13" s="3">
        <f t="shared" si="27"/>
        <v>-175790.13553429427</v>
      </c>
    </row>
    <row r="14" spans="2:45" s="3" customFormat="1" x14ac:dyDescent="0.25">
      <c r="B14" s="3" t="s">
        <v>31</v>
      </c>
      <c r="C14" s="4">
        <v>-132</v>
      </c>
      <c r="D14" s="4">
        <v>-413</v>
      </c>
      <c r="E14" s="4">
        <v>345</v>
      </c>
      <c r="F14" s="4">
        <v>-380</v>
      </c>
      <c r="G14" s="4">
        <v>-1244</v>
      </c>
      <c r="H14" s="4">
        <v>-32</v>
      </c>
      <c r="I14" s="4">
        <v>34</v>
      </c>
      <c r="J14" s="4">
        <v>-607</v>
      </c>
      <c r="K14" s="4">
        <v>14</v>
      </c>
      <c r="L14" s="4">
        <v>-320</v>
      </c>
      <c r="M14" s="4">
        <v>-79</v>
      </c>
      <c r="N14" s="4">
        <v>-172</v>
      </c>
      <c r="O14" s="4">
        <v>-43</v>
      </c>
      <c r="P14" s="4">
        <v>-67</v>
      </c>
      <c r="Q14" s="4">
        <v>-299</v>
      </c>
      <c r="R14" s="4">
        <v>-977</v>
      </c>
      <c r="S14" s="4">
        <v>-2399</v>
      </c>
      <c r="T14" s="4">
        <v>-47</v>
      </c>
      <c r="U14" s="4">
        <v>-192</v>
      </c>
      <c r="V14" s="3">
        <v>-200</v>
      </c>
      <c r="AC14" s="3">
        <f t="shared" si="18"/>
        <v>-580</v>
      </c>
      <c r="AD14" s="3">
        <f t="shared" si="19"/>
        <v>-1849</v>
      </c>
      <c r="AE14" s="3">
        <f t="shared" si="24"/>
        <v>-557</v>
      </c>
      <c r="AF14" s="3">
        <f t="shared" si="20"/>
        <v>-1386</v>
      </c>
      <c r="AG14" s="3">
        <f t="shared" si="21"/>
        <v>-2838</v>
      </c>
      <c r="AH14" s="3">
        <f>+AG14*1.02</f>
        <v>-2894.76</v>
      </c>
      <c r="AI14" s="3">
        <f t="shared" ref="AI14:AS14" si="28">+AH14*1.02</f>
        <v>-2952.6552000000001</v>
      </c>
      <c r="AJ14" s="3">
        <f t="shared" si="28"/>
        <v>-3011.7083040000002</v>
      </c>
      <c r="AK14" s="3">
        <f t="shared" si="28"/>
        <v>-3071.9424700800005</v>
      </c>
      <c r="AL14" s="3">
        <f t="shared" si="28"/>
        <v>-3133.3813194816007</v>
      </c>
      <c r="AM14" s="3">
        <f t="shared" si="28"/>
        <v>-3196.0489458712327</v>
      </c>
      <c r="AN14" s="3">
        <f t="shared" si="28"/>
        <v>-3259.9699247886574</v>
      </c>
      <c r="AO14" s="3">
        <f t="shared" si="28"/>
        <v>-3325.1693232844304</v>
      </c>
      <c r="AP14" s="3">
        <f t="shared" si="28"/>
        <v>-3391.6727097501193</v>
      </c>
      <c r="AQ14" s="3">
        <f t="shared" si="28"/>
        <v>-3459.5061639451219</v>
      </c>
      <c r="AR14" s="3">
        <f t="shared" si="28"/>
        <v>-3528.6962872240242</v>
      </c>
      <c r="AS14" s="3">
        <f t="shared" si="28"/>
        <v>-3599.2702129685049</v>
      </c>
    </row>
    <row r="15" spans="2:45" s="3" customFormat="1" x14ac:dyDescent="0.25">
      <c r="B15" s="3" t="s">
        <v>23</v>
      </c>
      <c r="C15" s="4">
        <v>-1570</v>
      </c>
      <c r="D15" s="4">
        <v>-1943</v>
      </c>
      <c r="E15" s="4">
        <v>-1954</v>
      </c>
      <c r="F15" s="4">
        <v>-1873</v>
      </c>
      <c r="G15" s="4">
        <v>-2208</v>
      </c>
      <c r="H15" s="4">
        <v>-1944</v>
      </c>
      <c r="I15" s="4">
        <v>-1790</v>
      </c>
      <c r="J15" s="4">
        <v>-2114</v>
      </c>
      <c r="K15" s="4">
        <v>-1843</v>
      </c>
      <c r="L15" s="4">
        <v>-1910</v>
      </c>
      <c r="M15" s="4">
        <v>-1960</v>
      </c>
      <c r="N15" s="4">
        <v>-1933</v>
      </c>
      <c r="O15" s="4">
        <v>-2238</v>
      </c>
      <c r="P15" s="4">
        <v>-2288</v>
      </c>
      <c r="Q15" s="4">
        <v>-2343</v>
      </c>
      <c r="R15" s="4">
        <v>-2398</v>
      </c>
      <c r="S15" s="4">
        <v>-2484</v>
      </c>
      <c r="T15" s="4">
        <v>-2548</v>
      </c>
      <c r="U15" s="4">
        <v>-2580</v>
      </c>
      <c r="V15" s="3">
        <f>+U15*1.02</f>
        <v>-2631.6</v>
      </c>
      <c r="AC15" s="3">
        <f t="shared" si="18"/>
        <v>-7340</v>
      </c>
      <c r="AD15" s="3">
        <f t="shared" si="19"/>
        <v>-8056</v>
      </c>
      <c r="AE15" s="3">
        <f t="shared" si="24"/>
        <v>-7646</v>
      </c>
      <c r="AF15" s="3">
        <f t="shared" si="20"/>
        <v>-9267</v>
      </c>
      <c r="AG15" s="3">
        <f t="shared" si="21"/>
        <v>-10243.6</v>
      </c>
      <c r="AH15" s="3">
        <f>+AG15*1.08</f>
        <v>-11063.088000000002</v>
      </c>
      <c r="AI15" s="3">
        <f>+AH15*1.06</f>
        <v>-11726.873280000002</v>
      </c>
      <c r="AJ15" s="3">
        <f>+AI15*1</f>
        <v>-11726.873280000002</v>
      </c>
      <c r="AK15" s="3">
        <f t="shared" ref="AK15:AS15" si="29">+AJ15*1</f>
        <v>-11726.873280000002</v>
      </c>
      <c r="AL15" s="3">
        <f t="shared" si="29"/>
        <v>-11726.873280000002</v>
      </c>
      <c r="AM15" s="3">
        <f t="shared" si="29"/>
        <v>-11726.873280000002</v>
      </c>
      <c r="AN15" s="3">
        <f t="shared" si="29"/>
        <v>-11726.873280000002</v>
      </c>
      <c r="AO15" s="3">
        <f t="shared" si="29"/>
        <v>-11726.873280000002</v>
      </c>
      <c r="AP15" s="3">
        <f t="shared" si="29"/>
        <v>-11726.873280000002</v>
      </c>
      <c r="AQ15" s="3">
        <f t="shared" si="29"/>
        <v>-11726.873280000002</v>
      </c>
      <c r="AR15" s="3">
        <f t="shared" si="29"/>
        <v>-11726.873280000002</v>
      </c>
      <c r="AS15" s="3">
        <f t="shared" si="29"/>
        <v>-11726.873280000002</v>
      </c>
    </row>
    <row r="16" spans="2:45" s="3" customFormat="1" x14ac:dyDescent="0.25">
      <c r="B16" s="3" t="s">
        <v>32</v>
      </c>
      <c r="C16" s="4">
        <v>-1509</v>
      </c>
      <c r="D16" s="4">
        <v>-2164</v>
      </c>
      <c r="E16" s="4">
        <v>-1575</v>
      </c>
      <c r="F16" s="4">
        <v>-1558</v>
      </c>
      <c r="G16" s="4">
        <v>-1949</v>
      </c>
      <c r="H16" s="4">
        <v>-2105</v>
      </c>
      <c r="I16" s="4">
        <v>-1383</v>
      </c>
      <c r="J16" s="4">
        <v>-1828</v>
      </c>
      <c r="K16" s="4">
        <v>-1496</v>
      </c>
      <c r="L16" s="4">
        <v>-2447</v>
      </c>
      <c r="M16" s="4">
        <v>-1286</v>
      </c>
      <c r="N16" s="4">
        <v>-1351</v>
      </c>
      <c r="O16" s="4">
        <v>-3002</v>
      </c>
      <c r="P16" s="4">
        <v>-1489</v>
      </c>
      <c r="Q16" s="4">
        <v>-899</v>
      </c>
      <c r="R16" s="4">
        <v>-1468</v>
      </c>
      <c r="S16" s="4">
        <v>-1243</v>
      </c>
      <c r="T16" s="4">
        <v>-1994</v>
      </c>
      <c r="U16" s="4">
        <v>-1881</v>
      </c>
      <c r="V16" s="3">
        <v>-1750</v>
      </c>
      <c r="AC16" s="3">
        <f t="shared" si="18"/>
        <v>-6806</v>
      </c>
      <c r="AD16" s="3">
        <f t="shared" si="19"/>
        <v>-7265</v>
      </c>
      <c r="AE16" s="3">
        <f t="shared" si="24"/>
        <v>-6580</v>
      </c>
      <c r="AF16" s="3">
        <f t="shared" si="20"/>
        <v>-6858</v>
      </c>
      <c r="AG16" s="3">
        <f t="shared" si="21"/>
        <v>-6868</v>
      </c>
      <c r="AH16" s="3">
        <f>+AG16*1.005</f>
        <v>-6902.3399999999992</v>
      </c>
      <c r="AI16" s="3">
        <f t="shared" ref="AI16:AS16" si="30">+AH16*1.005</f>
        <v>-6936.8516999999983</v>
      </c>
      <c r="AJ16" s="3">
        <f t="shared" si="30"/>
        <v>-6971.5359584999978</v>
      </c>
      <c r="AK16" s="3">
        <f t="shared" si="30"/>
        <v>-7006.3936382924967</v>
      </c>
      <c r="AL16" s="3">
        <f t="shared" si="30"/>
        <v>-7041.4256064839583</v>
      </c>
      <c r="AM16" s="3">
        <f t="shared" si="30"/>
        <v>-7076.6327345163772</v>
      </c>
      <c r="AN16" s="3">
        <f t="shared" si="30"/>
        <v>-7112.0158981889581</v>
      </c>
      <c r="AO16" s="3">
        <f t="shared" si="30"/>
        <v>-7147.5759776799023</v>
      </c>
      <c r="AP16" s="3">
        <f t="shared" si="30"/>
        <v>-7183.3138575683006</v>
      </c>
      <c r="AQ16" s="3">
        <f t="shared" si="30"/>
        <v>-7219.2304268561411</v>
      </c>
      <c r="AR16" s="3">
        <f t="shared" si="30"/>
        <v>-7255.3265789904208</v>
      </c>
      <c r="AS16" s="3">
        <f t="shared" si="30"/>
        <v>-7291.6032118853718</v>
      </c>
    </row>
    <row r="17" spans="2:45" s="3" customFormat="1" x14ac:dyDescent="0.25">
      <c r="B17" s="3" t="s">
        <v>33</v>
      </c>
      <c r="C17" s="4">
        <v>-428</v>
      </c>
      <c r="D17" s="4">
        <v>-611</v>
      </c>
      <c r="E17" s="4">
        <v>-962</v>
      </c>
      <c r="F17" s="4">
        <v>-394</v>
      </c>
      <c r="G17" s="4">
        <v>-407</v>
      </c>
      <c r="H17" s="4">
        <v>-576</v>
      </c>
      <c r="I17" s="4">
        <v>-467</v>
      </c>
      <c r="J17" s="4">
        <v>-432</v>
      </c>
      <c r="K17" s="4">
        <v>-414</v>
      </c>
      <c r="L17" s="4">
        <v>-475</v>
      </c>
      <c r="M17" s="4">
        <v>-442</v>
      </c>
      <c r="N17" s="4">
        <v>-451</v>
      </c>
      <c r="O17" s="4">
        <v>-469</v>
      </c>
      <c r="P17" s="4">
        <v>-494</v>
      </c>
      <c r="Q17" s="4">
        <v>-578</v>
      </c>
      <c r="R17" s="4">
        <v>-608</v>
      </c>
      <c r="S17" s="4">
        <v>-553</v>
      </c>
      <c r="T17" s="4">
        <v>-914</v>
      </c>
      <c r="U17" s="4">
        <v>-962</v>
      </c>
      <c r="V17" s="3">
        <v>-1000</v>
      </c>
      <c r="AC17" s="3">
        <f t="shared" si="18"/>
        <v>-2395</v>
      </c>
      <c r="AD17" s="3">
        <f t="shared" si="19"/>
        <v>-1882</v>
      </c>
      <c r="AE17" s="3">
        <f t="shared" si="24"/>
        <v>-1782</v>
      </c>
      <c r="AF17" s="3">
        <f t="shared" si="20"/>
        <v>-2149</v>
      </c>
      <c r="AG17" s="3">
        <f t="shared" si="21"/>
        <v>-3429</v>
      </c>
      <c r="AH17" s="3">
        <f>+AG17-1000</f>
        <v>-4429</v>
      </c>
      <c r="AI17" s="3">
        <f>+AH17-1000</f>
        <v>-5429</v>
      </c>
      <c r="AJ17" s="3">
        <f>+AI17-1000</f>
        <v>-6429</v>
      </c>
      <c r="AK17" s="3">
        <f>+AJ17*1.02</f>
        <v>-6557.58</v>
      </c>
      <c r="AL17" s="3">
        <f t="shared" ref="AL17:AS17" si="31">+AK17*1.02</f>
        <v>-6688.7316000000001</v>
      </c>
      <c r="AM17" s="3">
        <f t="shared" si="31"/>
        <v>-6822.5062320000006</v>
      </c>
      <c r="AN17" s="3">
        <f t="shared" si="31"/>
        <v>-6958.9563566400011</v>
      </c>
      <c r="AO17" s="3">
        <f t="shared" si="31"/>
        <v>-7098.1354837728013</v>
      </c>
      <c r="AP17" s="3">
        <f t="shared" si="31"/>
        <v>-7240.098193448257</v>
      </c>
      <c r="AQ17" s="3">
        <f t="shared" si="31"/>
        <v>-7384.9001573172227</v>
      </c>
      <c r="AR17" s="3">
        <f t="shared" si="31"/>
        <v>-7532.5981604635672</v>
      </c>
      <c r="AS17" s="3">
        <f t="shared" si="31"/>
        <v>-7683.2501236728385</v>
      </c>
    </row>
    <row r="18" spans="2:45" s="3" customFormat="1" x14ac:dyDescent="0.25">
      <c r="B18" s="3" t="s">
        <v>34</v>
      </c>
      <c r="C18" s="4">
        <v>-1082</v>
      </c>
      <c r="D18" s="4">
        <v>-1071</v>
      </c>
      <c r="E18" s="4">
        <v>-1074</v>
      </c>
      <c r="F18" s="4">
        <v>-926</v>
      </c>
      <c r="G18" s="4">
        <v>-602</v>
      </c>
      <c r="H18" s="4">
        <v>-907</v>
      </c>
      <c r="I18" s="4">
        <v>-793</v>
      </c>
      <c r="J18" s="4">
        <v>-1016</v>
      </c>
      <c r="K18" s="4">
        <v>-866</v>
      </c>
      <c r="L18" s="4">
        <v>-758</v>
      </c>
      <c r="M18" s="4">
        <v>-743</v>
      </c>
      <c r="N18" s="4">
        <v>-786</v>
      </c>
      <c r="O18" s="4">
        <v>-882</v>
      </c>
      <c r="P18" s="4">
        <v>-1008</v>
      </c>
      <c r="Q18" s="4">
        <v>-774</v>
      </c>
      <c r="R18" s="4">
        <v>-1078</v>
      </c>
      <c r="S18" s="4">
        <v>-619</v>
      </c>
      <c r="T18" s="4">
        <v>-607</v>
      </c>
      <c r="U18" s="4">
        <v>-810</v>
      </c>
      <c r="V18" s="3">
        <v>-1000</v>
      </c>
      <c r="AC18" s="3">
        <f t="shared" si="18"/>
        <v>-4153</v>
      </c>
      <c r="AD18" s="3">
        <f t="shared" si="19"/>
        <v>-3318</v>
      </c>
      <c r="AE18" s="3">
        <f t="shared" si="24"/>
        <v>-3153</v>
      </c>
      <c r="AF18" s="3">
        <f t="shared" si="20"/>
        <v>-3742</v>
      </c>
      <c r="AG18" s="3">
        <f t="shared" si="21"/>
        <v>-3036</v>
      </c>
      <c r="AH18" s="3">
        <f>+AG18*1.02</f>
        <v>-3096.7200000000003</v>
      </c>
      <c r="AI18" s="3">
        <f t="shared" ref="AI18:AS18" si="32">+AH18*1.02</f>
        <v>-3158.6544000000004</v>
      </c>
      <c r="AJ18" s="3">
        <f t="shared" si="32"/>
        <v>-3221.8274880000004</v>
      </c>
      <c r="AK18" s="3">
        <f t="shared" si="32"/>
        <v>-3286.2640377600005</v>
      </c>
      <c r="AL18" s="3">
        <f t="shared" si="32"/>
        <v>-3351.9893185152005</v>
      </c>
      <c r="AM18" s="3">
        <f t="shared" si="32"/>
        <v>-3419.0291048855047</v>
      </c>
      <c r="AN18" s="3">
        <f t="shared" si="32"/>
        <v>-3487.4096869832147</v>
      </c>
      <c r="AO18" s="3">
        <f t="shared" si="32"/>
        <v>-3557.1578807228789</v>
      </c>
      <c r="AP18" s="3">
        <f t="shared" si="32"/>
        <v>-3628.3010383373366</v>
      </c>
      <c r="AQ18" s="3">
        <f t="shared" si="32"/>
        <v>-3700.8670591040836</v>
      </c>
      <c r="AR18" s="3">
        <f t="shared" si="32"/>
        <v>-3774.8844002861656</v>
      </c>
      <c r="AS18" s="3">
        <f t="shared" si="32"/>
        <v>-3850.382088291889</v>
      </c>
    </row>
    <row r="19" spans="2:45" s="3" customFormat="1" x14ac:dyDescent="0.25">
      <c r="B19" s="3" t="s">
        <v>24</v>
      </c>
      <c r="C19" s="4">
        <v>-558</v>
      </c>
      <c r="D19" s="4">
        <v>-787</v>
      </c>
      <c r="E19" s="4">
        <v>-1007</v>
      </c>
      <c r="F19" s="4">
        <v>-1549</v>
      </c>
      <c r="G19" s="4">
        <v>-678</v>
      </c>
      <c r="H19" s="4">
        <v>-303</v>
      </c>
      <c r="I19" s="4">
        <v>-114</v>
      </c>
      <c r="J19" s="4">
        <v>-209</v>
      </c>
      <c r="K19" s="4">
        <v>-79</v>
      </c>
      <c r="L19" s="4">
        <v>-109</v>
      </c>
      <c r="M19" s="4">
        <v>-131</v>
      </c>
      <c r="N19" s="4">
        <v>-223</v>
      </c>
      <c r="O19" s="4">
        <v>-150</v>
      </c>
      <c r="P19" s="4">
        <v>-422</v>
      </c>
      <c r="Q19" s="4">
        <v>-477</v>
      </c>
      <c r="R19" s="4">
        <v>-446</v>
      </c>
      <c r="S19" s="4">
        <v>-428</v>
      </c>
      <c r="T19" s="4">
        <v>-442</v>
      </c>
      <c r="U19" s="4">
        <v>-454</v>
      </c>
      <c r="V19" s="3">
        <v>-450</v>
      </c>
      <c r="AC19" s="3">
        <f t="shared" si="18"/>
        <v>-3901</v>
      </c>
      <c r="AD19" s="3">
        <f t="shared" si="19"/>
        <v>-1304</v>
      </c>
      <c r="AE19" s="3">
        <f t="shared" si="24"/>
        <v>-542</v>
      </c>
      <c r="AF19" s="3">
        <f t="shared" si="20"/>
        <v>-1495</v>
      </c>
      <c r="AG19" s="3">
        <f t="shared" si="21"/>
        <v>-1774</v>
      </c>
      <c r="AH19" s="3">
        <f>+AG19*1.04</f>
        <v>-1844.96</v>
      </c>
      <c r="AI19" s="3">
        <f t="shared" ref="AI19:AS20" si="33">+AH19*1.04</f>
        <v>-1918.7584000000002</v>
      </c>
      <c r="AJ19" s="3">
        <f t="shared" si="33"/>
        <v>-1995.5087360000002</v>
      </c>
      <c r="AK19" s="3">
        <f t="shared" si="33"/>
        <v>-2075.3290854400002</v>
      </c>
      <c r="AL19" s="3">
        <f t="shared" si="33"/>
        <v>-2158.3422488576002</v>
      </c>
      <c r="AM19" s="3">
        <f t="shared" si="33"/>
        <v>-2244.6759388119044</v>
      </c>
      <c r="AN19" s="3">
        <f t="shared" si="33"/>
        <v>-2334.4629763643807</v>
      </c>
      <c r="AO19" s="3">
        <f t="shared" si="33"/>
        <v>-2427.8414954189561</v>
      </c>
      <c r="AP19" s="3">
        <f t="shared" si="33"/>
        <v>-2524.9551552357143</v>
      </c>
      <c r="AQ19" s="3">
        <f t="shared" si="33"/>
        <v>-2625.9533614451429</v>
      </c>
      <c r="AR19" s="3">
        <f t="shared" si="33"/>
        <v>-2730.9914959029488</v>
      </c>
      <c r="AS19" s="3">
        <f t="shared" si="33"/>
        <v>-2840.2311557390667</v>
      </c>
    </row>
    <row r="20" spans="2:45" s="3" customFormat="1" x14ac:dyDescent="0.25">
      <c r="B20" s="3" t="s">
        <v>25</v>
      </c>
      <c r="C20" s="4">
        <v>-574</v>
      </c>
      <c r="D20" s="4">
        <v>-319</v>
      </c>
      <c r="E20" s="4">
        <v>-459</v>
      </c>
      <c r="F20" s="4">
        <v>-2299</v>
      </c>
      <c r="G20" s="4">
        <v>-1269</v>
      </c>
      <c r="H20" s="4">
        <v>-916</v>
      </c>
      <c r="I20" s="4">
        <v>7</v>
      </c>
      <c r="J20" s="4">
        <v>-649</v>
      </c>
      <c r="K20" s="4">
        <v>-763</v>
      </c>
      <c r="L20" s="4">
        <v>-660</v>
      </c>
      <c r="M20" s="4">
        <v>-856</v>
      </c>
      <c r="N20" s="4">
        <v>-822</v>
      </c>
      <c r="O20" s="4">
        <v>-714</v>
      </c>
      <c r="P20" s="4">
        <v>-776</v>
      </c>
      <c r="Q20" s="4">
        <v>-698</v>
      </c>
      <c r="R20" s="4">
        <v>-1004</v>
      </c>
      <c r="S20" s="4">
        <v>-780</v>
      </c>
      <c r="T20" s="4">
        <v>-809</v>
      </c>
      <c r="U20" s="4">
        <v>-865</v>
      </c>
      <c r="V20" s="3">
        <v>-850</v>
      </c>
      <c r="AC20" s="3">
        <f t="shared" si="18"/>
        <v>-3651</v>
      </c>
      <c r="AD20" s="3">
        <f t="shared" si="19"/>
        <v>-2827</v>
      </c>
      <c r="AE20" s="3">
        <f t="shared" si="24"/>
        <v>-3101</v>
      </c>
      <c r="AF20" s="3">
        <f t="shared" si="20"/>
        <v>-3192</v>
      </c>
      <c r="AG20" s="3">
        <f t="shared" si="21"/>
        <v>-3304</v>
      </c>
      <c r="AH20" s="3">
        <f>+AG20*1.04</f>
        <v>-3436.1600000000003</v>
      </c>
      <c r="AI20" s="3">
        <f t="shared" si="33"/>
        <v>-3573.6064000000006</v>
      </c>
      <c r="AJ20" s="3">
        <f t="shared" si="33"/>
        <v>-3716.5506560000008</v>
      </c>
      <c r="AK20" s="3">
        <f t="shared" si="33"/>
        <v>-3865.212682240001</v>
      </c>
      <c r="AL20" s="3">
        <f t="shared" si="33"/>
        <v>-4019.8211895296013</v>
      </c>
      <c r="AM20" s="3">
        <f t="shared" si="33"/>
        <v>-4180.6140371107858</v>
      </c>
      <c r="AN20" s="3">
        <f t="shared" si="33"/>
        <v>-4347.8385985952173</v>
      </c>
      <c r="AO20" s="3">
        <f t="shared" si="33"/>
        <v>-4521.752142539026</v>
      </c>
      <c r="AP20" s="3">
        <f t="shared" si="33"/>
        <v>-4702.622228240587</v>
      </c>
      <c r="AQ20" s="3">
        <f t="shared" si="33"/>
        <v>-4890.7271173702111</v>
      </c>
      <c r="AR20" s="3">
        <f t="shared" si="33"/>
        <v>-5086.3562020650197</v>
      </c>
      <c r="AS20" s="3">
        <f t="shared" si="33"/>
        <v>-5289.8104501476209</v>
      </c>
    </row>
    <row r="21" spans="2:45" s="3" customFormat="1" x14ac:dyDescent="0.25">
      <c r="B21" s="3" t="s">
        <v>35</v>
      </c>
      <c r="C21" s="3">
        <f>+SUM(C9:C20)</f>
        <v>-29467</v>
      </c>
      <c r="D21" s="3">
        <f t="shared" ref="D21:V21" si="34">+SUM(D9:D20)</f>
        <v>-41682</v>
      </c>
      <c r="E21" s="3">
        <f t="shared" si="34"/>
        <v>-39682</v>
      </c>
      <c r="F21" s="3">
        <f t="shared" si="34"/>
        <v>-42012</v>
      </c>
      <c r="G21" s="3">
        <f t="shared" si="34"/>
        <v>-40532</v>
      </c>
      <c r="H21" s="3">
        <f t="shared" si="34"/>
        <v>-31617</v>
      </c>
      <c r="I21" s="3">
        <f t="shared" si="34"/>
        <v>-31759</v>
      </c>
      <c r="J21" s="3">
        <f t="shared" si="34"/>
        <v>-36177</v>
      </c>
      <c r="K21" s="3">
        <f t="shared" si="34"/>
        <v>-47009</v>
      </c>
      <c r="L21" s="3">
        <f t="shared" si="34"/>
        <v>-61175</v>
      </c>
      <c r="M21" s="3">
        <f t="shared" si="34"/>
        <v>-58425</v>
      </c>
      <c r="N21" s="3">
        <f t="shared" si="34"/>
        <v>-55372</v>
      </c>
      <c r="O21" s="3">
        <f t="shared" si="34"/>
        <v>-64232</v>
      </c>
      <c r="P21" s="3">
        <f t="shared" si="34"/>
        <v>-61264</v>
      </c>
      <c r="Q21" s="3">
        <f t="shared" si="34"/>
        <v>-63965</v>
      </c>
      <c r="R21" s="3">
        <f t="shared" si="34"/>
        <v>-73488</v>
      </c>
      <c r="S21" s="3">
        <f t="shared" si="34"/>
        <v>-65313</v>
      </c>
      <c r="T21" s="3">
        <f t="shared" si="34"/>
        <v>-73666</v>
      </c>
      <c r="U21" s="3">
        <f t="shared" si="34"/>
        <v>-78887</v>
      </c>
      <c r="V21" s="3">
        <f t="shared" si="34"/>
        <v>-83244</v>
      </c>
      <c r="AC21" s="3">
        <f t="shared" ref="AC21:AG21" si="35">+SUM(AC9:AC20)</f>
        <v>-152843</v>
      </c>
      <c r="AD21" s="3">
        <f t="shared" si="35"/>
        <v>-140085</v>
      </c>
      <c r="AE21" s="3">
        <f t="shared" si="35"/>
        <v>-221981</v>
      </c>
      <c r="AF21" s="3">
        <f t="shared" si="35"/>
        <v>-262949</v>
      </c>
      <c r="AG21" s="3">
        <f t="shared" si="35"/>
        <v>-301110</v>
      </c>
      <c r="AH21" s="3">
        <f t="shared" ref="AH21" si="36">+SUM(AH9:AH20)</f>
        <v>-315100.10620000004</v>
      </c>
      <c r="AI21" s="3">
        <f t="shared" ref="AI21" si="37">+SUM(AI9:AI20)</f>
        <v>-331617.21332099999</v>
      </c>
      <c r="AJ21" s="3">
        <f t="shared" ref="AJ21" si="38">+SUM(AJ9:AJ20)</f>
        <v>-346527.66081971</v>
      </c>
      <c r="AK21" s="3">
        <f t="shared" ref="AK21" si="39">+SUM(AK9:AK20)</f>
        <v>-360229.11427576304</v>
      </c>
      <c r="AL21" s="3">
        <f t="shared" ref="AL21" si="40">+SUM(AL9:AL20)</f>
        <v>-374379.11711930804</v>
      </c>
      <c r="AM21" s="3">
        <f t="shared" ref="AM21" si="41">+SUM(AM9:AM20)</f>
        <v>-389127.99255319434</v>
      </c>
      <c r="AN21" s="3">
        <f t="shared" ref="AN21" si="42">+SUM(AN9:AN20)</f>
        <v>-404501.63468999497</v>
      </c>
      <c r="AO21" s="3">
        <f t="shared" ref="AO21" si="43">+SUM(AO9:AO20)</f>
        <v>-418568.1863848003</v>
      </c>
      <c r="AP21" s="3">
        <f t="shared" ref="AP21" si="44">+SUM(AP9:AP20)</f>
        <v>-433158.04726771708</v>
      </c>
      <c r="AQ21" s="3">
        <f t="shared" ref="AQ21" si="45">+SUM(AQ9:AQ20)</f>
        <v>-448291.08214463142</v>
      </c>
      <c r="AR21" s="3">
        <f t="shared" ref="AR21" si="46">+SUM(AR9:AR20)</f>
        <v>-463987.92051879986</v>
      </c>
      <c r="AS21" s="3">
        <f t="shared" ref="AS21" si="47">+SUM(AS9:AS20)</f>
        <v>-480269.98633911478</v>
      </c>
    </row>
    <row r="22" spans="2:45" s="3" customFormat="1" x14ac:dyDescent="0.25"/>
    <row r="23" spans="2:45" s="3" customFormat="1" x14ac:dyDescent="0.25">
      <c r="B23" s="3" t="s">
        <v>37</v>
      </c>
      <c r="C23" s="4">
        <v>-1437</v>
      </c>
      <c r="D23" s="4">
        <v>-1533</v>
      </c>
      <c r="E23" s="4">
        <v>-1483</v>
      </c>
      <c r="F23" s="4">
        <v>-1475</v>
      </c>
      <c r="G23" s="4">
        <v>-475</v>
      </c>
      <c r="H23" s="4">
        <v>-1576</v>
      </c>
      <c r="I23" s="4">
        <v>-1663</v>
      </c>
      <c r="J23" s="4">
        <v>-992</v>
      </c>
      <c r="K23" s="4">
        <v>-1054</v>
      </c>
      <c r="L23" s="4">
        <v>-1917</v>
      </c>
      <c r="M23" s="4">
        <v>-3952</v>
      </c>
      <c r="N23" s="4">
        <v>-3543</v>
      </c>
      <c r="O23" s="4">
        <v>-1882</v>
      </c>
      <c r="P23" s="4">
        <v>-1477</v>
      </c>
      <c r="Q23" s="4">
        <v>-1848</v>
      </c>
      <c r="R23" s="4">
        <f>-2231-1865</f>
        <v>-4096</v>
      </c>
      <c r="S23" s="4">
        <f>-3941-596</f>
        <v>-4537</v>
      </c>
      <c r="T23" s="4">
        <f>-2494-2132</f>
        <v>-4626</v>
      </c>
      <c r="U23" s="4">
        <f>-1179-2043</f>
        <v>-3222</v>
      </c>
      <c r="V23" s="3">
        <v>-3000</v>
      </c>
      <c r="AC23" s="3">
        <f>+SUM(C23:F23)</f>
        <v>-5928</v>
      </c>
      <c r="AD23" s="3">
        <f>+SUM(G23:J23)</f>
        <v>-4706</v>
      </c>
      <c r="AE23" s="3">
        <f t="shared" ref="AE23:AE24" si="48">+SUM(K23:N23)</f>
        <v>-10466</v>
      </c>
      <c r="AF23" s="3">
        <f>+SUM(O23:R23)</f>
        <v>-9303</v>
      </c>
      <c r="AG23" s="3">
        <f>+SUM(S23:V23)</f>
        <v>-15385</v>
      </c>
      <c r="AH23" s="3">
        <v>-20000</v>
      </c>
      <c r="AI23" s="3">
        <f>+AH23*1.03</f>
        <v>-20600</v>
      </c>
      <c r="AJ23" s="3">
        <f t="shared" ref="AJ23:AS23" si="49">+AI23*1.03</f>
        <v>-21218</v>
      </c>
      <c r="AK23" s="3">
        <f t="shared" si="49"/>
        <v>-21854.54</v>
      </c>
      <c r="AL23" s="3">
        <f t="shared" si="49"/>
        <v>-22510.176200000002</v>
      </c>
      <c r="AM23" s="3">
        <f t="shared" si="49"/>
        <v>-23185.481486000001</v>
      </c>
      <c r="AN23" s="3">
        <f t="shared" si="49"/>
        <v>-23881.04593058</v>
      </c>
      <c r="AO23" s="3">
        <f t="shared" si="49"/>
        <v>-24597.4773084974</v>
      </c>
      <c r="AP23" s="3">
        <f t="shared" si="49"/>
        <v>-25335.401627752322</v>
      </c>
      <c r="AQ23" s="3">
        <f t="shared" si="49"/>
        <v>-26095.463676584892</v>
      </c>
      <c r="AR23" s="3">
        <f t="shared" si="49"/>
        <v>-26878.327586882438</v>
      </c>
      <c r="AS23" s="3">
        <f t="shared" si="49"/>
        <v>-27684.677414488913</v>
      </c>
    </row>
    <row r="24" spans="2:45" s="3" customFormat="1" x14ac:dyDescent="0.25">
      <c r="B24" s="3" t="s">
        <v>38</v>
      </c>
      <c r="C24" s="4">
        <v>-4137</v>
      </c>
      <c r="D24" s="4">
        <v>-4257</v>
      </c>
      <c r="E24" s="4">
        <v>-4480</v>
      </c>
      <c r="F24" s="4">
        <v>-5969</v>
      </c>
      <c r="G24" s="4">
        <v>-4657</v>
      </c>
      <c r="H24" s="4">
        <v>-4780</v>
      </c>
      <c r="I24" s="4">
        <v>-4920</v>
      </c>
      <c r="J24" s="4">
        <v>-5877</v>
      </c>
      <c r="K24" s="4">
        <v>-5037</v>
      </c>
      <c r="L24" s="4">
        <v>-5080</v>
      </c>
      <c r="M24" s="4">
        <v>-4928</v>
      </c>
      <c r="N24" s="4">
        <v>-4555</v>
      </c>
      <c r="O24" s="4">
        <v>-3590</v>
      </c>
      <c r="P24" s="4">
        <v>-3421</v>
      </c>
      <c r="Q24" s="4">
        <v>-3438</v>
      </c>
      <c r="R24" s="4">
        <v>-3490</v>
      </c>
      <c r="S24" s="4">
        <v>-3380</v>
      </c>
      <c r="T24" s="4">
        <v>-3356</v>
      </c>
      <c r="U24" s="4">
        <v>-3205</v>
      </c>
      <c r="V24" s="3">
        <v>-3200</v>
      </c>
      <c r="AC24" s="3">
        <f>+SUM(C24:F24)</f>
        <v>-18843</v>
      </c>
      <c r="AD24" s="3">
        <f>+SUM(G24:J24)</f>
        <v>-20234</v>
      </c>
      <c r="AE24" s="3">
        <f t="shared" si="48"/>
        <v>-19600</v>
      </c>
      <c r="AF24" s="3">
        <f>+SUM(O24:R24)</f>
        <v>-13939</v>
      </c>
      <c r="AG24" s="3">
        <f>+SUM(S24:V24)</f>
        <v>-13141</v>
      </c>
      <c r="AH24" s="3">
        <f>+AG24*0.99</f>
        <v>-13009.59</v>
      </c>
      <c r="AI24" s="3">
        <f>+AH24*1.02</f>
        <v>-13269.781800000001</v>
      </c>
      <c r="AJ24" s="3">
        <f t="shared" ref="AJ24:AS24" si="50">+AI24*1.02</f>
        <v>-13535.177436000002</v>
      </c>
      <c r="AK24" s="3">
        <f t="shared" si="50"/>
        <v>-13805.880984720003</v>
      </c>
      <c r="AL24" s="3">
        <f t="shared" si="50"/>
        <v>-14081.998604414403</v>
      </c>
      <c r="AM24" s="3">
        <f t="shared" si="50"/>
        <v>-14363.638576502692</v>
      </c>
      <c r="AN24" s="3">
        <f t="shared" si="50"/>
        <v>-14650.911348032745</v>
      </c>
      <c r="AO24" s="3">
        <f t="shared" si="50"/>
        <v>-14943.929574993401</v>
      </c>
      <c r="AP24" s="3">
        <f t="shared" si="50"/>
        <v>-15242.808166493269</v>
      </c>
      <c r="AQ24" s="3">
        <f t="shared" si="50"/>
        <v>-15547.664329823134</v>
      </c>
      <c r="AR24" s="3">
        <f t="shared" si="50"/>
        <v>-15858.617616419597</v>
      </c>
      <c r="AS24" s="3">
        <f t="shared" si="50"/>
        <v>-16175.789968747989</v>
      </c>
    </row>
    <row r="25" spans="2:45" s="2" customFormat="1" x14ac:dyDescent="0.25">
      <c r="B25" s="2" t="s">
        <v>36</v>
      </c>
      <c r="C25" s="2">
        <f>+C7+C21+C23+C24</f>
        <v>2934</v>
      </c>
      <c r="D25" s="2">
        <f t="shared" ref="D25:V25" si="51">+D7+D21+D23+D24</f>
        <v>-4952</v>
      </c>
      <c r="E25" s="2">
        <f t="shared" si="51"/>
        <v>2175</v>
      </c>
      <c r="F25" s="2">
        <f t="shared" si="51"/>
        <v>-693</v>
      </c>
      <c r="G25" s="2">
        <f t="shared" si="51"/>
        <v>-5469</v>
      </c>
      <c r="H25" s="2">
        <f t="shared" si="51"/>
        <v>-5757</v>
      </c>
      <c r="I25" s="2">
        <f t="shared" si="51"/>
        <v>4074</v>
      </c>
      <c r="J25" s="2">
        <f t="shared" si="51"/>
        <v>7182</v>
      </c>
      <c r="K25" s="2">
        <f t="shared" si="51"/>
        <v>-1517</v>
      </c>
      <c r="L25" s="2">
        <f t="shared" si="51"/>
        <v>-8012</v>
      </c>
      <c r="M25" s="2">
        <f t="shared" si="51"/>
        <v>-685</v>
      </c>
      <c r="N25" s="2">
        <f t="shared" si="51"/>
        <v>9157</v>
      </c>
      <c r="O25" s="2">
        <f t="shared" si="51"/>
        <v>1880</v>
      </c>
      <c r="P25" s="2">
        <f t="shared" si="51"/>
        <v>11673</v>
      </c>
      <c r="Q25" s="2">
        <f t="shared" si="51"/>
        <v>16096</v>
      </c>
      <c r="R25" s="2">
        <f t="shared" si="51"/>
        <v>15198</v>
      </c>
      <c r="S25" s="2">
        <f t="shared" si="51"/>
        <v>13821</v>
      </c>
      <c r="T25" s="2">
        <f t="shared" si="51"/>
        <v>12486</v>
      </c>
      <c r="U25" s="2">
        <f t="shared" si="51"/>
        <v>17325</v>
      </c>
      <c r="V25" s="2">
        <f t="shared" si="51"/>
        <v>22556</v>
      </c>
      <c r="AC25" s="2">
        <f t="shared" ref="AC25" si="52">+AC7+AC21+AC23+AC24</f>
        <v>-536</v>
      </c>
      <c r="AD25" s="2">
        <f>+AD7+AD21+AD23+AD24</f>
        <v>30</v>
      </c>
      <c r="AE25" s="2">
        <f t="shared" ref="AE25:AG25" si="53">+AE7+AE21+AE23+AE24</f>
        <v>-1057</v>
      </c>
      <c r="AF25" s="2">
        <f t="shared" si="53"/>
        <v>44847</v>
      </c>
      <c r="AG25" s="2">
        <f t="shared" si="53"/>
        <v>67191</v>
      </c>
      <c r="AH25" s="2">
        <f t="shared" ref="AH25" si="54">+AH7+AH21+AH23+AH24</f>
        <v>70880.763800000044</v>
      </c>
      <c r="AI25" s="2">
        <f t="shared" ref="AI25" si="55">+AI7+AI21+AI23+AI24</f>
        <v>86874.24217900011</v>
      </c>
      <c r="AJ25" s="2">
        <f t="shared" ref="AJ25" si="56">+AJ7+AJ21+AJ23+AJ24</f>
        <v>98170.112457290088</v>
      </c>
      <c r="AK25" s="2">
        <f t="shared" ref="AK25" si="57">+AK7+AK21+AK23+AK24</f>
        <v>107533.96298816711</v>
      </c>
      <c r="AL25" s="2">
        <f t="shared" ref="AL25" si="58">+AL7+AL21+AL23+AL24</f>
        <v>117623.38123736024</v>
      </c>
      <c r="AM25" s="2">
        <f t="shared" ref="AM25" si="59">+AM7+AM21+AM23+AM24</f>
        <v>128347.29420343977</v>
      </c>
      <c r="AN25" s="2">
        <f t="shared" ref="AN25" si="60">+AN7+AN21+AN23+AN24</f>
        <v>139742.03519148604</v>
      </c>
      <c r="AO25" s="2">
        <f t="shared" ref="AO25" si="61">+AO7+AO21+AO23+AO24</f>
        <v>142281.93599244495</v>
      </c>
      <c r="AP25" s="2">
        <f t="shared" ref="AP25" si="62">+AP7+AP21+AP23+AP24</f>
        <v>144806.28302672709</v>
      </c>
      <c r="AQ25" s="2">
        <f t="shared" ref="AQ25" si="63">+AQ7+AQ21+AQ23+AQ24</f>
        <v>147310.83433794914</v>
      </c>
      <c r="AR25" s="2">
        <f t="shared" ref="AR25" si="64">+AR7+AR21+AR23+AR24</f>
        <v>149791.06970907655</v>
      </c>
      <c r="AS25" s="2">
        <f t="shared" ref="AS25" si="65">+AS7+AS21+AS23+AS24</f>
        <v>152242.17635965801</v>
      </c>
    </row>
    <row r="26" spans="2:45" s="3" customFormat="1" x14ac:dyDescent="0.25"/>
    <row r="27" spans="2:45" s="3" customFormat="1" x14ac:dyDescent="0.25">
      <c r="B27" s="3" t="s">
        <v>39</v>
      </c>
      <c r="C27" s="4">
        <v>1691</v>
      </c>
      <c r="D27" s="4">
        <v>1667</v>
      </c>
      <c r="E27" s="4">
        <v>613</v>
      </c>
      <c r="F27" s="4">
        <v>6561</v>
      </c>
      <c r="G27" s="4">
        <v>-11</v>
      </c>
      <c r="H27" s="4">
        <v>9563</v>
      </c>
      <c r="I27" s="4">
        <v>4668</v>
      </c>
      <c r="J27" s="4">
        <v>5166</v>
      </c>
      <c r="K27" s="4">
        <v>1717</v>
      </c>
      <c r="L27" s="4">
        <v>16</v>
      </c>
      <c r="M27" s="4">
        <v>4</v>
      </c>
      <c r="N27" s="4">
        <v>97</v>
      </c>
      <c r="O27" s="4">
        <v>155</v>
      </c>
      <c r="P27" s="4">
        <v>2282</v>
      </c>
      <c r="Q27" s="4">
        <v>2545</v>
      </c>
      <c r="R27" s="13">
        <v>43606</v>
      </c>
      <c r="S27" s="13">
        <v>5362</v>
      </c>
      <c r="T27" s="13">
        <v>1361</v>
      </c>
      <c r="U27" s="13">
        <v>1154</v>
      </c>
      <c r="V27" s="3">
        <v>1000</v>
      </c>
      <c r="AC27" s="3">
        <f>+SUM(C27:F27)</f>
        <v>10532</v>
      </c>
      <c r="AD27" s="3">
        <f>+SUM(G27:J27)</f>
        <v>19386</v>
      </c>
      <c r="AE27" s="3">
        <f t="shared" ref="AE27:AE28" si="66">+SUM(K27:N27)</f>
        <v>1834</v>
      </c>
      <c r="AF27" s="3">
        <f>+SUM(O27:R27)</f>
        <v>48588</v>
      </c>
      <c r="AG27" s="3">
        <f>+SUM(S27:V27)</f>
        <v>8877</v>
      </c>
      <c r="AH27" s="3">
        <v>5000</v>
      </c>
      <c r="AI27" s="3">
        <f>+AH27*0.8</f>
        <v>4000</v>
      </c>
      <c r="AJ27" s="3">
        <f t="shared" ref="AJ27:AS28" si="67">+AI27*0.8</f>
        <v>3200</v>
      </c>
      <c r="AK27" s="3">
        <f t="shared" si="67"/>
        <v>2560</v>
      </c>
      <c r="AL27" s="3">
        <f t="shared" si="67"/>
        <v>2048</v>
      </c>
      <c r="AM27" s="3">
        <f t="shared" si="67"/>
        <v>1638.4</v>
      </c>
      <c r="AN27" s="3">
        <f t="shared" si="67"/>
        <v>1310.7200000000003</v>
      </c>
      <c r="AO27" s="3">
        <f t="shared" si="67"/>
        <v>1048.5760000000002</v>
      </c>
      <c r="AP27" s="3">
        <f t="shared" si="67"/>
        <v>838.86080000000027</v>
      </c>
      <c r="AQ27" s="3">
        <f t="shared" si="67"/>
        <v>671.08864000000028</v>
      </c>
      <c r="AR27" s="3">
        <f t="shared" si="67"/>
        <v>536.8709120000002</v>
      </c>
      <c r="AS27" s="3">
        <f t="shared" si="67"/>
        <v>429.49672960000021</v>
      </c>
    </row>
    <row r="28" spans="2:45" s="3" customFormat="1" x14ac:dyDescent="0.25">
      <c r="B28" s="3" t="s">
        <v>40</v>
      </c>
      <c r="C28" s="4">
        <v>-154</v>
      </c>
      <c r="D28" s="4">
        <v>-163</v>
      </c>
      <c r="E28" s="4">
        <v>-154</v>
      </c>
      <c r="F28" s="4">
        <v>-184</v>
      </c>
      <c r="G28" s="4">
        <v>-5920</v>
      </c>
      <c r="H28" s="4">
        <v>-196</v>
      </c>
      <c r="I28" s="4">
        <v>-123</v>
      </c>
      <c r="J28" s="4">
        <v>-30</v>
      </c>
      <c r="K28" s="4">
        <v>-442</v>
      </c>
      <c r="L28" s="4">
        <v>-3548</v>
      </c>
      <c r="M28" s="4">
        <v>-779</v>
      </c>
      <c r="N28" s="4">
        <v>-3853</v>
      </c>
      <c r="O28" s="4">
        <v>-9947</v>
      </c>
      <c r="P28" s="4">
        <v>-15341</v>
      </c>
      <c r="Q28" s="4">
        <v>-4747</v>
      </c>
      <c r="R28" s="13">
        <v>-35620</v>
      </c>
      <c r="S28" s="13">
        <v>-372</v>
      </c>
      <c r="T28" s="13">
        <v>-80</v>
      </c>
      <c r="U28" s="13">
        <v>-92</v>
      </c>
      <c r="V28" s="3">
        <v>-100</v>
      </c>
      <c r="AC28" s="3">
        <f>+SUM(C28:F28)</f>
        <v>-655</v>
      </c>
      <c r="AD28" s="3">
        <f>+SUM(G28:J28)</f>
        <v>-6269</v>
      </c>
      <c r="AE28" s="3">
        <f t="shared" si="66"/>
        <v>-8622</v>
      </c>
      <c r="AF28" s="3">
        <f>+SUM(O28:R28)</f>
        <v>-65655</v>
      </c>
      <c r="AG28" s="3">
        <f>+SUM(S28:V28)</f>
        <v>-644</v>
      </c>
      <c r="AH28" s="3">
        <v>-500</v>
      </c>
      <c r="AI28" s="3">
        <f>+AH28*0.8</f>
        <v>-400</v>
      </c>
      <c r="AJ28" s="3">
        <f t="shared" si="67"/>
        <v>-320</v>
      </c>
      <c r="AK28" s="3">
        <f t="shared" si="67"/>
        <v>-256</v>
      </c>
      <c r="AL28" s="3">
        <f t="shared" si="67"/>
        <v>-204.8</v>
      </c>
      <c r="AM28" s="3">
        <f t="shared" si="67"/>
        <v>-163.84000000000003</v>
      </c>
      <c r="AN28" s="3">
        <f t="shared" si="67"/>
        <v>-131.07200000000003</v>
      </c>
      <c r="AO28" s="3">
        <f t="shared" si="67"/>
        <v>-104.85760000000003</v>
      </c>
      <c r="AP28" s="3">
        <f t="shared" si="67"/>
        <v>-83.886080000000035</v>
      </c>
      <c r="AQ28" s="3">
        <f t="shared" si="67"/>
        <v>-67.108864000000025</v>
      </c>
      <c r="AR28" s="3">
        <f t="shared" si="67"/>
        <v>-53.687091200000026</v>
      </c>
      <c r="AS28" s="3">
        <f t="shared" si="67"/>
        <v>-42.949672960000022</v>
      </c>
    </row>
    <row r="29" spans="2:45" s="3" customFormat="1" x14ac:dyDescent="0.25">
      <c r="B29" s="3" t="s">
        <v>41</v>
      </c>
      <c r="C29" s="3">
        <f>+C27+C28</f>
        <v>1537</v>
      </c>
      <c r="D29" s="3">
        <f t="shared" ref="D29:V29" si="68">+D27+D28</f>
        <v>1504</v>
      </c>
      <c r="E29" s="3">
        <f t="shared" si="68"/>
        <v>459</v>
      </c>
      <c r="F29" s="3">
        <f t="shared" si="68"/>
        <v>6377</v>
      </c>
      <c r="G29" s="3">
        <f t="shared" si="68"/>
        <v>-5931</v>
      </c>
      <c r="H29" s="3">
        <f t="shared" si="68"/>
        <v>9367</v>
      </c>
      <c r="I29" s="3">
        <f t="shared" si="68"/>
        <v>4545</v>
      </c>
      <c r="J29" s="3">
        <f t="shared" si="68"/>
        <v>5136</v>
      </c>
      <c r="K29" s="3">
        <f t="shared" si="68"/>
        <v>1275</v>
      </c>
      <c r="L29" s="3">
        <f t="shared" si="68"/>
        <v>-3532</v>
      </c>
      <c r="M29" s="3">
        <f t="shared" si="68"/>
        <v>-775</v>
      </c>
      <c r="N29" s="3">
        <f t="shared" si="68"/>
        <v>-3756</v>
      </c>
      <c r="O29" s="3">
        <f t="shared" si="68"/>
        <v>-9792</v>
      </c>
      <c r="P29" s="3">
        <f t="shared" si="68"/>
        <v>-13059</v>
      </c>
      <c r="Q29" s="3">
        <f t="shared" si="68"/>
        <v>-2202</v>
      </c>
      <c r="R29" s="3">
        <f t="shared" si="68"/>
        <v>7986</v>
      </c>
      <c r="S29" s="3">
        <f t="shared" si="68"/>
        <v>4990</v>
      </c>
      <c r="T29" s="3">
        <f t="shared" si="68"/>
        <v>1281</v>
      </c>
      <c r="U29" s="3">
        <f t="shared" si="68"/>
        <v>1062</v>
      </c>
      <c r="V29" s="3">
        <f t="shared" si="68"/>
        <v>900</v>
      </c>
      <c r="AC29" s="3">
        <f t="shared" ref="AC29" si="69">+AC27+AC28</f>
        <v>9877</v>
      </c>
      <c r="AD29" s="3">
        <f t="shared" ref="AD29" si="70">+AD27+AD28</f>
        <v>13117</v>
      </c>
      <c r="AE29" s="3">
        <f t="shared" ref="AE29" si="71">+AE27+AE28</f>
        <v>-6788</v>
      </c>
      <c r="AF29" s="3">
        <f t="shared" ref="AF29" si="72">+AF27+AF28</f>
        <v>-17067</v>
      </c>
      <c r="AG29" s="3">
        <f t="shared" ref="AG29" si="73">+AG27+AG28</f>
        <v>8233</v>
      </c>
      <c r="AH29" s="3">
        <f t="shared" ref="AH29" si="74">+AH27+AH28</f>
        <v>4500</v>
      </c>
      <c r="AI29" s="3">
        <f t="shared" ref="AI29" si="75">+AI27+AI28</f>
        <v>3600</v>
      </c>
      <c r="AJ29" s="3">
        <f t="shared" ref="AJ29" si="76">+AJ27+AJ28</f>
        <v>2880</v>
      </c>
      <c r="AK29" s="3">
        <f t="shared" ref="AK29" si="77">+AK27+AK28</f>
        <v>2304</v>
      </c>
      <c r="AL29" s="3">
        <f t="shared" ref="AL29" si="78">+AL27+AL28</f>
        <v>1843.2</v>
      </c>
      <c r="AM29" s="3">
        <f t="shared" ref="AM29" si="79">+AM27+AM28</f>
        <v>1474.56</v>
      </c>
      <c r="AN29" s="3">
        <f t="shared" ref="AN29" si="80">+AN27+AN28</f>
        <v>1179.6480000000001</v>
      </c>
      <c r="AO29" s="3">
        <f t="shared" ref="AO29" si="81">+AO27+AO28</f>
        <v>943.7184000000002</v>
      </c>
      <c r="AP29" s="3">
        <f t="shared" ref="AP29" si="82">+AP27+AP28</f>
        <v>754.97472000000027</v>
      </c>
      <c r="AQ29" s="3">
        <f t="shared" ref="AQ29" si="83">+AQ27+AQ28</f>
        <v>603.97977600000024</v>
      </c>
      <c r="AR29" s="3">
        <f t="shared" ref="AR29" si="84">+AR27+AR28</f>
        <v>483.18382080000015</v>
      </c>
      <c r="AS29" s="3">
        <f t="shared" ref="AS29" si="85">+AS27+AS28</f>
        <v>386.54705664000016</v>
      </c>
    </row>
    <row r="30" spans="2:45" s="3" customFormat="1" x14ac:dyDescent="0.25"/>
    <row r="31" spans="2:45" s="3" customFormat="1" x14ac:dyDescent="0.25">
      <c r="B31" s="3" t="s">
        <v>42</v>
      </c>
      <c r="C31" s="3">
        <f>+C25+C29</f>
        <v>4471</v>
      </c>
      <c r="D31" s="3">
        <f t="shared" ref="D31:V31" si="86">+D25+D29</f>
        <v>-3448</v>
      </c>
      <c r="E31" s="3">
        <f t="shared" si="86"/>
        <v>2634</v>
      </c>
      <c r="F31" s="3">
        <f t="shared" si="86"/>
        <v>5684</v>
      </c>
      <c r="G31" s="3">
        <f t="shared" si="86"/>
        <v>-11400</v>
      </c>
      <c r="H31" s="3">
        <f t="shared" si="86"/>
        <v>3610</v>
      </c>
      <c r="I31" s="3">
        <f t="shared" si="86"/>
        <v>8619</v>
      </c>
      <c r="J31" s="3">
        <f t="shared" si="86"/>
        <v>12318</v>
      </c>
      <c r="K31" s="3">
        <f t="shared" si="86"/>
        <v>-242</v>
      </c>
      <c r="L31" s="3">
        <f t="shared" si="86"/>
        <v>-11544</v>
      </c>
      <c r="M31" s="3">
        <f t="shared" si="86"/>
        <v>-1460</v>
      </c>
      <c r="N31" s="3">
        <f t="shared" si="86"/>
        <v>5401</v>
      </c>
      <c r="O31" s="3">
        <f t="shared" si="86"/>
        <v>-7912</v>
      </c>
      <c r="P31" s="3">
        <f t="shared" si="86"/>
        <v>-1386</v>
      </c>
      <c r="Q31" s="3">
        <f t="shared" si="86"/>
        <v>13894</v>
      </c>
      <c r="R31" s="3">
        <f t="shared" si="86"/>
        <v>23184</v>
      </c>
      <c r="S31" s="3">
        <f t="shared" si="86"/>
        <v>18811</v>
      </c>
      <c r="T31" s="3">
        <f t="shared" si="86"/>
        <v>13767</v>
      </c>
      <c r="U31" s="3">
        <f t="shared" si="86"/>
        <v>18387</v>
      </c>
      <c r="V31" s="3">
        <f t="shared" si="86"/>
        <v>23456</v>
      </c>
      <c r="AC31" s="3">
        <f t="shared" ref="AC31:AN31" si="87">+AC25+AC29</f>
        <v>9341</v>
      </c>
      <c r="AD31" s="3">
        <f t="shared" si="87"/>
        <v>13147</v>
      </c>
      <c r="AE31" s="3">
        <f t="shared" si="87"/>
        <v>-7845</v>
      </c>
      <c r="AF31" s="3">
        <f t="shared" si="87"/>
        <v>27780</v>
      </c>
      <c r="AG31" s="3">
        <f t="shared" si="87"/>
        <v>75424</v>
      </c>
      <c r="AH31" s="3">
        <f t="shared" si="87"/>
        <v>75380.763800000044</v>
      </c>
      <c r="AI31" s="3">
        <f t="shared" si="87"/>
        <v>90474.24217900011</v>
      </c>
      <c r="AJ31" s="3">
        <f t="shared" si="87"/>
        <v>101050.11245729009</v>
      </c>
      <c r="AK31" s="3">
        <f t="shared" si="87"/>
        <v>109837.96298816711</v>
      </c>
      <c r="AL31" s="3">
        <f t="shared" si="87"/>
        <v>119466.58123736024</v>
      </c>
      <c r="AM31" s="3">
        <f t="shared" si="87"/>
        <v>129821.85420343977</v>
      </c>
      <c r="AN31" s="3">
        <f t="shared" si="87"/>
        <v>140921.68319148602</v>
      </c>
      <c r="AO31" s="3">
        <f t="shared" ref="AO31:AS31" si="88">+AO25+AO29</f>
        <v>143225.65439244497</v>
      </c>
      <c r="AP31" s="3">
        <f t="shared" si="88"/>
        <v>145561.25774672709</v>
      </c>
      <c r="AQ31" s="3">
        <f t="shared" si="88"/>
        <v>147914.81411394913</v>
      </c>
      <c r="AR31" s="3">
        <f t="shared" si="88"/>
        <v>150274.25352987656</v>
      </c>
      <c r="AS31" s="3">
        <f t="shared" si="88"/>
        <v>152628.72341629802</v>
      </c>
    </row>
    <row r="32" spans="2:45" s="3" customFormat="1" x14ac:dyDescent="0.25">
      <c r="B32" s="3" t="s">
        <v>43</v>
      </c>
      <c r="C32" s="4">
        <v>636</v>
      </c>
      <c r="D32" s="4">
        <v>1394</v>
      </c>
      <c r="E32" s="4">
        <v>-895</v>
      </c>
      <c r="F32" s="4">
        <v>-3793</v>
      </c>
      <c r="G32" s="4">
        <v>-1549</v>
      </c>
      <c r="H32" s="4">
        <v>2206</v>
      </c>
      <c r="I32" s="4">
        <v>-1290</v>
      </c>
      <c r="J32" s="4">
        <v>558</v>
      </c>
      <c r="K32" s="4">
        <v>828</v>
      </c>
      <c r="L32" s="4">
        <v>1953</v>
      </c>
      <c r="M32" s="4">
        <v>-388</v>
      </c>
      <c r="N32" s="4">
        <v>-2435</v>
      </c>
      <c r="O32" s="4">
        <v>-608</v>
      </c>
      <c r="P32" s="4">
        <v>-3742</v>
      </c>
      <c r="Q32" s="4">
        <v>-5167</v>
      </c>
      <c r="R32" s="4">
        <v>681</v>
      </c>
      <c r="S32" s="4">
        <v>-3269</v>
      </c>
      <c r="T32" s="4">
        <v>-1148</v>
      </c>
      <c r="U32" s="4">
        <v>-218</v>
      </c>
      <c r="V32" s="3">
        <f>+V31*-0.15</f>
        <v>-3518.4</v>
      </c>
      <c r="AC32" s="3">
        <f>+SUM(C32:F32)</f>
        <v>-2658</v>
      </c>
      <c r="AD32" s="3">
        <f>+SUM(G32:J32)</f>
        <v>-75</v>
      </c>
      <c r="AE32" s="3">
        <f t="shared" ref="AE32" si="89">+SUM(K32:N32)</f>
        <v>-42</v>
      </c>
      <c r="AF32" s="3">
        <f>+SUM(O32:R32)</f>
        <v>-8836</v>
      </c>
      <c r="AG32" s="3">
        <f>+SUM(S32:V32)</f>
        <v>-8153.4</v>
      </c>
      <c r="AH32" s="3">
        <f>+AH31*0.22</f>
        <v>16583.768036000009</v>
      </c>
      <c r="AI32" s="3">
        <f t="shared" ref="AI32:AS32" si="90">+AI31*0.22</f>
        <v>19904.333279380025</v>
      </c>
      <c r="AJ32" s="3">
        <f t="shared" si="90"/>
        <v>22231.024740603818</v>
      </c>
      <c r="AK32" s="3">
        <f t="shared" si="90"/>
        <v>24164.351857396767</v>
      </c>
      <c r="AL32" s="3">
        <f t="shared" si="90"/>
        <v>26282.647872219251</v>
      </c>
      <c r="AM32" s="3">
        <f t="shared" si="90"/>
        <v>28560.807924756748</v>
      </c>
      <c r="AN32" s="3">
        <f t="shared" si="90"/>
        <v>31002.770302126926</v>
      </c>
      <c r="AO32" s="3">
        <f t="shared" si="90"/>
        <v>31509.643966337891</v>
      </c>
      <c r="AP32" s="3">
        <f t="shared" si="90"/>
        <v>32023.476704279961</v>
      </c>
      <c r="AQ32" s="3">
        <f t="shared" si="90"/>
        <v>32541.25910506881</v>
      </c>
      <c r="AR32" s="3">
        <f t="shared" si="90"/>
        <v>33060.335776572843</v>
      </c>
      <c r="AS32" s="3">
        <f t="shared" si="90"/>
        <v>33578.319151585565</v>
      </c>
    </row>
    <row r="33" spans="2:101" s="2" customFormat="1" x14ac:dyDescent="0.25">
      <c r="B33" s="2" t="s">
        <v>44</v>
      </c>
      <c r="C33" s="2">
        <f>+C31+C32</f>
        <v>5107</v>
      </c>
      <c r="D33" s="2">
        <f t="shared" ref="D33:V33" si="91">+D31+D32</f>
        <v>-2054</v>
      </c>
      <c r="E33" s="2">
        <f t="shared" si="91"/>
        <v>1739</v>
      </c>
      <c r="F33" s="2">
        <f t="shared" si="91"/>
        <v>1891</v>
      </c>
      <c r="G33" s="2">
        <f t="shared" si="91"/>
        <v>-12949</v>
      </c>
      <c r="H33" s="2">
        <f t="shared" si="91"/>
        <v>5816</v>
      </c>
      <c r="I33" s="2">
        <f t="shared" si="91"/>
        <v>7329</v>
      </c>
      <c r="J33" s="2">
        <f t="shared" si="91"/>
        <v>12876</v>
      </c>
      <c r="K33" s="2">
        <f t="shared" si="91"/>
        <v>586</v>
      </c>
      <c r="L33" s="2">
        <f t="shared" si="91"/>
        <v>-9591</v>
      </c>
      <c r="M33" s="2">
        <f t="shared" si="91"/>
        <v>-1848</v>
      </c>
      <c r="N33" s="2">
        <f t="shared" si="91"/>
        <v>2966</v>
      </c>
      <c r="O33" s="2">
        <f t="shared" si="91"/>
        <v>-8520</v>
      </c>
      <c r="P33" s="2">
        <f t="shared" si="91"/>
        <v>-5128</v>
      </c>
      <c r="Q33" s="2">
        <f t="shared" si="91"/>
        <v>8727</v>
      </c>
      <c r="R33" s="2">
        <f t="shared" si="91"/>
        <v>23865</v>
      </c>
      <c r="S33" s="2">
        <f t="shared" si="91"/>
        <v>15542</v>
      </c>
      <c r="T33" s="2">
        <f t="shared" si="91"/>
        <v>12619</v>
      </c>
      <c r="U33" s="2">
        <f t="shared" si="91"/>
        <v>18169</v>
      </c>
      <c r="V33" s="2">
        <f t="shared" si="91"/>
        <v>19937.599999999999</v>
      </c>
      <c r="AC33" s="2">
        <f t="shared" ref="AC33" si="92">+AC31+AC32</f>
        <v>6683</v>
      </c>
      <c r="AD33" s="2">
        <f t="shared" ref="AD33" si="93">+AD31+AD32</f>
        <v>13072</v>
      </c>
      <c r="AE33" s="2">
        <f t="shared" ref="AE33" si="94">+AE31+AE32</f>
        <v>-7887</v>
      </c>
      <c r="AF33" s="2">
        <f t="shared" ref="AF33" si="95">+AF31+AF32</f>
        <v>18944</v>
      </c>
      <c r="AG33" s="2">
        <f t="shared" ref="AG33" si="96">+AG31+AG32</f>
        <v>67270.600000000006</v>
      </c>
      <c r="AH33" s="2">
        <f t="shared" ref="AH33" si="97">+AH31+AH32</f>
        <v>91964.531836000053</v>
      </c>
      <c r="AI33" s="2">
        <f t="shared" ref="AI33" si="98">+AI31+AI32</f>
        <v>110378.57545838013</v>
      </c>
      <c r="AJ33" s="2">
        <f t="shared" ref="AJ33" si="99">+AJ31+AJ32</f>
        <v>123281.1371978939</v>
      </c>
      <c r="AK33" s="2">
        <f t="shared" ref="AK33" si="100">+AK31+AK32</f>
        <v>134002.31484556387</v>
      </c>
      <c r="AL33" s="2">
        <f t="shared" ref="AL33" si="101">+AL31+AL32</f>
        <v>145749.22910957949</v>
      </c>
      <c r="AM33" s="2">
        <f t="shared" ref="AM33" si="102">+AM31+AM32</f>
        <v>158382.66212819651</v>
      </c>
      <c r="AN33" s="2">
        <f t="shared" ref="AN33" si="103">+AN31+AN32</f>
        <v>171924.45349361293</v>
      </c>
      <c r="AO33" s="2">
        <f t="shared" ref="AO33" si="104">+AO31+AO32</f>
        <v>174735.29835878286</v>
      </c>
      <c r="AP33" s="2">
        <f t="shared" ref="AP33" si="105">+AP31+AP32</f>
        <v>177584.73445100704</v>
      </c>
      <c r="AQ33" s="2">
        <f t="shared" ref="AQ33" si="106">+AQ31+AQ32</f>
        <v>180456.07321901794</v>
      </c>
      <c r="AR33" s="2">
        <f t="shared" ref="AR33" si="107">+AR31+AR32</f>
        <v>183334.5893064494</v>
      </c>
      <c r="AS33" s="2">
        <f t="shared" ref="AS33" si="108">+AS31+AS32</f>
        <v>186207.04256788359</v>
      </c>
      <c r="AT33" s="2">
        <f t="shared" ref="AT33:BY33" si="109">+AS33*(1+TR)</f>
        <v>182482.90171652593</v>
      </c>
      <c r="AU33" s="2">
        <f t="shared" si="109"/>
        <v>178833.2436821954</v>
      </c>
      <c r="AV33" s="2">
        <f t="shared" si="109"/>
        <v>175256.57880855148</v>
      </c>
      <c r="AW33" s="2">
        <f t="shared" si="109"/>
        <v>171751.44723238045</v>
      </c>
      <c r="AX33" s="2">
        <f t="shared" si="109"/>
        <v>168316.41828773284</v>
      </c>
      <c r="AY33" s="2">
        <f t="shared" si="109"/>
        <v>164950.08992197819</v>
      </c>
      <c r="AZ33" s="2">
        <f t="shared" si="109"/>
        <v>161651.08812353862</v>
      </c>
      <c r="BA33" s="2">
        <f t="shared" si="109"/>
        <v>158418.06636106785</v>
      </c>
      <c r="BB33" s="2">
        <f t="shared" si="109"/>
        <v>155249.70503384649</v>
      </c>
      <c r="BC33" s="2">
        <f t="shared" si="109"/>
        <v>152144.71093316955</v>
      </c>
      <c r="BD33" s="2">
        <f t="shared" si="109"/>
        <v>149101.81671450616</v>
      </c>
      <c r="BE33" s="2">
        <f t="shared" si="109"/>
        <v>146119.78038021602</v>
      </c>
      <c r="BF33" s="2">
        <f t="shared" si="109"/>
        <v>143197.38477261169</v>
      </c>
      <c r="BG33" s="2">
        <f t="shared" si="109"/>
        <v>140333.43707715947</v>
      </c>
      <c r="BH33" s="2">
        <f t="shared" si="109"/>
        <v>137526.76833561627</v>
      </c>
      <c r="BI33" s="2">
        <f t="shared" si="109"/>
        <v>134776.23296890393</v>
      </c>
      <c r="BJ33" s="2">
        <f t="shared" si="109"/>
        <v>132080.70830952586</v>
      </c>
      <c r="BK33" s="2">
        <f t="shared" si="109"/>
        <v>129439.09414333534</v>
      </c>
      <c r="BL33" s="2">
        <f t="shared" si="109"/>
        <v>126850.31226046864</v>
      </c>
      <c r="BM33" s="2">
        <f t="shared" si="109"/>
        <v>124313.30601525927</v>
      </c>
      <c r="BN33" s="2">
        <f t="shared" si="109"/>
        <v>121827.03989495408</v>
      </c>
      <c r="BO33" s="2">
        <f t="shared" si="109"/>
        <v>119390.499097055</v>
      </c>
      <c r="BP33" s="2">
        <f t="shared" si="109"/>
        <v>117002.6891151139</v>
      </c>
      <c r="BQ33" s="2">
        <f t="shared" si="109"/>
        <v>114662.63533281162</v>
      </c>
      <c r="BR33" s="2">
        <f t="shared" si="109"/>
        <v>112369.38262615539</v>
      </c>
      <c r="BS33" s="2">
        <f t="shared" si="109"/>
        <v>110121.99497363229</v>
      </c>
      <c r="BT33" s="2">
        <f t="shared" si="109"/>
        <v>107919.55507415964</v>
      </c>
      <c r="BU33" s="2">
        <f t="shared" si="109"/>
        <v>105761.16397267644</v>
      </c>
      <c r="BV33" s="2">
        <f t="shared" si="109"/>
        <v>103645.9406932229</v>
      </c>
      <c r="BW33" s="2">
        <f t="shared" si="109"/>
        <v>101573.02187935845</v>
      </c>
      <c r="BX33" s="2">
        <f t="shared" si="109"/>
        <v>99541.561441771279</v>
      </c>
      <c r="BY33" s="2">
        <f t="shared" si="109"/>
        <v>97550.730212935858</v>
      </c>
      <c r="BZ33" s="2">
        <f t="shared" ref="BZ33:CW33" si="110">+BY33*(1+TR)</f>
        <v>95599.715608677143</v>
      </c>
      <c r="CA33" s="2">
        <f t="shared" si="110"/>
        <v>93687.721296503601</v>
      </c>
      <c r="CB33" s="2">
        <f t="shared" si="110"/>
        <v>91813.966870573524</v>
      </c>
      <c r="CC33" s="2">
        <f t="shared" si="110"/>
        <v>89977.687533162054</v>
      </c>
      <c r="CD33" s="2">
        <f t="shared" si="110"/>
        <v>88178.133782498815</v>
      </c>
      <c r="CE33" s="2">
        <f t="shared" si="110"/>
        <v>86414.571106848831</v>
      </c>
      <c r="CF33" s="2">
        <f t="shared" si="110"/>
        <v>84686.279684711859</v>
      </c>
      <c r="CG33" s="2">
        <f t="shared" si="110"/>
        <v>82992.554091017621</v>
      </c>
      <c r="CH33" s="2">
        <f t="shared" si="110"/>
        <v>81332.70300919727</v>
      </c>
      <c r="CI33" s="2">
        <f t="shared" si="110"/>
        <v>79706.048949013319</v>
      </c>
      <c r="CJ33" s="2">
        <f t="shared" si="110"/>
        <v>78111.927970033052</v>
      </c>
      <c r="CK33" s="2">
        <f t="shared" si="110"/>
        <v>76549.689410632389</v>
      </c>
      <c r="CL33" s="2">
        <f t="shared" si="110"/>
        <v>75018.695622419735</v>
      </c>
      <c r="CM33" s="2">
        <f t="shared" si="110"/>
        <v>73518.321709971337</v>
      </c>
      <c r="CN33" s="2">
        <f t="shared" si="110"/>
        <v>72047.955275771907</v>
      </c>
      <c r="CO33" s="2">
        <f t="shared" si="110"/>
        <v>70606.996170256461</v>
      </c>
      <c r="CP33" s="2">
        <f t="shared" si="110"/>
        <v>69194.856246851326</v>
      </c>
      <c r="CQ33" s="2">
        <f t="shared" si="110"/>
        <v>67810.959121914304</v>
      </c>
      <c r="CR33" s="2">
        <f t="shared" si="110"/>
        <v>66454.739939476014</v>
      </c>
      <c r="CS33" s="2">
        <f t="shared" si="110"/>
        <v>65125.645140686494</v>
      </c>
      <c r="CT33" s="2">
        <f t="shared" si="110"/>
        <v>63823.132237872764</v>
      </c>
      <c r="CU33" s="2">
        <f t="shared" si="110"/>
        <v>62546.669593115308</v>
      </c>
      <c r="CV33" s="2">
        <f t="shared" si="110"/>
        <v>61295.736201252999</v>
      </c>
      <c r="CW33" s="2">
        <f t="shared" si="110"/>
        <v>60069.821477227939</v>
      </c>
    </row>
    <row r="34" spans="2:101" s="11" customFormat="1" x14ac:dyDescent="0.25">
      <c r="B34" s="11" t="s">
        <v>45</v>
      </c>
      <c r="C34" s="14">
        <v>112</v>
      </c>
      <c r="D34" s="14">
        <v>112.3</v>
      </c>
      <c r="E34" s="14">
        <v>112.9</v>
      </c>
      <c r="F34" s="14">
        <v>120.9</v>
      </c>
      <c r="G34" s="14">
        <v>120.8</v>
      </c>
      <c r="H34" s="14">
        <v>120</v>
      </c>
      <c r="I34" s="14">
        <v>117.8</v>
      </c>
      <c r="J34" s="14">
        <v>116.2</v>
      </c>
      <c r="K34" s="14">
        <v>116.3</v>
      </c>
      <c r="L34" s="14">
        <v>115.8</v>
      </c>
      <c r="M34" s="14">
        <v>116.1</v>
      </c>
      <c r="N34" s="14">
        <v>115.1</v>
      </c>
      <c r="O34" s="14">
        <v>116</v>
      </c>
      <c r="P34" s="14">
        <v>114.8</v>
      </c>
      <c r="Q34" s="14">
        <v>114</v>
      </c>
      <c r="R34" s="14">
        <v>94.6</v>
      </c>
      <c r="S34" s="14">
        <v>90.6</v>
      </c>
      <c r="T34" s="14">
        <v>91.3</v>
      </c>
      <c r="U34" s="14">
        <v>91.2</v>
      </c>
      <c r="V34" s="11">
        <f>+U34</f>
        <v>91.2</v>
      </c>
      <c r="AC34" s="11">
        <f>+F34</f>
        <v>120.9</v>
      </c>
      <c r="AD34" s="11">
        <f>+J34</f>
        <v>116.2</v>
      </c>
      <c r="AE34" s="11">
        <f>+N34</f>
        <v>115.1</v>
      </c>
      <c r="AF34" s="11">
        <f>+R34</f>
        <v>94.6</v>
      </c>
      <c r="AG34" s="11">
        <f>+U34</f>
        <v>91.2</v>
      </c>
      <c r="AH34" s="11">
        <f>+AG34</f>
        <v>91.2</v>
      </c>
      <c r="AI34" s="11">
        <f t="shared" ref="AI34:AS34" si="111">+AH34</f>
        <v>91.2</v>
      </c>
      <c r="AJ34" s="11">
        <f t="shared" si="111"/>
        <v>91.2</v>
      </c>
      <c r="AK34" s="11">
        <f t="shared" si="111"/>
        <v>91.2</v>
      </c>
      <c r="AL34" s="11">
        <f t="shared" si="111"/>
        <v>91.2</v>
      </c>
      <c r="AM34" s="11">
        <f t="shared" si="111"/>
        <v>91.2</v>
      </c>
      <c r="AN34" s="11">
        <f t="shared" si="111"/>
        <v>91.2</v>
      </c>
      <c r="AO34" s="11">
        <f t="shared" si="111"/>
        <v>91.2</v>
      </c>
      <c r="AP34" s="11">
        <f t="shared" si="111"/>
        <v>91.2</v>
      </c>
      <c r="AQ34" s="11">
        <f t="shared" si="111"/>
        <v>91.2</v>
      </c>
      <c r="AR34" s="11">
        <f t="shared" si="111"/>
        <v>91.2</v>
      </c>
      <c r="AS34" s="11">
        <f t="shared" si="111"/>
        <v>91.2</v>
      </c>
    </row>
    <row r="35" spans="2:101" s="12" customFormat="1" x14ac:dyDescent="0.25">
      <c r="B35" s="12" t="s">
        <v>46</v>
      </c>
      <c r="C35" s="12">
        <f t="shared" ref="C35:T35" si="112">+C33/(C34*1000)</f>
        <v>4.5598214285714284E-2</v>
      </c>
      <c r="D35" s="12">
        <f t="shared" si="112"/>
        <v>-1.8290293855743545E-2</v>
      </c>
      <c r="E35" s="12">
        <f t="shared" si="112"/>
        <v>1.5403011514614703E-2</v>
      </c>
      <c r="F35" s="12">
        <f t="shared" si="112"/>
        <v>1.5641025641025642E-2</v>
      </c>
      <c r="G35" s="12">
        <f t="shared" si="112"/>
        <v>-0.10719370860927152</v>
      </c>
      <c r="H35" s="12">
        <f t="shared" si="112"/>
        <v>4.8466666666666665E-2</v>
      </c>
      <c r="I35" s="12">
        <f t="shared" si="112"/>
        <v>6.2215619694397283E-2</v>
      </c>
      <c r="J35" s="12">
        <f t="shared" si="112"/>
        <v>0.11080895008605852</v>
      </c>
      <c r="K35" s="12">
        <f t="shared" si="112"/>
        <v>5.0386930352536545E-3</v>
      </c>
      <c r="L35" s="12">
        <f t="shared" si="112"/>
        <v>-8.2823834196891197E-2</v>
      </c>
      <c r="M35" s="12">
        <f t="shared" si="112"/>
        <v>-1.5917312661498709E-2</v>
      </c>
      <c r="N35" s="12">
        <f t="shared" si="112"/>
        <v>2.5768896611642049E-2</v>
      </c>
      <c r="O35" s="12">
        <f t="shared" si="112"/>
        <v>-7.3448275862068965E-2</v>
      </c>
      <c r="P35" s="12">
        <f t="shared" si="112"/>
        <v>-4.4668989547038331E-2</v>
      </c>
      <c r="Q35" s="12">
        <f t="shared" si="112"/>
        <v>7.6552631578947372E-2</v>
      </c>
      <c r="R35" s="12">
        <f t="shared" si="112"/>
        <v>0.25227272727272726</v>
      </c>
      <c r="S35" s="12">
        <f t="shared" si="112"/>
        <v>0.17154525386313466</v>
      </c>
      <c r="T35" s="12">
        <f t="shared" si="112"/>
        <v>0.13821467688937569</v>
      </c>
      <c r="U35" s="12">
        <f>+U33/(U34*1000)</f>
        <v>0.19922149122807017</v>
      </c>
      <c r="V35" s="12">
        <f>+V33/(V34*1000)</f>
        <v>0.21861403508771929</v>
      </c>
      <c r="AC35" s="12">
        <f t="shared" ref="AC35:AH35" si="113">+AC33/(AC34*1000)</f>
        <v>5.5277088502894957E-2</v>
      </c>
      <c r="AD35" s="12">
        <f t="shared" si="113"/>
        <v>0.11249569707401033</v>
      </c>
      <c r="AE35" s="12">
        <f t="shared" si="113"/>
        <v>-6.8523023457862722E-2</v>
      </c>
      <c r="AF35" s="12">
        <f t="shared" si="113"/>
        <v>0.20025369978858351</v>
      </c>
      <c r="AG35" s="12">
        <f t="shared" si="113"/>
        <v>0.73761622807017546</v>
      </c>
      <c r="AH35" s="12">
        <f t="shared" si="113"/>
        <v>1.0083830245175445</v>
      </c>
      <c r="AI35" s="12">
        <f t="shared" ref="AI35:AS35" si="114">+AI33/(AI34*1000)</f>
        <v>1.2102913975699576</v>
      </c>
      <c r="AJ35" s="12">
        <f t="shared" si="114"/>
        <v>1.3517668552400646</v>
      </c>
      <c r="AK35" s="12">
        <f t="shared" si="114"/>
        <v>1.4693236276925863</v>
      </c>
      <c r="AL35" s="12">
        <f t="shared" si="114"/>
        <v>1.5981275121664418</v>
      </c>
      <c r="AM35" s="12">
        <f t="shared" si="114"/>
        <v>1.7366519970196985</v>
      </c>
      <c r="AN35" s="12">
        <f t="shared" si="114"/>
        <v>1.8851365514650542</v>
      </c>
      <c r="AO35" s="12">
        <f t="shared" si="114"/>
        <v>1.9159572188463034</v>
      </c>
      <c r="AP35" s="12">
        <f t="shared" si="114"/>
        <v>1.9472010356470071</v>
      </c>
      <c r="AQ35" s="12">
        <f t="shared" si="114"/>
        <v>1.9786850133664249</v>
      </c>
      <c r="AR35" s="12">
        <f t="shared" si="114"/>
        <v>2.0102476897636996</v>
      </c>
      <c r="AS35" s="12">
        <f t="shared" si="114"/>
        <v>2.0417438878057412</v>
      </c>
    </row>
    <row r="37" spans="2:101" s="6" customFormat="1" x14ac:dyDescent="0.25">
      <c r="B37" s="6" t="s">
        <v>48</v>
      </c>
      <c r="C37" s="6">
        <f>+C25/C7</f>
        <v>7.7261356155365377E-2</v>
      </c>
      <c r="D37" s="6">
        <f t="shared" ref="D37:U37" si="115">+D25/D7</f>
        <v>-0.11646284101599247</v>
      </c>
      <c r="E37" s="6">
        <f t="shared" si="115"/>
        <v>4.5483061480552069E-2</v>
      </c>
      <c r="F37" s="6">
        <f t="shared" si="115"/>
        <v>-1.4211594856756148E-2</v>
      </c>
      <c r="G37" s="6">
        <f t="shared" si="115"/>
        <v>-0.13606169921632044</v>
      </c>
      <c r="H37" s="6">
        <f t="shared" si="115"/>
        <v>-0.17870002483238143</v>
      </c>
      <c r="I37" s="6">
        <f t="shared" si="115"/>
        <v>9.604866088268578E-2</v>
      </c>
      <c r="J37" s="6">
        <f t="shared" si="115"/>
        <v>0.14298797483475353</v>
      </c>
      <c r="K37" s="6">
        <f t="shared" si="115"/>
        <v>-2.9408913789426748E-2</v>
      </c>
      <c r="L37" s="6">
        <f t="shared" si="115"/>
        <v>-0.13317819148936169</v>
      </c>
      <c r="M37" s="6">
        <f t="shared" si="115"/>
        <v>-1.0282197538276795E-2</v>
      </c>
      <c r="N37" s="6">
        <f t="shared" si="115"/>
        <v>0.12608258636595204</v>
      </c>
      <c r="O37" s="6">
        <f t="shared" si="115"/>
        <v>2.6262852033974073E-2</v>
      </c>
      <c r="P37" s="6">
        <f t="shared" si="115"/>
        <v>0.14997109269608788</v>
      </c>
      <c r="Q37" s="6">
        <f t="shared" si="115"/>
        <v>0.18859479536480486</v>
      </c>
      <c r="R37" s="6">
        <f t="shared" si="115"/>
        <v>0.15786521522353333</v>
      </c>
      <c r="S37" s="6">
        <f t="shared" si="115"/>
        <v>0.15876899748423337</v>
      </c>
      <c r="T37" s="6">
        <f t="shared" si="115"/>
        <v>0.132640703677736</v>
      </c>
      <c r="U37" s="6">
        <f t="shared" si="115"/>
        <v>0.16879548709554848</v>
      </c>
      <c r="V37" s="6">
        <f t="shared" ref="V37" si="116">+V25/V7</f>
        <v>0.20139285714285715</v>
      </c>
      <c r="AC37" s="6">
        <f t="shared" ref="AC37:AG37" si="117">+AC25/AC7</f>
        <v>-3.0269146929601644E-3</v>
      </c>
      <c r="AD37" s="6">
        <f t="shared" si="117"/>
        <v>1.8175759595286421E-4</v>
      </c>
      <c r="AE37" s="6">
        <f t="shared" si="117"/>
        <v>-4.2113231602852706E-3</v>
      </c>
      <c r="AF37" s="6">
        <f t="shared" si="117"/>
        <v>0.13547387309009842</v>
      </c>
      <c r="AG37" s="6">
        <f t="shared" si="117"/>
        <v>0.16932063594463079</v>
      </c>
      <c r="AH37" s="6">
        <f t="shared" ref="AH37:AS37" si="118">+AH25/AH7</f>
        <v>0.16917035247055512</v>
      </c>
      <c r="AI37" s="6">
        <f t="shared" si="118"/>
        <v>0.19204616800839247</v>
      </c>
      <c r="AJ37" s="6">
        <f t="shared" si="118"/>
        <v>0.20475527749251421</v>
      </c>
      <c r="AK37" s="6">
        <f t="shared" si="118"/>
        <v>0.21360537075099761</v>
      </c>
      <c r="AL37" s="6">
        <f t="shared" si="118"/>
        <v>0.22252093562342043</v>
      </c>
      <c r="AM37" s="6">
        <f t="shared" si="118"/>
        <v>0.23124621661054934</v>
      </c>
      <c r="AN37" s="6">
        <f t="shared" si="118"/>
        <v>0.23978702725173789</v>
      </c>
      <c r="AO37" s="6">
        <f t="shared" si="118"/>
        <v>0.23698191772898117</v>
      </c>
      <c r="AP37" s="6">
        <f t="shared" si="118"/>
        <v>0.2341088504696282</v>
      </c>
      <c r="AQ37" s="6">
        <f t="shared" si="118"/>
        <v>0.23116826974477106</v>
      </c>
      <c r="AR37" s="6">
        <f t="shared" si="118"/>
        <v>0.22816059995664631</v>
      </c>
      <c r="AS37" s="6">
        <f t="shared" si="118"/>
        <v>0.22508624623264067</v>
      </c>
    </row>
    <row r="38" spans="2:101" s="6" customFormat="1" x14ac:dyDescent="0.25">
      <c r="B38" s="6" t="s">
        <v>47</v>
      </c>
      <c r="C38" s="6">
        <f>+C33/C7</f>
        <v>0.13448321263989466</v>
      </c>
      <c r="D38" s="6">
        <f t="shared" ref="D38:U38" si="119">+D33/D7</f>
        <v>-4.8306679209783633E-2</v>
      </c>
      <c r="E38" s="6">
        <f t="shared" si="119"/>
        <v>3.6365537432036805E-2</v>
      </c>
      <c r="F38" s="6">
        <f t="shared" si="119"/>
        <v>3.8779402415766051E-2</v>
      </c>
      <c r="G38" s="6">
        <f t="shared" si="119"/>
        <v>-0.32215449682796365</v>
      </c>
      <c r="H38" s="6">
        <f t="shared" si="119"/>
        <v>0.18053141296250311</v>
      </c>
      <c r="I38" s="6">
        <f t="shared" si="119"/>
        <v>0.17278857035081102</v>
      </c>
      <c r="J38" s="6">
        <f t="shared" si="119"/>
        <v>0.25635103926096997</v>
      </c>
      <c r="K38" s="6">
        <f t="shared" si="119"/>
        <v>1.1360331892290096E-2</v>
      </c>
      <c r="L38" s="6">
        <f t="shared" si="119"/>
        <v>-0.15942486702127659</v>
      </c>
      <c r="M38" s="6">
        <f t="shared" si="119"/>
        <v>-2.773941759231462E-2</v>
      </c>
      <c r="N38" s="6">
        <f t="shared" si="119"/>
        <v>4.0838806504468035E-2</v>
      </c>
      <c r="O38" s="6">
        <f t="shared" si="119"/>
        <v>-0.11902101028162718</v>
      </c>
      <c r="P38" s="6">
        <f t="shared" si="119"/>
        <v>-6.5882957538382469E-2</v>
      </c>
      <c r="Q38" s="6">
        <f t="shared" si="119"/>
        <v>0.10225315476818166</v>
      </c>
      <c r="R38" s="6">
        <f t="shared" si="119"/>
        <v>0.24789139105866712</v>
      </c>
      <c r="S38" s="6">
        <f t="shared" si="119"/>
        <v>0.17853901735764091</v>
      </c>
      <c r="T38" s="6">
        <f t="shared" si="119"/>
        <v>0.13405358318992075</v>
      </c>
      <c r="U38" s="6">
        <f t="shared" si="119"/>
        <v>0.1770184822533345</v>
      </c>
      <c r="V38" s="6">
        <f t="shared" ref="V38" si="120">+V33/V7</f>
        <v>0.17801428571428571</v>
      </c>
      <c r="AC38" s="6">
        <f t="shared" ref="AC38:AG38" si="121">+AC33/AC7</f>
        <v>3.7740430770620857E-2</v>
      </c>
      <c r="AD38" s="6">
        <f t="shared" si="121"/>
        <v>7.9197843143194696E-2</v>
      </c>
      <c r="AE38" s="6">
        <f t="shared" si="121"/>
        <v>-3.1423562691740708E-2</v>
      </c>
      <c r="AF38" s="6">
        <f t="shared" si="121"/>
        <v>5.7226058639793617E-2</v>
      </c>
      <c r="AG38" s="6">
        <f t="shared" si="121"/>
        <v>0.16952122713424239</v>
      </c>
      <c r="AH38" s="6">
        <f t="shared" ref="AH38:AS38" si="122">+AH33/AH7</f>
        <v>0.21949075364627643</v>
      </c>
      <c r="AI38" s="6">
        <f t="shared" si="122"/>
        <v>0.24400537967663771</v>
      </c>
      <c r="AJ38" s="6">
        <f t="shared" si="122"/>
        <v>0.25712982113094218</v>
      </c>
      <c r="AK38" s="6">
        <f t="shared" si="122"/>
        <v>0.26618208190865505</v>
      </c>
      <c r="AL38" s="6">
        <f t="shared" si="122"/>
        <v>0.27572965924528758</v>
      </c>
      <c r="AM38" s="6">
        <f t="shared" si="122"/>
        <v>0.28536161686274802</v>
      </c>
      <c r="AN38" s="6">
        <f t="shared" si="122"/>
        <v>0.29500968379788423</v>
      </c>
      <c r="AO38" s="6">
        <f t="shared" si="122"/>
        <v>0.29103558235395988</v>
      </c>
      <c r="AP38" s="6">
        <f t="shared" si="122"/>
        <v>0.28710189346967802</v>
      </c>
      <c r="AQ38" s="6">
        <f t="shared" si="122"/>
        <v>0.28318160302639461</v>
      </c>
      <c r="AR38" s="6">
        <f t="shared" si="122"/>
        <v>0.27925382981913632</v>
      </c>
      <c r="AS38" s="6">
        <f t="shared" si="122"/>
        <v>0.27530245058157676</v>
      </c>
    </row>
    <row r="39" spans="2:101" s="6" customFormat="1" x14ac:dyDescent="0.25"/>
    <row r="40" spans="2:101" s="6" customFormat="1" x14ac:dyDescent="0.25">
      <c r="B40" s="6" t="s">
        <v>58</v>
      </c>
      <c r="AD40" s="6">
        <f t="shared" ref="AD40:AG42" si="123">+AD4/AC4 -1</f>
        <v>-2.2923800127676808E-2</v>
      </c>
      <c r="AE40" s="6">
        <f t="shared" si="123"/>
        <v>0.4488120693751485</v>
      </c>
      <c r="AF40" s="6">
        <f t="shared" si="123"/>
        <v>0.14924443059666626</v>
      </c>
      <c r="AG40" s="6">
        <f t="shared" si="123"/>
        <v>0.14127123420588883</v>
      </c>
    </row>
    <row r="41" spans="2:101" s="6" customFormat="1" x14ac:dyDescent="0.25">
      <c r="B41" s="6" t="s">
        <v>59</v>
      </c>
      <c r="AD41" s="6">
        <f t="shared" si="123"/>
        <v>3.9164111432432813E-2</v>
      </c>
      <c r="AE41" s="6">
        <f t="shared" si="123"/>
        <v>0.73281311181965658</v>
      </c>
      <c r="AF41" s="6">
        <f t="shared" si="123"/>
        <v>0.51266241626987319</v>
      </c>
      <c r="AG41" s="6">
        <f t="shared" si="123"/>
        <v>0.23321809276865446</v>
      </c>
    </row>
    <row r="42" spans="2:101" s="6" customFormat="1" x14ac:dyDescent="0.25">
      <c r="B42" s="6" t="s">
        <v>60</v>
      </c>
      <c r="AD42" s="6">
        <f t="shared" si="123"/>
        <v>-0.57634554500226143</v>
      </c>
      <c r="AE42" s="6">
        <f t="shared" si="123"/>
        <v>-0.45350699263371408</v>
      </c>
      <c r="AF42" s="6">
        <f t="shared" si="123"/>
        <v>-0.32779839812463374</v>
      </c>
      <c r="AG42" s="6">
        <f t="shared" si="123"/>
        <v>0.36965998256320831</v>
      </c>
      <c r="AV42" s="6" t="s">
        <v>62</v>
      </c>
      <c r="AW42" s="6">
        <v>8.5000000000000006E-2</v>
      </c>
    </row>
    <row r="43" spans="2:101" s="6" customFormat="1" x14ac:dyDescent="0.25">
      <c r="B43" s="6" t="s">
        <v>61</v>
      </c>
      <c r="AD43" s="6">
        <f>+AD7/AC7 -1</f>
        <v>-6.7896633122127015E-2</v>
      </c>
      <c r="AE43" s="6">
        <f t="shared" ref="AE43:AS43" si="124">+AE7/AD7 -1</f>
        <v>0.52064463360697943</v>
      </c>
      <c r="AF43" s="6">
        <f t="shared" si="124"/>
        <v>0.31892904099764929</v>
      </c>
      <c r="AG43" s="6">
        <f t="shared" si="124"/>
        <v>0.1987354926020577</v>
      </c>
      <c r="AH43" s="6">
        <f t="shared" si="124"/>
        <v>5.58516935591582E-2</v>
      </c>
      <c r="AI43" s="6">
        <f t="shared" si="124"/>
        <v>7.9645673316762311E-2</v>
      </c>
      <c r="AJ43" s="6">
        <f t="shared" si="124"/>
        <v>5.9885134223015779E-2</v>
      </c>
      <c r="AK43" s="6">
        <f t="shared" si="124"/>
        <v>5.0000000000000266E-2</v>
      </c>
      <c r="AL43" s="6">
        <f t="shared" si="124"/>
        <v>5.0000000000000044E-2</v>
      </c>
      <c r="AM43" s="6">
        <f t="shared" si="124"/>
        <v>5.0000000000000044E-2</v>
      </c>
      <c r="AN43" s="6">
        <f t="shared" si="124"/>
        <v>5.0000000000000266E-2</v>
      </c>
      <c r="AO43" s="6">
        <f t="shared" si="124"/>
        <v>3.0227588937591365E-2</v>
      </c>
      <c r="AP43" s="6">
        <f t="shared" si="124"/>
        <v>3.0231956887038614E-2</v>
      </c>
      <c r="AQ43" s="6">
        <f t="shared" si="124"/>
        <v>3.0236407665052756E-2</v>
      </c>
      <c r="AR43" s="6">
        <f t="shared" si="124"/>
        <v>3.0240942803475779E-2</v>
      </c>
      <c r="AS43" s="6">
        <f t="shared" si="124"/>
        <v>3.0245563860974656E-2</v>
      </c>
      <c r="AV43" s="6" t="s">
        <v>63</v>
      </c>
      <c r="AW43" s="6">
        <v>-0.02</v>
      </c>
    </row>
    <row r="44" spans="2:101" x14ac:dyDescent="0.25">
      <c r="AV44" t="s">
        <v>64</v>
      </c>
      <c r="AW44" s="3">
        <f>NPV(AW42,AH33:CX33)</f>
        <v>1714329.3076699516</v>
      </c>
    </row>
    <row r="45" spans="2:101" x14ac:dyDescent="0.25">
      <c r="B45" t="s">
        <v>49</v>
      </c>
      <c r="K45" s="7">
        <v>7275</v>
      </c>
      <c r="L45" s="7">
        <v>6252</v>
      </c>
      <c r="M45" s="7">
        <v>-3436</v>
      </c>
      <c r="N45" s="7">
        <v>16473</v>
      </c>
      <c r="O45" s="7">
        <v>13464</v>
      </c>
      <c r="P45" s="7">
        <v>1624</v>
      </c>
      <c r="Q45" s="7">
        <v>18032</v>
      </c>
      <c r="R45" s="7">
        <v>23542</v>
      </c>
      <c r="S45" s="7">
        <v>25727</v>
      </c>
      <c r="T45" s="7">
        <v>15517</v>
      </c>
      <c r="U45" s="7">
        <v>16233</v>
      </c>
      <c r="AV45" s="6" t="s">
        <v>65</v>
      </c>
      <c r="AW45" s="3">
        <v>75000</v>
      </c>
    </row>
    <row r="46" spans="2:101" x14ac:dyDescent="0.25">
      <c r="B46" t="s">
        <v>50</v>
      </c>
      <c r="K46" s="7">
        <v>-1023</v>
      </c>
      <c r="L46" s="8">
        <v>139</v>
      </c>
      <c r="M46" s="8">
        <v>-100</v>
      </c>
      <c r="N46" s="8">
        <v>-75</v>
      </c>
      <c r="O46" s="7">
        <v>-116</v>
      </c>
      <c r="P46" s="7">
        <v>-2477</v>
      </c>
      <c r="Q46" s="8">
        <v>-165</v>
      </c>
      <c r="R46" s="8">
        <v>-429</v>
      </c>
      <c r="S46" s="7">
        <v>-318</v>
      </c>
      <c r="T46" s="7">
        <v>-219</v>
      </c>
      <c r="U46" s="7">
        <v>-741</v>
      </c>
      <c r="AV46" s="6" t="s">
        <v>67</v>
      </c>
      <c r="AW46" s="3">
        <f>+AW44+AW45</f>
        <v>1789329.3076699516</v>
      </c>
    </row>
    <row r="47" spans="2:101" x14ac:dyDescent="0.25">
      <c r="B47" t="s">
        <v>51</v>
      </c>
      <c r="K47" s="8">
        <v>-852</v>
      </c>
      <c r="L47" s="7">
        <v>-1216</v>
      </c>
      <c r="M47" s="7">
        <v>-1292</v>
      </c>
      <c r="N47" s="7">
        <v>-1476</v>
      </c>
      <c r="O47" s="7">
        <v>-842</v>
      </c>
      <c r="P47" s="7">
        <v>-2081</v>
      </c>
      <c r="Q47" s="7">
        <v>-1988</v>
      </c>
      <c r="R47" s="7">
        <v>-1878</v>
      </c>
      <c r="S47" s="7">
        <v>-1066</v>
      </c>
      <c r="T47" s="7">
        <v>-1048</v>
      </c>
      <c r="U47" s="7">
        <v>-1189</v>
      </c>
      <c r="AV47" s="6" t="s">
        <v>66</v>
      </c>
      <c r="AW47" s="5">
        <f>+AW46/(AS34*1000)</f>
        <v>19.619838899889821</v>
      </c>
    </row>
    <row r="48" spans="2:101" x14ac:dyDescent="0.25">
      <c r="B48" t="s">
        <v>52</v>
      </c>
      <c r="K48" s="7">
        <v>-1060</v>
      </c>
      <c r="L48" s="7">
        <v>-846</v>
      </c>
      <c r="M48" s="7">
        <v>-1878</v>
      </c>
      <c r="N48" s="7">
        <v>-1334</v>
      </c>
      <c r="O48" s="7">
        <v>-996</v>
      </c>
      <c r="P48" s="7">
        <v>-1040</v>
      </c>
      <c r="Q48" s="7">
        <v>-848</v>
      </c>
      <c r="R48" s="7">
        <v>-953</v>
      </c>
      <c r="S48" s="7">
        <v>-1025</v>
      </c>
      <c r="T48" s="7">
        <v>-1034</v>
      </c>
      <c r="U48" s="7">
        <v>-884</v>
      </c>
      <c r="AV48" s="6" t="s">
        <v>68</v>
      </c>
      <c r="AW48">
        <v>11.6</v>
      </c>
    </row>
    <row r="49" spans="2:49" s="1" customFormat="1" x14ac:dyDescent="0.25">
      <c r="B49" s="1" t="s">
        <v>53</v>
      </c>
      <c r="K49" s="2">
        <f>+K45+K46+K47+K48</f>
        <v>4340</v>
      </c>
      <c r="L49" s="2">
        <f t="shared" ref="L49:U49" si="125">+L45+L46+L47+L48</f>
        <v>4329</v>
      </c>
      <c r="M49" s="2">
        <f t="shared" si="125"/>
        <v>-6706</v>
      </c>
      <c r="N49" s="2">
        <f t="shared" si="125"/>
        <v>13588</v>
      </c>
      <c r="O49" s="2">
        <f t="shared" si="125"/>
        <v>11510</v>
      </c>
      <c r="P49" s="2">
        <f t="shared" si="125"/>
        <v>-3974</v>
      </c>
      <c r="Q49" s="2">
        <f t="shared" si="125"/>
        <v>15031</v>
      </c>
      <c r="R49" s="2">
        <f t="shared" si="125"/>
        <v>20282</v>
      </c>
      <c r="S49" s="2">
        <f t="shared" si="125"/>
        <v>23318</v>
      </c>
      <c r="T49" s="2">
        <f t="shared" si="125"/>
        <v>13216</v>
      </c>
      <c r="U49" s="2">
        <f t="shared" si="125"/>
        <v>13419</v>
      </c>
      <c r="AC49" s="2"/>
      <c r="AV49" s="1" t="s">
        <v>69</v>
      </c>
      <c r="AW49" s="15">
        <f>+AW47/AW48 -1</f>
        <v>0.69136542240429488</v>
      </c>
    </row>
    <row r="51" spans="2:49" x14ac:dyDescent="0.25">
      <c r="B51" t="s">
        <v>54</v>
      </c>
      <c r="C51" s="9">
        <v>351.9</v>
      </c>
      <c r="D51" s="9">
        <v>353.5</v>
      </c>
      <c r="E51" s="9">
        <v>360.4</v>
      </c>
      <c r="F51" s="9">
        <v>355</v>
      </c>
      <c r="G51" s="9">
        <v>353.4</v>
      </c>
      <c r="H51" s="9">
        <v>369.3</v>
      </c>
      <c r="I51" s="9">
        <v>388.4</v>
      </c>
      <c r="J51" s="9">
        <v>381.4</v>
      </c>
      <c r="K51" s="9">
        <v>370.6</v>
      </c>
      <c r="L51" s="9">
        <v>364.5</v>
      </c>
      <c r="M51" s="9">
        <v>351.3</v>
      </c>
      <c r="N51" s="9">
        <v>343.1</v>
      </c>
      <c r="O51" s="9">
        <v>338.9</v>
      </c>
      <c r="P51" s="9">
        <v>330.1</v>
      </c>
      <c r="Q51" s="9">
        <v>320.3</v>
      </c>
      <c r="R51" s="9">
        <v>324.39999999999998</v>
      </c>
      <c r="S51" s="9">
        <v>319.39999999999998</v>
      </c>
      <c r="T51" s="9">
        <v>315.89999999999998</v>
      </c>
      <c r="U51" s="9">
        <v>311.3</v>
      </c>
      <c r="AC51" s="11">
        <f>+F51</f>
        <v>355</v>
      </c>
      <c r="AD51" s="11">
        <f>+J51</f>
        <v>381.4</v>
      </c>
      <c r="AE51" s="11">
        <f>+M51</f>
        <v>351.3</v>
      </c>
      <c r="AF51" s="11">
        <f>+R51</f>
        <v>324.39999999999998</v>
      </c>
      <c r="AG51" s="11">
        <f>+U51</f>
        <v>311.3</v>
      </c>
    </row>
    <row r="52" spans="2:49" s="10" customFormat="1" x14ac:dyDescent="0.25">
      <c r="B52" s="10" t="s">
        <v>55</v>
      </c>
      <c r="C52" s="5">
        <f>+((C4+C5)*1000)/(C51*1000000)</f>
        <v>9.8678601875532818E-2</v>
      </c>
      <c r="D52" s="5">
        <f t="shared" ref="D52:U52" si="126">+((D4+D5)*1000)/(D51*1000000)</f>
        <v>0.10625742574257425</v>
      </c>
      <c r="E52" s="5">
        <f t="shared" si="126"/>
        <v>0.11064372918978913</v>
      </c>
      <c r="F52" s="5">
        <f t="shared" si="126"/>
        <v>0.12057746478873239</v>
      </c>
      <c r="G52" s="5">
        <f t="shared" si="126"/>
        <v>0.10304470854555745</v>
      </c>
      <c r="H52" s="5">
        <f t="shared" si="126"/>
        <v>8.2033577037638777E-2</v>
      </c>
      <c r="I52" s="5">
        <f t="shared" si="126"/>
        <v>0.1036071060762101</v>
      </c>
      <c r="J52" s="5">
        <f t="shared" si="126"/>
        <v>0.12778185631882538</v>
      </c>
      <c r="K52" s="5">
        <f t="shared" si="126"/>
        <v>0.13533459255261737</v>
      </c>
      <c r="L52" s="5">
        <f t="shared" si="126"/>
        <v>0.16110836762688616</v>
      </c>
      <c r="M52" s="5">
        <f t="shared" si="126"/>
        <v>0.18666382009678337</v>
      </c>
      <c r="N52" s="5">
        <f t="shared" si="126"/>
        <v>0.20815214223258524</v>
      </c>
      <c r="O52" s="5">
        <f t="shared" si="126"/>
        <v>0.20796105045736205</v>
      </c>
      <c r="P52" s="5">
        <f t="shared" si="126"/>
        <v>0.23271432899121477</v>
      </c>
      <c r="Q52" s="5">
        <f t="shared" si="126"/>
        <v>0.26385576022478924</v>
      </c>
      <c r="R52" s="5">
        <f t="shared" si="126"/>
        <v>0.29527435265104807</v>
      </c>
      <c r="S52" s="5">
        <f t="shared" si="126"/>
        <v>0.27021603005635569</v>
      </c>
      <c r="T52" s="5">
        <f t="shared" si="126"/>
        <v>0.2933966445077556</v>
      </c>
      <c r="U52" s="5">
        <f t="shared" si="126"/>
        <v>0.32643752007709603</v>
      </c>
      <c r="AC52" s="5">
        <f>+((AC4+AC5)*1000)/(AC51*1000000)</f>
        <v>0.43652957746478871</v>
      </c>
      <c r="AD52" s="5">
        <f>+((AD4+AD5)*1000)/(AD51*1000000)</f>
        <v>0.40820136339800733</v>
      </c>
      <c r="AE52" s="5">
        <f>+((AE4+AE5)*1000)/(AE51*1000000)</f>
        <v>0.69988898377455167</v>
      </c>
      <c r="AF52" s="5">
        <f>+((AF4+AF5)*1000)/(AF51*1000000)</f>
        <v>1.0098551171393342</v>
      </c>
      <c r="AG52" s="5">
        <f>+((AG4+AG5)*1000)/(AG51*1000000)</f>
        <v>1.2563796980404753</v>
      </c>
    </row>
    <row r="53" spans="2:49" x14ac:dyDescent="0.25">
      <c r="B53" t="s">
        <v>56</v>
      </c>
      <c r="AC53" s="5">
        <f>+((AC4)*1000)/(AC51*1000000)</f>
        <v>0.24269014084507043</v>
      </c>
      <c r="AD53" s="5">
        <f t="shared" ref="AD53:AG53" si="127">+((AD4)*1000)/(AD51*1000000)</f>
        <v>0.22071316203460933</v>
      </c>
      <c r="AE53" s="5">
        <f t="shared" si="127"/>
        <v>0.34717050953600909</v>
      </c>
      <c r="AF53" s="5">
        <f t="shared" si="127"/>
        <v>0.43206843403205919</v>
      </c>
      <c r="AG53" s="5">
        <f t="shared" si="127"/>
        <v>0.51385801477674264</v>
      </c>
    </row>
    <row r="54" spans="2:49" x14ac:dyDescent="0.25">
      <c r="B54" t="s">
        <v>57</v>
      </c>
      <c r="AC54" s="5">
        <f>+((AC5)*1000)/(AC51*1000000)</f>
        <v>0.19383943661971831</v>
      </c>
      <c r="AD54" s="5">
        <f t="shared" ref="AD54:AG54" si="128">+((AD5)*1000)/(AD51*1000000)</f>
        <v>0.187488201363398</v>
      </c>
      <c r="AE54" s="5">
        <f t="shared" si="128"/>
        <v>0.35271847423854258</v>
      </c>
      <c r="AF54" s="5">
        <f t="shared" si="128"/>
        <v>0.57778668310727499</v>
      </c>
      <c r="AG54" s="5">
        <f t="shared" si="128"/>
        <v>0.74252168326373269</v>
      </c>
    </row>
  </sheetData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9266B-3154-40FB-A49F-7C14277880D2}">
  <dimension ref="B2:CF19"/>
  <sheetViews>
    <sheetView tabSelected="1" zoomScale="175" zoomScaleNormal="175" workbookViewId="0">
      <pane xSplit="2" ySplit="2" topLeftCell="H3" activePane="bottomRight" state="frozen"/>
      <selection pane="topRight" activeCell="C1" sqref="C1"/>
      <selection pane="bottomLeft" activeCell="A3" sqref="A3"/>
      <selection pane="bottomRight" activeCell="U10" sqref="U10"/>
    </sheetView>
  </sheetViews>
  <sheetFormatPr defaultRowHeight="15" x14ac:dyDescent="0.25"/>
  <sheetData>
    <row r="2" spans="2:84" x14ac:dyDescent="0.25">
      <c r="D2">
        <v>2022</v>
      </c>
      <c r="E2">
        <f>+D2+1</f>
        <v>2023</v>
      </c>
      <c r="F2">
        <f>+E2+1</f>
        <v>2024</v>
      </c>
      <c r="G2">
        <f>+F2+1</f>
        <v>2025</v>
      </c>
      <c r="H2">
        <f t="shared" ref="H2:Q2" si="0">+G2+1</f>
        <v>2026</v>
      </c>
      <c r="I2">
        <f t="shared" si="0"/>
        <v>2027</v>
      </c>
      <c r="J2">
        <f t="shared" si="0"/>
        <v>2028</v>
      </c>
      <c r="K2">
        <f t="shared" si="0"/>
        <v>2029</v>
      </c>
      <c r="L2">
        <f t="shared" si="0"/>
        <v>2030</v>
      </c>
      <c r="M2">
        <f t="shared" si="0"/>
        <v>2031</v>
      </c>
      <c r="N2">
        <f t="shared" si="0"/>
        <v>2032</v>
      </c>
      <c r="O2">
        <f t="shared" si="0"/>
        <v>2033</v>
      </c>
      <c r="P2">
        <f t="shared" si="0"/>
        <v>2034</v>
      </c>
      <c r="Q2">
        <f t="shared" si="0"/>
        <v>2035</v>
      </c>
    </row>
    <row r="3" spans="2:84" s="3" customFormat="1" x14ac:dyDescent="0.25"/>
    <row r="4" spans="2:84" s="3" customFormat="1" x14ac:dyDescent="0.25">
      <c r="B4" s="3" t="s">
        <v>3</v>
      </c>
      <c r="D4" s="3">
        <f>331037+469</f>
        <v>331506</v>
      </c>
      <c r="E4" s="3">
        <f>369827+666</f>
        <v>370493</v>
      </c>
      <c r="F4" s="3">
        <f>480648+2367</f>
        <v>483015</v>
      </c>
      <c r="G4" s="3">
        <v>601000</v>
      </c>
      <c r="H4" s="3">
        <v>690000</v>
      </c>
      <c r="I4" s="3">
        <v>790000</v>
      </c>
      <c r="J4" s="3">
        <v>860000</v>
      </c>
      <c r="K4" s="3">
        <v>950000</v>
      </c>
      <c r="L4" s="3">
        <f>+K4*1.08</f>
        <v>1026000.0000000001</v>
      </c>
      <c r="M4" s="3">
        <f>+L4*1.06</f>
        <v>1087560.0000000002</v>
      </c>
      <c r="N4" s="3">
        <f t="shared" ref="N4:Q4" si="1">+M4*1.06</f>
        <v>1152813.6000000003</v>
      </c>
      <c r="O4" s="3">
        <f t="shared" si="1"/>
        <v>1221982.4160000004</v>
      </c>
      <c r="P4" s="3">
        <f t="shared" si="1"/>
        <v>1295301.3609600004</v>
      </c>
      <c r="Q4" s="3">
        <f t="shared" si="1"/>
        <v>1373019.4426176006</v>
      </c>
    </row>
    <row r="5" spans="2:84" s="3" customFormat="1" x14ac:dyDescent="0.25">
      <c r="B5" s="3" t="s">
        <v>70</v>
      </c>
      <c r="D5" s="3">
        <v>41808</v>
      </c>
      <c r="E5" s="3">
        <v>62890</v>
      </c>
      <c r="F5" s="3">
        <v>92262</v>
      </c>
      <c r="G5" s="3">
        <f>61560*1.33</f>
        <v>81874.8</v>
      </c>
      <c r="H5" s="3">
        <f>+H4*0.15</f>
        <v>103500</v>
      </c>
      <c r="I5" s="3">
        <f>+I4*0.16</f>
        <v>126400</v>
      </c>
      <c r="J5" s="3">
        <f>+J4*0.17</f>
        <v>146200</v>
      </c>
      <c r="K5" s="3">
        <f>+K4*0.18</f>
        <v>171000</v>
      </c>
      <c r="L5" s="3">
        <f>+L4*0.19</f>
        <v>194940.00000000003</v>
      </c>
      <c r="M5" s="3">
        <f>+M4*0.2</f>
        <v>217512.00000000006</v>
      </c>
      <c r="N5" s="3">
        <f t="shared" ref="N5:Q5" si="2">+N4*0.2</f>
        <v>230562.72000000009</v>
      </c>
      <c r="O5" s="3">
        <f t="shared" si="2"/>
        <v>244396.4832000001</v>
      </c>
      <c r="P5" s="3">
        <f t="shared" si="2"/>
        <v>259060.27219200009</v>
      </c>
      <c r="Q5" s="3">
        <f t="shared" si="2"/>
        <v>274603.88852352015</v>
      </c>
    </row>
    <row r="6" spans="2:84" s="3" customFormat="1" x14ac:dyDescent="0.25">
      <c r="B6" s="3" t="s">
        <v>42</v>
      </c>
      <c r="D6" s="3">
        <v>23870</v>
      </c>
      <c r="E6" s="3">
        <v>159997</v>
      </c>
      <c r="F6" s="3">
        <v>98412</v>
      </c>
      <c r="G6" s="3">
        <f>+G5+0</f>
        <v>81874.8</v>
      </c>
      <c r="H6" s="3">
        <f t="shared" ref="H6:K6" si="3">+H5+0</f>
        <v>103500</v>
      </c>
      <c r="I6" s="3">
        <f t="shared" si="3"/>
        <v>126400</v>
      </c>
      <c r="J6" s="3">
        <f t="shared" si="3"/>
        <v>146200</v>
      </c>
      <c r="K6" s="3">
        <f t="shared" si="3"/>
        <v>171000</v>
      </c>
      <c r="L6" s="3">
        <f t="shared" ref="L6" si="4">+L5+0</f>
        <v>194940.00000000003</v>
      </c>
      <c r="M6" s="3">
        <f t="shared" ref="M6" si="5">+M5+0</f>
        <v>217512.00000000006</v>
      </c>
      <c r="N6" s="3">
        <f t="shared" ref="N6" si="6">+N5+0</f>
        <v>230562.72000000009</v>
      </c>
      <c r="O6" s="3">
        <f t="shared" ref="O6" si="7">+O5+0</f>
        <v>244396.4832000001</v>
      </c>
      <c r="P6" s="3">
        <f t="shared" ref="P6" si="8">+P5+0</f>
        <v>259060.27219200009</v>
      </c>
      <c r="Q6" s="3">
        <f t="shared" ref="Q6" si="9">+Q5+0</f>
        <v>274603.88852352015</v>
      </c>
    </row>
    <row r="7" spans="2:84" s="3" customFormat="1" x14ac:dyDescent="0.25">
      <c r="B7" s="3" t="s">
        <v>43</v>
      </c>
      <c r="D7" s="3">
        <v>8835</v>
      </c>
      <c r="E7" s="3">
        <v>6697</v>
      </c>
      <c r="F7" s="3">
        <v>17642</v>
      </c>
      <c r="G7" s="3">
        <f>+G6*0.2</f>
        <v>16374.960000000001</v>
      </c>
      <c r="H7" s="3">
        <f t="shared" ref="H7:K7" si="10">+H6*0.2</f>
        <v>20700</v>
      </c>
      <c r="I7" s="3">
        <f t="shared" si="10"/>
        <v>25280</v>
      </c>
      <c r="J7" s="3">
        <f t="shared" si="10"/>
        <v>29240</v>
      </c>
      <c r="K7" s="3">
        <f t="shared" si="10"/>
        <v>34200</v>
      </c>
      <c r="L7" s="3">
        <f t="shared" ref="L7" si="11">+L6*0.2</f>
        <v>38988.000000000007</v>
      </c>
      <c r="M7" s="3">
        <f t="shared" ref="M7" si="12">+M6*0.2</f>
        <v>43502.400000000016</v>
      </c>
      <c r="N7" s="3">
        <f t="shared" ref="N7" si="13">+N6*0.2</f>
        <v>46112.544000000024</v>
      </c>
      <c r="O7" s="3">
        <f t="shared" ref="O7" si="14">+O6*0.2</f>
        <v>48879.296640000022</v>
      </c>
      <c r="P7" s="3">
        <f t="shared" ref="P7" si="15">+P6*0.2</f>
        <v>51812.054438400024</v>
      </c>
      <c r="Q7" s="3">
        <f t="shared" ref="Q7" si="16">+Q6*0.2</f>
        <v>54920.777704704029</v>
      </c>
    </row>
    <row r="8" spans="2:84" s="3" customFormat="1" x14ac:dyDescent="0.25">
      <c r="B8" s="3" t="s">
        <v>71</v>
      </c>
      <c r="D8" s="3">
        <f>+D6-D7</f>
        <v>15035</v>
      </c>
      <c r="E8" s="3">
        <f>+E6-E7</f>
        <v>153300</v>
      </c>
      <c r="F8" s="3">
        <f>+F6-F7</f>
        <v>80770</v>
      </c>
      <c r="G8" s="3">
        <f>+G6-G7</f>
        <v>65499.840000000004</v>
      </c>
      <c r="H8" s="3">
        <f t="shared" ref="H8:K8" si="17">+H6-H7</f>
        <v>82800</v>
      </c>
      <c r="I8" s="3">
        <f t="shared" si="17"/>
        <v>101120</v>
      </c>
      <c r="J8" s="3">
        <f t="shared" si="17"/>
        <v>116960</v>
      </c>
      <c r="K8" s="3">
        <f t="shared" si="17"/>
        <v>136800</v>
      </c>
      <c r="L8" s="3">
        <f t="shared" ref="L8" si="18">+L6-L7</f>
        <v>155952.00000000003</v>
      </c>
      <c r="M8" s="3">
        <f t="shared" ref="M8" si="19">+M6-M7</f>
        <v>174009.60000000003</v>
      </c>
      <c r="N8" s="3">
        <f t="shared" ref="N8" si="20">+N6-N7</f>
        <v>184450.17600000006</v>
      </c>
      <c r="O8" s="3">
        <f t="shared" ref="O8" si="21">+O6-O7</f>
        <v>195517.18656000009</v>
      </c>
      <c r="P8" s="3">
        <f t="shared" ref="P8" si="22">+P6-P7</f>
        <v>207248.21775360007</v>
      </c>
      <c r="Q8" s="3">
        <f t="shared" ref="Q8" si="23">+Q6-Q7</f>
        <v>219683.11081881612</v>
      </c>
      <c r="R8" s="3">
        <f>+Q8*(1+$T14)</f>
        <v>224076.77303519245</v>
      </c>
      <c r="S8" s="3">
        <f t="shared" ref="S8" si="24">+R8*(1+$T14)</f>
        <v>228558.30849589632</v>
      </c>
      <c r="T8" s="3">
        <f>+S8*(1+$T14)</f>
        <v>233129.47466581425</v>
      </c>
      <c r="U8" s="3">
        <f t="shared" ref="U8:CF8" si="25">+T8*(1+$T14)</f>
        <v>237792.06415913053</v>
      </c>
      <c r="V8" s="3">
        <f t="shared" si="25"/>
        <v>242547.90544231315</v>
      </c>
      <c r="W8" s="3">
        <f t="shared" si="25"/>
        <v>247398.86355115942</v>
      </c>
      <c r="X8" s="3">
        <f t="shared" si="25"/>
        <v>252346.84082218262</v>
      </c>
      <c r="Y8" s="3">
        <f t="shared" si="25"/>
        <v>257393.77763862628</v>
      </c>
      <c r="Z8" s="3">
        <f t="shared" si="25"/>
        <v>262541.65319139883</v>
      </c>
      <c r="AA8" s="3">
        <f t="shared" si="25"/>
        <v>267792.48625522683</v>
      </c>
      <c r="AB8" s="3">
        <f t="shared" si="25"/>
        <v>273148.33598033135</v>
      </c>
      <c r="AC8" s="3">
        <f t="shared" si="25"/>
        <v>278611.30269993801</v>
      </c>
      <c r="AD8" s="3">
        <f t="shared" si="25"/>
        <v>284183.52875393676</v>
      </c>
      <c r="AE8" s="3">
        <f t="shared" si="25"/>
        <v>289867.19932901551</v>
      </c>
      <c r="AF8" s="3">
        <f t="shared" si="25"/>
        <v>295664.54331559583</v>
      </c>
      <c r="AG8" s="3">
        <f t="shared" si="25"/>
        <v>301577.83418190776</v>
      </c>
      <c r="AH8" s="3">
        <f t="shared" si="25"/>
        <v>307609.39086554589</v>
      </c>
      <c r="AI8" s="3">
        <f t="shared" si="25"/>
        <v>313761.57868285681</v>
      </c>
      <c r="AJ8" s="3">
        <f t="shared" si="25"/>
        <v>320036.81025651394</v>
      </c>
      <c r="AK8" s="3">
        <f t="shared" si="25"/>
        <v>326437.54646164423</v>
      </c>
      <c r="AL8" s="3">
        <f t="shared" si="25"/>
        <v>332966.29739087709</v>
      </c>
      <c r="AM8" s="3">
        <f t="shared" si="25"/>
        <v>339625.62333869463</v>
      </c>
      <c r="AN8" s="3">
        <f t="shared" si="25"/>
        <v>346418.13580546854</v>
      </c>
      <c r="AO8" s="3">
        <f t="shared" si="25"/>
        <v>353346.49852157792</v>
      </c>
      <c r="AP8" s="3">
        <f t="shared" si="25"/>
        <v>360413.42849200947</v>
      </c>
      <c r="AQ8" s="3">
        <f t="shared" si="25"/>
        <v>367621.69706184964</v>
      </c>
      <c r="AR8" s="3">
        <f t="shared" si="25"/>
        <v>374974.13100308663</v>
      </c>
      <c r="AS8" s="3">
        <f t="shared" si="25"/>
        <v>382473.61362314835</v>
      </c>
      <c r="AT8" s="3">
        <f t="shared" si="25"/>
        <v>390123.08589561132</v>
      </c>
      <c r="AU8" s="3">
        <f t="shared" si="25"/>
        <v>397925.54761352355</v>
      </c>
      <c r="AV8" s="3">
        <f t="shared" si="25"/>
        <v>405884.05856579402</v>
      </c>
      <c r="AW8" s="3">
        <f t="shared" si="25"/>
        <v>414001.73973710992</v>
      </c>
      <c r="AX8" s="3">
        <f t="shared" si="25"/>
        <v>422281.7745318521</v>
      </c>
      <c r="AY8" s="3">
        <f t="shared" si="25"/>
        <v>430727.41002248914</v>
      </c>
      <c r="AZ8" s="3">
        <f t="shared" si="25"/>
        <v>439341.95822293893</v>
      </c>
      <c r="BA8" s="3">
        <f t="shared" si="25"/>
        <v>448128.79738739773</v>
      </c>
      <c r="BB8" s="3">
        <f t="shared" si="25"/>
        <v>457091.3733351457</v>
      </c>
      <c r="BC8" s="3">
        <f t="shared" si="25"/>
        <v>466233.20080184861</v>
      </c>
      <c r="BD8" s="3">
        <f t="shared" si="25"/>
        <v>475557.86481788557</v>
      </c>
      <c r="BE8" s="3">
        <f t="shared" si="25"/>
        <v>485069.0221142433</v>
      </c>
      <c r="BF8" s="3">
        <f t="shared" si="25"/>
        <v>494770.40255652816</v>
      </c>
      <c r="BG8" s="3">
        <f t="shared" si="25"/>
        <v>504665.81060765876</v>
      </c>
      <c r="BH8" s="3">
        <f t="shared" si="25"/>
        <v>514759.12681981194</v>
      </c>
      <c r="BI8" s="3">
        <f t="shared" si="25"/>
        <v>525054.30935620819</v>
      </c>
      <c r="BJ8" s="3">
        <f t="shared" si="25"/>
        <v>535555.39554333233</v>
      </c>
      <c r="BK8" s="3">
        <f t="shared" si="25"/>
        <v>546266.50345419894</v>
      </c>
      <c r="BL8" s="3">
        <f t="shared" si="25"/>
        <v>557191.8335232829</v>
      </c>
      <c r="BM8" s="3">
        <f t="shared" si="25"/>
        <v>568335.67019374855</v>
      </c>
      <c r="BN8" s="3">
        <f t="shared" si="25"/>
        <v>579702.38359762356</v>
      </c>
      <c r="BO8" s="3">
        <f t="shared" si="25"/>
        <v>591296.43126957607</v>
      </c>
      <c r="BP8" s="3">
        <f t="shared" si="25"/>
        <v>603122.35989496764</v>
      </c>
      <c r="BQ8" s="3">
        <f t="shared" si="25"/>
        <v>615184.80709286698</v>
      </c>
      <c r="BR8" s="3">
        <f t="shared" si="25"/>
        <v>627488.50323472428</v>
      </c>
      <c r="BS8" s="3">
        <f t="shared" si="25"/>
        <v>640038.27329941874</v>
      </c>
      <c r="BT8" s="3">
        <f t="shared" si="25"/>
        <v>652839.03876540717</v>
      </c>
      <c r="BU8" s="3">
        <f t="shared" si="25"/>
        <v>665895.81954071531</v>
      </c>
      <c r="BV8" s="3">
        <f t="shared" si="25"/>
        <v>679213.73593152966</v>
      </c>
      <c r="BW8" s="3">
        <f t="shared" si="25"/>
        <v>692798.01065016026</v>
      </c>
      <c r="BX8" s="3">
        <f t="shared" si="25"/>
        <v>706653.97086316347</v>
      </c>
      <c r="BY8" s="3">
        <f t="shared" si="25"/>
        <v>720787.05028042675</v>
      </c>
      <c r="BZ8" s="3">
        <f t="shared" si="25"/>
        <v>735202.79128603532</v>
      </c>
      <c r="CA8" s="3">
        <f t="shared" si="25"/>
        <v>749906.8471117561</v>
      </c>
      <c r="CB8" s="3">
        <f t="shared" si="25"/>
        <v>764904.98405399127</v>
      </c>
      <c r="CC8" s="3">
        <f t="shared" si="25"/>
        <v>780203.08373507112</v>
      </c>
      <c r="CD8" s="3">
        <f t="shared" si="25"/>
        <v>795807.14540977252</v>
      </c>
      <c r="CE8" s="3">
        <f t="shared" si="25"/>
        <v>811723.28831796802</v>
      </c>
      <c r="CF8" s="3">
        <f t="shared" si="25"/>
        <v>827957.75408432737</v>
      </c>
    </row>
    <row r="9" spans="2:84" s="3" customFormat="1" x14ac:dyDescent="0.25"/>
    <row r="10" spans="2:84" s="3" customFormat="1" x14ac:dyDescent="0.25"/>
    <row r="11" spans="2:84" s="6" customFormat="1" x14ac:dyDescent="0.25">
      <c r="B11" s="6" t="s">
        <v>72</v>
      </c>
      <c r="D11" s="6">
        <f>+D5/D4</f>
        <v>0.12611536442779317</v>
      </c>
      <c r="E11" s="6">
        <f t="shared" ref="E11:F11" si="26">+E5/E4</f>
        <v>0.16974679683556773</v>
      </c>
      <c r="F11" s="6">
        <f t="shared" si="26"/>
        <v>0.19101270146889848</v>
      </c>
      <c r="G11" s="6">
        <f t="shared" ref="G11:K11" si="27">+G5/G4</f>
        <v>0.13623094841930117</v>
      </c>
      <c r="H11" s="6">
        <f t="shared" si="27"/>
        <v>0.15</v>
      </c>
      <c r="I11" s="6">
        <f t="shared" si="27"/>
        <v>0.16</v>
      </c>
      <c r="J11" s="6">
        <f t="shared" si="27"/>
        <v>0.17</v>
      </c>
      <c r="K11" s="6">
        <f t="shared" si="27"/>
        <v>0.18</v>
      </c>
      <c r="L11" s="6">
        <f t="shared" ref="L11:Q11" si="28">+L5/L4</f>
        <v>0.19</v>
      </c>
      <c r="M11" s="6">
        <f t="shared" si="28"/>
        <v>0.2</v>
      </c>
      <c r="N11" s="6">
        <f t="shared" si="28"/>
        <v>0.2</v>
      </c>
      <c r="O11" s="6">
        <f t="shared" si="28"/>
        <v>0.2</v>
      </c>
      <c r="P11" s="6">
        <f t="shared" si="28"/>
        <v>0.2</v>
      </c>
      <c r="Q11" s="6">
        <f t="shared" si="28"/>
        <v>0.20000000000000004</v>
      </c>
    </row>
    <row r="12" spans="2:84" s="6" customFormat="1" x14ac:dyDescent="0.25">
      <c r="B12" s="6" t="s">
        <v>73</v>
      </c>
      <c r="D12" s="6">
        <f>+D6/D5</f>
        <v>0.5709433601224646</v>
      </c>
      <c r="E12" s="6">
        <f t="shared" ref="E12:F12" si="29">+E6/E5</f>
        <v>2.5440769597710289</v>
      </c>
      <c r="F12" s="6">
        <f t="shared" si="29"/>
        <v>1.0666579957078755</v>
      </c>
      <c r="G12" s="6">
        <f t="shared" ref="G12:K12" si="30">+G6/G5</f>
        <v>1</v>
      </c>
      <c r="H12" s="6">
        <f t="shared" si="30"/>
        <v>1</v>
      </c>
      <c r="I12" s="6">
        <f t="shared" si="30"/>
        <v>1</v>
      </c>
      <c r="J12" s="6">
        <f t="shared" si="30"/>
        <v>1</v>
      </c>
      <c r="K12" s="6">
        <f t="shared" si="30"/>
        <v>1</v>
      </c>
      <c r="L12" s="6">
        <f t="shared" ref="L12:Q12" si="31">+L6/L5</f>
        <v>1</v>
      </c>
      <c r="M12" s="6">
        <f t="shared" si="31"/>
        <v>1</v>
      </c>
      <c r="N12" s="6">
        <f t="shared" si="31"/>
        <v>1</v>
      </c>
      <c r="O12" s="6">
        <f t="shared" si="31"/>
        <v>1</v>
      </c>
      <c r="P12" s="6">
        <f t="shared" si="31"/>
        <v>1</v>
      </c>
      <c r="Q12" s="6">
        <f t="shared" si="31"/>
        <v>1</v>
      </c>
    </row>
    <row r="13" spans="2:84" s="6" customFormat="1" x14ac:dyDescent="0.25">
      <c r="B13" s="6" t="s">
        <v>43</v>
      </c>
      <c r="D13" s="6">
        <f>+D7/D6</f>
        <v>0.37012987012987014</v>
      </c>
      <c r="E13" s="6">
        <f t="shared" ref="E13:F13" si="32">+E7/E6</f>
        <v>4.1857034819402866E-2</v>
      </c>
      <c r="F13" s="6">
        <f t="shared" si="32"/>
        <v>0.1792667560866561</v>
      </c>
      <c r="G13" s="6">
        <f t="shared" ref="G13:K13" si="33">+G7/G6</f>
        <v>0.2</v>
      </c>
      <c r="H13" s="6">
        <f t="shared" si="33"/>
        <v>0.2</v>
      </c>
      <c r="I13" s="6">
        <f t="shared" si="33"/>
        <v>0.2</v>
      </c>
      <c r="J13" s="6">
        <f t="shared" si="33"/>
        <v>0.2</v>
      </c>
      <c r="K13" s="6">
        <f t="shared" si="33"/>
        <v>0.2</v>
      </c>
      <c r="L13" s="6">
        <f t="shared" ref="L13:Q13" si="34">+L7/L6</f>
        <v>0.2</v>
      </c>
      <c r="M13" s="6">
        <f t="shared" si="34"/>
        <v>0.2</v>
      </c>
      <c r="N13" s="6">
        <f t="shared" si="34"/>
        <v>0.20000000000000004</v>
      </c>
      <c r="O13" s="6">
        <f t="shared" si="34"/>
        <v>0.2</v>
      </c>
      <c r="P13" s="6">
        <f t="shared" si="34"/>
        <v>0.2</v>
      </c>
      <c r="Q13" s="6">
        <f t="shared" si="34"/>
        <v>0.2</v>
      </c>
      <c r="S13" s="6" t="s">
        <v>62</v>
      </c>
      <c r="T13" s="6">
        <v>0.1</v>
      </c>
    </row>
    <row r="14" spans="2:84" s="6" customFormat="1" x14ac:dyDescent="0.25">
      <c r="B14" s="6" t="s">
        <v>61</v>
      </c>
      <c r="E14" s="6">
        <f>+E4/D4 -1</f>
        <v>0.11760571452703728</v>
      </c>
      <c r="F14" s="6">
        <f>+F4/E4 -1</f>
        <v>0.30370884200241299</v>
      </c>
      <c r="G14" s="6">
        <f>+G4/F4 -1</f>
        <v>0.24426777636305297</v>
      </c>
      <c r="H14" s="6">
        <f t="shared" ref="H14:K14" si="35">+H4/G4 -1</f>
        <v>0.14808652246256249</v>
      </c>
      <c r="I14" s="6">
        <f t="shared" si="35"/>
        <v>0.14492753623188404</v>
      </c>
      <c r="J14" s="6">
        <f t="shared" si="35"/>
        <v>8.8607594936708889E-2</v>
      </c>
      <c r="K14" s="6">
        <f t="shared" si="35"/>
        <v>0.10465116279069764</v>
      </c>
      <c r="L14" s="6">
        <f t="shared" ref="L14:Q14" si="36">+L4/K4 -1</f>
        <v>8.0000000000000071E-2</v>
      </c>
      <c r="M14" s="6">
        <f t="shared" si="36"/>
        <v>6.0000000000000053E-2</v>
      </c>
      <c r="N14" s="6">
        <f t="shared" si="36"/>
        <v>6.0000000000000053E-2</v>
      </c>
      <c r="O14" s="6">
        <f t="shared" si="36"/>
        <v>6.0000000000000053E-2</v>
      </c>
      <c r="P14" s="6">
        <f t="shared" si="36"/>
        <v>6.0000000000000053E-2</v>
      </c>
      <c r="Q14" s="6">
        <f t="shared" si="36"/>
        <v>6.0000000000000053E-2</v>
      </c>
      <c r="S14" s="6" t="s">
        <v>63</v>
      </c>
      <c r="T14" s="6">
        <v>0.02</v>
      </c>
    </row>
    <row r="15" spans="2:84" s="3" customFormat="1" x14ac:dyDescent="0.25">
      <c r="S15" s="3" t="s">
        <v>64</v>
      </c>
      <c r="T15" s="3">
        <f>NPV(T13,Q8:CP8)</f>
        <v>2729864.9473160175</v>
      </c>
    </row>
    <row r="16" spans="2:84" s="3" customFormat="1" x14ac:dyDescent="0.25"/>
    <row r="17" spans="19:20" s="3" customFormat="1" x14ac:dyDescent="0.25">
      <c r="S17" s="3" t="s">
        <v>67</v>
      </c>
      <c r="T17" s="3">
        <f>+T15+T16</f>
        <v>2729864.9473160175</v>
      </c>
    </row>
    <row r="18" spans="19:20" s="3" customFormat="1" x14ac:dyDescent="0.25">
      <c r="S18" s="3" t="s">
        <v>45</v>
      </c>
      <c r="T18" s="3">
        <v>176907</v>
      </c>
    </row>
    <row r="19" spans="19:20" s="3" customFormat="1" x14ac:dyDescent="0.25">
      <c r="T19" s="11">
        <f>+T17/T18</f>
        <v>15.431073656305388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TR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Kutzer Maximilian Claudius</dc:creator>
  <cp:lastModifiedBy>Kutzer Maximilian Claudius</cp:lastModifiedBy>
  <dcterms:created xsi:type="dcterms:W3CDTF">2024-01-14T16:29:56Z</dcterms:created>
  <dcterms:modified xsi:type="dcterms:W3CDTF">2026-02-06T13:19:24Z</dcterms:modified>
</cp:coreProperties>
</file>