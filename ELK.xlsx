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"/>
    </mc:Choice>
  </mc:AlternateContent>
  <xr:revisionPtr revIDLastSave="0" documentId="13_ncr:1_{9500746A-7E6F-490A-80B8-AFD0936F46FE}" xr6:coauthVersionLast="47" xr6:coauthVersionMax="47" xr10:uidLastSave="{00000000-0000-0000-0000-000000000000}"/>
  <bookViews>
    <workbookView xWindow="-120" yWindow="-120" windowWidth="29040" windowHeight="15840" xr2:uid="{5046F939-71D4-403B-AA90-050C035C6D00}"/>
  </bookViews>
  <sheets>
    <sheet name="Sheet1" sheetId="1" r:id="rId1"/>
  </sheets>
  <definedNames>
    <definedName name="TR">Sheet1!$S$30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9" i="1" l="1"/>
  <c r="K12" i="1"/>
  <c r="L12" i="1" s="1"/>
  <c r="M12" i="1" s="1"/>
  <c r="N12" i="1" s="1"/>
  <c r="O12" i="1" s="1"/>
  <c r="P12" i="1" s="1"/>
  <c r="H9" i="1"/>
  <c r="H7" i="1"/>
  <c r="I7" i="1" s="1"/>
  <c r="J7" i="1" s="1"/>
  <c r="K7" i="1" s="1"/>
  <c r="L7" i="1" s="1"/>
  <c r="M7" i="1" s="1"/>
  <c r="N7" i="1" s="1"/>
  <c r="O7" i="1" s="1"/>
  <c r="P7" i="1" s="1"/>
  <c r="H6" i="1"/>
  <c r="I6" i="1" s="1"/>
  <c r="J6" i="1" s="1"/>
  <c r="K6" i="1" s="1"/>
  <c r="L6" i="1" s="1"/>
  <c r="M6" i="1" s="1"/>
  <c r="N6" i="1" s="1"/>
  <c r="O6" i="1" s="1"/>
  <c r="P6" i="1" s="1"/>
  <c r="H5" i="1"/>
  <c r="I5" i="1" s="1"/>
  <c r="J5" i="1" s="1"/>
  <c r="K5" i="1" s="1"/>
  <c r="L5" i="1" s="1"/>
  <c r="M5" i="1" s="1"/>
  <c r="N5" i="1" s="1"/>
  <c r="O5" i="1" s="1"/>
  <c r="P5" i="1" s="1"/>
  <c r="H4" i="1"/>
  <c r="I4" i="1" s="1"/>
  <c r="J4" i="1" s="1"/>
  <c r="H33" i="1"/>
  <c r="H32" i="1"/>
  <c r="H34" i="1" s="1"/>
  <c r="H43" i="1"/>
  <c r="H44" i="1" s="1"/>
  <c r="H21" i="1"/>
  <c r="I21" i="1" s="1"/>
  <c r="J21" i="1" s="1"/>
  <c r="K21" i="1" s="1"/>
  <c r="L21" i="1" s="1"/>
  <c r="M21" i="1" s="1"/>
  <c r="N21" i="1" s="1"/>
  <c r="O21" i="1" s="1"/>
  <c r="P21" i="1" s="1"/>
  <c r="H20" i="1"/>
  <c r="H19" i="1"/>
  <c r="H17" i="1"/>
  <c r="I17" i="1" s="1"/>
  <c r="J17" i="1" s="1"/>
  <c r="K17" i="1" s="1"/>
  <c r="L17" i="1" s="1"/>
  <c r="M17" i="1" s="1"/>
  <c r="N17" i="1" s="1"/>
  <c r="O17" i="1" s="1"/>
  <c r="P17" i="1" s="1"/>
  <c r="H16" i="1"/>
  <c r="I16" i="1" s="1"/>
  <c r="J16" i="1" s="1"/>
  <c r="K16" i="1" s="1"/>
  <c r="L16" i="1" s="1"/>
  <c r="M16" i="1" s="1"/>
  <c r="N16" i="1" s="1"/>
  <c r="O16" i="1" s="1"/>
  <c r="P16" i="1" s="1"/>
  <c r="H15" i="1"/>
  <c r="I15" i="1" s="1"/>
  <c r="J15" i="1" s="1"/>
  <c r="K15" i="1" s="1"/>
  <c r="L15" i="1" s="1"/>
  <c r="M15" i="1" s="1"/>
  <c r="N15" i="1" s="1"/>
  <c r="O15" i="1" s="1"/>
  <c r="P15" i="1" s="1"/>
  <c r="H14" i="1"/>
  <c r="H11" i="1"/>
  <c r="H10" i="1"/>
  <c r="F8" i="1"/>
  <c r="F7" i="1"/>
  <c r="G7" i="1"/>
  <c r="G34" i="1"/>
  <c r="F34" i="1"/>
  <c r="F38" i="1"/>
  <c r="G38" i="1"/>
  <c r="F43" i="1"/>
  <c r="G43" i="1"/>
  <c r="F41" i="1"/>
  <c r="G41" i="1"/>
  <c r="G13" i="1"/>
  <c r="G18" i="1" s="1"/>
  <c r="G22" i="1" s="1"/>
  <c r="G24" i="1" s="1"/>
  <c r="G29" i="1" s="1"/>
  <c r="F13" i="1"/>
  <c r="F18" i="1" s="1"/>
  <c r="F22" i="1" s="1"/>
  <c r="F24" i="1" s="1"/>
  <c r="F29" i="1" s="1"/>
  <c r="G2" i="1"/>
  <c r="H2" i="1" s="1"/>
  <c r="I2" i="1" s="1"/>
  <c r="J2" i="1" s="1"/>
  <c r="K2" i="1" s="1"/>
  <c r="L2" i="1" s="1"/>
  <c r="M2" i="1" s="1"/>
  <c r="N2" i="1" s="1"/>
  <c r="O2" i="1" s="1"/>
  <c r="P2" i="1" s="1"/>
  <c r="C13" i="1"/>
  <c r="C18" i="1" s="1"/>
  <c r="C22" i="1" s="1"/>
  <c r="C24" i="1" s="1"/>
  <c r="S32" i="1" l="1"/>
  <c r="I9" i="1"/>
  <c r="I10" i="1" s="1"/>
  <c r="J9" i="1"/>
  <c r="J10" i="1" s="1"/>
  <c r="K4" i="1"/>
  <c r="H13" i="1"/>
  <c r="G30" i="1"/>
  <c r="F44" i="1"/>
  <c r="G39" i="1"/>
  <c r="G44" i="1"/>
  <c r="G28" i="1"/>
  <c r="F28" i="1"/>
  <c r="J14" i="1" l="1"/>
  <c r="J13" i="1"/>
  <c r="I14" i="1"/>
  <c r="I13" i="1"/>
  <c r="K9" i="1"/>
  <c r="K10" i="1"/>
  <c r="K14" i="1" s="1"/>
  <c r="H18" i="1"/>
  <c r="H30" i="1"/>
  <c r="L4" i="1"/>
  <c r="K13" i="1" l="1"/>
  <c r="K18" i="1"/>
  <c r="K30" i="1"/>
  <c r="I18" i="1"/>
  <c r="I30" i="1"/>
  <c r="J18" i="1"/>
  <c r="J30" i="1"/>
  <c r="L9" i="1"/>
  <c r="L10" i="1" s="1"/>
  <c r="H22" i="1"/>
  <c r="H24" i="1" s="1"/>
  <c r="H28" i="1"/>
  <c r="M4" i="1"/>
  <c r="H29" i="1" l="1"/>
  <c r="H26" i="1"/>
  <c r="J22" i="1"/>
  <c r="J23" i="1" s="1"/>
  <c r="J24" i="1" s="1"/>
  <c r="J28" i="1"/>
  <c r="I22" i="1"/>
  <c r="I23" i="1" s="1"/>
  <c r="I24" i="1" s="1"/>
  <c r="I28" i="1"/>
  <c r="K22" i="1"/>
  <c r="K23" i="1" s="1"/>
  <c r="K24" i="1" s="1"/>
  <c r="K28" i="1"/>
  <c r="L14" i="1"/>
  <c r="L13" i="1"/>
  <c r="M9" i="1"/>
  <c r="M10" i="1" s="1"/>
  <c r="M14" i="1" s="1"/>
  <c r="N4" i="1"/>
  <c r="L18" i="1" l="1"/>
  <c r="L30" i="1"/>
  <c r="K29" i="1"/>
  <c r="K26" i="1"/>
  <c r="J29" i="1"/>
  <c r="J26" i="1"/>
  <c r="I29" i="1"/>
  <c r="I26" i="1"/>
  <c r="M13" i="1"/>
  <c r="N9" i="1"/>
  <c r="N10" i="1" s="1"/>
  <c r="O4" i="1"/>
  <c r="N14" i="1" l="1"/>
  <c r="N13" i="1"/>
  <c r="M18" i="1"/>
  <c r="M30" i="1"/>
  <c r="L22" i="1"/>
  <c r="L23" i="1" s="1"/>
  <c r="L24" i="1" s="1"/>
  <c r="L28" i="1"/>
  <c r="O9" i="1"/>
  <c r="O10" i="1" s="1"/>
  <c r="P4" i="1"/>
  <c r="O14" i="1" l="1"/>
  <c r="O13" i="1"/>
  <c r="M22" i="1"/>
  <c r="M23" i="1" s="1"/>
  <c r="M24" i="1" s="1"/>
  <c r="M28" i="1"/>
  <c r="N18" i="1"/>
  <c r="N30" i="1"/>
  <c r="L29" i="1"/>
  <c r="L26" i="1"/>
  <c r="P9" i="1"/>
  <c r="P10" i="1"/>
  <c r="P14" i="1" s="1"/>
  <c r="M29" i="1" l="1"/>
  <c r="M26" i="1"/>
  <c r="O18" i="1"/>
  <c r="O30" i="1"/>
  <c r="N22" i="1"/>
  <c r="N23" i="1" s="1"/>
  <c r="N24" i="1" s="1"/>
  <c r="N28" i="1"/>
  <c r="P13" i="1"/>
  <c r="O22" i="1" l="1"/>
  <c r="O23" i="1" s="1"/>
  <c r="O24" i="1" s="1"/>
  <c r="O28" i="1"/>
  <c r="P18" i="1"/>
  <c r="P30" i="1"/>
  <c r="N29" i="1"/>
  <c r="N26" i="1"/>
  <c r="P22" i="1" l="1"/>
  <c r="P23" i="1" s="1"/>
  <c r="P24" i="1" s="1"/>
  <c r="P28" i="1"/>
  <c r="O26" i="1"/>
  <c r="O29" i="1"/>
  <c r="P26" i="1" l="1"/>
  <c r="Q24" i="1"/>
  <c r="R24" i="1" s="1"/>
  <c r="S24" i="1" s="1"/>
  <c r="T24" i="1" s="1"/>
  <c r="U24" i="1" s="1"/>
  <c r="V24" i="1" s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S31" i="1" s="1"/>
  <c r="S33" i="1" s="1"/>
  <c r="P29" i="1"/>
</calcChain>
</file>

<file path=xl/sharedStrings.xml><?xml version="1.0" encoding="utf-8"?>
<sst xmlns="http://schemas.openxmlformats.org/spreadsheetml/2006/main" count="42" uniqueCount="42">
  <si>
    <t>Revenue</t>
  </si>
  <si>
    <t>Other Income</t>
  </si>
  <si>
    <t>Equity Income</t>
  </si>
  <si>
    <t>Total Revenue</t>
  </si>
  <si>
    <t>Materials and Energy</t>
  </si>
  <si>
    <t>Employee Cost</t>
  </si>
  <si>
    <t>Other Operating Cost</t>
  </si>
  <si>
    <t>D&amp;A</t>
  </si>
  <si>
    <t>Operating Income</t>
  </si>
  <si>
    <t>Finance Income</t>
  </si>
  <si>
    <t>Finance Expense</t>
  </si>
  <si>
    <t>Pretax</t>
  </si>
  <si>
    <t>Taxes</t>
  </si>
  <si>
    <t>net Income</t>
  </si>
  <si>
    <t>Joint Venture, net</t>
  </si>
  <si>
    <t>Net Margin</t>
  </si>
  <si>
    <t>Revenue Y/Y</t>
  </si>
  <si>
    <t>Operating Margin</t>
  </si>
  <si>
    <t>CFFO</t>
  </si>
  <si>
    <t>CapEx</t>
  </si>
  <si>
    <t>FCF</t>
  </si>
  <si>
    <t>Current Assets</t>
  </si>
  <si>
    <t>Current Liab.</t>
  </si>
  <si>
    <t>Working Capital</t>
  </si>
  <si>
    <t>Delta</t>
  </si>
  <si>
    <t>Cash</t>
  </si>
  <si>
    <t>PP&amp;E</t>
  </si>
  <si>
    <t>Debt</t>
  </si>
  <si>
    <t>NAV</t>
  </si>
  <si>
    <t>Silicones</t>
  </si>
  <si>
    <t>Silicon Products</t>
  </si>
  <si>
    <t>Carbon Solutions</t>
  </si>
  <si>
    <t>Other</t>
  </si>
  <si>
    <t>Hedging</t>
  </si>
  <si>
    <t>Eliminations</t>
  </si>
  <si>
    <t>Shares</t>
  </si>
  <si>
    <t>EPS</t>
  </si>
  <si>
    <t>Discount</t>
  </si>
  <si>
    <t>Terminal</t>
  </si>
  <si>
    <t>NPV</t>
  </si>
  <si>
    <t>Net Cash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</si>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</sst>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0" fontId="0" fillId="0" borderId="0" xfId="0" applyNumberFormat="1"/>
    <xf numFmtId="9" fontId="0" fillId="0" borderId="0" xfId="1" applyFont="1"/>
    <xf numFmtId="3" fontId="2" fillId="0" borderId="0" xfId="0" applyNumberFormat="1" applyFont="1"/>
    <xf numFmtId="4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11907</xdr:colOff>
      <xdr:row>2</xdr:row>
      <xdr:rowOff>178594</xdr:rowOff>
    </xdr:from>
    <xdr:to>
      <xdr:col>7</xdr:col>
      <xdr:colOff>17860</xdr:colOff>
      <xdr:row>46</xdr:row>
      <xdr:rowOff>89297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BC6056C8-98C6-742A-7F2E-ECF4CA9E9DF1}"/>
            </a:ext>
          </a:extLst>
        </xdr:cNvPr>
        <xdr:cNvCxnSpPr/>
      </xdr:nvCxnSpPr>
      <xdr:spPr>
        <a:xfrm>
          <a:off x="4554141" y="750094"/>
          <a:ext cx="5953" cy="791170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09917-0064-43AF-A64D-46B81A0248A7}">
  <dimension ref="B2:DU44"/>
  <sheetViews>
    <sheetView tabSelected="1" zoomScale="160" zoomScaleNormal="16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15" sqref="J15"/>
    </sheetView>
  </sheetViews>
  <sheetFormatPr defaultRowHeight="15" x14ac:dyDescent="0.25"/>
  <cols>
    <col min="1" max="1" width="2.85546875" style="1" customWidth="1"/>
    <col min="2" max="2" width="19.7109375" style="1" bestFit="1" customWidth="1"/>
    <col min="3" max="16384" width="9.140625" style="1"/>
  </cols>
  <sheetData>
    <row r="2" spans="2:16" s="2" customFormat="1" x14ac:dyDescent="0.25">
      <c r="F2" s="2">
        <v>2022</v>
      </c>
      <c r="G2" s="2">
        <f>+F2+1</f>
        <v>2023</v>
      </c>
      <c r="H2" s="2">
        <f>+G2+1</f>
        <v>2024</v>
      </c>
      <c r="I2" s="2">
        <f t="shared" ref="I2:P2" si="0">+H2+1</f>
        <v>2025</v>
      </c>
      <c r="J2" s="2">
        <f t="shared" si="0"/>
        <v>2026</v>
      </c>
      <c r="K2" s="2">
        <f t="shared" si="0"/>
        <v>2027</v>
      </c>
      <c r="L2" s="2">
        <f t="shared" si="0"/>
        <v>2028</v>
      </c>
      <c r="M2" s="2">
        <f t="shared" si="0"/>
        <v>2029</v>
      </c>
      <c r="N2" s="2">
        <f t="shared" si="0"/>
        <v>2030</v>
      </c>
      <c r="O2" s="2">
        <f t="shared" si="0"/>
        <v>2031</v>
      </c>
      <c r="P2" s="2">
        <f t="shared" si="0"/>
        <v>2032</v>
      </c>
    </row>
    <row r="3" spans="2:16" x14ac:dyDescent="0.25">
      <c r="F3" s="5"/>
      <c r="G3" s="5"/>
      <c r="H3" s="5"/>
    </row>
    <row r="4" spans="2:16" x14ac:dyDescent="0.25">
      <c r="B4" s="1" t="s">
        <v>29</v>
      </c>
      <c r="F4" s="1">
        <v>18954</v>
      </c>
      <c r="G4" s="1">
        <v>14012</v>
      </c>
      <c r="H4" s="1">
        <f>10962*1.3</f>
        <v>14250.6</v>
      </c>
      <c r="I4" s="1">
        <f t="shared" ref="I4:P4" si="1">+H4*1.06</f>
        <v>15105.636</v>
      </c>
      <c r="J4" s="1">
        <f t="shared" si="1"/>
        <v>16011.974160000002</v>
      </c>
      <c r="K4" s="1">
        <f t="shared" si="1"/>
        <v>16972.692609600002</v>
      </c>
      <c r="L4" s="1">
        <f t="shared" si="1"/>
        <v>17991.054166176003</v>
      </c>
      <c r="M4" s="1">
        <f t="shared" si="1"/>
        <v>19070.517416146566</v>
      </c>
      <c r="N4" s="1">
        <f t="shared" si="1"/>
        <v>20214.74846111536</v>
      </c>
      <c r="O4" s="1">
        <f t="shared" si="1"/>
        <v>21427.633368782281</v>
      </c>
      <c r="P4" s="1">
        <f t="shared" si="1"/>
        <v>22713.291370909217</v>
      </c>
    </row>
    <row r="5" spans="2:16" x14ac:dyDescent="0.25">
      <c r="B5" s="1" t="s">
        <v>30</v>
      </c>
      <c r="F5" s="1">
        <v>22362</v>
      </c>
      <c r="G5" s="1">
        <v>16543</v>
      </c>
      <c r="H5" s="1">
        <f>11758*1.3</f>
        <v>15285.4</v>
      </c>
      <c r="I5" s="1">
        <f t="shared" ref="I5:P5" si="2">+H5*1.0455</f>
        <v>15980.885700000001</v>
      </c>
      <c r="J5" s="1">
        <f t="shared" si="2"/>
        <v>16708.015999350002</v>
      </c>
      <c r="K5" s="1">
        <f t="shared" si="2"/>
        <v>17468.230727320428</v>
      </c>
      <c r="L5" s="1">
        <f t="shared" si="2"/>
        <v>18263.03522541351</v>
      </c>
      <c r="M5" s="1">
        <f t="shared" si="2"/>
        <v>19094.003328169827</v>
      </c>
      <c r="N5" s="1">
        <f t="shared" si="2"/>
        <v>19962.780479601555</v>
      </c>
      <c r="O5" s="1">
        <f t="shared" si="2"/>
        <v>20871.086991423428</v>
      </c>
      <c r="P5" s="1">
        <f t="shared" si="2"/>
        <v>21820.721449533197</v>
      </c>
    </row>
    <row r="6" spans="2:16" x14ac:dyDescent="0.25">
      <c r="B6" s="1" t="s">
        <v>31</v>
      </c>
      <c r="F6" s="1">
        <v>3393</v>
      </c>
      <c r="G6" s="1">
        <v>3742</v>
      </c>
      <c r="H6" s="1">
        <f>2726*1.3</f>
        <v>3543.8</v>
      </c>
      <c r="I6" s="1">
        <f t="shared" ref="I6:P6" si="3">+H6*1.04</f>
        <v>3685.5520000000001</v>
      </c>
      <c r="J6" s="1">
        <f t="shared" si="3"/>
        <v>3832.9740800000004</v>
      </c>
      <c r="K6" s="1">
        <f t="shared" si="3"/>
        <v>3986.2930432000007</v>
      </c>
      <c r="L6" s="1">
        <f t="shared" si="3"/>
        <v>4145.7447649280011</v>
      </c>
      <c r="M6" s="1">
        <f t="shared" si="3"/>
        <v>4311.5745555251215</v>
      </c>
      <c r="N6" s="1">
        <f t="shared" si="3"/>
        <v>4484.0375377461269</v>
      </c>
      <c r="O6" s="1">
        <f t="shared" si="3"/>
        <v>4663.3990392559717</v>
      </c>
      <c r="P6" s="1">
        <f t="shared" si="3"/>
        <v>4849.9350008262109</v>
      </c>
    </row>
    <row r="7" spans="2:16" x14ac:dyDescent="0.25">
      <c r="B7" s="1" t="s">
        <v>32</v>
      </c>
      <c r="F7" s="1">
        <f>92+30+232</f>
        <v>354</v>
      </c>
      <c r="G7" s="1">
        <f>157+79+198</f>
        <v>434</v>
      </c>
      <c r="H7" s="1">
        <f>452*1.3</f>
        <v>587.6</v>
      </c>
      <c r="I7" s="1">
        <f t="shared" ref="I7:P7" si="4">+H7*1.05</f>
        <v>616.98</v>
      </c>
      <c r="J7" s="1">
        <f t="shared" si="4"/>
        <v>647.82900000000006</v>
      </c>
      <c r="K7" s="1">
        <f t="shared" si="4"/>
        <v>680.22045000000014</v>
      </c>
      <c r="L7" s="1">
        <f t="shared" si="4"/>
        <v>714.23147250000022</v>
      </c>
      <c r="M7" s="1">
        <f t="shared" si="4"/>
        <v>749.94304612500025</v>
      </c>
      <c r="N7" s="1">
        <f t="shared" si="4"/>
        <v>787.44019843125034</v>
      </c>
      <c r="O7" s="1">
        <f t="shared" si="4"/>
        <v>826.81220835281295</v>
      </c>
      <c r="P7" s="1">
        <f t="shared" si="4"/>
        <v>868.15281877045368</v>
      </c>
    </row>
    <row r="8" spans="2:16" x14ac:dyDescent="0.25">
      <c r="B8" s="1" t="s">
        <v>33</v>
      </c>
      <c r="F8" s="1">
        <f>4-49</f>
        <v>-45</v>
      </c>
      <c r="G8" s="1">
        <v>-366</v>
      </c>
      <c r="H8" s="1">
        <v>-100</v>
      </c>
      <c r="I8" s="1">
        <v>-100</v>
      </c>
      <c r="J8" s="1">
        <v>-100</v>
      </c>
      <c r="K8" s="1">
        <v>-100</v>
      </c>
      <c r="L8" s="1">
        <v>-100</v>
      </c>
      <c r="M8" s="1">
        <v>-100</v>
      </c>
      <c r="N8" s="1">
        <v>-100</v>
      </c>
      <c r="O8" s="1">
        <v>-100</v>
      </c>
      <c r="P8" s="1">
        <v>-100</v>
      </c>
    </row>
    <row r="9" spans="2:16" x14ac:dyDescent="0.25">
      <c r="B9" s="1" t="s">
        <v>34</v>
      </c>
      <c r="G9" s="1">
        <v>-1884</v>
      </c>
      <c r="H9" s="1">
        <f>-1373*1.3</f>
        <v>-1784.9</v>
      </c>
      <c r="I9" s="1">
        <f>-SUM(I4:I7)*0.05</f>
        <v>-1769.4526850000002</v>
      </c>
      <c r="J9" s="1">
        <f t="shared" ref="J9:P9" si="5">-SUM(J4:J7)*0.05</f>
        <v>-1860.0396619675003</v>
      </c>
      <c r="K9" s="1">
        <f t="shared" si="5"/>
        <v>-1955.3718415060216</v>
      </c>
      <c r="L9" s="1">
        <f t="shared" si="5"/>
        <v>-2055.7032814508761</v>
      </c>
      <c r="M9" s="1">
        <f t="shared" si="5"/>
        <v>-2161.3019172983259</v>
      </c>
      <c r="N9" s="1">
        <f t="shared" si="5"/>
        <v>-2272.4503338447148</v>
      </c>
      <c r="O9" s="1">
        <f t="shared" si="5"/>
        <v>-2389.4465803907251</v>
      </c>
      <c r="P9" s="1">
        <f t="shared" si="5"/>
        <v>-2512.605032001954</v>
      </c>
    </row>
    <row r="10" spans="2:16" s="4" customFormat="1" x14ac:dyDescent="0.25">
      <c r="B10" s="4" t="s">
        <v>0</v>
      </c>
      <c r="F10" s="4">
        <v>45018</v>
      </c>
      <c r="G10" s="4">
        <v>34364</v>
      </c>
      <c r="H10" s="4">
        <f>23732*1.3</f>
        <v>30851.600000000002</v>
      </c>
      <c r="I10" s="4">
        <f>+SUM(I4:I9)</f>
        <v>33519.601015000007</v>
      </c>
      <c r="J10" s="4">
        <f t="shared" ref="J10:P10" si="6">+SUM(J4:J9)</f>
        <v>35240.7535773825</v>
      </c>
      <c r="K10" s="4">
        <f t="shared" si="6"/>
        <v>37052.064988614409</v>
      </c>
      <c r="L10" s="4">
        <f t="shared" si="6"/>
        <v>38958.362347566639</v>
      </c>
      <c r="M10" s="4">
        <f t="shared" si="6"/>
        <v>40964.736428668191</v>
      </c>
      <c r="N10" s="4">
        <f t="shared" si="6"/>
        <v>43076.556343049575</v>
      </c>
      <c r="O10" s="4">
        <f t="shared" si="6"/>
        <v>45299.485027423776</v>
      </c>
      <c r="P10" s="4">
        <f t="shared" si="6"/>
        <v>47639.495608037119</v>
      </c>
    </row>
    <row r="11" spans="2:16" x14ac:dyDescent="0.25">
      <c r="B11" s="1" t="s">
        <v>1</v>
      </c>
      <c r="F11" s="1">
        <v>746</v>
      </c>
      <c r="G11" s="1">
        <v>1135</v>
      </c>
      <c r="H11" s="1">
        <f>780*1.3</f>
        <v>1014</v>
      </c>
      <c r="I11" s="1">
        <v>1000</v>
      </c>
      <c r="J11" s="1">
        <v>1000</v>
      </c>
      <c r="K11" s="1">
        <v>1000</v>
      </c>
      <c r="L11" s="1">
        <v>1000</v>
      </c>
      <c r="M11" s="1">
        <v>1000</v>
      </c>
      <c r="N11" s="1">
        <v>1000</v>
      </c>
      <c r="O11" s="1">
        <v>1000</v>
      </c>
      <c r="P11" s="1">
        <v>1000</v>
      </c>
    </row>
    <row r="12" spans="2:16" x14ac:dyDescent="0.25">
      <c r="B12" s="1" t="s">
        <v>2</v>
      </c>
      <c r="F12" s="1">
        <v>135</v>
      </c>
      <c r="G12" s="1">
        <v>46</v>
      </c>
      <c r="H12" s="1">
        <v>-3</v>
      </c>
      <c r="I12" s="1">
        <v>20</v>
      </c>
      <c r="J12" s="1">
        <v>40</v>
      </c>
      <c r="K12" s="1">
        <f>+J12+20</f>
        <v>60</v>
      </c>
      <c r="L12" s="1">
        <f t="shared" ref="L12:P12" si="7">+K12+20</f>
        <v>80</v>
      </c>
      <c r="M12" s="1">
        <f t="shared" si="7"/>
        <v>100</v>
      </c>
      <c r="N12" s="1">
        <f t="shared" si="7"/>
        <v>120</v>
      </c>
      <c r="O12" s="1">
        <f t="shared" si="7"/>
        <v>140</v>
      </c>
      <c r="P12" s="1">
        <f t="shared" si="7"/>
        <v>160</v>
      </c>
    </row>
    <row r="13" spans="2:16" x14ac:dyDescent="0.25">
      <c r="B13" s="1" t="s">
        <v>3</v>
      </c>
      <c r="C13" s="1">
        <f>+C10+C11+C12</f>
        <v>0</v>
      </c>
      <c r="F13" s="1">
        <f>+F10+F11+F12</f>
        <v>45899</v>
      </c>
      <c r="G13" s="1">
        <f>+G10+G11+G12</f>
        <v>35545</v>
      </c>
      <c r="H13" s="1">
        <f>+H10+H11+H12</f>
        <v>31862.600000000002</v>
      </c>
      <c r="I13" s="1">
        <f t="shared" ref="I13:P13" si="8">+I10+I11+I12</f>
        <v>34539.601015000007</v>
      </c>
      <c r="J13" s="1">
        <f t="shared" si="8"/>
        <v>36280.7535773825</v>
      </c>
      <c r="K13" s="1">
        <f t="shared" si="8"/>
        <v>38112.064988614409</v>
      </c>
      <c r="L13" s="1">
        <f t="shared" si="8"/>
        <v>40038.362347566639</v>
      </c>
      <c r="M13" s="1">
        <f t="shared" si="8"/>
        <v>42064.736428668191</v>
      </c>
      <c r="N13" s="1">
        <f t="shared" si="8"/>
        <v>44196.556343049575</v>
      </c>
      <c r="O13" s="1">
        <f t="shared" si="8"/>
        <v>46439.485027423776</v>
      </c>
      <c r="P13" s="1">
        <f t="shared" si="8"/>
        <v>48799.495608037119</v>
      </c>
    </row>
    <row r="14" spans="2:16" x14ac:dyDescent="0.25">
      <c r="B14" s="1" t="s">
        <v>4</v>
      </c>
      <c r="F14" s="1">
        <v>21976</v>
      </c>
      <c r="G14" s="1">
        <v>20401</v>
      </c>
      <c r="H14" s="1">
        <f>12683*1.3</f>
        <v>16487.900000000001</v>
      </c>
      <c r="I14" s="1">
        <f>+I10*0.55</f>
        <v>18435.780558250004</v>
      </c>
      <c r="J14" s="1">
        <f t="shared" ref="J14:P14" si="9">+J10*0.55</f>
        <v>19382.414467560378</v>
      </c>
      <c r="K14" s="1">
        <f t="shared" si="9"/>
        <v>20378.635743737927</v>
      </c>
      <c r="L14" s="1">
        <f t="shared" si="9"/>
        <v>21427.099291161652</v>
      </c>
      <c r="M14" s="1">
        <f t="shared" si="9"/>
        <v>22530.605035767509</v>
      </c>
      <c r="N14" s="1">
        <f t="shared" si="9"/>
        <v>23692.105988677267</v>
      </c>
      <c r="O14" s="1">
        <f t="shared" si="9"/>
        <v>24914.716765083078</v>
      </c>
      <c r="P14" s="1">
        <f t="shared" si="9"/>
        <v>26201.722584420419</v>
      </c>
    </row>
    <row r="15" spans="2:16" x14ac:dyDescent="0.25">
      <c r="B15" s="1" t="s">
        <v>5</v>
      </c>
      <c r="F15" s="1">
        <v>4918</v>
      </c>
      <c r="G15" s="1">
        <v>5253</v>
      </c>
      <c r="H15" s="1">
        <f>3903*1.3</f>
        <v>5073.9000000000005</v>
      </c>
      <c r="I15" s="1">
        <f>+H15*1.02</f>
        <v>5175.3780000000006</v>
      </c>
      <c r="J15" s="1">
        <f t="shared" ref="J15:P15" si="10">+I15*1.02</f>
        <v>5278.8855600000006</v>
      </c>
      <c r="K15" s="1">
        <f t="shared" si="10"/>
        <v>5384.4632712000011</v>
      </c>
      <c r="L15" s="1">
        <f t="shared" si="10"/>
        <v>5492.1525366240012</v>
      </c>
      <c r="M15" s="1">
        <f t="shared" si="10"/>
        <v>5601.9955873564813</v>
      </c>
      <c r="N15" s="1">
        <f t="shared" si="10"/>
        <v>5714.0354991036111</v>
      </c>
      <c r="O15" s="1">
        <f t="shared" si="10"/>
        <v>5828.3162090856831</v>
      </c>
      <c r="P15" s="1">
        <f t="shared" si="10"/>
        <v>5944.8825332673969</v>
      </c>
    </row>
    <row r="16" spans="2:16" x14ac:dyDescent="0.25">
      <c r="B16" s="1" t="s">
        <v>6</v>
      </c>
      <c r="F16" s="1">
        <v>6714</v>
      </c>
      <c r="G16" s="1">
        <v>6319</v>
      </c>
      <c r="H16" s="1">
        <f>5021*1.3</f>
        <v>6527.3</v>
      </c>
      <c r="I16" s="1">
        <f>+H16*1.02</f>
        <v>6657.8460000000005</v>
      </c>
      <c r="J16" s="1">
        <f t="shared" ref="J16:P16" si="11">+I16*1.02</f>
        <v>6791.0029200000008</v>
      </c>
      <c r="K16" s="1">
        <f t="shared" si="11"/>
        <v>6926.8229784000014</v>
      </c>
      <c r="L16" s="1">
        <f t="shared" si="11"/>
        <v>7065.3594379680017</v>
      </c>
      <c r="M16" s="1">
        <f t="shared" si="11"/>
        <v>7206.6666267273622</v>
      </c>
      <c r="N16" s="1">
        <f t="shared" si="11"/>
        <v>7350.7999592619099</v>
      </c>
      <c r="O16" s="1">
        <f t="shared" si="11"/>
        <v>7497.8159584471478</v>
      </c>
      <c r="P16" s="1">
        <f t="shared" si="11"/>
        <v>7647.7722776160908</v>
      </c>
    </row>
    <row r="17" spans="2:125" x14ac:dyDescent="0.25">
      <c r="B17" s="1" t="s">
        <v>7</v>
      </c>
      <c r="F17" s="1">
        <v>1999</v>
      </c>
      <c r="G17" s="1">
        <v>2312</v>
      </c>
      <c r="H17" s="1">
        <f>1909*1.3</f>
        <v>2481.7000000000003</v>
      </c>
      <c r="I17" s="1">
        <f>+H17*1.01</f>
        <v>2506.5170000000003</v>
      </c>
      <c r="J17" s="1">
        <f t="shared" ref="J17:P17" si="12">+I17*1.01</f>
        <v>2531.5821700000001</v>
      </c>
      <c r="K17" s="1">
        <f t="shared" si="12"/>
        <v>2556.8979917000001</v>
      </c>
      <c r="L17" s="1">
        <f t="shared" si="12"/>
        <v>2582.4669716170001</v>
      </c>
      <c r="M17" s="1">
        <f t="shared" si="12"/>
        <v>2608.29164133317</v>
      </c>
      <c r="N17" s="1">
        <f t="shared" si="12"/>
        <v>2634.3745577465015</v>
      </c>
      <c r="O17" s="1">
        <f t="shared" si="12"/>
        <v>2660.7183033239667</v>
      </c>
      <c r="P17" s="1">
        <f t="shared" si="12"/>
        <v>2687.3254863572065</v>
      </c>
    </row>
    <row r="18" spans="2:125" x14ac:dyDescent="0.25">
      <c r="B18" s="1" t="s">
        <v>8</v>
      </c>
      <c r="C18" s="1">
        <f>+C13-C14-C15-C16-C17</f>
        <v>0</v>
      </c>
      <c r="F18" s="1">
        <f>+F13-F14-F15-F16-F17</f>
        <v>10292</v>
      </c>
      <c r="G18" s="1">
        <f>+G13-G14-G15-G16-G17</f>
        <v>1260</v>
      </c>
      <c r="H18" s="1">
        <f>+H13-H14-H15-H16-H17</f>
        <v>1291.7999999999988</v>
      </c>
      <c r="I18" s="1">
        <f t="shared" ref="I18:P18" si="13">+I13-I14-I15-I16-I17</f>
        <v>1764.079456750002</v>
      </c>
      <c r="J18" s="1">
        <f t="shared" si="13"/>
        <v>2296.8684598221203</v>
      </c>
      <c r="K18" s="1">
        <f t="shared" si="13"/>
        <v>2865.2450035764791</v>
      </c>
      <c r="L18" s="1">
        <f t="shared" si="13"/>
        <v>3471.284110195983</v>
      </c>
      <c r="M18" s="1">
        <f t="shared" si="13"/>
        <v>4117.1775374836689</v>
      </c>
      <c r="N18" s="1">
        <f t="shared" si="13"/>
        <v>4805.2403382602852</v>
      </c>
      <c r="O18" s="1">
        <f t="shared" si="13"/>
        <v>5537.917791483902</v>
      </c>
      <c r="P18" s="1">
        <f t="shared" si="13"/>
        <v>6317.7927263760039</v>
      </c>
    </row>
    <row r="19" spans="2:125" x14ac:dyDescent="0.25">
      <c r="B19" s="1" t="s">
        <v>14</v>
      </c>
      <c r="F19" s="1">
        <v>-17</v>
      </c>
      <c r="G19" s="1">
        <v>-63</v>
      </c>
      <c r="H19" s="1">
        <f>-143*1.3</f>
        <v>-185.9</v>
      </c>
      <c r="I19" s="1">
        <v>-200</v>
      </c>
      <c r="J19" s="1">
        <v>-200</v>
      </c>
      <c r="K19" s="1">
        <v>-200</v>
      </c>
      <c r="L19" s="1">
        <v>-200</v>
      </c>
      <c r="M19" s="1">
        <v>-200</v>
      </c>
      <c r="N19" s="1">
        <v>-200</v>
      </c>
      <c r="O19" s="1">
        <v>-200</v>
      </c>
      <c r="P19" s="1">
        <v>-200</v>
      </c>
    </row>
    <row r="20" spans="2:125" x14ac:dyDescent="0.25">
      <c r="B20" s="1" t="s">
        <v>9</v>
      </c>
      <c r="F20" s="1">
        <v>67</v>
      </c>
      <c r="G20" s="1">
        <v>182</v>
      </c>
      <c r="H20" s="1">
        <f>107*1.3</f>
        <v>139.1</v>
      </c>
      <c r="I20" s="1">
        <v>120</v>
      </c>
      <c r="J20" s="1">
        <v>120</v>
      </c>
      <c r="K20" s="1">
        <v>120</v>
      </c>
      <c r="L20" s="1">
        <v>120</v>
      </c>
      <c r="M20" s="1">
        <v>120</v>
      </c>
      <c r="N20" s="1">
        <v>120</v>
      </c>
      <c r="O20" s="1">
        <v>120</v>
      </c>
      <c r="P20" s="1">
        <v>120</v>
      </c>
    </row>
    <row r="21" spans="2:125" x14ac:dyDescent="0.25">
      <c r="B21" s="1" t="s">
        <v>10</v>
      </c>
      <c r="F21" s="1">
        <v>313</v>
      </c>
      <c r="G21" s="1">
        <v>743</v>
      </c>
      <c r="H21" s="1">
        <f>654*1.3</f>
        <v>850.2</v>
      </c>
      <c r="I21" s="1">
        <f>+H21*1.02</f>
        <v>867.20400000000006</v>
      </c>
      <c r="J21" s="1">
        <f t="shared" ref="J21:P21" si="14">+I21*1.02</f>
        <v>884.54808000000003</v>
      </c>
      <c r="K21" s="1">
        <f t="shared" si="14"/>
        <v>902.23904160000006</v>
      </c>
      <c r="L21" s="1">
        <f t="shared" si="14"/>
        <v>920.28382243200008</v>
      </c>
      <c r="M21" s="1">
        <f t="shared" si="14"/>
        <v>938.68949888064014</v>
      </c>
      <c r="N21" s="1">
        <f t="shared" si="14"/>
        <v>957.46328885825301</v>
      </c>
      <c r="O21" s="1">
        <f t="shared" si="14"/>
        <v>976.61255463541806</v>
      </c>
      <c r="P21" s="1">
        <f t="shared" si="14"/>
        <v>996.14480572812647</v>
      </c>
    </row>
    <row r="22" spans="2:125" x14ac:dyDescent="0.25">
      <c r="B22" s="1" t="s">
        <v>11</v>
      </c>
      <c r="C22" s="1">
        <f>+C18+C19+C20-C21</f>
        <v>0</v>
      </c>
      <c r="F22" s="1">
        <f>+F18+F19+F20-F21</f>
        <v>10029</v>
      </c>
      <c r="G22" s="1">
        <f>+G18+G19+G20-G21</f>
        <v>636</v>
      </c>
      <c r="H22" s="1">
        <f>+H18+H19+H20-H21</f>
        <v>394.79999999999859</v>
      </c>
      <c r="I22" s="1">
        <f t="shared" ref="I22:P22" si="15">+I18+I19+I20-I21</f>
        <v>816.87545675000194</v>
      </c>
      <c r="J22" s="1">
        <f t="shared" si="15"/>
        <v>1332.3203798221202</v>
      </c>
      <c r="K22" s="1">
        <f t="shared" si="15"/>
        <v>1883.0059619764791</v>
      </c>
      <c r="L22" s="1">
        <f t="shared" si="15"/>
        <v>2471.0002877639827</v>
      </c>
      <c r="M22" s="1">
        <f t="shared" si="15"/>
        <v>3098.4880386030286</v>
      </c>
      <c r="N22" s="1">
        <f t="shared" si="15"/>
        <v>3767.7770494020324</v>
      </c>
      <c r="O22" s="1">
        <f t="shared" si="15"/>
        <v>4481.3052368484841</v>
      </c>
      <c r="P22" s="1">
        <f t="shared" si="15"/>
        <v>5241.6479206478771</v>
      </c>
    </row>
    <row r="23" spans="2:125" x14ac:dyDescent="0.25">
      <c r="B23" s="1" t="s">
        <v>12</v>
      </c>
      <c r="F23" s="1">
        <v>2594</v>
      </c>
      <c r="G23" s="1">
        <v>781</v>
      </c>
      <c r="H23" s="1">
        <v>-634</v>
      </c>
      <c r="I23" s="1">
        <f>+I22*0.25</f>
        <v>204.21886418750049</v>
      </c>
      <c r="J23" s="1">
        <f t="shared" ref="J23:P23" si="16">+J22*0.25</f>
        <v>333.08009495553006</v>
      </c>
      <c r="K23" s="1">
        <f t="shared" si="16"/>
        <v>470.75149049411976</v>
      </c>
      <c r="L23" s="1">
        <f t="shared" si="16"/>
        <v>617.75007194099567</v>
      </c>
      <c r="M23" s="1">
        <f t="shared" si="16"/>
        <v>774.62200965075715</v>
      </c>
      <c r="N23" s="1">
        <f t="shared" si="16"/>
        <v>941.9442623505081</v>
      </c>
      <c r="O23" s="1">
        <f t="shared" si="16"/>
        <v>1120.326309212121</v>
      </c>
      <c r="P23" s="1">
        <f t="shared" si="16"/>
        <v>1310.4119801619693</v>
      </c>
    </row>
    <row r="24" spans="2:125" x14ac:dyDescent="0.25">
      <c r="B24" s="1" t="s">
        <v>13</v>
      </c>
      <c r="C24" s="1">
        <f>+C22-C23</f>
        <v>0</v>
      </c>
      <c r="F24" s="1">
        <f>+F22-F23</f>
        <v>7435</v>
      </c>
      <c r="G24" s="1">
        <f>+G22-G23</f>
        <v>-145</v>
      </c>
      <c r="H24" s="1">
        <f>+H22-H23</f>
        <v>1028.7999999999986</v>
      </c>
      <c r="I24" s="1">
        <f t="shared" ref="I24:P24" si="17">+I22-I23</f>
        <v>612.65659256250149</v>
      </c>
      <c r="J24" s="1">
        <f t="shared" si="17"/>
        <v>999.24028486659017</v>
      </c>
      <c r="K24" s="1">
        <f t="shared" si="17"/>
        <v>1412.2544714823593</v>
      </c>
      <c r="L24" s="1">
        <f t="shared" si="17"/>
        <v>1853.250215822987</v>
      </c>
      <c r="M24" s="1">
        <f t="shared" si="17"/>
        <v>2323.8660289522713</v>
      </c>
      <c r="N24" s="1">
        <f t="shared" si="17"/>
        <v>2825.8327870515241</v>
      </c>
      <c r="O24" s="1">
        <f t="shared" si="17"/>
        <v>3360.9789276363631</v>
      </c>
      <c r="P24" s="1">
        <f t="shared" si="17"/>
        <v>3931.235940485908</v>
      </c>
      <c r="Q24" s="1">
        <f>+P24*(1+TR)</f>
        <v>3891.9235810810487</v>
      </c>
      <c r="R24" s="1">
        <f>+Q24*(1+TR)</f>
        <v>3853.004345270238</v>
      </c>
      <c r="S24" s="1">
        <f>+R24*(1+TR)</f>
        <v>3814.4743018175354</v>
      </c>
      <c r="T24" s="1">
        <f>+S24*(1+TR)</f>
        <v>3776.3295587993603</v>
      </c>
      <c r="U24" s="1">
        <f>+T24*(1+TR)</f>
        <v>3738.5662632113667</v>
      </c>
      <c r="V24" s="1">
        <f>+U24*(1+TR)</f>
        <v>3701.1806005792532</v>
      </c>
      <c r="W24" s="1">
        <f>+V24*(1+TR)</f>
        <v>3664.1687945734607</v>
      </c>
      <c r="X24" s="1">
        <f>+W24*(1+TR)</f>
        <v>3627.527106627726</v>
      </c>
      <c r="Y24" s="1">
        <f>+X24*(1+TR)</f>
        <v>3591.2518355614488</v>
      </c>
      <c r="Z24" s="1">
        <f>+Y24*(1+TR)</f>
        <v>3555.3393172058345</v>
      </c>
      <c r="AA24" s="1">
        <f>+Z24*(1+TR)</f>
        <v>3519.7859240337762</v>
      </c>
      <c r="AB24" s="1">
        <f>+AA24*(1+TR)</f>
        <v>3484.5880647934382</v>
      </c>
      <c r="AC24" s="1">
        <f>+AB24*(1+TR)</f>
        <v>3449.7421841455039</v>
      </c>
      <c r="AD24" s="1">
        <f>+AC24*(1+TR)</f>
        <v>3415.2447623040489</v>
      </c>
      <c r="AE24" s="1">
        <f>+AD24*(1+TR)</f>
        <v>3381.0923146810082</v>
      </c>
      <c r="AF24" s="1">
        <f>+AE24*(1+TR)</f>
        <v>3347.2813915341981</v>
      </c>
      <c r="AG24" s="1">
        <f>+AF24*(1+TR)</f>
        <v>3313.8085776188559</v>
      </c>
      <c r="AH24" s="1">
        <f>+AG24*(1+TR)</f>
        <v>3280.6704918426672</v>
      </c>
      <c r="AI24" s="1">
        <f>+AH24*(1+TR)</f>
        <v>3247.8637869242407</v>
      </c>
      <c r="AJ24" s="1">
        <f>+AI24*(1+TR)</f>
        <v>3215.3851490549982</v>
      </c>
      <c r="AK24" s="1">
        <f>+AJ24*(1+TR)</f>
        <v>3183.2312975644481</v>
      </c>
      <c r="AL24" s="1">
        <f>+AK24*(1+TR)</f>
        <v>3151.3989845888036</v>
      </c>
      <c r="AM24" s="1">
        <f>+AL24*(1+TR)</f>
        <v>3119.8849947429158</v>
      </c>
      <c r="AN24" s="1">
        <f>+AM24*(1+TR)</f>
        <v>3088.6861447954866</v>
      </c>
      <c r="AO24" s="1">
        <f>+AN24*(1+TR)</f>
        <v>3057.7992833475319</v>
      </c>
      <c r="AP24" s="1">
        <f>+AO24*(1+TR)</f>
        <v>3027.2212905140564</v>
      </c>
      <c r="AQ24" s="1">
        <f>+AP24*(1+TR)</f>
        <v>2996.9490776089156</v>
      </c>
      <c r="AR24" s="1">
        <f>+AQ24*(1+TR)</f>
        <v>2966.9795868328265</v>
      </c>
      <c r="AS24" s="1">
        <f>+AR24*(1+TR)</f>
        <v>2937.309790964498</v>
      </c>
      <c r="AT24" s="1">
        <f>+AS24*(1+TR)</f>
        <v>2907.9366930548531</v>
      </c>
      <c r="AU24" s="1">
        <f>+AT24*(1+TR)</f>
        <v>2878.8573261243046</v>
      </c>
      <c r="AV24" s="1">
        <f>+AU24*(1+TR)</f>
        <v>2850.0687528630615</v>
      </c>
      <c r="AW24" s="1">
        <f>+AV24*(1+TR)</f>
        <v>2821.5680653344307</v>
      </c>
      <c r="AX24" s="1">
        <f>+AW24*(1+TR)</f>
        <v>2793.3523846810863</v>
      </c>
      <c r="AY24" s="1">
        <f>+AX24*(1+TR)</f>
        <v>2765.4188608342752</v>
      </c>
      <c r="AZ24" s="1">
        <f>+AY24*(1+TR)</f>
        <v>2737.7646722259324</v>
      </c>
      <c r="BA24" s="1">
        <f>+AZ24*(1+TR)</f>
        <v>2710.3870255036732</v>
      </c>
      <c r="BB24" s="1">
        <f>+BA24*(1+TR)</f>
        <v>2683.2831552486364</v>
      </c>
      <c r="BC24" s="1">
        <f>+BB24*(1+TR)</f>
        <v>2656.45032369615</v>
      </c>
      <c r="BD24" s="1">
        <f>+BC24*(1+TR)</f>
        <v>2629.8858204591884</v>
      </c>
      <c r="BE24" s="1">
        <f>+BD24*(1+TR)</f>
        <v>2603.5869622545965</v>
      </c>
      <c r="BF24" s="1">
        <f>+BE24*(1+TR)</f>
        <v>2577.5510926320503</v>
      </c>
      <c r="BG24" s="1">
        <f>+BF24*(1+TR)</f>
        <v>2551.7755817057296</v>
      </c>
      <c r="BH24" s="1">
        <f>+BG24*(1+TR)</f>
        <v>2526.2578258886724</v>
      </c>
      <c r="BI24" s="1">
        <f>+BH24*(1+TR)</f>
        <v>2500.9952476297858</v>
      </c>
      <c r="BJ24" s="1">
        <f>+BI24*(1+TR)</f>
        <v>2475.9852951534881</v>
      </c>
      <c r="BK24" s="1">
        <f>+BJ24*(1+TR)</f>
        <v>2451.2254422019532</v>
      </c>
      <c r="BL24" s="1">
        <f>+BK24*(1+TR)</f>
        <v>2426.7131877799338</v>
      </c>
      <c r="BM24" s="1">
        <f>+BL24*(1+TR)</f>
        <v>2402.4460559021345</v>
      </c>
      <c r="BN24" s="1">
        <f>+BM24*(1+TR)</f>
        <v>2378.421595343113</v>
      </c>
      <c r="BO24" s="1">
        <f>+BN24*(1+TR)</f>
        <v>2354.6373793896819</v>
      </c>
      <c r="BP24" s="1">
        <f>+BO24*(1+TR)</f>
        <v>2331.0910055957852</v>
      </c>
      <c r="BQ24" s="1">
        <f>+BP24*(1+TR)</f>
        <v>2307.7800955398275</v>
      </c>
      <c r="BR24" s="1">
        <f>+BQ24*(1+TR)</f>
        <v>2284.7022945844292</v>
      </c>
      <c r="BS24" s="1">
        <f>+BR24*(1+TR)</f>
        <v>2261.8552716385848</v>
      </c>
      <c r="BT24" s="1">
        <f>+BS24*(1+TR)</f>
        <v>2239.2367189221991</v>
      </c>
      <c r="BU24" s="1">
        <f>+BT24*(1+TR)</f>
        <v>2216.844351732977</v>
      </c>
      <c r="BV24" s="1">
        <f>+BU24*(1+TR)</f>
        <v>2194.6759082156473</v>
      </c>
      <c r="BW24" s="1">
        <f>+BV24*(1+TR)</f>
        <v>2172.7291491334909</v>
      </c>
      <c r="BX24" s="1">
        <f>+BW24*(1+TR)</f>
        <v>2151.0018576421558</v>
      </c>
      <c r="BY24" s="1">
        <f>+BX24*(1+TR)</f>
        <v>2129.491839065734</v>
      </c>
      <c r="BZ24" s="1">
        <f>+BY24*(1+TR)</f>
        <v>2108.1969206750764</v>
      </c>
      <c r="CA24" s="1">
        <f>+BZ24*(1+TR)</f>
        <v>2087.1149514683257</v>
      </c>
      <c r="CB24" s="1">
        <f>+CA24*(1+TR)</f>
        <v>2066.2438019536426</v>
      </c>
      <c r="CC24" s="1">
        <f>+CB24*(1+TR)</f>
        <v>2045.5813639341061</v>
      </c>
      <c r="CD24" s="1">
        <f>+CC24*(1+TR)</f>
        <v>2025.1255502947649</v>
      </c>
      <c r="CE24" s="1">
        <f>+CD24*(1+TR)</f>
        <v>2004.8742947918172</v>
      </c>
      <c r="CF24" s="1">
        <f>+CE24*(1+TR)</f>
        <v>1984.8255518438989</v>
      </c>
      <c r="CG24" s="1">
        <f>+CF24*(1+TR)</f>
        <v>1964.97729632546</v>
      </c>
      <c r="CH24" s="1">
        <f>+CG24*(1+TR)</f>
        <v>1945.3275233622053</v>
      </c>
      <c r="CI24" s="1">
        <f>+CH24*(1+TR)</f>
        <v>1925.8742481285833</v>
      </c>
      <c r="CJ24" s="1">
        <f>+CI24*(1+TR)</f>
        <v>1906.6155056472974</v>
      </c>
      <c r="CK24" s="1">
        <f>+CJ24*(1+TR)</f>
        <v>1887.5493505908244</v>
      </c>
      <c r="CL24" s="1">
        <f>+CK24*(1+TR)</f>
        <v>1868.6738570849161</v>
      </c>
      <c r="CM24" s="1">
        <f>+CL24*(1+TR)</f>
        <v>1849.9871185140669</v>
      </c>
      <c r="CN24" s="1">
        <f>+CM24*(1+TR)</f>
        <v>1831.4872473289263</v>
      </c>
      <c r="CO24" s="1">
        <f>+CN24*(1+TR)</f>
        <v>1813.1723748556369</v>
      </c>
      <c r="CP24" s="1">
        <f>+CO24*(1+TR)</f>
        <v>1795.0406511070805</v>
      </c>
      <c r="CQ24" s="1">
        <f>+CP24*(1+TR)</f>
        <v>1777.0902445960096</v>
      </c>
      <c r="CR24" s="1">
        <f>+CQ24*(1+TR)</f>
        <v>1759.3193421500496</v>
      </c>
      <c r="CS24" s="1">
        <f>+CR24*(1+TR)</f>
        <v>1741.7261487285491</v>
      </c>
      <c r="CT24" s="1">
        <f>+CS24*(1+TR)</f>
        <v>1724.3088872412636</v>
      </c>
      <c r="CU24" s="1">
        <f>+CT24*(1+TR)</f>
        <v>1707.0657983688509</v>
      </c>
      <c r="CV24" s="1">
        <f>+CU24*(1+TR)</f>
        <v>1689.9951403851624</v>
      </c>
      <c r="CW24" s="1">
        <f>+CV24*(1+TR)</f>
        <v>1673.0951889813107</v>
      </c>
      <c r="CX24" s="1">
        <f>+CW24*(1+TR)</f>
        <v>1656.3642370914977</v>
      </c>
      <c r="CY24" s="1">
        <f>+CX24*(1+TR)</f>
        <v>1639.8005947205827</v>
      </c>
      <c r="CZ24" s="1">
        <f>+CY24*(1+TR)</f>
        <v>1623.4025887733769</v>
      </c>
      <c r="DA24" s="1">
        <f>+CZ24*(1+TR)</f>
        <v>1607.168562885643</v>
      </c>
      <c r="DB24" s="1">
        <f>+DA24*(1+TR)</f>
        <v>1591.0968772567867</v>
      </c>
      <c r="DC24" s="1">
        <f>+DB24*(1+TR)</f>
        <v>1575.1859084842188</v>
      </c>
      <c r="DD24" s="1">
        <f>+DC24*(1+TR)</f>
        <v>1559.4340493993766</v>
      </c>
      <c r="DE24" s="1">
        <f>+DD24*(1+TR)</f>
        <v>1543.8397089053828</v>
      </c>
      <c r="DF24" s="1">
        <f>+DE24*(1+TR)</f>
        <v>1528.4013118163291</v>
      </c>
      <c r="DG24" s="1">
        <f>+DF24*(1+TR)</f>
        <v>1513.1172986981658</v>
      </c>
      <c r="DH24" s="1">
        <f>+DG24*(1+TR)</f>
        <v>1497.9861257111841</v>
      </c>
      <c r="DI24" s="1">
        <f>+DH24*(1+TR)</f>
        <v>1483.0062644540722</v>
      </c>
      <c r="DJ24" s="1">
        <f>+DI24*(1+TR)</f>
        <v>1468.1762018095314</v>
      </c>
      <c r="DK24" s="1">
        <f>+DJ24*(1+TR)</f>
        <v>1453.4944397914362</v>
      </c>
      <c r="DL24" s="1">
        <f>+DK24*(1+TR)</f>
        <v>1438.9594953935218</v>
      </c>
      <c r="DM24" s="1">
        <f>+DL24*(1+TR)</f>
        <v>1424.5699004395865</v>
      </c>
      <c r="DN24" s="1">
        <f>+DM24*(1+TR)</f>
        <v>1410.3242014351906</v>
      </c>
      <c r="DO24" s="1">
        <f>+DN24*(1+TR)</f>
        <v>1396.2209594208387</v>
      </c>
      <c r="DP24" s="1">
        <f>+DO24*(1+TR)</f>
        <v>1382.2587498266303</v>
      </c>
      <c r="DQ24" s="1">
        <f>+DP24*(1+TR)</f>
        <v>1368.4361623283639</v>
      </c>
      <c r="DR24" s="1">
        <f>+DQ24*(1+TR)</f>
        <v>1354.7518007050803</v>
      </c>
      <c r="DS24" s="1">
        <f>+DR24*(1+TR)</f>
        <v>1341.2042826980296</v>
      </c>
      <c r="DT24" s="1">
        <f>+DS24*(1+TR)</f>
        <v>1327.7922398710493</v>
      </c>
      <c r="DU24" s="1">
        <f>+DT24*(1+TR)</f>
        <v>1314.5143174723389</v>
      </c>
    </row>
    <row r="25" spans="2:125" x14ac:dyDescent="0.25">
      <c r="B25" s="1" t="s">
        <v>35</v>
      </c>
      <c r="H25" s="1">
        <v>633.94028800000001</v>
      </c>
      <c r="I25" s="1">
        <v>633.94028800000001</v>
      </c>
      <c r="J25" s="1">
        <v>633.94028800000001</v>
      </c>
      <c r="K25" s="1">
        <v>633.94028800000001</v>
      </c>
      <c r="L25" s="1">
        <v>633.94028800000001</v>
      </c>
      <c r="M25" s="1">
        <v>633.94028800000001</v>
      </c>
      <c r="N25" s="1">
        <v>633.94028800000001</v>
      </c>
      <c r="O25" s="1">
        <v>633.94028800000001</v>
      </c>
      <c r="P25" s="1">
        <v>633.94028800000001</v>
      </c>
    </row>
    <row r="26" spans="2:125" s="5" customFormat="1" x14ac:dyDescent="0.25">
      <c r="B26" s="5" t="s">
        <v>36</v>
      </c>
      <c r="H26" s="5">
        <f>+H24/H25</f>
        <v>1.622865780065391</v>
      </c>
      <c r="I26" s="5">
        <f t="shared" ref="I26:P26" si="18">+I24/I25</f>
        <v>0.96642634039769604</v>
      </c>
      <c r="J26" s="5">
        <f t="shared" si="18"/>
        <v>1.576237232088632</v>
      </c>
      <c r="K26" s="5">
        <f t="shared" si="18"/>
        <v>2.227740527326068</v>
      </c>
      <c r="L26" s="5">
        <f t="shared" si="18"/>
        <v>2.9233829288082522</v>
      </c>
      <c r="M26" s="5">
        <f t="shared" si="18"/>
        <v>3.665749082273615</v>
      </c>
      <c r="N26" s="5">
        <f t="shared" si="18"/>
        <v>4.4575693334882729</v>
      </c>
      <c r="O26" s="5">
        <f t="shared" si="18"/>
        <v>5.3017279249435605</v>
      </c>
      <c r="P26" s="5">
        <f t="shared" si="18"/>
        <v>6.2012716574434021</v>
      </c>
    </row>
    <row r="28" spans="2:125" s="3" customFormat="1" x14ac:dyDescent="0.25">
      <c r="B28" s="3" t="s">
        <v>17</v>
      </c>
      <c r="F28" s="3">
        <f>+F18/F10</f>
        <v>0.22861966324581279</v>
      </c>
      <c r="G28" s="3">
        <f>+G18/G10</f>
        <v>3.6666278663717841E-2</v>
      </c>
      <c r="H28" s="3">
        <f>+H18/H10</f>
        <v>4.1871410234801398E-2</v>
      </c>
      <c r="I28" s="3">
        <f t="shared" ref="I28:P28" si="19">+I18/I10</f>
        <v>5.2628295186466487E-2</v>
      </c>
      <c r="J28" s="3">
        <f t="shared" si="19"/>
        <v>6.5176485365972689E-2</v>
      </c>
      <c r="K28" s="3">
        <f t="shared" si="19"/>
        <v>7.7330237989621617E-2</v>
      </c>
      <c r="L28" s="3">
        <f t="shared" si="19"/>
        <v>8.9102413474851858E-2</v>
      </c>
      <c r="M28" s="3">
        <f t="shared" si="19"/>
        <v>0.10050540773411057</v>
      </c>
      <c r="N28" s="3">
        <f t="shared" si="19"/>
        <v>0.11155117182517338</v>
      </c>
      <c r="O28" s="3">
        <f t="shared" si="19"/>
        <v>0.12225123062947209</v>
      </c>
      <c r="P28" s="3">
        <f t="shared" si="19"/>
        <v>0.13261670061238323</v>
      </c>
    </row>
    <row r="29" spans="2:125" s="3" customFormat="1" x14ac:dyDescent="0.25">
      <c r="B29" s="3" t="s">
        <v>15</v>
      </c>
      <c r="F29" s="3">
        <f>+F24/F10</f>
        <v>0.1651561597583189</v>
      </c>
      <c r="G29" s="3">
        <f>+G24/G10</f>
        <v>-4.2195320684437201E-3</v>
      </c>
      <c r="H29" s="3">
        <f>+H24/H10</f>
        <v>3.3346730801643951E-2</v>
      </c>
      <c r="I29" s="3">
        <f t="shared" ref="I29:P29" si="20">+I24/I10</f>
        <v>1.8277562202734392E-2</v>
      </c>
      <c r="J29" s="3">
        <f t="shared" si="20"/>
        <v>2.8354679836015258E-2</v>
      </c>
      <c r="K29" s="3">
        <f t="shared" si="20"/>
        <v>3.8115405225493525E-2</v>
      </c>
      <c r="L29" s="3">
        <f t="shared" si="20"/>
        <v>4.7570023587984366E-2</v>
      </c>
      <c r="M29" s="3">
        <f t="shared" si="20"/>
        <v>5.6728450651667546E-2</v>
      </c>
      <c r="N29" s="3">
        <f t="shared" si="20"/>
        <v>6.5600248184822088E-2</v>
      </c>
      <c r="O29" s="3">
        <f t="shared" si="20"/>
        <v>7.419463876027875E-2</v>
      </c>
      <c r="P29" s="3">
        <f t="shared" si="20"/>
        <v>8.252051979791912E-2</v>
      </c>
      <c r="R29" s="3" t="s">
        <v>37</v>
      </c>
      <c r="S29" s="6">
        <f>6.5%+2%</f>
        <v>8.5000000000000006E-2</v>
      </c>
    </row>
    <row r="30" spans="2:125" s="3" customFormat="1" x14ac:dyDescent="0.25">
      <c r="B30" s="3" t="s">
        <v>16</v>
      </c>
      <c r="G30" s="3">
        <f>+G13/F13 -1</f>
        <v>-0.22558225669404564</v>
      </c>
      <c r="H30" s="3">
        <f>+H13/G13 -1</f>
        <v>-0.10359825573217041</v>
      </c>
      <c r="I30" s="3">
        <f t="shared" ref="I30:P30" si="21">+I13/H13 -1</f>
        <v>8.4017029840628421E-2</v>
      </c>
      <c r="J30" s="3">
        <f t="shared" si="21"/>
        <v>5.0410326443155462E-2</v>
      </c>
      <c r="K30" s="3">
        <f t="shared" si="21"/>
        <v>5.0476112832825937E-2</v>
      </c>
      <c r="L30" s="3">
        <f t="shared" si="21"/>
        <v>5.0542980537205073E-2</v>
      </c>
      <c r="M30" s="3">
        <f t="shared" si="21"/>
        <v>5.061081328728978E-2</v>
      </c>
      <c r="N30" s="3">
        <f t="shared" si="21"/>
        <v>5.0679502485328598E-2</v>
      </c>
      <c r="O30" s="3">
        <f t="shared" si="21"/>
        <v>5.0748946749715085E-2</v>
      </c>
      <c r="P30" s="3">
        <f t="shared" si="21"/>
        <v>5.0819051486460154E-2</v>
      </c>
      <c r="R30" s="3" t="s">
        <v>38</v>
      </c>
      <c r="S30" s="3">
        <v>-0.01</v>
      </c>
    </row>
    <row r="31" spans="2:125" x14ac:dyDescent="0.25">
      <c r="R31" s="1" t="s">
        <v>39</v>
      </c>
      <c r="S31" s="1">
        <f>NPV(S29,H24:DU24)</f>
        <v>30818.374478756043</v>
      </c>
    </row>
    <row r="32" spans="2:125" x14ac:dyDescent="0.25">
      <c r="B32" s="1" t="s">
        <v>18</v>
      </c>
      <c r="F32" s="1">
        <v>9314</v>
      </c>
      <c r="G32" s="1">
        <v>3006</v>
      </c>
      <c r="H32" s="1">
        <f>1301*1.3</f>
        <v>1691.3</v>
      </c>
      <c r="R32" s="1" t="s">
        <v>40</v>
      </c>
      <c r="S32" s="1">
        <f>+H41-H43</f>
        <v>-11509</v>
      </c>
    </row>
    <row r="33" spans="2:19" x14ac:dyDescent="0.25">
      <c r="B33" s="1" t="s">
        <v>19</v>
      </c>
      <c r="F33" s="1">
        <v>4213</v>
      </c>
      <c r="G33" s="1">
        <v>4988</v>
      </c>
      <c r="H33" s="1">
        <f>2326*1.3</f>
        <v>3023.8</v>
      </c>
      <c r="R33" s="1" t="s">
        <v>41</v>
      </c>
      <c r="S33" s="1">
        <f>+S31+S32</f>
        <v>19309.374478756043</v>
      </c>
    </row>
    <row r="34" spans="2:19" x14ac:dyDescent="0.25">
      <c r="B34" s="1" t="s">
        <v>20</v>
      </c>
      <c r="F34" s="1">
        <f>+F32-F33</f>
        <v>5101</v>
      </c>
      <c r="G34" s="1">
        <f>+G32-G33</f>
        <v>-1982</v>
      </c>
      <c r="H34" s="1">
        <f>+H32-H33</f>
        <v>-1332.5000000000002</v>
      </c>
    </row>
    <row r="36" spans="2:19" x14ac:dyDescent="0.25">
      <c r="B36" s="1" t="s">
        <v>21</v>
      </c>
      <c r="F36" s="1">
        <v>26645</v>
      </c>
      <c r="G36" s="1">
        <v>21455</v>
      </c>
    </row>
    <row r="37" spans="2:19" x14ac:dyDescent="0.25">
      <c r="B37" s="1" t="s">
        <v>22</v>
      </c>
      <c r="F37" s="1">
        <v>11832</v>
      </c>
      <c r="G37" s="1">
        <v>10576</v>
      </c>
    </row>
    <row r="38" spans="2:19" x14ac:dyDescent="0.25">
      <c r="B38" s="1" t="s">
        <v>23</v>
      </c>
      <c r="F38" s="1">
        <f>+F36-F37</f>
        <v>14813</v>
      </c>
      <c r="G38" s="1">
        <f>+G36-G37</f>
        <v>10879</v>
      </c>
    </row>
    <row r="39" spans="2:19" x14ac:dyDescent="0.25">
      <c r="B39" s="1" t="s">
        <v>24</v>
      </c>
      <c r="G39" s="1">
        <f>+G38-F38</f>
        <v>-3934</v>
      </c>
    </row>
    <row r="41" spans="2:19" x14ac:dyDescent="0.25">
      <c r="B41" s="1" t="s">
        <v>25</v>
      </c>
      <c r="F41" s="1">
        <f>9255+408</f>
        <v>9663</v>
      </c>
      <c r="G41" s="1">
        <f>6367+388</f>
        <v>6755</v>
      </c>
      <c r="H41" s="1">
        <v>6521</v>
      </c>
    </row>
    <row r="42" spans="2:19" x14ac:dyDescent="0.25">
      <c r="B42" s="1" t="s">
        <v>26</v>
      </c>
      <c r="F42" s="1">
        <v>19520</v>
      </c>
      <c r="G42" s="1">
        <v>22754</v>
      </c>
      <c r="H42" s="1">
        <v>23631</v>
      </c>
    </row>
    <row r="43" spans="2:19" x14ac:dyDescent="0.25">
      <c r="B43" s="1" t="s">
        <v>27</v>
      </c>
      <c r="F43" s="1">
        <f>10331+204+1742</f>
        <v>12277</v>
      </c>
      <c r="G43" s="1">
        <f>13509+1231+1466</f>
        <v>16206</v>
      </c>
      <c r="H43" s="1">
        <f>15106+1354+1570</f>
        <v>18030</v>
      </c>
    </row>
    <row r="44" spans="2:19" x14ac:dyDescent="0.25">
      <c r="B44" s="1" t="s">
        <v>28</v>
      </c>
      <c r="F44" s="1">
        <f>+F41+F42-F43</f>
        <v>16906</v>
      </c>
      <c r="G44" s="1">
        <f>+G41+G42-G43</f>
        <v>13303</v>
      </c>
      <c r="H44" s="1">
        <f>+H41+H42-H43</f>
        <v>12122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2024-11-29T13:54:33Z</dcterms:created>
  <dcterms:modified xsi:type="dcterms:W3CDTF">2024-11-29T15:06:32Z</dcterms:modified>
</cp:coreProperties>
</file>