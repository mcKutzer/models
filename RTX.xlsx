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0195B74C-C89B-42CF-8765-179F382B7DAC}" xr6:coauthVersionLast="47" xr6:coauthVersionMax="47" xr10:uidLastSave="{00000000-0000-0000-0000-000000000000}"/>
  <bookViews>
    <workbookView xWindow="-120" yWindow="-120" windowWidth="29040" windowHeight="15840" activeTab="1" xr2:uid="{73A51436-F96B-4A32-80D9-1E0149C35621}"/>
  </bookViews>
  <sheets>
    <sheet name="Sheet1" sheetId="1" r:id="rId1"/>
    <sheet name="Model" sheetId="2" r:id="rId2"/>
  </sheets>
  <definedNames>
    <definedName name="TR">Model!$AH$35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5" i="2" l="1"/>
  <c r="M44" i="2"/>
  <c r="Z11" i="2"/>
  <c r="AA11" i="2"/>
  <c r="AB11" i="2"/>
  <c r="AC11" i="2"/>
  <c r="AD11" i="2"/>
  <c r="AE11" i="2"/>
  <c r="AE33" i="2" s="1"/>
  <c r="Y11" i="2"/>
  <c r="Y33" i="2" s="1"/>
  <c r="W33" i="2"/>
  <c r="X33" i="2"/>
  <c r="Z33" i="2"/>
  <c r="AA33" i="2"/>
  <c r="AB33" i="2"/>
  <c r="AC33" i="2"/>
  <c r="AD33" i="2"/>
  <c r="W34" i="2"/>
  <c r="X34" i="2"/>
  <c r="Y34" i="2"/>
  <c r="Z34" i="2"/>
  <c r="AA34" i="2"/>
  <c r="AB34" i="2"/>
  <c r="AC34" i="2"/>
  <c r="AD34" i="2"/>
  <c r="AE34" i="2"/>
  <c r="V34" i="2"/>
  <c r="V33" i="2"/>
  <c r="D33" i="2"/>
  <c r="E33" i="2"/>
  <c r="F33" i="2"/>
  <c r="G33" i="2"/>
  <c r="D34" i="2"/>
  <c r="E34" i="2"/>
  <c r="F34" i="2"/>
  <c r="G34" i="2"/>
  <c r="I33" i="2"/>
  <c r="J33" i="2"/>
  <c r="K33" i="2"/>
  <c r="L33" i="2"/>
  <c r="M33" i="2"/>
  <c r="I34" i="2"/>
  <c r="J34" i="2"/>
  <c r="K34" i="2"/>
  <c r="L34" i="2"/>
  <c r="M34" i="2"/>
  <c r="H34" i="2"/>
  <c r="H33" i="2"/>
  <c r="X10" i="2"/>
  <c r="X9" i="2"/>
  <c r="Y9" i="2" s="1"/>
  <c r="Y10" i="2" s="1"/>
  <c r="X21" i="2"/>
  <c r="X23" i="2"/>
  <c r="X20" i="2"/>
  <c r="X19" i="2"/>
  <c r="X17" i="2"/>
  <c r="X16" i="2"/>
  <c r="X15" i="2"/>
  <c r="X12" i="2"/>
  <c r="X11" i="2"/>
  <c r="X25" i="2"/>
  <c r="Y20" i="2"/>
  <c r="Z20" i="2" s="1"/>
  <c r="AA20" i="2" s="1"/>
  <c r="AB20" i="2" s="1"/>
  <c r="AC20" i="2" s="1"/>
  <c r="AD20" i="2" s="1"/>
  <c r="AE20" i="2" s="1"/>
  <c r="Y15" i="2"/>
  <c r="Z15" i="2" s="1"/>
  <c r="X8" i="2"/>
  <c r="M26" i="2"/>
  <c r="L26" i="2"/>
  <c r="M14" i="2"/>
  <c r="M13" i="2"/>
  <c r="M17" i="2"/>
  <c r="M10" i="2"/>
  <c r="L13" i="2"/>
  <c r="Y25" i="2"/>
  <c r="Z25" i="2" s="1"/>
  <c r="AA25" i="2" s="1"/>
  <c r="AB25" i="2" s="1"/>
  <c r="AC25" i="2" s="1"/>
  <c r="AD25" i="2" s="1"/>
  <c r="AE25" i="2" s="1"/>
  <c r="Y21" i="2"/>
  <c r="Z21" i="2" s="1"/>
  <c r="AA21" i="2" s="1"/>
  <c r="AB21" i="2" s="1"/>
  <c r="AC21" i="2" s="1"/>
  <c r="AD21" i="2" s="1"/>
  <c r="AE21" i="2" s="1"/>
  <c r="Y16" i="2"/>
  <c r="Z16" i="2" s="1"/>
  <c r="AA16" i="2" s="1"/>
  <c r="AB16" i="2" s="1"/>
  <c r="AC16" i="2" s="1"/>
  <c r="AD16" i="2" s="1"/>
  <c r="AE16" i="2" s="1"/>
  <c r="Y8" i="2"/>
  <c r="V35" i="2"/>
  <c r="W35" i="2"/>
  <c r="H6" i="2"/>
  <c r="I6" i="2"/>
  <c r="J6" i="2"/>
  <c r="H5" i="2"/>
  <c r="W5" i="2" s="1"/>
  <c r="B5" i="2" s="1"/>
  <c r="I5" i="2"/>
  <c r="J5" i="2"/>
  <c r="H4" i="2"/>
  <c r="I4" i="2"/>
  <c r="J4" i="2"/>
  <c r="H3" i="2"/>
  <c r="W3" i="2" s="1"/>
  <c r="B3" i="2" s="1"/>
  <c r="I3" i="2"/>
  <c r="J3" i="2"/>
  <c r="W4" i="2"/>
  <c r="B4" i="2" s="1"/>
  <c r="C7" i="1"/>
  <c r="C12" i="1"/>
  <c r="C17" i="1"/>
  <c r="C22" i="1"/>
  <c r="D12" i="1"/>
  <c r="D17" i="1"/>
  <c r="D22" i="1"/>
  <c r="D7" i="1"/>
  <c r="E7" i="1"/>
  <c r="E12" i="1"/>
  <c r="E17" i="1"/>
  <c r="E22" i="1"/>
  <c r="F22" i="1"/>
  <c r="F17" i="1"/>
  <c r="F12" i="1"/>
  <c r="F7" i="1"/>
  <c r="W39" i="2"/>
  <c r="V39" i="2"/>
  <c r="U39" i="2"/>
  <c r="K29" i="2"/>
  <c r="K25" i="2"/>
  <c r="K23" i="2"/>
  <c r="K21" i="2"/>
  <c r="K20" i="2"/>
  <c r="K19" i="2"/>
  <c r="K16" i="2"/>
  <c r="K15" i="2"/>
  <c r="K17" i="2" s="1"/>
  <c r="K12" i="2"/>
  <c r="K30" i="2" s="1"/>
  <c r="K11" i="2"/>
  <c r="K9" i="2"/>
  <c r="K8" i="2"/>
  <c r="G25" i="2"/>
  <c r="G23" i="2"/>
  <c r="G20" i="2"/>
  <c r="G19" i="2"/>
  <c r="G16" i="2"/>
  <c r="G15" i="2"/>
  <c r="G12" i="2"/>
  <c r="G11" i="2"/>
  <c r="G9" i="2"/>
  <c r="G8" i="2"/>
  <c r="G10" i="2" s="1"/>
  <c r="V44" i="2"/>
  <c r="V45" i="2" s="1"/>
  <c r="W44" i="2"/>
  <c r="W45" i="2" s="1"/>
  <c r="U30" i="2"/>
  <c r="U29" i="2"/>
  <c r="V30" i="2"/>
  <c r="V29" i="2"/>
  <c r="W30" i="2"/>
  <c r="W29" i="2"/>
  <c r="V21" i="2"/>
  <c r="G21" i="2" s="1"/>
  <c r="V10" i="2"/>
  <c r="W10" i="2"/>
  <c r="V13" i="2"/>
  <c r="W13" i="2"/>
  <c r="V17" i="2"/>
  <c r="W17" i="2"/>
  <c r="V1" i="2"/>
  <c r="W1" i="2" s="1"/>
  <c r="X1" i="2" s="1"/>
  <c r="Y1" i="2" s="1"/>
  <c r="Z1" i="2" s="1"/>
  <c r="AA1" i="2" s="1"/>
  <c r="AB1" i="2" s="1"/>
  <c r="AC1" i="2" s="1"/>
  <c r="AD1" i="2" s="1"/>
  <c r="AE1" i="2" s="1"/>
  <c r="U17" i="2"/>
  <c r="U13" i="2"/>
  <c r="U10" i="2"/>
  <c r="F30" i="2"/>
  <c r="F29" i="2"/>
  <c r="J30" i="2"/>
  <c r="J29" i="2"/>
  <c r="I38" i="2"/>
  <c r="J38" i="2" s="1"/>
  <c r="E38" i="2"/>
  <c r="F38" i="2" s="1"/>
  <c r="E37" i="2"/>
  <c r="E39" i="2" s="1"/>
  <c r="I37" i="2"/>
  <c r="J37" i="2" s="1"/>
  <c r="I29" i="2"/>
  <c r="I30" i="2"/>
  <c r="E29" i="2"/>
  <c r="E30" i="2"/>
  <c r="K39" i="2"/>
  <c r="H39" i="2"/>
  <c r="G39" i="2"/>
  <c r="D39" i="2"/>
  <c r="H30" i="2"/>
  <c r="H29" i="2"/>
  <c r="D30" i="2"/>
  <c r="D29" i="2"/>
  <c r="E10" i="2"/>
  <c r="F10" i="2"/>
  <c r="H10" i="2"/>
  <c r="I10" i="2"/>
  <c r="J10" i="2"/>
  <c r="L10" i="2"/>
  <c r="E13" i="2"/>
  <c r="F13" i="2"/>
  <c r="H13" i="2"/>
  <c r="I13" i="2"/>
  <c r="J13" i="2"/>
  <c r="E17" i="2"/>
  <c r="F17" i="2"/>
  <c r="H17" i="2"/>
  <c r="I17" i="2"/>
  <c r="J17" i="2"/>
  <c r="L17" i="2"/>
  <c r="D17" i="2"/>
  <c r="D13" i="2"/>
  <c r="D10" i="2"/>
  <c r="Y29" i="2" l="1"/>
  <c r="Y12" i="2"/>
  <c r="Y13" i="2" s="1"/>
  <c r="Y14" i="2" s="1"/>
  <c r="Y28" i="2" s="1"/>
  <c r="X13" i="2"/>
  <c r="Z17" i="2"/>
  <c r="AA15" i="2"/>
  <c r="AB15" i="2" s="1"/>
  <c r="AC15" i="2" s="1"/>
  <c r="AD15" i="2" s="1"/>
  <c r="AE15" i="2" s="1"/>
  <c r="Z9" i="2"/>
  <c r="Z10" i="2" s="1"/>
  <c r="Y30" i="2"/>
  <c r="Z8" i="2"/>
  <c r="M18" i="2"/>
  <c r="M22" i="2" s="1"/>
  <c r="M24" i="2" s="1"/>
  <c r="Y17" i="2"/>
  <c r="AB17" i="2"/>
  <c r="AA17" i="2"/>
  <c r="W6" i="2"/>
  <c r="B6" i="2" s="1"/>
  <c r="X29" i="2"/>
  <c r="X30" i="2"/>
  <c r="J39" i="2"/>
  <c r="F37" i="2"/>
  <c r="F39" i="2" s="1"/>
  <c r="K10" i="2"/>
  <c r="G30" i="2"/>
  <c r="W14" i="2"/>
  <c r="W28" i="2" s="1"/>
  <c r="L14" i="2"/>
  <c r="L18" i="2" s="1"/>
  <c r="G29" i="2"/>
  <c r="K13" i="2"/>
  <c r="K14" i="2"/>
  <c r="G17" i="2"/>
  <c r="G13" i="2"/>
  <c r="G14" i="2" s="1"/>
  <c r="V14" i="2"/>
  <c r="U14" i="2"/>
  <c r="J14" i="2"/>
  <c r="F14" i="2"/>
  <c r="I39" i="2"/>
  <c r="I14" i="2"/>
  <c r="E14" i="2"/>
  <c r="H14" i="2"/>
  <c r="D14" i="2"/>
  <c r="X14" i="2" l="1"/>
  <c r="X18" i="2" s="1"/>
  <c r="X22" i="2" s="1"/>
  <c r="X24" i="2" s="1"/>
  <c r="AA9" i="2"/>
  <c r="Z12" i="2"/>
  <c r="Z30" i="2" s="1"/>
  <c r="AA8" i="2"/>
  <c r="Z13" i="2"/>
  <c r="Z14" i="2" s="1"/>
  <c r="Y18" i="2"/>
  <c r="Y22" i="2" s="1"/>
  <c r="Y23" i="2" s="1"/>
  <c r="Y24" i="2" s="1"/>
  <c r="AC17" i="2"/>
  <c r="AA10" i="2"/>
  <c r="W18" i="2"/>
  <c r="W22" i="2" s="1"/>
  <c r="W24" i="2" s="1"/>
  <c r="W26" i="2"/>
  <c r="W31" i="2"/>
  <c r="L22" i="2"/>
  <c r="L24" i="2" s="1"/>
  <c r="D18" i="2"/>
  <c r="D28" i="2"/>
  <c r="K18" i="2"/>
  <c r="K22" i="2" s="1"/>
  <c r="K24" i="2" s="1"/>
  <c r="K28" i="2"/>
  <c r="F18" i="2"/>
  <c r="F22" i="2" s="1"/>
  <c r="F24" i="2" s="1"/>
  <c r="F28" i="2"/>
  <c r="G18" i="2"/>
  <c r="G22" i="2" s="1"/>
  <c r="G24" i="2" s="1"/>
  <c r="G28" i="2"/>
  <c r="I18" i="2"/>
  <c r="I28" i="2"/>
  <c r="E18" i="2"/>
  <c r="E22" i="2" s="1"/>
  <c r="E24" i="2" s="1"/>
  <c r="E28" i="2"/>
  <c r="U18" i="2"/>
  <c r="U28" i="2"/>
  <c r="J18" i="2"/>
  <c r="J22" i="2" s="1"/>
  <c r="J24" i="2" s="1"/>
  <c r="J28" i="2"/>
  <c r="H18" i="2"/>
  <c r="H28" i="2"/>
  <c r="V18" i="2"/>
  <c r="V22" i="2" s="1"/>
  <c r="V24" i="2" s="1"/>
  <c r="V28" i="2"/>
  <c r="I22" i="2"/>
  <c r="I24" i="2" s="1"/>
  <c r="AB9" i="2" l="1"/>
  <c r="AA12" i="2"/>
  <c r="AA30" i="2" s="1"/>
  <c r="Z28" i="2"/>
  <c r="Z18" i="2"/>
  <c r="Z22" i="2" s="1"/>
  <c r="Z23" i="2" s="1"/>
  <c r="Z24" i="2" s="1"/>
  <c r="Z35" i="2" s="1"/>
  <c r="Z29" i="2"/>
  <c r="AB8" i="2"/>
  <c r="Y26" i="2"/>
  <c r="Y31" i="2"/>
  <c r="AE17" i="2"/>
  <c r="AD17" i="2"/>
  <c r="X28" i="2"/>
  <c r="G26" i="2"/>
  <c r="G31" i="2"/>
  <c r="F31" i="2"/>
  <c r="F26" i="2"/>
  <c r="J31" i="2"/>
  <c r="J26" i="2"/>
  <c r="D22" i="2"/>
  <c r="D24" i="2" s="1"/>
  <c r="V31" i="2"/>
  <c r="V26" i="2"/>
  <c r="K26" i="2"/>
  <c r="K31" i="2"/>
  <c r="U22" i="2"/>
  <c r="U24" i="2" s="1"/>
  <c r="H22" i="2"/>
  <c r="H24" i="2" s="1"/>
  <c r="I26" i="2"/>
  <c r="I31" i="2"/>
  <c r="E31" i="2"/>
  <c r="E26" i="2"/>
  <c r="AC9" i="2" l="1"/>
  <c r="AB12" i="2"/>
  <c r="AB30" i="2" s="1"/>
  <c r="AA29" i="2"/>
  <c r="AA13" i="2"/>
  <c r="AA14" i="2" s="1"/>
  <c r="AC8" i="2"/>
  <c r="AB13" i="2"/>
  <c r="AB29" i="2"/>
  <c r="AB10" i="2"/>
  <c r="AB14" i="2" s="1"/>
  <c r="AB18" i="2" s="1"/>
  <c r="AB22" i="2" s="1"/>
  <c r="AB23" i="2" s="1"/>
  <c r="AB24" i="2" s="1"/>
  <c r="X35" i="2"/>
  <c r="Y35" i="2"/>
  <c r="Z26" i="2"/>
  <c r="Z31" i="2"/>
  <c r="X31" i="2"/>
  <c r="X26" i="2"/>
  <c r="U31" i="2"/>
  <c r="U26" i="2"/>
  <c r="D31" i="2"/>
  <c r="D26" i="2"/>
  <c r="H26" i="2"/>
  <c r="H31" i="2"/>
  <c r="AB28" i="2" l="1"/>
  <c r="AD9" i="2"/>
  <c r="AC12" i="2"/>
  <c r="AC30" i="2" s="1"/>
  <c r="AD8" i="2"/>
  <c r="AC13" i="2"/>
  <c r="AC10" i="2"/>
  <c r="AC14" i="2" s="1"/>
  <c r="AC18" i="2" s="1"/>
  <c r="AC22" i="2" s="1"/>
  <c r="AC23" i="2" s="1"/>
  <c r="AC24" i="2" s="1"/>
  <c r="AC35" i="2" s="1"/>
  <c r="AA28" i="2"/>
  <c r="AA18" i="2"/>
  <c r="AA22" i="2" s="1"/>
  <c r="AA23" i="2" s="1"/>
  <c r="AA24" i="2" s="1"/>
  <c r="AB26" i="2"/>
  <c r="AB31" i="2"/>
  <c r="AE9" i="2" l="1"/>
  <c r="AD12" i="2"/>
  <c r="AD30" i="2"/>
  <c r="AC28" i="2"/>
  <c r="AA35" i="2"/>
  <c r="AA26" i="2"/>
  <c r="AA31" i="2"/>
  <c r="AD13" i="2"/>
  <c r="AE8" i="2"/>
  <c r="AC29" i="2"/>
  <c r="AD10" i="2"/>
  <c r="AD14" i="2" s="1"/>
  <c r="AD18" i="2" s="1"/>
  <c r="AD22" i="2" s="1"/>
  <c r="AB35" i="2"/>
  <c r="AC26" i="2"/>
  <c r="AC31" i="2"/>
  <c r="AD28" i="2" l="1"/>
  <c r="AE12" i="2"/>
  <c r="AE30" i="2"/>
  <c r="AD23" i="2"/>
  <c r="AD24" i="2" s="1"/>
  <c r="AE13" i="2"/>
  <c r="AE10" i="2"/>
  <c r="AD29" i="2"/>
  <c r="AE14" i="2" l="1"/>
  <c r="AE28" i="2" s="1"/>
  <c r="AD35" i="2"/>
  <c r="AD31" i="2"/>
  <c r="AD26" i="2"/>
  <c r="AE29" i="2"/>
  <c r="AE18" i="2" l="1"/>
  <c r="AE22" i="2" s="1"/>
  <c r="AE23" i="2" s="1"/>
  <c r="AE24" i="2" s="1"/>
  <c r="AE35" i="2" l="1"/>
  <c r="AE26" i="2"/>
  <c r="AF24" i="2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AE31" i="2"/>
  <c r="AH36" i="2" l="1"/>
  <c r="AH37" i="2" s="1"/>
</calcChain>
</file>

<file path=xl/sharedStrings.xml><?xml version="1.0" encoding="utf-8"?>
<sst xmlns="http://schemas.openxmlformats.org/spreadsheetml/2006/main" count="93" uniqueCount="76">
  <si>
    <t>Product Sales</t>
  </si>
  <si>
    <t>Service Sales</t>
  </si>
  <si>
    <t>Revenue</t>
  </si>
  <si>
    <t>Product Cost</t>
  </si>
  <si>
    <t>Service Cost</t>
  </si>
  <si>
    <t>Gross Profit</t>
  </si>
  <si>
    <t>R&amp;D</t>
  </si>
  <si>
    <t>SG&amp;A</t>
  </si>
  <si>
    <t>Operating Expense</t>
  </si>
  <si>
    <t>Operating Income</t>
  </si>
  <si>
    <t>Other Income</t>
  </si>
  <si>
    <t>Interest Expense</t>
  </si>
  <si>
    <t>Pretax</t>
  </si>
  <si>
    <t>Taxes</t>
  </si>
  <si>
    <t>Net Income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</si>
  <si>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</si>
  <si>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</si>
  <si>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</si>
  <si>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</si>
  <si>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</si>
  <si>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</si>
  <si>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</si>
  <si>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</si>
  <si>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</si>
  <si>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</si>
  <si>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</si>
  <si>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</si>
  <si>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COGS</t>
  </si>
  <si>
    <t xml:space="preserve">Pension </t>
  </si>
  <si>
    <t>Shares</t>
  </si>
  <si>
    <t>EPS</t>
  </si>
  <si>
    <t>Gross Margin</t>
  </si>
  <si>
    <t>Net Margin</t>
  </si>
  <si>
    <t>Product Margin</t>
  </si>
  <si>
    <t>Serice Margin</t>
  </si>
  <si>
    <t>Cash</t>
  </si>
  <si>
    <t>AR</t>
  </si>
  <si>
    <t>PP&amp;E</t>
  </si>
  <si>
    <t>CFFO</t>
  </si>
  <si>
    <t>CapEx</t>
  </si>
  <si>
    <t>FCF</t>
  </si>
  <si>
    <t>Debt</t>
  </si>
  <si>
    <t>NAV</t>
  </si>
  <si>
    <t>Segments:</t>
  </si>
  <si>
    <t xml:space="preserve">Aerospace: </t>
  </si>
  <si>
    <t>Profit</t>
  </si>
  <si>
    <t>Pratt&amp;Whitney</t>
  </si>
  <si>
    <t>Raytheon Intelligence &amp; Space</t>
  </si>
  <si>
    <t>Margin</t>
  </si>
  <si>
    <t>Raytheon Missiles &amp; Defense</t>
  </si>
  <si>
    <t>Outlook:</t>
  </si>
  <si>
    <t>FY23</t>
  </si>
  <si>
    <t>Sales</t>
  </si>
  <si>
    <t>4,9-5,05</t>
  </si>
  <si>
    <t>72-73bn</t>
  </si>
  <si>
    <t>4,8bn</t>
  </si>
  <si>
    <t>exp growth</t>
  </si>
  <si>
    <t>10-13%</t>
  </si>
  <si>
    <t>12-16%</t>
  </si>
  <si>
    <t>3-6%</t>
  </si>
  <si>
    <t>Aerospace</t>
  </si>
  <si>
    <t>Ratt&amp;Whitney</t>
  </si>
  <si>
    <t>Intel&amp;Space</t>
  </si>
  <si>
    <t>Missile&amp;Defense</t>
  </si>
  <si>
    <t>Labor costs are a burden</t>
  </si>
  <si>
    <t>Flight Market is important</t>
  </si>
  <si>
    <t>Net Income Y/Y</t>
  </si>
  <si>
    <t>Orderbook of 175bn</t>
  </si>
  <si>
    <t>70bn within defense</t>
  </si>
  <si>
    <t>driving margin imporvement</t>
  </si>
  <si>
    <t>Digitilization, Automation in the factory#</t>
  </si>
  <si>
    <t>Discount</t>
  </si>
  <si>
    <t>Terminal</t>
  </si>
  <si>
    <t>NPV</t>
  </si>
  <si>
    <t>Price</t>
  </si>
  <si>
    <t>Service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</si>
</sst>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</xdr:row>
      <xdr:rowOff>180975</xdr:rowOff>
    </xdr:from>
    <xdr:to>
      <xdr:col>23</xdr:col>
      <xdr:colOff>0</xdr:colOff>
      <xdr:row>39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F97E533-A01C-2953-62D3-9DBC950C4295}"/>
            </a:ext>
          </a:extLst>
        </xdr:cNvPr>
        <xdr:cNvCxnSpPr/>
      </xdr:nvCxnSpPr>
      <xdr:spPr>
        <a:xfrm>
          <a:off x="13868400" y="371475"/>
          <a:ext cx="0" cy="5915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171450</xdr:rowOff>
    </xdr:from>
    <xdr:to>
      <xdr:col>13</xdr:col>
      <xdr:colOff>9525</xdr:colOff>
      <xdr:row>31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6013392-BC8B-8124-224A-460E52C53FB3}"/>
            </a:ext>
          </a:extLst>
        </xdr:cNvPr>
        <xdr:cNvCxnSpPr/>
      </xdr:nvCxnSpPr>
      <xdr:spPr>
        <a:xfrm>
          <a:off x="7858125" y="1314450"/>
          <a:ext cx="9525" cy="4591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75D8-4B93-447C-A083-A5A88365DFC8}">
  <dimension ref="A1:K22"/>
  <sheetViews>
    <sheetView workbookViewId="0">
      <selection activeCell="J12" sqref="J12"/>
    </sheetView>
  </sheetViews>
  <sheetFormatPr defaultRowHeight="15" x14ac:dyDescent="0.25"/>
  <cols>
    <col min="1" max="1" width="9.140625" style="3"/>
    <col min="2" max="2" width="10.7109375" bestFit="1" customWidth="1"/>
  </cols>
  <sheetData>
    <row r="1" spans="1:11" x14ac:dyDescent="0.25">
      <c r="C1" t="s">
        <v>19</v>
      </c>
      <c r="D1" t="s">
        <v>20</v>
      </c>
      <c r="E1" t="s">
        <v>21</v>
      </c>
      <c r="F1" t="s">
        <v>22</v>
      </c>
    </row>
    <row r="2" spans="1:11" x14ac:dyDescent="0.25">
      <c r="B2" t="s">
        <v>43</v>
      </c>
      <c r="J2" t="s">
        <v>50</v>
      </c>
    </row>
    <row r="3" spans="1:11" x14ac:dyDescent="0.25">
      <c r="A3" s="3" t="s">
        <v>56</v>
      </c>
      <c r="J3" t="s">
        <v>51</v>
      </c>
    </row>
    <row r="4" spans="1:11" x14ac:dyDescent="0.25">
      <c r="A4" s="3" t="s">
        <v>57</v>
      </c>
      <c r="B4" t="s">
        <v>44</v>
      </c>
      <c r="J4" t="s">
        <v>52</v>
      </c>
      <c r="K4" t="s">
        <v>54</v>
      </c>
    </row>
    <row r="5" spans="1:11" x14ac:dyDescent="0.25">
      <c r="B5" t="s">
        <v>2</v>
      </c>
      <c r="C5">
        <v>4824</v>
      </c>
      <c r="D5">
        <v>5011</v>
      </c>
      <c r="E5">
        <v>5100</v>
      </c>
      <c r="F5">
        <v>5662</v>
      </c>
      <c r="J5" t="s">
        <v>30</v>
      </c>
      <c r="K5" t="s">
        <v>53</v>
      </c>
    </row>
    <row r="6" spans="1:11" x14ac:dyDescent="0.25">
      <c r="B6" t="s">
        <v>45</v>
      </c>
      <c r="C6">
        <v>584</v>
      </c>
      <c r="D6">
        <v>546</v>
      </c>
      <c r="E6">
        <v>616</v>
      </c>
      <c r="F6">
        <v>741</v>
      </c>
      <c r="J6" t="s">
        <v>40</v>
      </c>
      <c r="K6" s="5" t="s">
        <v>55</v>
      </c>
    </row>
    <row r="7" spans="1:11" s="3" customFormat="1" x14ac:dyDescent="0.25">
      <c r="B7" s="3" t="s">
        <v>48</v>
      </c>
      <c r="C7" s="3">
        <f>+C6/C5</f>
        <v>0.12106135986733002</v>
      </c>
      <c r="D7" s="3">
        <f>+D6/D5</f>
        <v>0.10896028736779086</v>
      </c>
      <c r="E7" s="3">
        <f>+E6/E5</f>
        <v>0.1207843137254902</v>
      </c>
      <c r="F7" s="3">
        <f>+F6/F5</f>
        <v>0.13087248322147652</v>
      </c>
    </row>
    <row r="8" spans="1:11" x14ac:dyDescent="0.25">
      <c r="J8" t="s">
        <v>64</v>
      </c>
    </row>
    <row r="9" spans="1:11" x14ac:dyDescent="0.25">
      <c r="A9" s="3" t="s">
        <v>58</v>
      </c>
      <c r="B9" t="s">
        <v>46</v>
      </c>
      <c r="J9" t="s">
        <v>65</v>
      </c>
    </row>
    <row r="10" spans="1:11" x14ac:dyDescent="0.25">
      <c r="B10" t="s">
        <v>2</v>
      </c>
      <c r="C10">
        <v>4529</v>
      </c>
      <c r="D10">
        <v>4969</v>
      </c>
      <c r="E10">
        <v>5380</v>
      </c>
      <c r="F10">
        <v>5652</v>
      </c>
    </row>
    <row r="11" spans="1:11" x14ac:dyDescent="0.25">
      <c r="B11" t="s">
        <v>45</v>
      </c>
      <c r="C11">
        <v>308</v>
      </c>
      <c r="D11">
        <v>302</v>
      </c>
      <c r="E11">
        <v>316</v>
      </c>
      <c r="F11">
        <v>306</v>
      </c>
      <c r="J11" t="s">
        <v>70</v>
      </c>
    </row>
    <row r="12" spans="1:11" s="3" customFormat="1" x14ac:dyDescent="0.25">
      <c r="B12" s="3" t="s">
        <v>48</v>
      </c>
      <c r="C12" s="3">
        <f>+C11/C10</f>
        <v>6.8006182380216385E-2</v>
      </c>
      <c r="D12" s="3">
        <f>+D11/D10</f>
        <v>6.0776816260817067E-2</v>
      </c>
      <c r="E12" s="3">
        <f>+E11/E10</f>
        <v>5.8736059479553904E-2</v>
      </c>
      <c r="F12" s="3">
        <f>+F11/F10</f>
        <v>5.4140127388535034E-2</v>
      </c>
      <c r="J12" s="3" t="s">
        <v>69</v>
      </c>
    </row>
    <row r="14" spans="1:11" x14ac:dyDescent="0.25">
      <c r="A14" s="3">
        <v>0</v>
      </c>
      <c r="B14" t="s">
        <v>47</v>
      </c>
    </row>
    <row r="15" spans="1:11" x14ac:dyDescent="0.25">
      <c r="B15" t="s">
        <v>2</v>
      </c>
      <c r="C15">
        <v>3572</v>
      </c>
      <c r="D15">
        <v>3570</v>
      </c>
      <c r="E15">
        <v>3626</v>
      </c>
      <c r="F15">
        <v>3544</v>
      </c>
      <c r="J15" t="s">
        <v>67</v>
      </c>
    </row>
    <row r="16" spans="1:11" x14ac:dyDescent="0.25">
      <c r="B16" t="s">
        <v>45</v>
      </c>
      <c r="C16">
        <v>378</v>
      </c>
      <c r="D16">
        <v>315</v>
      </c>
      <c r="E16">
        <v>371</v>
      </c>
      <c r="F16">
        <v>278</v>
      </c>
      <c r="J16" t="s">
        <v>68</v>
      </c>
    </row>
    <row r="17" spans="1:6" s="3" customFormat="1" x14ac:dyDescent="0.25">
      <c r="B17" s="3" t="s">
        <v>48</v>
      </c>
      <c r="C17" s="3">
        <f>+C16/C15</f>
        <v>0.10582306830907055</v>
      </c>
      <c r="D17" s="3">
        <f>+D16/D15</f>
        <v>8.8235294117647065E-2</v>
      </c>
      <c r="E17" s="3">
        <f>+E16/E15</f>
        <v>0.10231660231660232</v>
      </c>
      <c r="F17" s="3">
        <f>+F16/F15</f>
        <v>7.8442437923250563E-2</v>
      </c>
    </row>
    <row r="19" spans="1:6" x14ac:dyDescent="0.25">
      <c r="A19" s="3" t="s">
        <v>59</v>
      </c>
      <c r="B19" t="s">
        <v>49</v>
      </c>
    </row>
    <row r="20" spans="1:6" x14ac:dyDescent="0.25">
      <c r="B20" t="s">
        <v>2</v>
      </c>
      <c r="C20">
        <v>3527</v>
      </c>
      <c r="D20">
        <v>3558</v>
      </c>
      <c r="E20">
        <v>3678</v>
      </c>
      <c r="F20">
        <v>4100</v>
      </c>
    </row>
    <row r="21" spans="1:6" x14ac:dyDescent="0.25">
      <c r="B21" t="s">
        <v>45</v>
      </c>
      <c r="C21">
        <v>387</v>
      </c>
      <c r="D21">
        <v>348</v>
      </c>
      <c r="E21">
        <v>408</v>
      </c>
      <c r="F21">
        <v>376</v>
      </c>
    </row>
    <row r="22" spans="1:6" x14ac:dyDescent="0.25">
      <c r="B22" s="3" t="s">
        <v>48</v>
      </c>
      <c r="C22" s="3">
        <f>+C21/C20</f>
        <v>0.10972497873546924</v>
      </c>
      <c r="D22" s="3">
        <f>+D21/D20</f>
        <v>9.7807757166947729E-2</v>
      </c>
      <c r="E22" s="3">
        <f>+E21/E20</f>
        <v>0.11092985318107668</v>
      </c>
      <c r="F22" s="3">
        <f>+F21/F20</f>
        <v>9.170731707317073E-2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B104-0D01-4C4F-9D8B-672DAB5B3853}">
  <dimension ref="B1:EL45"/>
  <sheetViews>
    <sheetView tabSelected="1" topLeftCell="B1" workbookViewId="0">
      <pane xSplit="2" ySplit="1" topLeftCell="L23" activePane="bottomRight" state="frozen"/>
      <selection activeCell="B1" sqref="B1"/>
      <selection pane="topRight" activeCell="D1" sqref="D1"/>
      <selection pane="bottomLeft" activeCell="B2" sqref="B2"/>
      <selection pane="bottomRight" activeCell="AG39" sqref="AG39"/>
    </sheetView>
  </sheetViews>
  <sheetFormatPr defaultRowHeight="15" x14ac:dyDescent="0.25"/>
  <cols>
    <col min="1" max="1" width="3.42578125" style="1" customWidth="1"/>
    <col min="2" max="2" width="5" style="1" customWidth="1"/>
    <col min="3" max="3" width="18" style="1" bestFit="1" customWidth="1"/>
    <col min="4" max="16384" width="9.140625" style="1"/>
  </cols>
  <sheetData>
    <row r="1" spans="2:31" customFormat="1" x14ac:dyDescent="0.25"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U1">
        <v>2020</v>
      </c>
      <c r="V1">
        <f>+U1+1</f>
        <v>2021</v>
      </c>
      <c r="W1">
        <f t="shared" ref="W1:AE1" si="0">+V1+1</f>
        <v>2022</v>
      </c>
      <c r="X1">
        <f t="shared" si="0"/>
        <v>2023</v>
      </c>
      <c r="Y1">
        <f t="shared" si="0"/>
        <v>2024</v>
      </c>
      <c r="Z1">
        <f t="shared" si="0"/>
        <v>2025</v>
      </c>
      <c r="AA1">
        <f t="shared" si="0"/>
        <v>2026</v>
      </c>
      <c r="AB1">
        <f t="shared" si="0"/>
        <v>2027</v>
      </c>
      <c r="AC1">
        <f t="shared" si="0"/>
        <v>2028</v>
      </c>
      <c r="AD1">
        <f t="shared" si="0"/>
        <v>2029</v>
      </c>
      <c r="AE1">
        <f t="shared" si="0"/>
        <v>2030</v>
      </c>
    </row>
    <row r="3" spans="2:31" x14ac:dyDescent="0.25">
      <c r="B3" s="3">
        <f>+W3/W10</f>
        <v>0.30707874884455971</v>
      </c>
      <c r="C3" s="1" t="s">
        <v>60</v>
      </c>
      <c r="H3" s="1">
        <f>+Sheet1!C5</f>
        <v>4824</v>
      </c>
      <c r="I3" s="1">
        <f>+Sheet1!D5</f>
        <v>5011</v>
      </c>
      <c r="J3" s="1">
        <f>+Sheet1!E5</f>
        <v>5100</v>
      </c>
      <c r="K3" s="1">
        <v>5662</v>
      </c>
      <c r="W3" s="1">
        <f>+SUM(H3:K3)</f>
        <v>20597</v>
      </c>
    </row>
    <row r="4" spans="2:31" x14ac:dyDescent="0.25">
      <c r="B4" s="3">
        <f>+W4/W10</f>
        <v>0.30607985210364674</v>
      </c>
      <c r="C4" s="1" t="s">
        <v>61</v>
      </c>
      <c r="H4" s="1">
        <f>+Sheet1!C10</f>
        <v>4529</v>
      </c>
      <c r="I4" s="1">
        <f>+Sheet1!D10</f>
        <v>4969</v>
      </c>
      <c r="J4" s="1">
        <f>+Sheet1!E10</f>
        <v>5380</v>
      </c>
      <c r="K4" s="1">
        <v>5652</v>
      </c>
      <c r="W4" s="1">
        <f>+SUM(H4:K4)</f>
        <v>20530</v>
      </c>
    </row>
    <row r="5" spans="2:31" x14ac:dyDescent="0.25">
      <c r="B5" s="3">
        <f>+W5/W10</f>
        <v>0.21337627098428602</v>
      </c>
      <c r="C5" s="1" t="s">
        <v>62</v>
      </c>
      <c r="H5" s="1">
        <f>+Sheet1!C15</f>
        <v>3572</v>
      </c>
      <c r="I5" s="1">
        <f>+Sheet1!D15</f>
        <v>3570</v>
      </c>
      <c r="J5" s="1">
        <f>+Sheet1!E15</f>
        <v>3626</v>
      </c>
      <c r="K5" s="1">
        <v>3544</v>
      </c>
      <c r="W5" s="1">
        <f>+SUM(H5:K5)</f>
        <v>14312</v>
      </c>
    </row>
    <row r="6" spans="2:31" x14ac:dyDescent="0.25">
      <c r="B6" s="3">
        <f>+W6/W10</f>
        <v>0.22159107851030205</v>
      </c>
      <c r="C6" s="1" t="s">
        <v>63</v>
      </c>
      <c r="H6" s="1">
        <f>+Sheet1!C20</f>
        <v>3527</v>
      </c>
      <c r="I6" s="1">
        <f>+Sheet1!D20</f>
        <v>3558</v>
      </c>
      <c r="J6" s="1">
        <f>+Sheet1!E20</f>
        <v>3678</v>
      </c>
      <c r="K6" s="1">
        <v>4100</v>
      </c>
      <c r="W6" s="1">
        <f>+SUM(H6:K6)</f>
        <v>14863</v>
      </c>
    </row>
    <row r="8" spans="2:31" x14ac:dyDescent="0.25">
      <c r="C8" s="1" t="s">
        <v>0</v>
      </c>
      <c r="D8" s="1">
        <v>11664</v>
      </c>
      <c r="E8" s="1">
        <v>12179</v>
      </c>
      <c r="F8" s="1">
        <v>12331</v>
      </c>
      <c r="G8" s="1">
        <f>+V8-F8-E8-D8</f>
        <v>13096</v>
      </c>
      <c r="H8" s="1">
        <v>11862</v>
      </c>
      <c r="I8" s="1">
        <v>12258</v>
      </c>
      <c r="J8" s="1">
        <v>12756</v>
      </c>
      <c r="K8" s="1">
        <f>+W8-J8-I8-H8</f>
        <v>13897</v>
      </c>
      <c r="L8" s="1">
        <v>12787</v>
      </c>
      <c r="M8" s="1">
        <v>13411</v>
      </c>
      <c r="U8" s="1">
        <v>43319</v>
      </c>
      <c r="V8" s="1">
        <v>49270</v>
      </c>
      <c r="W8" s="1">
        <v>50773</v>
      </c>
      <c r="X8" s="1">
        <f>+(M8+L8)*2</f>
        <v>52396</v>
      </c>
      <c r="Y8" s="1">
        <f>+X8*1.06</f>
        <v>55539.76</v>
      </c>
      <c r="Z8" s="1">
        <f t="shared" ref="Z8:AC8" si="1">+Y8*1.06</f>
        <v>58872.145600000003</v>
      </c>
      <c r="AA8" s="1">
        <f t="shared" si="1"/>
        <v>62404.474336000007</v>
      </c>
      <c r="AB8" s="1">
        <f t="shared" si="1"/>
        <v>66148.742796160004</v>
      </c>
      <c r="AC8" s="1">
        <f t="shared" si="1"/>
        <v>70117.667363929606</v>
      </c>
      <c r="AD8" s="1">
        <f>+AC8*1.05</f>
        <v>73623.550732126096</v>
      </c>
      <c r="AE8" s="1">
        <f>+AD8*1.05</f>
        <v>77304.728268732404</v>
      </c>
    </row>
    <row r="9" spans="2:31" x14ac:dyDescent="0.25">
      <c r="C9" s="1" t="s">
        <v>1</v>
      </c>
      <c r="D9" s="1">
        <v>3587</v>
      </c>
      <c r="E9" s="1">
        <v>3701</v>
      </c>
      <c r="F9" s="1">
        <v>3882</v>
      </c>
      <c r="G9" s="1">
        <f>+V9-F9-E9-D9</f>
        <v>3948</v>
      </c>
      <c r="H9" s="1">
        <v>3854</v>
      </c>
      <c r="I9" s="1">
        <v>4056</v>
      </c>
      <c r="J9" s="1">
        <v>4195</v>
      </c>
      <c r="K9" s="1">
        <f>+W9-J9-I9-H9</f>
        <v>4196</v>
      </c>
      <c r="L9" s="1">
        <v>4427</v>
      </c>
      <c r="M9" s="1">
        <v>4904</v>
      </c>
      <c r="U9" s="1">
        <v>13268</v>
      </c>
      <c r="V9" s="1">
        <v>15118</v>
      </c>
      <c r="W9" s="1">
        <v>16301</v>
      </c>
      <c r="X9" s="1">
        <f>+(M9+L9)*2</f>
        <v>18662</v>
      </c>
      <c r="Y9" s="1">
        <f>+X9*1.08</f>
        <v>20154.960000000003</v>
      </c>
      <c r="Z9" s="1">
        <f t="shared" ref="Z9:AC9" si="2">+Y9*1.08</f>
        <v>21767.356800000005</v>
      </c>
      <c r="AA9" s="1">
        <f t="shared" si="2"/>
        <v>23508.745344000006</v>
      </c>
      <c r="AB9" s="1">
        <f t="shared" si="2"/>
        <v>25389.44497152001</v>
      </c>
      <c r="AC9" s="1">
        <f t="shared" si="2"/>
        <v>27420.600569241611</v>
      </c>
      <c r="AD9" s="1">
        <f>+AC9*1.06</f>
        <v>29065.83660339611</v>
      </c>
      <c r="AE9" s="1">
        <f>+AD9*1.06</f>
        <v>30809.786799599879</v>
      </c>
    </row>
    <row r="10" spans="2:31" s="2" customFormat="1" x14ac:dyDescent="0.25">
      <c r="C10" s="2" t="s">
        <v>2</v>
      </c>
      <c r="D10" s="2">
        <f>+D8+D9</f>
        <v>15251</v>
      </c>
      <c r="E10" s="2">
        <f t="shared" ref="E10:L10" si="3">+E8+E9</f>
        <v>15880</v>
      </c>
      <c r="F10" s="2">
        <f t="shared" si="3"/>
        <v>16213</v>
      </c>
      <c r="G10" s="2">
        <f t="shared" si="3"/>
        <v>17044</v>
      </c>
      <c r="H10" s="2">
        <f t="shared" si="3"/>
        <v>15716</v>
      </c>
      <c r="I10" s="2">
        <f t="shared" si="3"/>
        <v>16314</v>
      </c>
      <c r="J10" s="2">
        <f t="shared" si="3"/>
        <v>16951</v>
      </c>
      <c r="K10" s="2">
        <f t="shared" si="3"/>
        <v>18093</v>
      </c>
      <c r="L10" s="2">
        <f t="shared" si="3"/>
        <v>17214</v>
      </c>
      <c r="M10" s="2">
        <f t="shared" ref="M10" si="4">+M8+M9</f>
        <v>18315</v>
      </c>
      <c r="U10" s="2">
        <f t="shared" ref="U10" si="5">+U8+U9</f>
        <v>56587</v>
      </c>
      <c r="V10" s="2">
        <f t="shared" ref="V10" si="6">+V8+V9</f>
        <v>64388</v>
      </c>
      <c r="W10" s="2">
        <f t="shared" ref="W10" si="7">+W8+W9</f>
        <v>67074</v>
      </c>
      <c r="X10" s="2">
        <f>+X8+X9</f>
        <v>71058</v>
      </c>
      <c r="Y10" s="2">
        <f t="shared" ref="Y10:AE10" si="8">+Y8+Y9</f>
        <v>75694.720000000001</v>
      </c>
      <c r="Z10" s="2">
        <f t="shared" si="8"/>
        <v>80639.502400000012</v>
      </c>
      <c r="AA10" s="2">
        <f t="shared" si="8"/>
        <v>85913.219680000009</v>
      </c>
      <c r="AB10" s="2">
        <f t="shared" si="8"/>
        <v>91538.187767680007</v>
      </c>
      <c r="AC10" s="2">
        <f t="shared" si="8"/>
        <v>97538.267933171213</v>
      </c>
      <c r="AD10" s="2">
        <f t="shared" si="8"/>
        <v>102689.3873355222</v>
      </c>
      <c r="AE10" s="2">
        <f t="shared" si="8"/>
        <v>108114.51506833229</v>
      </c>
    </row>
    <row r="11" spans="2:31" x14ac:dyDescent="0.25">
      <c r="C11" s="1" t="s">
        <v>3</v>
      </c>
      <c r="D11" s="1">
        <v>9974</v>
      </c>
      <c r="E11" s="1">
        <v>9997</v>
      </c>
      <c r="F11" s="1">
        <v>10296</v>
      </c>
      <c r="G11" s="1">
        <f>+V11-F11-E11-D11</f>
        <v>10828</v>
      </c>
      <c r="H11" s="1">
        <v>9820</v>
      </c>
      <c r="I11" s="1">
        <v>10040</v>
      </c>
      <c r="J11" s="1">
        <v>10493</v>
      </c>
      <c r="K11" s="1">
        <f>+W11-J11-I11-H11</f>
        <v>11574</v>
      </c>
      <c r="L11" s="1">
        <v>10700</v>
      </c>
      <c r="M11" s="1">
        <v>11089</v>
      </c>
      <c r="U11" s="1">
        <v>38137</v>
      </c>
      <c r="V11" s="1">
        <v>41095</v>
      </c>
      <c r="W11" s="1">
        <v>41927</v>
      </c>
      <c r="X11" s="1">
        <f>+(M11+L11)*2</f>
        <v>43578</v>
      </c>
      <c r="Y11" s="1">
        <f>+Y8*0.83</f>
        <v>46098.000800000002</v>
      </c>
      <c r="Z11" s="1">
        <f t="shared" ref="Z11:AE11" si="9">+Z8*0.83</f>
        <v>48863.880848000001</v>
      </c>
      <c r="AA11" s="1">
        <f t="shared" si="9"/>
        <v>51795.713698880005</v>
      </c>
      <c r="AB11" s="1">
        <f t="shared" si="9"/>
        <v>54903.456520812804</v>
      </c>
      <c r="AC11" s="1">
        <f t="shared" si="9"/>
        <v>58197.663912061573</v>
      </c>
      <c r="AD11" s="1">
        <f t="shared" si="9"/>
        <v>61107.547107664657</v>
      </c>
      <c r="AE11" s="1">
        <f t="shared" si="9"/>
        <v>64162.924463047893</v>
      </c>
    </row>
    <row r="12" spans="2:31" x14ac:dyDescent="0.25">
      <c r="C12" s="1" t="s">
        <v>4</v>
      </c>
      <c r="D12" s="1">
        <v>2563</v>
      </c>
      <c r="E12" s="1">
        <v>2658</v>
      </c>
      <c r="F12" s="1">
        <v>2793</v>
      </c>
      <c r="G12" s="1">
        <f>+V12-F12-E12-D12</f>
        <v>2788</v>
      </c>
      <c r="H12" s="1">
        <v>2740</v>
      </c>
      <c r="I12" s="1">
        <v>2816</v>
      </c>
      <c r="J12" s="1">
        <v>2971</v>
      </c>
      <c r="K12" s="1">
        <f>+W12-J12-I12-H12</f>
        <v>2952</v>
      </c>
      <c r="L12" s="1">
        <v>2945</v>
      </c>
      <c r="M12" s="1">
        <v>3429</v>
      </c>
      <c r="U12" s="1">
        <v>9919</v>
      </c>
      <c r="V12" s="1">
        <v>10802</v>
      </c>
      <c r="W12" s="1">
        <v>11479</v>
      </c>
      <c r="X12" s="1">
        <f>+(M12+L12)*2</f>
        <v>12748</v>
      </c>
      <c r="Y12" s="1">
        <f t="shared" ref="Y12:AE12" si="10">+Y9*0.7</f>
        <v>14108.472000000002</v>
      </c>
      <c r="Z12" s="1">
        <f t="shared" si="10"/>
        <v>15237.149760000002</v>
      </c>
      <c r="AA12" s="1">
        <f t="shared" si="10"/>
        <v>16456.121740800005</v>
      </c>
      <c r="AB12" s="1">
        <f t="shared" si="10"/>
        <v>17772.611480064006</v>
      </c>
      <c r="AC12" s="1">
        <f t="shared" si="10"/>
        <v>19194.420398469127</v>
      </c>
      <c r="AD12" s="1">
        <f t="shared" si="10"/>
        <v>20346.085622377275</v>
      </c>
      <c r="AE12" s="1">
        <f t="shared" si="10"/>
        <v>21566.850759719913</v>
      </c>
    </row>
    <row r="13" spans="2:31" x14ac:dyDescent="0.25">
      <c r="C13" s="1" t="s">
        <v>27</v>
      </c>
      <c r="D13" s="1">
        <f>+D11+D12</f>
        <v>12537</v>
      </c>
      <c r="E13" s="1">
        <f t="shared" ref="E13:L13" si="11">+E11+E12</f>
        <v>12655</v>
      </c>
      <c r="F13" s="1">
        <f t="shared" si="11"/>
        <v>13089</v>
      </c>
      <c r="G13" s="1">
        <f t="shared" si="11"/>
        <v>13616</v>
      </c>
      <c r="H13" s="1">
        <f t="shared" si="11"/>
        <v>12560</v>
      </c>
      <c r="I13" s="1">
        <f t="shared" si="11"/>
        <v>12856</v>
      </c>
      <c r="J13" s="1">
        <f t="shared" si="11"/>
        <v>13464</v>
      </c>
      <c r="K13" s="1">
        <f t="shared" si="11"/>
        <v>14526</v>
      </c>
      <c r="L13" s="1">
        <f t="shared" si="11"/>
        <v>13645</v>
      </c>
      <c r="M13" s="1">
        <f t="shared" ref="M13" si="12">+M11+M12</f>
        <v>14518</v>
      </c>
      <c r="U13" s="1">
        <f t="shared" ref="U13" si="13">+U11+U12</f>
        <v>48056</v>
      </c>
      <c r="V13" s="1">
        <f t="shared" ref="V13" si="14">+V11+V12</f>
        <v>51897</v>
      </c>
      <c r="W13" s="1">
        <f t="shared" ref="W13" si="15">+W11+W12</f>
        <v>53406</v>
      </c>
      <c r="X13" s="1">
        <f t="shared" ref="X13" si="16">+X11+X12</f>
        <v>56326</v>
      </c>
      <c r="Y13" s="1">
        <f t="shared" ref="Y13" si="17">+Y11+Y12</f>
        <v>60206.472800000003</v>
      </c>
      <c r="Z13" s="1">
        <f t="shared" ref="Z13" si="18">+Z11+Z12</f>
        <v>64101.030608000001</v>
      </c>
      <c r="AA13" s="1">
        <f t="shared" ref="AA13" si="19">+AA11+AA12</f>
        <v>68251.835439680013</v>
      </c>
      <c r="AB13" s="1">
        <f t="shared" ref="AB13" si="20">+AB11+AB12</f>
        <v>72676.06800087681</v>
      </c>
      <c r="AC13" s="1">
        <f t="shared" ref="AC13" si="21">+AC11+AC12</f>
        <v>77392.084310530699</v>
      </c>
      <c r="AD13" s="1">
        <f t="shared" ref="AD13:AE13" si="22">+AD11+AD12</f>
        <v>81453.632730041936</v>
      </c>
      <c r="AE13" s="1">
        <f t="shared" si="22"/>
        <v>85729.775222767814</v>
      </c>
    </row>
    <row r="14" spans="2:31" x14ac:dyDescent="0.25">
      <c r="C14" s="1" t="s">
        <v>5</v>
      </c>
      <c r="D14" s="1">
        <f>+D10-D13</f>
        <v>2714</v>
      </c>
      <c r="E14" s="1">
        <f t="shared" ref="E14:M14" si="23">+E10-E13</f>
        <v>3225</v>
      </c>
      <c r="F14" s="1">
        <f t="shared" si="23"/>
        <v>3124</v>
      </c>
      <c r="G14" s="1">
        <f t="shared" si="23"/>
        <v>3428</v>
      </c>
      <c r="H14" s="1">
        <f t="shared" si="23"/>
        <v>3156</v>
      </c>
      <c r="I14" s="1">
        <f t="shared" si="23"/>
        <v>3458</v>
      </c>
      <c r="J14" s="1">
        <f t="shared" si="23"/>
        <v>3487</v>
      </c>
      <c r="K14" s="1">
        <f t="shared" si="23"/>
        <v>3567</v>
      </c>
      <c r="L14" s="1">
        <f t="shared" si="23"/>
        <v>3569</v>
      </c>
      <c r="M14" s="1">
        <f t="shared" si="23"/>
        <v>3797</v>
      </c>
      <c r="U14" s="1">
        <f t="shared" ref="U14" si="24">+U10-U13</f>
        <v>8531</v>
      </c>
      <c r="V14" s="1">
        <f t="shared" ref="V14" si="25">+V10-V13</f>
        <v>12491</v>
      </c>
      <c r="W14" s="1">
        <f t="shared" ref="W14" si="26">+W10-W13</f>
        <v>13668</v>
      </c>
      <c r="X14" s="1">
        <f t="shared" ref="X14" si="27">+X10-X13</f>
        <v>14732</v>
      </c>
      <c r="Y14" s="1">
        <f t="shared" ref="Y14" si="28">+Y10-Y13</f>
        <v>15488.247199999998</v>
      </c>
      <c r="Z14" s="1">
        <f t="shared" ref="Z14" si="29">+Z10-Z13</f>
        <v>16538.471792000011</v>
      </c>
      <c r="AA14" s="1">
        <f t="shared" ref="AA14" si="30">+AA10-AA13</f>
        <v>17661.384240319996</v>
      </c>
      <c r="AB14" s="1">
        <f t="shared" ref="AB14" si="31">+AB10-AB13</f>
        <v>18862.119766803196</v>
      </c>
      <c r="AC14" s="1">
        <f t="shared" ref="AC14" si="32">+AC10-AC13</f>
        <v>20146.183622640514</v>
      </c>
      <c r="AD14" s="1">
        <f t="shared" ref="AD14:AE14" si="33">+AD10-AD13</f>
        <v>21235.754605480266</v>
      </c>
      <c r="AE14" s="1">
        <f t="shared" si="33"/>
        <v>22384.739845564472</v>
      </c>
    </row>
    <row r="15" spans="2:31" x14ac:dyDescent="0.25">
      <c r="C15" s="1" t="s">
        <v>6</v>
      </c>
      <c r="D15" s="1">
        <v>589</v>
      </c>
      <c r="E15" s="1">
        <v>657</v>
      </c>
      <c r="F15" s="1">
        <v>676</v>
      </c>
      <c r="G15" s="1">
        <f>+V15-F15-E15-D15</f>
        <v>810</v>
      </c>
      <c r="H15" s="1">
        <v>635</v>
      </c>
      <c r="I15" s="1">
        <v>698</v>
      </c>
      <c r="J15" s="1">
        <v>662</v>
      </c>
      <c r="K15" s="1">
        <f>+W15-J15-I15-H15</f>
        <v>716</v>
      </c>
      <c r="L15" s="1">
        <v>607</v>
      </c>
      <c r="M15" s="1">
        <v>729</v>
      </c>
      <c r="U15" s="1">
        <v>2581</v>
      </c>
      <c r="V15" s="1">
        <v>2732</v>
      </c>
      <c r="W15" s="1">
        <v>2711</v>
      </c>
      <c r="X15" s="1">
        <f>+(M15+L15)*2</f>
        <v>2672</v>
      </c>
      <c r="Y15" s="1">
        <f>+X15*1.02</f>
        <v>2725.44</v>
      </c>
      <c r="Z15" s="1">
        <f t="shared" ref="Z15" si="34">+Y15*1.02</f>
        <v>2779.9488000000001</v>
      </c>
      <c r="AA15" s="1">
        <f>+Z15*1.03</f>
        <v>2863.347264</v>
      </c>
      <c r="AB15" s="1">
        <f t="shared" ref="AB15:AE15" si="35">+AA15*1.03</f>
        <v>2949.2476819200001</v>
      </c>
      <c r="AC15" s="1">
        <f t="shared" si="35"/>
        <v>3037.7251123776</v>
      </c>
      <c r="AD15" s="1">
        <f t="shared" si="35"/>
        <v>3128.8568657489282</v>
      </c>
      <c r="AE15" s="1">
        <f t="shared" si="35"/>
        <v>3222.722571721396</v>
      </c>
    </row>
    <row r="16" spans="2:31" x14ac:dyDescent="0.25">
      <c r="C16" s="1" t="s">
        <v>7</v>
      </c>
      <c r="D16" s="1">
        <v>1220</v>
      </c>
      <c r="E16" s="1">
        <v>1368</v>
      </c>
      <c r="F16" s="1">
        <v>1229</v>
      </c>
      <c r="G16" s="1">
        <f>+V16-F16-E16-D16</f>
        <v>1407</v>
      </c>
      <c r="H16" s="1">
        <v>1469</v>
      </c>
      <c r="I16" s="1">
        <v>1424</v>
      </c>
      <c r="J16" s="1">
        <v>1391</v>
      </c>
      <c r="K16" s="1">
        <f>+W16-J16-I16-H16</f>
        <v>1379</v>
      </c>
      <c r="L16" s="1">
        <v>1398</v>
      </c>
      <c r="M16" s="1">
        <v>1635</v>
      </c>
      <c r="U16" s="1">
        <v>5540</v>
      </c>
      <c r="V16" s="1">
        <v>5224</v>
      </c>
      <c r="W16" s="1">
        <v>5663</v>
      </c>
      <c r="X16" s="1">
        <f>+(M16+L16)*2</f>
        <v>6066</v>
      </c>
      <c r="Y16" s="1">
        <f>+X16*1.04</f>
        <v>6308.64</v>
      </c>
      <c r="Z16" s="1">
        <f>+Y16*1.03</f>
        <v>6497.8992000000007</v>
      </c>
      <c r="AA16" s="1">
        <f>+Z16*1.02</f>
        <v>6627.8571840000013</v>
      </c>
      <c r="AB16" s="1">
        <f t="shared" ref="AB16" si="36">+AA16*1.02</f>
        <v>6760.4143276800014</v>
      </c>
      <c r="AC16" s="1">
        <f>+AB16*1.01</f>
        <v>6828.0184709568011</v>
      </c>
      <c r="AD16" s="1">
        <f t="shared" ref="AD16:AE16" si="37">+AC16*1.01</f>
        <v>6896.2986556663691</v>
      </c>
      <c r="AE16" s="1">
        <f t="shared" si="37"/>
        <v>6965.261642223033</v>
      </c>
    </row>
    <row r="17" spans="3:142" x14ac:dyDescent="0.25">
      <c r="C17" s="1" t="s">
        <v>8</v>
      </c>
      <c r="D17" s="1">
        <f>+D15+D16</f>
        <v>1809</v>
      </c>
      <c r="E17" s="1">
        <f t="shared" ref="E17:L17" si="38">+E15+E16</f>
        <v>2025</v>
      </c>
      <c r="F17" s="1">
        <f t="shared" si="38"/>
        <v>1905</v>
      </c>
      <c r="G17" s="1">
        <f t="shared" si="38"/>
        <v>2217</v>
      </c>
      <c r="H17" s="1">
        <f t="shared" si="38"/>
        <v>2104</v>
      </c>
      <c r="I17" s="1">
        <f t="shared" si="38"/>
        <v>2122</v>
      </c>
      <c r="J17" s="1">
        <f t="shared" si="38"/>
        <v>2053</v>
      </c>
      <c r="K17" s="1">
        <f t="shared" si="38"/>
        <v>2095</v>
      </c>
      <c r="L17" s="1">
        <f t="shared" si="38"/>
        <v>2005</v>
      </c>
      <c r="M17" s="1">
        <f t="shared" ref="M17" si="39">+M15+M16</f>
        <v>2364</v>
      </c>
      <c r="U17" s="1">
        <f t="shared" ref="U17" si="40">+U15+U16</f>
        <v>8121</v>
      </c>
      <c r="V17" s="1">
        <f t="shared" ref="V17" si="41">+V15+V16</f>
        <v>7956</v>
      </c>
      <c r="W17" s="1">
        <f t="shared" ref="W17" si="42">+W15+W16</f>
        <v>8374</v>
      </c>
      <c r="X17" s="1">
        <f>+(M17+L17)*2</f>
        <v>8738</v>
      </c>
      <c r="Y17" s="1">
        <f t="shared" ref="Y17" si="43">+Y15+Y16</f>
        <v>9034.08</v>
      </c>
      <c r="Z17" s="1">
        <f t="shared" ref="Z17" si="44">+Z15+Z16</f>
        <v>9277.8480000000018</v>
      </c>
      <c r="AA17" s="1">
        <f t="shared" ref="AA17" si="45">+AA15+AA16</f>
        <v>9491.2044480000004</v>
      </c>
      <c r="AB17" s="1">
        <f t="shared" ref="AB17" si="46">+AB15+AB16</f>
        <v>9709.6620096000006</v>
      </c>
      <c r="AC17" s="1">
        <f t="shared" ref="AC17" si="47">+AC15+AC16</f>
        <v>9865.7435833344007</v>
      </c>
      <c r="AD17" s="1">
        <f t="shared" ref="AD17" si="48">+AD15+AD16</f>
        <v>10025.155521415298</v>
      </c>
      <c r="AE17" s="1">
        <f t="shared" ref="AE17" si="49">+AE15+AE16</f>
        <v>10187.98421394443</v>
      </c>
    </row>
    <row r="18" spans="3:142" x14ac:dyDescent="0.25">
      <c r="C18" s="1" t="s">
        <v>9</v>
      </c>
      <c r="D18" s="1">
        <f>+D14-D17</f>
        <v>905</v>
      </c>
      <c r="E18" s="1">
        <f t="shared" ref="E18:L18" si="50">+E14-E17</f>
        <v>1200</v>
      </c>
      <c r="F18" s="1">
        <f t="shared" si="50"/>
        <v>1219</v>
      </c>
      <c r="G18" s="1">
        <f t="shared" si="50"/>
        <v>1211</v>
      </c>
      <c r="H18" s="1">
        <f t="shared" si="50"/>
        <v>1052</v>
      </c>
      <c r="I18" s="1">
        <f t="shared" si="50"/>
        <v>1336</v>
      </c>
      <c r="J18" s="1">
        <f t="shared" si="50"/>
        <v>1434</v>
      </c>
      <c r="K18" s="1">
        <f t="shared" si="50"/>
        <v>1472</v>
      </c>
      <c r="L18" s="1">
        <f t="shared" si="50"/>
        <v>1564</v>
      </c>
      <c r="M18" s="1">
        <f t="shared" ref="M18" si="51">+M14-M17</f>
        <v>1433</v>
      </c>
      <c r="U18" s="1">
        <f t="shared" ref="U18" si="52">+U14-U17</f>
        <v>410</v>
      </c>
      <c r="V18" s="1">
        <f t="shared" ref="V18" si="53">+V14-V17</f>
        <v>4535</v>
      </c>
      <c r="W18" s="1">
        <f t="shared" ref="W18" si="54">+W14-W17</f>
        <v>5294</v>
      </c>
      <c r="X18" s="1">
        <f t="shared" ref="X18" si="55">+X14-X17</f>
        <v>5994</v>
      </c>
      <c r="Y18" s="1">
        <f t="shared" ref="Y18" si="56">+Y14-Y17</f>
        <v>6454.167199999998</v>
      </c>
      <c r="Z18" s="1">
        <f t="shared" ref="Z18" si="57">+Z14-Z17</f>
        <v>7260.6237920000094</v>
      </c>
      <c r="AA18" s="1">
        <f t="shared" ref="AA18" si="58">+AA14-AA17</f>
        <v>8170.1797923199956</v>
      </c>
      <c r="AB18" s="1">
        <f t="shared" ref="AB18" si="59">+AB14-AB17</f>
        <v>9152.4577572031958</v>
      </c>
      <c r="AC18" s="1">
        <f t="shared" ref="AC18" si="60">+AC14-AC17</f>
        <v>10280.440039306113</v>
      </c>
      <c r="AD18" s="1">
        <f t="shared" ref="AD18" si="61">+AD14-AD17</f>
        <v>11210.599084064968</v>
      </c>
      <c r="AE18" s="1">
        <f t="shared" ref="AE18" si="62">+AE14-AE17</f>
        <v>12196.755631620043</v>
      </c>
    </row>
    <row r="19" spans="3:142" x14ac:dyDescent="0.25">
      <c r="C19" s="1" t="s">
        <v>10</v>
      </c>
      <c r="D19" s="1">
        <v>108</v>
      </c>
      <c r="E19" s="1">
        <v>82</v>
      </c>
      <c r="F19" s="1">
        <v>124</v>
      </c>
      <c r="G19" s="1">
        <f>+V19-F19-E19-D19</f>
        <v>109</v>
      </c>
      <c r="H19" s="1">
        <v>28</v>
      </c>
      <c r="I19" s="1">
        <v>17</v>
      </c>
      <c r="J19" s="1">
        <v>46</v>
      </c>
      <c r="K19" s="1">
        <f>+W19-J19-I19-H19</f>
        <v>29</v>
      </c>
      <c r="L19" s="1">
        <v>88</v>
      </c>
      <c r="M19" s="1">
        <v>25</v>
      </c>
      <c r="U19" s="1">
        <v>885</v>
      </c>
      <c r="V19" s="1">
        <v>423</v>
      </c>
      <c r="W19" s="1">
        <v>120</v>
      </c>
      <c r="X19" s="1">
        <f>+(M19+L19)*2</f>
        <v>226</v>
      </c>
      <c r="Y19" s="1">
        <v>100</v>
      </c>
      <c r="Z19" s="1">
        <v>100</v>
      </c>
      <c r="AA19" s="1">
        <v>100</v>
      </c>
      <c r="AB19" s="1">
        <v>100</v>
      </c>
      <c r="AC19" s="1">
        <v>100</v>
      </c>
      <c r="AD19" s="1">
        <v>100</v>
      </c>
      <c r="AE19" s="1">
        <v>100</v>
      </c>
    </row>
    <row r="20" spans="3:142" x14ac:dyDescent="0.25">
      <c r="C20" s="1" t="s">
        <v>28</v>
      </c>
      <c r="D20" s="1">
        <v>491</v>
      </c>
      <c r="E20" s="1">
        <v>490</v>
      </c>
      <c r="F20" s="1">
        <v>491</v>
      </c>
      <c r="G20" s="1">
        <f>+V20-F20-E20-D20</f>
        <v>472</v>
      </c>
      <c r="H20" s="1">
        <v>480</v>
      </c>
      <c r="I20" s="1">
        <v>474</v>
      </c>
      <c r="J20" s="1">
        <v>468</v>
      </c>
      <c r="K20" s="1">
        <f>+W20-J20-I20-H20</f>
        <v>467</v>
      </c>
      <c r="L20" s="1">
        <v>444</v>
      </c>
      <c r="M20" s="1">
        <v>447</v>
      </c>
      <c r="U20" s="1">
        <v>902</v>
      </c>
      <c r="V20" s="1">
        <v>1944</v>
      </c>
      <c r="W20" s="1">
        <v>1889</v>
      </c>
      <c r="X20" s="1">
        <f>+(M20+L20)*2</f>
        <v>1782</v>
      </c>
      <c r="Y20" s="1">
        <f>+X20*0.98</f>
        <v>1746.36</v>
      </c>
      <c r="Z20" s="1">
        <f t="shared" ref="Z20:AE20" si="63">+Y20*0.98</f>
        <v>1711.4327999999998</v>
      </c>
      <c r="AA20" s="1">
        <f t="shared" si="63"/>
        <v>1677.2041439999998</v>
      </c>
      <c r="AB20" s="1">
        <f t="shared" si="63"/>
        <v>1643.6600611199997</v>
      </c>
      <c r="AC20" s="1">
        <f t="shared" si="63"/>
        <v>1610.7868598975997</v>
      </c>
      <c r="AD20" s="1">
        <f t="shared" si="63"/>
        <v>1578.5711226996477</v>
      </c>
      <c r="AE20" s="1">
        <f t="shared" si="63"/>
        <v>1546.9997002456548</v>
      </c>
    </row>
    <row r="21" spans="3:142" x14ac:dyDescent="0.25">
      <c r="C21" s="1" t="s">
        <v>11</v>
      </c>
      <c r="D21" s="1">
        <v>346</v>
      </c>
      <c r="E21" s="1">
        <v>342</v>
      </c>
      <c r="F21" s="1">
        <v>358</v>
      </c>
      <c r="G21" s="1">
        <f>+V21-F21-E21-D21</f>
        <v>925</v>
      </c>
      <c r="H21" s="1">
        <v>318</v>
      </c>
      <c r="I21" s="1">
        <v>329</v>
      </c>
      <c r="J21" s="1">
        <v>311</v>
      </c>
      <c r="K21" s="1">
        <f>+W21-J21-I21-H21</f>
        <v>318</v>
      </c>
      <c r="L21" s="1">
        <v>315</v>
      </c>
      <c r="M21" s="1">
        <v>333</v>
      </c>
      <c r="U21" s="1">
        <v>1366</v>
      </c>
      <c r="V21" s="1">
        <f>1322+649</f>
        <v>1971</v>
      </c>
      <c r="W21" s="1">
        <v>1276</v>
      </c>
      <c r="X21" s="1">
        <f>+(M21+L21)*2</f>
        <v>1296</v>
      </c>
      <c r="Y21" s="1">
        <f>+X21*1.01</f>
        <v>1308.96</v>
      </c>
      <c r="Z21" s="1">
        <f t="shared" ref="Z21:AE21" si="64">+Y21*1.01</f>
        <v>1322.0496000000001</v>
      </c>
      <c r="AA21" s="1">
        <f t="shared" si="64"/>
        <v>1335.270096</v>
      </c>
      <c r="AB21" s="1">
        <f t="shared" si="64"/>
        <v>1348.62279696</v>
      </c>
      <c r="AC21" s="1">
        <f t="shared" si="64"/>
        <v>1362.1090249296001</v>
      </c>
      <c r="AD21" s="1">
        <f t="shared" si="64"/>
        <v>1375.7301151788961</v>
      </c>
      <c r="AE21" s="1">
        <f t="shared" si="64"/>
        <v>1389.4874163306852</v>
      </c>
    </row>
    <row r="22" spans="3:142" x14ac:dyDescent="0.25">
      <c r="C22" s="1" t="s">
        <v>12</v>
      </c>
      <c r="D22" s="1">
        <f>+D18+D19+D20-D21</f>
        <v>1158</v>
      </c>
      <c r="E22" s="1">
        <f t="shared" ref="E22:L22" si="65">+E18+E19+E20-E21</f>
        <v>1430</v>
      </c>
      <c r="F22" s="1">
        <f t="shared" si="65"/>
        <v>1476</v>
      </c>
      <c r="G22" s="1">
        <f t="shared" si="65"/>
        <v>867</v>
      </c>
      <c r="H22" s="1">
        <f t="shared" si="65"/>
        <v>1242</v>
      </c>
      <c r="I22" s="1">
        <f t="shared" si="65"/>
        <v>1498</v>
      </c>
      <c r="J22" s="1">
        <f t="shared" si="65"/>
        <v>1637</v>
      </c>
      <c r="K22" s="1">
        <f t="shared" si="65"/>
        <v>1650</v>
      </c>
      <c r="L22" s="1">
        <f t="shared" si="65"/>
        <v>1781</v>
      </c>
      <c r="M22" s="1">
        <f t="shared" ref="M22" si="66">+M18+M19+M20-M21</f>
        <v>1572</v>
      </c>
      <c r="U22" s="1">
        <f t="shared" ref="U22:X22" si="67">+U18+U19+U20-U21</f>
        <v>831</v>
      </c>
      <c r="V22" s="1">
        <f t="shared" si="67"/>
        <v>4931</v>
      </c>
      <c r="W22" s="1">
        <f t="shared" si="67"/>
        <v>6027</v>
      </c>
      <c r="X22" s="1">
        <f t="shared" si="67"/>
        <v>6706</v>
      </c>
      <c r="Y22" s="1">
        <f t="shared" ref="Y22" si="68">+Y18+Y19+Y20-Y21</f>
        <v>6991.5671999999986</v>
      </c>
      <c r="Z22" s="1">
        <f t="shared" ref="Z22" si="69">+Z18+Z19+Z20-Z21</f>
        <v>7750.0069920000096</v>
      </c>
      <c r="AA22" s="1">
        <f t="shared" ref="AA22" si="70">+AA18+AA19+AA20-AA21</f>
        <v>8612.1138403199948</v>
      </c>
      <c r="AB22" s="1">
        <f t="shared" ref="AB22" si="71">+AB18+AB19+AB20-AB21</f>
        <v>9547.4950213631946</v>
      </c>
      <c r="AC22" s="1">
        <f t="shared" ref="AC22" si="72">+AC18+AC19+AC20-AC21</f>
        <v>10629.117874274114</v>
      </c>
      <c r="AD22" s="1">
        <f t="shared" ref="AD22" si="73">+AD18+AD19+AD20-AD21</f>
        <v>11513.44009158572</v>
      </c>
      <c r="AE22" s="1">
        <f t="shared" ref="AE22" si="74">+AE18+AE19+AE20-AE21</f>
        <v>12454.267915535012</v>
      </c>
    </row>
    <row r="23" spans="3:142" x14ac:dyDescent="0.25">
      <c r="C23" s="1" t="s">
        <v>13</v>
      </c>
      <c r="D23" s="1">
        <v>345</v>
      </c>
      <c r="E23" s="1">
        <v>342</v>
      </c>
      <c r="F23" s="1">
        <v>3</v>
      </c>
      <c r="G23" s="1">
        <f>+V23-F23-E23-D23</f>
        <v>96</v>
      </c>
      <c r="H23" s="1">
        <v>116</v>
      </c>
      <c r="I23" s="1">
        <v>160</v>
      </c>
      <c r="J23" s="1">
        <v>242</v>
      </c>
      <c r="K23" s="1">
        <f>+W23-J23-I23-H23</f>
        <v>182</v>
      </c>
      <c r="L23" s="1">
        <v>300</v>
      </c>
      <c r="M23" s="1">
        <v>213</v>
      </c>
      <c r="U23" s="1">
        <v>575</v>
      </c>
      <c r="V23" s="1">
        <v>786</v>
      </c>
      <c r="W23" s="1">
        <v>700</v>
      </c>
      <c r="X23" s="1">
        <f>+(M23+L23)*2</f>
        <v>1026</v>
      </c>
      <c r="Y23" s="1">
        <f t="shared" ref="Y23:AE23" si="75">+Y22*0.15</f>
        <v>1048.7350799999997</v>
      </c>
      <c r="Z23" s="1">
        <f t="shared" si="75"/>
        <v>1162.5010488000014</v>
      </c>
      <c r="AA23" s="1">
        <f t="shared" si="75"/>
        <v>1291.8170760479991</v>
      </c>
      <c r="AB23" s="1">
        <f t="shared" si="75"/>
        <v>1432.1242532044791</v>
      </c>
      <c r="AC23" s="1">
        <f t="shared" si="75"/>
        <v>1594.3676811411171</v>
      </c>
      <c r="AD23" s="1">
        <f t="shared" si="75"/>
        <v>1727.016013737858</v>
      </c>
      <c r="AE23" s="1">
        <f t="shared" si="75"/>
        <v>1868.1401873302518</v>
      </c>
    </row>
    <row r="24" spans="3:142" s="2" customFormat="1" x14ac:dyDescent="0.25">
      <c r="C24" s="2" t="s">
        <v>14</v>
      </c>
      <c r="D24" s="2">
        <f>+D22-D23</f>
        <v>813</v>
      </c>
      <c r="E24" s="2">
        <f t="shared" ref="E24:L24" si="76">+E22-E23</f>
        <v>1088</v>
      </c>
      <c r="F24" s="2">
        <f t="shared" si="76"/>
        <v>1473</v>
      </c>
      <c r="G24" s="2">
        <f t="shared" si="76"/>
        <v>771</v>
      </c>
      <c r="H24" s="2">
        <f t="shared" si="76"/>
        <v>1126</v>
      </c>
      <c r="I24" s="2">
        <f t="shared" si="76"/>
        <v>1338</v>
      </c>
      <c r="J24" s="2">
        <f t="shared" si="76"/>
        <v>1395</v>
      </c>
      <c r="K24" s="2">
        <f t="shared" si="76"/>
        <v>1468</v>
      </c>
      <c r="L24" s="2">
        <f t="shared" si="76"/>
        <v>1481</v>
      </c>
      <c r="M24" s="2">
        <f t="shared" ref="M24" si="77">+M22-M23</f>
        <v>1359</v>
      </c>
      <c r="U24" s="2">
        <f t="shared" ref="U24" si="78">+U22-U23</f>
        <v>256</v>
      </c>
      <c r="V24" s="2">
        <f t="shared" ref="V24" si="79">+V22-V23</f>
        <v>4145</v>
      </c>
      <c r="W24" s="2">
        <f t="shared" ref="W24" si="80">+W22-W23</f>
        <v>5327</v>
      </c>
      <c r="X24" s="2">
        <f t="shared" ref="X24" si="81">+X22-X23</f>
        <v>5680</v>
      </c>
      <c r="Y24" s="2">
        <f t="shared" ref="Y24" si="82">+Y22-Y23</f>
        <v>5942.8321199999991</v>
      </c>
      <c r="Z24" s="2">
        <f t="shared" ref="Z24" si="83">+Z22-Z23</f>
        <v>6587.505943200008</v>
      </c>
      <c r="AA24" s="2">
        <f t="shared" ref="AA24" si="84">+AA22-AA23</f>
        <v>7320.2967642719959</v>
      </c>
      <c r="AB24" s="2">
        <f t="shared" ref="AB24" si="85">+AB22-AB23</f>
        <v>8115.3707681587157</v>
      </c>
      <c r="AC24" s="2">
        <f t="shared" ref="AC24" si="86">+AC22-AC23</f>
        <v>9034.7501931329971</v>
      </c>
      <c r="AD24" s="2">
        <f t="shared" ref="AD24" si="87">+AD22-AD23</f>
        <v>9786.4240778478634</v>
      </c>
      <c r="AE24" s="2">
        <f t="shared" ref="AE24" si="88">+AE22-AE23</f>
        <v>10586.127728204761</v>
      </c>
      <c r="AF24" s="2">
        <f t="shared" ref="AF24:BK24" si="89">+AE24*(1+TR)</f>
        <v>10903.711560050904</v>
      </c>
      <c r="AG24" s="2">
        <f t="shared" si="89"/>
        <v>11230.822906852432</v>
      </c>
      <c r="AH24" s="2">
        <f t="shared" si="89"/>
        <v>11567.747594058006</v>
      </c>
      <c r="AI24" s="2">
        <f t="shared" si="89"/>
        <v>11914.780021879747</v>
      </c>
      <c r="AJ24" s="2">
        <f t="shared" si="89"/>
        <v>12272.223422536141</v>
      </c>
      <c r="AK24" s="2">
        <f t="shared" si="89"/>
        <v>12640.390125212225</v>
      </c>
      <c r="AL24" s="2">
        <f t="shared" si="89"/>
        <v>13019.601828968593</v>
      </c>
      <c r="AM24" s="2">
        <f t="shared" si="89"/>
        <v>13410.189883837651</v>
      </c>
      <c r="AN24" s="2">
        <f t="shared" si="89"/>
        <v>13812.495580352781</v>
      </c>
      <c r="AO24" s="2">
        <f t="shared" si="89"/>
        <v>14226.870447763366</v>
      </c>
      <c r="AP24" s="2">
        <f t="shared" si="89"/>
        <v>14653.676561196267</v>
      </c>
      <c r="AQ24" s="2">
        <f t="shared" si="89"/>
        <v>15093.286858032156</v>
      </c>
      <c r="AR24" s="2">
        <f t="shared" si="89"/>
        <v>15546.085463773121</v>
      </c>
      <c r="AS24" s="2">
        <f t="shared" si="89"/>
        <v>16012.468027686315</v>
      </c>
      <c r="AT24" s="2">
        <f t="shared" si="89"/>
        <v>16492.842068516904</v>
      </c>
      <c r="AU24" s="2">
        <f t="shared" si="89"/>
        <v>16987.62733057241</v>
      </c>
      <c r="AV24" s="2">
        <f t="shared" si="89"/>
        <v>17497.256150489582</v>
      </c>
      <c r="AW24" s="2">
        <f t="shared" si="89"/>
        <v>18022.173835004269</v>
      </c>
      <c r="AX24" s="2">
        <f t="shared" si="89"/>
        <v>18562.839050054397</v>
      </c>
      <c r="AY24" s="2">
        <f t="shared" si="89"/>
        <v>19119.724221556029</v>
      </c>
      <c r="AZ24" s="2">
        <f t="shared" si="89"/>
        <v>19693.315948202711</v>
      </c>
      <c r="BA24" s="2">
        <f t="shared" si="89"/>
        <v>20284.115426648794</v>
      </c>
      <c r="BB24" s="2">
        <f t="shared" si="89"/>
        <v>20892.638889448259</v>
      </c>
      <c r="BC24" s="2">
        <f t="shared" si="89"/>
        <v>21519.418056131708</v>
      </c>
      <c r="BD24" s="2">
        <f t="shared" si="89"/>
        <v>22165.000597815659</v>
      </c>
      <c r="BE24" s="2">
        <f t="shared" si="89"/>
        <v>22829.950615750127</v>
      </c>
      <c r="BF24" s="2">
        <f t="shared" si="89"/>
        <v>23514.849134222633</v>
      </c>
      <c r="BG24" s="2">
        <f t="shared" si="89"/>
        <v>24220.294608249314</v>
      </c>
      <c r="BH24" s="2">
        <f t="shared" si="89"/>
        <v>24946.903446496795</v>
      </c>
      <c r="BI24" s="2">
        <f t="shared" si="89"/>
        <v>25695.310549891699</v>
      </c>
      <c r="BJ24" s="2">
        <f t="shared" si="89"/>
        <v>26466.169866388453</v>
      </c>
      <c r="BK24" s="2">
        <f t="shared" si="89"/>
        <v>27260.154962380107</v>
      </c>
      <c r="BL24" s="2">
        <f t="shared" ref="BL24:CQ24" si="90">+BK24*(1+TR)</f>
        <v>28077.95961125151</v>
      </c>
      <c r="BM24" s="2">
        <f t="shared" si="90"/>
        <v>28920.298399589057</v>
      </c>
      <c r="BN24" s="2">
        <f t="shared" si="90"/>
        <v>29787.90735157673</v>
      </c>
      <c r="BO24" s="2">
        <f t="shared" si="90"/>
        <v>30681.544572124032</v>
      </c>
      <c r="BP24" s="2">
        <f t="shared" si="90"/>
        <v>31601.990909287753</v>
      </c>
      <c r="BQ24" s="2">
        <f t="shared" si="90"/>
        <v>32550.050636566386</v>
      </c>
      <c r="BR24" s="2">
        <f t="shared" si="90"/>
        <v>33526.552155663376</v>
      </c>
      <c r="BS24" s="2">
        <f t="shared" si="90"/>
        <v>34532.348720333277</v>
      </c>
      <c r="BT24" s="2">
        <f t="shared" si="90"/>
        <v>35568.319181943276</v>
      </c>
      <c r="BU24" s="2">
        <f t="shared" si="90"/>
        <v>36635.368757401578</v>
      </c>
      <c r="BV24" s="2">
        <f t="shared" si="90"/>
        <v>37734.429820123623</v>
      </c>
      <c r="BW24" s="2">
        <f t="shared" si="90"/>
        <v>38866.462714727335</v>
      </c>
      <c r="BX24" s="2">
        <f t="shared" si="90"/>
        <v>40032.456596169155</v>
      </c>
      <c r="BY24" s="2">
        <f t="shared" si="90"/>
        <v>41233.430294054233</v>
      </c>
      <c r="BZ24" s="2">
        <f t="shared" si="90"/>
        <v>42470.433202875858</v>
      </c>
      <c r="CA24" s="2">
        <f t="shared" si="90"/>
        <v>43744.546198962133</v>
      </c>
      <c r="CB24" s="2">
        <f t="shared" si="90"/>
        <v>45056.882584930994</v>
      </c>
      <c r="CC24" s="2">
        <f t="shared" si="90"/>
        <v>46408.589062478924</v>
      </c>
      <c r="CD24" s="2">
        <f t="shared" si="90"/>
        <v>47800.84673435329</v>
      </c>
      <c r="CE24" s="2">
        <f t="shared" si="90"/>
        <v>49234.872136383892</v>
      </c>
      <c r="CF24" s="2">
        <f t="shared" si="90"/>
        <v>50711.918300475409</v>
      </c>
      <c r="CG24" s="2">
        <f t="shared" si="90"/>
        <v>52233.27584948967</v>
      </c>
      <c r="CH24" s="2">
        <f t="shared" si="90"/>
        <v>53800.274124974363</v>
      </c>
      <c r="CI24" s="2">
        <f t="shared" si="90"/>
        <v>55414.282348723595</v>
      </c>
      <c r="CJ24" s="2">
        <f t="shared" si="90"/>
        <v>57076.710819185304</v>
      </c>
      <c r="CK24" s="2">
        <f t="shared" si="90"/>
        <v>58789.012143760861</v>
      </c>
      <c r="CL24" s="2">
        <f t="shared" si="90"/>
        <v>60552.682508073689</v>
      </c>
      <c r="CM24" s="2">
        <f t="shared" si="90"/>
        <v>62369.262983315901</v>
      </c>
      <c r="CN24" s="2">
        <f t="shared" si="90"/>
        <v>64240.340872815381</v>
      </c>
      <c r="CO24" s="2">
        <f t="shared" si="90"/>
        <v>66167.551098999844</v>
      </c>
      <c r="CP24" s="2">
        <f t="shared" si="90"/>
        <v>68152.577631969834</v>
      </c>
      <c r="CQ24" s="2">
        <f t="shared" si="90"/>
        <v>70197.154960928936</v>
      </c>
      <c r="CR24" s="2">
        <f t="shared" ref="CR24:DW24" si="91">+CQ24*(1+TR)</f>
        <v>72303.0696097568</v>
      </c>
      <c r="CS24" s="2">
        <f t="shared" si="91"/>
        <v>74472.161698049502</v>
      </c>
      <c r="CT24" s="2">
        <f t="shared" si="91"/>
        <v>76706.326548990983</v>
      </c>
      <c r="CU24" s="2">
        <f t="shared" si="91"/>
        <v>79007.51634546071</v>
      </c>
      <c r="CV24" s="2">
        <f t="shared" si="91"/>
        <v>81377.741835824534</v>
      </c>
      <c r="CW24" s="2">
        <f t="shared" si="91"/>
        <v>83819.074090899274</v>
      </c>
      <c r="CX24" s="2">
        <f t="shared" si="91"/>
        <v>86333.646313626261</v>
      </c>
      <c r="CY24" s="2">
        <f t="shared" si="91"/>
        <v>88923.655703035052</v>
      </c>
      <c r="CZ24" s="2">
        <f t="shared" si="91"/>
        <v>91591.365374126108</v>
      </c>
      <c r="DA24" s="2">
        <f t="shared" si="91"/>
        <v>94339.10633534989</v>
      </c>
      <c r="DB24" s="2">
        <f t="shared" si="91"/>
        <v>97169.279525410384</v>
      </c>
      <c r="DC24" s="2">
        <f t="shared" si="91"/>
        <v>100084.3579111727</v>
      </c>
      <c r="DD24" s="2">
        <f t="shared" si="91"/>
        <v>103086.88864850788</v>
      </c>
      <c r="DE24" s="2">
        <f t="shared" si="91"/>
        <v>106179.49530796312</v>
      </c>
      <c r="DF24" s="2">
        <f t="shared" si="91"/>
        <v>109364.88016720202</v>
      </c>
      <c r="DG24" s="2">
        <f t="shared" si="91"/>
        <v>112645.82657221808</v>
      </c>
      <c r="DH24" s="2">
        <f t="shared" si="91"/>
        <v>116025.20136938462</v>
      </c>
      <c r="DI24" s="2">
        <f t="shared" si="91"/>
        <v>119505.95741046616</v>
      </c>
      <c r="DJ24" s="2">
        <f t="shared" si="91"/>
        <v>123091.13613278014</v>
      </c>
      <c r="DK24" s="2">
        <f t="shared" si="91"/>
        <v>126783.87021676355</v>
      </c>
      <c r="DL24" s="2">
        <f t="shared" si="91"/>
        <v>130587.38632326646</v>
      </c>
      <c r="DM24" s="2">
        <f t="shared" si="91"/>
        <v>134505.00791296444</v>
      </c>
      <c r="DN24" s="2">
        <f t="shared" si="91"/>
        <v>138540.15815035338</v>
      </c>
      <c r="DO24" s="2">
        <f t="shared" si="91"/>
        <v>142696.362894864</v>
      </c>
      <c r="DP24" s="2">
        <f t="shared" si="91"/>
        <v>146977.25378170991</v>
      </c>
      <c r="DQ24" s="2">
        <f t="shared" si="91"/>
        <v>151386.57139516121</v>
      </c>
      <c r="DR24" s="2">
        <f t="shared" si="91"/>
        <v>155928.16853701606</v>
      </c>
      <c r="DS24" s="2">
        <f t="shared" si="91"/>
        <v>160606.01359312655</v>
      </c>
      <c r="DT24" s="2">
        <f t="shared" si="91"/>
        <v>165424.19400092037</v>
      </c>
      <c r="DU24" s="2">
        <f t="shared" si="91"/>
        <v>170386.91982094798</v>
      </c>
      <c r="DV24" s="2">
        <f t="shared" si="91"/>
        <v>175498.52741557642</v>
      </c>
      <c r="DW24" s="2">
        <f t="shared" si="91"/>
        <v>180763.48323804373</v>
      </c>
      <c r="DX24" s="2">
        <f t="shared" ref="DX24:EL24" si="92">+DW24*(1+TR)</f>
        <v>186186.38773518504</v>
      </c>
      <c r="DY24" s="2">
        <f t="shared" si="92"/>
        <v>191771.97936724059</v>
      </c>
      <c r="DZ24" s="2">
        <f t="shared" si="92"/>
        <v>197525.13874825783</v>
      </c>
      <c r="EA24" s="2">
        <f t="shared" si="92"/>
        <v>203450.89291070556</v>
      </c>
      <c r="EB24" s="2">
        <f t="shared" si="92"/>
        <v>209554.41969802673</v>
      </c>
      <c r="EC24" s="2">
        <f t="shared" si="92"/>
        <v>215841.05228896753</v>
      </c>
      <c r="ED24" s="2">
        <f t="shared" si="92"/>
        <v>222316.28385763656</v>
      </c>
      <c r="EE24" s="2">
        <f t="shared" si="92"/>
        <v>228985.77237336567</v>
      </c>
      <c r="EF24" s="2">
        <f t="shared" si="92"/>
        <v>235855.34554456666</v>
      </c>
      <c r="EG24" s="2">
        <f t="shared" si="92"/>
        <v>242931.00591090368</v>
      </c>
      <c r="EH24" s="2">
        <f t="shared" si="92"/>
        <v>250218.93608823081</v>
      </c>
      <c r="EI24" s="2">
        <f t="shared" si="92"/>
        <v>257725.50417087774</v>
      </c>
      <c r="EJ24" s="2">
        <f t="shared" si="92"/>
        <v>265457.26929600409</v>
      </c>
      <c r="EK24" s="2">
        <f t="shared" si="92"/>
        <v>273420.98737488419</v>
      </c>
      <c r="EL24" s="2">
        <f t="shared" si="92"/>
        <v>281623.61699613073</v>
      </c>
    </row>
    <row r="25" spans="3:142" x14ac:dyDescent="0.25">
      <c r="C25" s="1" t="s">
        <v>29</v>
      </c>
      <c r="D25" s="1">
        <v>1514.1</v>
      </c>
      <c r="E25" s="1">
        <v>1513.5</v>
      </c>
      <c r="F25" s="1">
        <v>1505.9</v>
      </c>
      <c r="G25" s="1">
        <f>+V25</f>
        <v>1508.5</v>
      </c>
      <c r="H25" s="1">
        <v>1497.9</v>
      </c>
      <c r="I25" s="1">
        <v>1489.6</v>
      </c>
      <c r="J25" s="1">
        <v>1479.3</v>
      </c>
      <c r="K25" s="1">
        <f>+W25</f>
        <v>1485.9</v>
      </c>
      <c r="L25" s="1">
        <v>1461.142016</v>
      </c>
      <c r="M25" s="1">
        <v>1455.514944</v>
      </c>
      <c r="U25" s="1">
        <v>1357.8</v>
      </c>
      <c r="V25" s="1">
        <v>1508.5</v>
      </c>
      <c r="W25" s="1">
        <v>1485.9</v>
      </c>
      <c r="X25" s="1">
        <f>+W25</f>
        <v>1485.9</v>
      </c>
      <c r="Y25" s="1">
        <f>+X25+0</f>
        <v>1485.9</v>
      </c>
      <c r="Z25" s="1">
        <f t="shared" ref="Z25:AE25" si="93">+Y25+0</f>
        <v>1485.9</v>
      </c>
      <c r="AA25" s="1">
        <f t="shared" si="93"/>
        <v>1485.9</v>
      </c>
      <c r="AB25" s="1">
        <f t="shared" si="93"/>
        <v>1485.9</v>
      </c>
      <c r="AC25" s="1">
        <f t="shared" si="93"/>
        <v>1485.9</v>
      </c>
      <c r="AD25" s="1">
        <f t="shared" si="93"/>
        <v>1485.9</v>
      </c>
      <c r="AE25" s="1">
        <f t="shared" si="93"/>
        <v>1485.9</v>
      </c>
    </row>
    <row r="26" spans="3:142" s="4" customFormat="1" x14ac:dyDescent="0.25">
      <c r="C26" s="4" t="s">
        <v>30</v>
      </c>
      <c r="D26" s="4">
        <f t="shared" ref="D26:M26" si="94">+D24/D25</f>
        <v>0.53695264513572427</v>
      </c>
      <c r="E26" s="4">
        <f t="shared" si="94"/>
        <v>0.71886356128179718</v>
      </c>
      <c r="F26" s="4">
        <f t="shared" si="94"/>
        <v>0.97815259977422131</v>
      </c>
      <c r="G26" s="4">
        <f t="shared" si="94"/>
        <v>0.5111037454424926</v>
      </c>
      <c r="H26" s="4">
        <f t="shared" si="94"/>
        <v>0.75171907336938371</v>
      </c>
      <c r="I26" s="4">
        <f t="shared" si="94"/>
        <v>0.89822771213748664</v>
      </c>
      <c r="J26" s="4">
        <f t="shared" si="94"/>
        <v>0.943013587507605</v>
      </c>
      <c r="K26" s="4">
        <f t="shared" si="94"/>
        <v>0.98795342889831073</v>
      </c>
      <c r="L26" s="4">
        <f t="shared" si="94"/>
        <v>1.0135907281992773</v>
      </c>
      <c r="M26" s="4">
        <f t="shared" si="94"/>
        <v>0.93369017309107061</v>
      </c>
      <c r="U26" s="4">
        <f>+U24/U25</f>
        <v>0.18854028575637061</v>
      </c>
      <c r="V26" s="4">
        <f>+V24/V25</f>
        <v>2.7477626781571098</v>
      </c>
      <c r="W26" s="4">
        <f>+W24/W25</f>
        <v>3.5850326401507502</v>
      </c>
      <c r="X26" s="4">
        <f>+X24/X25</f>
        <v>3.8225990981896492</v>
      </c>
      <c r="Y26" s="4">
        <f t="shared" ref="Y26:AE26" si="95">+Y24/Y25</f>
        <v>3.9994832222895207</v>
      </c>
      <c r="Z26" s="4">
        <f t="shared" si="95"/>
        <v>4.4333440629921315</v>
      </c>
      <c r="AA26" s="4">
        <f t="shared" si="95"/>
        <v>4.9265070087300593</v>
      </c>
      <c r="AB26" s="4">
        <f t="shared" si="95"/>
        <v>5.4615860879996738</v>
      </c>
      <c r="AC26" s="4">
        <f t="shared" si="95"/>
        <v>6.0803218205350271</v>
      </c>
      <c r="AD26" s="4">
        <f t="shared" si="95"/>
        <v>6.5861929321272381</v>
      </c>
      <c r="AE26" s="4">
        <f t="shared" si="95"/>
        <v>7.1243877301330913</v>
      </c>
    </row>
    <row r="27" spans="3:142" x14ac:dyDescent="0.25">
      <c r="U27" s="6"/>
      <c r="V27" s="6"/>
      <c r="W27" s="6"/>
    </row>
    <row r="28" spans="3:142" s="3" customFormat="1" x14ac:dyDescent="0.25">
      <c r="C28" s="3" t="s">
        <v>31</v>
      </c>
      <c r="D28" s="3">
        <f t="shared" ref="D28:K28" si="96">+D14/D10</f>
        <v>0.17795554389876073</v>
      </c>
      <c r="E28" s="3">
        <f t="shared" si="96"/>
        <v>0.20308564231738035</v>
      </c>
      <c r="F28" s="3">
        <f t="shared" si="96"/>
        <v>0.19268488250169616</v>
      </c>
      <c r="G28" s="3">
        <f t="shared" si="96"/>
        <v>0.20112649612766956</v>
      </c>
      <c r="H28" s="3">
        <f t="shared" si="96"/>
        <v>0.20081445660473402</v>
      </c>
      <c r="I28" s="3">
        <f t="shared" si="96"/>
        <v>0.21196518327816599</v>
      </c>
      <c r="J28" s="3">
        <f t="shared" si="96"/>
        <v>0.20571057754704739</v>
      </c>
      <c r="K28" s="3">
        <f t="shared" si="96"/>
        <v>0.19714806831371248</v>
      </c>
      <c r="U28" s="3">
        <f>+U14/U10</f>
        <v>0.15075900825277891</v>
      </c>
      <c r="V28" s="3">
        <f>+V14/V10</f>
        <v>0.19399577561036219</v>
      </c>
      <c r="W28" s="3">
        <f>+W14/W10</f>
        <v>0.20377493514625639</v>
      </c>
      <c r="X28" s="3">
        <f>+X14/X10</f>
        <v>0.20732359480987361</v>
      </c>
      <c r="Y28" s="3">
        <f t="shared" ref="Y28:AE28" si="97">+Y14/Y10</f>
        <v>0.20461463098086627</v>
      </c>
      <c r="Z28" s="3">
        <f t="shared" si="97"/>
        <v>0.20509144153647466</v>
      </c>
      <c r="AA28" s="3">
        <f t="shared" si="97"/>
        <v>0.20557237065614758</v>
      </c>
      <c r="AB28" s="3">
        <f t="shared" si="97"/>
        <v>0.20605738683263478</v>
      </c>
      <c r="AC28" s="3">
        <f t="shared" si="97"/>
        <v>0.20654645658095716</v>
      </c>
      <c r="AD28" s="3">
        <f t="shared" si="97"/>
        <v>0.20679600060418724</v>
      </c>
      <c r="AE28" s="3">
        <f t="shared" si="97"/>
        <v>0.20704657308425706</v>
      </c>
    </row>
    <row r="29" spans="3:142" s="3" customFormat="1" x14ac:dyDescent="0.25">
      <c r="C29" s="3" t="s">
        <v>33</v>
      </c>
      <c r="D29" s="3">
        <f t="shared" ref="D29:K30" si="98">+(D8-D11)/D8</f>
        <v>0.14489026063100138</v>
      </c>
      <c r="E29" s="3">
        <f t="shared" si="98"/>
        <v>0.17916085064455209</v>
      </c>
      <c r="F29" s="3">
        <f t="shared" si="98"/>
        <v>0.16503122212310437</v>
      </c>
      <c r="G29" s="3">
        <f t="shared" si="98"/>
        <v>0.17318265119120341</v>
      </c>
      <c r="H29" s="3">
        <f t="shared" si="98"/>
        <v>0.17214634968807957</v>
      </c>
      <c r="I29" s="3">
        <f t="shared" si="98"/>
        <v>0.18094305759503998</v>
      </c>
      <c r="J29" s="3">
        <f t="shared" si="98"/>
        <v>0.17740671056757604</v>
      </c>
      <c r="K29" s="3">
        <f t="shared" si="98"/>
        <v>0.16715837950636828</v>
      </c>
      <c r="U29" s="3">
        <f t="shared" ref="U29:X30" si="99">+(U8-U11)/U8</f>
        <v>0.11962418338373462</v>
      </c>
      <c r="V29" s="3">
        <f t="shared" si="99"/>
        <v>0.16592246803328597</v>
      </c>
      <c r="W29" s="3">
        <f t="shared" si="99"/>
        <v>0.17422645894471472</v>
      </c>
      <c r="X29" s="3">
        <f t="shared" si="99"/>
        <v>0.16829528971677227</v>
      </c>
      <c r="Y29" s="3">
        <f t="shared" ref="Y29:AE29" si="100">+(Y8-Y11)/Y8</f>
        <v>0.17</v>
      </c>
      <c r="Z29" s="3">
        <f t="shared" si="100"/>
        <v>0.17000000000000004</v>
      </c>
      <c r="AA29" s="3">
        <f t="shared" si="100"/>
        <v>0.17</v>
      </c>
      <c r="AB29" s="3">
        <f t="shared" si="100"/>
        <v>0.16999999999999998</v>
      </c>
      <c r="AC29" s="3">
        <f t="shared" si="100"/>
        <v>0.17</v>
      </c>
      <c r="AD29" s="3">
        <f t="shared" si="100"/>
        <v>0.17000000000000004</v>
      </c>
      <c r="AE29" s="3">
        <f t="shared" si="100"/>
        <v>0.17000000000000004</v>
      </c>
    </row>
    <row r="30" spans="3:142" s="3" customFormat="1" x14ac:dyDescent="0.25">
      <c r="C30" s="3" t="s">
        <v>34</v>
      </c>
      <c r="D30" s="3">
        <f t="shared" si="98"/>
        <v>0.28547532757178701</v>
      </c>
      <c r="E30" s="3">
        <f t="shared" si="98"/>
        <v>0.2818157254796001</v>
      </c>
      <c r="F30" s="3">
        <f t="shared" si="98"/>
        <v>0.28052550231839257</v>
      </c>
      <c r="G30" s="3">
        <f t="shared" si="98"/>
        <v>0.29381965552178319</v>
      </c>
      <c r="H30" s="3">
        <f t="shared" si="98"/>
        <v>0.28905033731188373</v>
      </c>
      <c r="I30" s="3">
        <f t="shared" si="98"/>
        <v>0.3057199211045365</v>
      </c>
      <c r="J30" s="3">
        <f t="shared" si="98"/>
        <v>0.29177592371871275</v>
      </c>
      <c r="K30" s="3">
        <f t="shared" si="98"/>
        <v>0.29647283126787416</v>
      </c>
      <c r="U30" s="3">
        <f t="shared" si="99"/>
        <v>0.25241181790774797</v>
      </c>
      <c r="V30" s="3">
        <f t="shared" si="99"/>
        <v>0.28548749834634213</v>
      </c>
      <c r="W30" s="3">
        <f t="shared" si="99"/>
        <v>0.29581007300165635</v>
      </c>
      <c r="X30" s="3">
        <f t="shared" si="99"/>
        <v>0.31690065373486231</v>
      </c>
      <c r="Y30" s="3">
        <f t="shared" ref="Y30:AE30" si="101">+(Y9-Y12)/Y9</f>
        <v>0.30000000000000004</v>
      </c>
      <c r="Z30" s="3">
        <f t="shared" si="101"/>
        <v>0.30000000000000004</v>
      </c>
      <c r="AA30" s="3">
        <f t="shared" si="101"/>
        <v>0.3</v>
      </c>
      <c r="AB30" s="3">
        <f t="shared" si="101"/>
        <v>0.30000000000000004</v>
      </c>
      <c r="AC30" s="3">
        <f t="shared" si="101"/>
        <v>0.30000000000000004</v>
      </c>
      <c r="AD30" s="3">
        <f t="shared" si="101"/>
        <v>0.30000000000000004</v>
      </c>
      <c r="AE30" s="3">
        <f t="shared" si="101"/>
        <v>0.30000000000000004</v>
      </c>
    </row>
    <row r="31" spans="3:142" s="3" customFormat="1" x14ac:dyDescent="0.25">
      <c r="C31" s="3" t="s">
        <v>32</v>
      </c>
      <c r="D31" s="3">
        <f t="shared" ref="D31:K31" si="102">+D24/D10</f>
        <v>5.330797980460298E-2</v>
      </c>
      <c r="E31" s="3">
        <f t="shared" si="102"/>
        <v>6.8513853904282121E-2</v>
      </c>
      <c r="F31" s="3">
        <f t="shared" si="102"/>
        <v>9.0853019182137784E-2</v>
      </c>
      <c r="G31" s="3">
        <f t="shared" si="102"/>
        <v>4.5235860126730816E-2</v>
      </c>
      <c r="H31" s="3">
        <f t="shared" si="102"/>
        <v>7.1646729447696608E-2</v>
      </c>
      <c r="I31" s="3">
        <f t="shared" si="102"/>
        <v>8.2015446855461568E-2</v>
      </c>
      <c r="J31" s="3">
        <f t="shared" si="102"/>
        <v>8.2296029732759124E-2</v>
      </c>
      <c r="K31" s="3">
        <f t="shared" si="102"/>
        <v>8.1136351075001376E-2</v>
      </c>
      <c r="U31" s="3">
        <f>+U24/U10</f>
        <v>4.5240072808242172E-3</v>
      </c>
      <c r="V31" s="3">
        <f>+V24/V10</f>
        <v>6.4375349443995769E-2</v>
      </c>
      <c r="W31" s="3">
        <f>+W24/W10</f>
        <v>7.9419745355875607E-2</v>
      </c>
      <c r="X31" s="3">
        <f>+X24/X10</f>
        <v>7.9934701229981142E-2</v>
      </c>
      <c r="Y31" s="3">
        <f t="shared" ref="Y31:AE31" si="103">+Y24/Y10</f>
        <v>7.8510523851597569E-2</v>
      </c>
      <c r="Z31" s="3">
        <f t="shared" si="103"/>
        <v>8.1690805959140037E-2</v>
      </c>
      <c r="AA31" s="3">
        <f t="shared" si="103"/>
        <v>8.5205708638761549E-2</v>
      </c>
      <c r="AB31" s="3">
        <f t="shared" si="103"/>
        <v>8.8655576061383023E-2</v>
      </c>
      <c r="AC31" s="3">
        <f t="shared" si="103"/>
        <v>9.2627748929509354E-2</v>
      </c>
      <c r="AD31" s="3">
        <f t="shared" si="103"/>
        <v>9.5301221789085053E-2</v>
      </c>
      <c r="AE31" s="3">
        <f t="shared" si="103"/>
        <v>9.7915878561855879E-2</v>
      </c>
    </row>
    <row r="33" spans="3:34" s="3" customFormat="1" x14ac:dyDescent="0.25">
      <c r="C33" s="3" t="s">
        <v>33</v>
      </c>
      <c r="D33" s="3">
        <f t="shared" ref="D33:G33" si="104">+(D8-D11)/D8</f>
        <v>0.14489026063100138</v>
      </c>
      <c r="E33" s="3">
        <f t="shared" si="104"/>
        <v>0.17916085064455209</v>
      </c>
      <c r="F33" s="3">
        <f t="shared" si="104"/>
        <v>0.16503122212310437</v>
      </c>
      <c r="G33" s="3">
        <f t="shared" si="104"/>
        <v>0.17318265119120341</v>
      </c>
      <c r="H33" s="3">
        <f>+(H8-H11)/H8</f>
        <v>0.17214634968807957</v>
      </c>
      <c r="I33" s="3">
        <f t="shared" ref="I33:M33" si="105">+(I8-I11)/I8</f>
        <v>0.18094305759503998</v>
      </c>
      <c r="J33" s="3">
        <f t="shared" si="105"/>
        <v>0.17740671056757604</v>
      </c>
      <c r="K33" s="3">
        <f t="shared" si="105"/>
        <v>0.16715837950636828</v>
      </c>
      <c r="L33" s="3">
        <f t="shared" si="105"/>
        <v>0.16321263783530149</v>
      </c>
      <c r="M33" s="3">
        <f t="shared" si="105"/>
        <v>0.17314145104764744</v>
      </c>
      <c r="V33" s="3">
        <f t="shared" ref="V33:AE33" si="106">+(V8-V11)/V8</f>
        <v>0.16592246803328597</v>
      </c>
      <c r="W33" s="3">
        <f t="shared" si="106"/>
        <v>0.17422645894471472</v>
      </c>
      <c r="X33" s="3">
        <f t="shared" si="106"/>
        <v>0.16829528971677227</v>
      </c>
      <c r="Y33" s="3">
        <f t="shared" si="106"/>
        <v>0.17</v>
      </c>
      <c r="Z33" s="3">
        <f t="shared" si="106"/>
        <v>0.17000000000000004</v>
      </c>
      <c r="AA33" s="3">
        <f t="shared" si="106"/>
        <v>0.17</v>
      </c>
      <c r="AB33" s="3">
        <f t="shared" si="106"/>
        <v>0.16999999999999998</v>
      </c>
      <c r="AC33" s="3">
        <f t="shared" si="106"/>
        <v>0.17</v>
      </c>
      <c r="AD33" s="3">
        <f t="shared" si="106"/>
        <v>0.17000000000000004</v>
      </c>
      <c r="AE33" s="3">
        <f t="shared" si="106"/>
        <v>0.17000000000000004</v>
      </c>
    </row>
    <row r="34" spans="3:34" s="3" customFormat="1" x14ac:dyDescent="0.25">
      <c r="C34" s="3" t="s">
        <v>75</v>
      </c>
      <c r="D34" s="3">
        <f t="shared" ref="D34:G34" si="107">+(D9-D12)/D9</f>
        <v>0.28547532757178701</v>
      </c>
      <c r="E34" s="3">
        <f t="shared" si="107"/>
        <v>0.2818157254796001</v>
      </c>
      <c r="F34" s="3">
        <f t="shared" si="107"/>
        <v>0.28052550231839257</v>
      </c>
      <c r="G34" s="3">
        <f t="shared" si="107"/>
        <v>0.29381965552178319</v>
      </c>
      <c r="H34" s="3">
        <f>+(H9-H12)/H9</f>
        <v>0.28905033731188373</v>
      </c>
      <c r="I34" s="3">
        <f t="shared" ref="I34:M34" si="108">+(I9-I12)/I9</f>
        <v>0.3057199211045365</v>
      </c>
      <c r="J34" s="3">
        <f t="shared" si="108"/>
        <v>0.29177592371871275</v>
      </c>
      <c r="K34" s="3">
        <f t="shared" si="108"/>
        <v>0.29647283126787416</v>
      </c>
      <c r="L34" s="3">
        <f t="shared" si="108"/>
        <v>0.33476394849785407</v>
      </c>
      <c r="M34" s="3">
        <f t="shared" si="108"/>
        <v>0.30077487765089722</v>
      </c>
      <c r="V34" s="3">
        <f t="shared" ref="V34:AE34" si="109">+(V9-V12)/V9</f>
        <v>0.28548749834634213</v>
      </c>
      <c r="W34" s="3">
        <f t="shared" si="109"/>
        <v>0.29581007300165635</v>
      </c>
      <c r="X34" s="3">
        <f t="shared" si="109"/>
        <v>0.31690065373486231</v>
      </c>
      <c r="Y34" s="3">
        <f t="shared" si="109"/>
        <v>0.30000000000000004</v>
      </c>
      <c r="Z34" s="3">
        <f t="shared" si="109"/>
        <v>0.30000000000000004</v>
      </c>
      <c r="AA34" s="3">
        <f t="shared" si="109"/>
        <v>0.3</v>
      </c>
      <c r="AB34" s="3">
        <f t="shared" si="109"/>
        <v>0.30000000000000004</v>
      </c>
      <c r="AC34" s="3">
        <f t="shared" si="109"/>
        <v>0.30000000000000004</v>
      </c>
      <c r="AD34" s="3">
        <f t="shared" si="109"/>
        <v>0.30000000000000004</v>
      </c>
      <c r="AE34" s="3">
        <f t="shared" si="109"/>
        <v>0.30000000000000004</v>
      </c>
      <c r="AG34" s="3" t="s">
        <v>71</v>
      </c>
      <c r="AH34" s="3">
        <v>0.1</v>
      </c>
    </row>
    <row r="35" spans="3:34" s="3" customFormat="1" x14ac:dyDescent="0.25">
      <c r="C35" s="3" t="s">
        <v>66</v>
      </c>
      <c r="V35" s="3">
        <f>+V24/U24 -1</f>
        <v>15.19140625</v>
      </c>
      <c r="W35" s="3">
        <f>+W24/V24 -1</f>
        <v>0.28516284680337756</v>
      </c>
      <c r="X35" s="3">
        <f>+X24/W24 -1</f>
        <v>6.6266191101933547E-2</v>
      </c>
      <c r="Y35" s="3">
        <f t="shared" ref="Y35:AE35" si="110">+Y24/X24 -1</f>
        <v>4.6273260563380214E-2</v>
      </c>
      <c r="Z35" s="3">
        <f t="shared" si="110"/>
        <v>0.10847922508704633</v>
      </c>
      <c r="AA35" s="3">
        <f t="shared" si="110"/>
        <v>0.11123949297205815</v>
      </c>
      <c r="AB35" s="3">
        <f t="shared" si="110"/>
        <v>0.10861226388624279</v>
      </c>
      <c r="AC35" s="3">
        <f t="shared" si="110"/>
        <v>0.11328865325310056</v>
      </c>
      <c r="AD35" s="3">
        <f t="shared" si="110"/>
        <v>8.3198081700829762E-2</v>
      </c>
      <c r="AE35" s="3">
        <f t="shared" si="110"/>
        <v>8.1715613792689989E-2</v>
      </c>
      <c r="AG35" s="3" t="s">
        <v>72</v>
      </c>
      <c r="AH35" s="3">
        <v>0.03</v>
      </c>
    </row>
    <row r="36" spans="3:34" x14ac:dyDescent="0.25">
      <c r="AG36" s="1" t="s">
        <v>73</v>
      </c>
      <c r="AH36" s="1">
        <f>NPV(AH34,X24:EW24)</f>
        <v>112741.02836150608</v>
      </c>
    </row>
    <row r="37" spans="3:34" x14ac:dyDescent="0.25">
      <c r="C37" s="1" t="s">
        <v>38</v>
      </c>
      <c r="D37" s="1">
        <v>723</v>
      </c>
      <c r="E37" s="1">
        <f>2049-D37</f>
        <v>1326</v>
      </c>
      <c r="F37" s="1">
        <f>3981-E37-D37</f>
        <v>1932</v>
      </c>
      <c r="H37" s="1">
        <v>476</v>
      </c>
      <c r="I37" s="1">
        <f>1762-H37</f>
        <v>1286</v>
      </c>
      <c r="J37" s="1">
        <f>2540-I37-H37</f>
        <v>778</v>
      </c>
      <c r="U37" s="1">
        <v>4334</v>
      </c>
      <c r="V37" s="1">
        <v>7142</v>
      </c>
      <c r="W37" s="1">
        <v>7168</v>
      </c>
      <c r="AG37" s="2" t="s">
        <v>74</v>
      </c>
      <c r="AH37" s="2">
        <f>+AH36/AE25</f>
        <v>75.873900236561056</v>
      </c>
    </row>
    <row r="38" spans="3:34" x14ac:dyDescent="0.25">
      <c r="C38" s="1" t="s">
        <v>39</v>
      </c>
      <c r="D38" s="1">
        <v>387</v>
      </c>
      <c r="E38" s="1">
        <f>747-D38</f>
        <v>360</v>
      </c>
      <c r="F38" s="1">
        <f>1180-E38-D38</f>
        <v>433</v>
      </c>
      <c r="H38" s="1">
        <v>439</v>
      </c>
      <c r="I38" s="1">
        <f>918-H38</f>
        <v>479</v>
      </c>
      <c r="J38" s="1">
        <f>1433-I38-H38</f>
        <v>515</v>
      </c>
      <c r="U38" s="1">
        <v>1795</v>
      </c>
      <c r="V38" s="1">
        <v>2134</v>
      </c>
      <c r="W38" s="1">
        <v>2288</v>
      </c>
    </row>
    <row r="39" spans="3:34" s="2" customFormat="1" x14ac:dyDescent="0.25">
      <c r="C39" s="2" t="s">
        <v>40</v>
      </c>
      <c r="D39" s="2">
        <f>+D37-D38</f>
        <v>336</v>
      </c>
      <c r="E39" s="2">
        <f>+E37-E38</f>
        <v>966</v>
      </c>
      <c r="F39" s="2">
        <f>+F37-F38</f>
        <v>1499</v>
      </c>
      <c r="G39" s="2">
        <f>+G37-G38</f>
        <v>0</v>
      </c>
      <c r="H39" s="2">
        <f>+H37-H38</f>
        <v>37</v>
      </c>
      <c r="I39" s="2">
        <f t="shared" ref="I39:K39" si="111">+I37-I38</f>
        <v>807</v>
      </c>
      <c r="J39" s="2">
        <f t="shared" si="111"/>
        <v>263</v>
      </c>
      <c r="K39" s="2">
        <f t="shared" si="111"/>
        <v>0</v>
      </c>
      <c r="U39" s="2">
        <f>+U37-U38</f>
        <v>2539</v>
      </c>
      <c r="V39" s="2">
        <f>+V37-V38</f>
        <v>5008</v>
      </c>
      <c r="W39" s="2">
        <f>+W37-W38</f>
        <v>4880</v>
      </c>
    </row>
    <row r="41" spans="3:34" x14ac:dyDescent="0.25">
      <c r="C41" s="1" t="s">
        <v>35</v>
      </c>
      <c r="M41" s="1">
        <v>5391</v>
      </c>
      <c r="V41" s="1">
        <v>7832</v>
      </c>
      <c r="W41" s="1">
        <v>6220</v>
      </c>
    </row>
    <row r="42" spans="3:34" x14ac:dyDescent="0.25">
      <c r="C42" s="1" t="s">
        <v>36</v>
      </c>
      <c r="M42" s="1">
        <v>9903</v>
      </c>
      <c r="V42" s="1">
        <v>9661</v>
      </c>
      <c r="W42" s="1">
        <v>9108</v>
      </c>
    </row>
    <row r="43" spans="3:34" x14ac:dyDescent="0.25">
      <c r="C43" s="1" t="s">
        <v>37</v>
      </c>
      <c r="M43" s="1">
        <v>15000</v>
      </c>
      <c r="V43" s="1">
        <v>14972</v>
      </c>
      <c r="W43" s="1">
        <v>15170</v>
      </c>
    </row>
    <row r="44" spans="3:34" x14ac:dyDescent="0.25">
      <c r="C44" s="1" t="s">
        <v>41</v>
      </c>
      <c r="M44" s="1">
        <f>1554+32723</f>
        <v>34277</v>
      </c>
      <c r="V44" s="1">
        <f>134+24+31327</f>
        <v>31485</v>
      </c>
      <c r="W44" s="1">
        <f>625+595+30694</f>
        <v>31914</v>
      </c>
    </row>
    <row r="45" spans="3:34" x14ac:dyDescent="0.25">
      <c r="C45" s="1" t="s">
        <v>42</v>
      </c>
      <c r="M45" s="1">
        <f>+M41+M43+M42-M44</f>
        <v>-3983</v>
      </c>
      <c r="V45" s="1">
        <f>+V41+V43+V42-V44</f>
        <v>980</v>
      </c>
      <c r="W45" s="1">
        <f>+W41+W43+W42-W44</f>
        <v>-1416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2023-04-05T13:36:48Z</dcterms:created>
  <dcterms:modified xsi:type="dcterms:W3CDTF">2026-02-06T13:44:28Z</dcterms:modified>
</cp:coreProperties>
</file>