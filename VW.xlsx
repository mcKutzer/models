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E2B5276-59DF-4FAC-9E70-FC53D5359370}" xr6:coauthVersionLast="47" xr6:coauthVersionMax="47" xr10:uidLastSave="{00000000-0000-0000-0000-000000000000}"/>
  <bookViews>
    <workbookView xWindow="-120" yWindow="-120" windowWidth="29040" windowHeight="15840" activeTab="1" xr2:uid="{D080BA15-C358-4DAC-B00A-6E71BF52F3E8}"/>
  </bookViews>
  <sheets>
    <sheet name="Main" sheetId="1" r:id="rId1"/>
    <sheet name="Model" sheetId="2" r:id="rId2"/>
  </sheets>
  <definedNames>
    <definedName name="TR">Model!$AA$57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9" i="2" l="1"/>
  <c r="R70" i="2"/>
  <c r="T44" i="2"/>
  <c r="U44" i="2"/>
  <c r="V44" i="2"/>
  <c r="W44" i="2"/>
  <c r="X44" i="2"/>
  <c r="S44" i="2"/>
  <c r="O37" i="2"/>
  <c r="P37" i="2"/>
  <c r="Q37" i="2"/>
  <c r="R37" i="2"/>
  <c r="R53" i="2"/>
  <c r="T43" i="2"/>
  <c r="U43" i="2"/>
  <c r="V43" i="2"/>
  <c r="W43" i="2"/>
  <c r="X43" i="2"/>
  <c r="S43" i="2"/>
  <c r="T41" i="2"/>
  <c r="U41" i="2"/>
  <c r="V41" i="2"/>
  <c r="W41" i="2"/>
  <c r="X41" i="2"/>
  <c r="S41" i="2"/>
  <c r="R56" i="2"/>
  <c r="Q56" i="2"/>
  <c r="R51" i="2"/>
  <c r="R47" i="2"/>
  <c r="R45" i="2"/>
  <c r="R44" i="2"/>
  <c r="R43" i="2"/>
  <c r="R41" i="2"/>
  <c r="R39" i="2"/>
  <c r="R38" i="2"/>
  <c r="Q61" i="2"/>
  <c r="Q51" i="2"/>
  <c r="Q45" i="2"/>
  <c r="R4" i="2"/>
  <c r="S4" i="2" s="1"/>
  <c r="T4" i="2" s="1"/>
  <c r="U4" i="2" s="1"/>
  <c r="V4" i="2" s="1"/>
  <c r="W4" i="2" s="1"/>
  <c r="X4" i="2" s="1"/>
  <c r="Y4" i="2" s="1"/>
  <c r="Z4" i="2" s="1"/>
  <c r="Q10" i="2"/>
  <c r="V5" i="1" l="1"/>
  <c r="U5" i="1"/>
  <c r="T5" i="1"/>
  <c r="S5" i="1"/>
  <c r="R5" i="1"/>
  <c r="W5" i="1"/>
  <c r="Q5" i="1"/>
  <c r="P5" i="1"/>
  <c r="AA5" i="1"/>
  <c r="O5" i="1"/>
  <c r="Z5" i="1"/>
  <c r="N5" i="1"/>
  <c r="Y5" i="1"/>
  <c r="M5" i="1"/>
  <c r="X5" i="1"/>
  <c r="L5" i="1"/>
  <c r="F53" i="2"/>
  <c r="F47" i="2"/>
  <c r="F44" i="2"/>
  <c r="F41" i="2"/>
  <c r="F39" i="2"/>
  <c r="S38" i="2"/>
  <c r="T38" i="2" s="1"/>
  <c r="U38" i="2" s="1"/>
  <c r="V38" i="2" s="1"/>
  <c r="W38" i="2" s="1"/>
  <c r="X38" i="2" s="1"/>
  <c r="G5" i="1"/>
  <c r="P42" i="2"/>
  <c r="O10" i="2"/>
  <c r="P10" i="2"/>
  <c r="P61" i="2"/>
  <c r="O61" i="2"/>
  <c r="O51" i="2"/>
  <c r="O45" i="2"/>
  <c r="P51" i="2"/>
  <c r="P45" i="2"/>
  <c r="O42" i="2"/>
  <c r="O56" i="2" s="1"/>
  <c r="O1" i="2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E40" i="2"/>
  <c r="D60" i="2"/>
  <c r="E60" i="2" s="1"/>
  <c r="D59" i="2"/>
  <c r="D43" i="2"/>
  <c r="F43" i="2" s="1"/>
  <c r="G71" i="2"/>
  <c r="G70" i="2"/>
  <c r="G66" i="2"/>
  <c r="G68" i="2"/>
  <c r="G61" i="2"/>
  <c r="C61" i="2"/>
  <c r="G6" i="1" l="1"/>
  <c r="G7" i="1" s="1"/>
  <c r="F45" i="2"/>
  <c r="F51" i="2"/>
  <c r="P46" i="2"/>
  <c r="P52" i="2" s="1"/>
  <c r="P54" i="2" s="1"/>
  <c r="P57" i="2" s="1"/>
  <c r="G69" i="2"/>
  <c r="P56" i="2"/>
  <c r="D61" i="2"/>
  <c r="S39" i="2"/>
  <c r="T39" i="2" s="1"/>
  <c r="U39" i="2" s="1"/>
  <c r="V39" i="2" s="1"/>
  <c r="W39" i="2" s="1"/>
  <c r="X39" i="2" s="1"/>
  <c r="X40" i="2" s="1"/>
  <c r="X42" i="2" s="1"/>
  <c r="R40" i="2"/>
  <c r="R42" i="2" s="1"/>
  <c r="R46" i="2" s="1"/>
  <c r="R52" i="2" s="1"/>
  <c r="E59" i="2"/>
  <c r="E61" i="2" s="1"/>
  <c r="O46" i="2"/>
  <c r="O52" i="2" s="1"/>
  <c r="O54" i="2" s="1"/>
  <c r="O57" i="2" s="1"/>
  <c r="G72" i="2"/>
  <c r="G73" i="2" s="1"/>
  <c r="E42" i="2"/>
  <c r="E46" i="2" s="1"/>
  <c r="E52" i="2" s="1"/>
  <c r="E54" i="2" s="1"/>
  <c r="H42" i="2"/>
  <c r="H46" i="2" s="1"/>
  <c r="H52" i="2" s="1"/>
  <c r="H54" i="2" s="1"/>
  <c r="I42" i="2"/>
  <c r="I46" i="2" s="1"/>
  <c r="I52" i="2" s="1"/>
  <c r="I54" i="2" s="1"/>
  <c r="J42" i="2"/>
  <c r="J46" i="2" s="1"/>
  <c r="J52" i="2" s="1"/>
  <c r="J54" i="2" s="1"/>
  <c r="G38" i="2"/>
  <c r="G40" i="2" s="1"/>
  <c r="G42" i="2" s="1"/>
  <c r="C38" i="2"/>
  <c r="G10" i="2"/>
  <c r="C10" i="2"/>
  <c r="Q42" i="2" l="1"/>
  <c r="Q46" i="2" s="1"/>
  <c r="Q52" i="2" s="1"/>
  <c r="Q54" i="2" s="1"/>
  <c r="T40" i="2"/>
  <c r="T42" i="2" s="1"/>
  <c r="T46" i="2" s="1"/>
  <c r="T52" i="2" s="1"/>
  <c r="T53" i="2" s="1"/>
  <c r="T54" i="2" s="1"/>
  <c r="S40" i="2"/>
  <c r="S42" i="2" s="1"/>
  <c r="V40" i="2"/>
  <c r="V42" i="2" s="1"/>
  <c r="V46" i="2" s="1"/>
  <c r="V52" i="2" s="1"/>
  <c r="W40" i="2"/>
  <c r="W42" i="2" s="1"/>
  <c r="C40" i="2"/>
  <c r="C42" i="2" s="1"/>
  <c r="D38" i="2"/>
  <c r="U40" i="2"/>
  <c r="U42" i="2" s="1"/>
  <c r="U46" i="2" s="1"/>
  <c r="U52" i="2" s="1"/>
  <c r="R54" i="2"/>
  <c r="G56" i="2"/>
  <c r="G46" i="2"/>
  <c r="G52" i="2" s="1"/>
  <c r="G54" i="2" s="1"/>
  <c r="G57" i="2" s="1"/>
  <c r="S46" i="2" l="1"/>
  <c r="S52" i="2" s="1"/>
  <c r="S53" i="2" s="1"/>
  <c r="S54" i="2" s="1"/>
  <c r="S56" i="2"/>
  <c r="F38" i="2"/>
  <c r="D40" i="2"/>
  <c r="V53" i="2"/>
  <c r="V54" i="2" s="1"/>
  <c r="U53" i="2"/>
  <c r="U54" i="2" s="1"/>
  <c r="W46" i="2"/>
  <c r="W52" i="2" s="1"/>
  <c r="X46" i="2"/>
  <c r="X52" i="2" s="1"/>
  <c r="C46" i="2"/>
  <c r="C52" i="2" s="1"/>
  <c r="C54" i="2" s="1"/>
  <c r="C57" i="2" s="1"/>
  <c r="C56" i="2"/>
  <c r="F40" i="2" l="1"/>
  <c r="F42" i="2" s="1"/>
  <c r="F46" i="2" s="1"/>
  <c r="F52" i="2" s="1"/>
  <c r="F54" i="2" s="1"/>
  <c r="D42" i="2"/>
  <c r="D46" i="2" s="1"/>
  <c r="D52" i="2" s="1"/>
  <c r="D54" i="2" s="1"/>
  <c r="X53" i="2"/>
  <c r="X54" i="2" s="1"/>
  <c r="Y54" i="2" s="1"/>
  <c r="Z54" i="2" s="1"/>
  <c r="AA54" i="2" s="1"/>
  <c r="AB54" i="2" s="1"/>
  <c r="AC54" i="2" s="1"/>
  <c r="AD54" i="2" s="1"/>
  <c r="AE54" i="2" s="1"/>
  <c r="AF54" i="2" s="1"/>
  <c r="AG54" i="2" s="1"/>
  <c r="AH54" i="2" s="1"/>
  <c r="AI54" i="2" s="1"/>
  <c r="AJ54" i="2" s="1"/>
  <c r="AK54" i="2" s="1"/>
  <c r="AL54" i="2" s="1"/>
  <c r="AM54" i="2" s="1"/>
  <c r="AN54" i="2" s="1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Y54" i="2" s="1"/>
  <c r="AZ54" i="2" s="1"/>
  <c r="BA54" i="2" s="1"/>
  <c r="BB54" i="2" s="1"/>
  <c r="BC54" i="2" s="1"/>
  <c r="BD54" i="2" s="1"/>
  <c r="BE54" i="2" s="1"/>
  <c r="BF54" i="2" s="1"/>
  <c r="BG54" i="2" s="1"/>
  <c r="BH54" i="2" s="1"/>
  <c r="BI54" i="2" s="1"/>
  <c r="BJ54" i="2" s="1"/>
  <c r="BK54" i="2" s="1"/>
  <c r="BL54" i="2" s="1"/>
  <c r="BM54" i="2" s="1"/>
  <c r="BN54" i="2" s="1"/>
  <c r="BO54" i="2" s="1"/>
  <c r="BP54" i="2" s="1"/>
  <c r="BQ54" i="2" s="1"/>
  <c r="BR54" i="2" s="1"/>
  <c r="BS54" i="2" s="1"/>
  <c r="BT54" i="2" s="1"/>
  <c r="BU54" i="2" s="1"/>
  <c r="BV54" i="2" s="1"/>
  <c r="BW54" i="2" s="1"/>
  <c r="BX54" i="2" s="1"/>
  <c r="BY54" i="2" s="1"/>
  <c r="BZ54" i="2" s="1"/>
  <c r="CA54" i="2" s="1"/>
  <c r="CB54" i="2" s="1"/>
  <c r="CC54" i="2" s="1"/>
  <c r="CD54" i="2" s="1"/>
  <c r="CE54" i="2" s="1"/>
  <c r="CF54" i="2" s="1"/>
  <c r="CG54" i="2" s="1"/>
  <c r="CH54" i="2" s="1"/>
  <c r="CI54" i="2" s="1"/>
  <c r="CJ54" i="2" s="1"/>
  <c r="CK54" i="2" s="1"/>
  <c r="CL54" i="2" s="1"/>
  <c r="CM54" i="2" s="1"/>
  <c r="CN54" i="2" s="1"/>
  <c r="CO54" i="2" s="1"/>
  <c r="CP54" i="2" s="1"/>
  <c r="CQ54" i="2" s="1"/>
  <c r="CR54" i="2" s="1"/>
  <c r="CS54" i="2" s="1"/>
  <c r="CT54" i="2" s="1"/>
  <c r="CU54" i="2" s="1"/>
  <c r="CV54" i="2" s="1"/>
  <c r="CW54" i="2" s="1"/>
  <c r="CX54" i="2" s="1"/>
  <c r="CY54" i="2" s="1"/>
  <c r="CZ54" i="2" s="1"/>
  <c r="DA54" i="2" s="1"/>
  <c r="DB54" i="2" s="1"/>
  <c r="DC54" i="2" s="1"/>
  <c r="DD54" i="2" s="1"/>
  <c r="DE54" i="2" s="1"/>
  <c r="DF54" i="2" s="1"/>
  <c r="DG54" i="2" s="1"/>
  <c r="DH54" i="2" s="1"/>
  <c r="DI54" i="2" s="1"/>
  <c r="DJ54" i="2" s="1"/>
  <c r="DK54" i="2" s="1"/>
  <c r="DL54" i="2" s="1"/>
  <c r="DM54" i="2" s="1"/>
  <c r="DN54" i="2" s="1"/>
  <c r="DO54" i="2" s="1"/>
  <c r="DP54" i="2" s="1"/>
  <c r="DQ54" i="2" s="1"/>
  <c r="DR54" i="2" s="1"/>
  <c r="DS54" i="2" s="1"/>
  <c r="DT54" i="2" s="1"/>
  <c r="DU54" i="2" s="1"/>
  <c r="DV54" i="2" s="1"/>
  <c r="DW54" i="2" s="1"/>
  <c r="DX54" i="2" s="1"/>
  <c r="DY54" i="2" s="1"/>
  <c r="DZ54" i="2" s="1"/>
  <c r="EA54" i="2" s="1"/>
  <c r="EB54" i="2" s="1"/>
  <c r="EC54" i="2" s="1"/>
  <c r="ED54" i="2" s="1"/>
  <c r="EE54" i="2" s="1"/>
  <c r="EF54" i="2" s="1"/>
  <c r="EG54" i="2" s="1"/>
  <c r="EH54" i="2" s="1"/>
  <c r="EI54" i="2" s="1"/>
  <c r="EJ54" i="2" s="1"/>
  <c r="EK54" i="2" s="1"/>
  <c r="EL54" i="2" s="1"/>
  <c r="EM54" i="2" s="1"/>
  <c r="EN54" i="2" s="1"/>
  <c r="EO54" i="2" s="1"/>
  <c r="EP54" i="2" s="1"/>
  <c r="EQ54" i="2" s="1"/>
  <c r="ER54" i="2" s="1"/>
  <c r="ES54" i="2" s="1"/>
  <c r="ET54" i="2" s="1"/>
  <c r="EU54" i="2" s="1"/>
  <c r="EV54" i="2" s="1"/>
  <c r="EW54" i="2" s="1"/>
  <c r="EX54" i="2" s="1"/>
  <c r="EY54" i="2" s="1"/>
  <c r="EZ54" i="2" s="1"/>
  <c r="FA54" i="2" s="1"/>
  <c r="FB54" i="2" s="1"/>
  <c r="FC54" i="2" s="1"/>
  <c r="FD54" i="2" s="1"/>
  <c r="FE54" i="2" s="1"/>
  <c r="FF54" i="2" s="1"/>
  <c r="FG54" i="2" s="1"/>
  <c r="FH54" i="2" s="1"/>
  <c r="FI54" i="2" s="1"/>
  <c r="FJ54" i="2" s="1"/>
  <c r="FK54" i="2" s="1"/>
  <c r="FL54" i="2" s="1"/>
  <c r="FM54" i="2" s="1"/>
  <c r="FN54" i="2" s="1"/>
  <c r="FO54" i="2" s="1"/>
  <c r="W53" i="2"/>
  <c r="W54" i="2" s="1"/>
  <c r="AA58" i="2" l="1"/>
  <c r="AA60" i="2" s="1"/>
  <c r="AA61" i="2" s="1"/>
  <c r="AA62" i="2" s="1"/>
</calcChain>
</file>

<file path=xl/sharedStrings.xml><?xml version="1.0" encoding="utf-8"?>
<sst xmlns="http://schemas.openxmlformats.org/spreadsheetml/2006/main" count="130" uniqueCount="102">
  <si>
    <t>Westeurope</t>
  </si>
  <si>
    <t>Easteurope</t>
  </si>
  <si>
    <t>Other</t>
  </si>
  <si>
    <t>Northamerica</t>
  </si>
  <si>
    <t>Asian Pacific</t>
  </si>
  <si>
    <t>Worldwide</t>
  </si>
  <si>
    <t>Southamerica</t>
  </si>
  <si>
    <t>Other Market</t>
  </si>
  <si>
    <t>Skoda</t>
  </si>
  <si>
    <t>SEAT</t>
  </si>
  <si>
    <t>VW Pkw</t>
  </si>
  <si>
    <t>Audi</t>
  </si>
  <si>
    <t>Lamorghini</t>
  </si>
  <si>
    <t>Bentley</t>
  </si>
  <si>
    <t>Porsche</t>
  </si>
  <si>
    <t>Q122</t>
  </si>
  <si>
    <t>Q222</t>
  </si>
  <si>
    <t>Q322</t>
  </si>
  <si>
    <t>Q422</t>
  </si>
  <si>
    <t>Q123</t>
  </si>
  <si>
    <t>Q223</t>
  </si>
  <si>
    <t>Q323</t>
  </si>
  <si>
    <t>Q423</t>
  </si>
  <si>
    <t>Cars Sold:</t>
  </si>
  <si>
    <t>Scania</t>
  </si>
  <si>
    <t>MAN</t>
  </si>
  <si>
    <t>Navistar</t>
  </si>
  <si>
    <t>VW Truck&amp;Bus</t>
  </si>
  <si>
    <t>Nutzfahrzeug</t>
  </si>
  <si>
    <t>Pkw</t>
  </si>
  <si>
    <t>Revenue</t>
  </si>
  <si>
    <t>Operating Income</t>
  </si>
  <si>
    <t>Lkw</t>
  </si>
  <si>
    <t>Pwr</t>
  </si>
  <si>
    <t>Automobile</t>
  </si>
  <si>
    <t xml:space="preserve">Finance </t>
  </si>
  <si>
    <t>Total Revenue</t>
  </si>
  <si>
    <t>COGS</t>
  </si>
  <si>
    <t>Gross Profit</t>
  </si>
  <si>
    <t>Verwaltung</t>
  </si>
  <si>
    <t>Vertrieb</t>
  </si>
  <si>
    <t>Equity Income</t>
  </si>
  <si>
    <t>Interest Income</t>
  </si>
  <si>
    <t>Pretax</t>
  </si>
  <si>
    <t>Taxes</t>
  </si>
  <si>
    <t>Net Income</t>
  </si>
  <si>
    <t>Gross Margin</t>
  </si>
  <si>
    <t>Net Margin</t>
  </si>
  <si>
    <t>CFFO</t>
  </si>
  <si>
    <t>CapEx</t>
  </si>
  <si>
    <t>FCF</t>
  </si>
  <si>
    <t>Cash</t>
  </si>
  <si>
    <t>PP&amp;E</t>
  </si>
  <si>
    <t>NAV</t>
  </si>
  <si>
    <t>Investments</t>
  </si>
  <si>
    <t>AR from Finance</t>
  </si>
  <si>
    <t>Finance stuff</t>
  </si>
  <si>
    <t>Finance Debt</t>
  </si>
  <si>
    <t>Other Debt</t>
  </si>
  <si>
    <t>Total Debt</t>
  </si>
  <si>
    <t>LT Finance</t>
  </si>
  <si>
    <t>Total Assets</t>
  </si>
  <si>
    <t>Net Cash</t>
  </si>
  <si>
    <t>Discount</t>
  </si>
  <si>
    <t>Terminal</t>
  </si>
  <si>
    <t>NPV</t>
  </si>
  <si>
    <t>Value</t>
  </si>
  <si>
    <t>Price</t>
  </si>
  <si>
    <t>Shares</t>
  </si>
  <si>
    <t>MC</t>
  </si>
  <si>
    <t>EV</t>
  </si>
  <si>
    <t>Deliveries</t>
  </si>
  <si>
    <t>Western Europe</t>
  </si>
  <si>
    <t>Eastern Europe</t>
  </si>
  <si>
    <t>North America</t>
  </si>
  <si>
    <t>South America</t>
  </si>
  <si>
    <t>China</t>
  </si>
  <si>
    <t>Asian Pacific Rest</t>
  </si>
  <si>
    <t>Middle East/Africa</t>
  </si>
  <si>
    <t>February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</si>
  <si>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</si>
  <si>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</si>
  <si>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</si>
  <si>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</si>
  <si>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</si>
  <si>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</si>
  <si>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</si>
  <si>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</si>
  <si>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</si>
  <si>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</si>
  <si>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</si>
  <si>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Volume</t>
  </si>
  <si>
    <t>Seat</t>
  </si>
  <si>
    <t>VW Commercial</t>
  </si>
  <si>
    <t>Lambo/Bentley</t>
  </si>
  <si>
    <t>VW Truck &amp; Bus</t>
  </si>
  <si>
    <t>Trucks Sold:</t>
  </si>
  <si>
    <t>Eruope</t>
  </si>
  <si>
    <t>Asia</t>
  </si>
  <si>
    <t>Finance, net</t>
  </si>
  <si>
    <t>Interest Expense</t>
  </si>
  <si>
    <t>Other Fiannce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</si>
</sst>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#,##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3" fontId="4" fillId="0" borderId="0" xfId="0" applyNumberFormat="1" applyFont="1"/>
    <xf numFmtId="9" fontId="0" fillId="0" borderId="0" xfId="1" applyFont="1"/>
    <xf numFmtId="164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598885</xdr:colOff>
      <xdr:row>2</xdr:row>
      <xdr:rowOff>184546</xdr:rowOff>
    </xdr:from>
    <xdr:to>
      <xdr:col>16</xdr:col>
      <xdr:colOff>598885</xdr:colOff>
      <xdr:row>60</xdr:row>
      <xdr:rowOff>184546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AA38D57-168F-7526-A347-2372D51EDAF4}"/>
            </a:ext>
          </a:extLst>
        </xdr:cNvPr>
        <xdr:cNvCxnSpPr/>
      </xdr:nvCxnSpPr>
      <xdr:spPr>
        <a:xfrm>
          <a:off x="10546557" y="565546"/>
          <a:ext cx="0" cy="1104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41F3-FDC2-42CC-9A46-57F7B6A2F132}">
  <dimension ref="B2:AI27"/>
  <sheetViews>
    <sheetView workbookViewId="0">
      <selection activeCell="G4" sqref="G4"/>
    </sheetView>
  </sheetViews>
  <sheetFormatPr defaultRowHeight="15" x14ac:dyDescent="0.25"/>
  <cols>
    <col min="2" max="2" width="12.5703125" bestFit="1" customWidth="1"/>
    <col min="11" max="11" width="17.5703125" style="2" bestFit="1" customWidth="1"/>
    <col min="12" max="12" width="8.42578125" style="2" customWidth="1"/>
    <col min="13" max="19" width="9.140625" style="2"/>
    <col min="20" max="20" width="10.85546875" style="2" bestFit="1" customWidth="1"/>
    <col min="21" max="21" width="9.140625" style="2"/>
    <col min="22" max="22" width="10.42578125" style="2" bestFit="1" customWidth="1"/>
    <col min="23" max="23" width="10.140625" style="2" bestFit="1" customWidth="1"/>
    <col min="24" max="31" width="9.140625" style="2"/>
    <col min="32" max="32" width="10.85546875" style="2" bestFit="1" customWidth="1"/>
    <col min="33" max="33" width="9.140625" style="2"/>
    <col min="34" max="34" width="10.42578125" style="2" bestFit="1" customWidth="1"/>
    <col min="35" max="35" width="9.140625" style="2"/>
  </cols>
  <sheetData>
    <row r="2" spans="2:35" x14ac:dyDescent="0.25">
      <c r="L2" s="1">
        <v>2022</v>
      </c>
      <c r="M2"/>
      <c r="N2"/>
      <c r="O2"/>
      <c r="P2"/>
      <c r="Q2"/>
      <c r="R2"/>
      <c r="S2"/>
      <c r="T2"/>
      <c r="U2"/>
      <c r="V2"/>
      <c r="W2"/>
      <c r="X2" s="1">
        <v>2023</v>
      </c>
    </row>
    <row r="3" spans="2:35" x14ac:dyDescent="0.25">
      <c r="F3" t="s">
        <v>67</v>
      </c>
      <c r="G3">
        <v>88</v>
      </c>
      <c r="L3" s="2" t="s">
        <v>80</v>
      </c>
      <c r="M3" s="2" t="s">
        <v>79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  <c r="W3" s="2" t="s">
        <v>90</v>
      </c>
      <c r="X3" s="2" t="s">
        <v>80</v>
      </c>
      <c r="Y3" s="2" t="s">
        <v>79</v>
      </c>
      <c r="Z3" s="2" t="s">
        <v>81</v>
      </c>
      <c r="AA3" s="2" t="s">
        <v>82</v>
      </c>
      <c r="AB3" s="2" t="s">
        <v>83</v>
      </c>
      <c r="AC3" s="2" t="s">
        <v>84</v>
      </c>
      <c r="AD3" s="2" t="s">
        <v>85</v>
      </c>
      <c r="AE3" s="2" t="s">
        <v>86</v>
      </c>
      <c r="AF3" s="2" t="s">
        <v>87</v>
      </c>
      <c r="AG3" s="2" t="s">
        <v>88</v>
      </c>
      <c r="AH3" s="2" t="s">
        <v>89</v>
      </c>
      <c r="AI3" s="2" t="s">
        <v>90</v>
      </c>
    </row>
    <row r="4" spans="2:35" x14ac:dyDescent="0.25">
      <c r="F4" t="s">
        <v>68</v>
      </c>
      <c r="G4">
        <v>501.29526299999998</v>
      </c>
    </row>
    <row r="5" spans="2:35" x14ac:dyDescent="0.25">
      <c r="B5" s="1"/>
      <c r="F5" t="s">
        <v>69</v>
      </c>
      <c r="G5">
        <f>+G3*G4</f>
        <v>44113.983143999998</v>
      </c>
      <c r="K5" s="3" t="s">
        <v>71</v>
      </c>
      <c r="L5" s="3">
        <f t="shared" ref="L5:AA5" si="0">+SUM(L6:L12)</f>
        <v>699500</v>
      </c>
      <c r="M5" s="3">
        <f t="shared" si="0"/>
        <v>543100</v>
      </c>
      <c r="N5" s="3">
        <f t="shared" si="0"/>
        <v>655500</v>
      </c>
      <c r="O5" s="3">
        <f t="shared" si="0"/>
        <v>516400</v>
      </c>
      <c r="P5" s="3">
        <f t="shared" si="0"/>
        <v>658100</v>
      </c>
      <c r="Q5" s="3">
        <f t="shared" si="0"/>
        <v>802000</v>
      </c>
      <c r="R5" s="3">
        <f t="shared" si="0"/>
        <v>725500</v>
      </c>
      <c r="S5" s="3">
        <f t="shared" si="0"/>
        <v>700200</v>
      </c>
      <c r="T5" s="3">
        <f t="shared" si="0"/>
        <v>755800</v>
      </c>
      <c r="U5" s="3">
        <f t="shared" si="0"/>
        <v>691800</v>
      </c>
      <c r="V5" s="3">
        <f t="shared" si="0"/>
        <v>672300</v>
      </c>
      <c r="W5" s="3">
        <f t="shared" si="0"/>
        <v>842300</v>
      </c>
      <c r="X5" s="3">
        <f t="shared" si="0"/>
        <v>616300</v>
      </c>
      <c r="Y5" s="3">
        <f t="shared" si="0"/>
        <v>611700</v>
      </c>
      <c r="Z5" s="3">
        <f t="shared" si="0"/>
        <v>812200</v>
      </c>
      <c r="AA5" s="3">
        <f t="shared" si="0"/>
        <v>720100</v>
      </c>
      <c r="AB5" s="3"/>
      <c r="AC5" s="3"/>
      <c r="AD5" s="3"/>
      <c r="AE5" s="3"/>
      <c r="AF5" s="3"/>
      <c r="AG5" s="3"/>
      <c r="AH5" s="3"/>
      <c r="AI5" s="3"/>
    </row>
    <row r="6" spans="2:35" x14ac:dyDescent="0.25">
      <c r="F6" t="s">
        <v>62</v>
      </c>
      <c r="G6" s="2">
        <f>+Model!AA59</f>
        <v>-176541</v>
      </c>
      <c r="K6" s="2" t="s">
        <v>72</v>
      </c>
      <c r="L6" s="2">
        <v>192500</v>
      </c>
      <c r="M6" s="2">
        <v>183800</v>
      </c>
      <c r="N6" s="2">
        <v>250700</v>
      </c>
      <c r="O6" s="2">
        <v>197900</v>
      </c>
      <c r="P6" s="2">
        <v>226300</v>
      </c>
      <c r="Q6" s="2">
        <v>243700</v>
      </c>
      <c r="R6" s="2">
        <v>226100</v>
      </c>
      <c r="S6" s="2">
        <v>191500</v>
      </c>
      <c r="T6" s="2">
        <v>244500</v>
      </c>
      <c r="U6" s="2">
        <v>229400</v>
      </c>
      <c r="V6" s="2">
        <v>247700</v>
      </c>
      <c r="W6" s="2">
        <v>277200</v>
      </c>
      <c r="X6" s="2">
        <v>231400</v>
      </c>
      <c r="Y6" s="2">
        <v>228700</v>
      </c>
      <c r="Z6" s="2">
        <v>335300</v>
      </c>
      <c r="AA6" s="2">
        <v>254700</v>
      </c>
    </row>
    <row r="7" spans="2:35" x14ac:dyDescent="0.25">
      <c r="F7" t="s">
        <v>70</v>
      </c>
      <c r="G7" s="2">
        <f>+G5-G6</f>
        <v>220654.983144</v>
      </c>
      <c r="K7" s="2" t="s">
        <v>73</v>
      </c>
      <c r="L7" s="2">
        <v>38900</v>
      </c>
      <c r="M7" s="2">
        <v>42800</v>
      </c>
      <c r="N7" s="2">
        <v>39300</v>
      </c>
      <c r="O7" s="2">
        <v>31000</v>
      </c>
      <c r="P7" s="2">
        <v>35400</v>
      </c>
      <c r="Q7" s="2">
        <v>39700</v>
      </c>
      <c r="R7" s="2">
        <v>36400</v>
      </c>
      <c r="S7" s="2">
        <v>31600</v>
      </c>
      <c r="T7" s="2">
        <v>37300</v>
      </c>
      <c r="U7" s="2">
        <v>35700</v>
      </c>
      <c r="V7" s="2">
        <v>36700</v>
      </c>
      <c r="W7" s="2">
        <v>37200</v>
      </c>
      <c r="X7" s="2">
        <v>29900</v>
      </c>
      <c r="Y7" s="2">
        <v>35900</v>
      </c>
      <c r="Z7" s="2">
        <v>48100</v>
      </c>
      <c r="AA7" s="2">
        <v>44100</v>
      </c>
    </row>
    <row r="8" spans="2:35" x14ac:dyDescent="0.25">
      <c r="K8" s="2" t="s">
        <v>74</v>
      </c>
      <c r="L8" s="2">
        <v>58000</v>
      </c>
      <c r="M8" s="2">
        <v>55600</v>
      </c>
      <c r="N8" s="2">
        <v>63800</v>
      </c>
      <c r="O8" s="2">
        <v>71900</v>
      </c>
      <c r="P8" s="2">
        <v>73600</v>
      </c>
      <c r="Q8" s="2">
        <v>78900</v>
      </c>
      <c r="R8" s="2">
        <v>78600</v>
      </c>
      <c r="S8" s="2">
        <v>76700</v>
      </c>
      <c r="T8" s="2">
        <v>74200</v>
      </c>
      <c r="U8" s="2">
        <v>69800</v>
      </c>
      <c r="V8" s="2">
        <v>63900</v>
      </c>
      <c r="W8" s="2">
        <v>77600</v>
      </c>
      <c r="X8" s="2">
        <v>67000</v>
      </c>
      <c r="Y8" s="2">
        <v>69900</v>
      </c>
      <c r="Z8" s="2">
        <v>79900</v>
      </c>
      <c r="AA8" s="2">
        <v>78300</v>
      </c>
    </row>
    <row r="9" spans="2:35" x14ac:dyDescent="0.25">
      <c r="K9" s="2" t="s">
        <v>75</v>
      </c>
      <c r="L9" s="2">
        <v>27200</v>
      </c>
      <c r="M9" s="2">
        <v>25700</v>
      </c>
      <c r="N9" s="2">
        <v>29200</v>
      </c>
      <c r="O9" s="2">
        <v>25300</v>
      </c>
      <c r="P9" s="2">
        <v>42400</v>
      </c>
      <c r="Q9" s="2">
        <v>43400</v>
      </c>
      <c r="R9" s="2">
        <v>46900</v>
      </c>
      <c r="S9" s="2">
        <v>52100</v>
      </c>
      <c r="T9" s="2">
        <v>45300</v>
      </c>
      <c r="U9" s="2">
        <v>41200</v>
      </c>
      <c r="V9" s="2">
        <v>46100</v>
      </c>
      <c r="W9" s="2">
        <v>48900</v>
      </c>
      <c r="X9" s="2">
        <v>35500</v>
      </c>
      <c r="Y9" s="2">
        <v>29400</v>
      </c>
      <c r="Z9" s="2">
        <v>38800</v>
      </c>
      <c r="AA9" s="2">
        <v>33900</v>
      </c>
    </row>
    <row r="10" spans="2:35" x14ac:dyDescent="0.25">
      <c r="K10" s="2" t="s">
        <v>76</v>
      </c>
      <c r="L10" s="2">
        <v>342400</v>
      </c>
      <c r="M10" s="2">
        <v>193800</v>
      </c>
      <c r="N10" s="2">
        <v>217600</v>
      </c>
      <c r="O10" s="2">
        <v>142800</v>
      </c>
      <c r="P10" s="2">
        <v>232600</v>
      </c>
      <c r="Q10" s="2">
        <v>340800</v>
      </c>
      <c r="R10" s="2">
        <v>289900</v>
      </c>
      <c r="S10" s="2">
        <v>297300</v>
      </c>
      <c r="T10" s="2">
        <v>301400</v>
      </c>
      <c r="U10" s="2">
        <v>263400</v>
      </c>
      <c r="V10" s="2">
        <v>223500</v>
      </c>
      <c r="W10" s="2">
        <v>338900</v>
      </c>
      <c r="X10" s="2">
        <v>203100</v>
      </c>
      <c r="Y10" s="2">
        <v>196800</v>
      </c>
      <c r="Z10" s="2">
        <v>244700</v>
      </c>
      <c r="AA10" s="2">
        <v>255700</v>
      </c>
    </row>
    <row r="11" spans="2:35" x14ac:dyDescent="0.25">
      <c r="K11" s="2" t="s">
        <v>77</v>
      </c>
      <c r="L11" s="2">
        <v>21300</v>
      </c>
      <c r="M11" s="2">
        <v>21700</v>
      </c>
      <c r="N11" s="2">
        <v>29800</v>
      </c>
      <c r="O11" s="2">
        <v>24700</v>
      </c>
      <c r="P11" s="2">
        <v>25700</v>
      </c>
      <c r="Q11" s="2">
        <v>30600</v>
      </c>
      <c r="R11" s="2">
        <v>24600</v>
      </c>
      <c r="S11" s="2">
        <v>27200</v>
      </c>
      <c r="T11" s="2">
        <v>29900</v>
      </c>
      <c r="U11" s="2">
        <v>28900</v>
      </c>
      <c r="V11" s="2">
        <v>29900</v>
      </c>
      <c r="W11" s="2">
        <v>35100</v>
      </c>
      <c r="X11" s="2">
        <v>25000</v>
      </c>
      <c r="Y11" s="2">
        <v>27300</v>
      </c>
      <c r="Z11" s="2">
        <v>32500</v>
      </c>
      <c r="AA11" s="2">
        <v>23800</v>
      </c>
    </row>
    <row r="12" spans="2:35" x14ac:dyDescent="0.25">
      <c r="K12" s="2" t="s">
        <v>78</v>
      </c>
      <c r="L12" s="2">
        <v>19200</v>
      </c>
      <c r="M12" s="2">
        <v>19700</v>
      </c>
      <c r="N12" s="2">
        <v>25100</v>
      </c>
      <c r="O12" s="2">
        <v>22800</v>
      </c>
      <c r="P12" s="2">
        <v>22100</v>
      </c>
      <c r="Q12" s="2">
        <v>24900</v>
      </c>
      <c r="R12" s="2">
        <v>23000</v>
      </c>
      <c r="S12" s="2">
        <v>23800</v>
      </c>
      <c r="T12" s="2">
        <v>23200</v>
      </c>
      <c r="U12" s="2">
        <v>23400</v>
      </c>
      <c r="V12" s="2">
        <v>24500</v>
      </c>
      <c r="W12" s="2">
        <v>27400</v>
      </c>
      <c r="X12" s="2">
        <v>24400</v>
      </c>
      <c r="Y12" s="2">
        <v>23700</v>
      </c>
      <c r="Z12" s="2">
        <v>32900</v>
      </c>
      <c r="AA12" s="2">
        <v>29600</v>
      </c>
    </row>
    <row r="14" spans="2:35" x14ac:dyDescent="0.25">
      <c r="K14" s="3" t="s">
        <v>91</v>
      </c>
      <c r="L14" s="3"/>
      <c r="M14" s="3"/>
      <c r="N14" s="3"/>
      <c r="O14" s="3"/>
      <c r="X14" s="3"/>
      <c r="Y14" s="3"/>
      <c r="Z14" s="3"/>
      <c r="AA14" s="3"/>
    </row>
    <row r="15" spans="2:35" x14ac:dyDescent="0.25">
      <c r="K15" s="2" t="s">
        <v>10</v>
      </c>
      <c r="L15" s="2">
        <v>402300</v>
      </c>
      <c r="M15" s="2">
        <v>281200</v>
      </c>
      <c r="N15" s="2">
        <v>328400</v>
      </c>
      <c r="O15" s="2">
        <v>262100</v>
      </c>
      <c r="P15" s="2">
        <v>354500</v>
      </c>
      <c r="Q15" s="2">
        <v>447600</v>
      </c>
      <c r="R15" s="2">
        <v>416000</v>
      </c>
      <c r="S15" s="2">
        <v>412200</v>
      </c>
      <c r="T15" s="2">
        <v>430300</v>
      </c>
      <c r="U15" s="2">
        <v>388600</v>
      </c>
      <c r="V15" s="2">
        <v>359900</v>
      </c>
      <c r="W15" s="2">
        <v>480300</v>
      </c>
      <c r="X15" s="2">
        <v>324400</v>
      </c>
      <c r="Y15" s="2">
        <v>303400</v>
      </c>
      <c r="Z15" s="2">
        <v>393700</v>
      </c>
      <c r="AA15" s="2">
        <v>374500</v>
      </c>
    </row>
    <row r="16" spans="2:35" x14ac:dyDescent="0.25">
      <c r="K16" s="2" t="s">
        <v>8</v>
      </c>
      <c r="L16" s="2">
        <v>62200</v>
      </c>
      <c r="M16" s="2">
        <v>60700</v>
      </c>
      <c r="N16" s="2">
        <v>63300</v>
      </c>
      <c r="O16" s="2">
        <v>53000</v>
      </c>
      <c r="P16" s="2">
        <v>55400</v>
      </c>
      <c r="Q16" s="2">
        <v>66000</v>
      </c>
      <c r="R16" s="2">
        <v>61300</v>
      </c>
      <c r="S16" s="2">
        <v>54700</v>
      </c>
      <c r="T16" s="2">
        <v>68100</v>
      </c>
      <c r="U16" s="2">
        <v>60800</v>
      </c>
      <c r="V16" s="2">
        <v>59400</v>
      </c>
      <c r="W16" s="2">
        <v>66500</v>
      </c>
      <c r="X16" s="2">
        <v>62600</v>
      </c>
      <c r="Y16" s="2">
        <v>64800</v>
      </c>
      <c r="Z16" s="2">
        <v>82200</v>
      </c>
      <c r="AA16" s="2">
        <v>69300</v>
      </c>
    </row>
    <row r="17" spans="11:27" x14ac:dyDescent="0.25">
      <c r="K17" s="2" t="s">
        <v>92</v>
      </c>
      <c r="L17" s="2">
        <v>27700</v>
      </c>
      <c r="M17" s="2">
        <v>28400</v>
      </c>
      <c r="N17" s="2">
        <v>35300</v>
      </c>
      <c r="O17" s="2">
        <v>32200</v>
      </c>
      <c r="P17" s="2">
        <v>40100</v>
      </c>
      <c r="Q17" s="2">
        <v>40500</v>
      </c>
      <c r="R17" s="2">
        <v>32300</v>
      </c>
      <c r="S17" s="2">
        <v>24600</v>
      </c>
      <c r="T17" s="2">
        <v>31000</v>
      </c>
      <c r="U17" s="2">
        <v>29400</v>
      </c>
      <c r="V17" s="2">
        <v>30100</v>
      </c>
      <c r="W17" s="2">
        <v>34100</v>
      </c>
      <c r="X17" s="2">
        <v>36200</v>
      </c>
      <c r="Y17" s="2">
        <v>35300</v>
      </c>
      <c r="Z17" s="2">
        <v>53700</v>
      </c>
      <c r="AA17" s="2">
        <v>43100</v>
      </c>
    </row>
    <row r="18" spans="11:27" x14ac:dyDescent="0.25">
      <c r="K18" s="2" t="s">
        <v>93</v>
      </c>
      <c r="L18" s="2">
        <v>25700</v>
      </c>
      <c r="M18" s="2">
        <v>25100</v>
      </c>
      <c r="N18" s="2">
        <v>31100</v>
      </c>
      <c r="O18" s="2">
        <v>22300</v>
      </c>
      <c r="P18" s="2">
        <v>23000</v>
      </c>
      <c r="Q18" s="2">
        <v>26500</v>
      </c>
      <c r="R18" s="2">
        <v>26700</v>
      </c>
      <c r="S18" s="2">
        <v>25900</v>
      </c>
      <c r="T18" s="2">
        <v>28200</v>
      </c>
      <c r="U18" s="2">
        <v>28400</v>
      </c>
      <c r="V18" s="2">
        <v>31000</v>
      </c>
      <c r="W18" s="2">
        <v>34800</v>
      </c>
      <c r="X18" s="2">
        <v>29200</v>
      </c>
      <c r="Y18" s="2">
        <v>28800</v>
      </c>
      <c r="Z18" s="2">
        <v>38400</v>
      </c>
      <c r="AA18" s="2">
        <v>30000</v>
      </c>
    </row>
    <row r="20" spans="11:27" x14ac:dyDescent="0.25">
      <c r="K20" s="2" t="s">
        <v>11</v>
      </c>
      <c r="L20" s="2">
        <v>135400</v>
      </c>
      <c r="M20" s="2">
        <v>107800</v>
      </c>
      <c r="N20" s="2">
        <v>141800</v>
      </c>
      <c r="O20" s="2">
        <v>101900</v>
      </c>
      <c r="P20" s="2">
        <v>134800</v>
      </c>
      <c r="Q20" s="2">
        <v>163300</v>
      </c>
      <c r="R20" s="2">
        <v>136300</v>
      </c>
      <c r="S20" s="2">
        <v>130500</v>
      </c>
      <c r="T20" s="2">
        <v>141600</v>
      </c>
      <c r="U20" s="2">
        <v>8100</v>
      </c>
      <c r="V20" s="2">
        <v>134100</v>
      </c>
      <c r="W20" s="2">
        <v>154800</v>
      </c>
      <c r="X20" s="2">
        <v>114400</v>
      </c>
      <c r="Y20" s="2">
        <v>125100</v>
      </c>
      <c r="Z20" s="2">
        <v>176100</v>
      </c>
      <c r="AA20" s="2">
        <v>147700</v>
      </c>
    </row>
    <row r="21" spans="11:27" x14ac:dyDescent="0.25">
      <c r="K21" s="2" t="s">
        <v>94</v>
      </c>
      <c r="L21" s="2">
        <v>1700</v>
      </c>
      <c r="M21" s="2">
        <v>1700</v>
      </c>
      <c r="N21" s="2">
        <v>2300</v>
      </c>
      <c r="O21" s="2">
        <v>2200</v>
      </c>
      <c r="P21" s="2">
        <v>2200</v>
      </c>
      <c r="Q21" s="2">
        <v>2400</v>
      </c>
      <c r="R21" s="2">
        <v>2200</v>
      </c>
      <c r="S21" s="2">
        <v>1900</v>
      </c>
      <c r="T21" s="2">
        <v>2100</v>
      </c>
      <c r="U21" s="2">
        <v>4000</v>
      </c>
      <c r="V21" s="2">
        <v>1700</v>
      </c>
      <c r="W21" s="2">
        <v>2100</v>
      </c>
      <c r="X21" s="2">
        <v>1800</v>
      </c>
      <c r="Y21" s="2">
        <v>1900</v>
      </c>
      <c r="Z21" s="2">
        <v>2400</v>
      </c>
      <c r="AA21" s="2">
        <v>1900</v>
      </c>
    </row>
    <row r="22" spans="11:27" x14ac:dyDescent="0.25">
      <c r="K22" s="2" t="s">
        <v>14</v>
      </c>
      <c r="L22" s="2">
        <v>24300</v>
      </c>
      <c r="M22" s="2">
        <v>16900</v>
      </c>
      <c r="N22" s="2">
        <v>27300</v>
      </c>
      <c r="O22" s="2">
        <v>24000</v>
      </c>
      <c r="P22" s="2">
        <v>24300</v>
      </c>
      <c r="Q22" s="2">
        <v>29200</v>
      </c>
      <c r="R22" s="2">
        <v>26700</v>
      </c>
      <c r="S22" s="2">
        <v>23900</v>
      </c>
      <c r="T22" s="2">
        <v>2500</v>
      </c>
      <c r="U22" s="2">
        <v>23600</v>
      </c>
      <c r="V22" s="2">
        <v>27600</v>
      </c>
      <c r="W22" s="2">
        <v>37200</v>
      </c>
      <c r="X22" s="2">
        <v>24900</v>
      </c>
      <c r="Y22" s="2">
        <v>24200</v>
      </c>
      <c r="Z22" s="2">
        <v>31700</v>
      </c>
      <c r="AA22" s="2">
        <v>28300</v>
      </c>
    </row>
    <row r="24" spans="11:27" x14ac:dyDescent="0.25">
      <c r="K24" s="2" t="s">
        <v>25</v>
      </c>
      <c r="L24" s="2">
        <v>5400</v>
      </c>
      <c r="M24" s="2">
        <v>6700</v>
      </c>
      <c r="N24" s="2">
        <v>7200</v>
      </c>
      <c r="O24" s="2">
        <v>4000</v>
      </c>
      <c r="P24" s="2">
        <v>10400</v>
      </c>
      <c r="Q24" s="2">
        <v>6000</v>
      </c>
      <c r="R24" s="2">
        <v>6700</v>
      </c>
      <c r="S24" s="2">
        <v>6900</v>
      </c>
      <c r="T24" s="2">
        <v>7400</v>
      </c>
      <c r="U24" s="2">
        <v>8100</v>
      </c>
      <c r="V24" s="2">
        <v>9900</v>
      </c>
      <c r="W24" s="2">
        <v>10700</v>
      </c>
      <c r="X24" s="2">
        <v>6800</v>
      </c>
      <c r="Y24" s="2">
        <v>8700</v>
      </c>
      <c r="Z24" s="2">
        <v>11700</v>
      </c>
      <c r="AA24" s="2">
        <v>8700</v>
      </c>
    </row>
    <row r="25" spans="11:27" x14ac:dyDescent="0.25">
      <c r="K25" s="2" t="s">
        <v>95</v>
      </c>
      <c r="L25" s="2">
        <v>5100</v>
      </c>
      <c r="M25" s="2">
        <v>4900</v>
      </c>
      <c r="N25" s="2">
        <v>4800</v>
      </c>
      <c r="O25" s="2">
        <v>4000</v>
      </c>
      <c r="Q25" s="2">
        <v>4700</v>
      </c>
      <c r="R25" s="2">
        <v>5000</v>
      </c>
      <c r="S25" s="2">
        <v>5200</v>
      </c>
      <c r="T25" s="2">
        <v>4500</v>
      </c>
      <c r="U25" s="2">
        <v>4000</v>
      </c>
      <c r="V25" s="2">
        <v>4000</v>
      </c>
      <c r="W25" s="2">
        <v>2900</v>
      </c>
      <c r="X25" s="2">
        <v>4500</v>
      </c>
      <c r="Y25" s="2">
        <v>4100</v>
      </c>
      <c r="Z25" s="2">
        <v>3500</v>
      </c>
      <c r="AA25" s="2">
        <v>2700</v>
      </c>
    </row>
    <row r="26" spans="11:27" x14ac:dyDescent="0.25">
      <c r="K26" s="2" t="s">
        <v>24</v>
      </c>
      <c r="L26" s="2">
        <v>5000</v>
      </c>
      <c r="M26" s="2">
        <v>5100</v>
      </c>
      <c r="N26" s="2">
        <v>6500</v>
      </c>
      <c r="O26" s="2">
        <v>5300</v>
      </c>
      <c r="P26" s="2">
        <v>7000</v>
      </c>
      <c r="Q26" s="2">
        <v>7900</v>
      </c>
      <c r="R26" s="2">
        <v>6800</v>
      </c>
      <c r="S26" s="2">
        <v>6300</v>
      </c>
      <c r="T26" s="2">
        <v>8400</v>
      </c>
      <c r="U26" s="2">
        <v>8200</v>
      </c>
      <c r="V26" s="2">
        <v>8300</v>
      </c>
      <c r="W26" s="2">
        <v>10300</v>
      </c>
      <c r="X26" s="2">
        <v>5200</v>
      </c>
      <c r="Y26" s="2">
        <v>7600</v>
      </c>
      <c r="Z26" s="2">
        <v>9800</v>
      </c>
      <c r="AA26" s="2">
        <v>7000</v>
      </c>
    </row>
    <row r="27" spans="11:27" x14ac:dyDescent="0.25">
      <c r="K27" s="2" t="s">
        <v>26</v>
      </c>
      <c r="L27" s="2">
        <v>4700</v>
      </c>
      <c r="M27" s="2">
        <v>4700</v>
      </c>
      <c r="N27" s="2">
        <v>7600</v>
      </c>
      <c r="O27" s="2">
        <v>5600</v>
      </c>
      <c r="P27" s="2">
        <v>6600</v>
      </c>
      <c r="Q27" s="2">
        <v>8100</v>
      </c>
      <c r="R27" s="2">
        <v>5500</v>
      </c>
      <c r="S27" s="2">
        <v>8000</v>
      </c>
      <c r="T27" s="2">
        <v>9100</v>
      </c>
      <c r="U27" s="2">
        <v>7100</v>
      </c>
      <c r="V27" s="2">
        <v>6300</v>
      </c>
      <c r="W27" s="2">
        <v>8600</v>
      </c>
      <c r="X27" s="2">
        <v>6200</v>
      </c>
      <c r="Y27" s="2">
        <v>7600</v>
      </c>
      <c r="Z27" s="2">
        <v>8800</v>
      </c>
      <c r="AA27" s="2">
        <v>7000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5970-1FDA-4E9E-9B96-829582A0E5CD}">
  <dimension ref="A1:FO73"/>
  <sheetViews>
    <sheetView tabSelected="1" zoomScale="160" zoomScaleNormal="160" workbookViewId="0">
      <pane xSplit="2" ySplit="1" topLeftCell="Q49" activePane="bottomRight" state="frozen"/>
      <selection pane="topRight" activeCell="C1" sqref="C1"/>
      <selection pane="bottomLeft" activeCell="A2" sqref="A2"/>
      <selection pane="bottomRight" activeCell="T63" sqref="T63"/>
    </sheetView>
  </sheetViews>
  <sheetFormatPr defaultRowHeight="15" x14ac:dyDescent="0.25"/>
  <cols>
    <col min="1" max="1" width="4.7109375" style="2" bestFit="1" customWidth="1"/>
    <col min="2" max="2" width="17" style="2" bestFit="1" customWidth="1"/>
    <col min="3" max="16384" width="9.140625" style="2"/>
  </cols>
  <sheetData>
    <row r="1" spans="2:26" customFormat="1" x14ac:dyDescent="0.25"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N1">
        <v>2020</v>
      </c>
      <c r="O1">
        <f t="shared" ref="O1:X1" si="0">+N1+1</f>
        <v>2021</v>
      </c>
      <c r="P1">
        <f t="shared" si="0"/>
        <v>2022</v>
      </c>
      <c r="Q1">
        <f t="shared" si="0"/>
        <v>2023</v>
      </c>
      <c r="R1">
        <f t="shared" si="0"/>
        <v>2024</v>
      </c>
      <c r="S1">
        <f t="shared" si="0"/>
        <v>2025</v>
      </c>
      <c r="T1">
        <f t="shared" si="0"/>
        <v>2026</v>
      </c>
      <c r="U1">
        <f t="shared" si="0"/>
        <v>2027</v>
      </c>
      <c r="V1">
        <f t="shared" si="0"/>
        <v>2028</v>
      </c>
      <c r="W1">
        <f t="shared" si="0"/>
        <v>2029</v>
      </c>
      <c r="X1">
        <f t="shared" si="0"/>
        <v>2030</v>
      </c>
      <c r="Y1">
        <f t="shared" ref="Y1" si="1">+X1+1</f>
        <v>2031</v>
      </c>
      <c r="Z1">
        <f t="shared" ref="Z1" si="2">+Y1+1</f>
        <v>2032</v>
      </c>
    </row>
    <row r="3" spans="2:26" x14ac:dyDescent="0.25">
      <c r="B3" s="3" t="s">
        <v>23</v>
      </c>
    </row>
    <row r="4" spans="2:26" x14ac:dyDescent="0.25">
      <c r="B4" s="2" t="s">
        <v>0</v>
      </c>
      <c r="C4" s="2">
        <v>604659</v>
      </c>
      <c r="G4" s="2">
        <v>762948</v>
      </c>
      <c r="O4" s="2">
        <v>2761629</v>
      </c>
      <c r="P4" s="2">
        <v>2615864</v>
      </c>
      <c r="Q4" s="2">
        <v>3141434</v>
      </c>
      <c r="R4" s="2">
        <f>+Q4*1.02</f>
        <v>3204262.68</v>
      </c>
      <c r="S4" s="2">
        <f t="shared" ref="S4:Z4" si="3">+R4*1.02</f>
        <v>3268347.9336000001</v>
      </c>
      <c r="T4" s="2">
        <f t="shared" si="3"/>
        <v>3333714.8922720002</v>
      </c>
      <c r="U4" s="2">
        <f t="shared" si="3"/>
        <v>3400389.1901174402</v>
      </c>
      <c r="V4" s="2">
        <f t="shared" si="3"/>
        <v>3468396.9739197888</v>
      </c>
      <c r="W4" s="2">
        <f t="shared" si="3"/>
        <v>3537764.9133981848</v>
      </c>
      <c r="X4" s="2">
        <f t="shared" si="3"/>
        <v>3608520.2116661486</v>
      </c>
      <c r="Y4" s="2">
        <f t="shared" si="3"/>
        <v>3680690.6158994716</v>
      </c>
      <c r="Z4" s="2">
        <f t="shared" si="3"/>
        <v>3754304.4282174609</v>
      </c>
    </row>
    <row r="5" spans="2:26" x14ac:dyDescent="0.25">
      <c r="B5" s="2" t="s">
        <v>1</v>
      </c>
      <c r="C5" s="2">
        <v>115325</v>
      </c>
      <c r="G5" s="2">
        <v>107685</v>
      </c>
      <c r="O5" s="2">
        <v>624801</v>
      </c>
      <c r="P5" s="2">
        <v>418513</v>
      </c>
      <c r="Q5" s="2">
        <v>474357</v>
      </c>
    </row>
    <row r="6" spans="2:26" x14ac:dyDescent="0.25">
      <c r="B6" s="2" t="s">
        <v>7</v>
      </c>
      <c r="C6" s="2">
        <v>61174</v>
      </c>
      <c r="G6" s="2">
        <v>76445</v>
      </c>
      <c r="O6" s="2">
        <v>312518</v>
      </c>
      <c r="P6" s="2">
        <v>263025</v>
      </c>
      <c r="Q6" s="2">
        <v>337606</v>
      </c>
    </row>
    <row r="7" spans="2:26" x14ac:dyDescent="0.25">
      <c r="B7" s="2" t="s">
        <v>3</v>
      </c>
      <c r="C7" s="2">
        <v>160271</v>
      </c>
      <c r="G7" s="2">
        <v>193177</v>
      </c>
      <c r="O7" s="2">
        <v>876558</v>
      </c>
      <c r="P7" s="2">
        <v>759791</v>
      </c>
      <c r="Q7" s="2">
        <v>899652</v>
      </c>
    </row>
    <row r="8" spans="2:26" x14ac:dyDescent="0.25">
      <c r="B8" s="2" t="s">
        <v>6</v>
      </c>
      <c r="C8" s="2">
        <v>64747</v>
      </c>
      <c r="G8" s="2">
        <v>89158</v>
      </c>
      <c r="O8" s="2">
        <v>436852</v>
      </c>
      <c r="P8" s="2">
        <v>397539</v>
      </c>
      <c r="Q8" s="2">
        <v>465842</v>
      </c>
    </row>
    <row r="9" spans="2:26" x14ac:dyDescent="0.25">
      <c r="B9" s="2" t="s">
        <v>4</v>
      </c>
      <c r="C9" s="2">
        <v>824369</v>
      </c>
      <c r="G9" s="2">
        <v>726646</v>
      </c>
      <c r="O9" s="2">
        <v>3598344</v>
      </c>
      <c r="P9" s="2">
        <v>3502556</v>
      </c>
      <c r="Q9" s="2">
        <v>3582447</v>
      </c>
    </row>
    <row r="10" spans="2:26" s="3" customFormat="1" x14ac:dyDescent="0.25">
      <c r="B10" s="3" t="s">
        <v>5</v>
      </c>
      <c r="C10" s="3">
        <f>+SUM(C4:C9)</f>
        <v>1830545</v>
      </c>
      <c r="G10" s="3">
        <f>+SUM(G4:G9)</f>
        <v>1956059</v>
      </c>
      <c r="O10" s="3">
        <f>+SUM(O4:O9)</f>
        <v>8610702</v>
      </c>
      <c r="P10" s="3">
        <f>+SUM(P4:P9)</f>
        <v>7957288</v>
      </c>
      <c r="Q10" s="3">
        <f>+SUM(Q4:Q9)</f>
        <v>8901338</v>
      </c>
    </row>
    <row r="11" spans="2:26" x14ac:dyDescent="0.25">
      <c r="B11" s="2" t="s">
        <v>10</v>
      </c>
      <c r="C11" s="2">
        <v>1011857</v>
      </c>
      <c r="G11" s="2">
        <v>1021508</v>
      </c>
      <c r="O11" s="2">
        <v>4896874</v>
      </c>
      <c r="P11" s="2">
        <v>4563340</v>
      </c>
      <c r="Q11" s="2">
        <v>4866803</v>
      </c>
    </row>
    <row r="12" spans="2:26" x14ac:dyDescent="0.25">
      <c r="B12" s="2" t="s">
        <v>8</v>
      </c>
      <c r="C12" s="2">
        <v>186170</v>
      </c>
      <c r="G12" s="2">
        <v>209553</v>
      </c>
      <c r="O12" s="2">
        <v>878202</v>
      </c>
      <c r="P12" s="2">
        <v>731262</v>
      </c>
      <c r="Q12" s="2">
        <v>866820</v>
      </c>
    </row>
    <row r="13" spans="2:26" x14ac:dyDescent="0.25">
      <c r="B13" s="2" t="s">
        <v>9</v>
      </c>
      <c r="C13" s="2">
        <v>91407</v>
      </c>
      <c r="G13" s="2">
        <v>125218</v>
      </c>
      <c r="O13" s="2">
        <v>470531</v>
      </c>
      <c r="P13" s="2">
        <v>385592</v>
      </c>
      <c r="Q13" s="2">
        <v>519176</v>
      </c>
    </row>
    <row r="14" spans="2:26" x14ac:dyDescent="0.25">
      <c r="B14" s="4" t="s">
        <v>28</v>
      </c>
      <c r="C14" s="2">
        <v>81859</v>
      </c>
      <c r="G14" s="2">
        <v>97189</v>
      </c>
      <c r="O14" s="2">
        <v>359541</v>
      </c>
      <c r="P14" s="2">
        <v>328572</v>
      </c>
      <c r="Q14" s="2">
        <v>409406</v>
      </c>
    </row>
    <row r="15" spans="2:26" x14ac:dyDescent="0.25">
      <c r="B15" s="2" t="s">
        <v>11</v>
      </c>
      <c r="C15" s="2">
        <v>385084</v>
      </c>
      <c r="G15" s="2">
        <v>415684</v>
      </c>
      <c r="O15" s="2">
        <v>1680512</v>
      </c>
      <c r="P15" s="2">
        <v>1614231</v>
      </c>
      <c r="Q15" s="2">
        <v>1895240</v>
      </c>
    </row>
    <row r="16" spans="2:26" x14ac:dyDescent="0.25">
      <c r="B16" s="2" t="s">
        <v>12</v>
      </c>
      <c r="C16" s="2">
        <v>2539</v>
      </c>
      <c r="G16" s="2">
        <v>2623</v>
      </c>
      <c r="O16" s="2">
        <v>8405</v>
      </c>
      <c r="P16" s="2">
        <v>9233</v>
      </c>
      <c r="Q16" s="2">
        <v>10112</v>
      </c>
    </row>
    <row r="17" spans="1:17" x14ac:dyDescent="0.25">
      <c r="B17" s="2" t="s">
        <v>13</v>
      </c>
      <c r="C17" s="2">
        <v>3203</v>
      </c>
      <c r="G17" s="2">
        <v>3517</v>
      </c>
      <c r="O17" s="2">
        <v>14659</v>
      </c>
      <c r="P17" s="2">
        <v>15174</v>
      </c>
      <c r="Q17" s="2">
        <v>13560</v>
      </c>
    </row>
    <row r="18" spans="1:17" x14ac:dyDescent="0.25">
      <c r="B18" s="2" t="s">
        <v>14</v>
      </c>
      <c r="C18" s="2">
        <v>68426</v>
      </c>
      <c r="G18" s="2">
        <v>80767</v>
      </c>
      <c r="O18" s="2">
        <v>301915</v>
      </c>
      <c r="P18" s="2">
        <v>309884</v>
      </c>
      <c r="Q18" s="2">
        <v>320221</v>
      </c>
    </row>
    <row r="20" spans="1:17" x14ac:dyDescent="0.25">
      <c r="B20" s="3" t="s">
        <v>96</v>
      </c>
    </row>
    <row r="21" spans="1:17" x14ac:dyDescent="0.25">
      <c r="B21" s="2" t="s">
        <v>97</v>
      </c>
      <c r="P21" s="2">
        <v>135063</v>
      </c>
      <c r="Q21" s="2">
        <v>180357</v>
      </c>
    </row>
    <row r="22" spans="1:17" x14ac:dyDescent="0.25">
      <c r="B22" s="2" t="s">
        <v>74</v>
      </c>
      <c r="P22" s="2">
        <v>82828</v>
      </c>
      <c r="Q22" s="2">
        <v>93430</v>
      </c>
    </row>
    <row r="23" spans="1:17" x14ac:dyDescent="0.25">
      <c r="B23" s="2" t="s">
        <v>75</v>
      </c>
      <c r="P23" s="2">
        <v>76152</v>
      </c>
      <c r="Q23" s="2">
        <v>52330</v>
      </c>
    </row>
    <row r="24" spans="1:17" x14ac:dyDescent="0.25">
      <c r="B24" s="2" t="s">
        <v>98</v>
      </c>
      <c r="P24" s="2">
        <v>11444</v>
      </c>
      <c r="Q24" s="2">
        <v>12057</v>
      </c>
    </row>
    <row r="26" spans="1:17" x14ac:dyDescent="0.25">
      <c r="B26" s="4" t="s">
        <v>24</v>
      </c>
      <c r="C26" s="2">
        <v>16645</v>
      </c>
      <c r="G26" s="2">
        <v>22626</v>
      </c>
      <c r="O26" s="2">
        <v>90366</v>
      </c>
      <c r="P26" s="2">
        <v>85232</v>
      </c>
      <c r="Q26" s="2">
        <v>98568</v>
      </c>
    </row>
    <row r="27" spans="1:17" x14ac:dyDescent="0.25">
      <c r="B27" s="4" t="s">
        <v>25</v>
      </c>
      <c r="C27" s="2">
        <v>19321</v>
      </c>
      <c r="G27" s="2">
        <v>27266</v>
      </c>
      <c r="O27" s="2">
        <v>93578</v>
      </c>
      <c r="P27" s="2">
        <v>84377</v>
      </c>
      <c r="Q27" s="2">
        <v>115653</v>
      </c>
    </row>
    <row r="28" spans="1:17" x14ac:dyDescent="0.25">
      <c r="B28" s="4" t="s">
        <v>26</v>
      </c>
      <c r="C28" s="2">
        <v>17070</v>
      </c>
      <c r="G28" s="2">
        <v>22548</v>
      </c>
      <c r="O28" s="2">
        <v>29876</v>
      </c>
      <c r="P28" s="2">
        <v>81888</v>
      </c>
      <c r="Q28" s="2">
        <v>88880</v>
      </c>
    </row>
    <row r="29" spans="1:17" x14ac:dyDescent="0.25">
      <c r="B29" s="4" t="s">
        <v>27</v>
      </c>
      <c r="C29" s="2">
        <v>14719</v>
      </c>
      <c r="G29" s="2">
        <v>12148</v>
      </c>
      <c r="O29" s="2">
        <v>57370</v>
      </c>
      <c r="P29" s="2">
        <v>53991</v>
      </c>
      <c r="Q29" s="2">
        <v>37073</v>
      </c>
    </row>
    <row r="31" spans="1:17" x14ac:dyDescent="0.25">
      <c r="A31" s="2" t="s">
        <v>29</v>
      </c>
      <c r="B31" s="2" t="s">
        <v>30</v>
      </c>
      <c r="C31" s="2">
        <v>42096</v>
      </c>
      <c r="G31" s="2">
        <v>51623</v>
      </c>
    </row>
    <row r="32" spans="1:17" x14ac:dyDescent="0.25">
      <c r="B32" s="2" t="s">
        <v>31</v>
      </c>
      <c r="C32" s="2">
        <v>6400</v>
      </c>
      <c r="G32" s="2">
        <v>3611</v>
      </c>
    </row>
    <row r="33" spans="1:24" x14ac:dyDescent="0.25">
      <c r="A33" s="2" t="s">
        <v>32</v>
      </c>
      <c r="B33" s="2" t="s">
        <v>30</v>
      </c>
      <c r="C33" s="2">
        <v>8353</v>
      </c>
      <c r="G33" s="2">
        <v>10938</v>
      </c>
    </row>
    <row r="34" spans="1:24" x14ac:dyDescent="0.25">
      <c r="B34" s="2" t="s">
        <v>31</v>
      </c>
      <c r="C34" s="2">
        <v>330</v>
      </c>
      <c r="G34" s="2">
        <v>872</v>
      </c>
    </row>
    <row r="35" spans="1:24" x14ac:dyDescent="0.25">
      <c r="A35" s="2" t="s">
        <v>33</v>
      </c>
      <c r="B35" s="2" t="s">
        <v>30</v>
      </c>
      <c r="C35" s="2">
        <v>761</v>
      </c>
      <c r="G35" s="2">
        <v>901</v>
      </c>
    </row>
    <row r="36" spans="1:24" x14ac:dyDescent="0.25">
      <c r="B36" s="2" t="s">
        <v>31</v>
      </c>
      <c r="C36" s="2">
        <v>54</v>
      </c>
      <c r="G36" s="2">
        <v>100</v>
      </c>
    </row>
    <row r="37" spans="1:24" x14ac:dyDescent="0.25">
      <c r="O37" s="7">
        <f>+O44/O40</f>
        <v>4.1646682653876901E-2</v>
      </c>
      <c r="P37" s="7">
        <f>+P44/P40</f>
        <v>4.1861247994499196E-2</v>
      </c>
      <c r="Q37" s="7">
        <f>+Q44/Q40</f>
        <v>3.9480706457658464E-2</v>
      </c>
      <c r="R37" s="7">
        <f>+R44/R40</f>
        <v>3.9476734139978674E-2</v>
      </c>
    </row>
    <row r="38" spans="1:24" x14ac:dyDescent="0.25">
      <c r="B38" s="2" t="s">
        <v>34</v>
      </c>
      <c r="C38" s="2">
        <f>+C33+C31+C35</f>
        <v>51210</v>
      </c>
      <c r="D38" s="2">
        <f>109066-C38</f>
        <v>57856</v>
      </c>
      <c r="E38" s="2">
        <v>59117</v>
      </c>
      <c r="F38" s="2">
        <f>+P38-E38-D38-C38</f>
        <v>64202</v>
      </c>
      <c r="G38" s="2">
        <f>+G33+G31+G35</f>
        <v>63462</v>
      </c>
      <c r="O38" s="2">
        <v>206237</v>
      </c>
      <c r="P38" s="2">
        <v>232385</v>
      </c>
      <c r="R38" s="2">
        <f>193400*1.3</f>
        <v>251420</v>
      </c>
      <c r="S38" s="2">
        <f t="shared" ref="S38:X38" si="4">+R38*0.99</f>
        <v>248905.8</v>
      </c>
      <c r="T38" s="2">
        <f t="shared" si="4"/>
        <v>246416.742</v>
      </c>
      <c r="U38" s="2">
        <f t="shared" si="4"/>
        <v>243952.57457999999</v>
      </c>
      <c r="V38" s="2">
        <f t="shared" si="4"/>
        <v>241513.04883419999</v>
      </c>
      <c r="W38" s="2">
        <f t="shared" si="4"/>
        <v>239097.91834585799</v>
      </c>
      <c r="X38" s="2">
        <f t="shared" si="4"/>
        <v>236706.93916239942</v>
      </c>
    </row>
    <row r="39" spans="1:24" x14ac:dyDescent="0.25">
      <c r="B39" s="2" t="s">
        <v>35</v>
      </c>
      <c r="C39" s="2">
        <v>11502</v>
      </c>
      <c r="D39" s="2">
        <v>11688</v>
      </c>
      <c r="E39" s="2">
        <v>11595</v>
      </c>
      <c r="F39" s="2">
        <f>+P39-E39-D39-C39</f>
        <v>12062</v>
      </c>
      <c r="G39" s="2">
        <v>12736</v>
      </c>
      <c r="O39" s="2">
        <v>43963</v>
      </c>
      <c r="P39" s="2">
        <v>46847</v>
      </c>
      <c r="R39" s="2">
        <f>43879*1.3</f>
        <v>57042.700000000004</v>
      </c>
      <c r="S39" s="2">
        <f t="shared" ref="R39:X39" si="5">+R39*1.03</f>
        <v>58753.981000000007</v>
      </c>
      <c r="T39" s="2">
        <f t="shared" si="5"/>
        <v>60516.600430000006</v>
      </c>
      <c r="U39" s="2">
        <f t="shared" si="5"/>
        <v>62332.098442900009</v>
      </c>
      <c r="V39" s="2">
        <f t="shared" si="5"/>
        <v>64202.061396187011</v>
      </c>
      <c r="W39" s="2">
        <f t="shared" si="5"/>
        <v>66128.123238072629</v>
      </c>
      <c r="X39" s="2">
        <f t="shared" si="5"/>
        <v>68111.966935214805</v>
      </c>
    </row>
    <row r="40" spans="1:24" s="3" customFormat="1" x14ac:dyDescent="0.25">
      <c r="B40" s="3" t="s">
        <v>36</v>
      </c>
      <c r="C40" s="3">
        <f>+C38+C39</f>
        <v>62712</v>
      </c>
      <c r="D40" s="3">
        <f>+D38+D39</f>
        <v>69544</v>
      </c>
      <c r="E40" s="3">
        <f>+E38+E39</f>
        <v>70712</v>
      </c>
      <c r="F40" s="2">
        <f>+P40-E40-D40-C40</f>
        <v>76264</v>
      </c>
      <c r="G40" s="3">
        <f>+G38+G39</f>
        <v>76198</v>
      </c>
      <c r="O40" s="3">
        <v>250200</v>
      </c>
      <c r="P40" s="3">
        <v>279232</v>
      </c>
      <c r="Q40" s="3">
        <v>322284</v>
      </c>
      <c r="R40" s="3">
        <f t="shared" ref="R40:W40" si="6">+R38+R39</f>
        <v>308462.7</v>
      </c>
      <c r="S40" s="3">
        <f t="shared" si="6"/>
        <v>307659.78100000002</v>
      </c>
      <c r="T40" s="3">
        <f t="shared" si="6"/>
        <v>306933.34243000002</v>
      </c>
      <c r="U40" s="3">
        <f t="shared" si="6"/>
        <v>306284.67302290001</v>
      </c>
      <c r="V40" s="3">
        <f t="shared" si="6"/>
        <v>305715.11023038701</v>
      </c>
      <c r="W40" s="3">
        <f t="shared" si="6"/>
        <v>305226.04158393061</v>
      </c>
      <c r="X40" s="3">
        <f>+X38+X39</f>
        <v>304818.90609761421</v>
      </c>
    </row>
    <row r="41" spans="1:24" x14ac:dyDescent="0.25">
      <c r="B41" s="2" t="s">
        <v>37</v>
      </c>
      <c r="C41" s="2">
        <v>50744</v>
      </c>
      <c r="D41" s="2">
        <v>55053</v>
      </c>
      <c r="E41" s="2">
        <v>58036</v>
      </c>
      <c r="F41" s="2">
        <f>+P41-E41-D41-C41</f>
        <v>63172</v>
      </c>
      <c r="G41" s="2">
        <v>61005</v>
      </c>
      <c r="O41" s="2">
        <v>202959</v>
      </c>
      <c r="P41" s="2">
        <v>227005</v>
      </c>
      <c r="Q41" s="2">
        <v>261262</v>
      </c>
      <c r="R41" s="2">
        <f>197897*1.3</f>
        <v>257266.1</v>
      </c>
      <c r="S41" s="2">
        <f>+S40*0.82</f>
        <v>252281.02041999999</v>
      </c>
      <c r="T41" s="2">
        <f t="shared" ref="T41:X41" si="7">+T40*0.82</f>
        <v>251685.34079260001</v>
      </c>
      <c r="U41" s="2">
        <f t="shared" si="7"/>
        <v>251153.43187877801</v>
      </c>
      <c r="V41" s="2">
        <f t="shared" si="7"/>
        <v>250686.39038891732</v>
      </c>
      <c r="W41" s="2">
        <f t="shared" si="7"/>
        <v>250285.3540988231</v>
      </c>
      <c r="X41" s="2">
        <f t="shared" si="7"/>
        <v>249951.50300004362</v>
      </c>
    </row>
    <row r="42" spans="1:24" x14ac:dyDescent="0.25">
      <c r="B42" s="2" t="s">
        <v>38</v>
      </c>
      <c r="C42" s="2">
        <f>+C40-C41</f>
        <v>11968</v>
      </c>
      <c r="D42" s="2">
        <f t="shared" ref="D42:J42" si="8">+D40-D41</f>
        <v>14491</v>
      </c>
      <c r="E42" s="2">
        <f t="shared" si="8"/>
        <v>12676</v>
      </c>
      <c r="F42" s="2">
        <f t="shared" si="8"/>
        <v>13092</v>
      </c>
      <c r="G42" s="2">
        <f t="shared" si="8"/>
        <v>15193</v>
      </c>
      <c r="H42" s="2">
        <f t="shared" si="8"/>
        <v>0</v>
      </c>
      <c r="I42" s="2">
        <f t="shared" si="8"/>
        <v>0</v>
      </c>
      <c r="J42" s="2">
        <f t="shared" si="8"/>
        <v>0</v>
      </c>
      <c r="O42" s="2">
        <f t="shared" ref="O42" si="9">+O40-O41</f>
        <v>47241</v>
      </c>
      <c r="P42" s="2">
        <f>+P40-P41</f>
        <v>52227</v>
      </c>
      <c r="Q42" s="2">
        <f>+Q40-Q41</f>
        <v>61022</v>
      </c>
      <c r="R42" s="2">
        <f t="shared" ref="R42:X42" si="10">+R40-R41</f>
        <v>51196.600000000006</v>
      </c>
      <c r="S42" s="2">
        <f t="shared" si="10"/>
        <v>55378.760580000031</v>
      </c>
      <c r="T42" s="2">
        <f t="shared" si="10"/>
        <v>55248.001637400012</v>
      </c>
      <c r="U42" s="2">
        <f t="shared" si="10"/>
        <v>55131.241144122003</v>
      </c>
      <c r="V42" s="2">
        <f t="shared" si="10"/>
        <v>55028.71984146969</v>
      </c>
      <c r="W42" s="2">
        <f t="shared" si="10"/>
        <v>54940.687485107512</v>
      </c>
      <c r="X42" s="2">
        <f t="shared" si="10"/>
        <v>54867.403097570583</v>
      </c>
    </row>
    <row r="43" spans="1:24" x14ac:dyDescent="0.25">
      <c r="B43" s="2" t="s">
        <v>40</v>
      </c>
      <c r="C43" s="2">
        <v>4315</v>
      </c>
      <c r="D43" s="2">
        <f>9077-C43</f>
        <v>4762</v>
      </c>
      <c r="E43" s="2">
        <v>4836</v>
      </c>
      <c r="F43" s="2">
        <f>+P43-E43-D43-C43</f>
        <v>5927</v>
      </c>
      <c r="G43" s="2">
        <v>4836</v>
      </c>
      <c r="O43" s="2">
        <v>19228</v>
      </c>
      <c r="P43" s="2">
        <v>19840</v>
      </c>
      <c r="Q43" s="2">
        <v>21340</v>
      </c>
      <c r="R43" s="2">
        <f>16007*1.3</f>
        <v>20809.100000000002</v>
      </c>
      <c r="S43" s="2">
        <f>+S40*0.0675</f>
        <v>20767.035217500001</v>
      </c>
      <c r="T43" s="2">
        <f t="shared" ref="T43:X43" si="11">+T40*0.0675</f>
        <v>20718.000614025004</v>
      </c>
      <c r="U43" s="2">
        <f t="shared" si="11"/>
        <v>20674.215429045751</v>
      </c>
      <c r="V43" s="2">
        <f t="shared" si="11"/>
        <v>20635.769940551123</v>
      </c>
      <c r="W43" s="2">
        <f t="shared" si="11"/>
        <v>20602.757806915317</v>
      </c>
      <c r="X43" s="2">
        <f t="shared" si="11"/>
        <v>20575.276161588961</v>
      </c>
    </row>
    <row r="44" spans="1:24" x14ac:dyDescent="0.25">
      <c r="B44" s="2" t="s">
        <v>39</v>
      </c>
      <c r="C44" s="2">
        <v>2770</v>
      </c>
      <c r="D44" s="2">
        <v>2788</v>
      </c>
      <c r="E44" s="2">
        <v>3123</v>
      </c>
      <c r="F44" s="2">
        <f>+P44-E44-D44-C44</f>
        <v>3008</v>
      </c>
      <c r="G44" s="2">
        <v>3241</v>
      </c>
      <c r="O44" s="2">
        <v>10420</v>
      </c>
      <c r="P44" s="2">
        <v>11689</v>
      </c>
      <c r="Q44" s="2">
        <v>12724</v>
      </c>
      <c r="R44" s="2">
        <f>9367*1.3</f>
        <v>12177.1</v>
      </c>
      <c r="S44" s="2">
        <f>+S40*0.0395</f>
        <v>12152.561349500002</v>
      </c>
      <c r="T44" s="2">
        <f t="shared" ref="T44:X44" si="12">+T40*0.0395</f>
        <v>12123.867025985001</v>
      </c>
      <c r="U44" s="2">
        <f t="shared" si="12"/>
        <v>12098.244584404551</v>
      </c>
      <c r="V44" s="2">
        <f t="shared" si="12"/>
        <v>12075.746854100287</v>
      </c>
      <c r="W44" s="2">
        <f t="shared" si="12"/>
        <v>12056.428642565259</v>
      </c>
      <c r="X44" s="2">
        <f t="shared" si="12"/>
        <v>12040.346790855761</v>
      </c>
    </row>
    <row r="45" spans="1:24" x14ac:dyDescent="0.25">
      <c r="B45" s="2" t="s">
        <v>2</v>
      </c>
      <c r="C45" s="2">
        <v>3446</v>
      </c>
      <c r="D45" s="2">
        <v>-2436</v>
      </c>
      <c r="E45" s="2">
        <v>-448</v>
      </c>
      <c r="F45" s="2">
        <f>+P45-E45-D45-C45</f>
        <v>864</v>
      </c>
      <c r="G45" s="2">
        <v>-1370</v>
      </c>
      <c r="O45" s="2">
        <f>14731-13049</f>
        <v>1682</v>
      </c>
      <c r="P45" s="2">
        <f>19238-17812</f>
        <v>1426</v>
      </c>
      <c r="Q45" s="2">
        <f>15152-19534</f>
        <v>-4382</v>
      </c>
      <c r="R45" s="2">
        <f>-4104*1.3</f>
        <v>-5335.2</v>
      </c>
      <c r="S45" s="2">
        <v>-4000</v>
      </c>
      <c r="T45" s="2">
        <v>-4000</v>
      </c>
      <c r="U45" s="2">
        <v>-4000</v>
      </c>
      <c r="V45" s="2">
        <v>-4000</v>
      </c>
      <c r="W45" s="2">
        <v>-4000</v>
      </c>
      <c r="X45" s="2">
        <v>-4000</v>
      </c>
    </row>
    <row r="46" spans="1:24" x14ac:dyDescent="0.25">
      <c r="B46" s="2" t="s">
        <v>31</v>
      </c>
      <c r="C46" s="2">
        <f>+C42-C43-C44+C45</f>
        <v>8329</v>
      </c>
      <c r="D46" s="2">
        <f t="shared" ref="D46:J46" si="13">+D42-D43-D44+D45</f>
        <v>4505</v>
      </c>
      <c r="E46" s="2">
        <f t="shared" si="13"/>
        <v>4269</v>
      </c>
      <c r="F46" s="2">
        <f t="shared" si="13"/>
        <v>5021</v>
      </c>
      <c r="G46" s="2">
        <f t="shared" si="13"/>
        <v>5746</v>
      </c>
      <c r="H46" s="2">
        <f t="shared" si="13"/>
        <v>0</v>
      </c>
      <c r="I46" s="2">
        <f t="shared" si="13"/>
        <v>0</v>
      </c>
      <c r="J46" s="2">
        <f t="shared" si="13"/>
        <v>0</v>
      </c>
      <c r="O46" s="2">
        <f t="shared" ref="O46:P46" si="14">+O42-O43-O44+O45</f>
        <v>19275</v>
      </c>
      <c r="P46" s="2">
        <f t="shared" si="14"/>
        <v>22124</v>
      </c>
      <c r="Q46" s="2">
        <f>+Q42-Q43-Q44+Q45</f>
        <v>22576</v>
      </c>
      <c r="R46" s="2">
        <f t="shared" ref="R46:X46" si="15">+R42-R43-R44+R45</f>
        <v>12875.2</v>
      </c>
      <c r="S46" s="2">
        <f t="shared" si="15"/>
        <v>18459.164013000031</v>
      </c>
      <c r="T46" s="2">
        <f t="shared" si="15"/>
        <v>18406.133997390007</v>
      </c>
      <c r="U46" s="2">
        <f t="shared" si="15"/>
        <v>18358.781130671698</v>
      </c>
      <c r="V46" s="2">
        <f t="shared" si="15"/>
        <v>18317.203046818278</v>
      </c>
      <c r="W46" s="2">
        <f t="shared" si="15"/>
        <v>18281.501035626934</v>
      </c>
      <c r="X46" s="2">
        <f t="shared" si="15"/>
        <v>18251.78014512586</v>
      </c>
    </row>
    <row r="47" spans="1:24" x14ac:dyDescent="0.25">
      <c r="B47" s="2" t="s">
        <v>41</v>
      </c>
      <c r="C47" s="2">
        <v>629</v>
      </c>
      <c r="D47" s="2">
        <v>448</v>
      </c>
      <c r="E47" s="2">
        <v>719</v>
      </c>
      <c r="F47" s="2">
        <f>+P47-E47-D47-C47</f>
        <v>599</v>
      </c>
      <c r="G47" s="2">
        <v>535</v>
      </c>
      <c r="O47" s="2">
        <v>2321</v>
      </c>
      <c r="P47" s="2">
        <v>2395</v>
      </c>
      <c r="Q47" s="2">
        <v>2291</v>
      </c>
      <c r="R47" s="2">
        <f>482*1.3</f>
        <v>626.6</v>
      </c>
      <c r="S47" s="2">
        <v>1000</v>
      </c>
      <c r="T47" s="2">
        <v>1000</v>
      </c>
      <c r="U47" s="2">
        <v>1000</v>
      </c>
      <c r="V47" s="2">
        <v>1000</v>
      </c>
      <c r="W47" s="2">
        <v>1000</v>
      </c>
      <c r="X47" s="2">
        <v>1000</v>
      </c>
    </row>
    <row r="48" spans="1:24" x14ac:dyDescent="0.25">
      <c r="B48" s="2" t="s">
        <v>42</v>
      </c>
      <c r="Q48" s="2">
        <v>2658</v>
      </c>
    </row>
    <row r="49" spans="2:171" x14ac:dyDescent="0.25">
      <c r="B49" s="2" t="s">
        <v>100</v>
      </c>
      <c r="Q49" s="2">
        <v>3592</v>
      </c>
    </row>
    <row r="50" spans="2:171" x14ac:dyDescent="0.25">
      <c r="B50" s="2" t="s">
        <v>101</v>
      </c>
      <c r="Q50" s="2">
        <v>739</v>
      </c>
    </row>
    <row r="51" spans="2:171" x14ac:dyDescent="0.25">
      <c r="B51" s="2" t="s">
        <v>99</v>
      </c>
      <c r="C51" s="2">
        <v>-41</v>
      </c>
      <c r="D51" s="2">
        <v>187</v>
      </c>
      <c r="E51" s="2">
        <v>-2052</v>
      </c>
      <c r="F51" s="2">
        <f>+P51-E51-D51-C51</f>
        <v>-570</v>
      </c>
      <c r="G51" s="2">
        <v>171</v>
      </c>
      <c r="O51" s="2">
        <f>810-1818-463</f>
        <v>-1471</v>
      </c>
      <c r="P51" s="2">
        <f>1325-442-3359</f>
        <v>-2476</v>
      </c>
      <c r="Q51" s="2">
        <f>+Q48-Q49-Q50</f>
        <v>-1673</v>
      </c>
      <c r="R51" s="2">
        <f>-383*1.3</f>
        <v>-497.90000000000003</v>
      </c>
      <c r="S51" s="2">
        <v>-500</v>
      </c>
      <c r="T51" s="2">
        <v>-500</v>
      </c>
      <c r="U51" s="2">
        <v>-500</v>
      </c>
      <c r="V51" s="2">
        <v>-500</v>
      </c>
      <c r="W51" s="2">
        <v>-500</v>
      </c>
      <c r="X51" s="2">
        <v>-500</v>
      </c>
    </row>
    <row r="52" spans="2:171" x14ac:dyDescent="0.25">
      <c r="B52" s="2" t="s">
        <v>43</v>
      </c>
      <c r="C52" s="2">
        <f>+C46+C47+C51</f>
        <v>8917</v>
      </c>
      <c r="D52" s="2">
        <f t="shared" ref="D52:J52" si="16">+D46+D47+D51</f>
        <v>5140</v>
      </c>
      <c r="E52" s="2">
        <f t="shared" si="16"/>
        <v>2936</v>
      </c>
      <c r="F52" s="2">
        <f t="shared" si="16"/>
        <v>5050</v>
      </c>
      <c r="G52" s="2">
        <f t="shared" si="16"/>
        <v>6452</v>
      </c>
      <c r="H52" s="2">
        <f t="shared" si="16"/>
        <v>0</v>
      </c>
      <c r="I52" s="2">
        <f t="shared" si="16"/>
        <v>0</v>
      </c>
      <c r="J52" s="2">
        <f t="shared" si="16"/>
        <v>0</v>
      </c>
      <c r="O52" s="2">
        <f t="shared" ref="O52:P52" si="17">+O46+O47+O51</f>
        <v>20125</v>
      </c>
      <c r="P52" s="2">
        <f t="shared" si="17"/>
        <v>22043</v>
      </c>
      <c r="Q52" s="2">
        <f>+Q46+Q47+Q51</f>
        <v>23194</v>
      </c>
      <c r="R52" s="2">
        <f t="shared" ref="R52:X52" si="18">+R46+R47+R51</f>
        <v>13003.900000000001</v>
      </c>
      <c r="S52" s="2">
        <f t="shared" si="18"/>
        <v>18959.164013000031</v>
      </c>
      <c r="T52" s="2">
        <f t="shared" si="18"/>
        <v>18906.133997390007</v>
      </c>
      <c r="U52" s="2">
        <f t="shared" si="18"/>
        <v>18858.781130671698</v>
      </c>
      <c r="V52" s="2">
        <f t="shared" si="18"/>
        <v>18817.203046818278</v>
      </c>
      <c r="W52" s="2">
        <f t="shared" si="18"/>
        <v>18781.501035626934</v>
      </c>
      <c r="X52" s="2">
        <f t="shared" si="18"/>
        <v>18751.78014512586</v>
      </c>
    </row>
    <row r="53" spans="2:171" x14ac:dyDescent="0.25">
      <c r="B53" s="2" t="s">
        <v>44</v>
      </c>
      <c r="C53" s="2">
        <v>2173</v>
      </c>
      <c r="D53" s="2">
        <v>1226</v>
      </c>
      <c r="E53" s="2">
        <v>803</v>
      </c>
      <c r="F53" s="2">
        <f>+P53-E53-D53-C53</f>
        <v>2006</v>
      </c>
      <c r="G53" s="2">
        <v>1723</v>
      </c>
      <c r="O53" s="2">
        <v>4698</v>
      </c>
      <c r="P53" s="2">
        <v>6208</v>
      </c>
      <c r="Q53" s="2">
        <v>5266</v>
      </c>
      <c r="R53" s="2">
        <f>3607*1.3</f>
        <v>4689.1000000000004</v>
      </c>
      <c r="S53" s="2">
        <f t="shared" ref="R53:X53" si="19">+S52*0.25</f>
        <v>4739.7910032500076</v>
      </c>
      <c r="T53" s="2">
        <f t="shared" si="19"/>
        <v>4726.5334993475017</v>
      </c>
      <c r="U53" s="2">
        <f t="shared" si="19"/>
        <v>4714.6952826679244</v>
      </c>
      <c r="V53" s="2">
        <f t="shared" si="19"/>
        <v>4704.3007617045696</v>
      </c>
      <c r="W53" s="2">
        <f t="shared" si="19"/>
        <v>4695.3752589067335</v>
      </c>
      <c r="X53" s="2">
        <f t="shared" si="19"/>
        <v>4687.945036281465</v>
      </c>
    </row>
    <row r="54" spans="2:171" s="3" customFormat="1" x14ac:dyDescent="0.25">
      <c r="B54" s="3" t="s">
        <v>45</v>
      </c>
      <c r="C54" s="3">
        <f>+C52-C53</f>
        <v>6744</v>
      </c>
      <c r="D54" s="3">
        <f t="shared" ref="D54:J54" si="20">+D52-D53</f>
        <v>3914</v>
      </c>
      <c r="E54" s="3">
        <f t="shared" si="20"/>
        <v>2133</v>
      </c>
      <c r="F54" s="3">
        <f t="shared" si="20"/>
        <v>3044</v>
      </c>
      <c r="G54" s="3">
        <f t="shared" si="20"/>
        <v>4729</v>
      </c>
      <c r="H54" s="3">
        <f t="shared" si="20"/>
        <v>0</v>
      </c>
      <c r="I54" s="3">
        <f t="shared" si="20"/>
        <v>0</v>
      </c>
      <c r="J54" s="3">
        <f t="shared" si="20"/>
        <v>0</v>
      </c>
      <c r="O54" s="3">
        <f t="shared" ref="O54:P54" si="21">+O52-O53</f>
        <v>15427</v>
      </c>
      <c r="P54" s="3">
        <f t="shared" si="21"/>
        <v>15835</v>
      </c>
      <c r="Q54" s="3">
        <f>+Q52-Q53</f>
        <v>17928</v>
      </c>
      <c r="R54" s="3">
        <f t="shared" ref="R54:X54" si="22">+R52-R53</f>
        <v>8314.8000000000011</v>
      </c>
      <c r="S54" s="3">
        <f t="shared" si="22"/>
        <v>14219.373009750023</v>
      </c>
      <c r="T54" s="3">
        <f t="shared" si="22"/>
        <v>14179.600498042506</v>
      </c>
      <c r="U54" s="3">
        <f t="shared" si="22"/>
        <v>14144.085848003773</v>
      </c>
      <c r="V54" s="3">
        <f t="shared" si="22"/>
        <v>14112.902285113709</v>
      </c>
      <c r="W54" s="3">
        <f t="shared" si="22"/>
        <v>14086.125776720201</v>
      </c>
      <c r="X54" s="3">
        <f t="shared" si="22"/>
        <v>14063.835108844396</v>
      </c>
      <c r="Y54" s="3">
        <f t="shared" ref="Y54:BD54" si="23">+X54*(1+TR)</f>
        <v>13923.196757755952</v>
      </c>
      <c r="Z54" s="3">
        <f t="shared" si="23"/>
        <v>13783.964790178392</v>
      </c>
      <c r="AA54" s="3">
        <f t="shared" si="23"/>
        <v>13646.125142276607</v>
      </c>
      <c r="AB54" s="3">
        <f t="shared" si="23"/>
        <v>13509.663890853841</v>
      </c>
      <c r="AC54" s="3">
        <f t="shared" si="23"/>
        <v>13374.567251945302</v>
      </c>
      <c r="AD54" s="3">
        <f t="shared" si="23"/>
        <v>13240.821579425849</v>
      </c>
      <c r="AE54" s="3">
        <f t="shared" si="23"/>
        <v>13108.413363631589</v>
      </c>
      <c r="AF54" s="3">
        <f t="shared" si="23"/>
        <v>12977.329229995274</v>
      </c>
      <c r="AG54" s="3">
        <f t="shared" si="23"/>
        <v>12847.555937695321</v>
      </c>
      <c r="AH54" s="3">
        <f t="shared" si="23"/>
        <v>12719.080378318367</v>
      </c>
      <c r="AI54" s="3">
        <f t="shared" si="23"/>
        <v>12591.889574535184</v>
      </c>
      <c r="AJ54" s="3">
        <f t="shared" si="23"/>
        <v>12465.970678789832</v>
      </c>
      <c r="AK54" s="3">
        <f t="shared" si="23"/>
        <v>12341.310972001933</v>
      </c>
      <c r="AL54" s="3">
        <f t="shared" si="23"/>
        <v>12217.897862281914</v>
      </c>
      <c r="AM54" s="3">
        <f t="shared" si="23"/>
        <v>12095.718883659094</v>
      </c>
      <c r="AN54" s="3">
        <f t="shared" si="23"/>
        <v>11974.761694822502</v>
      </c>
      <c r="AO54" s="3">
        <f t="shared" si="23"/>
        <v>11855.014077874277</v>
      </c>
      <c r="AP54" s="3">
        <f t="shared" si="23"/>
        <v>11736.463937095534</v>
      </c>
      <c r="AQ54" s="3">
        <f t="shared" si="23"/>
        <v>11619.099297724579</v>
      </c>
      <c r="AR54" s="3">
        <f t="shared" si="23"/>
        <v>11502.908304747332</v>
      </c>
      <c r="AS54" s="3">
        <f t="shared" si="23"/>
        <v>11387.879221699859</v>
      </c>
      <c r="AT54" s="3">
        <f t="shared" si="23"/>
        <v>11274.00042948286</v>
      </c>
      <c r="AU54" s="3">
        <f t="shared" si="23"/>
        <v>11161.260425188031</v>
      </c>
      <c r="AV54" s="3">
        <f t="shared" si="23"/>
        <v>11049.64782093615</v>
      </c>
      <c r="AW54" s="3">
        <f t="shared" si="23"/>
        <v>10939.151342726789</v>
      </c>
      <c r="AX54" s="3">
        <f t="shared" si="23"/>
        <v>10829.759829299521</v>
      </c>
      <c r="AY54" s="3">
        <f t="shared" si="23"/>
        <v>10721.462231006526</v>
      </c>
      <c r="AZ54" s="3">
        <f t="shared" si="23"/>
        <v>10614.24760869646</v>
      </c>
      <c r="BA54" s="3">
        <f t="shared" si="23"/>
        <v>10508.105132609495</v>
      </c>
      <c r="BB54" s="3">
        <f t="shared" si="23"/>
        <v>10403.0240812834</v>
      </c>
      <c r="BC54" s="3">
        <f t="shared" si="23"/>
        <v>10298.993840470566</v>
      </c>
      <c r="BD54" s="3">
        <f t="shared" si="23"/>
        <v>10196.003902065861</v>
      </c>
      <c r="BE54" s="3">
        <f t="shared" ref="BE54:CJ54" si="24">+BD54*(1+TR)</f>
        <v>10094.043863045203</v>
      </c>
      <c r="BF54" s="3">
        <f t="shared" si="24"/>
        <v>9993.1034244147504</v>
      </c>
      <c r="BG54" s="3">
        <f t="shared" si="24"/>
        <v>9893.1723901706027</v>
      </c>
      <c r="BH54" s="3">
        <f t="shared" si="24"/>
        <v>9794.2406662688973</v>
      </c>
      <c r="BI54" s="3">
        <f t="shared" si="24"/>
        <v>9696.2982596062084</v>
      </c>
      <c r="BJ54" s="3">
        <f t="shared" si="24"/>
        <v>9599.3352770101465</v>
      </c>
      <c r="BK54" s="3">
        <f t="shared" si="24"/>
        <v>9503.341924240045</v>
      </c>
      <c r="BL54" s="3">
        <f t="shared" si="24"/>
        <v>9408.3085049976453</v>
      </c>
      <c r="BM54" s="3">
        <f t="shared" si="24"/>
        <v>9314.2254199476683</v>
      </c>
      <c r="BN54" s="3">
        <f t="shared" si="24"/>
        <v>9221.0831657481922</v>
      </c>
      <c r="BO54" s="3">
        <f t="shared" si="24"/>
        <v>9128.8723340907109</v>
      </c>
      <c r="BP54" s="3">
        <f t="shared" si="24"/>
        <v>9037.5836107498035</v>
      </c>
      <c r="BQ54" s="3">
        <f t="shared" si="24"/>
        <v>8947.2077746423056</v>
      </c>
      <c r="BR54" s="3">
        <f t="shared" si="24"/>
        <v>8857.7356968958829</v>
      </c>
      <c r="BS54" s="3">
        <f t="shared" si="24"/>
        <v>8769.1583399269239</v>
      </c>
      <c r="BT54" s="3">
        <f t="shared" si="24"/>
        <v>8681.4667565276541</v>
      </c>
      <c r="BU54" s="3">
        <f t="shared" si="24"/>
        <v>8594.6520889623771</v>
      </c>
      <c r="BV54" s="3">
        <f t="shared" si="24"/>
        <v>8508.7055680727535</v>
      </c>
      <c r="BW54" s="3">
        <f t="shared" si="24"/>
        <v>8423.6185123920259</v>
      </c>
      <c r="BX54" s="3">
        <f t="shared" si="24"/>
        <v>8339.3823272681057</v>
      </c>
      <c r="BY54" s="3">
        <f t="shared" si="24"/>
        <v>8255.9885039954243</v>
      </c>
      <c r="BZ54" s="3">
        <f t="shared" si="24"/>
        <v>8173.4286189554696</v>
      </c>
      <c r="CA54" s="3">
        <f t="shared" si="24"/>
        <v>8091.6943327659146</v>
      </c>
      <c r="CB54" s="3">
        <f t="shared" si="24"/>
        <v>8010.7773894382553</v>
      </c>
      <c r="CC54" s="3">
        <f t="shared" si="24"/>
        <v>7930.6696155438731</v>
      </c>
      <c r="CD54" s="3">
        <f t="shared" si="24"/>
        <v>7851.3629193884344</v>
      </c>
      <c r="CE54" s="3">
        <f t="shared" si="24"/>
        <v>7772.8492901945501</v>
      </c>
      <c r="CF54" s="3">
        <f t="shared" si="24"/>
        <v>7695.1207972926049</v>
      </c>
      <c r="CG54" s="3">
        <f t="shared" si="24"/>
        <v>7618.1695893196784</v>
      </c>
      <c r="CH54" s="3">
        <f t="shared" si="24"/>
        <v>7541.9878934264816</v>
      </c>
      <c r="CI54" s="3">
        <f t="shared" si="24"/>
        <v>7466.5680144922171</v>
      </c>
      <c r="CJ54" s="3">
        <f t="shared" si="24"/>
        <v>7391.9023343472945</v>
      </c>
      <c r="CK54" s="3">
        <f t="shared" ref="CK54:DP54" si="25">+CJ54*(1+TR)</f>
        <v>7317.9833110038217</v>
      </c>
      <c r="CL54" s="3">
        <f t="shared" si="25"/>
        <v>7244.8034778937836</v>
      </c>
      <c r="CM54" s="3">
        <f t="shared" si="25"/>
        <v>7172.3554431148459</v>
      </c>
      <c r="CN54" s="3">
        <f t="shared" si="25"/>
        <v>7100.6318886836971</v>
      </c>
      <c r="CO54" s="3">
        <f t="shared" si="25"/>
        <v>7029.62556979686</v>
      </c>
      <c r="CP54" s="3">
        <f t="shared" si="25"/>
        <v>6959.3293140988917</v>
      </c>
      <c r="CQ54" s="3">
        <f t="shared" si="25"/>
        <v>6889.7360209579028</v>
      </c>
      <c r="CR54" s="3">
        <f t="shared" si="25"/>
        <v>6820.8386607483235</v>
      </c>
      <c r="CS54" s="3">
        <f t="shared" si="25"/>
        <v>6752.6302741408399</v>
      </c>
      <c r="CT54" s="3">
        <f t="shared" si="25"/>
        <v>6685.1039713994314</v>
      </c>
      <c r="CU54" s="3">
        <f t="shared" si="25"/>
        <v>6618.252931685437</v>
      </c>
      <c r="CV54" s="3">
        <f t="shared" si="25"/>
        <v>6552.070402368583</v>
      </c>
      <c r="CW54" s="3">
        <f t="shared" si="25"/>
        <v>6486.5496983448975</v>
      </c>
      <c r="CX54" s="3">
        <f t="shared" si="25"/>
        <v>6421.6842013614487</v>
      </c>
      <c r="CY54" s="3">
        <f t="shared" si="25"/>
        <v>6357.4673593478337</v>
      </c>
      <c r="CZ54" s="3">
        <f t="shared" si="25"/>
        <v>6293.8926857543556</v>
      </c>
      <c r="DA54" s="3">
        <f t="shared" si="25"/>
        <v>6230.9537588968124</v>
      </c>
      <c r="DB54" s="3">
        <f t="shared" si="25"/>
        <v>6168.6442213078444</v>
      </c>
      <c r="DC54" s="3">
        <f t="shared" si="25"/>
        <v>6106.957779094766</v>
      </c>
      <c r="DD54" s="3">
        <f t="shared" si="25"/>
        <v>6045.8882013038183</v>
      </c>
      <c r="DE54" s="3">
        <f t="shared" si="25"/>
        <v>5985.4293192907799</v>
      </c>
      <c r="DF54" s="3">
        <f t="shared" si="25"/>
        <v>5925.5750260978721</v>
      </c>
      <c r="DG54" s="3">
        <f t="shared" si="25"/>
        <v>5866.3192758368932</v>
      </c>
      <c r="DH54" s="3">
        <f t="shared" si="25"/>
        <v>5807.6560830785238</v>
      </c>
      <c r="DI54" s="3">
        <f t="shared" si="25"/>
        <v>5749.5795222477382</v>
      </c>
      <c r="DJ54" s="3">
        <f t="shared" si="25"/>
        <v>5692.0837270252605</v>
      </c>
      <c r="DK54" s="3">
        <f t="shared" si="25"/>
        <v>5635.1628897550081</v>
      </c>
      <c r="DL54" s="3">
        <f t="shared" si="25"/>
        <v>5578.8112608574584</v>
      </c>
      <c r="DM54" s="3">
        <f t="shared" si="25"/>
        <v>5523.0231482488834</v>
      </c>
      <c r="DN54" s="3">
        <f t="shared" si="25"/>
        <v>5467.7929167663942</v>
      </c>
      <c r="DO54" s="3">
        <f t="shared" si="25"/>
        <v>5413.1149875987303</v>
      </c>
      <c r="DP54" s="3">
        <f t="shared" si="25"/>
        <v>5358.9838377227434</v>
      </c>
      <c r="DQ54" s="3">
        <f t="shared" ref="DQ54:EV54" si="26">+DP54*(1+TR)</f>
        <v>5305.393999345516</v>
      </c>
      <c r="DR54" s="3">
        <f t="shared" si="26"/>
        <v>5252.340059352061</v>
      </c>
      <c r="DS54" s="3">
        <f t="shared" si="26"/>
        <v>5199.8166587585401</v>
      </c>
      <c r="DT54" s="3">
        <f t="shared" si="26"/>
        <v>5147.8184921709544</v>
      </c>
      <c r="DU54" s="3">
        <f t="shared" si="26"/>
        <v>5096.3403072492447</v>
      </c>
      <c r="DV54" s="3">
        <f t="shared" si="26"/>
        <v>5045.3769041767519</v>
      </c>
      <c r="DW54" s="3">
        <f t="shared" si="26"/>
        <v>4994.9231351349845</v>
      </c>
      <c r="DX54" s="3">
        <f t="shared" si="26"/>
        <v>4944.9739037836343</v>
      </c>
      <c r="DY54" s="3">
        <f t="shared" si="26"/>
        <v>4895.5241647457979</v>
      </c>
      <c r="DZ54" s="3">
        <f t="shared" si="26"/>
        <v>4846.5689230983398</v>
      </c>
      <c r="EA54" s="3">
        <f t="shared" si="26"/>
        <v>4798.1032338673567</v>
      </c>
      <c r="EB54" s="3">
        <f t="shared" si="26"/>
        <v>4750.122201528683</v>
      </c>
      <c r="EC54" s="3">
        <f t="shared" si="26"/>
        <v>4702.6209795133964</v>
      </c>
      <c r="ED54" s="3">
        <f t="shared" si="26"/>
        <v>4655.5947697182628</v>
      </c>
      <c r="EE54" s="3">
        <f t="shared" si="26"/>
        <v>4609.0388220210798</v>
      </c>
      <c r="EF54" s="3">
        <f t="shared" si="26"/>
        <v>4562.9484338008688</v>
      </c>
      <c r="EG54" s="3">
        <f t="shared" si="26"/>
        <v>4517.3189494628605</v>
      </c>
      <c r="EH54" s="3">
        <f t="shared" si="26"/>
        <v>4472.1457599682317</v>
      </c>
      <c r="EI54" s="3">
        <f t="shared" si="26"/>
        <v>4427.4243023685494</v>
      </c>
      <c r="EJ54" s="3">
        <f t="shared" si="26"/>
        <v>4383.1500593448636</v>
      </c>
      <c r="EK54" s="3">
        <f t="shared" si="26"/>
        <v>4339.3185587514154</v>
      </c>
      <c r="EL54" s="3">
        <f t="shared" si="26"/>
        <v>4295.925373163901</v>
      </c>
      <c r="EM54" s="3">
        <f t="shared" si="26"/>
        <v>4252.9661194322616</v>
      </c>
      <c r="EN54" s="3">
        <f t="shared" si="26"/>
        <v>4210.4364582379394</v>
      </c>
      <c r="EO54" s="3">
        <f t="shared" si="26"/>
        <v>4168.3320936555601</v>
      </c>
      <c r="EP54" s="3">
        <f t="shared" si="26"/>
        <v>4126.6487727190042</v>
      </c>
      <c r="EQ54" s="3">
        <f t="shared" si="26"/>
        <v>4085.3822849918142</v>
      </c>
      <c r="ER54" s="3">
        <f t="shared" si="26"/>
        <v>4044.5284621418959</v>
      </c>
      <c r="ES54" s="3">
        <f t="shared" si="26"/>
        <v>4004.083177520477</v>
      </c>
      <c r="ET54" s="3">
        <f t="shared" si="26"/>
        <v>3964.0423457452721</v>
      </c>
      <c r="EU54" s="3">
        <f t="shared" si="26"/>
        <v>3924.4019222878192</v>
      </c>
      <c r="EV54" s="3">
        <f t="shared" si="26"/>
        <v>3885.1579030649409</v>
      </c>
      <c r="EW54" s="3">
        <f t="shared" ref="EW54:FO54" si="27">+EV54*(1+TR)</f>
        <v>3846.3063240342913</v>
      </c>
      <c r="EX54" s="3">
        <f t="shared" si="27"/>
        <v>3807.8432607939485</v>
      </c>
      <c r="EY54" s="3">
        <f t="shared" si="27"/>
        <v>3769.7648281860088</v>
      </c>
      <c r="EZ54" s="3">
        <f t="shared" si="27"/>
        <v>3732.0671799041488</v>
      </c>
      <c r="FA54" s="3">
        <f t="shared" si="27"/>
        <v>3694.7465081051073</v>
      </c>
      <c r="FB54" s="3">
        <f t="shared" si="27"/>
        <v>3657.7990430240561</v>
      </c>
      <c r="FC54" s="3">
        <f t="shared" si="27"/>
        <v>3621.2210525938153</v>
      </c>
      <c r="FD54" s="3">
        <f t="shared" si="27"/>
        <v>3585.0088420678771</v>
      </c>
      <c r="FE54" s="3">
        <f t="shared" si="27"/>
        <v>3549.1587536471984</v>
      </c>
      <c r="FF54" s="3">
        <f t="shared" si="27"/>
        <v>3513.6671661107266</v>
      </c>
      <c r="FG54" s="3">
        <f t="shared" si="27"/>
        <v>3478.5304944496193</v>
      </c>
      <c r="FH54" s="3">
        <f t="shared" si="27"/>
        <v>3443.7451895051231</v>
      </c>
      <c r="FI54" s="3">
        <f t="shared" si="27"/>
        <v>3409.3077376100719</v>
      </c>
      <c r="FJ54" s="3">
        <f t="shared" si="27"/>
        <v>3375.2146602339712</v>
      </c>
      <c r="FK54" s="3">
        <f t="shared" si="27"/>
        <v>3341.4625136316313</v>
      </c>
      <c r="FL54" s="3">
        <f t="shared" si="27"/>
        <v>3308.047888495315</v>
      </c>
      <c r="FM54" s="3">
        <f t="shared" si="27"/>
        <v>3274.9674096103618</v>
      </c>
      <c r="FN54" s="3">
        <f t="shared" si="27"/>
        <v>3242.217735514258</v>
      </c>
      <c r="FO54" s="3">
        <f t="shared" si="27"/>
        <v>3209.7955581591154</v>
      </c>
    </row>
    <row r="55" spans="2:171" x14ac:dyDescent="0.25">
      <c r="O55" s="6"/>
      <c r="P55" s="6"/>
    </row>
    <row r="56" spans="2:171" s="5" customFormat="1" x14ac:dyDescent="0.25">
      <c r="B56" s="5" t="s">
        <v>46</v>
      </c>
      <c r="C56" s="5">
        <f>+C42/C40</f>
        <v>0.19084066845260875</v>
      </c>
      <c r="G56" s="5">
        <f>+G42/G40</f>
        <v>0.19938843539200504</v>
      </c>
      <c r="O56" s="5">
        <f>+O42/O40</f>
        <v>0.18881294964028777</v>
      </c>
      <c r="P56" s="5">
        <f>+P42/P40</f>
        <v>0.18703801856520744</v>
      </c>
      <c r="Q56" s="5">
        <f>+Q42/Q40</f>
        <v>0.18934231919673331</v>
      </c>
      <c r="R56" s="5">
        <f>+R42/R40</f>
        <v>0.16597338997551406</v>
      </c>
      <c r="S56" s="5">
        <f>+S42/S40</f>
        <v>0.1800000000000001</v>
      </c>
      <c r="Z56" s="5" t="s">
        <v>63</v>
      </c>
      <c r="AA56" s="5">
        <v>7.0000000000000007E-2</v>
      </c>
    </row>
    <row r="57" spans="2:171" s="5" customFormat="1" x14ac:dyDescent="0.25">
      <c r="B57" s="5" t="s">
        <v>47</v>
      </c>
      <c r="C57" s="5">
        <f>+C54/C40</f>
        <v>0.10753922694221202</v>
      </c>
      <c r="G57" s="5">
        <f>+G54/G40</f>
        <v>6.2061996377857684E-2</v>
      </c>
      <c r="O57" s="5">
        <f>+O54/O40</f>
        <v>6.1658673061550762E-2</v>
      </c>
      <c r="P57" s="5">
        <f>+P54/P40</f>
        <v>5.6709116433646574E-2</v>
      </c>
      <c r="Z57" s="5" t="s">
        <v>64</v>
      </c>
      <c r="AA57" s="5">
        <v>-0.01</v>
      </c>
    </row>
    <row r="58" spans="2:171" x14ac:dyDescent="0.25">
      <c r="Z58" s="2" t="s">
        <v>65</v>
      </c>
      <c r="AA58" s="2">
        <f>NPV(AA56,Q54:FJ54)</f>
        <v>184179.58041214821</v>
      </c>
    </row>
    <row r="59" spans="2:171" x14ac:dyDescent="0.25">
      <c r="B59" s="2" t="s">
        <v>48</v>
      </c>
      <c r="C59" s="2">
        <v>9313</v>
      </c>
      <c r="D59" s="2">
        <f>16950-C59</f>
        <v>7637</v>
      </c>
      <c r="E59" s="2">
        <f>26886-D59-C59</f>
        <v>9936</v>
      </c>
      <c r="G59" s="2">
        <v>5963</v>
      </c>
      <c r="O59" s="2">
        <v>38633</v>
      </c>
      <c r="P59" s="2">
        <v>28496</v>
      </c>
      <c r="Q59" s="2">
        <v>19356</v>
      </c>
      <c r="Z59" s="2" t="s">
        <v>62</v>
      </c>
      <c r="AA59" s="2">
        <f>+R63+R64-R70</f>
        <v>-176541</v>
      </c>
    </row>
    <row r="60" spans="2:171" x14ac:dyDescent="0.25">
      <c r="B60" s="2" t="s">
        <v>49</v>
      </c>
      <c r="C60" s="2">
        <v>2235</v>
      </c>
      <c r="D60" s="2">
        <f>4173-C60</f>
        <v>1938</v>
      </c>
      <c r="E60" s="2">
        <f>7309-D60-C60</f>
        <v>3136</v>
      </c>
      <c r="G60" s="2">
        <v>2485</v>
      </c>
      <c r="O60" s="2">
        <v>10655</v>
      </c>
      <c r="P60" s="2">
        <v>12948</v>
      </c>
      <c r="Q60" s="2">
        <v>14653</v>
      </c>
      <c r="Z60" s="2" t="s">
        <v>66</v>
      </c>
      <c r="AA60" s="2">
        <f>+AA58+AA59</f>
        <v>7638.580412148207</v>
      </c>
    </row>
    <row r="61" spans="2:171" x14ac:dyDescent="0.25">
      <c r="B61" s="2" t="s">
        <v>50</v>
      </c>
      <c r="C61" s="2">
        <f>+C59-C60</f>
        <v>7078</v>
      </c>
      <c r="D61" s="2">
        <f>+D59-D60</f>
        <v>5699</v>
      </c>
      <c r="E61" s="2">
        <f>+E59-E60</f>
        <v>6800</v>
      </c>
      <c r="G61" s="2">
        <f>+G59-G60</f>
        <v>3478</v>
      </c>
      <c r="O61" s="2">
        <f>+O59-O60</f>
        <v>27978</v>
      </c>
      <c r="P61" s="2">
        <f>+P59-P60</f>
        <v>15548</v>
      </c>
      <c r="Q61" s="2">
        <f>+Q59-Q60</f>
        <v>4703</v>
      </c>
      <c r="Z61" s="2" t="s">
        <v>67</v>
      </c>
      <c r="AA61" s="2">
        <f>+AA60/501.295263</f>
        <v>15.237687199426434</v>
      </c>
    </row>
    <row r="62" spans="2:171" x14ac:dyDescent="0.25">
      <c r="AA62" s="5">
        <f>+AA61/Main!G3 -1</f>
        <v>-0.82684446364288144</v>
      </c>
    </row>
    <row r="63" spans="2:171" x14ac:dyDescent="0.25">
      <c r="B63" s="2" t="s">
        <v>51</v>
      </c>
      <c r="G63" s="2">
        <v>36247</v>
      </c>
      <c r="R63" s="2">
        <v>51392</v>
      </c>
    </row>
    <row r="64" spans="2:171" x14ac:dyDescent="0.25">
      <c r="B64" s="2" t="s">
        <v>54</v>
      </c>
      <c r="G64" s="2">
        <v>25946</v>
      </c>
      <c r="R64" s="2">
        <v>27604</v>
      </c>
    </row>
    <row r="65" spans="2:18" x14ac:dyDescent="0.25">
      <c r="B65" s="2" t="s">
        <v>56</v>
      </c>
      <c r="G65" s="2">
        <v>46821</v>
      </c>
    </row>
    <row r="66" spans="2:18" x14ac:dyDescent="0.25">
      <c r="B66" s="2" t="s">
        <v>55</v>
      </c>
      <c r="G66" s="2">
        <f>61748+87434</f>
        <v>149182</v>
      </c>
    </row>
    <row r="67" spans="2:18" x14ac:dyDescent="0.25">
      <c r="B67" s="2" t="s">
        <v>52</v>
      </c>
      <c r="G67" s="2">
        <v>63676</v>
      </c>
      <c r="R67" s="2">
        <v>68488</v>
      </c>
    </row>
    <row r="68" spans="2:18" x14ac:dyDescent="0.25">
      <c r="B68" s="2" t="s">
        <v>60</v>
      </c>
      <c r="G68" s="2">
        <f>59121+45994</f>
        <v>105115</v>
      </c>
    </row>
    <row r="69" spans="2:18" x14ac:dyDescent="0.25">
      <c r="B69" s="2" t="s">
        <v>61</v>
      </c>
      <c r="G69" s="2">
        <f>+SUM(G63:G68)</f>
        <v>426987</v>
      </c>
    </row>
    <row r="70" spans="2:18" x14ac:dyDescent="0.25">
      <c r="B70" s="2" t="s">
        <v>57</v>
      </c>
      <c r="G70" s="2">
        <f>119757+87948</f>
        <v>207705</v>
      </c>
      <c r="R70" s="2">
        <f>121756+133781</f>
        <v>255537</v>
      </c>
    </row>
    <row r="71" spans="2:18" x14ac:dyDescent="0.25">
      <c r="B71" s="2" t="s">
        <v>58</v>
      </c>
      <c r="G71" s="2">
        <f>52903+66972</f>
        <v>119875</v>
      </c>
      <c r="Q71" s="6"/>
    </row>
    <row r="72" spans="2:18" x14ac:dyDescent="0.25">
      <c r="B72" s="2" t="s">
        <v>59</v>
      </c>
      <c r="G72" s="2">
        <f>+G70+G71</f>
        <v>327580</v>
      </c>
    </row>
    <row r="73" spans="2:18" x14ac:dyDescent="0.25">
      <c r="B73" s="2" t="s">
        <v>53</v>
      </c>
      <c r="G73" s="2">
        <f>+G69-G72</f>
        <v>99407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Model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2023-05-21T15:39:49Z</dcterms:created>
  <dcterms:modified xsi:type="dcterms:W3CDTF">2024-12-16T18:49:57Z</dcterms:modified>
</cp:coreProperties>
</file>