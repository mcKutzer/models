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4CF4EDED-EF13-4335-B039-F67ACB1FE06C}" xr6:coauthVersionLast="47" xr6:coauthVersionMax="47" xr10:uidLastSave="{00000000-0000-0000-0000-000000000000}"/>
  <bookViews>
    <workbookView xWindow="-120" yWindow="-120" windowWidth="29040" windowHeight="15840" xr2:uid="{557F6B88-1C90-4B9E-B678-41F0CD3DFF53}"/>
  </bookViews>
  <sheets>
    <sheet name="Sheet1" sheetId="1" r:id="rId1"/>
  </sheets>
  <definedNames>
    <definedName name="TR">Sheet1!$AE$41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3" i="1" l="1"/>
  <c r="T13" i="1" s="1"/>
  <c r="U13" i="1" s="1"/>
  <c r="V13" i="1" s="1"/>
  <c r="W13" i="1" s="1"/>
  <c r="X13" i="1" s="1"/>
  <c r="Y13" i="1" s="1"/>
  <c r="Z13" i="1" s="1"/>
  <c r="AA13" i="1" s="1"/>
  <c r="AB13" i="1" s="1"/>
  <c r="R13" i="1"/>
  <c r="R17" i="1" s="1"/>
  <c r="T9" i="1"/>
  <c r="U9" i="1" s="1"/>
  <c r="V9" i="1" s="1"/>
  <c r="W9" i="1" s="1"/>
  <c r="X9" i="1" s="1"/>
  <c r="Y9" i="1" s="1"/>
  <c r="Z9" i="1" s="1"/>
  <c r="AA9" i="1" s="1"/>
  <c r="AB9" i="1" s="1"/>
  <c r="S9" i="1"/>
  <c r="Q20" i="1"/>
  <c r="Q8" i="1"/>
  <c r="R8" i="1"/>
  <c r="S8" i="1"/>
  <c r="T8" i="1" s="1"/>
  <c r="S30" i="1"/>
  <c r="T30" i="1" s="1"/>
  <c r="U30" i="1" s="1"/>
  <c r="V30" i="1" s="1"/>
  <c r="W30" i="1" s="1"/>
  <c r="X30" i="1" s="1"/>
  <c r="Y30" i="1" s="1"/>
  <c r="Z30" i="1" s="1"/>
  <c r="AA30" i="1" s="1"/>
  <c r="AB30" i="1" s="1"/>
  <c r="R30" i="1"/>
  <c r="G54" i="1"/>
  <c r="R29" i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Q29" i="1"/>
  <c r="R28" i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Q28" i="1"/>
  <c r="Y24" i="1"/>
  <c r="Z24" i="1" s="1"/>
  <c r="AA24" i="1" s="1"/>
  <c r="AB24" i="1" s="1"/>
  <c r="X24" i="1"/>
  <c r="R24" i="1"/>
  <c r="S24" i="1" s="1"/>
  <c r="T24" i="1" s="1"/>
  <c r="U24" i="1" s="1"/>
  <c r="V24" i="1" s="1"/>
  <c r="W24" i="1" s="1"/>
  <c r="Q24" i="1"/>
  <c r="R23" i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Q23" i="1"/>
  <c r="R22" i="1"/>
  <c r="S22" i="1" s="1"/>
  <c r="Q22" i="1"/>
  <c r="R16" i="1"/>
  <c r="Q16" i="1"/>
  <c r="Q19" i="1" s="1"/>
  <c r="R15" i="1"/>
  <c r="S15" i="1"/>
  <c r="Q15" i="1"/>
  <c r="Q17" i="1"/>
  <c r="Z11" i="1"/>
  <c r="AA11" i="1" s="1"/>
  <c r="AB11" i="1" s="1"/>
  <c r="Z12" i="1"/>
  <c r="AA12" i="1"/>
  <c r="AB12" i="1" s="1"/>
  <c r="Z2" i="1"/>
  <c r="AA2" i="1" s="1"/>
  <c r="AB2" i="1" s="1"/>
  <c r="T7" i="1"/>
  <c r="R9" i="1"/>
  <c r="Q9" i="1"/>
  <c r="Q13" i="1"/>
  <c r="R12" i="1"/>
  <c r="S12" i="1"/>
  <c r="T12" i="1" s="1"/>
  <c r="U12" i="1" s="1"/>
  <c r="V12" i="1" s="1"/>
  <c r="W12" i="1" s="1"/>
  <c r="X12" i="1" s="1"/>
  <c r="Y12" i="1" s="1"/>
  <c r="Q12" i="1"/>
  <c r="R11" i="1"/>
  <c r="S11" i="1"/>
  <c r="T11" i="1" s="1"/>
  <c r="U11" i="1" s="1"/>
  <c r="V11" i="1" s="1"/>
  <c r="W11" i="1" s="1"/>
  <c r="X11" i="1" s="1"/>
  <c r="Y11" i="1" s="1"/>
  <c r="Q11" i="1"/>
  <c r="P13" i="1"/>
  <c r="O13" i="1"/>
  <c r="P12" i="1"/>
  <c r="O12" i="1"/>
  <c r="P11" i="1"/>
  <c r="O11" i="1"/>
  <c r="O58" i="1"/>
  <c r="P58" i="1"/>
  <c r="O60" i="1"/>
  <c r="P54" i="1"/>
  <c r="P60" i="1" s="1"/>
  <c r="O46" i="1"/>
  <c r="O43" i="1"/>
  <c r="O34" i="1"/>
  <c r="O20" i="1"/>
  <c r="O21" i="1" s="1"/>
  <c r="O37" i="1" s="1"/>
  <c r="O26" i="1"/>
  <c r="O2" i="1"/>
  <c r="P46" i="1"/>
  <c r="G46" i="1"/>
  <c r="F46" i="1"/>
  <c r="C46" i="1"/>
  <c r="P34" i="1"/>
  <c r="P20" i="1"/>
  <c r="P21" i="1" s="1"/>
  <c r="P37" i="1" s="1"/>
  <c r="R26" i="1"/>
  <c r="Q2" i="1"/>
  <c r="R2" i="1" s="1"/>
  <c r="S2" i="1" s="1"/>
  <c r="T2" i="1" s="1"/>
  <c r="U2" i="1" s="1"/>
  <c r="V2" i="1" s="1"/>
  <c r="W2" i="1" s="1"/>
  <c r="X2" i="1" s="1"/>
  <c r="Y2" i="1" s="1"/>
  <c r="P26" i="1"/>
  <c r="G20" i="1"/>
  <c r="G21" i="1" s="1"/>
  <c r="G37" i="1" s="1"/>
  <c r="F20" i="1"/>
  <c r="F21" i="1" s="1"/>
  <c r="F37" i="1" s="1"/>
  <c r="C20" i="1"/>
  <c r="C21" i="1" s="1"/>
  <c r="C37" i="1" s="1"/>
  <c r="D26" i="1"/>
  <c r="E26" i="1"/>
  <c r="F26" i="1"/>
  <c r="G26" i="1"/>
  <c r="H26" i="1"/>
  <c r="I26" i="1"/>
  <c r="J26" i="1"/>
  <c r="C26" i="1"/>
  <c r="J21" i="1"/>
  <c r="I21" i="1"/>
  <c r="H21" i="1"/>
  <c r="E21" i="1"/>
  <c r="D21" i="1"/>
  <c r="R19" i="1" l="1"/>
  <c r="R20" i="1" s="1"/>
  <c r="Y17" i="1"/>
  <c r="U17" i="1"/>
  <c r="S17" i="1"/>
  <c r="W17" i="1"/>
  <c r="T17" i="1"/>
  <c r="X17" i="1"/>
  <c r="V17" i="1"/>
  <c r="Z15" i="1"/>
  <c r="W15" i="1"/>
  <c r="V15" i="1"/>
  <c r="T15" i="1"/>
  <c r="Y15" i="1"/>
  <c r="U15" i="1"/>
  <c r="X15" i="1"/>
  <c r="U8" i="1"/>
  <c r="T16" i="1"/>
  <c r="S16" i="1"/>
  <c r="S19" i="1" s="1"/>
  <c r="S20" i="1" s="1"/>
  <c r="Q26" i="1"/>
  <c r="T22" i="1"/>
  <c r="S26" i="1"/>
  <c r="Q21" i="1"/>
  <c r="Q37" i="1" s="1"/>
  <c r="P59" i="1"/>
  <c r="O27" i="1"/>
  <c r="P27" i="1"/>
  <c r="D27" i="1"/>
  <c r="D31" i="1" s="1"/>
  <c r="D33" i="1" s="1"/>
  <c r="D34" i="1" s="1"/>
  <c r="E27" i="1"/>
  <c r="E31" i="1" s="1"/>
  <c r="E33" i="1" s="1"/>
  <c r="E34" i="1" s="1"/>
  <c r="H27" i="1"/>
  <c r="H31" i="1" s="1"/>
  <c r="H33" i="1" s="1"/>
  <c r="H34" i="1" s="1"/>
  <c r="I27" i="1"/>
  <c r="I31" i="1" s="1"/>
  <c r="I33" i="1" s="1"/>
  <c r="I34" i="1" s="1"/>
  <c r="J27" i="1"/>
  <c r="J31" i="1" s="1"/>
  <c r="J33" i="1" s="1"/>
  <c r="J34" i="1" s="1"/>
  <c r="G27" i="1"/>
  <c r="F27" i="1"/>
  <c r="C27" i="1"/>
  <c r="R21" i="1" l="1"/>
  <c r="T19" i="1"/>
  <c r="T20" i="1" s="1"/>
  <c r="Z17" i="1"/>
  <c r="AB15" i="1"/>
  <c r="AA15" i="1"/>
  <c r="R37" i="1"/>
  <c r="R27" i="1"/>
  <c r="R31" i="1" s="1"/>
  <c r="R32" i="1" s="1"/>
  <c r="T21" i="1"/>
  <c r="T37" i="1" s="1"/>
  <c r="V8" i="1"/>
  <c r="U16" i="1"/>
  <c r="U19" i="1" s="1"/>
  <c r="S21" i="1"/>
  <c r="Q27" i="1"/>
  <c r="Q31" i="1" s="1"/>
  <c r="Q32" i="1" s="1"/>
  <c r="U22" i="1"/>
  <c r="T26" i="1"/>
  <c r="O31" i="1"/>
  <c r="O38" i="1"/>
  <c r="P31" i="1"/>
  <c r="P38" i="1"/>
  <c r="F31" i="1"/>
  <c r="F38" i="1"/>
  <c r="C31" i="1"/>
  <c r="C38" i="1"/>
  <c r="G31" i="1"/>
  <c r="G38" i="1"/>
  <c r="AB17" i="1" l="1"/>
  <c r="AA17" i="1"/>
  <c r="R38" i="1"/>
  <c r="U20" i="1"/>
  <c r="U21" i="1" s="1"/>
  <c r="U37" i="1" s="1"/>
  <c r="S37" i="1"/>
  <c r="S27" i="1"/>
  <c r="T27" i="1"/>
  <c r="T31" i="1" s="1"/>
  <c r="T32" i="1" s="1"/>
  <c r="W8" i="1"/>
  <c r="V16" i="1"/>
  <c r="V19" i="1" s="1"/>
  <c r="V20" i="1" s="1"/>
  <c r="Q38" i="1"/>
  <c r="V22" i="1"/>
  <c r="U26" i="1"/>
  <c r="R33" i="1"/>
  <c r="R35" i="1" s="1"/>
  <c r="R39" i="1"/>
  <c r="Q33" i="1"/>
  <c r="Q35" i="1" s="1"/>
  <c r="Q39" i="1"/>
  <c r="C33" i="1"/>
  <c r="C41" i="1" s="1"/>
  <c r="C39" i="1"/>
  <c r="F33" i="1"/>
  <c r="F41" i="1" s="1"/>
  <c r="F39" i="1"/>
  <c r="G33" i="1"/>
  <c r="G41" i="1" s="1"/>
  <c r="G39" i="1"/>
  <c r="P33" i="1"/>
  <c r="P39" i="1"/>
  <c r="O33" i="1"/>
  <c r="O39" i="1"/>
  <c r="G40" i="1"/>
  <c r="G34" i="1"/>
  <c r="C40" i="1"/>
  <c r="U27" i="1" l="1"/>
  <c r="U38" i="1" s="1"/>
  <c r="T38" i="1"/>
  <c r="V21" i="1"/>
  <c r="V37" i="1" s="1"/>
  <c r="X8" i="1"/>
  <c r="W16" i="1"/>
  <c r="W19" i="1" s="1"/>
  <c r="W20" i="1" s="1"/>
  <c r="S31" i="1"/>
  <c r="S38" i="1"/>
  <c r="V26" i="1"/>
  <c r="W22" i="1"/>
  <c r="R34" i="1"/>
  <c r="R41" i="1"/>
  <c r="R40" i="1"/>
  <c r="T33" i="1"/>
  <c r="T35" i="1" s="1"/>
  <c r="T39" i="1"/>
  <c r="Q34" i="1"/>
  <c r="Q41" i="1"/>
  <c r="Q40" i="1"/>
  <c r="C34" i="1"/>
  <c r="F40" i="1"/>
  <c r="O40" i="1"/>
  <c r="O35" i="1"/>
  <c r="O41" i="1" s="1"/>
  <c r="P40" i="1"/>
  <c r="P35" i="1"/>
  <c r="P41" i="1" s="1"/>
  <c r="F34" i="1"/>
  <c r="U31" i="1" l="1"/>
  <c r="U32" i="1" s="1"/>
  <c r="U39" i="1" s="1"/>
  <c r="V27" i="1"/>
  <c r="V38" i="1" s="1"/>
  <c r="S32" i="1"/>
  <c r="S39" i="1" s="1"/>
  <c r="W21" i="1"/>
  <c r="W37" i="1" s="1"/>
  <c r="X16" i="1"/>
  <c r="X19" i="1" s="1"/>
  <c r="X20" i="1" s="1"/>
  <c r="Y8" i="1"/>
  <c r="T34" i="1"/>
  <c r="T41" i="1"/>
  <c r="T40" i="1"/>
  <c r="W26" i="1"/>
  <c r="X22" i="1"/>
  <c r="S33" i="1" l="1"/>
  <c r="V31" i="1"/>
  <c r="V32" i="1" s="1"/>
  <c r="V39" i="1" s="1"/>
  <c r="U33" i="1"/>
  <c r="U35" i="1" s="1"/>
  <c r="U41" i="1" s="1"/>
  <c r="X21" i="1"/>
  <c r="X37" i="1" s="1"/>
  <c r="S35" i="1"/>
  <c r="S41" i="1" s="1"/>
  <c r="S40" i="1"/>
  <c r="S34" i="1"/>
  <c r="W27" i="1"/>
  <c r="W38" i="1" s="1"/>
  <c r="Z8" i="1"/>
  <c r="Y16" i="1"/>
  <c r="Y19" i="1" s="1"/>
  <c r="Y20" i="1" s="1"/>
  <c r="U34" i="1"/>
  <c r="U40" i="1"/>
  <c r="X26" i="1"/>
  <c r="Y22" i="1"/>
  <c r="V33" i="1" l="1"/>
  <c r="V35" i="1" s="1"/>
  <c r="Y21" i="1"/>
  <c r="Y37" i="1" s="1"/>
  <c r="AA8" i="1"/>
  <c r="Z16" i="1"/>
  <c r="Z19" i="1" s="1"/>
  <c r="W31" i="1"/>
  <c r="W32" i="1" s="1"/>
  <c r="W33" i="1" s="1"/>
  <c r="W35" i="1" s="1"/>
  <c r="X27" i="1"/>
  <c r="X31" i="1" s="1"/>
  <c r="X32" i="1" s="1"/>
  <c r="Y26" i="1"/>
  <c r="Y27" i="1" s="1"/>
  <c r="Z22" i="1"/>
  <c r="V34" i="1"/>
  <c r="V41" i="1"/>
  <c r="V40" i="1"/>
  <c r="W39" i="1" l="1"/>
  <c r="Z20" i="1"/>
  <c r="Z21" i="1" s="1"/>
  <c r="Z37" i="1" s="1"/>
  <c r="X38" i="1"/>
  <c r="AB8" i="1"/>
  <c r="AB16" i="1" s="1"/>
  <c r="AB19" i="1" s="1"/>
  <c r="AB20" i="1" s="1"/>
  <c r="AA16" i="1"/>
  <c r="AA19" i="1" s="1"/>
  <c r="AA20" i="1" s="1"/>
  <c r="Y31" i="1"/>
  <c r="Y32" i="1" s="1"/>
  <c r="Y38" i="1"/>
  <c r="Z26" i="1"/>
  <c r="AA22" i="1"/>
  <c r="X33" i="1"/>
  <c r="X35" i="1" s="1"/>
  <c r="X39" i="1"/>
  <c r="W34" i="1"/>
  <c r="W41" i="1"/>
  <c r="W40" i="1"/>
  <c r="Z27" i="1" l="1"/>
  <c r="AA21" i="1"/>
  <c r="AA37" i="1" s="1"/>
  <c r="AB21" i="1"/>
  <c r="AB37" i="1" s="1"/>
  <c r="AA26" i="1"/>
  <c r="AB22" i="1"/>
  <c r="AB26" i="1" s="1"/>
  <c r="X34" i="1"/>
  <c r="X41" i="1"/>
  <c r="X40" i="1"/>
  <c r="Z31" i="1"/>
  <c r="Z32" i="1" s="1"/>
  <c r="Z38" i="1"/>
  <c r="Y33" i="1"/>
  <c r="Y35" i="1" s="1"/>
  <c r="Y39" i="1"/>
  <c r="AB27" i="1" l="1"/>
  <c r="AA27" i="1"/>
  <c r="Y34" i="1"/>
  <c r="Y41" i="1"/>
  <c r="Y40" i="1"/>
  <c r="AB31" i="1"/>
  <c r="AB32" i="1" s="1"/>
  <c r="AB38" i="1"/>
  <c r="Z33" i="1"/>
  <c r="Z35" i="1" s="1"/>
  <c r="Z39" i="1"/>
  <c r="AA31" i="1"/>
  <c r="AA32" i="1" s="1"/>
  <c r="AA38" i="1"/>
  <c r="AA33" i="1" l="1"/>
  <c r="AA35" i="1" s="1"/>
  <c r="AA39" i="1"/>
  <c r="Z34" i="1"/>
  <c r="Z41" i="1"/>
  <c r="Z40" i="1"/>
  <c r="AB33" i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CN35" i="1" s="1"/>
  <c r="CO35" i="1" s="1"/>
  <c r="CP35" i="1" s="1"/>
  <c r="CQ35" i="1" s="1"/>
  <c r="CR35" i="1" s="1"/>
  <c r="CS35" i="1" s="1"/>
  <c r="AE42" i="1" s="1"/>
  <c r="AE44" i="1" s="1"/>
  <c r="AB39" i="1"/>
  <c r="AB34" i="1" l="1"/>
  <c r="AB41" i="1"/>
  <c r="AB40" i="1"/>
  <c r="AA34" i="1"/>
  <c r="AA41" i="1"/>
  <c r="AA40" i="1"/>
</calcChain>
</file>

<file path=xl/sharedStrings.xml><?xml version="1.0" encoding="utf-8"?>
<sst xmlns="http://schemas.openxmlformats.org/spreadsheetml/2006/main" count="61" uniqueCount="60">
  <si>
    <t>Revenue</t>
  </si>
  <si>
    <t>Q123</t>
  </si>
  <si>
    <t>Q223</t>
  </si>
  <si>
    <t>Q323</t>
  </si>
  <si>
    <t>Q423</t>
  </si>
  <si>
    <t>Q124</t>
  </si>
  <si>
    <t>Q224</t>
  </si>
  <si>
    <t>Q324</t>
  </si>
  <si>
    <t>Q424</t>
  </si>
  <si>
    <t>COGS</t>
  </si>
  <si>
    <t>Gross Profit</t>
  </si>
  <si>
    <t>Exploration</t>
  </si>
  <si>
    <t>Other</t>
  </si>
  <si>
    <t>Operating Income</t>
  </si>
  <si>
    <t>Operating Expense</t>
  </si>
  <si>
    <t>Interest Income</t>
  </si>
  <si>
    <t>Interest Expense</t>
  </si>
  <si>
    <t>Pretax</t>
  </si>
  <si>
    <t>Taxes</t>
  </si>
  <si>
    <t>Net Income</t>
  </si>
  <si>
    <t>Net Income to Shareholder</t>
  </si>
  <si>
    <t>Other Finance, net</t>
  </si>
  <si>
    <t>SG&amp;A</t>
  </si>
  <si>
    <t>D&amp;A</t>
  </si>
  <si>
    <t>Minority Share</t>
  </si>
  <si>
    <t>Gross Margin</t>
  </si>
  <si>
    <t>Operating Margin</t>
  </si>
  <si>
    <t>Net Margin</t>
  </si>
  <si>
    <t>Shareholder Share</t>
  </si>
  <si>
    <t>Change in Working Capital</t>
  </si>
  <si>
    <t>CFFO</t>
  </si>
  <si>
    <t>CapEx</t>
  </si>
  <si>
    <t>FCF</t>
  </si>
  <si>
    <t>PP&amp;E</t>
  </si>
  <si>
    <t>Inventory</t>
  </si>
  <si>
    <t>Cash</t>
  </si>
  <si>
    <t>AR</t>
  </si>
  <si>
    <t>Debt</t>
  </si>
  <si>
    <t>NAV</t>
  </si>
  <si>
    <t>AP</t>
  </si>
  <si>
    <t>Current Assets</t>
  </si>
  <si>
    <t>Current Liabilities</t>
  </si>
  <si>
    <t>Net Working Capital</t>
  </si>
  <si>
    <t xml:space="preserve">ΔWorking Capital </t>
  </si>
  <si>
    <t>Chemicals &amp; Materials</t>
  </si>
  <si>
    <t>Fuels &amp; Feedstock</t>
  </si>
  <si>
    <t>Energy</t>
  </si>
  <si>
    <t>Average Brent Oil Price</t>
  </si>
  <si>
    <t>Average Gas Price /MWh</t>
  </si>
  <si>
    <t>Production Rate kboe/d</t>
  </si>
  <si>
    <t>Sale of Refined products k pa</t>
  </si>
  <si>
    <t>Sold polyolefins kt</t>
  </si>
  <si>
    <t>Polyolefins average Price</t>
  </si>
  <si>
    <t>Refined Products Price</t>
  </si>
  <si>
    <t>Oil &amp; Gas Price</t>
  </si>
  <si>
    <t>Discount</t>
  </si>
  <si>
    <t>Terminal</t>
  </si>
  <si>
    <t>NPV</t>
  </si>
  <si>
    <t>Shares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</si>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</sst>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9" fontId="0" fillId="0" borderId="0" xfId="1" applyFont="1"/>
    <xf numFmtId="3" fontId="2" fillId="0" borderId="0" xfId="0" applyNumberFormat="1" applyFont="1"/>
    <xf numFmtId="4" fontId="0" fillId="0" borderId="0" xfId="0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19707</xdr:colOff>
      <xdr:row>2</xdr:row>
      <xdr:rowOff>183931</xdr:rowOff>
    </xdr:from>
    <xdr:to>
      <xdr:col>16</xdr:col>
      <xdr:colOff>26276</xdr:colOff>
      <xdr:row>46</xdr:row>
      <xdr:rowOff>19707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69B605F-2CC9-883D-EA9B-FB6417DB3FA4}"/>
            </a:ext>
          </a:extLst>
        </xdr:cNvPr>
        <xdr:cNvCxnSpPr/>
      </xdr:nvCxnSpPr>
      <xdr:spPr>
        <a:xfrm flipH="1">
          <a:off x="10451224" y="564931"/>
          <a:ext cx="6569" cy="82177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0D53-B5F2-4DCA-8B0A-62E5F2EDAB7C}">
  <dimension ref="B2:CS139"/>
  <sheetViews>
    <sheetView tabSelected="1" zoomScale="145" zoomScaleNormal="145" workbookViewId="0">
      <pane xSplit="2" ySplit="2" topLeftCell="R23" activePane="bottomRight" state="frozen"/>
      <selection pane="topRight" activeCell="C1" sqref="C1"/>
      <selection pane="bottomLeft" activeCell="A3" sqref="A3"/>
      <selection pane="bottomRight" activeCell="AE42" sqref="AE42"/>
    </sheetView>
  </sheetViews>
  <sheetFormatPr defaultRowHeight="15" x14ac:dyDescent="0.25"/>
  <cols>
    <col min="1" max="1" width="2.85546875" customWidth="1"/>
    <col min="2" max="2" width="25.28515625" bestFit="1" customWidth="1"/>
  </cols>
  <sheetData>
    <row r="2" spans="2:28" x14ac:dyDescent="0.25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O2">
        <f>+P2-1</f>
        <v>2022</v>
      </c>
      <c r="P2">
        <v>2023</v>
      </c>
      <c r="Q2">
        <f t="shared" ref="Q2:Y2" si="0">+P2+1</f>
        <v>2024</v>
      </c>
      <c r="R2">
        <f t="shared" si="0"/>
        <v>2025</v>
      </c>
      <c r="S2">
        <f t="shared" si="0"/>
        <v>2026</v>
      </c>
      <c r="T2">
        <f t="shared" si="0"/>
        <v>2027</v>
      </c>
      <c r="U2">
        <f t="shared" si="0"/>
        <v>2028</v>
      </c>
      <c r="V2">
        <f t="shared" si="0"/>
        <v>2029</v>
      </c>
      <c r="W2">
        <f t="shared" si="0"/>
        <v>2030</v>
      </c>
      <c r="X2">
        <f t="shared" si="0"/>
        <v>2031</v>
      </c>
      <c r="Y2">
        <f t="shared" si="0"/>
        <v>2032</v>
      </c>
      <c r="Z2">
        <f t="shared" ref="Z2:AB2" si="1">+Y2+1</f>
        <v>2033</v>
      </c>
      <c r="AA2">
        <f t="shared" si="1"/>
        <v>2034</v>
      </c>
      <c r="AB2">
        <f t="shared" si="1"/>
        <v>2035</v>
      </c>
    </row>
    <row r="3" spans="2:28" s="1" customFormat="1" x14ac:dyDescent="0.25"/>
    <row r="4" spans="2:28" s="1" customFormat="1" x14ac:dyDescent="0.25">
      <c r="B4" s="1" t="s">
        <v>47</v>
      </c>
      <c r="C4" s="1">
        <v>82.32</v>
      </c>
      <c r="D4" s="1">
        <v>78.09</v>
      </c>
      <c r="E4" s="1">
        <v>85.98</v>
      </c>
      <c r="F4" s="1">
        <v>82.89</v>
      </c>
      <c r="G4" s="1">
        <v>91.69</v>
      </c>
      <c r="O4" s="1">
        <v>100</v>
      </c>
      <c r="P4" s="1">
        <v>80</v>
      </c>
    </row>
    <row r="5" spans="2:28" s="1" customFormat="1" x14ac:dyDescent="0.25">
      <c r="B5" s="1" t="s">
        <v>48</v>
      </c>
      <c r="C5" s="1">
        <v>82.32</v>
      </c>
      <c r="D5" s="1">
        <v>78.09</v>
      </c>
      <c r="E5" s="1">
        <v>85.98</v>
      </c>
      <c r="F5" s="1">
        <v>82.89</v>
      </c>
      <c r="G5" s="1">
        <v>81.96</v>
      </c>
      <c r="O5" s="1">
        <v>120</v>
      </c>
      <c r="P5" s="1">
        <v>77</v>
      </c>
    </row>
    <row r="6" spans="2:28" s="1" customFormat="1" x14ac:dyDescent="0.25"/>
    <row r="7" spans="2:28" s="1" customFormat="1" x14ac:dyDescent="0.25">
      <c r="B7" s="1" t="s">
        <v>49</v>
      </c>
      <c r="O7" s="1">
        <v>392</v>
      </c>
      <c r="P7" s="1">
        <v>375</v>
      </c>
      <c r="Q7" s="1">
        <v>375</v>
      </c>
      <c r="R7" s="1">
        <v>375</v>
      </c>
      <c r="S7" s="1">
        <v>375</v>
      </c>
      <c r="T7" s="1">
        <f>+S7+8.5</f>
        <v>383.5</v>
      </c>
      <c r="U7" s="1">
        <v>385</v>
      </c>
      <c r="V7" s="1">
        <v>385</v>
      </c>
      <c r="W7" s="1">
        <v>385</v>
      </c>
      <c r="X7" s="1">
        <v>385</v>
      </c>
      <c r="Y7" s="1">
        <v>385</v>
      </c>
      <c r="Z7" s="1">
        <v>385</v>
      </c>
      <c r="AA7" s="1">
        <v>385</v>
      </c>
      <c r="AB7" s="1">
        <v>385</v>
      </c>
    </row>
    <row r="8" spans="2:28" s="1" customFormat="1" x14ac:dyDescent="0.25">
      <c r="B8" s="1" t="s">
        <v>50</v>
      </c>
      <c r="O8" s="1">
        <v>5520</v>
      </c>
      <c r="P8" s="1">
        <v>4500</v>
      </c>
      <c r="Q8" s="1">
        <f t="shared" ref="Q8:X8" si="2">+P8*1.02</f>
        <v>4590</v>
      </c>
      <c r="R8" s="1">
        <f t="shared" si="2"/>
        <v>4681.8</v>
      </c>
      <c r="S8" s="1">
        <f t="shared" si="2"/>
        <v>4775.4360000000006</v>
      </c>
      <c r="T8" s="1">
        <f t="shared" si="2"/>
        <v>4870.9447200000004</v>
      </c>
      <c r="U8" s="1">
        <f t="shared" si="2"/>
        <v>4968.3636144000002</v>
      </c>
      <c r="V8" s="1">
        <f t="shared" si="2"/>
        <v>5067.7308866880003</v>
      </c>
      <c r="W8" s="1">
        <f t="shared" si="2"/>
        <v>5169.0855044217606</v>
      </c>
      <c r="X8" s="1">
        <f t="shared" si="2"/>
        <v>5272.4672145101958</v>
      </c>
      <c r="Y8" s="1">
        <f t="shared" ref="Y8:AB8" si="3">+X8*1.02</f>
        <v>5377.9165588003998</v>
      </c>
      <c r="Z8" s="1">
        <f t="shared" si="3"/>
        <v>5485.4748899764081</v>
      </c>
      <c r="AA8" s="1">
        <f t="shared" si="3"/>
        <v>5595.1843877759366</v>
      </c>
      <c r="AB8" s="1">
        <f t="shared" si="3"/>
        <v>5707.0880755314556</v>
      </c>
    </row>
    <row r="9" spans="2:28" s="1" customFormat="1" x14ac:dyDescent="0.25">
      <c r="B9" s="1" t="s">
        <v>51</v>
      </c>
      <c r="O9" s="1">
        <v>5700</v>
      </c>
      <c r="P9" s="1">
        <v>5700</v>
      </c>
      <c r="Q9" s="1">
        <f>+P9*1.02</f>
        <v>5814</v>
      </c>
      <c r="R9" s="1">
        <f t="shared" ref="R9:Y9" si="4">+Q9*1.02</f>
        <v>5930.28</v>
      </c>
      <c r="S9" s="1">
        <f>+R9*1.01</f>
        <v>5989.5828000000001</v>
      </c>
      <c r="T9" s="1">
        <f t="shared" ref="T9:AB9" si="5">+S9*1.01</f>
        <v>6049.4786279999998</v>
      </c>
      <c r="U9" s="1">
        <f t="shared" si="5"/>
        <v>6109.9734142799998</v>
      </c>
      <c r="V9" s="1">
        <f t="shared" si="5"/>
        <v>6171.0731484227999</v>
      </c>
      <c r="W9" s="1">
        <f t="shared" si="5"/>
        <v>6232.7838799070278</v>
      </c>
      <c r="X9" s="1">
        <f t="shared" si="5"/>
        <v>6295.1117187060981</v>
      </c>
      <c r="Y9" s="1">
        <f t="shared" si="5"/>
        <v>6358.062835893159</v>
      </c>
      <c r="Z9" s="1">
        <f t="shared" si="5"/>
        <v>6421.6434642520908</v>
      </c>
      <c r="AA9" s="1">
        <f t="shared" si="5"/>
        <v>6485.8598988946114</v>
      </c>
      <c r="AB9" s="1">
        <f t="shared" si="5"/>
        <v>6550.7184978835576</v>
      </c>
    </row>
    <row r="10" spans="2:28" s="1" customFormat="1" x14ac:dyDescent="0.25"/>
    <row r="11" spans="2:28" s="1" customFormat="1" x14ac:dyDescent="0.25">
      <c r="B11" s="1" t="s">
        <v>52</v>
      </c>
      <c r="O11" s="5">
        <f>+O15/O9</f>
        <v>2.1524561403508771</v>
      </c>
      <c r="P11" s="5">
        <f>+P15/P9</f>
        <v>1.4640350877192982</v>
      </c>
      <c r="Q11" s="5">
        <f>+P11*1.025</f>
        <v>1.5006359649122805</v>
      </c>
      <c r="R11" s="5">
        <f t="shared" ref="R11:Y11" si="6">+Q11*1.025</f>
        <v>1.5381518640350873</v>
      </c>
      <c r="S11" s="5">
        <f t="shared" si="6"/>
        <v>1.5766056606359644</v>
      </c>
      <c r="T11" s="5">
        <f t="shared" si="6"/>
        <v>1.6160208021518634</v>
      </c>
      <c r="U11" s="5">
        <f t="shared" si="6"/>
        <v>1.6564213222056599</v>
      </c>
      <c r="V11" s="5">
        <f t="shared" si="6"/>
        <v>1.6978318552608012</v>
      </c>
      <c r="W11" s="5">
        <f t="shared" si="6"/>
        <v>1.7402776516423211</v>
      </c>
      <c r="X11" s="5">
        <f t="shared" si="6"/>
        <v>1.7837845929333789</v>
      </c>
      <c r="Y11" s="5">
        <f t="shared" si="6"/>
        <v>1.8283792077567131</v>
      </c>
      <c r="Z11" s="5">
        <f t="shared" ref="Z11:AB11" si="7">+Y11*1.025</f>
        <v>1.8740886879506309</v>
      </c>
      <c r="AA11" s="5">
        <f t="shared" si="7"/>
        <v>1.9209409051493964</v>
      </c>
      <c r="AB11" s="5">
        <f t="shared" si="7"/>
        <v>1.9689644277781311</v>
      </c>
    </row>
    <row r="12" spans="2:28" s="1" customFormat="1" x14ac:dyDescent="0.25">
      <c r="B12" s="1" t="s">
        <v>53</v>
      </c>
      <c r="O12" s="5">
        <f>+O16/O8</f>
        <v>4.6768115942028983</v>
      </c>
      <c r="P12" s="5">
        <f>+P16/P8</f>
        <v>3.9451111111111112</v>
      </c>
      <c r="Q12" s="5">
        <f>+P12*1.015</f>
        <v>4.0042877777777779</v>
      </c>
      <c r="R12" s="5">
        <f t="shared" ref="R12:Y12" si="8">+Q12*1.015</f>
        <v>4.0643520944444438</v>
      </c>
      <c r="S12" s="5">
        <f t="shared" si="8"/>
        <v>4.1253173758611101</v>
      </c>
      <c r="T12" s="5">
        <f t="shared" si="8"/>
        <v>4.1871971364990266</v>
      </c>
      <c r="U12" s="5">
        <f t="shared" si="8"/>
        <v>4.2500050935465117</v>
      </c>
      <c r="V12" s="5">
        <f t="shared" si="8"/>
        <v>4.313755169949709</v>
      </c>
      <c r="W12" s="5">
        <f t="shared" si="8"/>
        <v>4.3784614974989546</v>
      </c>
      <c r="X12" s="5">
        <f t="shared" si="8"/>
        <v>4.4441384199614387</v>
      </c>
      <c r="Y12" s="5">
        <f t="shared" si="8"/>
        <v>4.5108004962608597</v>
      </c>
      <c r="Z12" s="5">
        <f t="shared" ref="Z12:AB12" si="9">+Y12*1.015</f>
        <v>4.5784625037047721</v>
      </c>
      <c r="AA12" s="5">
        <f t="shared" si="9"/>
        <v>4.6471394412603431</v>
      </c>
      <c r="AB12" s="5">
        <f t="shared" si="9"/>
        <v>4.7168465328792477</v>
      </c>
    </row>
    <row r="13" spans="2:28" s="1" customFormat="1" x14ac:dyDescent="0.25">
      <c r="B13" s="1" t="s">
        <v>54</v>
      </c>
      <c r="O13" s="1">
        <f>+O17/O7</f>
        <v>61.727040816326529</v>
      </c>
      <c r="P13" s="1">
        <f>+P17/P7</f>
        <v>35.584000000000003</v>
      </c>
      <c r="Q13" s="1">
        <f>+P13*1.032</f>
        <v>36.722688000000005</v>
      </c>
      <c r="R13" s="1">
        <f>+Q13*1.02</f>
        <v>37.457141760000006</v>
      </c>
      <c r="S13" s="1">
        <f t="shared" ref="S13:AB13" si="10">+R13*1.02</f>
        <v>38.20628459520001</v>
      </c>
      <c r="T13" s="1">
        <f t="shared" si="10"/>
        <v>38.970410287104009</v>
      </c>
      <c r="U13" s="1">
        <f t="shared" si="10"/>
        <v>39.749818492846089</v>
      </c>
      <c r="V13" s="1">
        <f t="shared" si="10"/>
        <v>40.544814862703014</v>
      </c>
      <c r="W13" s="1">
        <f t="shared" si="10"/>
        <v>41.355711159957075</v>
      </c>
      <c r="X13" s="1">
        <f t="shared" si="10"/>
        <v>42.182825383156214</v>
      </c>
      <c r="Y13" s="1">
        <f t="shared" si="10"/>
        <v>43.02648189081934</v>
      </c>
      <c r="Z13" s="1">
        <f t="shared" si="10"/>
        <v>43.887011528635725</v>
      </c>
      <c r="AA13" s="1">
        <f t="shared" si="10"/>
        <v>44.764751759208437</v>
      </c>
      <c r="AB13" s="1">
        <f t="shared" si="10"/>
        <v>45.660046794392606</v>
      </c>
    </row>
    <row r="14" spans="2:28" s="1" customFormat="1" x14ac:dyDescent="0.25"/>
    <row r="15" spans="2:28" s="1" customFormat="1" x14ac:dyDescent="0.25">
      <c r="B15" s="1" t="s">
        <v>44</v>
      </c>
      <c r="C15" s="1">
        <v>2562</v>
      </c>
      <c r="E15" s="4"/>
      <c r="F15" s="1">
        <v>1836</v>
      </c>
      <c r="G15" s="1">
        <v>2075</v>
      </c>
      <c r="O15" s="1">
        <v>12269</v>
      </c>
      <c r="P15" s="1">
        <v>8345</v>
      </c>
      <c r="Q15" s="1">
        <f>+Q9*Q11</f>
        <v>8724.6974999999984</v>
      </c>
      <c r="R15" s="1">
        <f t="shared" ref="R15:AB15" si="11">+R9*R11</f>
        <v>9121.6712362499966</v>
      </c>
      <c r="S15" s="1">
        <f t="shared" si="11"/>
        <v>9443.210147327809</v>
      </c>
      <c r="T15" s="1">
        <f t="shared" si="11"/>
        <v>9776.0833050211131</v>
      </c>
      <c r="U15" s="1">
        <f>+U9*U11</f>
        <v>10120.690241523107</v>
      </c>
      <c r="V15" s="1">
        <f t="shared" si="11"/>
        <v>10477.444572536795</v>
      </c>
      <c r="W15" s="1">
        <f t="shared" si="11"/>
        <v>10846.774493718716</v>
      </c>
      <c r="X15" s="1">
        <f t="shared" si="11"/>
        <v>11229.123294622301</v>
      </c>
      <c r="Y15" s="1">
        <f t="shared" si="11"/>
        <v>11624.949890757734</v>
      </c>
      <c r="Z15" s="1">
        <f t="shared" si="11"/>
        <v>12034.729374406945</v>
      </c>
      <c r="AA15" s="1">
        <f t="shared" si="11"/>
        <v>12458.953584854788</v>
      </c>
      <c r="AB15" s="1">
        <f t="shared" si="11"/>
        <v>12898.131698720917</v>
      </c>
    </row>
    <row r="16" spans="2:28" s="1" customFormat="1" x14ac:dyDescent="0.25">
      <c r="B16" s="1" t="s">
        <v>45</v>
      </c>
      <c r="C16" s="1">
        <v>4259</v>
      </c>
      <c r="E16" s="4"/>
      <c r="F16" s="1">
        <v>4694</v>
      </c>
      <c r="G16" s="1">
        <v>3835</v>
      </c>
      <c r="O16" s="1">
        <v>25816</v>
      </c>
      <c r="P16" s="1">
        <v>17753</v>
      </c>
      <c r="Q16" s="1">
        <f>+Q8*Q12</f>
        <v>18379.680899999999</v>
      </c>
      <c r="R16" s="1">
        <f t="shared" ref="R16:AB16" si="12">+R8*R12</f>
        <v>19028.483635769997</v>
      </c>
      <c r="S16" s="1">
        <f t="shared" si="12"/>
        <v>19700.189108112678</v>
      </c>
      <c r="T16" s="1">
        <f t="shared" si="12"/>
        <v>20395.605783629053</v>
      </c>
      <c r="U16" s="1">
        <f t="shared" si="12"/>
        <v>21115.570667791158</v>
      </c>
      <c r="V16" s="1">
        <f t="shared" si="12"/>
        <v>21860.950312364184</v>
      </c>
      <c r="W16" s="1">
        <f t="shared" si="12"/>
        <v>22632.641858390642</v>
      </c>
      <c r="X16" s="1">
        <f t="shared" si="12"/>
        <v>23431.574115991829</v>
      </c>
      <c r="Y16" s="1">
        <f t="shared" si="12"/>
        <v>24258.708682286338</v>
      </c>
      <c r="Z16" s="1">
        <f t="shared" si="12"/>
        <v>25115.041098771046</v>
      </c>
      <c r="AA16" s="1">
        <f t="shared" si="12"/>
        <v>26001.602049557659</v>
      </c>
      <c r="AB16" s="1">
        <f t="shared" si="12"/>
        <v>26919.458601907045</v>
      </c>
    </row>
    <row r="17" spans="2:28" s="1" customFormat="1" x14ac:dyDescent="0.25">
      <c r="B17" s="1" t="s">
        <v>46</v>
      </c>
      <c r="C17" s="1">
        <v>4139</v>
      </c>
      <c r="E17" s="4"/>
      <c r="F17" s="1">
        <v>3511</v>
      </c>
      <c r="G17" s="1">
        <v>2257</v>
      </c>
      <c r="O17" s="1">
        <v>24197</v>
      </c>
      <c r="P17" s="1">
        <v>13344</v>
      </c>
      <c r="Q17" s="1">
        <f>+Q13*Q7</f>
        <v>13771.008000000002</v>
      </c>
      <c r="R17" s="1">
        <f t="shared" ref="R17:AB17" si="13">+R13*R7</f>
        <v>14046.428160000003</v>
      </c>
      <c r="S17" s="1">
        <f t="shared" si="13"/>
        <v>14327.356723200004</v>
      </c>
      <c r="T17" s="1">
        <f t="shared" si="13"/>
        <v>14945.152345104387</v>
      </c>
      <c r="U17" s="1">
        <f t="shared" si="13"/>
        <v>15303.680119745744</v>
      </c>
      <c r="V17" s="1">
        <f t="shared" si="13"/>
        <v>15609.75372214066</v>
      </c>
      <c r="W17" s="1">
        <f t="shared" si="13"/>
        <v>15921.948796583474</v>
      </c>
      <c r="X17" s="1">
        <f t="shared" si="13"/>
        <v>16240.387772515141</v>
      </c>
      <c r="Y17" s="1">
        <f t="shared" si="13"/>
        <v>16565.195527965447</v>
      </c>
      <c r="Z17" s="1">
        <f t="shared" si="13"/>
        <v>16896.499438524756</v>
      </c>
      <c r="AA17" s="1">
        <f t="shared" si="13"/>
        <v>17234.429427295247</v>
      </c>
      <c r="AB17" s="1">
        <f t="shared" si="13"/>
        <v>17579.118015841152</v>
      </c>
    </row>
    <row r="18" spans="2:28" s="1" customFormat="1" x14ac:dyDescent="0.25"/>
    <row r="19" spans="2:28" s="3" customFormat="1" x14ac:dyDescent="0.25">
      <c r="B19" s="3" t="s">
        <v>0</v>
      </c>
      <c r="C19" s="3">
        <v>11210</v>
      </c>
      <c r="F19" s="3">
        <v>10115</v>
      </c>
      <c r="G19" s="3">
        <v>8357</v>
      </c>
      <c r="O19" s="3">
        <v>64811</v>
      </c>
      <c r="P19" s="3">
        <v>40531</v>
      </c>
      <c r="Q19" s="3">
        <f>+SUM(Q15:Q17)</f>
        <v>40875.386400000003</v>
      </c>
      <c r="R19" s="3">
        <f t="shared" ref="R19:AB19" si="14">+SUM(R15:R17)</f>
        <v>42196.583032019997</v>
      </c>
      <c r="S19" s="3">
        <f t="shared" si="14"/>
        <v>43470.755978640489</v>
      </c>
      <c r="T19" s="3">
        <f t="shared" si="14"/>
        <v>45116.841433754555</v>
      </c>
      <c r="U19" s="3">
        <f t="shared" si="14"/>
        <v>46539.941029060014</v>
      </c>
      <c r="V19" s="3">
        <f t="shared" si="14"/>
        <v>47948.148607041643</v>
      </c>
      <c r="W19" s="3">
        <f t="shared" si="14"/>
        <v>49401.365148692828</v>
      </c>
      <c r="X19" s="3">
        <f t="shared" si="14"/>
        <v>50901.085183129268</v>
      </c>
      <c r="Y19" s="3">
        <f t="shared" si="14"/>
        <v>52448.854101009521</v>
      </c>
      <c r="Z19" s="3">
        <f t="shared" si="14"/>
        <v>54046.269911702744</v>
      </c>
      <c r="AA19" s="3">
        <f t="shared" si="14"/>
        <v>55694.985061707695</v>
      </c>
      <c r="AB19" s="3">
        <f t="shared" si="14"/>
        <v>57396.708316469114</v>
      </c>
    </row>
    <row r="20" spans="2:28" s="1" customFormat="1" x14ac:dyDescent="0.25">
      <c r="B20" s="1" t="s">
        <v>9</v>
      </c>
      <c r="C20" s="1">
        <f>7010+1045+290</f>
        <v>8345</v>
      </c>
      <c r="F20" s="1">
        <f>6079+1006+192</f>
        <v>7277</v>
      </c>
      <c r="G20" s="1">
        <f>4571+959+185</f>
        <v>5715</v>
      </c>
      <c r="O20" s="1">
        <f>39298+4542+1663</f>
        <v>45503</v>
      </c>
      <c r="P20" s="1">
        <f>24222+4004+925</f>
        <v>29151</v>
      </c>
      <c r="Q20" s="1">
        <f>+Q19*0.72</f>
        <v>29430.278208</v>
      </c>
      <c r="R20" s="1">
        <f t="shared" ref="R20:AB20" si="15">+R19*0.72</f>
        <v>30381.539783054395</v>
      </c>
      <c r="S20" s="1">
        <f t="shared" si="15"/>
        <v>31298.944304621153</v>
      </c>
      <c r="T20" s="1">
        <f t="shared" si="15"/>
        <v>32484.125832303278</v>
      </c>
      <c r="U20" s="1">
        <f t="shared" si="15"/>
        <v>33508.757540923209</v>
      </c>
      <c r="V20" s="1">
        <f t="shared" si="15"/>
        <v>34522.66699706998</v>
      </c>
      <c r="W20" s="1">
        <f t="shared" si="15"/>
        <v>35568.982907058838</v>
      </c>
      <c r="X20" s="1">
        <f t="shared" si="15"/>
        <v>36648.781331853068</v>
      </c>
      <c r="Y20" s="1">
        <f t="shared" si="15"/>
        <v>37763.174952726855</v>
      </c>
      <c r="Z20" s="1">
        <f t="shared" si="15"/>
        <v>38913.314336425974</v>
      </c>
      <c r="AA20" s="1">
        <f t="shared" si="15"/>
        <v>40100.389244429542</v>
      </c>
      <c r="AB20" s="1">
        <f t="shared" si="15"/>
        <v>41325.629987857763</v>
      </c>
    </row>
    <row r="21" spans="2:28" s="1" customFormat="1" x14ac:dyDescent="0.25">
      <c r="B21" s="1" t="s">
        <v>10</v>
      </c>
      <c r="C21" s="1">
        <f t="shared" ref="C21:J21" si="16">+C19-C20</f>
        <v>2865</v>
      </c>
      <c r="D21" s="1">
        <f t="shared" si="16"/>
        <v>0</v>
      </c>
      <c r="E21" s="1">
        <f t="shared" si="16"/>
        <v>0</v>
      </c>
      <c r="F21" s="1">
        <f t="shared" si="16"/>
        <v>2838</v>
      </c>
      <c r="G21" s="1">
        <f t="shared" si="16"/>
        <v>2642</v>
      </c>
      <c r="H21" s="1">
        <f t="shared" si="16"/>
        <v>0</v>
      </c>
      <c r="I21" s="1">
        <f t="shared" si="16"/>
        <v>0</v>
      </c>
      <c r="J21" s="1">
        <f t="shared" si="16"/>
        <v>0</v>
      </c>
      <c r="O21" s="1">
        <f t="shared" ref="O21:X21" si="17">+O19-O20</f>
        <v>19308</v>
      </c>
      <c r="P21" s="1">
        <f>+P19-P20</f>
        <v>11380</v>
      </c>
      <c r="Q21" s="1">
        <f t="shared" si="17"/>
        <v>11445.108192000003</v>
      </c>
      <c r="R21" s="1">
        <f t="shared" si="17"/>
        <v>11815.043248965601</v>
      </c>
      <c r="S21" s="1">
        <f t="shared" si="17"/>
        <v>12171.811674019336</v>
      </c>
      <c r="T21" s="1">
        <f t="shared" si="17"/>
        <v>12632.715601451277</v>
      </c>
      <c r="U21" s="1">
        <f t="shared" si="17"/>
        <v>13031.183488136805</v>
      </c>
      <c r="V21" s="1">
        <f t="shared" si="17"/>
        <v>13425.481609971663</v>
      </c>
      <c r="W21" s="1">
        <f t="shared" si="17"/>
        <v>13832.38224163399</v>
      </c>
      <c r="X21" s="1">
        <f t="shared" si="17"/>
        <v>14252.3038512762</v>
      </c>
      <c r="Y21" s="1">
        <f>+Y19-Y20</f>
        <v>14685.679148282667</v>
      </c>
      <c r="Z21" s="1">
        <f t="shared" ref="Z21:AB21" si="18">+Z19-Z20</f>
        <v>15132.95557527677</v>
      </c>
      <c r="AA21" s="1">
        <f t="shared" si="18"/>
        <v>15594.595817278154</v>
      </c>
      <c r="AB21" s="1">
        <f t="shared" si="18"/>
        <v>16071.078328611351</v>
      </c>
    </row>
    <row r="22" spans="2:28" s="1" customFormat="1" x14ac:dyDescent="0.25">
      <c r="B22" s="1" t="s">
        <v>23</v>
      </c>
      <c r="C22" s="1">
        <v>610</v>
      </c>
      <c r="F22" s="1">
        <v>554</v>
      </c>
      <c r="G22" s="1">
        <v>620</v>
      </c>
      <c r="O22" s="1">
        <v>2484</v>
      </c>
      <c r="P22" s="1">
        <v>2463</v>
      </c>
      <c r="Q22" s="1">
        <f>+P22*0.99</f>
        <v>2438.37</v>
      </c>
      <c r="R22" s="1">
        <f t="shared" ref="R22:AB22" si="19">+Q22*0.99</f>
        <v>2413.9863</v>
      </c>
      <c r="S22" s="1">
        <f t="shared" si="19"/>
        <v>2389.8464370000002</v>
      </c>
      <c r="T22" s="1">
        <f t="shared" si="19"/>
        <v>2365.9479726300001</v>
      </c>
      <c r="U22" s="1">
        <f t="shared" si="19"/>
        <v>2342.2884929037</v>
      </c>
      <c r="V22" s="1">
        <f t="shared" si="19"/>
        <v>2318.8656079746629</v>
      </c>
      <c r="W22" s="1">
        <f t="shared" si="19"/>
        <v>2295.6769518949163</v>
      </c>
      <c r="X22" s="1">
        <f t="shared" si="19"/>
        <v>2272.7201823759669</v>
      </c>
      <c r="Y22" s="1">
        <f t="shared" si="19"/>
        <v>2249.9929805522074</v>
      </c>
      <c r="Z22" s="1">
        <f t="shared" si="19"/>
        <v>2227.4930507466852</v>
      </c>
      <c r="AA22" s="1">
        <f t="shared" si="19"/>
        <v>2205.2181202392185</v>
      </c>
      <c r="AB22" s="1">
        <f t="shared" si="19"/>
        <v>2183.1659390368263</v>
      </c>
    </row>
    <row r="23" spans="2:28" s="1" customFormat="1" x14ac:dyDescent="0.25">
      <c r="B23" s="1" t="s">
        <v>22</v>
      </c>
      <c r="C23" s="1">
        <v>721</v>
      </c>
      <c r="F23" s="1">
        <v>814</v>
      </c>
      <c r="G23" s="1">
        <v>664</v>
      </c>
      <c r="O23" s="1">
        <v>2689</v>
      </c>
      <c r="P23" s="1">
        <v>3006</v>
      </c>
      <c r="Q23" s="1">
        <f>+P23*1.03</f>
        <v>3096.1800000000003</v>
      </c>
      <c r="R23" s="1">
        <f t="shared" ref="R23:AB23" si="20">+Q23*1.03</f>
        <v>3189.0654000000004</v>
      </c>
      <c r="S23" s="1">
        <f t="shared" si="20"/>
        <v>3284.7373620000003</v>
      </c>
      <c r="T23" s="1">
        <f t="shared" si="20"/>
        <v>3383.2794828600004</v>
      </c>
      <c r="U23" s="1">
        <f t="shared" si="20"/>
        <v>3484.7778673458006</v>
      </c>
      <c r="V23" s="1">
        <f t="shared" si="20"/>
        <v>3589.3212033661748</v>
      </c>
      <c r="W23" s="1">
        <f t="shared" si="20"/>
        <v>3697.0008394671599</v>
      </c>
      <c r="X23" s="1">
        <f t="shared" si="20"/>
        <v>3807.910864651175</v>
      </c>
      <c r="Y23" s="1">
        <f t="shared" si="20"/>
        <v>3922.1481905907103</v>
      </c>
      <c r="Z23" s="1">
        <f t="shared" si="20"/>
        <v>4039.8126363084316</v>
      </c>
      <c r="AA23" s="1">
        <f t="shared" si="20"/>
        <v>4161.0070153976849</v>
      </c>
      <c r="AB23" s="1">
        <f t="shared" si="20"/>
        <v>4285.8372258596155</v>
      </c>
    </row>
    <row r="24" spans="2:28" s="1" customFormat="1" x14ac:dyDescent="0.25">
      <c r="B24" s="1" t="s">
        <v>11</v>
      </c>
      <c r="C24" s="1">
        <v>43</v>
      </c>
      <c r="F24" s="1">
        <v>113</v>
      </c>
      <c r="G24" s="1">
        <v>17</v>
      </c>
      <c r="O24" s="1">
        <v>250</v>
      </c>
      <c r="P24" s="1">
        <v>222</v>
      </c>
      <c r="Q24" s="1">
        <f>+P24*1.05</f>
        <v>233.10000000000002</v>
      </c>
      <c r="R24" s="1">
        <f t="shared" ref="R24:W24" si="21">+Q24*1.05</f>
        <v>244.75500000000002</v>
      </c>
      <c r="S24" s="1">
        <f t="shared" si="21"/>
        <v>256.99275000000006</v>
      </c>
      <c r="T24" s="1">
        <f t="shared" si="21"/>
        <v>269.84238750000009</v>
      </c>
      <c r="U24" s="1">
        <f t="shared" si="21"/>
        <v>283.3345068750001</v>
      </c>
      <c r="V24" s="1">
        <f t="shared" si="21"/>
        <v>297.50123221875015</v>
      </c>
      <c r="W24" s="1">
        <f t="shared" si="21"/>
        <v>312.37629382968765</v>
      </c>
      <c r="X24" s="1">
        <f>+W24*1.03</f>
        <v>321.7475826445783</v>
      </c>
      <c r="Y24" s="1">
        <f t="shared" ref="Y24:AB24" si="22">+X24*1.03</f>
        <v>331.40001012391565</v>
      </c>
      <c r="Z24" s="1">
        <f t="shared" si="22"/>
        <v>341.34201042763311</v>
      </c>
      <c r="AA24" s="1">
        <f t="shared" si="22"/>
        <v>351.58227074046209</v>
      </c>
      <c r="AB24" s="1">
        <f t="shared" si="22"/>
        <v>362.12973886267599</v>
      </c>
    </row>
    <row r="25" spans="2:28" s="1" customFormat="1" x14ac:dyDescent="0.25">
      <c r="B25" s="1" t="s">
        <v>12</v>
      </c>
      <c r="C25" s="1">
        <v>111</v>
      </c>
      <c r="F25" s="1">
        <v>183</v>
      </c>
      <c r="G25" s="1">
        <v>109</v>
      </c>
      <c r="O25" s="1">
        <v>1639</v>
      </c>
      <c r="P25" s="1">
        <v>462</v>
      </c>
      <c r="Q25" s="1">
        <v>500</v>
      </c>
      <c r="R25" s="1">
        <v>500</v>
      </c>
      <c r="S25" s="1">
        <v>500</v>
      </c>
      <c r="T25" s="1">
        <v>500</v>
      </c>
      <c r="U25" s="1">
        <v>500</v>
      </c>
      <c r="V25" s="1">
        <v>500</v>
      </c>
      <c r="W25" s="1">
        <v>500</v>
      </c>
      <c r="X25" s="1">
        <v>500</v>
      </c>
      <c r="Y25" s="1">
        <v>500</v>
      </c>
      <c r="Z25" s="1">
        <v>500</v>
      </c>
      <c r="AA25" s="1">
        <v>500</v>
      </c>
      <c r="AB25" s="1">
        <v>500</v>
      </c>
    </row>
    <row r="26" spans="2:28" s="1" customFormat="1" x14ac:dyDescent="0.25">
      <c r="B26" s="1" t="s">
        <v>14</v>
      </c>
      <c r="C26" s="1">
        <f>+SUM(C22:C25)</f>
        <v>1485</v>
      </c>
      <c r="D26" s="1">
        <f t="shared" ref="D26:J26" si="23">+SUM(D22:D25)</f>
        <v>0</v>
      </c>
      <c r="E26" s="1">
        <f t="shared" si="23"/>
        <v>0</v>
      </c>
      <c r="F26" s="1">
        <f t="shared" si="23"/>
        <v>1664</v>
      </c>
      <c r="G26" s="1">
        <f t="shared" si="23"/>
        <v>1410</v>
      </c>
      <c r="H26" s="1">
        <f t="shared" si="23"/>
        <v>0</v>
      </c>
      <c r="I26" s="1">
        <f t="shared" si="23"/>
        <v>0</v>
      </c>
      <c r="J26" s="1">
        <f t="shared" si="23"/>
        <v>0</v>
      </c>
      <c r="O26" s="1">
        <f t="shared" ref="O26:Q26" si="24">+SUM(O22:O25)</f>
        <v>7062</v>
      </c>
      <c r="P26" s="1">
        <f t="shared" ref="P26" si="25">+SUM(P22:P25)</f>
        <v>6153</v>
      </c>
      <c r="Q26" s="1">
        <f t="shared" si="24"/>
        <v>6267.6500000000005</v>
      </c>
      <c r="R26" s="1">
        <f t="shared" ref="R26" si="26">+SUM(R22:R25)</f>
        <v>6347.8067000000001</v>
      </c>
      <c r="S26" s="1">
        <f t="shared" ref="S26" si="27">+SUM(S22:S25)</f>
        <v>6431.5765490000003</v>
      </c>
      <c r="T26" s="1">
        <f t="shared" ref="T26" si="28">+SUM(T22:T25)</f>
        <v>6519.0698429900003</v>
      </c>
      <c r="U26" s="1">
        <f t="shared" ref="U26" si="29">+SUM(U22:U25)</f>
        <v>6610.400867124501</v>
      </c>
      <c r="V26" s="1">
        <f t="shared" ref="V26" si="30">+SUM(V22:V25)</f>
        <v>6705.6880435595886</v>
      </c>
      <c r="W26" s="1">
        <f t="shared" ref="W26" si="31">+SUM(W22:W25)</f>
        <v>6805.054085191764</v>
      </c>
      <c r="X26" s="1">
        <f t="shared" ref="X26:Y26" si="32">+SUM(X22:X25)</f>
        <v>6902.3786296717199</v>
      </c>
      <c r="Y26" s="1">
        <f t="shared" si="32"/>
        <v>7003.5411812668326</v>
      </c>
      <c r="Z26" s="1">
        <f t="shared" ref="Z26" si="33">+SUM(Z22:Z25)</f>
        <v>7108.6476974827501</v>
      </c>
      <c r="AA26" s="1">
        <f t="shared" ref="AA26" si="34">+SUM(AA22:AA25)</f>
        <v>7217.8074063773656</v>
      </c>
      <c r="AB26" s="1">
        <f t="shared" ref="AB26" si="35">+SUM(AB22:AB25)</f>
        <v>7331.1329037591177</v>
      </c>
    </row>
    <row r="27" spans="2:28" s="1" customFormat="1" x14ac:dyDescent="0.25">
      <c r="B27" s="1" t="s">
        <v>13</v>
      </c>
      <c r="C27" s="1">
        <f>+C21-C26</f>
        <v>1380</v>
      </c>
      <c r="D27" s="1">
        <f t="shared" ref="D27:J27" si="36">+D21-D26</f>
        <v>0</v>
      </c>
      <c r="E27" s="1">
        <f t="shared" si="36"/>
        <v>0</v>
      </c>
      <c r="F27" s="1">
        <f t="shared" si="36"/>
        <v>1174</v>
      </c>
      <c r="G27" s="1">
        <f t="shared" si="36"/>
        <v>1232</v>
      </c>
      <c r="H27" s="1">
        <f t="shared" si="36"/>
        <v>0</v>
      </c>
      <c r="I27" s="1">
        <f t="shared" si="36"/>
        <v>0</v>
      </c>
      <c r="J27" s="1">
        <f t="shared" si="36"/>
        <v>0</v>
      </c>
      <c r="O27" s="1">
        <f t="shared" ref="O27:Q27" si="37">+O21-O26</f>
        <v>12246</v>
      </c>
      <c r="P27" s="1">
        <f t="shared" ref="P27" si="38">+P21-P26</f>
        <v>5227</v>
      </c>
      <c r="Q27" s="1">
        <f t="shared" si="37"/>
        <v>5177.4581920000028</v>
      </c>
      <c r="R27" s="1">
        <f t="shared" ref="R27" si="39">+R21-R26</f>
        <v>5467.2365489656013</v>
      </c>
      <c r="S27" s="1">
        <f t="shared" ref="S27" si="40">+S21-S26</f>
        <v>5740.235125019336</v>
      </c>
      <c r="T27" s="1">
        <f t="shared" ref="T27" si="41">+T21-T26</f>
        <v>6113.6457584612763</v>
      </c>
      <c r="U27" s="1">
        <f t="shared" ref="U27" si="42">+U21-U26</f>
        <v>6420.7826210123039</v>
      </c>
      <c r="V27" s="1">
        <f t="shared" ref="V27" si="43">+V21-V26</f>
        <v>6719.7935664120741</v>
      </c>
      <c r="W27" s="1">
        <f t="shared" ref="W27" si="44">+W21-W26</f>
        <v>7027.3281564422259</v>
      </c>
      <c r="X27" s="1">
        <f t="shared" ref="X27:Y27" si="45">+X21-X26</f>
        <v>7349.9252216044797</v>
      </c>
      <c r="Y27" s="1">
        <f t="shared" si="45"/>
        <v>7682.137967015834</v>
      </c>
      <c r="Z27" s="1">
        <f t="shared" ref="Z27" si="46">+Z21-Z26</f>
        <v>8024.30787779402</v>
      </c>
      <c r="AA27" s="1">
        <f t="shared" ref="AA27" si="47">+AA21-AA26</f>
        <v>8376.7884109007882</v>
      </c>
      <c r="AB27" s="1">
        <f t="shared" ref="AB27" si="48">+AB21-AB26</f>
        <v>8739.9454248522343</v>
      </c>
    </row>
    <row r="28" spans="2:28" s="1" customFormat="1" x14ac:dyDescent="0.25">
      <c r="B28" s="1" t="s">
        <v>15</v>
      </c>
      <c r="C28" s="1">
        <v>124</v>
      </c>
      <c r="F28" s="1">
        <v>127</v>
      </c>
      <c r="G28" s="1">
        <v>117</v>
      </c>
      <c r="O28" s="1">
        <v>269</v>
      </c>
      <c r="P28" s="1">
        <v>473</v>
      </c>
      <c r="Q28" s="1">
        <f>+P28*0.9</f>
        <v>425.7</v>
      </c>
      <c r="R28" s="1">
        <f t="shared" ref="R28:AB28" si="49">+Q28*0.9</f>
        <v>383.13</v>
      </c>
      <c r="S28" s="1">
        <f t="shared" si="49"/>
        <v>344.81700000000001</v>
      </c>
      <c r="T28" s="1">
        <f t="shared" si="49"/>
        <v>310.33530000000002</v>
      </c>
      <c r="U28" s="1">
        <f t="shared" si="49"/>
        <v>279.30177000000003</v>
      </c>
      <c r="V28" s="1">
        <f t="shared" si="49"/>
        <v>251.37159300000005</v>
      </c>
      <c r="W28" s="1">
        <f t="shared" si="49"/>
        <v>226.23443370000004</v>
      </c>
      <c r="X28" s="1">
        <f t="shared" si="49"/>
        <v>203.61099033000005</v>
      </c>
      <c r="Y28" s="1">
        <f t="shared" si="49"/>
        <v>183.24989129700006</v>
      </c>
      <c r="Z28" s="1">
        <f t="shared" si="49"/>
        <v>164.92490216730005</v>
      </c>
      <c r="AA28" s="1">
        <f t="shared" si="49"/>
        <v>148.43241195057004</v>
      </c>
      <c r="AB28" s="1">
        <f t="shared" si="49"/>
        <v>133.58917075551304</v>
      </c>
    </row>
    <row r="29" spans="2:28" s="1" customFormat="1" x14ac:dyDescent="0.25">
      <c r="B29" s="1" t="s">
        <v>16</v>
      </c>
      <c r="C29" s="1">
        <v>102</v>
      </c>
      <c r="F29" s="1">
        <v>106</v>
      </c>
      <c r="G29" s="1">
        <v>97</v>
      </c>
      <c r="O29" s="1">
        <v>417</v>
      </c>
      <c r="P29" s="1">
        <v>415</v>
      </c>
      <c r="Q29" s="1">
        <f>+P29*0.99</f>
        <v>410.85</v>
      </c>
      <c r="R29" s="1">
        <f t="shared" ref="R29:AB29" si="50">+Q29*0.99</f>
        <v>406.74150000000003</v>
      </c>
      <c r="S29" s="1">
        <f t="shared" si="50"/>
        <v>402.67408500000005</v>
      </c>
      <c r="T29" s="1">
        <f t="shared" si="50"/>
        <v>398.64734415000004</v>
      </c>
      <c r="U29" s="1">
        <f t="shared" si="50"/>
        <v>394.66087070850006</v>
      </c>
      <c r="V29" s="1">
        <f t="shared" si="50"/>
        <v>390.71426200141508</v>
      </c>
      <c r="W29" s="1">
        <f t="shared" si="50"/>
        <v>386.80711938140092</v>
      </c>
      <c r="X29" s="1">
        <f t="shared" si="50"/>
        <v>382.93904818758693</v>
      </c>
      <c r="Y29" s="1">
        <f t="shared" si="50"/>
        <v>379.10965770571107</v>
      </c>
      <c r="Z29" s="1">
        <f t="shared" si="50"/>
        <v>375.31856112865398</v>
      </c>
      <c r="AA29" s="1">
        <f t="shared" si="50"/>
        <v>371.56537551736744</v>
      </c>
      <c r="AB29" s="1">
        <f t="shared" si="50"/>
        <v>367.84972176219378</v>
      </c>
    </row>
    <row r="30" spans="2:28" s="1" customFormat="1" x14ac:dyDescent="0.25">
      <c r="B30" s="1" t="s">
        <v>21</v>
      </c>
      <c r="C30" s="1">
        <v>-27</v>
      </c>
      <c r="F30" s="1">
        <v>-52</v>
      </c>
      <c r="G30" s="1">
        <v>-12</v>
      </c>
      <c r="O30" s="1">
        <v>-1345</v>
      </c>
      <c r="P30" s="1">
        <v>-138</v>
      </c>
      <c r="Q30" s="1">
        <v>-150</v>
      </c>
      <c r="R30" s="1">
        <f>+Q30*1.05</f>
        <v>-157.5</v>
      </c>
      <c r="S30" s="1">
        <f t="shared" ref="S30:AB30" si="51">+R30*1.05</f>
        <v>-165.375</v>
      </c>
      <c r="T30" s="1">
        <f t="shared" si="51"/>
        <v>-173.64375000000001</v>
      </c>
      <c r="U30" s="1">
        <f t="shared" si="51"/>
        <v>-182.32593750000001</v>
      </c>
      <c r="V30" s="1">
        <f t="shared" si="51"/>
        <v>-191.44223437500003</v>
      </c>
      <c r="W30" s="1">
        <f t="shared" si="51"/>
        <v>-201.01434609375005</v>
      </c>
      <c r="X30" s="1">
        <f t="shared" si="51"/>
        <v>-211.06506339843756</v>
      </c>
      <c r="Y30" s="1">
        <f t="shared" si="51"/>
        <v>-221.61831656835943</v>
      </c>
      <c r="Z30" s="1">
        <f t="shared" si="51"/>
        <v>-232.6992323967774</v>
      </c>
      <c r="AA30" s="1">
        <f t="shared" si="51"/>
        <v>-244.33419401661629</v>
      </c>
      <c r="AB30" s="1">
        <f t="shared" si="51"/>
        <v>-256.55090371744711</v>
      </c>
    </row>
    <row r="31" spans="2:28" s="1" customFormat="1" x14ac:dyDescent="0.25">
      <c r="B31" s="1" t="s">
        <v>17</v>
      </c>
      <c r="C31" s="1">
        <f>+C27+C28-C29+C30</f>
        <v>1375</v>
      </c>
      <c r="D31" s="1">
        <f t="shared" ref="D31:J31" si="52">+D27+D28-D29+D30</f>
        <v>0</v>
      </c>
      <c r="E31" s="1">
        <f t="shared" si="52"/>
        <v>0</v>
      </c>
      <c r="F31" s="1">
        <f t="shared" si="52"/>
        <v>1143</v>
      </c>
      <c r="G31" s="1">
        <f t="shared" si="52"/>
        <v>1240</v>
      </c>
      <c r="H31" s="1">
        <f t="shared" si="52"/>
        <v>0</v>
      </c>
      <c r="I31" s="1">
        <f t="shared" si="52"/>
        <v>0</v>
      </c>
      <c r="J31" s="1">
        <f t="shared" si="52"/>
        <v>0</v>
      </c>
      <c r="O31" s="1">
        <f t="shared" ref="O31:Q31" si="53">+O27+O28-O29+O30</f>
        <v>10753</v>
      </c>
      <c r="P31" s="1">
        <f t="shared" ref="P31" si="54">+P27+P28-P29+P30</f>
        <v>5147</v>
      </c>
      <c r="Q31" s="1">
        <f t="shared" si="53"/>
        <v>5042.3081920000022</v>
      </c>
      <c r="R31" s="1">
        <f t="shared" ref="R31" si="55">+R27+R28-R29+R30</f>
        <v>5286.1250489656013</v>
      </c>
      <c r="S31" s="1">
        <f t="shared" ref="S31" si="56">+S27+S28-S29+S30</f>
        <v>5517.0030400193364</v>
      </c>
      <c r="T31" s="1">
        <f t="shared" ref="T31" si="57">+T27+T28-T29+T30</f>
        <v>5851.6899643112756</v>
      </c>
      <c r="U31" s="1">
        <f t="shared" ref="U31" si="58">+U27+U28-U29+U30</f>
        <v>6123.0975828038045</v>
      </c>
      <c r="V31" s="1">
        <f t="shared" ref="V31" si="59">+V27+V28-V29+V30</f>
        <v>6389.0086630356591</v>
      </c>
      <c r="W31" s="1">
        <f t="shared" ref="W31" si="60">+W27+W28-W29+W30</f>
        <v>6665.7411246670754</v>
      </c>
      <c r="X31" s="1">
        <f t="shared" ref="X31:Y31" si="61">+X27+X28-X29+X30</f>
        <v>6959.5321003484551</v>
      </c>
      <c r="Y31" s="1">
        <f t="shared" si="61"/>
        <v>7264.6598840387633</v>
      </c>
      <c r="Z31" s="1">
        <f t="shared" ref="Z31" si="62">+Z27+Z28-Z29+Z30</f>
        <v>7581.2149864358889</v>
      </c>
      <c r="AA31" s="1">
        <f t="shared" ref="AA31" si="63">+AA27+AA28-AA29+AA30</f>
        <v>7909.3212533173755</v>
      </c>
      <c r="AB31" s="1">
        <f t="shared" ref="AB31" si="64">+AB27+AB28-AB29+AB30</f>
        <v>8249.1339701281067</v>
      </c>
    </row>
    <row r="32" spans="2:28" s="1" customFormat="1" x14ac:dyDescent="0.25">
      <c r="B32" s="1" t="s">
        <v>18</v>
      </c>
      <c r="C32" s="1">
        <v>781</v>
      </c>
      <c r="F32" s="1">
        <v>753</v>
      </c>
      <c r="G32" s="1">
        <v>572</v>
      </c>
      <c r="O32" s="1">
        <v>5590</v>
      </c>
      <c r="P32" s="1">
        <v>2687</v>
      </c>
      <c r="Q32" s="1">
        <f>+Q31*0.52</f>
        <v>2622.000259840001</v>
      </c>
      <c r="R32" s="1">
        <f t="shared" ref="R32:AB32" si="65">+R31*0.52</f>
        <v>2748.7850254621126</v>
      </c>
      <c r="S32" s="1">
        <f t="shared" si="65"/>
        <v>2868.8415808100549</v>
      </c>
      <c r="T32" s="1">
        <f t="shared" si="65"/>
        <v>3042.8787814418633</v>
      </c>
      <c r="U32" s="1">
        <f t="shared" si="65"/>
        <v>3184.0107430579783</v>
      </c>
      <c r="V32" s="1">
        <f t="shared" si="65"/>
        <v>3322.2845047785427</v>
      </c>
      <c r="W32" s="1">
        <f t="shared" si="65"/>
        <v>3466.1853848268793</v>
      </c>
      <c r="X32" s="1">
        <f t="shared" si="65"/>
        <v>3618.9566921811966</v>
      </c>
      <c r="Y32" s="1">
        <f t="shared" si="65"/>
        <v>3777.623139700157</v>
      </c>
      <c r="Z32" s="1">
        <f t="shared" si="65"/>
        <v>3942.2317929466622</v>
      </c>
      <c r="AA32" s="1">
        <f t="shared" si="65"/>
        <v>4112.8470517250353</v>
      </c>
      <c r="AB32" s="1">
        <f t="shared" si="65"/>
        <v>4289.5496644666155</v>
      </c>
    </row>
    <row r="33" spans="2:97" s="1" customFormat="1" x14ac:dyDescent="0.25">
      <c r="B33" s="1" t="s">
        <v>19</v>
      </c>
      <c r="C33" s="1">
        <f>+C31-C32</f>
        <v>594</v>
      </c>
      <c r="D33" s="1">
        <f t="shared" ref="D33:J33" si="66">+D31-D32</f>
        <v>0</v>
      </c>
      <c r="E33" s="1">
        <f t="shared" si="66"/>
        <v>0</v>
      </c>
      <c r="F33" s="1">
        <f t="shared" si="66"/>
        <v>390</v>
      </c>
      <c r="G33" s="1">
        <f t="shared" si="66"/>
        <v>668</v>
      </c>
      <c r="H33" s="1">
        <f t="shared" si="66"/>
        <v>0</v>
      </c>
      <c r="I33" s="1">
        <f t="shared" si="66"/>
        <v>0</v>
      </c>
      <c r="J33" s="1">
        <f t="shared" si="66"/>
        <v>0</v>
      </c>
      <c r="O33" s="1">
        <f t="shared" ref="O33:Q33" si="67">+O31-O32</f>
        <v>5163</v>
      </c>
      <c r="P33" s="1">
        <f t="shared" ref="P33" si="68">+P31-P32</f>
        <v>2460</v>
      </c>
      <c r="Q33" s="1">
        <f t="shared" si="67"/>
        <v>2420.3079321600012</v>
      </c>
      <c r="R33" s="1">
        <f t="shared" ref="R33" si="69">+R31-R32</f>
        <v>2537.3400235034887</v>
      </c>
      <c r="S33" s="1">
        <f t="shared" ref="S33" si="70">+S31-S32</f>
        <v>2648.1614592092815</v>
      </c>
      <c r="T33" s="1">
        <f t="shared" ref="T33" si="71">+T31-T32</f>
        <v>2808.8111828694123</v>
      </c>
      <c r="U33" s="1">
        <f t="shared" ref="U33" si="72">+U31-U32</f>
        <v>2939.0868397458262</v>
      </c>
      <c r="V33" s="1">
        <f t="shared" ref="V33" si="73">+V31-V32</f>
        <v>3066.7241582571164</v>
      </c>
      <c r="W33" s="1">
        <f t="shared" ref="W33" si="74">+W31-W32</f>
        <v>3199.5557398401961</v>
      </c>
      <c r="X33" s="1">
        <f t="shared" ref="X33:Y33" si="75">+X31-X32</f>
        <v>3340.5754081672585</v>
      </c>
      <c r="Y33" s="1">
        <f t="shared" si="75"/>
        <v>3487.0367443386062</v>
      </c>
      <c r="Z33" s="1">
        <f t="shared" ref="Z33" si="76">+Z31-Z32</f>
        <v>3638.9831934892268</v>
      </c>
      <c r="AA33" s="1">
        <f t="shared" ref="AA33" si="77">+AA31-AA32</f>
        <v>3796.4742015923403</v>
      </c>
      <c r="AB33" s="1">
        <f t="shared" ref="AB33" si="78">+AB31-AB32</f>
        <v>3959.5843056614913</v>
      </c>
    </row>
    <row r="34" spans="2:97" s="1" customFormat="1" x14ac:dyDescent="0.25">
      <c r="B34" s="1" t="s">
        <v>24</v>
      </c>
      <c r="C34" s="1">
        <f t="shared" ref="C34:J34" si="79">+C33-C35</f>
        <v>204</v>
      </c>
      <c r="D34" s="1">
        <f t="shared" si="79"/>
        <v>0</v>
      </c>
      <c r="E34" s="1">
        <f t="shared" si="79"/>
        <v>0</v>
      </c>
      <c r="F34" s="1">
        <f t="shared" si="79"/>
        <v>154</v>
      </c>
      <c r="G34" s="1">
        <f t="shared" si="79"/>
        <v>200</v>
      </c>
      <c r="H34" s="1">
        <f t="shared" si="79"/>
        <v>0</v>
      </c>
      <c r="I34" s="1">
        <f t="shared" si="79"/>
        <v>0</v>
      </c>
      <c r="J34" s="1">
        <f t="shared" si="79"/>
        <v>0</v>
      </c>
      <c r="O34" s="1">
        <f>1470+71</f>
        <v>1541</v>
      </c>
      <c r="P34" s="1">
        <f>72+366</f>
        <v>438</v>
      </c>
      <c r="Q34" s="1">
        <f t="shared" ref="Q34:X34" si="80">+Q33-Q35</f>
        <v>726.09237964800036</v>
      </c>
      <c r="R34" s="1">
        <f t="shared" si="80"/>
        <v>761.20200705104662</v>
      </c>
      <c r="S34" s="1">
        <f t="shared" si="80"/>
        <v>794.44843776278458</v>
      </c>
      <c r="T34" s="1">
        <f t="shared" si="80"/>
        <v>842.64335486082382</v>
      </c>
      <c r="U34" s="1">
        <f t="shared" si="80"/>
        <v>881.72605192374795</v>
      </c>
      <c r="V34" s="1">
        <f t="shared" si="80"/>
        <v>920.01724747713524</v>
      </c>
      <c r="W34" s="1">
        <f t="shared" si="80"/>
        <v>959.86672195205892</v>
      </c>
      <c r="X34" s="1">
        <f t="shared" si="80"/>
        <v>1002.1726224501776</v>
      </c>
      <c r="Y34" s="1">
        <f>+Y33-Y35</f>
        <v>1046.111023301582</v>
      </c>
      <c r="Z34" s="1">
        <f t="shared" ref="Z34:AB34" si="81">+Z33-Z35</f>
        <v>1091.6949580467681</v>
      </c>
      <c r="AA34" s="1">
        <f t="shared" si="81"/>
        <v>1138.9422604777023</v>
      </c>
      <c r="AB34" s="1">
        <f t="shared" si="81"/>
        <v>1187.8752916984477</v>
      </c>
    </row>
    <row r="35" spans="2:97" s="1" customFormat="1" x14ac:dyDescent="0.25">
      <c r="B35" s="1" t="s">
        <v>20</v>
      </c>
      <c r="C35" s="1">
        <v>390</v>
      </c>
      <c r="F35" s="1">
        <v>236</v>
      </c>
      <c r="G35" s="1">
        <v>468</v>
      </c>
      <c r="O35" s="1">
        <f>+O33-O34</f>
        <v>3622</v>
      </c>
      <c r="P35" s="1">
        <f>+P33-P34</f>
        <v>2022</v>
      </c>
      <c r="Q35" s="1">
        <f>+Q33*0.7</f>
        <v>1694.2155525120008</v>
      </c>
      <c r="R35" s="1">
        <f t="shared" ref="R35:AB35" si="82">+R33*0.7</f>
        <v>1776.1380164524421</v>
      </c>
      <c r="S35" s="1">
        <f t="shared" si="82"/>
        <v>1853.7130214464969</v>
      </c>
      <c r="T35" s="1">
        <f t="shared" si="82"/>
        <v>1966.1678280085885</v>
      </c>
      <c r="U35" s="1">
        <f t="shared" si="82"/>
        <v>2057.3607878220782</v>
      </c>
      <c r="V35" s="1">
        <f t="shared" si="82"/>
        <v>2146.7069107799812</v>
      </c>
      <c r="W35" s="1">
        <f t="shared" si="82"/>
        <v>2239.6890178881372</v>
      </c>
      <c r="X35" s="1">
        <f t="shared" si="82"/>
        <v>2338.4027857170809</v>
      </c>
      <c r="Y35" s="1">
        <f t="shared" si="82"/>
        <v>2440.9257210370242</v>
      </c>
      <c r="Z35" s="1">
        <f t="shared" si="82"/>
        <v>2547.2882354424587</v>
      </c>
      <c r="AA35" s="1">
        <f t="shared" si="82"/>
        <v>2657.5319411146379</v>
      </c>
      <c r="AB35" s="1">
        <f t="shared" si="82"/>
        <v>2771.7090139630436</v>
      </c>
      <c r="AC35" s="1">
        <f t="shared" ref="AC35:BH35" si="83">+AB35*(1+TR)</f>
        <v>2743.9919238234133</v>
      </c>
      <c r="AD35" s="1">
        <f t="shared" si="83"/>
        <v>2716.552004585179</v>
      </c>
      <c r="AE35" s="1">
        <f t="shared" si="83"/>
        <v>2689.3864845393273</v>
      </c>
      <c r="AF35" s="1">
        <f t="shared" si="83"/>
        <v>2662.4926196939341</v>
      </c>
      <c r="AG35" s="1">
        <f t="shared" si="83"/>
        <v>2635.8676934969949</v>
      </c>
      <c r="AH35" s="1">
        <f t="shared" si="83"/>
        <v>2609.509016562025</v>
      </c>
      <c r="AI35" s="1">
        <f t="shared" si="83"/>
        <v>2583.4139263964048</v>
      </c>
      <c r="AJ35" s="1">
        <f t="shared" si="83"/>
        <v>2557.5797871324407</v>
      </c>
      <c r="AK35" s="1">
        <f t="shared" si="83"/>
        <v>2532.0039892611162</v>
      </c>
      <c r="AL35" s="1">
        <f t="shared" si="83"/>
        <v>2506.6839493685052</v>
      </c>
      <c r="AM35" s="1">
        <f t="shared" si="83"/>
        <v>2481.61710987482</v>
      </c>
      <c r="AN35" s="1">
        <f t="shared" si="83"/>
        <v>2456.8009387760717</v>
      </c>
      <c r="AO35" s="1">
        <f t="shared" si="83"/>
        <v>2432.2329293883108</v>
      </c>
      <c r="AP35" s="1">
        <f t="shared" si="83"/>
        <v>2407.9106000944275</v>
      </c>
      <c r="AQ35" s="1">
        <f t="shared" si="83"/>
        <v>2383.8314940934833</v>
      </c>
      <c r="AR35" s="1">
        <f t="shared" si="83"/>
        <v>2359.9931791525487</v>
      </c>
      <c r="AS35" s="1">
        <f t="shared" si="83"/>
        <v>2336.393247361023</v>
      </c>
      <c r="AT35" s="1">
        <f t="shared" si="83"/>
        <v>2313.0293148874125</v>
      </c>
      <c r="AU35" s="1">
        <f t="shared" si="83"/>
        <v>2289.8990217385385</v>
      </c>
      <c r="AV35" s="1">
        <f t="shared" si="83"/>
        <v>2267.0000315211532</v>
      </c>
      <c r="AW35" s="1">
        <f t="shared" si="83"/>
        <v>2244.3300312059419</v>
      </c>
      <c r="AX35" s="1">
        <f t="shared" si="83"/>
        <v>2221.8867308938825</v>
      </c>
      <c r="AY35" s="1">
        <f t="shared" si="83"/>
        <v>2199.6678635849435</v>
      </c>
      <c r="AZ35" s="1">
        <f t="shared" si="83"/>
        <v>2177.6711849490939</v>
      </c>
      <c r="BA35" s="1">
        <f t="shared" si="83"/>
        <v>2155.8944730996031</v>
      </c>
      <c r="BB35" s="1">
        <f t="shared" si="83"/>
        <v>2134.3355283686069</v>
      </c>
      <c r="BC35" s="1">
        <f t="shared" si="83"/>
        <v>2112.992173084921</v>
      </c>
      <c r="BD35" s="1">
        <f t="shared" si="83"/>
        <v>2091.8622513540718</v>
      </c>
      <c r="BE35" s="1">
        <f t="shared" si="83"/>
        <v>2070.9436288405309</v>
      </c>
      <c r="BF35" s="1">
        <f t="shared" si="83"/>
        <v>2050.2341925521255</v>
      </c>
      <c r="BG35" s="1">
        <f t="shared" si="83"/>
        <v>2029.7318506266042</v>
      </c>
      <c r="BH35" s="1">
        <f t="shared" si="83"/>
        <v>2009.4345321203382</v>
      </c>
      <c r="BI35" s="1">
        <f t="shared" ref="BI35:CS35" si="84">+BH35*(1+TR)</f>
        <v>1989.3401867991347</v>
      </c>
      <c r="BJ35" s="1">
        <f t="shared" si="84"/>
        <v>1969.4467849311434</v>
      </c>
      <c r="BK35" s="1">
        <f t="shared" si="84"/>
        <v>1949.752317081832</v>
      </c>
      <c r="BL35" s="1">
        <f t="shared" si="84"/>
        <v>1930.2547939110136</v>
      </c>
      <c r="BM35" s="1">
        <f t="shared" si="84"/>
        <v>1910.9522459719035</v>
      </c>
      <c r="BN35" s="1">
        <f t="shared" si="84"/>
        <v>1891.8427235121844</v>
      </c>
      <c r="BO35" s="1">
        <f t="shared" si="84"/>
        <v>1872.9242962770625</v>
      </c>
      <c r="BP35" s="1">
        <f t="shared" si="84"/>
        <v>1854.1950533142917</v>
      </c>
      <c r="BQ35" s="1">
        <f t="shared" si="84"/>
        <v>1835.6531027811488</v>
      </c>
      <c r="BR35" s="1">
        <f t="shared" si="84"/>
        <v>1817.2965717533373</v>
      </c>
      <c r="BS35" s="1">
        <f t="shared" si="84"/>
        <v>1799.123606035804</v>
      </c>
      <c r="BT35" s="1">
        <f t="shared" si="84"/>
        <v>1781.132369975446</v>
      </c>
      <c r="BU35" s="1">
        <f t="shared" si="84"/>
        <v>1763.3210462756915</v>
      </c>
      <c r="BV35" s="1">
        <f t="shared" si="84"/>
        <v>1745.6878358129345</v>
      </c>
      <c r="BW35" s="1">
        <f t="shared" si="84"/>
        <v>1728.2309574548051</v>
      </c>
      <c r="BX35" s="1">
        <f t="shared" si="84"/>
        <v>1710.9486478802571</v>
      </c>
      <c r="BY35" s="1">
        <f t="shared" si="84"/>
        <v>1693.8391614014545</v>
      </c>
      <c r="BZ35" s="1">
        <f t="shared" si="84"/>
        <v>1676.9007697874399</v>
      </c>
      <c r="CA35" s="1">
        <f t="shared" si="84"/>
        <v>1660.1317620895654</v>
      </c>
      <c r="CB35" s="1">
        <f t="shared" si="84"/>
        <v>1643.5304444686697</v>
      </c>
      <c r="CC35" s="1">
        <f t="shared" si="84"/>
        <v>1627.095140023983</v>
      </c>
      <c r="CD35" s="1">
        <f t="shared" si="84"/>
        <v>1610.8241886237431</v>
      </c>
      <c r="CE35" s="1">
        <f t="shared" si="84"/>
        <v>1594.7159467375056</v>
      </c>
      <c r="CF35" s="1">
        <f t="shared" si="84"/>
        <v>1578.7687872701306</v>
      </c>
      <c r="CG35" s="1">
        <f t="shared" si="84"/>
        <v>1562.9810993974293</v>
      </c>
      <c r="CH35" s="1">
        <f t="shared" si="84"/>
        <v>1547.3512884034549</v>
      </c>
      <c r="CI35" s="1">
        <f t="shared" si="84"/>
        <v>1531.8777755194203</v>
      </c>
      <c r="CJ35" s="1">
        <f t="shared" si="84"/>
        <v>1516.5589977642262</v>
      </c>
      <c r="CK35" s="1">
        <f t="shared" si="84"/>
        <v>1501.393407786584</v>
      </c>
      <c r="CL35" s="1">
        <f t="shared" si="84"/>
        <v>1486.3794737087183</v>
      </c>
      <c r="CM35" s="1">
        <f t="shared" si="84"/>
        <v>1471.5156789716311</v>
      </c>
      <c r="CN35" s="1">
        <f t="shared" si="84"/>
        <v>1456.8005221819149</v>
      </c>
      <c r="CO35" s="1">
        <f t="shared" si="84"/>
        <v>1442.2325169600956</v>
      </c>
      <c r="CP35" s="1">
        <f t="shared" si="84"/>
        <v>1427.8101917904946</v>
      </c>
      <c r="CQ35" s="1">
        <f t="shared" si="84"/>
        <v>1413.5320898725897</v>
      </c>
      <c r="CR35" s="1">
        <f t="shared" si="84"/>
        <v>1399.3967689738638</v>
      </c>
      <c r="CS35" s="1">
        <f t="shared" si="84"/>
        <v>1385.4028012841252</v>
      </c>
    </row>
    <row r="36" spans="2:97" s="1" customFormat="1" x14ac:dyDescent="0.25"/>
    <row r="37" spans="2:97" s="2" customFormat="1" x14ac:dyDescent="0.25">
      <c r="B37" s="2" t="s">
        <v>25</v>
      </c>
      <c r="C37" s="2">
        <f>+C21/C19</f>
        <v>0.25557537912578054</v>
      </c>
      <c r="F37" s="2">
        <f>+F21/F19</f>
        <v>0.2805734058329214</v>
      </c>
      <c r="G37" s="2">
        <f>+G21/G19</f>
        <v>0.31614215627617565</v>
      </c>
      <c r="O37" s="2">
        <f>+O21/O19</f>
        <v>0.29791239141503756</v>
      </c>
      <c r="P37" s="2">
        <f>+P21/P19</f>
        <v>0.28077274185191581</v>
      </c>
      <c r="Q37" s="2">
        <f>+Q21/Q19</f>
        <v>0.28000000000000008</v>
      </c>
      <c r="R37" s="2">
        <f t="shared" ref="R37:AB37" si="85">+R21/R19</f>
        <v>0.28000000000000008</v>
      </c>
      <c r="S37" s="2">
        <f t="shared" si="85"/>
        <v>0.27999999999999997</v>
      </c>
      <c r="T37" s="2">
        <f t="shared" si="85"/>
        <v>0.28000000000000003</v>
      </c>
      <c r="U37" s="2">
        <f t="shared" si="85"/>
        <v>0.28000000000000003</v>
      </c>
      <c r="V37" s="2">
        <f t="shared" si="85"/>
        <v>0.28000000000000008</v>
      </c>
      <c r="W37" s="2">
        <f t="shared" si="85"/>
        <v>0.27999999999999997</v>
      </c>
      <c r="X37" s="2">
        <f t="shared" si="85"/>
        <v>0.28000000000000008</v>
      </c>
      <c r="Y37" s="2">
        <f t="shared" si="85"/>
        <v>0.28000000000000003</v>
      </c>
      <c r="Z37" s="2">
        <f t="shared" si="85"/>
        <v>0.28000000000000003</v>
      </c>
      <c r="AA37" s="2">
        <f t="shared" si="85"/>
        <v>0.27999999999999997</v>
      </c>
      <c r="AB37" s="2">
        <f t="shared" si="85"/>
        <v>0.27999999999999997</v>
      </c>
    </row>
    <row r="38" spans="2:97" s="2" customFormat="1" x14ac:dyDescent="0.25">
      <c r="B38" s="2" t="s">
        <v>26</v>
      </c>
      <c r="C38" s="2">
        <f>+C27/C19</f>
        <v>0.12310437109723461</v>
      </c>
      <c r="F38" s="2">
        <f>+F27/F19</f>
        <v>0.11606524962926347</v>
      </c>
      <c r="G38" s="2">
        <f>+G27/G19</f>
        <v>0.14742132344142636</v>
      </c>
      <c r="O38" s="2">
        <f>+O27/O19</f>
        <v>0.18894940673651078</v>
      </c>
      <c r="P38" s="2">
        <f>+P27/P19</f>
        <v>0.12896301596308998</v>
      </c>
      <c r="Q38" s="2">
        <f>+Q27/Q19</f>
        <v>0.12666444645523894</v>
      </c>
      <c r="R38" s="2">
        <f t="shared" ref="R38:AB38" si="86">+R27/R19</f>
        <v>0.12956585951087327</v>
      </c>
      <c r="S38" s="2">
        <f t="shared" si="86"/>
        <v>0.13204820104439455</v>
      </c>
      <c r="T38" s="2">
        <f t="shared" si="86"/>
        <v>0.13550695403706384</v>
      </c>
      <c r="U38" s="2">
        <f t="shared" si="86"/>
        <v>0.13796284393663288</v>
      </c>
      <c r="V38" s="2">
        <f t="shared" si="86"/>
        <v>0.14014709142336329</v>
      </c>
      <c r="W38" s="2">
        <f t="shared" si="86"/>
        <v>0.14224967539440903</v>
      </c>
      <c r="X38" s="2">
        <f t="shared" si="86"/>
        <v>0.14439623821695161</v>
      </c>
      <c r="Y38" s="2">
        <f t="shared" si="86"/>
        <v>0.14646912880538929</v>
      </c>
      <c r="Z38" s="2">
        <f t="shared" si="86"/>
        <v>0.14847107655909667</v>
      </c>
      <c r="AA38" s="2">
        <f t="shared" si="86"/>
        <v>0.15040471600126401</v>
      </c>
      <c r="AB38" s="2">
        <f t="shared" si="86"/>
        <v>0.15227258986112344</v>
      </c>
    </row>
    <row r="39" spans="2:97" s="2" customFormat="1" x14ac:dyDescent="0.25">
      <c r="B39" s="2" t="s">
        <v>18</v>
      </c>
      <c r="C39" s="2">
        <f>+C32/C31</f>
        <v>0.56799999999999995</v>
      </c>
      <c r="F39" s="2">
        <f>+F32/F31</f>
        <v>0.65879265091863515</v>
      </c>
      <c r="G39" s="2">
        <f>+G32/G31</f>
        <v>0.46129032258064517</v>
      </c>
      <c r="O39" s="2">
        <f>+O32/O31</f>
        <v>0.51985492420719803</v>
      </c>
      <c r="P39" s="2">
        <f>+P32/P31</f>
        <v>0.52205168059063534</v>
      </c>
      <c r="Q39" s="2">
        <f>+Q32/Q31</f>
        <v>0.52</v>
      </c>
      <c r="R39" s="2">
        <f t="shared" ref="R39:AB39" si="87">+R32/R31</f>
        <v>0.52</v>
      </c>
      <c r="S39" s="2">
        <f t="shared" si="87"/>
        <v>0.52</v>
      </c>
      <c r="T39" s="2">
        <f t="shared" si="87"/>
        <v>0.52</v>
      </c>
      <c r="U39" s="2">
        <f t="shared" si="87"/>
        <v>0.52</v>
      </c>
      <c r="V39" s="2">
        <f t="shared" si="87"/>
        <v>0.52</v>
      </c>
      <c r="W39" s="2">
        <f t="shared" si="87"/>
        <v>0.52</v>
      </c>
      <c r="X39" s="2">
        <f t="shared" si="87"/>
        <v>0.52</v>
      </c>
      <c r="Y39" s="2">
        <f t="shared" si="87"/>
        <v>0.52</v>
      </c>
      <c r="Z39" s="2">
        <f t="shared" si="87"/>
        <v>0.52</v>
      </c>
      <c r="AA39" s="2">
        <f t="shared" si="87"/>
        <v>0.52</v>
      </c>
      <c r="AB39" s="2">
        <f t="shared" si="87"/>
        <v>0.52</v>
      </c>
    </row>
    <row r="40" spans="2:97" s="2" customFormat="1" x14ac:dyDescent="0.25">
      <c r="B40" s="2" t="s">
        <v>27</v>
      </c>
      <c r="C40" s="2">
        <f>+C33/C19</f>
        <v>5.2988403211418379E-2</v>
      </c>
      <c r="F40" s="2">
        <f>+F33/F19</f>
        <v>3.8556599110232327E-2</v>
      </c>
      <c r="G40" s="2">
        <f>+G33/G19</f>
        <v>7.9932990307526625E-2</v>
      </c>
      <c r="O40" s="2">
        <f>+O33/O19</f>
        <v>7.9662402987147246E-2</v>
      </c>
      <c r="P40" s="2">
        <f>+P33/P19</f>
        <v>6.0694283388023983E-2</v>
      </c>
      <c r="Q40" s="2">
        <f>+Q33/Q19</f>
        <v>5.921186673259194E-2</v>
      </c>
      <c r="R40" s="2">
        <f t="shared" ref="R40:AB40" si="88">+R33/R19</f>
        <v>6.0131409729979352E-2</v>
      </c>
      <c r="S40" s="2">
        <f t="shared" si="88"/>
        <v>6.0918228809051886E-2</v>
      </c>
      <c r="T40" s="2">
        <f t="shared" si="88"/>
        <v>6.2256379072848304E-2</v>
      </c>
      <c r="U40" s="2">
        <f t="shared" si="88"/>
        <v>6.31519244493806E-2</v>
      </c>
      <c r="V40" s="2">
        <f t="shared" si="88"/>
        <v>6.3959177723219504E-2</v>
      </c>
      <c r="W40" s="2">
        <f t="shared" si="88"/>
        <v>6.4766545017731297E-2</v>
      </c>
      <c r="X40" s="2">
        <f t="shared" si="88"/>
        <v>6.562876599091573E-2</v>
      </c>
      <c r="Y40" s="2">
        <f t="shared" si="88"/>
        <v>6.6484517233170379E-2</v>
      </c>
      <c r="Z40" s="2">
        <f t="shared" si="88"/>
        <v>6.7330885173655083E-2</v>
      </c>
      <c r="AA40" s="2">
        <f t="shared" si="88"/>
        <v>6.8165458656394409E-2</v>
      </c>
      <c r="AB40" s="2">
        <f t="shared" si="88"/>
        <v>6.8986261090609416E-2</v>
      </c>
      <c r="AD40" s="2" t="s">
        <v>55</v>
      </c>
      <c r="AE40" s="2">
        <v>0.1</v>
      </c>
    </row>
    <row r="41" spans="2:97" s="2" customFormat="1" x14ac:dyDescent="0.25">
      <c r="B41" s="2" t="s">
        <v>28</v>
      </c>
      <c r="C41" s="2">
        <f>+C35/C33</f>
        <v>0.65656565656565657</v>
      </c>
      <c r="F41" s="2">
        <f>+F35/F33</f>
        <v>0.60512820512820509</v>
      </c>
      <c r="G41" s="2">
        <f>+G35/G33</f>
        <v>0.70059880239520955</v>
      </c>
      <c r="O41" s="2">
        <f>+O35/O33</f>
        <v>0.7015301181483633</v>
      </c>
      <c r="P41" s="2">
        <f>+P35/P33</f>
        <v>0.82195121951219507</v>
      </c>
      <c r="Q41" s="2">
        <f>+Q35/Q33</f>
        <v>0.7</v>
      </c>
      <c r="R41" s="2">
        <f t="shared" ref="R41:AB41" si="89">+R35/R33</f>
        <v>0.7</v>
      </c>
      <c r="S41" s="2">
        <f t="shared" si="89"/>
        <v>0.7</v>
      </c>
      <c r="T41" s="2">
        <f t="shared" si="89"/>
        <v>0.7</v>
      </c>
      <c r="U41" s="2">
        <f t="shared" si="89"/>
        <v>0.7</v>
      </c>
      <c r="V41" s="2">
        <f t="shared" si="89"/>
        <v>0.69999999999999984</v>
      </c>
      <c r="W41" s="2">
        <f t="shared" si="89"/>
        <v>0.7</v>
      </c>
      <c r="X41" s="2">
        <f t="shared" si="89"/>
        <v>0.7</v>
      </c>
      <c r="Y41" s="2">
        <f t="shared" si="89"/>
        <v>0.7</v>
      </c>
      <c r="Z41" s="2">
        <f t="shared" si="89"/>
        <v>0.7</v>
      </c>
      <c r="AA41" s="2">
        <f t="shared" si="89"/>
        <v>0.7</v>
      </c>
      <c r="AB41" s="2">
        <f t="shared" si="89"/>
        <v>0.7</v>
      </c>
      <c r="AD41" s="2" t="s">
        <v>56</v>
      </c>
      <c r="AE41" s="2">
        <v>-0.01</v>
      </c>
    </row>
    <row r="42" spans="2:97" s="1" customFormat="1" x14ac:dyDescent="0.25">
      <c r="AD42" s="1" t="s">
        <v>57</v>
      </c>
      <c r="AE42" s="1">
        <f>NPV(AE40,Q35:CS35)</f>
        <v>22247.850611927752</v>
      </c>
    </row>
    <row r="43" spans="2:97" s="1" customFormat="1" x14ac:dyDescent="0.25">
      <c r="B43" s="1" t="s">
        <v>29</v>
      </c>
      <c r="C43" s="1">
        <v>684</v>
      </c>
      <c r="F43" s="1">
        <v>-51</v>
      </c>
      <c r="G43" s="1">
        <v>-36</v>
      </c>
      <c r="O43" s="1">
        <f>-2188-397+501</f>
        <v>-2084</v>
      </c>
      <c r="P43" s="1">
        <v>1071</v>
      </c>
      <c r="AD43" s="1" t="s">
        <v>58</v>
      </c>
      <c r="AE43" s="1">
        <v>327</v>
      </c>
    </row>
    <row r="44" spans="2:97" s="1" customFormat="1" x14ac:dyDescent="0.25">
      <c r="B44" s="1" t="s">
        <v>30</v>
      </c>
      <c r="C44" s="1">
        <v>2687</v>
      </c>
      <c r="F44" s="1">
        <v>1092</v>
      </c>
      <c r="G44" s="1">
        <v>1823</v>
      </c>
      <c r="O44" s="1">
        <v>7758</v>
      </c>
      <c r="P44" s="1">
        <v>5709</v>
      </c>
      <c r="AD44" s="1" t="s">
        <v>59</v>
      </c>
      <c r="AE44" s="1">
        <f>+AE42/AE43</f>
        <v>68.036240403448787</v>
      </c>
    </row>
    <row r="45" spans="2:97" s="1" customFormat="1" x14ac:dyDescent="0.25">
      <c r="B45" s="1" t="s">
        <v>31</v>
      </c>
      <c r="C45" s="1">
        <v>858</v>
      </c>
      <c r="F45" s="1">
        <v>947</v>
      </c>
      <c r="G45" s="1">
        <v>815</v>
      </c>
      <c r="O45" s="1">
        <v>2943</v>
      </c>
      <c r="P45" s="1">
        <v>3487</v>
      </c>
      <c r="AE45" s="5"/>
    </row>
    <row r="46" spans="2:97" s="1" customFormat="1" x14ac:dyDescent="0.25">
      <c r="B46" s="1" t="s">
        <v>32</v>
      </c>
      <c r="C46" s="1">
        <f>+C44-C45</f>
        <v>1829</v>
      </c>
      <c r="F46" s="1">
        <f>+F44-F45</f>
        <v>145</v>
      </c>
      <c r="G46" s="1">
        <f>+G44-G45</f>
        <v>1008</v>
      </c>
      <c r="O46" s="1">
        <f>+O44-O45</f>
        <v>4815</v>
      </c>
      <c r="P46" s="1">
        <f>+P44-P45</f>
        <v>2222</v>
      </c>
    </row>
    <row r="47" spans="2:97" s="1" customFormat="1" x14ac:dyDescent="0.25"/>
    <row r="48" spans="2:97" s="1" customFormat="1" x14ac:dyDescent="0.25">
      <c r="B48" s="1" t="s">
        <v>33</v>
      </c>
      <c r="O48" s="1">
        <v>19317</v>
      </c>
      <c r="P48" s="1">
        <v>19398</v>
      </c>
    </row>
    <row r="49" spans="2:16" s="1" customFormat="1" x14ac:dyDescent="0.25">
      <c r="B49" s="1" t="s">
        <v>34</v>
      </c>
      <c r="O49" s="1">
        <v>4834</v>
      </c>
      <c r="P49" s="1">
        <v>4029</v>
      </c>
    </row>
    <row r="50" spans="2:16" s="1" customFormat="1" x14ac:dyDescent="0.25">
      <c r="B50" s="1" t="s">
        <v>36</v>
      </c>
      <c r="O50" s="1">
        <v>3932</v>
      </c>
      <c r="P50" s="1">
        <v>4222</v>
      </c>
    </row>
    <row r="51" spans="2:16" s="1" customFormat="1" x14ac:dyDescent="0.25">
      <c r="B51" s="1" t="s">
        <v>35</v>
      </c>
      <c r="G51" s="1">
        <v>7833</v>
      </c>
      <c r="O51" s="1">
        <v>8090</v>
      </c>
      <c r="P51" s="1">
        <v>9460</v>
      </c>
    </row>
    <row r="52" spans="2:16" s="1" customFormat="1" x14ac:dyDescent="0.25">
      <c r="B52" s="1" t="s">
        <v>40</v>
      </c>
      <c r="O52" s="1">
        <v>22369</v>
      </c>
      <c r="P52" s="1">
        <v>20451</v>
      </c>
    </row>
    <row r="53" spans="2:16" s="1" customFormat="1" x14ac:dyDescent="0.25"/>
    <row r="54" spans="2:16" s="1" customFormat="1" x14ac:dyDescent="0.25">
      <c r="B54" s="1" t="s">
        <v>37</v>
      </c>
      <c r="G54" s="1">
        <f>5534+1044+281+564+410+1355</f>
        <v>9188</v>
      </c>
      <c r="O54" s="1">
        <v>10284</v>
      </c>
      <c r="P54" s="1">
        <f>6031+1360+1360+77+157+1315</f>
        <v>10300</v>
      </c>
    </row>
    <row r="55" spans="2:16" s="1" customFormat="1" x14ac:dyDescent="0.25">
      <c r="B55" s="1" t="s">
        <v>39</v>
      </c>
      <c r="O55" s="1">
        <v>5259</v>
      </c>
      <c r="P55" s="1">
        <v>4121</v>
      </c>
    </row>
    <row r="56" spans="2:16" s="1" customFormat="1" x14ac:dyDescent="0.25">
      <c r="B56" s="1" t="s">
        <v>41</v>
      </c>
      <c r="O56" s="1">
        <v>11674</v>
      </c>
      <c r="P56" s="1">
        <v>13567</v>
      </c>
    </row>
    <row r="57" spans="2:16" s="1" customFormat="1" x14ac:dyDescent="0.25"/>
    <row r="58" spans="2:16" s="1" customFormat="1" x14ac:dyDescent="0.25">
      <c r="B58" s="1" t="s">
        <v>42</v>
      </c>
      <c r="O58" s="1">
        <f>+O52-O56</f>
        <v>10695</v>
      </c>
      <c r="P58" s="1">
        <f>+P52-P56</f>
        <v>6884</v>
      </c>
    </row>
    <row r="59" spans="2:16" s="1" customFormat="1" x14ac:dyDescent="0.25">
      <c r="B59" s="1" t="s">
        <v>43</v>
      </c>
      <c r="P59" s="1">
        <f>+P58-O58</f>
        <v>-3811</v>
      </c>
    </row>
    <row r="60" spans="2:16" s="1" customFormat="1" x14ac:dyDescent="0.25">
      <c r="B60" s="1" t="s">
        <v>38</v>
      </c>
      <c r="O60" s="1">
        <f>+O48+O49+O50+O51-O54-O55</f>
        <v>20630</v>
      </c>
      <c r="P60" s="1">
        <f>+P48+P49+P50+P51-P54-P55</f>
        <v>22688</v>
      </c>
    </row>
    <row r="61" spans="2:16" s="1" customFormat="1" x14ac:dyDescent="0.25"/>
    <row r="62" spans="2:16" s="1" customFormat="1" x14ac:dyDescent="0.25"/>
    <row r="63" spans="2:16" s="1" customFormat="1" x14ac:dyDescent="0.25"/>
    <row r="64" spans="2:16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2024-05-30T12:49:40Z</dcterms:created>
  <dcterms:modified xsi:type="dcterms:W3CDTF">2026-02-06T14:39:16Z</dcterms:modified>
</cp:coreProperties>
</file>