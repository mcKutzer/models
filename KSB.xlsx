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FBD7614C-1BAA-4FA3-8404-430A945A92AC}" xr6:coauthVersionLast="47" xr6:coauthVersionMax="47" xr10:uidLastSave="{00000000-0000-0000-0000-000000000000}"/>
  <bookViews>
    <workbookView xWindow="-120" yWindow="-120" windowWidth="29040" windowHeight="15840" xr2:uid="{770963E3-B1A7-42F5-B430-EE6ECEAFFFF7}"/>
  </bookViews>
  <sheets>
    <sheet name="Sheet1" sheetId="1" r:id="rId1"/>
  </sheets>
  <definedNames>
    <definedName name="TR">Sheet1!$W$29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6" i="1" l="1"/>
  <c r="L13" i="1"/>
  <c r="M13" i="1" s="1"/>
  <c r="N13" i="1" s="1"/>
  <c r="O13" i="1" s="1"/>
  <c r="P13" i="1" s="1"/>
  <c r="Q13" i="1" s="1"/>
  <c r="R13" i="1" s="1"/>
  <c r="S13" i="1" s="1"/>
  <c r="T13" i="1" s="1"/>
  <c r="M18" i="1"/>
  <c r="N18" i="1" s="1"/>
  <c r="O18" i="1" s="1"/>
  <c r="P18" i="1" s="1"/>
  <c r="Q18" i="1" s="1"/>
  <c r="R18" i="1" s="1"/>
  <c r="S18" i="1" s="1"/>
  <c r="T18" i="1" s="1"/>
  <c r="M17" i="1"/>
  <c r="N17" i="1" s="1"/>
  <c r="O17" i="1" s="1"/>
  <c r="P17" i="1" s="1"/>
  <c r="Q17" i="1" s="1"/>
  <c r="R17" i="1" s="1"/>
  <c r="S17" i="1" s="1"/>
  <c r="T17" i="1" s="1"/>
  <c r="L14" i="1"/>
  <c r="M14" i="1" s="1"/>
  <c r="N14" i="1" s="1"/>
  <c r="O14" i="1" s="1"/>
  <c r="P14" i="1" s="1"/>
  <c r="Q14" i="1" s="1"/>
  <c r="R14" i="1" s="1"/>
  <c r="S14" i="1" s="1"/>
  <c r="T14" i="1" s="1"/>
  <c r="J37" i="1"/>
  <c r="J38" i="1" s="1"/>
  <c r="K37" i="1"/>
  <c r="K38" i="1" s="1"/>
  <c r="K32" i="1"/>
  <c r="K33" i="1" s="1"/>
  <c r="J32" i="1"/>
  <c r="J33" i="1" s="1"/>
  <c r="L5" i="1"/>
  <c r="L10" i="1" s="1"/>
  <c r="L12" i="1" s="1"/>
  <c r="L28" i="1" s="1"/>
  <c r="I16" i="1"/>
  <c r="I20" i="1" s="1"/>
  <c r="I22" i="1" s="1"/>
  <c r="J10" i="1"/>
  <c r="J16" i="1" s="1"/>
  <c r="J20" i="1" s="1"/>
  <c r="J22" i="1" s="1"/>
  <c r="J29" i="1" s="1"/>
  <c r="K10" i="1"/>
  <c r="K16" i="1" s="1"/>
  <c r="K20" i="1" s="1"/>
  <c r="K22" i="1" s="1"/>
  <c r="K29" i="1" s="1"/>
  <c r="H2" i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K26" i="1" l="1"/>
  <c r="J26" i="1"/>
  <c r="K23" i="1"/>
  <c r="L23" i="1" s="1"/>
  <c r="M23" i="1" s="1"/>
  <c r="N23" i="1" s="1"/>
  <c r="O23" i="1" s="1"/>
  <c r="P23" i="1" s="1"/>
  <c r="Q23" i="1" s="1"/>
  <c r="R23" i="1" s="1"/>
  <c r="S23" i="1" s="1"/>
  <c r="T23" i="1" s="1"/>
  <c r="J23" i="1"/>
  <c r="W31" i="1"/>
  <c r="L15" i="1"/>
  <c r="K41" i="1"/>
  <c r="J41" i="1"/>
  <c r="K28" i="1"/>
  <c r="J28" i="1"/>
  <c r="M5" i="1"/>
  <c r="L16" i="1"/>
  <c r="L20" i="1" s="1"/>
  <c r="N5" i="1" l="1"/>
  <c r="M10" i="1"/>
  <c r="L21" i="1"/>
  <c r="L22" i="1" s="1"/>
  <c r="L24" i="1" l="1"/>
  <c r="L26" i="1"/>
  <c r="L29" i="1"/>
  <c r="M15" i="1"/>
  <c r="M12" i="1"/>
  <c r="M28" i="1" s="1"/>
  <c r="M16" i="1"/>
  <c r="M20" i="1" s="1"/>
  <c r="M21" i="1" s="1"/>
  <c r="M22" i="1" s="1"/>
  <c r="O5" i="1"/>
  <c r="N10" i="1"/>
  <c r="M29" i="1" l="1"/>
  <c r="M24" i="1"/>
  <c r="M26" i="1"/>
  <c r="P5" i="1"/>
  <c r="O10" i="1"/>
  <c r="N15" i="1"/>
  <c r="N12" i="1"/>
  <c r="N28" i="1"/>
  <c r="N16" i="1"/>
  <c r="N20" i="1" s="1"/>
  <c r="N21" i="1" s="1"/>
  <c r="N22" i="1" s="1"/>
  <c r="N26" i="1" l="1"/>
  <c r="N24" i="1"/>
  <c r="N29" i="1"/>
  <c r="O12" i="1"/>
  <c r="O28" i="1" s="1"/>
  <c r="O15" i="1"/>
  <c r="Q5" i="1"/>
  <c r="P10" i="1"/>
  <c r="P12" i="1" l="1"/>
  <c r="P28" i="1" s="1"/>
  <c r="P15" i="1"/>
  <c r="P16" i="1"/>
  <c r="P20" i="1" s="1"/>
  <c r="P21" i="1" s="1"/>
  <c r="P22" i="1" s="1"/>
  <c r="R5" i="1"/>
  <c r="Q10" i="1"/>
  <c r="O16" i="1"/>
  <c r="O20" i="1" s="1"/>
  <c r="O21" i="1" s="1"/>
  <c r="O22" i="1" s="1"/>
  <c r="O26" i="1" l="1"/>
  <c r="O24" i="1"/>
  <c r="P29" i="1"/>
  <c r="P24" i="1"/>
  <c r="P26" i="1"/>
  <c r="O29" i="1"/>
  <c r="S5" i="1"/>
  <c r="R10" i="1"/>
  <c r="Q12" i="1"/>
  <c r="Q28" i="1"/>
  <c r="Q15" i="1"/>
  <c r="Q16" i="1" s="1"/>
  <c r="Q20" i="1" s="1"/>
  <c r="Q21" i="1" s="1"/>
  <c r="Q22" i="1" s="1"/>
  <c r="Q29" i="1" l="1"/>
  <c r="Q26" i="1"/>
  <c r="Q24" i="1"/>
  <c r="R12" i="1"/>
  <c r="R28" i="1" s="1"/>
  <c r="R15" i="1"/>
  <c r="T5" i="1"/>
  <c r="T10" i="1" s="1"/>
  <c r="S10" i="1"/>
  <c r="R16" i="1" l="1"/>
  <c r="R20" i="1" s="1"/>
  <c r="R21" i="1" s="1"/>
  <c r="R22" i="1" s="1"/>
  <c r="S12" i="1"/>
  <c r="S28" i="1"/>
  <c r="S15" i="1"/>
  <c r="S16" i="1" s="1"/>
  <c r="S20" i="1" s="1"/>
  <c r="S21" i="1" s="1"/>
  <c r="S22" i="1" s="1"/>
  <c r="T12" i="1"/>
  <c r="T28" i="1" s="1"/>
  <c r="T15" i="1"/>
  <c r="T16" i="1"/>
  <c r="T20" i="1" s="1"/>
  <c r="T21" i="1" s="1"/>
  <c r="T22" i="1" s="1"/>
  <c r="T24" i="1" l="1"/>
  <c r="T26" i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CV26" i="1" s="1"/>
  <c r="CW26" i="1" s="1"/>
  <c r="CX26" i="1" s="1"/>
  <c r="CY26" i="1" s="1"/>
  <c r="CZ26" i="1" s="1"/>
  <c r="DA26" i="1" s="1"/>
  <c r="DB26" i="1" s="1"/>
  <c r="DC26" i="1" s="1"/>
  <c r="DD26" i="1" s="1"/>
  <c r="DE26" i="1" s="1"/>
  <c r="DF26" i="1" s="1"/>
  <c r="DG26" i="1" s="1"/>
  <c r="DH26" i="1" s="1"/>
  <c r="DI26" i="1" s="1"/>
  <c r="DJ26" i="1" s="1"/>
  <c r="DK26" i="1" s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S29" i="1"/>
  <c r="S24" i="1"/>
  <c r="S26" i="1"/>
  <c r="R24" i="1"/>
  <c r="R26" i="1"/>
  <c r="T29" i="1"/>
  <c r="R29" i="1"/>
  <c r="W30" i="1" l="1"/>
  <c r="W32" i="1" s="1"/>
  <c r="W33" i="1" s="1"/>
  <c r="W35" i="1" s="1"/>
</calcChain>
</file>

<file path=xl/sharedStrings.xml><?xml version="1.0" encoding="utf-8"?>
<sst xmlns="http://schemas.openxmlformats.org/spreadsheetml/2006/main" count="40" uniqueCount="39">
  <si>
    <t>Auftragseingang</t>
  </si>
  <si>
    <t>Revenue</t>
  </si>
  <si>
    <t>Auftragsbestand</t>
  </si>
  <si>
    <t>Other</t>
  </si>
  <si>
    <t>Materialaufwand</t>
  </si>
  <si>
    <t>Personalaufwand</t>
  </si>
  <si>
    <t>D&amp;A</t>
  </si>
  <si>
    <t>Other Expense</t>
  </si>
  <si>
    <t>EBIT</t>
  </si>
  <si>
    <t>Finance Income</t>
  </si>
  <si>
    <t>Finance Expense</t>
  </si>
  <si>
    <t>Equity</t>
  </si>
  <si>
    <t>EBT</t>
  </si>
  <si>
    <t>Taxes</t>
  </si>
  <si>
    <t>Net Income</t>
  </si>
  <si>
    <t>Bestandsv.</t>
  </si>
  <si>
    <t>Other Activity</t>
  </si>
  <si>
    <t>Gross Margin</t>
  </si>
  <si>
    <t>Net Margin</t>
  </si>
  <si>
    <t>CFFO</t>
  </si>
  <si>
    <t>CapEx</t>
  </si>
  <si>
    <t>FCF</t>
  </si>
  <si>
    <t>Cash</t>
  </si>
  <si>
    <t>PP&amp;E</t>
  </si>
  <si>
    <t>Debt</t>
  </si>
  <si>
    <t>NAV</t>
  </si>
  <si>
    <t>Dividend</t>
  </si>
  <si>
    <t>Ratio</t>
  </si>
  <si>
    <t>Discount</t>
  </si>
  <si>
    <t>Terminal</t>
  </si>
  <si>
    <t>NPV</t>
  </si>
  <si>
    <t>Net Cash</t>
  </si>
  <si>
    <t>Value</t>
  </si>
  <si>
    <t>Price</t>
  </si>
  <si>
    <t>Shares</t>
  </si>
  <si>
    <t>EPS</t>
  </si>
  <si>
    <t>Minortiy Share</t>
  </si>
  <si>
    <t>Company Share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</si>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</sst>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0" fillId="0" borderId="0" xfId="0" applyNumberFormat="1"/>
    <xf numFmtId="9" fontId="0" fillId="0" borderId="0" xfId="1" applyFont="1"/>
    <xf numFmtId="3" fontId="2" fillId="0" borderId="0" xfId="0" applyNumberFormat="1" applyFont="1"/>
    <xf numFmtId="3" fontId="0" fillId="0" borderId="0" xfId="0" applyNumberFormat="1" applyFont="1"/>
    <xf numFmtId="164" fontId="2" fillId="0" borderId="0" xfId="0" applyNumberFormat="1" applyFont="1"/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613172</xdr:colOff>
      <xdr:row>3</xdr:row>
      <xdr:rowOff>23812</xdr:rowOff>
    </xdr:from>
    <xdr:to>
      <xdr:col>11</xdr:col>
      <xdr:colOff>0</xdr:colOff>
      <xdr:row>27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4A7A1DC-A1B1-6FF0-A8D1-A589C46CAEF8}"/>
            </a:ext>
          </a:extLst>
        </xdr:cNvPr>
        <xdr:cNvCxnSpPr/>
      </xdr:nvCxnSpPr>
      <xdr:spPr>
        <a:xfrm flipH="1">
          <a:off x="6697266" y="595312"/>
          <a:ext cx="5953" cy="38338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7A29-A095-47A8-B1ED-193A035917A2}">
  <dimension ref="B2:DY41"/>
  <sheetViews>
    <sheetView tabSelected="1" zoomScale="160" zoomScaleNormal="160" workbookViewId="0">
      <pane xSplit="2" ySplit="2" topLeftCell="I23" activePane="bottomRight" state="frozen"/>
      <selection pane="topRight" activeCell="C1" sqref="C1"/>
      <selection pane="bottomLeft" activeCell="A3" sqref="A3"/>
      <selection pane="bottomRight" activeCell="W37" sqref="W37"/>
    </sheetView>
  </sheetViews>
  <sheetFormatPr defaultRowHeight="15" x14ac:dyDescent="0.25"/>
  <cols>
    <col min="1" max="1" width="2.85546875" style="1" customWidth="1"/>
    <col min="2" max="2" width="15.5703125" style="1" bestFit="1" customWidth="1"/>
    <col min="3" max="10" width="9.140625" style="1"/>
    <col min="11" max="11" width="9.28515625" style="1" bestFit="1" customWidth="1"/>
    <col min="12" max="16384" width="9.140625" style="1"/>
  </cols>
  <sheetData>
    <row r="2" spans="2:20" s="2" customFormat="1" x14ac:dyDescent="0.25">
      <c r="G2" s="2">
        <v>2019</v>
      </c>
      <c r="H2" s="2">
        <f>+G2+1</f>
        <v>2020</v>
      </c>
      <c r="I2" s="2">
        <f t="shared" ref="I2:T2" si="0">+H2+1</f>
        <v>2021</v>
      </c>
      <c r="J2" s="2">
        <f t="shared" si="0"/>
        <v>2022</v>
      </c>
      <c r="K2" s="2">
        <f t="shared" si="0"/>
        <v>2023</v>
      </c>
      <c r="L2" s="2">
        <f t="shared" si="0"/>
        <v>2024</v>
      </c>
      <c r="M2" s="2">
        <f t="shared" si="0"/>
        <v>2025</v>
      </c>
      <c r="N2" s="2">
        <f t="shared" si="0"/>
        <v>2026</v>
      </c>
      <c r="O2" s="2">
        <f t="shared" si="0"/>
        <v>2027</v>
      </c>
      <c r="P2" s="2">
        <f t="shared" si="0"/>
        <v>2028</v>
      </c>
      <c r="Q2" s="2">
        <f t="shared" si="0"/>
        <v>2029</v>
      </c>
      <c r="R2" s="2">
        <f t="shared" si="0"/>
        <v>2030</v>
      </c>
      <c r="S2" s="2">
        <f t="shared" si="0"/>
        <v>2031</v>
      </c>
      <c r="T2" s="2">
        <f t="shared" si="0"/>
        <v>2032</v>
      </c>
    </row>
    <row r="4" spans="2:20" x14ac:dyDescent="0.25">
      <c r="B4" s="1" t="s">
        <v>0</v>
      </c>
      <c r="G4" s="1">
        <v>2453.8000000000002</v>
      </c>
      <c r="H4" s="1">
        <v>2143.4</v>
      </c>
      <c r="I4" s="1">
        <v>2411.6999999999998</v>
      </c>
      <c r="J4" s="1">
        <v>2862.1</v>
      </c>
      <c r="K4" s="1">
        <v>2959.5</v>
      </c>
    </row>
    <row r="5" spans="2:20" x14ac:dyDescent="0.25">
      <c r="B5" s="1" t="s">
        <v>1</v>
      </c>
      <c r="G5" s="1">
        <v>2383.1999999999998</v>
      </c>
      <c r="H5" s="1">
        <v>2207.9</v>
      </c>
      <c r="I5" s="1">
        <v>2343.6</v>
      </c>
      <c r="J5" s="1">
        <v>2573.3870000000002</v>
      </c>
      <c r="K5" s="1">
        <v>2818.9879999999998</v>
      </c>
      <c r="L5" s="1">
        <f>+K5*1.03</f>
        <v>2903.55764</v>
      </c>
      <c r="M5" s="1">
        <f t="shared" ref="M5:T5" si="1">+L5*1.03</f>
        <v>2990.6643692000002</v>
      </c>
      <c r="N5" s="1">
        <f t="shared" si="1"/>
        <v>3080.3843002760004</v>
      </c>
      <c r="O5" s="1">
        <f t="shared" si="1"/>
        <v>3172.7958292842804</v>
      </c>
      <c r="P5" s="1">
        <f t="shared" si="1"/>
        <v>3267.979704162809</v>
      </c>
      <c r="Q5" s="1">
        <f t="shared" si="1"/>
        <v>3366.0190952876933</v>
      </c>
      <c r="R5" s="1">
        <f t="shared" si="1"/>
        <v>3466.999668146324</v>
      </c>
      <c r="S5" s="1">
        <f t="shared" si="1"/>
        <v>3571.0096581907137</v>
      </c>
      <c r="T5" s="1">
        <f t="shared" si="1"/>
        <v>3678.1399479364354</v>
      </c>
    </row>
    <row r="6" spans="2:20" x14ac:dyDescent="0.25">
      <c r="B6" s="1" t="s">
        <v>2</v>
      </c>
      <c r="G6" s="1">
        <v>1409.3</v>
      </c>
      <c r="H6" s="1">
        <v>1288.5</v>
      </c>
      <c r="I6" s="1">
        <v>1366.2</v>
      </c>
      <c r="J6" s="1">
        <v>1497.8</v>
      </c>
      <c r="K6" s="1">
        <v>1548.1</v>
      </c>
    </row>
    <row r="8" spans="2:20" x14ac:dyDescent="0.25">
      <c r="B8" s="1" t="s">
        <v>15</v>
      </c>
      <c r="J8" s="1">
        <v>99412</v>
      </c>
      <c r="K8" s="1">
        <v>24271</v>
      </c>
      <c r="L8" s="1">
        <v>25000</v>
      </c>
      <c r="M8" s="1">
        <v>25000</v>
      </c>
      <c r="N8" s="1">
        <v>25000</v>
      </c>
      <c r="O8" s="1">
        <v>25000</v>
      </c>
      <c r="P8" s="1">
        <v>25000</v>
      </c>
      <c r="Q8" s="1">
        <v>25000</v>
      </c>
      <c r="R8" s="1">
        <v>25000</v>
      </c>
      <c r="S8" s="1">
        <v>25000</v>
      </c>
      <c r="T8" s="1">
        <v>25000</v>
      </c>
    </row>
    <row r="9" spans="2:20" x14ac:dyDescent="0.25">
      <c r="B9" s="1" t="s">
        <v>16</v>
      </c>
      <c r="J9" s="1">
        <v>1716</v>
      </c>
      <c r="K9" s="1">
        <v>1959</v>
      </c>
      <c r="L9" s="1">
        <v>2000</v>
      </c>
      <c r="M9" s="1">
        <v>2000</v>
      </c>
      <c r="N9" s="1">
        <v>2000</v>
      </c>
      <c r="O9" s="1">
        <v>2000</v>
      </c>
      <c r="P9" s="1">
        <v>2000</v>
      </c>
      <c r="Q9" s="1">
        <v>2000</v>
      </c>
      <c r="R9" s="1">
        <v>2000</v>
      </c>
      <c r="S9" s="1">
        <v>2000</v>
      </c>
      <c r="T9" s="1">
        <v>2000</v>
      </c>
    </row>
    <row r="10" spans="2:20" s="4" customFormat="1" x14ac:dyDescent="0.25">
      <c r="B10" s="4" t="s">
        <v>1</v>
      </c>
      <c r="J10" s="4">
        <f>+J5*1000+J8+J9</f>
        <v>2674515</v>
      </c>
      <c r="K10" s="4">
        <f>+K5*1000+K8+K9</f>
        <v>2845218</v>
      </c>
      <c r="L10" s="4">
        <f>+L5*1000+L8+L9</f>
        <v>2930557.64</v>
      </c>
      <c r="M10" s="4">
        <f t="shared" ref="M10:T10" si="2">+M5*1000+M8+M9</f>
        <v>3017664.3692000001</v>
      </c>
      <c r="N10" s="4">
        <f t="shared" si="2"/>
        <v>3107384.3002760005</v>
      </c>
      <c r="O10" s="4">
        <f t="shared" si="2"/>
        <v>3199795.8292842805</v>
      </c>
      <c r="P10" s="4">
        <f t="shared" si="2"/>
        <v>3294979.7041628091</v>
      </c>
      <c r="Q10" s="4">
        <f t="shared" si="2"/>
        <v>3393019.0952876932</v>
      </c>
      <c r="R10" s="4">
        <f t="shared" si="2"/>
        <v>3493999.6681463239</v>
      </c>
      <c r="S10" s="4">
        <f t="shared" si="2"/>
        <v>3598009.6581907137</v>
      </c>
      <c r="T10" s="4">
        <f t="shared" si="2"/>
        <v>3705139.9479364352</v>
      </c>
    </row>
    <row r="11" spans="2:20" x14ac:dyDescent="0.25">
      <c r="B11" s="1" t="s">
        <v>3</v>
      </c>
      <c r="J11" s="1">
        <v>34462</v>
      </c>
      <c r="K11" s="1">
        <v>44384</v>
      </c>
      <c r="L11" s="1">
        <v>45000</v>
      </c>
      <c r="M11" s="1">
        <v>45000</v>
      </c>
      <c r="N11" s="1">
        <v>45000</v>
      </c>
      <c r="O11" s="1">
        <v>45000</v>
      </c>
      <c r="P11" s="1">
        <v>45000</v>
      </c>
      <c r="Q11" s="1">
        <v>45000</v>
      </c>
      <c r="R11" s="1">
        <v>45000</v>
      </c>
      <c r="S11" s="1">
        <v>45000</v>
      </c>
      <c r="T11" s="1">
        <v>45000</v>
      </c>
    </row>
    <row r="12" spans="2:20" x14ac:dyDescent="0.25">
      <c r="B12" s="1" t="s">
        <v>4</v>
      </c>
      <c r="J12" s="1">
        <v>1156292</v>
      </c>
      <c r="K12" s="1">
        <v>1153651</v>
      </c>
      <c r="L12" s="1">
        <f>+L10*0.4</f>
        <v>1172223.0560000001</v>
      </c>
      <c r="M12" s="1">
        <f t="shared" ref="M12:T12" si="3">+M10*0.4</f>
        <v>1207065.74768</v>
      </c>
      <c r="N12" s="1">
        <f t="shared" si="3"/>
        <v>1242953.7201104003</v>
      </c>
      <c r="O12" s="1">
        <f t="shared" si="3"/>
        <v>1279918.3317137123</v>
      </c>
      <c r="P12" s="1">
        <f t="shared" si="3"/>
        <v>1317991.8816651236</v>
      </c>
      <c r="Q12" s="1">
        <f t="shared" si="3"/>
        <v>1357207.6381150773</v>
      </c>
      <c r="R12" s="1">
        <f t="shared" si="3"/>
        <v>1397599.8672585296</v>
      </c>
      <c r="S12" s="1">
        <f t="shared" si="3"/>
        <v>1439203.8632762856</v>
      </c>
      <c r="T12" s="1">
        <f t="shared" si="3"/>
        <v>1482055.9791745741</v>
      </c>
    </row>
    <row r="13" spans="2:20" x14ac:dyDescent="0.25">
      <c r="B13" s="1" t="s">
        <v>5</v>
      </c>
      <c r="J13" s="1">
        <v>901551</v>
      </c>
      <c r="K13" s="1">
        <v>960699</v>
      </c>
      <c r="L13" s="1">
        <f>+K13*1.03</f>
        <v>989519.97</v>
      </c>
      <c r="M13" s="1">
        <f t="shared" ref="M13:T13" si="4">+L13*1.03</f>
        <v>1019205.5691</v>
      </c>
      <c r="N13" s="1">
        <f t="shared" si="4"/>
        <v>1049781.736173</v>
      </c>
      <c r="O13" s="1">
        <f t="shared" si="4"/>
        <v>1081275.1882581899</v>
      </c>
      <c r="P13" s="1">
        <f t="shared" si="4"/>
        <v>1113713.4439059356</v>
      </c>
      <c r="Q13" s="1">
        <f t="shared" si="4"/>
        <v>1147124.8472231138</v>
      </c>
      <c r="R13" s="1">
        <f t="shared" si="4"/>
        <v>1181538.5926398071</v>
      </c>
      <c r="S13" s="1">
        <f t="shared" si="4"/>
        <v>1216984.7504190013</v>
      </c>
      <c r="T13" s="1">
        <f t="shared" si="4"/>
        <v>1253494.2929315714</v>
      </c>
    </row>
    <row r="14" spans="2:20" x14ac:dyDescent="0.25">
      <c r="B14" s="1" t="s">
        <v>6</v>
      </c>
      <c r="J14" s="1">
        <v>90419</v>
      </c>
      <c r="K14" s="1">
        <v>88094</v>
      </c>
      <c r="L14" s="1">
        <f>+K14-2000</f>
        <v>86094</v>
      </c>
      <c r="M14" s="1">
        <f t="shared" ref="M14:T14" si="5">+L14-2000</f>
        <v>84094</v>
      </c>
      <c r="N14" s="1">
        <f t="shared" si="5"/>
        <v>82094</v>
      </c>
      <c r="O14" s="1">
        <f t="shared" si="5"/>
        <v>80094</v>
      </c>
      <c r="P14" s="1">
        <f t="shared" si="5"/>
        <v>78094</v>
      </c>
      <c r="Q14" s="1">
        <f t="shared" si="5"/>
        <v>76094</v>
      </c>
      <c r="R14" s="1">
        <f t="shared" si="5"/>
        <v>74094</v>
      </c>
      <c r="S14" s="1">
        <f t="shared" si="5"/>
        <v>72094</v>
      </c>
      <c r="T14" s="1">
        <f t="shared" si="5"/>
        <v>70094</v>
      </c>
    </row>
    <row r="15" spans="2:20" x14ac:dyDescent="0.25">
      <c r="B15" s="1" t="s">
        <v>7</v>
      </c>
      <c r="J15" s="1">
        <v>391612</v>
      </c>
      <c r="K15" s="1">
        <v>463257</v>
      </c>
      <c r="L15" s="1">
        <f>+L10*0.16</f>
        <v>468889.22240000003</v>
      </c>
      <c r="M15" s="1">
        <f t="shared" ref="M15:T15" si="6">+M10*0.16</f>
        <v>482826.29907200002</v>
      </c>
      <c r="N15" s="1">
        <f t="shared" si="6"/>
        <v>497181.48804416007</v>
      </c>
      <c r="O15" s="1">
        <f t="shared" si="6"/>
        <v>511967.3326854849</v>
      </c>
      <c r="P15" s="1">
        <f t="shared" si="6"/>
        <v>527196.7526660494</v>
      </c>
      <c r="Q15" s="1">
        <f t="shared" si="6"/>
        <v>542883.05524603091</v>
      </c>
      <c r="R15" s="1">
        <f t="shared" si="6"/>
        <v>559039.94690341188</v>
      </c>
      <c r="S15" s="1">
        <f t="shared" si="6"/>
        <v>575681.54531051416</v>
      </c>
      <c r="T15" s="1">
        <f t="shared" si="6"/>
        <v>592822.39166982961</v>
      </c>
    </row>
    <row r="16" spans="2:20" x14ac:dyDescent="0.25">
      <c r="B16" s="1" t="s">
        <v>8</v>
      </c>
      <c r="I16" s="1">
        <f>+I10+I11-I12-I13-I14-I15</f>
        <v>0</v>
      </c>
      <c r="J16" s="1">
        <f>+J10+J11-J12-J13-J14-J15</f>
        <v>169103</v>
      </c>
      <c r="K16" s="1">
        <f>+K10+K11-K12-K13-K14-K15</f>
        <v>223901</v>
      </c>
      <c r="L16" s="1">
        <f>+L10+L11-L12-L13-L14-L15</f>
        <v>258831.39160000003</v>
      </c>
      <c r="M16" s="1">
        <f t="shared" ref="M16:T16" si="7">+M10+M11-M12-M13-M14-M15</f>
        <v>269472.75334800006</v>
      </c>
      <c r="N16" s="1">
        <f t="shared" si="7"/>
        <v>280373.35594844015</v>
      </c>
      <c r="O16" s="1">
        <f t="shared" si="7"/>
        <v>291540.97662689339</v>
      </c>
      <c r="P16" s="1">
        <f t="shared" si="7"/>
        <v>302983.62592570041</v>
      </c>
      <c r="Q16" s="1">
        <f t="shared" si="7"/>
        <v>314709.55470347125</v>
      </c>
      <c r="R16" s="1">
        <f t="shared" si="7"/>
        <v>326727.26134457521</v>
      </c>
      <c r="S16" s="1">
        <f t="shared" si="7"/>
        <v>339045.49918491265</v>
      </c>
      <c r="T16" s="1">
        <f t="shared" si="7"/>
        <v>351673.28416046035</v>
      </c>
    </row>
    <row r="17" spans="2:129" x14ac:dyDescent="0.25">
      <c r="B17" s="1" t="s">
        <v>9</v>
      </c>
      <c r="J17" s="1">
        <v>7461</v>
      </c>
      <c r="K17" s="1">
        <v>9382</v>
      </c>
      <c r="L17" s="1">
        <v>10000</v>
      </c>
      <c r="M17" s="1">
        <f>+L17*1.02</f>
        <v>10200</v>
      </c>
      <c r="N17" s="1">
        <f t="shared" ref="N17:T17" si="8">+M17*1.02</f>
        <v>10404</v>
      </c>
      <c r="O17" s="1">
        <f t="shared" si="8"/>
        <v>10612.08</v>
      </c>
      <c r="P17" s="1">
        <f t="shared" si="8"/>
        <v>10824.321599999999</v>
      </c>
      <c r="Q17" s="1">
        <f t="shared" si="8"/>
        <v>11040.808031999999</v>
      </c>
      <c r="R17" s="1">
        <f t="shared" si="8"/>
        <v>11261.62419264</v>
      </c>
      <c r="S17" s="1">
        <f t="shared" si="8"/>
        <v>11486.8566764928</v>
      </c>
      <c r="T17" s="1">
        <f t="shared" si="8"/>
        <v>11716.593810022656</v>
      </c>
    </row>
    <row r="18" spans="2:129" x14ac:dyDescent="0.25">
      <c r="B18" s="1" t="s">
        <v>10</v>
      </c>
      <c r="J18" s="1">
        <v>17712</v>
      </c>
      <c r="K18" s="1">
        <v>29656</v>
      </c>
      <c r="L18" s="1">
        <v>35000</v>
      </c>
      <c r="M18" s="1">
        <f>+L18*1.02</f>
        <v>35700</v>
      </c>
      <c r="N18" s="1">
        <f t="shared" ref="N18:T18" si="9">+M18*1.02</f>
        <v>36414</v>
      </c>
      <c r="O18" s="1">
        <f t="shared" si="9"/>
        <v>37142.28</v>
      </c>
      <c r="P18" s="1">
        <f t="shared" si="9"/>
        <v>37885.125599999999</v>
      </c>
      <c r="Q18" s="1">
        <f t="shared" si="9"/>
        <v>38642.828112000003</v>
      </c>
      <c r="R18" s="1">
        <f t="shared" si="9"/>
        <v>39415.684674240001</v>
      </c>
      <c r="S18" s="1">
        <f t="shared" si="9"/>
        <v>40203.998367724802</v>
      </c>
      <c r="T18" s="1">
        <f t="shared" si="9"/>
        <v>41008.078335079299</v>
      </c>
    </row>
    <row r="19" spans="2:129" x14ac:dyDescent="0.25">
      <c r="B19" s="1" t="s">
        <v>11</v>
      </c>
      <c r="J19" s="1">
        <v>1816</v>
      </c>
      <c r="K19" s="1">
        <v>5361</v>
      </c>
      <c r="L19" s="1">
        <v>5000</v>
      </c>
      <c r="M19" s="1">
        <v>5000</v>
      </c>
      <c r="N19" s="1">
        <v>5000</v>
      </c>
      <c r="O19" s="1">
        <v>5000</v>
      </c>
      <c r="P19" s="1">
        <v>5000</v>
      </c>
      <c r="Q19" s="1">
        <v>5000</v>
      </c>
      <c r="R19" s="1">
        <v>5000</v>
      </c>
      <c r="S19" s="1">
        <v>5000</v>
      </c>
      <c r="T19" s="1">
        <v>5000</v>
      </c>
    </row>
    <row r="20" spans="2:129" x14ac:dyDescent="0.25">
      <c r="B20" s="1" t="s">
        <v>12</v>
      </c>
      <c r="I20" s="1">
        <f>+I16+I17-I18+I19</f>
        <v>0</v>
      </c>
      <c r="J20" s="1">
        <f>+J16+J17-J18+J19</f>
        <v>160668</v>
      </c>
      <c r="K20" s="1">
        <f>+K16+K17-K18+K19</f>
        <v>208988</v>
      </c>
      <c r="L20" s="1">
        <f>+L16+L17-L18+L19</f>
        <v>238831.39160000003</v>
      </c>
      <c r="M20" s="1">
        <f t="shared" ref="M20:T20" si="10">+M16+M17-M18+M19</f>
        <v>248972.75334800006</v>
      </c>
      <c r="N20" s="1">
        <f t="shared" si="10"/>
        <v>259363.35594844015</v>
      </c>
      <c r="O20" s="1">
        <f t="shared" si="10"/>
        <v>270010.77662689344</v>
      </c>
      <c r="P20" s="1">
        <f t="shared" si="10"/>
        <v>280922.82192570041</v>
      </c>
      <c r="Q20" s="1">
        <f t="shared" si="10"/>
        <v>292107.53462347121</v>
      </c>
      <c r="R20" s="1">
        <f t="shared" si="10"/>
        <v>303573.20086297521</v>
      </c>
      <c r="S20" s="1">
        <f t="shared" si="10"/>
        <v>315328.35749368061</v>
      </c>
      <c r="T20" s="1">
        <f t="shared" si="10"/>
        <v>327381.79963540367</v>
      </c>
    </row>
    <row r="21" spans="2:129" x14ac:dyDescent="0.25">
      <c r="B21" s="1" t="s">
        <v>13</v>
      </c>
      <c r="J21" s="1">
        <v>33330</v>
      </c>
      <c r="K21" s="1">
        <v>32376</v>
      </c>
      <c r="L21" s="1">
        <f>+L20*0.25</f>
        <v>59707.847900000008</v>
      </c>
      <c r="M21" s="1">
        <f t="shared" ref="M21:T21" si="11">+M20*0.25</f>
        <v>62243.188337000014</v>
      </c>
      <c r="N21" s="1">
        <f t="shared" si="11"/>
        <v>64840.838987110037</v>
      </c>
      <c r="O21" s="1">
        <f t="shared" si="11"/>
        <v>67502.694156723359</v>
      </c>
      <c r="P21" s="1">
        <f t="shared" si="11"/>
        <v>70230.705481425102</v>
      </c>
      <c r="Q21" s="1">
        <f t="shared" si="11"/>
        <v>73026.883655867801</v>
      </c>
      <c r="R21" s="1">
        <f t="shared" si="11"/>
        <v>75893.300215743802</v>
      </c>
      <c r="S21" s="1">
        <f t="shared" si="11"/>
        <v>78832.089373420153</v>
      </c>
      <c r="T21" s="1">
        <f t="shared" si="11"/>
        <v>81845.449908850918</v>
      </c>
    </row>
    <row r="22" spans="2:129" x14ac:dyDescent="0.25">
      <c r="B22" s="1" t="s">
        <v>14</v>
      </c>
      <c r="I22" s="1">
        <f>+I20-I21</f>
        <v>0</v>
      </c>
      <c r="J22" s="1">
        <f>+J20-J21</f>
        <v>127338</v>
      </c>
      <c r="K22" s="1">
        <f>+K20-K21</f>
        <v>176612</v>
      </c>
      <c r="L22" s="1">
        <f>+L20-L21</f>
        <v>179123.54370000004</v>
      </c>
      <c r="M22" s="1">
        <f t="shared" ref="M22:T22" si="12">+M20-M21</f>
        <v>186729.56501100003</v>
      </c>
      <c r="N22" s="1">
        <f t="shared" si="12"/>
        <v>194522.51696133011</v>
      </c>
      <c r="O22" s="1">
        <f t="shared" si="12"/>
        <v>202508.08247017008</v>
      </c>
      <c r="P22" s="1">
        <f t="shared" si="12"/>
        <v>210692.11644427531</v>
      </c>
      <c r="Q22" s="1">
        <f t="shared" si="12"/>
        <v>219080.6509676034</v>
      </c>
      <c r="R22" s="1">
        <f t="shared" si="12"/>
        <v>227679.90064723141</v>
      </c>
      <c r="S22" s="1">
        <f t="shared" si="12"/>
        <v>236496.26812026044</v>
      </c>
      <c r="T22" s="1">
        <f t="shared" si="12"/>
        <v>245536.34972655275</v>
      </c>
    </row>
    <row r="23" spans="2:129" x14ac:dyDescent="0.25">
      <c r="B23" s="1" t="s">
        <v>34</v>
      </c>
      <c r="J23" s="1">
        <f>+J22/J24</f>
        <v>2156.4436917866215</v>
      </c>
      <c r="K23" s="1">
        <f>+K22/K24</f>
        <v>2033.9974663134863</v>
      </c>
      <c r="L23" s="1">
        <f>+K23+0</f>
        <v>2033.9974663134863</v>
      </c>
      <c r="M23" s="1">
        <f t="shared" ref="M23:T23" si="13">+L23+0</f>
        <v>2033.9974663134863</v>
      </c>
      <c r="N23" s="1">
        <f t="shared" si="13"/>
        <v>2033.9974663134863</v>
      </c>
      <c r="O23" s="1">
        <f t="shared" si="13"/>
        <v>2033.9974663134863</v>
      </c>
      <c r="P23" s="1">
        <f t="shared" si="13"/>
        <v>2033.9974663134863</v>
      </c>
      <c r="Q23" s="1">
        <f t="shared" si="13"/>
        <v>2033.9974663134863</v>
      </c>
      <c r="R23" s="1">
        <f t="shared" si="13"/>
        <v>2033.9974663134863</v>
      </c>
      <c r="S23" s="1">
        <f t="shared" si="13"/>
        <v>2033.9974663134863</v>
      </c>
      <c r="T23" s="1">
        <f t="shared" si="13"/>
        <v>2033.9974663134863</v>
      </c>
    </row>
    <row r="24" spans="2:129" s="4" customFormat="1" x14ac:dyDescent="0.25">
      <c r="B24" s="4" t="s">
        <v>35</v>
      </c>
      <c r="J24" s="4">
        <v>59.05</v>
      </c>
      <c r="K24" s="6">
        <v>86.83</v>
      </c>
      <c r="L24" s="4">
        <f>+L22/L23</f>
        <v>88.064782118264915</v>
      </c>
      <c r="M24" s="4">
        <f t="shared" ref="M24:T24" si="14">+M22/M23</f>
        <v>91.804226948934001</v>
      </c>
      <c r="N24" s="4">
        <f t="shared" si="14"/>
        <v>95.635574863272552</v>
      </c>
      <c r="O24" s="4">
        <f t="shared" si="14"/>
        <v>99.561619826992882</v>
      </c>
      <c r="P24" s="4">
        <f t="shared" si="14"/>
        <v>103.58524036224279</v>
      </c>
      <c r="Q24" s="4">
        <f t="shared" si="14"/>
        <v>107.70940209904764</v>
      </c>
      <c r="R24" s="4">
        <f t="shared" si="14"/>
        <v>111.93716040359151</v>
      </c>
      <c r="S24" s="4">
        <f t="shared" si="14"/>
        <v>116.27166308564658</v>
      </c>
      <c r="T24" s="4">
        <f t="shared" si="14"/>
        <v>120.71615318753298</v>
      </c>
    </row>
    <row r="25" spans="2:129" s="5" customFormat="1" x14ac:dyDescent="0.25">
      <c r="B25" s="5" t="s">
        <v>36</v>
      </c>
      <c r="J25" s="5">
        <v>33330</v>
      </c>
      <c r="K25" s="5">
        <v>32376</v>
      </c>
      <c r="L25" s="5">
        <v>33000</v>
      </c>
      <c r="M25" s="5">
        <v>33000</v>
      </c>
      <c r="N25" s="5">
        <v>33000</v>
      </c>
      <c r="O25" s="5">
        <v>33000</v>
      </c>
      <c r="P25" s="5">
        <v>33000</v>
      </c>
      <c r="Q25" s="5">
        <v>33000</v>
      </c>
      <c r="R25" s="5">
        <v>33000</v>
      </c>
      <c r="S25" s="5">
        <v>33000</v>
      </c>
      <c r="T25" s="5">
        <v>33000</v>
      </c>
    </row>
    <row r="26" spans="2:129" s="5" customFormat="1" x14ac:dyDescent="0.25">
      <c r="B26" s="5" t="s">
        <v>37</v>
      </c>
      <c r="J26" s="5">
        <f>+J22-J25</f>
        <v>94008</v>
      </c>
      <c r="K26" s="5">
        <f>+K22-K25</f>
        <v>144236</v>
      </c>
      <c r="L26" s="5">
        <f>+L22-L25</f>
        <v>146123.54370000004</v>
      </c>
      <c r="M26" s="5">
        <f t="shared" ref="M26:T26" si="15">+M22-M25</f>
        <v>153729.56501100003</v>
      </c>
      <c r="N26" s="5">
        <f t="shared" si="15"/>
        <v>161522.51696133011</v>
      </c>
      <c r="O26" s="5">
        <f t="shared" si="15"/>
        <v>169508.08247017008</v>
      </c>
      <c r="P26" s="5">
        <f t="shared" si="15"/>
        <v>177692.11644427531</v>
      </c>
      <c r="Q26" s="5">
        <f t="shared" si="15"/>
        <v>186080.6509676034</v>
      </c>
      <c r="R26" s="5">
        <f t="shared" si="15"/>
        <v>194679.90064723141</v>
      </c>
      <c r="S26" s="5">
        <f t="shared" si="15"/>
        <v>203496.26812026044</v>
      </c>
      <c r="T26" s="5">
        <f t="shared" si="15"/>
        <v>212536.34972655275</v>
      </c>
      <c r="U26" s="1">
        <f>+T26*(1+TR)</f>
        <v>210410.98622928723</v>
      </c>
      <c r="V26" s="1">
        <f>+U26*(1+TR)</f>
        <v>208306.87636699434</v>
      </c>
      <c r="W26" s="1">
        <f>+V26*(1+TR)</f>
        <v>206223.80760332439</v>
      </c>
      <c r="X26" s="1">
        <f>+W26*(1+TR)</f>
        <v>204161.56952729114</v>
      </c>
      <c r="Y26" s="1">
        <f>+X26*(1+TR)</f>
        <v>202119.95383201822</v>
      </c>
      <c r="Z26" s="1">
        <f>+Y26*(1+TR)</f>
        <v>200098.75429369803</v>
      </c>
      <c r="AA26" s="1">
        <f>+Z26*(1+TR)</f>
        <v>198097.76675076105</v>
      </c>
      <c r="AB26" s="1">
        <f>+AA26*(1+TR)</f>
        <v>196116.78908325345</v>
      </c>
      <c r="AC26" s="1">
        <f>+AB26*(1+TR)</f>
        <v>194155.62119242092</v>
      </c>
      <c r="AD26" s="1">
        <f>+AC26*(1+TR)</f>
        <v>192214.06498049671</v>
      </c>
      <c r="AE26" s="1">
        <f>+AD26*(1+TR)</f>
        <v>190291.92433069175</v>
      </c>
      <c r="AF26" s="1">
        <f>+AE26*(1+TR)</f>
        <v>188389.00508738484</v>
      </c>
      <c r="AG26" s="1">
        <f>+AF26*(1+TR)</f>
        <v>186505.11503651098</v>
      </c>
      <c r="AH26" s="1">
        <f>+AG26*(1+TR)</f>
        <v>184640.06388614586</v>
      </c>
      <c r="AI26" s="1">
        <f>+AH26*(1+TR)</f>
        <v>182793.66324728439</v>
      </c>
      <c r="AJ26" s="1">
        <f>+AI26*(1+TR)</f>
        <v>180965.72661481155</v>
      </c>
      <c r="AK26" s="1">
        <f>+AJ26*(1+TR)</f>
        <v>179156.06934866344</v>
      </c>
      <c r="AL26" s="1">
        <f>+AK26*(1+TR)</f>
        <v>177364.50865517682</v>
      </c>
      <c r="AM26" s="1">
        <f>+AL26*(1+TR)</f>
        <v>175590.86356862503</v>
      </c>
      <c r="AN26" s="1">
        <f>+AM26*(1+TR)</f>
        <v>173834.9549329388</v>
      </c>
      <c r="AO26" s="1">
        <f>+AN26*(1+TR)</f>
        <v>172096.60538360939</v>
      </c>
      <c r="AP26" s="1">
        <f>+AO26*(1+TR)</f>
        <v>170375.63932977329</v>
      </c>
      <c r="AQ26" s="1">
        <f>+AP26*(1+TR)</f>
        <v>168671.88293647557</v>
      </c>
      <c r="AR26" s="1">
        <f>+AQ26*(1+TR)</f>
        <v>166985.16410711082</v>
      </c>
      <c r="AS26" s="1">
        <f>+AR26*(1+TR)</f>
        <v>165315.3124660397</v>
      </c>
      <c r="AT26" s="1">
        <f>+AS26*(1+TR)</f>
        <v>163662.1593413793</v>
      </c>
      <c r="AU26" s="1">
        <f>+AT26*(1+TR)</f>
        <v>162025.53774796551</v>
      </c>
      <c r="AV26" s="1">
        <f>+AU26*(1+TR)</f>
        <v>160405.28237048586</v>
      </c>
      <c r="AW26" s="1">
        <f>+AV26*(1+TR)</f>
        <v>158801.22954678099</v>
      </c>
      <c r="AX26" s="1">
        <f>+AW26*(1+TR)</f>
        <v>157213.21725131318</v>
      </c>
      <c r="AY26" s="1">
        <f>+AX26*(1+TR)</f>
        <v>155641.08507880004</v>
      </c>
      <c r="AZ26" s="1">
        <f>+AY26*(1+TR)</f>
        <v>154084.67422801204</v>
      </c>
      <c r="BA26" s="1">
        <f>+AZ26*(1+TR)</f>
        <v>152543.82748573192</v>
      </c>
      <c r="BB26" s="1">
        <f>+BA26*(1+TR)</f>
        <v>151018.38921087459</v>
      </c>
      <c r="BC26" s="1">
        <f>+BB26*(1+TR)</f>
        <v>149508.20531876586</v>
      </c>
      <c r="BD26" s="1">
        <f>+BC26*(1+TR)</f>
        <v>148013.12326557821</v>
      </c>
      <c r="BE26" s="1">
        <f>+BD26*(1+TR)</f>
        <v>146532.99203292243</v>
      </c>
      <c r="BF26" s="1">
        <f>+BE26*(1+TR)</f>
        <v>145067.66211259321</v>
      </c>
      <c r="BG26" s="1">
        <f>+BF26*(1+TR)</f>
        <v>143616.98549146729</v>
      </c>
      <c r="BH26" s="1">
        <f>+BG26*(1+TR)</f>
        <v>142180.81563655261</v>
      </c>
      <c r="BI26" s="1">
        <f>+BH26*(1+TR)</f>
        <v>140759.00748018708</v>
      </c>
      <c r="BJ26" s="1">
        <f>+BI26*(1+TR)</f>
        <v>139351.4174053852</v>
      </c>
      <c r="BK26" s="1">
        <f>+BJ26*(1+TR)</f>
        <v>137957.90323133135</v>
      </c>
      <c r="BL26" s="1">
        <f>+BK26*(1+TR)</f>
        <v>136578.32419901804</v>
      </c>
      <c r="BM26" s="1">
        <f>+BL26*(1+TR)</f>
        <v>135212.54095702787</v>
      </c>
      <c r="BN26" s="1">
        <f>+BM26*(1+TR)</f>
        <v>133860.41554745758</v>
      </c>
      <c r="BO26" s="1">
        <f>+BN26*(1+TR)</f>
        <v>132521.81139198301</v>
      </c>
      <c r="BP26" s="1">
        <f>+BO26*(1+TR)</f>
        <v>131196.59327806317</v>
      </c>
      <c r="BQ26" s="1">
        <f>+BP26*(1+TR)</f>
        <v>129884.62734528254</v>
      </c>
      <c r="BR26" s="1">
        <f>+BQ26*(1+TR)</f>
        <v>128585.78107182971</v>
      </c>
      <c r="BS26" s="1">
        <f>+BR26*(1+TR)</f>
        <v>127299.92326111141</v>
      </c>
      <c r="BT26" s="1">
        <f>+BS26*(1+TR)</f>
        <v>126026.9240285003</v>
      </c>
      <c r="BU26" s="1">
        <f>+BT26*(1+TR)</f>
        <v>124766.6547882153</v>
      </c>
      <c r="BV26" s="1">
        <f>+BU26*(1+TR)</f>
        <v>123518.98824033314</v>
      </c>
      <c r="BW26" s="1">
        <f>+BV26*(1+TR)</f>
        <v>122283.79835792982</v>
      </c>
      <c r="BX26" s="1">
        <f>+BW26*(1+TR)</f>
        <v>121060.96037435051</v>
      </c>
      <c r="BY26" s="1">
        <f>+BX26*(1+TR)</f>
        <v>119850.35077060701</v>
      </c>
      <c r="BZ26" s="1">
        <f>+BY26*(1+TR)</f>
        <v>118651.84726290093</v>
      </c>
      <c r="CA26" s="1">
        <f>+BZ26*(1+TR)</f>
        <v>117465.32879027192</v>
      </c>
      <c r="CB26" s="1">
        <f>+CA26*(1+TR)</f>
        <v>116290.67550236919</v>
      </c>
      <c r="CC26" s="1">
        <f>+CB26*(1+TR)</f>
        <v>115127.7687473455</v>
      </c>
      <c r="CD26" s="1">
        <f>+CC26*(1+TR)</f>
        <v>113976.49105987205</v>
      </c>
      <c r="CE26" s="1">
        <f>+CD26*(1+TR)</f>
        <v>112836.72614927332</v>
      </c>
      <c r="CF26" s="1">
        <f>+CE26*(1+TR)</f>
        <v>111708.35888778059</v>
      </c>
      <c r="CG26" s="1">
        <f>+CF26*(1+TR)</f>
        <v>110591.27529890278</v>
      </c>
      <c r="CH26" s="1">
        <f>+CG26*(1+TR)</f>
        <v>109485.36254591375</v>
      </c>
      <c r="CI26" s="1">
        <f>+CH26*(1+TR)</f>
        <v>108390.50892045461</v>
      </c>
      <c r="CJ26" s="1">
        <f>+CI26*(1+TR)</f>
        <v>107306.60383125006</v>
      </c>
      <c r="CK26" s="1">
        <f>+CJ26*(1+TR)</f>
        <v>106233.53779293755</v>
      </c>
      <c r="CL26" s="1">
        <f>+CK26*(1+TR)</f>
        <v>105171.20241500817</v>
      </c>
      <c r="CM26" s="1">
        <f>+CL26*(1+TR)</f>
        <v>104119.49039085809</v>
      </c>
      <c r="CN26" s="1">
        <f>+CM26*(1+TR)</f>
        <v>103078.2954869495</v>
      </c>
      <c r="CO26" s="1">
        <f>+CN26*(1+TR)</f>
        <v>102047.51253208</v>
      </c>
      <c r="CP26" s="1">
        <f>+CO26*(1+TR)</f>
        <v>101027.03740675921</v>
      </c>
      <c r="CQ26" s="1">
        <f>+CP26*(1+TR)</f>
        <v>100016.76703269161</v>
      </c>
      <c r="CR26" s="1">
        <f>+CQ26*(1+TR)</f>
        <v>99016.599362364694</v>
      </c>
      <c r="CS26" s="1">
        <f>+CR26*(1+TR)</f>
        <v>98026.43336874104</v>
      </c>
      <c r="CT26" s="1">
        <f>+CS26*(1+TR)</f>
        <v>97046.169035053623</v>
      </c>
      <c r="CU26" s="1">
        <f>+CT26*(1+TR)</f>
        <v>96075.707344703085</v>
      </c>
      <c r="CV26" s="1">
        <f>+CU26*(1+TR)</f>
        <v>95114.95027125605</v>
      </c>
      <c r="CW26" s="1">
        <f>+CV26*(1+TR)</f>
        <v>94163.800768543486</v>
      </c>
      <c r="CX26" s="1">
        <f>+CW26*(1+TR)</f>
        <v>93222.162760858046</v>
      </c>
      <c r="CY26" s="1">
        <f>+CX26*(1+TR)</f>
        <v>92289.941133249464</v>
      </c>
      <c r="CZ26" s="1">
        <f>+CY26*(1+TR)</f>
        <v>91367.041721916961</v>
      </c>
      <c r="DA26" s="1">
        <f>+CZ26*(1+TR)</f>
        <v>90453.371304697794</v>
      </c>
      <c r="DB26" s="1">
        <f>+DA26*(1+TR)</f>
        <v>89548.837591650808</v>
      </c>
      <c r="DC26" s="1">
        <f>+DB26*(1+TR)</f>
        <v>88653.349215734299</v>
      </c>
      <c r="DD26" s="1">
        <f>+DC26*(1+TR)</f>
        <v>87766.815723576961</v>
      </c>
      <c r="DE26" s="1">
        <f>+DD26*(1+TR)</f>
        <v>86889.147566341184</v>
      </c>
      <c r="DF26" s="1">
        <f>+DE26*(1+TR)</f>
        <v>86020.256090677765</v>
      </c>
      <c r="DG26" s="1">
        <f>+DF26*(1+TR)</f>
        <v>85160.053529770987</v>
      </c>
      <c r="DH26" s="1">
        <f>+DG26*(1+TR)</f>
        <v>84308.452994473279</v>
      </c>
      <c r="DI26" s="1">
        <f>+DH26*(1+TR)</f>
        <v>83465.368464528539</v>
      </c>
      <c r="DJ26" s="1">
        <f>+DI26*(1+TR)</f>
        <v>82630.714779883259</v>
      </c>
      <c r="DK26" s="1">
        <f>+DJ26*(1+TR)</f>
        <v>81804.407632084432</v>
      </c>
      <c r="DL26" s="1">
        <f>+DK26*(1+TR)</f>
        <v>80986.363555763586</v>
      </c>
      <c r="DM26" s="1">
        <f>+DL26*(1+TR)</f>
        <v>80176.499920205955</v>
      </c>
      <c r="DN26" s="1">
        <f>+DM26*(1+TR)</f>
        <v>79374.734921003896</v>
      </c>
      <c r="DO26" s="1">
        <f>+DN26*(1+TR)</f>
        <v>78580.987571793856</v>
      </c>
      <c r="DP26" s="1">
        <f>+DO26*(1+TR)</f>
        <v>77795.177696075916</v>
      </c>
      <c r="DQ26" s="1">
        <f>+DP26*(1+TR)</f>
        <v>77017.225919115153</v>
      </c>
      <c r="DR26" s="1">
        <f>+DQ26*(1+TR)</f>
        <v>76247.053659924</v>
      </c>
      <c r="DS26" s="1">
        <f>+DR26*(1+TR)</f>
        <v>75484.583123324759</v>
      </c>
      <c r="DT26" s="1">
        <f>+DS26*(1+TR)</f>
        <v>74729.737292091508</v>
      </c>
      <c r="DU26" s="1">
        <f>+DT26*(1+TR)</f>
        <v>73982.439919170589</v>
      </c>
      <c r="DV26" s="1"/>
      <c r="DW26" s="1"/>
      <c r="DX26" s="1"/>
      <c r="DY26" s="1"/>
    </row>
    <row r="27" spans="2:129" x14ac:dyDescent="0.25">
      <c r="J27" s="3"/>
      <c r="K27" s="3"/>
    </row>
    <row r="28" spans="2:129" x14ac:dyDescent="0.25">
      <c r="B28" s="1" t="s">
        <v>17</v>
      </c>
      <c r="J28" s="3">
        <f>+(J10+J11-J12)/J10</f>
        <v>0.58054824893485357</v>
      </c>
      <c r="K28" s="3">
        <f>+(K10+K11-K12)/K10</f>
        <v>0.61012934685496856</v>
      </c>
      <c r="L28" s="3">
        <f t="shared" ref="L28:T28" si="16">+(L10+L11-L12)/L10</f>
        <v>0.61535543931495573</v>
      </c>
      <c r="M28" s="3">
        <f t="shared" si="16"/>
        <v>0.61491219515970552</v>
      </c>
      <c r="N28" s="3">
        <f t="shared" si="16"/>
        <v>0.61448163331326699</v>
      </c>
      <c r="O28" s="3">
        <f t="shared" si="16"/>
        <v>0.61406339729184078</v>
      </c>
      <c r="P28" s="3">
        <f t="shared" si="16"/>
        <v>0.61365714026801077</v>
      </c>
      <c r="Q28" s="3">
        <f t="shared" si="16"/>
        <v>0.61326252483002441</v>
      </c>
      <c r="R28" s="3">
        <f t="shared" si="16"/>
        <v>0.61287922274585493</v>
      </c>
      <c r="S28" s="3">
        <f t="shared" si="16"/>
        <v>0.61250691473202679</v>
      </c>
      <c r="T28" s="3">
        <f t="shared" si="16"/>
        <v>0.61214529022717823</v>
      </c>
      <c r="V28" s="1" t="s">
        <v>28</v>
      </c>
      <c r="W28" s="3">
        <v>0.08</v>
      </c>
    </row>
    <row r="29" spans="2:129" x14ac:dyDescent="0.25">
      <c r="B29" s="1" t="s">
        <v>18</v>
      </c>
      <c r="J29" s="3">
        <f>+J22/J10</f>
        <v>4.7611623041934704E-2</v>
      </c>
      <c r="K29" s="3">
        <f>+K22/K10</f>
        <v>6.2073275228822535E-2</v>
      </c>
      <c r="L29" s="3">
        <f t="shared" ref="L29:T29" si="17">+L22/L10</f>
        <v>6.1122682337003964E-2</v>
      </c>
      <c r="M29" s="3">
        <f t="shared" si="17"/>
        <v>6.1878838122909965E-2</v>
      </c>
      <c r="N29" s="3">
        <f t="shared" si="17"/>
        <v>6.2600083595727912E-2</v>
      </c>
      <c r="O29" s="3">
        <f t="shared" si="17"/>
        <v>6.3287813746374683E-2</v>
      </c>
      <c r="P29" s="3">
        <f t="shared" si="17"/>
        <v>6.3943373058744868E-2</v>
      </c>
      <c r="Q29" s="3">
        <f t="shared" si="17"/>
        <v>6.4568057183016711E-2</v>
      </c>
      <c r="R29" s="3">
        <f t="shared" si="17"/>
        <v>6.5163114559774041E-2</v>
      </c>
      <c r="S29" s="3">
        <f t="shared" si="17"/>
        <v>6.5729747996058574E-2</v>
      </c>
      <c r="T29" s="3">
        <f t="shared" si="17"/>
        <v>6.6269116194464767E-2</v>
      </c>
      <c r="V29" s="1" t="s">
        <v>29</v>
      </c>
      <c r="W29" s="3">
        <v>-0.01</v>
      </c>
    </row>
    <row r="30" spans="2:129" x14ac:dyDescent="0.25">
      <c r="V30" s="1" t="s">
        <v>30</v>
      </c>
      <c r="W30" s="1">
        <f>NPV(W28,L22:DU22)</f>
        <v>1294114.7714630505</v>
      </c>
    </row>
    <row r="31" spans="2:129" x14ac:dyDescent="0.25">
      <c r="B31" s="1" t="s">
        <v>19</v>
      </c>
      <c r="J31" s="1">
        <v>2109</v>
      </c>
      <c r="K31" s="1">
        <v>280304</v>
      </c>
      <c r="V31" s="1" t="s">
        <v>31</v>
      </c>
      <c r="W31" s="1">
        <f>+K35-K37</f>
        <v>257748</v>
      </c>
    </row>
    <row r="32" spans="2:129" x14ac:dyDescent="0.25">
      <c r="B32" s="1" t="s">
        <v>20</v>
      </c>
      <c r="J32" s="1">
        <f>102393-2457</f>
        <v>99936</v>
      </c>
      <c r="K32" s="1">
        <f>106461-2098</f>
        <v>104363</v>
      </c>
      <c r="V32" s="1" t="s">
        <v>32</v>
      </c>
      <c r="W32" s="1">
        <f>+W30+W31</f>
        <v>1551862.7714630505</v>
      </c>
    </row>
    <row r="33" spans="2:23" s="4" customFormat="1" x14ac:dyDescent="0.25">
      <c r="B33" s="4" t="s">
        <v>21</v>
      </c>
      <c r="J33" s="4">
        <f>+J31-J32</f>
        <v>-97827</v>
      </c>
      <c r="K33" s="4">
        <f>+K31-K32</f>
        <v>175941</v>
      </c>
      <c r="V33" s="4" t="s">
        <v>33</v>
      </c>
      <c r="W33" s="4">
        <f>+W32/T23</f>
        <v>762.96199831345928</v>
      </c>
    </row>
    <row r="34" spans="2:23" x14ac:dyDescent="0.25">
      <c r="V34" s="1" t="s">
        <v>38</v>
      </c>
      <c r="W34" s="1">
        <v>670</v>
      </c>
    </row>
    <row r="35" spans="2:23" x14ac:dyDescent="0.25">
      <c r="B35" s="1" t="s">
        <v>22</v>
      </c>
      <c r="J35" s="1">
        <v>228570</v>
      </c>
      <c r="K35" s="1">
        <v>340420</v>
      </c>
      <c r="W35" s="3">
        <f>1-(W34/W33)</f>
        <v>0.12184354990019608</v>
      </c>
    </row>
    <row r="36" spans="2:23" x14ac:dyDescent="0.25">
      <c r="B36" s="1" t="s">
        <v>23</v>
      </c>
      <c r="J36" s="1">
        <v>578512</v>
      </c>
      <c r="K36" s="1">
        <v>602166</v>
      </c>
      <c r="W36" s="7">
        <f>+W33*0.7</f>
        <v>534.07339881942141</v>
      </c>
    </row>
    <row r="37" spans="2:23" x14ac:dyDescent="0.25">
      <c r="B37" s="1" t="s">
        <v>24</v>
      </c>
      <c r="J37" s="1">
        <f>23921+26630+24116</f>
        <v>74667</v>
      </c>
      <c r="K37" s="1">
        <f>28960+26053+27659</f>
        <v>82672</v>
      </c>
    </row>
    <row r="38" spans="2:23" s="5" customFormat="1" x14ac:dyDescent="0.25">
      <c r="B38" s="5" t="s">
        <v>25</v>
      </c>
      <c r="J38" s="5">
        <f>+J35+J36-J37</f>
        <v>732415</v>
      </c>
      <c r="K38" s="5">
        <f>+K35+K36-K37</f>
        <v>859914</v>
      </c>
    </row>
    <row r="40" spans="2:23" x14ac:dyDescent="0.25">
      <c r="B40" s="1" t="s">
        <v>26</v>
      </c>
      <c r="J40" s="1">
        <v>21241</v>
      </c>
      <c r="K40" s="1">
        <v>34376</v>
      </c>
    </row>
    <row r="41" spans="2:23" s="3" customFormat="1" x14ac:dyDescent="0.25">
      <c r="B41" s="3" t="s">
        <v>27</v>
      </c>
      <c r="J41" s="3">
        <f>+J40/J22</f>
        <v>0.16680802274262199</v>
      </c>
      <c r="K41" s="3">
        <f>+K40/K22</f>
        <v>0.19464136072294069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2025-02-01T18:06:20Z</dcterms:created>
  <dcterms:modified xsi:type="dcterms:W3CDTF">2025-02-01T20:09:11Z</dcterms:modified>
</cp:coreProperties>
</file>