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9736A9EB-EF06-48A4-942C-70D92965486D}" xr6:coauthVersionLast="47" xr6:coauthVersionMax="47" xr10:uidLastSave="{00000000-0000-0000-0000-000000000000}"/>
  <bookViews>
    <workbookView xWindow="-120" yWindow="-120" windowWidth="29040" windowHeight="15840" activeTab="1" xr2:uid="{A537DC1D-683A-4F3D-B700-DA142583D303}"/>
  </bookViews>
  <sheets>
    <sheet name="Sheet2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H17" i="1"/>
  <c r="I17" i="1"/>
  <c r="J17" i="1"/>
  <c r="K17" i="1"/>
  <c r="L17" i="1"/>
  <c r="M17" i="1"/>
  <c r="N17" i="1"/>
  <c r="O17" i="1"/>
  <c r="F17" i="1"/>
  <c r="D53" i="1"/>
  <c r="E53" i="1"/>
  <c r="E52" i="1"/>
  <c r="D52" i="1"/>
  <c r="F12" i="1"/>
  <c r="G12" i="1" s="1"/>
  <c r="H12" i="1" s="1"/>
  <c r="I12" i="1" s="1"/>
  <c r="J12" i="1" s="1"/>
  <c r="K12" i="1" s="1"/>
  <c r="L12" i="1" s="1"/>
  <c r="M12" i="1" s="1"/>
  <c r="N12" i="1" s="1"/>
  <c r="O12" i="1" s="1"/>
  <c r="F13" i="1"/>
  <c r="G13" i="1" s="1"/>
  <c r="H13" i="1" s="1"/>
  <c r="I13" i="1" s="1"/>
  <c r="J13" i="1" s="1"/>
  <c r="K13" i="1" s="1"/>
  <c r="L13" i="1" s="1"/>
  <c r="M13" i="1" s="1"/>
  <c r="N13" i="1" s="1"/>
  <c r="O13" i="1" s="1"/>
  <c r="F11" i="1"/>
  <c r="G11" i="1" s="1"/>
  <c r="H11" i="1" s="1"/>
  <c r="I11" i="1" s="1"/>
  <c r="J11" i="1" s="1"/>
  <c r="K11" i="1" s="1"/>
  <c r="L11" i="1" s="1"/>
  <c r="M11" i="1" s="1"/>
  <c r="N11" i="1" s="1"/>
  <c r="O11" i="1" s="1"/>
  <c r="R38" i="1" l="1"/>
  <c r="E43" i="1"/>
  <c r="F43" i="1" s="1"/>
  <c r="G43" i="1" s="1"/>
  <c r="H43" i="1" s="1"/>
  <c r="I43" i="1" s="1"/>
  <c r="J43" i="1" s="1"/>
  <c r="D43" i="1"/>
  <c r="F21" i="1"/>
  <c r="G21" i="1" s="1"/>
  <c r="H21" i="1" s="1"/>
  <c r="I21" i="1" s="1"/>
  <c r="J21" i="1" s="1"/>
  <c r="K21" i="1" s="1"/>
  <c r="L21" i="1" s="1"/>
  <c r="M21" i="1" s="1"/>
  <c r="N21" i="1" s="1"/>
  <c r="O21" i="1" s="1"/>
  <c r="E80" i="1"/>
  <c r="E79" i="1"/>
  <c r="D80" i="1"/>
  <c r="D79" i="1"/>
  <c r="F15" i="1"/>
  <c r="G15" i="1" s="1"/>
  <c r="H15" i="1" s="1"/>
  <c r="I15" i="1" s="1"/>
  <c r="J15" i="1" s="1"/>
  <c r="K15" i="1" s="1"/>
  <c r="L15" i="1" s="1"/>
  <c r="M15" i="1" s="1"/>
  <c r="N15" i="1" s="1"/>
  <c r="O15" i="1" s="1"/>
  <c r="F14" i="1"/>
  <c r="G14" i="1" s="1"/>
  <c r="H14" i="1" s="1"/>
  <c r="I14" i="1" s="1"/>
  <c r="J14" i="1" s="1"/>
  <c r="K14" i="1" s="1"/>
  <c r="L14" i="1" s="1"/>
  <c r="M14" i="1" s="1"/>
  <c r="N14" i="1" s="1"/>
  <c r="O14" i="1" s="1"/>
  <c r="E40" i="1"/>
  <c r="E39" i="1"/>
  <c r="E38" i="1"/>
  <c r="E37" i="1"/>
  <c r="E36" i="1"/>
  <c r="E35" i="1"/>
  <c r="C5" i="2"/>
  <c r="E64" i="1"/>
  <c r="D64" i="1"/>
  <c r="D74" i="1" s="1"/>
  <c r="E59" i="1"/>
  <c r="E61" i="1" s="1"/>
  <c r="R36" i="1" s="1"/>
  <c r="D59" i="1"/>
  <c r="D61" i="1" s="1"/>
  <c r="E57" i="1"/>
  <c r="D57" i="1"/>
  <c r="E45" i="1"/>
  <c r="E46" i="1" s="1"/>
  <c r="D45" i="1"/>
  <c r="D46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E18" i="1"/>
  <c r="E22" i="1" s="1"/>
  <c r="E25" i="1" s="1"/>
  <c r="E27" i="1" s="1"/>
  <c r="E29" i="1" s="1"/>
  <c r="D18" i="1"/>
  <c r="D22" i="1" s="1"/>
  <c r="D34" i="1" s="1"/>
  <c r="F45" i="1" l="1"/>
  <c r="G45" i="1" s="1"/>
  <c r="G16" i="1"/>
  <c r="E33" i="1"/>
  <c r="F16" i="1"/>
  <c r="F35" i="1" s="1"/>
  <c r="F20" i="1" s="1"/>
  <c r="E70" i="1"/>
  <c r="E74" i="1"/>
  <c r="E73" i="1"/>
  <c r="D73" i="1"/>
  <c r="D77" i="1"/>
  <c r="E77" i="1"/>
  <c r="E76" i="1"/>
  <c r="D60" i="1"/>
  <c r="E75" i="1"/>
  <c r="D70" i="1"/>
  <c r="C6" i="2"/>
  <c r="C7" i="2" s="1"/>
  <c r="C9" i="2" s="1"/>
  <c r="C10" i="2" s="1"/>
  <c r="D76" i="1"/>
  <c r="D75" i="1"/>
  <c r="E60" i="1"/>
  <c r="D33" i="1"/>
  <c r="D25" i="1"/>
  <c r="D27" i="1" s="1"/>
  <c r="D29" i="1" s="1"/>
  <c r="E34" i="1"/>
  <c r="H45" i="1" l="1"/>
  <c r="F19" i="1"/>
  <c r="F79" i="1" s="1"/>
  <c r="F80" i="1"/>
  <c r="G19" i="1"/>
  <c r="G79" i="1" s="1"/>
  <c r="G18" i="1"/>
  <c r="G35" i="1"/>
  <c r="G20" i="1" s="1"/>
  <c r="F18" i="1"/>
  <c r="F33" i="1" s="1"/>
  <c r="H16" i="1"/>
  <c r="F22" i="1" l="1"/>
  <c r="I45" i="1"/>
  <c r="G80" i="1"/>
  <c r="I16" i="1"/>
  <c r="H19" i="1"/>
  <c r="H79" i="1" s="1"/>
  <c r="H18" i="1"/>
  <c r="H35" i="1"/>
  <c r="H20" i="1" s="1"/>
  <c r="G33" i="1"/>
  <c r="G22" i="1"/>
  <c r="G25" i="1" l="1"/>
  <c r="G34" i="1"/>
  <c r="F25" i="1"/>
  <c r="F26" i="1" s="1"/>
  <c r="F27" i="1" s="1"/>
  <c r="F34" i="1"/>
  <c r="J45" i="1"/>
  <c r="H80" i="1"/>
  <c r="F28" i="1"/>
  <c r="F29" i="1" s="1"/>
  <c r="H22" i="1"/>
  <c r="H33" i="1"/>
  <c r="J16" i="1"/>
  <c r="G26" i="1"/>
  <c r="G27" i="1" s="1"/>
  <c r="I35" i="1"/>
  <c r="I20" i="1" s="1"/>
  <c r="I19" i="1"/>
  <c r="I79" i="1" s="1"/>
  <c r="I18" i="1"/>
  <c r="H25" i="1" l="1"/>
  <c r="H34" i="1"/>
  <c r="F44" i="1"/>
  <c r="F46" i="1" s="1"/>
  <c r="F48" i="1" s="1"/>
  <c r="K45" i="1"/>
  <c r="K43" i="1"/>
  <c r="I80" i="1"/>
  <c r="G28" i="1"/>
  <c r="G29" i="1" s="1"/>
  <c r="G44" i="1" s="1"/>
  <c r="G46" i="1" s="1"/>
  <c r="G48" i="1" s="1"/>
  <c r="K16" i="1"/>
  <c r="I33" i="1"/>
  <c r="I22" i="1"/>
  <c r="J35" i="1"/>
  <c r="J20" i="1" s="1"/>
  <c r="J19" i="1"/>
  <c r="J79" i="1" s="1"/>
  <c r="J18" i="1"/>
  <c r="H26" i="1"/>
  <c r="H27" i="1" s="1"/>
  <c r="I25" i="1" l="1"/>
  <c r="I34" i="1"/>
  <c r="L45" i="1"/>
  <c r="J80" i="1"/>
  <c r="J33" i="1"/>
  <c r="J22" i="1"/>
  <c r="I26" i="1"/>
  <c r="I27" i="1" s="1"/>
  <c r="K35" i="1"/>
  <c r="K20" i="1" s="1"/>
  <c r="K19" i="1"/>
  <c r="K79" i="1" s="1"/>
  <c r="K18" i="1"/>
  <c r="H28" i="1"/>
  <c r="H29" i="1" s="1"/>
  <c r="H44" i="1" s="1"/>
  <c r="H46" i="1" s="1"/>
  <c r="H48" i="1" s="1"/>
  <c r="L16" i="1"/>
  <c r="J25" i="1" l="1"/>
  <c r="J34" i="1"/>
  <c r="M45" i="1"/>
  <c r="N45" i="1" s="1"/>
  <c r="O45" i="1" s="1"/>
  <c r="L43" i="1"/>
  <c r="K80" i="1"/>
  <c r="I28" i="1"/>
  <c r="I29" i="1" s="1"/>
  <c r="I44" i="1" s="1"/>
  <c r="I46" i="1" s="1"/>
  <c r="I48" i="1" s="1"/>
  <c r="J26" i="1"/>
  <c r="J27" i="1" s="1"/>
  <c r="M16" i="1"/>
  <c r="K33" i="1"/>
  <c r="K22" i="1"/>
  <c r="L19" i="1"/>
  <c r="L79" i="1" s="1"/>
  <c r="L35" i="1"/>
  <c r="L20" i="1" s="1"/>
  <c r="L18" i="1"/>
  <c r="K25" i="1" l="1"/>
  <c r="K34" i="1"/>
  <c r="N43" i="1"/>
  <c r="O43" i="1"/>
  <c r="M43" i="1"/>
  <c r="L33" i="1"/>
  <c r="L22" i="1"/>
  <c r="L80" i="1"/>
  <c r="J28" i="1"/>
  <c r="J29" i="1" s="1"/>
  <c r="J44" i="1" s="1"/>
  <c r="J46" i="1" s="1"/>
  <c r="J48" i="1" s="1"/>
  <c r="K26" i="1"/>
  <c r="K27" i="1" s="1"/>
  <c r="O16" i="1"/>
  <c r="N16" i="1"/>
  <c r="M19" i="1"/>
  <c r="M79" i="1" s="1"/>
  <c r="M35" i="1"/>
  <c r="M20" i="1" s="1"/>
  <c r="M18" i="1"/>
  <c r="L25" i="1" l="1"/>
  <c r="L34" i="1"/>
  <c r="M33" i="1"/>
  <c r="M22" i="1"/>
  <c r="K28" i="1"/>
  <c r="K29" i="1" s="1"/>
  <c r="K44" i="1" s="1"/>
  <c r="K46" i="1" s="1"/>
  <c r="K48" i="1" s="1"/>
  <c r="M80" i="1"/>
  <c r="O19" i="1"/>
  <c r="O79" i="1" s="1"/>
  <c r="O18" i="1"/>
  <c r="O35" i="1"/>
  <c r="N19" i="1"/>
  <c r="N79" i="1" s="1"/>
  <c r="N18" i="1"/>
  <c r="N35" i="1"/>
  <c r="N20" i="1" s="1"/>
  <c r="L26" i="1"/>
  <c r="L27" i="1" s="1"/>
  <c r="M25" i="1" l="1"/>
  <c r="M34" i="1"/>
  <c r="L28" i="1"/>
  <c r="L29" i="1" s="1"/>
  <c r="L44" i="1" s="1"/>
  <c r="L46" i="1" s="1"/>
  <c r="L48" i="1" s="1"/>
  <c r="O20" i="1"/>
  <c r="O80" i="1" s="1"/>
  <c r="N80" i="1"/>
  <c r="N33" i="1"/>
  <c r="N22" i="1"/>
  <c r="O33" i="1"/>
  <c r="M26" i="1"/>
  <c r="M27" i="1" s="1"/>
  <c r="N25" i="1" l="1"/>
  <c r="N34" i="1"/>
  <c r="O22" i="1"/>
  <c r="M28" i="1"/>
  <c r="M29" i="1" s="1"/>
  <c r="M44" i="1" s="1"/>
  <c r="M46" i="1" s="1"/>
  <c r="M48" i="1" s="1"/>
  <c r="N26" i="1"/>
  <c r="N27" i="1" s="1"/>
  <c r="O25" i="1" l="1"/>
  <c r="O26" i="1" s="1"/>
  <c r="O27" i="1" s="1"/>
  <c r="O34" i="1"/>
  <c r="N28" i="1"/>
  <c r="N29" i="1" s="1"/>
  <c r="N44" i="1" s="1"/>
  <c r="N46" i="1" s="1"/>
  <c r="N48" i="1" s="1"/>
  <c r="O28" i="1"/>
  <c r="O29" i="1" s="1"/>
  <c r="O44" i="1" s="1"/>
  <c r="O46" i="1" s="1"/>
  <c r="O48" i="1" l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DV48" i="1" s="1"/>
  <c r="DW48" i="1" s="1"/>
  <c r="DX48" i="1" s="1"/>
  <c r="DY48" i="1" s="1"/>
  <c r="DZ48" i="1" s="1"/>
  <c r="EA48" i="1" s="1"/>
  <c r="EB48" i="1" s="1"/>
  <c r="EC48" i="1" s="1"/>
  <c r="ED48" i="1" s="1"/>
  <c r="EE48" i="1" s="1"/>
  <c r="EF48" i="1" s="1"/>
  <c r="R35" i="1" s="1"/>
  <c r="R37" i="1" s="1"/>
  <c r="R39" i="1" s="1"/>
  <c r="R40" i="1" s="1"/>
</calcChain>
</file>

<file path=xl/sharedStrings.xml><?xml version="1.0" encoding="utf-8"?>
<sst xmlns="http://schemas.openxmlformats.org/spreadsheetml/2006/main" count="84" uniqueCount="62">
  <si>
    <t>Revenue</t>
  </si>
  <si>
    <t>COGS</t>
  </si>
  <si>
    <t>Gross Profit</t>
  </si>
  <si>
    <t>S&amp;M</t>
  </si>
  <si>
    <t>G&amp;A</t>
  </si>
  <si>
    <t>Join Venture</t>
  </si>
  <si>
    <t>Operating Income</t>
  </si>
  <si>
    <t>Finance Income</t>
  </si>
  <si>
    <t>Finance cost</t>
  </si>
  <si>
    <t>Pretax</t>
  </si>
  <si>
    <t>Taxes</t>
  </si>
  <si>
    <t>net Income</t>
  </si>
  <si>
    <t>Minority</t>
  </si>
  <si>
    <t>Company</t>
  </si>
  <si>
    <t>Gross Margin</t>
  </si>
  <si>
    <t>Operating Margin</t>
  </si>
  <si>
    <t>CFFO</t>
  </si>
  <si>
    <t>CapEx</t>
  </si>
  <si>
    <t>FCF</t>
  </si>
  <si>
    <t>M&amp;A</t>
  </si>
  <si>
    <t>Dividends</t>
  </si>
  <si>
    <t>Stock Purchase</t>
  </si>
  <si>
    <t>Cash</t>
  </si>
  <si>
    <t>Investments</t>
  </si>
  <si>
    <t xml:space="preserve">PP&amp;E </t>
  </si>
  <si>
    <t>Debt</t>
  </si>
  <si>
    <t>NAV</t>
  </si>
  <si>
    <t>Net Debt</t>
  </si>
  <si>
    <t>Data Value</t>
  </si>
  <si>
    <t>Risk</t>
  </si>
  <si>
    <t>Scientific</t>
  </si>
  <si>
    <t>Legal</t>
  </si>
  <si>
    <t>Exchibition</t>
  </si>
  <si>
    <t>Print</t>
  </si>
  <si>
    <t>NA</t>
  </si>
  <si>
    <t>Europe</t>
  </si>
  <si>
    <t>Rest of the World</t>
  </si>
  <si>
    <t>Subscriptions</t>
  </si>
  <si>
    <t>Transactional</t>
  </si>
  <si>
    <t>HQ</t>
  </si>
  <si>
    <t>Share</t>
  </si>
  <si>
    <t>GBP</t>
  </si>
  <si>
    <t>Price</t>
  </si>
  <si>
    <t>Shares</t>
  </si>
  <si>
    <t>MC</t>
  </si>
  <si>
    <t>Net Cash</t>
  </si>
  <si>
    <t>EV</t>
  </si>
  <si>
    <t>EV/FCF</t>
  </si>
  <si>
    <t>FCF Yield</t>
  </si>
  <si>
    <t>Revenue Y/Y</t>
  </si>
  <si>
    <t>D&amp;A</t>
  </si>
  <si>
    <t>SBC</t>
  </si>
  <si>
    <t>Discount</t>
  </si>
  <si>
    <t>Terminal</t>
  </si>
  <si>
    <t>NPV</t>
  </si>
  <si>
    <t>Value</t>
  </si>
  <si>
    <t>FCFF</t>
  </si>
  <si>
    <t>Q4 25</t>
  </si>
  <si>
    <t>EPS</t>
  </si>
  <si>
    <t>Price USD</t>
  </si>
  <si>
    <t>Total</t>
  </si>
  <si>
    <t>As % of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</si>
</sst>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604157</xdr:colOff>
      <xdr:row>15</xdr:row>
      <xdr:rowOff>0</xdr:rowOff>
    </xdr:from>
    <xdr:to>
      <xdr:col>5</xdr:col>
      <xdr:colOff>0</xdr:colOff>
      <xdr:row>53</xdr:row>
      <xdr:rowOff>16329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B87F78-975E-FB4D-5A0C-3D9564142C75}"/>
            </a:ext>
          </a:extLst>
        </xdr:cNvPr>
        <xdr:cNvCxnSpPr/>
      </xdr:nvCxnSpPr>
      <xdr:spPr>
        <a:xfrm>
          <a:off x="3156857" y="571500"/>
          <a:ext cx="5443" cy="47788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kut\Desktop\Stonks\Portfolio\Portfolio.xlsx" TargetMode="External"/><Relationship Id="rId1" Type="http://schemas.openxmlformats.org/officeDocument/2006/relationships/externalLinkPath" Target="/Users/mckut/Desktop/Stonks/Portfolio/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quity Portfolio"/>
      <sheetName val="Bond Portfolio"/>
      <sheetName val="Yields"/>
      <sheetName val="Track Record"/>
      <sheetName val="2024"/>
      <sheetName val="2025"/>
      <sheetName val="Portfolio"/>
    </sheetNames>
    <definedNames>
      <definedName name="EURGBP" refersTo="='Summary'!$G$6"/>
      <definedName name="EURUSD" refersTo="='Summary'!$G$4"/>
    </definedNames>
    <sheetDataSet>
      <sheetData sheetId="0">
        <row r="4">
          <cell r="G4">
            <v>1.186844944953918</v>
          </cell>
        </row>
        <row r="6">
          <cell r="G6">
            <v>0.87143999338150024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516C-294F-4F68-8143-67C3C0599956}">
  <dimension ref="B3:D10"/>
  <sheetViews>
    <sheetView zoomScale="175" zoomScaleNormal="175" workbookViewId="0">
      <selection activeCell="D5" sqref="D5"/>
    </sheetView>
  </sheetViews>
  <sheetFormatPr defaultRowHeight="15" x14ac:dyDescent="0.25"/>
  <cols>
    <col min="3" max="4" width="9.140625" style="1"/>
  </cols>
  <sheetData>
    <row r="3" spans="2:4" x14ac:dyDescent="0.25">
      <c r="B3" t="s">
        <v>42</v>
      </c>
      <c r="C3" s="1">
        <v>22.57</v>
      </c>
    </row>
    <row r="4" spans="2:4" x14ac:dyDescent="0.25">
      <c r="B4" t="s">
        <v>43</v>
      </c>
      <c r="C4" s="1">
        <v>1815.7299230000001</v>
      </c>
      <c r="D4" s="1" t="s">
        <v>57</v>
      </c>
    </row>
    <row r="5" spans="2:4" x14ac:dyDescent="0.25">
      <c r="B5" t="s">
        <v>44</v>
      </c>
      <c r="C5" s="1">
        <f>+C3*C4</f>
        <v>40981.024362110002</v>
      </c>
    </row>
    <row r="6" spans="2:4" x14ac:dyDescent="0.25">
      <c r="B6" t="s">
        <v>45</v>
      </c>
      <c r="C6" s="1">
        <f>+Sheet1!E55-Sheet1!E59</f>
        <v>-7136</v>
      </c>
    </row>
    <row r="7" spans="2:4" x14ac:dyDescent="0.25">
      <c r="B7" t="s">
        <v>46</v>
      </c>
      <c r="C7" s="1">
        <f>+C5-C6</f>
        <v>48117.024362110002</v>
      </c>
    </row>
    <row r="9" spans="2:4" x14ac:dyDescent="0.25">
      <c r="B9" t="s">
        <v>47</v>
      </c>
      <c r="C9" s="1">
        <f>+C7/Sheet1!E46</f>
        <v>23.099867672640425</v>
      </c>
    </row>
    <row r="10" spans="2:4" x14ac:dyDescent="0.25">
      <c r="B10" t="s">
        <v>48</v>
      </c>
      <c r="C10" s="4">
        <f>1/C9</f>
        <v>4.3290291276620776E-2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DE4C-AA74-40B9-9371-2150B5AB16A2}">
  <dimension ref="A1:EF185"/>
  <sheetViews>
    <sheetView tabSelected="1" zoomScale="175" zoomScaleNormal="175" workbookViewId="0">
      <pane xSplit="2" ySplit="2" topLeftCell="E24" activePane="bottomRight" state="frozen"/>
      <selection pane="topRight" activeCell="C1" sqref="C1"/>
      <selection pane="bottomLeft" activeCell="A3" sqref="A3"/>
      <selection pane="bottomRight" activeCell="R37" sqref="R37"/>
    </sheetView>
  </sheetViews>
  <sheetFormatPr defaultRowHeight="15" x14ac:dyDescent="0.25"/>
  <cols>
    <col min="1" max="1" width="3" customWidth="1"/>
    <col min="2" max="2" width="17" bestFit="1" customWidth="1"/>
  </cols>
  <sheetData>
    <row r="1" spans="1:15" x14ac:dyDescent="0.25">
      <c r="A1" t="s">
        <v>41</v>
      </c>
    </row>
    <row r="2" spans="1:15" x14ac:dyDescent="0.25">
      <c r="D2">
        <v>2024</v>
      </c>
      <c r="E2">
        <f>+D2+1</f>
        <v>2025</v>
      </c>
      <c r="F2">
        <f t="shared" ref="F2:O2" si="0">+E2+1</f>
        <v>2026</v>
      </c>
      <c r="G2">
        <f t="shared" si="0"/>
        <v>2027</v>
      </c>
      <c r="H2">
        <f t="shared" si="0"/>
        <v>2028</v>
      </c>
      <c r="I2">
        <f t="shared" si="0"/>
        <v>2029</v>
      </c>
      <c r="J2">
        <f t="shared" si="0"/>
        <v>2030</v>
      </c>
      <c r="K2">
        <f t="shared" si="0"/>
        <v>2031</v>
      </c>
      <c r="L2">
        <f t="shared" si="0"/>
        <v>2032</v>
      </c>
      <c r="M2">
        <f t="shared" si="0"/>
        <v>2033</v>
      </c>
      <c r="N2">
        <f t="shared" si="0"/>
        <v>2034</v>
      </c>
      <c r="O2">
        <f t="shared" si="0"/>
        <v>2035</v>
      </c>
    </row>
    <row r="3" spans="1:15" s="1" customFormat="1" x14ac:dyDescent="0.25"/>
    <row r="4" spans="1:15" s="1" customFormat="1" x14ac:dyDescent="0.25">
      <c r="B4" s="1" t="s">
        <v>34</v>
      </c>
      <c r="D4" s="1">
        <v>5495</v>
      </c>
      <c r="E4" s="1">
        <v>5595</v>
      </c>
    </row>
    <row r="5" spans="1:15" s="1" customFormat="1" x14ac:dyDescent="0.25">
      <c r="B5" s="1" t="s">
        <v>35</v>
      </c>
      <c r="D5" s="1">
        <v>2025</v>
      </c>
      <c r="E5" s="1">
        <v>2000</v>
      </c>
    </row>
    <row r="6" spans="1:15" s="1" customFormat="1" x14ac:dyDescent="0.25">
      <c r="B6" s="1" t="s">
        <v>36</v>
      </c>
      <c r="D6" s="1">
        <v>1914</v>
      </c>
      <c r="E6" s="1">
        <v>1995</v>
      </c>
    </row>
    <row r="7" spans="1:15" s="1" customFormat="1" x14ac:dyDescent="0.25"/>
    <row r="8" spans="1:15" s="1" customFormat="1" x14ac:dyDescent="0.25">
      <c r="B8" s="1" t="s">
        <v>37</v>
      </c>
      <c r="D8" s="1">
        <v>5025</v>
      </c>
      <c r="E8" s="1">
        <v>5190</v>
      </c>
    </row>
    <row r="9" spans="1:15" s="1" customFormat="1" x14ac:dyDescent="0.25">
      <c r="B9" s="1" t="s">
        <v>38</v>
      </c>
      <c r="D9" s="1">
        <v>4409</v>
      </c>
      <c r="E9" s="1">
        <v>4400</v>
      </c>
    </row>
    <row r="10" spans="1:15" s="1" customFormat="1" x14ac:dyDescent="0.25"/>
    <row r="11" spans="1:15" s="1" customFormat="1" x14ac:dyDescent="0.25">
      <c r="B11" s="1" t="s">
        <v>29</v>
      </c>
      <c r="D11" s="1">
        <v>3336</v>
      </c>
      <c r="E11" s="1">
        <v>3485</v>
      </c>
      <c r="F11" s="1">
        <f>+E11*1.12</f>
        <v>3903.2000000000003</v>
      </c>
      <c r="G11" s="1">
        <f t="shared" ref="G11:O11" si="1">+F11*1.12</f>
        <v>4371.5840000000007</v>
      </c>
      <c r="H11" s="1">
        <f t="shared" si="1"/>
        <v>4896.1740800000016</v>
      </c>
      <c r="I11" s="1">
        <f t="shared" si="1"/>
        <v>5483.7149696000024</v>
      </c>
      <c r="J11" s="1">
        <f t="shared" si="1"/>
        <v>6141.7607659520036</v>
      </c>
      <c r="K11" s="1">
        <f t="shared" si="1"/>
        <v>6878.7720578662447</v>
      </c>
      <c r="L11" s="1">
        <f t="shared" si="1"/>
        <v>7704.2247048101945</v>
      </c>
      <c r="M11" s="1">
        <f t="shared" si="1"/>
        <v>8628.7316693874182</v>
      </c>
      <c r="N11" s="1">
        <f t="shared" si="1"/>
        <v>9664.1794697139085</v>
      </c>
      <c r="O11" s="1">
        <f t="shared" si="1"/>
        <v>10823.881006079579</v>
      </c>
    </row>
    <row r="12" spans="1:15" s="1" customFormat="1" x14ac:dyDescent="0.25">
      <c r="B12" s="1" t="s">
        <v>30</v>
      </c>
      <c r="D12" s="1">
        <v>2624</v>
      </c>
      <c r="E12" s="1">
        <v>2714</v>
      </c>
      <c r="F12" s="1">
        <f>+E12*1.05</f>
        <v>2849.7000000000003</v>
      </c>
      <c r="G12" s="1">
        <f t="shared" ref="G12:O12" si="2">+F12*1.05</f>
        <v>2992.1850000000004</v>
      </c>
      <c r="H12" s="1">
        <f t="shared" si="2"/>
        <v>3141.7942500000004</v>
      </c>
      <c r="I12" s="1">
        <f t="shared" si="2"/>
        <v>3298.8839625000005</v>
      </c>
      <c r="J12" s="1">
        <f t="shared" si="2"/>
        <v>3463.8281606250007</v>
      </c>
      <c r="K12" s="1">
        <f t="shared" si="2"/>
        <v>3637.0195686562511</v>
      </c>
      <c r="L12" s="1">
        <f t="shared" si="2"/>
        <v>3818.8705470890636</v>
      </c>
      <c r="M12" s="1">
        <f t="shared" si="2"/>
        <v>4009.8140744435168</v>
      </c>
      <c r="N12" s="1">
        <f t="shared" si="2"/>
        <v>4210.3047781656924</v>
      </c>
      <c r="O12" s="1">
        <f t="shared" si="2"/>
        <v>4420.8200170739774</v>
      </c>
    </row>
    <row r="13" spans="1:15" s="1" customFormat="1" x14ac:dyDescent="0.25">
      <c r="B13" s="1" t="s">
        <v>31</v>
      </c>
      <c r="D13" s="1">
        <v>1718</v>
      </c>
      <c r="E13" s="1">
        <v>1806</v>
      </c>
      <c r="F13" s="1">
        <f>+E13*1.1</f>
        <v>1986.6000000000001</v>
      </c>
      <c r="G13" s="1">
        <f t="shared" ref="G13:O13" si="3">+F13*1.1</f>
        <v>2185.2600000000002</v>
      </c>
      <c r="H13" s="1">
        <f t="shared" si="3"/>
        <v>2403.7860000000005</v>
      </c>
      <c r="I13" s="1">
        <f t="shared" si="3"/>
        <v>2644.164600000001</v>
      </c>
      <c r="J13" s="1">
        <f t="shared" si="3"/>
        <v>2908.5810600000013</v>
      </c>
      <c r="K13" s="1">
        <f t="shared" si="3"/>
        <v>3199.4391660000019</v>
      </c>
      <c r="L13" s="1">
        <f t="shared" si="3"/>
        <v>3519.3830826000026</v>
      </c>
      <c r="M13" s="1">
        <f t="shared" si="3"/>
        <v>3871.3213908600032</v>
      </c>
      <c r="N13" s="1">
        <f t="shared" si="3"/>
        <v>4258.453529946004</v>
      </c>
      <c r="O13" s="1">
        <f t="shared" si="3"/>
        <v>4684.2988829406049</v>
      </c>
    </row>
    <row r="14" spans="1:15" s="1" customFormat="1" x14ac:dyDescent="0.25">
      <c r="B14" s="1" t="s">
        <v>32</v>
      </c>
      <c r="D14" s="1">
        <v>1239</v>
      </c>
      <c r="E14" s="1">
        <v>1186</v>
      </c>
      <c r="F14" s="1">
        <f>+E14*1.05</f>
        <v>1245.3</v>
      </c>
      <c r="G14" s="1">
        <f t="shared" ref="G14:O14" si="4">+F14*1.05</f>
        <v>1307.5650000000001</v>
      </c>
      <c r="H14" s="1">
        <f t="shared" si="4"/>
        <v>1372.94325</v>
      </c>
      <c r="I14" s="1">
        <f t="shared" si="4"/>
        <v>1441.5904125000002</v>
      </c>
      <c r="J14" s="1">
        <f t="shared" si="4"/>
        <v>1513.6699331250002</v>
      </c>
      <c r="K14" s="1">
        <f t="shared" si="4"/>
        <v>1589.3534297812503</v>
      </c>
      <c r="L14" s="1">
        <f t="shared" si="4"/>
        <v>1668.821101270313</v>
      </c>
      <c r="M14" s="1">
        <f t="shared" si="4"/>
        <v>1752.2621563338287</v>
      </c>
      <c r="N14" s="1">
        <f t="shared" si="4"/>
        <v>1839.8752641505203</v>
      </c>
      <c r="O14" s="1">
        <f t="shared" si="4"/>
        <v>1931.8690273580464</v>
      </c>
    </row>
    <row r="15" spans="1:15" s="1" customFormat="1" x14ac:dyDescent="0.25">
      <c r="B15" s="1" t="s">
        <v>33</v>
      </c>
      <c r="D15" s="1">
        <v>517</v>
      </c>
      <c r="E15" s="1">
        <v>399</v>
      </c>
      <c r="F15" s="1">
        <f>+E15*0.9</f>
        <v>359.1</v>
      </c>
      <c r="G15" s="1">
        <f t="shared" ref="G15:O15" si="5">+F15*0.9</f>
        <v>323.19000000000005</v>
      </c>
      <c r="H15" s="1">
        <f t="shared" si="5"/>
        <v>290.87100000000004</v>
      </c>
      <c r="I15" s="1">
        <f t="shared" si="5"/>
        <v>261.78390000000002</v>
      </c>
      <c r="J15" s="1">
        <f t="shared" si="5"/>
        <v>235.60551000000001</v>
      </c>
      <c r="K15" s="1">
        <f t="shared" si="5"/>
        <v>212.04495900000001</v>
      </c>
      <c r="L15" s="1">
        <f t="shared" si="5"/>
        <v>190.84046310000002</v>
      </c>
      <c r="M15" s="1">
        <f t="shared" si="5"/>
        <v>171.75641679000003</v>
      </c>
      <c r="N15" s="1">
        <f t="shared" si="5"/>
        <v>154.58077511100004</v>
      </c>
      <c r="O15" s="1">
        <f t="shared" si="5"/>
        <v>139.12269759990005</v>
      </c>
    </row>
    <row r="16" spans="1:15" s="2" customFormat="1" x14ac:dyDescent="0.25">
      <c r="B16" s="2" t="s">
        <v>0</v>
      </c>
      <c r="D16" s="2">
        <v>9434</v>
      </c>
      <c r="E16" s="2">
        <v>9590</v>
      </c>
      <c r="F16" s="2">
        <f>+SUM(F11:F15)</f>
        <v>10343.9</v>
      </c>
      <c r="G16" s="2">
        <f t="shared" ref="G16:O16" si="6">+SUM(G11:G15)</f>
        <v>11179.784000000003</v>
      </c>
      <c r="H16" s="2">
        <f t="shared" si="6"/>
        <v>12105.568580000001</v>
      </c>
      <c r="I16" s="2">
        <f t="shared" si="6"/>
        <v>13130.137844600005</v>
      </c>
      <c r="J16" s="2">
        <f t="shared" si="6"/>
        <v>14263.445429702006</v>
      </c>
      <c r="K16" s="2">
        <f t="shared" si="6"/>
        <v>15516.629181303748</v>
      </c>
      <c r="L16" s="2">
        <f t="shared" si="6"/>
        <v>16902.139898869576</v>
      </c>
      <c r="M16" s="2">
        <f t="shared" si="6"/>
        <v>18433.88570781477</v>
      </c>
      <c r="N16" s="2">
        <f t="shared" si="6"/>
        <v>20127.393817087126</v>
      </c>
      <c r="O16" s="2">
        <f t="shared" si="6"/>
        <v>21999.991631052111</v>
      </c>
    </row>
    <row r="17" spans="2:15" s="1" customFormat="1" x14ac:dyDescent="0.25">
      <c r="B17" s="1" t="s">
        <v>1</v>
      </c>
      <c r="D17" s="1">
        <v>3300</v>
      </c>
      <c r="E17" s="1">
        <v>3233</v>
      </c>
      <c r="F17" s="1">
        <f>+F16*0.34</f>
        <v>3516.9259999999999</v>
      </c>
      <c r="G17" s="1">
        <f t="shared" ref="G17:O17" si="7">+G16*0.34</f>
        <v>3801.1265600000015</v>
      </c>
      <c r="H17" s="1">
        <f t="shared" si="7"/>
        <v>4115.8933172000006</v>
      </c>
      <c r="I17" s="1">
        <f t="shared" si="7"/>
        <v>4464.2468671640017</v>
      </c>
      <c r="J17" s="1">
        <f t="shared" si="7"/>
        <v>4849.5714460986819</v>
      </c>
      <c r="K17" s="1">
        <f t="shared" si="7"/>
        <v>5275.6539216432748</v>
      </c>
      <c r="L17" s="1">
        <f t="shared" si="7"/>
        <v>5746.7275656156562</v>
      </c>
      <c r="M17" s="1">
        <f t="shared" si="7"/>
        <v>6267.5211406570224</v>
      </c>
      <c r="N17" s="1">
        <f t="shared" si="7"/>
        <v>6843.3138978096231</v>
      </c>
      <c r="O17" s="1">
        <f t="shared" si="7"/>
        <v>7479.9971545577182</v>
      </c>
    </row>
    <row r="18" spans="2:15" s="1" customFormat="1" x14ac:dyDescent="0.25">
      <c r="B18" s="1" t="s">
        <v>2</v>
      </c>
      <c r="D18" s="1">
        <f>+D16-D17</f>
        <v>6134</v>
      </c>
      <c r="E18" s="1">
        <f>+E16-E17</f>
        <v>6357</v>
      </c>
      <c r="F18" s="1">
        <f>+F16-F17</f>
        <v>6826.9740000000002</v>
      </c>
      <c r="G18" s="1">
        <f t="shared" ref="G18:O18" si="8">+G16-G17</f>
        <v>7378.6574400000018</v>
      </c>
      <c r="H18" s="1">
        <f t="shared" si="8"/>
        <v>7989.6752628000004</v>
      </c>
      <c r="I18" s="1">
        <f t="shared" si="8"/>
        <v>8665.8909774360036</v>
      </c>
      <c r="J18" s="1">
        <f t="shared" si="8"/>
        <v>9413.8739836033237</v>
      </c>
      <c r="K18" s="1">
        <f t="shared" si="8"/>
        <v>10240.975259660474</v>
      </c>
      <c r="L18" s="1">
        <f t="shared" si="8"/>
        <v>11155.41233325392</v>
      </c>
      <c r="M18" s="1">
        <f t="shared" si="8"/>
        <v>12166.364567157747</v>
      </c>
      <c r="N18" s="1">
        <f t="shared" si="8"/>
        <v>13284.079919277503</v>
      </c>
      <c r="O18" s="1">
        <f t="shared" si="8"/>
        <v>14519.994476494394</v>
      </c>
    </row>
    <row r="19" spans="2:15" s="1" customFormat="1" x14ac:dyDescent="0.25">
      <c r="B19" s="1" t="s">
        <v>3</v>
      </c>
      <c r="D19" s="1">
        <v>1470</v>
      </c>
      <c r="E19" s="1">
        <v>1511</v>
      </c>
      <c r="F19" s="1">
        <f>+F16*0.16</f>
        <v>1655.0239999999999</v>
      </c>
      <c r="G19" s="1">
        <f t="shared" ref="G19:O19" si="9">+G16*0.16</f>
        <v>1788.7654400000006</v>
      </c>
      <c r="H19" s="1">
        <f t="shared" si="9"/>
        <v>1936.8909728000001</v>
      </c>
      <c r="I19" s="1">
        <f t="shared" si="9"/>
        <v>2100.8220551360009</v>
      </c>
      <c r="J19" s="1">
        <f t="shared" si="9"/>
        <v>2282.1512687523209</v>
      </c>
      <c r="K19" s="1">
        <f t="shared" si="9"/>
        <v>2482.6606690085996</v>
      </c>
      <c r="L19" s="1">
        <f t="shared" si="9"/>
        <v>2704.3423838191325</v>
      </c>
      <c r="M19" s="1">
        <f t="shared" si="9"/>
        <v>2949.4217132503632</v>
      </c>
      <c r="N19" s="1">
        <f t="shared" si="9"/>
        <v>3220.3830107339404</v>
      </c>
      <c r="O19" s="1">
        <f t="shared" si="9"/>
        <v>3519.9986609683378</v>
      </c>
    </row>
    <row r="20" spans="2:15" s="1" customFormat="1" x14ac:dyDescent="0.25">
      <c r="B20" s="1" t="s">
        <v>4</v>
      </c>
      <c r="D20" s="1">
        <v>1846</v>
      </c>
      <c r="E20" s="1">
        <v>1863</v>
      </c>
      <c r="F20" s="1">
        <f>+E20*(1+F35*2/3)</f>
        <v>1960.6375182481752</v>
      </c>
      <c r="G20" s="1">
        <f t="shared" ref="G20:O20" si="10">+F20*(1+G35*2/3)</f>
        <v>2066.2627679962302</v>
      </c>
      <c r="H20" s="1">
        <f t="shared" si="10"/>
        <v>2180.3326050544429</v>
      </c>
      <c r="I20" s="1">
        <f t="shared" si="10"/>
        <v>2303.3559756066666</v>
      </c>
      <c r="J20" s="1">
        <f t="shared" si="10"/>
        <v>2435.8963865421915</v>
      </c>
      <c r="K20" s="1">
        <f t="shared" si="10"/>
        <v>2578.5746656552838</v>
      </c>
      <c r="L20" s="1">
        <f t="shared" si="10"/>
        <v>2732.072043363833</v>
      </c>
      <c r="M20" s="1">
        <f t="shared" si="10"/>
        <v>2897.1335849673619</v>
      </c>
      <c r="N20" s="1">
        <f t="shared" si="10"/>
        <v>3074.5720009206357</v>
      </c>
      <c r="O20" s="1">
        <f t="shared" si="10"/>
        <v>3265.2718620195315</v>
      </c>
    </row>
    <row r="21" spans="2:15" s="1" customFormat="1" x14ac:dyDescent="0.25">
      <c r="B21" s="1" t="s">
        <v>5</v>
      </c>
      <c r="D21" s="1">
        <v>43</v>
      </c>
      <c r="E21" s="1">
        <v>44</v>
      </c>
      <c r="F21" s="1">
        <f>+E21+1</f>
        <v>45</v>
      </c>
      <c r="G21" s="1">
        <f t="shared" ref="G21:O21" si="11">+F21+1</f>
        <v>46</v>
      </c>
      <c r="H21" s="1">
        <f t="shared" si="11"/>
        <v>47</v>
      </c>
      <c r="I21" s="1">
        <f t="shared" si="11"/>
        <v>48</v>
      </c>
      <c r="J21" s="1">
        <f t="shared" si="11"/>
        <v>49</v>
      </c>
      <c r="K21" s="1">
        <f t="shared" si="11"/>
        <v>50</v>
      </c>
      <c r="L21" s="1">
        <f t="shared" si="11"/>
        <v>51</v>
      </c>
      <c r="M21" s="1">
        <f t="shared" si="11"/>
        <v>52</v>
      </c>
      <c r="N21" s="1">
        <f t="shared" si="11"/>
        <v>53</v>
      </c>
      <c r="O21" s="1">
        <f t="shared" si="11"/>
        <v>54</v>
      </c>
    </row>
    <row r="22" spans="2:15" s="2" customFormat="1" x14ac:dyDescent="0.25">
      <c r="B22" s="2" t="s">
        <v>6</v>
      </c>
      <c r="D22" s="2">
        <f>+D18-D19-D20+D21</f>
        <v>2861</v>
      </c>
      <c r="E22" s="2">
        <f>+E18-E19-E20+E21</f>
        <v>3027</v>
      </c>
      <c r="F22" s="2">
        <f>+F18-F19-F20+F21</f>
        <v>3256.3124817518255</v>
      </c>
      <c r="G22" s="2">
        <f t="shared" ref="G22:O22" si="12">+G18-G19-G20+G21</f>
        <v>3569.6292320037714</v>
      </c>
      <c r="H22" s="2">
        <f t="shared" si="12"/>
        <v>3919.4516849455576</v>
      </c>
      <c r="I22" s="2">
        <f t="shared" si="12"/>
        <v>4309.7129466933366</v>
      </c>
      <c r="J22" s="2">
        <f t="shared" si="12"/>
        <v>4744.8263283088108</v>
      </c>
      <c r="K22" s="2">
        <f t="shared" si="12"/>
        <v>5229.7399249965911</v>
      </c>
      <c r="L22" s="2">
        <f t="shared" si="12"/>
        <v>5769.9979060709557</v>
      </c>
      <c r="M22" s="2">
        <f t="shared" si="12"/>
        <v>6371.8092689400219</v>
      </c>
      <c r="N22" s="2">
        <f t="shared" si="12"/>
        <v>7042.1249076229269</v>
      </c>
      <c r="O22" s="2">
        <f t="shared" si="12"/>
        <v>7788.7239535065237</v>
      </c>
    </row>
    <row r="23" spans="2:15" s="1" customFormat="1" x14ac:dyDescent="0.25">
      <c r="B23" s="1" t="s">
        <v>7</v>
      </c>
      <c r="D23" s="1">
        <v>6</v>
      </c>
      <c r="E23" s="1">
        <v>12</v>
      </c>
      <c r="F23" s="1">
        <v>15</v>
      </c>
      <c r="G23" s="1">
        <v>15</v>
      </c>
      <c r="H23" s="1">
        <v>15</v>
      </c>
      <c r="I23" s="1">
        <v>15</v>
      </c>
      <c r="J23" s="1">
        <v>15</v>
      </c>
      <c r="K23" s="1">
        <v>15</v>
      </c>
      <c r="L23" s="1">
        <v>15</v>
      </c>
      <c r="M23" s="1">
        <v>15</v>
      </c>
      <c r="N23" s="1">
        <v>15</v>
      </c>
      <c r="O23" s="1">
        <v>15</v>
      </c>
    </row>
    <row r="24" spans="2:15" s="1" customFormat="1" x14ac:dyDescent="0.25">
      <c r="B24" s="1" t="s">
        <v>8</v>
      </c>
      <c r="D24" s="1">
        <v>304</v>
      </c>
      <c r="E24" s="1">
        <v>298</v>
      </c>
      <c r="F24" s="1">
        <v>300</v>
      </c>
      <c r="G24" s="1">
        <v>300</v>
      </c>
      <c r="H24" s="1">
        <v>300</v>
      </c>
      <c r="I24" s="1">
        <v>300</v>
      </c>
      <c r="J24" s="1">
        <v>300</v>
      </c>
      <c r="K24" s="1">
        <v>300</v>
      </c>
      <c r="L24" s="1">
        <v>300</v>
      </c>
      <c r="M24" s="1">
        <v>300</v>
      </c>
      <c r="N24" s="1">
        <v>300</v>
      </c>
      <c r="O24" s="1">
        <v>300</v>
      </c>
    </row>
    <row r="25" spans="2:15" s="1" customFormat="1" x14ac:dyDescent="0.25">
      <c r="B25" s="1" t="s">
        <v>9</v>
      </c>
      <c r="D25" s="1">
        <f>+D22+D23-D24</f>
        <v>2563</v>
      </c>
      <c r="E25" s="1">
        <f>+E22+E23-E24</f>
        <v>2741</v>
      </c>
      <c r="F25" s="1">
        <f>+F22+F23-F24</f>
        <v>2971.3124817518255</v>
      </c>
      <c r="G25" s="1">
        <f t="shared" ref="G25:O25" si="13">+G22+G23-G24</f>
        <v>3284.6292320037714</v>
      </c>
      <c r="H25" s="1">
        <f t="shared" si="13"/>
        <v>3634.4516849455576</v>
      </c>
      <c r="I25" s="1">
        <f t="shared" si="13"/>
        <v>4024.7129466933366</v>
      </c>
      <c r="J25" s="1">
        <f t="shared" si="13"/>
        <v>4459.8263283088108</v>
      </c>
      <c r="K25" s="1">
        <f t="shared" si="13"/>
        <v>4944.7399249965911</v>
      </c>
      <c r="L25" s="1">
        <f t="shared" si="13"/>
        <v>5484.9979060709557</v>
      </c>
      <c r="M25" s="1">
        <f t="shared" si="13"/>
        <v>6086.8092689400219</v>
      </c>
      <c r="N25" s="1">
        <f t="shared" si="13"/>
        <v>6757.1249076229269</v>
      </c>
      <c r="O25" s="1">
        <f t="shared" si="13"/>
        <v>7503.7239535065237</v>
      </c>
    </row>
    <row r="26" spans="2:15" s="1" customFormat="1" x14ac:dyDescent="0.25">
      <c r="B26" s="1" t="s">
        <v>10</v>
      </c>
      <c r="D26" s="1">
        <v>613</v>
      </c>
      <c r="E26" s="1">
        <v>672</v>
      </c>
      <c r="F26" s="1">
        <f>+F25*0.25</f>
        <v>742.82812043795639</v>
      </c>
      <c r="G26" s="1">
        <f t="shared" ref="G26:O26" si="14">+G25*0.25</f>
        <v>821.15730800094286</v>
      </c>
      <c r="H26" s="1">
        <f t="shared" si="14"/>
        <v>908.61292123638941</v>
      </c>
      <c r="I26" s="1">
        <f t="shared" si="14"/>
        <v>1006.1782366733341</v>
      </c>
      <c r="J26" s="1">
        <f t="shared" si="14"/>
        <v>1114.9565820772027</v>
      </c>
      <c r="K26" s="1">
        <f t="shared" si="14"/>
        <v>1236.1849812491478</v>
      </c>
      <c r="L26" s="1">
        <f t="shared" si="14"/>
        <v>1371.2494765177389</v>
      </c>
      <c r="M26" s="1">
        <f t="shared" si="14"/>
        <v>1521.7023172350055</v>
      </c>
      <c r="N26" s="1">
        <f t="shared" si="14"/>
        <v>1689.2812269057317</v>
      </c>
      <c r="O26" s="1">
        <f t="shared" si="14"/>
        <v>1875.9309883766309</v>
      </c>
    </row>
    <row r="27" spans="2:15" s="1" customFormat="1" x14ac:dyDescent="0.25">
      <c r="B27" s="1" t="s">
        <v>11</v>
      </c>
      <c r="D27" s="1">
        <f>+D25-D26</f>
        <v>1950</v>
      </c>
      <c r="E27" s="1">
        <f>+E25-E26</f>
        <v>2069</v>
      </c>
      <c r="F27" s="1">
        <f>+F25-F26</f>
        <v>2228.4843613138692</v>
      </c>
      <c r="G27" s="1">
        <f t="shared" ref="G27:O27" si="15">+G25-G26</f>
        <v>2463.4719240028285</v>
      </c>
      <c r="H27" s="1">
        <f t="shared" si="15"/>
        <v>2725.8387637091682</v>
      </c>
      <c r="I27" s="1">
        <f t="shared" si="15"/>
        <v>3018.5347100200024</v>
      </c>
      <c r="J27" s="1">
        <f t="shared" si="15"/>
        <v>3344.8697462316081</v>
      </c>
      <c r="K27" s="1">
        <f t="shared" si="15"/>
        <v>3708.5549437474433</v>
      </c>
      <c r="L27" s="1">
        <f t="shared" si="15"/>
        <v>4113.7484295532167</v>
      </c>
      <c r="M27" s="1">
        <f t="shared" si="15"/>
        <v>4565.1069517050164</v>
      </c>
      <c r="N27" s="1">
        <f t="shared" si="15"/>
        <v>5067.8436807171947</v>
      </c>
      <c r="O27" s="1">
        <f t="shared" si="15"/>
        <v>5627.7929651298928</v>
      </c>
    </row>
    <row r="28" spans="2:15" s="1" customFormat="1" x14ac:dyDescent="0.25">
      <c r="B28" s="1" t="s">
        <v>12</v>
      </c>
      <c r="D28" s="1">
        <v>10</v>
      </c>
      <c r="E28" s="1">
        <v>13</v>
      </c>
      <c r="F28" s="1">
        <f>+F27*0.005</f>
        <v>11.142421806569345</v>
      </c>
      <c r="G28" s="1">
        <f t="shared" ref="G28:O28" si="16">+G27*0.005</f>
        <v>12.317359620014143</v>
      </c>
      <c r="H28" s="1">
        <f t="shared" si="16"/>
        <v>13.629193818545842</v>
      </c>
      <c r="I28" s="1">
        <f t="shared" si="16"/>
        <v>15.092673550100013</v>
      </c>
      <c r="J28" s="1">
        <f t="shared" si="16"/>
        <v>16.724348731158042</v>
      </c>
      <c r="K28" s="1">
        <f t="shared" si="16"/>
        <v>18.542774718737217</v>
      </c>
      <c r="L28" s="1">
        <f t="shared" si="16"/>
        <v>20.568742147766084</v>
      </c>
      <c r="M28" s="1">
        <f t="shared" si="16"/>
        <v>22.825534758525084</v>
      </c>
      <c r="N28" s="1">
        <f t="shared" si="16"/>
        <v>25.339218403585974</v>
      </c>
      <c r="O28" s="1">
        <f t="shared" si="16"/>
        <v>28.138964825649463</v>
      </c>
    </row>
    <row r="29" spans="2:15" s="1" customFormat="1" x14ac:dyDescent="0.25">
      <c r="B29" s="1" t="s">
        <v>13</v>
      </c>
      <c r="D29" s="1">
        <f>+D27-D28</f>
        <v>1940</v>
      </c>
      <c r="E29" s="1">
        <f>+E27-E28</f>
        <v>2056</v>
      </c>
      <c r="F29" s="1">
        <f>+F27-F28</f>
        <v>2217.3419395072997</v>
      </c>
      <c r="G29" s="1">
        <f t="shared" ref="G29:O29" si="17">+G27-G28</f>
        <v>2451.1545643828144</v>
      </c>
      <c r="H29" s="1">
        <f t="shared" si="17"/>
        <v>2712.2095698906223</v>
      </c>
      <c r="I29" s="1">
        <f t="shared" si="17"/>
        <v>3003.4420364699026</v>
      </c>
      <c r="J29" s="1">
        <f t="shared" si="17"/>
        <v>3328.1453975004501</v>
      </c>
      <c r="K29" s="1">
        <f t="shared" si="17"/>
        <v>3690.012169028706</v>
      </c>
      <c r="L29" s="1">
        <f t="shared" si="17"/>
        <v>4093.1796874054507</v>
      </c>
      <c r="M29" s="1">
        <f t="shared" si="17"/>
        <v>4542.2814169464909</v>
      </c>
      <c r="N29" s="1">
        <f t="shared" si="17"/>
        <v>5042.5044623136091</v>
      </c>
      <c r="O29" s="1">
        <f t="shared" si="17"/>
        <v>5599.6540003042437</v>
      </c>
    </row>
    <row r="30" spans="2:15" s="1" customFormat="1" x14ac:dyDescent="0.25">
      <c r="B30" s="1" t="s">
        <v>58</v>
      </c>
    </row>
    <row r="31" spans="2:15" s="1" customFormat="1" x14ac:dyDescent="0.25">
      <c r="B31" s="1" t="s">
        <v>40</v>
      </c>
    </row>
    <row r="32" spans="2:15" s="1" customFormat="1" x14ac:dyDescent="0.25">
      <c r="D32" s="4"/>
      <c r="E32" s="4"/>
    </row>
    <row r="33" spans="2:136" s="3" customFormat="1" x14ac:dyDescent="0.25">
      <c r="B33" s="3" t="s">
        <v>14</v>
      </c>
      <c r="D33" s="3">
        <f>+D18/D16</f>
        <v>0.65020139919440323</v>
      </c>
      <c r="E33" s="3">
        <f>+E18/E16</f>
        <v>0.66287799791449431</v>
      </c>
      <c r="F33" s="3">
        <f>+F18/F16</f>
        <v>0.66</v>
      </c>
      <c r="G33" s="3">
        <f t="shared" ref="G33:O33" si="18">+G18/G16</f>
        <v>0.65999999999999992</v>
      </c>
      <c r="H33" s="3">
        <f t="shared" si="18"/>
        <v>0.66</v>
      </c>
      <c r="I33" s="3">
        <f t="shared" si="18"/>
        <v>0.66</v>
      </c>
      <c r="J33" s="3">
        <f t="shared" si="18"/>
        <v>0.66</v>
      </c>
      <c r="K33" s="3">
        <f t="shared" si="18"/>
        <v>0.66</v>
      </c>
      <c r="L33" s="3">
        <f t="shared" si="18"/>
        <v>0.66</v>
      </c>
      <c r="M33" s="3">
        <f t="shared" si="18"/>
        <v>0.65999999999999992</v>
      </c>
      <c r="N33" s="3">
        <f t="shared" si="18"/>
        <v>0.66</v>
      </c>
      <c r="O33" s="3">
        <f t="shared" si="18"/>
        <v>0.66</v>
      </c>
      <c r="Q33" s="3" t="s">
        <v>52</v>
      </c>
      <c r="R33" s="3">
        <v>0.1</v>
      </c>
    </row>
    <row r="34" spans="2:136" s="3" customFormat="1" x14ac:dyDescent="0.25">
      <c r="B34" s="3" t="s">
        <v>15</v>
      </c>
      <c r="D34" s="3">
        <f>+D22/D16</f>
        <v>0.30326478694085224</v>
      </c>
      <c r="E34" s="3">
        <f>+E22/E16</f>
        <v>0.31564129301355581</v>
      </c>
      <c r="F34" s="3">
        <f>+F22/F16</f>
        <v>0.31480510076004464</v>
      </c>
      <c r="G34" s="3">
        <f t="shared" ref="G34:O34" si="19">+G22/G16</f>
        <v>0.31929321997668025</v>
      </c>
      <c r="H34" s="3">
        <f t="shared" si="19"/>
        <v>0.32377262241287946</v>
      </c>
      <c r="I34" s="3">
        <f t="shared" si="19"/>
        <v>0.32823059420246531</v>
      </c>
      <c r="J34" s="3">
        <f t="shared" si="19"/>
        <v>0.33265639439600259</v>
      </c>
      <c r="K34" s="3">
        <f t="shared" si="19"/>
        <v>0.33704098125242266</v>
      </c>
      <c r="L34" s="3">
        <f t="shared" si="19"/>
        <v>0.34137676889402957</v>
      </c>
      <c r="M34" s="3">
        <f t="shared" si="19"/>
        <v>0.34565741428237179</v>
      </c>
      <c r="N34" s="3">
        <f t="shared" si="19"/>
        <v>0.34987763302194264</v>
      </c>
      <c r="O34" s="3">
        <f t="shared" si="19"/>
        <v>0.3540330416541182</v>
      </c>
      <c r="Q34" s="3" t="s">
        <v>53</v>
      </c>
      <c r="R34" s="3">
        <v>0.02</v>
      </c>
    </row>
    <row r="35" spans="2:136" s="3" customFormat="1" x14ac:dyDescent="0.25">
      <c r="B35" s="3" t="s">
        <v>49</v>
      </c>
      <c r="E35" s="3">
        <f>+E16/D16 -1</f>
        <v>1.6535933856264506E-2</v>
      </c>
      <c r="F35" s="3">
        <f>+F16/E16 -1</f>
        <v>7.861313868613129E-2</v>
      </c>
      <c r="G35" s="3">
        <f t="shared" ref="G35:O35" si="20">+G16/F16 -1</f>
        <v>8.0809365906476582E-2</v>
      </c>
      <c r="H35" s="3">
        <f t="shared" si="20"/>
        <v>8.280880739735208E-2</v>
      </c>
      <c r="I35" s="3">
        <f t="shared" si="20"/>
        <v>8.4636195138552139E-2</v>
      </c>
      <c r="J35" s="3">
        <f t="shared" si="20"/>
        <v>8.6313456759945062E-2</v>
      </c>
      <c r="K35" s="3">
        <f t="shared" si="20"/>
        <v>8.7859820250171028E-2</v>
      </c>
      <c r="L35" s="3">
        <f t="shared" si="20"/>
        <v>8.9291991280893379E-2</v>
      </c>
      <c r="M35" s="3">
        <f t="shared" si="20"/>
        <v>9.0624371713290408E-2</v>
      </c>
      <c r="N35" s="3">
        <f t="shared" si="20"/>
        <v>9.1869296366225095E-2</v>
      </c>
      <c r="O35" s="3">
        <f t="shared" si="20"/>
        <v>9.3037272037438168E-2</v>
      </c>
      <c r="Q35" s="3" t="s">
        <v>54</v>
      </c>
      <c r="R35" s="1">
        <f>NPV(R33,F48:EN48)</f>
        <v>51709.702623563644</v>
      </c>
    </row>
    <row r="36" spans="2:136" s="3" customFormat="1" x14ac:dyDescent="0.25">
      <c r="B36" s="1" t="s">
        <v>29</v>
      </c>
      <c r="E36" s="3">
        <f>+E11/D11 -1</f>
        <v>4.466426858513195E-2</v>
      </c>
      <c r="Q36" s="3" t="s">
        <v>45</v>
      </c>
      <c r="R36" s="1">
        <f>-E61</f>
        <v>-7136</v>
      </c>
    </row>
    <row r="37" spans="2:136" s="3" customFormat="1" x14ac:dyDescent="0.25">
      <c r="B37" s="1" t="s">
        <v>30</v>
      </c>
      <c r="E37" s="3">
        <f>+E12/D12 -1</f>
        <v>3.429878048780477E-2</v>
      </c>
      <c r="Q37" s="3" t="s">
        <v>55</v>
      </c>
      <c r="R37" s="1">
        <f>+R35+R36</f>
        <v>44573.702623563644</v>
      </c>
    </row>
    <row r="38" spans="2:136" s="3" customFormat="1" x14ac:dyDescent="0.25">
      <c r="B38" s="1" t="s">
        <v>31</v>
      </c>
      <c r="E38" s="3">
        <f>+E13/D13 -1</f>
        <v>5.1222351571594826E-2</v>
      </c>
      <c r="Q38" s="3" t="s">
        <v>40</v>
      </c>
      <c r="R38" s="1">
        <f>+Sheet2!C4</f>
        <v>1815.7299230000001</v>
      </c>
    </row>
    <row r="39" spans="2:136" s="3" customFormat="1" x14ac:dyDescent="0.25">
      <c r="B39" s="1" t="s">
        <v>32</v>
      </c>
      <c r="E39" s="3">
        <f>+E14/D14 -1</f>
        <v>-4.2776432606941084E-2</v>
      </c>
      <c r="Q39" s="3" t="s">
        <v>42</v>
      </c>
      <c r="R39" s="1">
        <f>+R37/R38</f>
        <v>24.548641325422295</v>
      </c>
    </row>
    <row r="40" spans="2:136" s="1" customFormat="1" x14ac:dyDescent="0.25">
      <c r="B40" s="1" t="s">
        <v>33</v>
      </c>
      <c r="E40" s="3">
        <f>+E15/D15 -1</f>
        <v>-0.22823984526112184</v>
      </c>
      <c r="Q40" s="1" t="s">
        <v>59</v>
      </c>
      <c r="R40" s="1">
        <f>+(R39/[1]!EURGBP)*[1]!EURUSD</f>
        <v>33.433662769490716</v>
      </c>
    </row>
    <row r="41" spans="2:136" s="1" customFormat="1" x14ac:dyDescent="0.25">
      <c r="R41" s="5"/>
    </row>
    <row r="42" spans="2:136" s="1" customFormat="1" x14ac:dyDescent="0.25">
      <c r="B42" s="1" t="s">
        <v>51</v>
      </c>
      <c r="D42" s="1">
        <v>66</v>
      </c>
      <c r="E42" s="1">
        <v>63</v>
      </c>
      <c r="F42" s="1">
        <v>70</v>
      </c>
      <c r="G42" s="1">
        <v>70</v>
      </c>
      <c r="H42" s="1">
        <v>70</v>
      </c>
      <c r="I42" s="1">
        <v>70</v>
      </c>
      <c r="J42" s="1">
        <v>70</v>
      </c>
      <c r="K42" s="1">
        <v>70</v>
      </c>
      <c r="L42" s="1">
        <v>70</v>
      </c>
      <c r="M42" s="1">
        <v>70</v>
      </c>
      <c r="N42" s="1">
        <v>70</v>
      </c>
      <c r="O42" s="1">
        <v>70</v>
      </c>
    </row>
    <row r="43" spans="2:136" s="1" customFormat="1" x14ac:dyDescent="0.25">
      <c r="B43" s="1" t="s">
        <v>50</v>
      </c>
      <c r="D43" s="1">
        <f>50+34+77+364+258</f>
        <v>783</v>
      </c>
      <c r="E43" s="1">
        <f>37+26+89+352+248</f>
        <v>752</v>
      </c>
      <c r="F43" s="1">
        <f>+E43*0.96</f>
        <v>721.92</v>
      </c>
      <c r="G43" s="1">
        <f t="shared" ref="G43:J43" si="21">+F43*0.96</f>
        <v>693.04319999999996</v>
      </c>
      <c r="H43" s="1">
        <f t="shared" si="21"/>
        <v>665.32147199999997</v>
      </c>
      <c r="I43" s="1">
        <f t="shared" si="21"/>
        <v>638.70861312</v>
      </c>
      <c r="J43" s="1">
        <f t="shared" si="21"/>
        <v>613.16026859520002</v>
      </c>
      <c r="K43" s="1">
        <f>+SUM(E45:K45)/7</f>
        <v>610.65063398437519</v>
      </c>
      <c r="L43" s="1">
        <f>+SUM(F45:L45)/7</f>
        <v>641.18316568359398</v>
      </c>
      <c r="M43" s="1">
        <f>+SUM(G45:M45)/7</f>
        <v>673.2423239677737</v>
      </c>
      <c r="N43" s="1">
        <f>+SUM(H45:N45)/7</f>
        <v>706.90444016616243</v>
      </c>
      <c r="O43" s="1">
        <f>+SUM(I45:O45)/7</f>
        <v>742.24966217447059</v>
      </c>
    </row>
    <row r="44" spans="2:136" s="1" customFormat="1" x14ac:dyDescent="0.25">
      <c r="B44" s="1" t="s">
        <v>16</v>
      </c>
      <c r="D44" s="1">
        <v>2836</v>
      </c>
      <c r="E44" s="1">
        <v>2608</v>
      </c>
      <c r="F44" s="1">
        <f>+F29+F42+F43</f>
        <v>3009.2619395072998</v>
      </c>
      <c r="G44" s="1">
        <f t="shared" ref="G44:O44" si="22">+G29+G42+G43</f>
        <v>3214.1977643828145</v>
      </c>
      <c r="H44" s="1">
        <f t="shared" si="22"/>
        <v>3447.5310418906224</v>
      </c>
      <c r="I44" s="1">
        <f t="shared" si="22"/>
        <v>3712.1506495899025</v>
      </c>
      <c r="J44" s="1">
        <f t="shared" si="22"/>
        <v>4011.3056660956499</v>
      </c>
      <c r="K44" s="1">
        <f t="shared" si="22"/>
        <v>4370.6628030130814</v>
      </c>
      <c r="L44" s="1">
        <f t="shared" si="22"/>
        <v>4804.3628530890446</v>
      </c>
      <c r="M44" s="1">
        <f t="shared" si="22"/>
        <v>5285.5237409142646</v>
      </c>
      <c r="N44" s="1">
        <f t="shared" si="22"/>
        <v>5819.4089024797713</v>
      </c>
      <c r="O44" s="1">
        <f t="shared" si="22"/>
        <v>6411.9036624787141</v>
      </c>
    </row>
    <row r="45" spans="2:136" s="1" customFormat="1" x14ac:dyDescent="0.25">
      <c r="B45" s="1" t="s">
        <v>17</v>
      </c>
      <c r="D45" s="1">
        <f>20+464</f>
        <v>484</v>
      </c>
      <c r="E45" s="1">
        <f>21+504</f>
        <v>525</v>
      </c>
      <c r="F45" s="1">
        <f>+E45*1.05</f>
        <v>551.25</v>
      </c>
      <c r="G45" s="1">
        <f t="shared" ref="G45:O45" si="23">+F45*1.05</f>
        <v>578.8125</v>
      </c>
      <c r="H45" s="1">
        <f t="shared" si="23"/>
        <v>607.75312500000007</v>
      </c>
      <c r="I45" s="1">
        <f t="shared" si="23"/>
        <v>638.14078125000015</v>
      </c>
      <c r="J45" s="1">
        <f t="shared" si="23"/>
        <v>670.04782031250022</v>
      </c>
      <c r="K45" s="1">
        <f t="shared" si="23"/>
        <v>703.55021132812522</v>
      </c>
      <c r="L45" s="1">
        <f t="shared" si="23"/>
        <v>738.72772189453156</v>
      </c>
      <c r="M45" s="1">
        <f t="shared" si="23"/>
        <v>775.66410798925813</v>
      </c>
      <c r="N45" s="1">
        <f t="shared" si="23"/>
        <v>814.44731338872111</v>
      </c>
      <c r="O45" s="1">
        <f t="shared" si="23"/>
        <v>855.16967905815716</v>
      </c>
    </row>
    <row r="46" spans="2:136" s="2" customFormat="1" x14ac:dyDescent="0.25">
      <c r="B46" s="2" t="s">
        <v>18</v>
      </c>
      <c r="D46" s="2">
        <f>+D44-D45</f>
        <v>2352</v>
      </c>
      <c r="E46" s="2">
        <f>+E44-E45</f>
        <v>2083</v>
      </c>
      <c r="F46" s="2">
        <f>+F44-F45</f>
        <v>2458.0119395072998</v>
      </c>
      <c r="G46" s="2">
        <f t="shared" ref="G46:O46" si="24">+G44-G45</f>
        <v>2635.3852643828145</v>
      </c>
      <c r="H46" s="2">
        <f t="shared" si="24"/>
        <v>2839.7779168906222</v>
      </c>
      <c r="I46" s="2">
        <f t="shared" si="24"/>
        <v>3074.0098683399024</v>
      </c>
      <c r="J46" s="2">
        <f t="shared" si="24"/>
        <v>3341.2578457831496</v>
      </c>
      <c r="K46" s="2">
        <f t="shared" si="24"/>
        <v>3667.112591684956</v>
      </c>
      <c r="L46" s="2">
        <f t="shared" si="24"/>
        <v>4065.6351311945132</v>
      </c>
      <c r="M46" s="2">
        <f t="shared" si="24"/>
        <v>4509.8596329250067</v>
      </c>
      <c r="N46" s="2">
        <f t="shared" si="24"/>
        <v>5004.96158909105</v>
      </c>
      <c r="O46" s="2">
        <f t="shared" si="24"/>
        <v>5556.7339834205568</v>
      </c>
    </row>
    <row r="47" spans="2:136" s="1" customFormat="1" x14ac:dyDescent="0.25">
      <c r="B47" s="1" t="s">
        <v>19</v>
      </c>
      <c r="D47" s="1">
        <v>170</v>
      </c>
      <c r="E47" s="1">
        <v>260</v>
      </c>
    </row>
    <row r="48" spans="2:136" s="1" customFormat="1" x14ac:dyDescent="0.25">
      <c r="B48" s="1" t="s">
        <v>56</v>
      </c>
      <c r="F48" s="1">
        <f>+F46+F24-F23</f>
        <v>2743.0119395072998</v>
      </c>
      <c r="G48" s="1">
        <f t="shared" ref="G48:O48" si="25">+G46+G24-G23</f>
        <v>2920.3852643828145</v>
      </c>
      <c r="H48" s="1">
        <f t="shared" si="25"/>
        <v>3124.7779168906222</v>
      </c>
      <c r="I48" s="1">
        <f t="shared" si="25"/>
        <v>3359.0098683399024</v>
      </c>
      <c r="J48" s="1">
        <f t="shared" si="25"/>
        <v>3626.2578457831496</v>
      </c>
      <c r="K48" s="1">
        <f t="shared" si="25"/>
        <v>3952.112591684956</v>
      </c>
      <c r="L48" s="1">
        <f t="shared" si="25"/>
        <v>4350.6351311945127</v>
      </c>
      <c r="M48" s="1">
        <f t="shared" si="25"/>
        <v>4794.8596329250067</v>
      </c>
      <c r="N48" s="1">
        <f t="shared" si="25"/>
        <v>5289.96158909105</v>
      </c>
      <c r="O48" s="1">
        <f t="shared" si="25"/>
        <v>5841.7339834205568</v>
      </c>
      <c r="P48" s="1">
        <f>+O48*(1+$R34)</f>
        <v>5958.5686630889677</v>
      </c>
      <c r="Q48" s="1">
        <f t="shared" ref="Q48:CB48" si="26">+P48*(1+$R34)</f>
        <v>6077.7400363507468</v>
      </c>
      <c r="R48" s="1">
        <f t="shared" si="26"/>
        <v>6199.2948370777622</v>
      </c>
      <c r="S48" s="1">
        <f t="shared" si="26"/>
        <v>6323.2807338193179</v>
      </c>
      <c r="T48" s="1">
        <f t="shared" si="26"/>
        <v>6449.7463484957043</v>
      </c>
      <c r="U48" s="1">
        <f t="shared" si="26"/>
        <v>6578.7412754656189</v>
      </c>
      <c r="V48" s="1">
        <f t="shared" si="26"/>
        <v>6710.316100974931</v>
      </c>
      <c r="W48" s="1">
        <f t="shared" si="26"/>
        <v>6844.5224229944297</v>
      </c>
      <c r="X48" s="1">
        <f t="shared" si="26"/>
        <v>6981.4128714543185</v>
      </c>
      <c r="Y48" s="1">
        <f t="shared" si="26"/>
        <v>7121.0411288834048</v>
      </c>
      <c r="Z48" s="1">
        <f t="shared" si="26"/>
        <v>7263.4619514610731</v>
      </c>
      <c r="AA48" s="1">
        <f t="shared" si="26"/>
        <v>7408.7311904902945</v>
      </c>
      <c r="AB48" s="1">
        <f t="shared" si="26"/>
        <v>7556.9058143001002</v>
      </c>
      <c r="AC48" s="1">
        <f t="shared" si="26"/>
        <v>7708.0439305861028</v>
      </c>
      <c r="AD48" s="1">
        <f t="shared" si="26"/>
        <v>7862.2048091978249</v>
      </c>
      <c r="AE48" s="1">
        <f t="shared" si="26"/>
        <v>8019.4489053817815</v>
      </c>
      <c r="AF48" s="1">
        <f t="shared" si="26"/>
        <v>8179.8378834894174</v>
      </c>
      <c r="AG48" s="1">
        <f t="shared" si="26"/>
        <v>8343.4346411592051</v>
      </c>
      <c r="AH48" s="1">
        <f t="shared" si="26"/>
        <v>8510.3033339823887</v>
      </c>
      <c r="AI48" s="1">
        <f t="shared" si="26"/>
        <v>8680.5094006620366</v>
      </c>
      <c r="AJ48" s="1">
        <f t="shared" si="26"/>
        <v>8854.1195886752776</v>
      </c>
      <c r="AK48" s="1">
        <f t="shared" si="26"/>
        <v>9031.2019804487827</v>
      </c>
      <c r="AL48" s="1">
        <f t="shared" si="26"/>
        <v>9211.8260200577588</v>
      </c>
      <c r="AM48" s="1">
        <f t="shared" si="26"/>
        <v>9396.0625404589136</v>
      </c>
      <c r="AN48" s="1">
        <f t="shared" si="26"/>
        <v>9583.9837912680923</v>
      </c>
      <c r="AO48" s="1">
        <f t="shared" si="26"/>
        <v>9775.6634670934545</v>
      </c>
      <c r="AP48" s="1">
        <f t="shared" si="26"/>
        <v>9971.1767364353236</v>
      </c>
      <c r="AQ48" s="1">
        <f t="shared" si="26"/>
        <v>10170.60027116403</v>
      </c>
      <c r="AR48" s="1">
        <f t="shared" si="26"/>
        <v>10374.012276587311</v>
      </c>
      <c r="AS48" s="1">
        <f t="shared" si="26"/>
        <v>10581.492522119057</v>
      </c>
      <c r="AT48" s="1">
        <f t="shared" si="26"/>
        <v>10793.122372561438</v>
      </c>
      <c r="AU48" s="1">
        <f t="shared" si="26"/>
        <v>11008.984820012667</v>
      </c>
      <c r="AV48" s="1">
        <f t="shared" si="26"/>
        <v>11229.16451641292</v>
      </c>
      <c r="AW48" s="1">
        <f t="shared" si="26"/>
        <v>11453.747806741179</v>
      </c>
      <c r="AX48" s="1">
        <f t="shared" si="26"/>
        <v>11682.822762876003</v>
      </c>
      <c r="AY48" s="1">
        <f t="shared" si="26"/>
        <v>11916.479218133523</v>
      </c>
      <c r="AZ48" s="1">
        <f t="shared" si="26"/>
        <v>12154.808802496194</v>
      </c>
      <c r="BA48" s="1">
        <f t="shared" si="26"/>
        <v>12397.904978546119</v>
      </c>
      <c r="BB48" s="1">
        <f t="shared" si="26"/>
        <v>12645.863078117041</v>
      </c>
      <c r="BC48" s="1">
        <f t="shared" si="26"/>
        <v>12898.780339679382</v>
      </c>
      <c r="BD48" s="1">
        <f t="shared" si="26"/>
        <v>13156.755946472971</v>
      </c>
      <c r="BE48" s="1">
        <f t="shared" si="26"/>
        <v>13419.891065402431</v>
      </c>
      <c r="BF48" s="1">
        <f t="shared" si="26"/>
        <v>13688.288886710479</v>
      </c>
      <c r="BG48" s="1">
        <f t="shared" si="26"/>
        <v>13962.054664444689</v>
      </c>
      <c r="BH48" s="1">
        <f t="shared" si="26"/>
        <v>14241.295757733584</v>
      </c>
      <c r="BI48" s="1">
        <f t="shared" si="26"/>
        <v>14526.121672888255</v>
      </c>
      <c r="BJ48" s="1">
        <f t="shared" si="26"/>
        <v>14816.644106346021</v>
      </c>
      <c r="BK48" s="1">
        <f t="shared" si="26"/>
        <v>15112.976988472941</v>
      </c>
      <c r="BL48" s="1">
        <f t="shared" si="26"/>
        <v>15415.2365282424</v>
      </c>
      <c r="BM48" s="1">
        <f t="shared" si="26"/>
        <v>15723.541258807249</v>
      </c>
      <c r="BN48" s="1">
        <f t="shared" si="26"/>
        <v>16038.012083983394</v>
      </c>
      <c r="BO48" s="1">
        <f t="shared" si="26"/>
        <v>16358.772325663063</v>
      </c>
      <c r="BP48" s="1">
        <f t="shared" si="26"/>
        <v>16685.947772176325</v>
      </c>
      <c r="BQ48" s="1">
        <f t="shared" si="26"/>
        <v>17019.666727619853</v>
      </c>
      <c r="BR48" s="1">
        <f t="shared" si="26"/>
        <v>17360.060062172251</v>
      </c>
      <c r="BS48" s="1">
        <f t="shared" si="26"/>
        <v>17707.261263415698</v>
      </c>
      <c r="BT48" s="1">
        <f t="shared" si="26"/>
        <v>18061.406488684013</v>
      </c>
      <c r="BU48" s="1">
        <f t="shared" si="26"/>
        <v>18422.634618457694</v>
      </c>
      <c r="BV48" s="1">
        <f t="shared" si="26"/>
        <v>18791.08731082685</v>
      </c>
      <c r="BW48" s="1">
        <f t="shared" si="26"/>
        <v>19166.909057043387</v>
      </c>
      <c r="BX48" s="1">
        <f t="shared" si="26"/>
        <v>19550.247238184256</v>
      </c>
      <c r="BY48" s="1">
        <f t="shared" si="26"/>
        <v>19941.252182947941</v>
      </c>
      <c r="BZ48" s="1">
        <f t="shared" si="26"/>
        <v>20340.0772266069</v>
      </c>
      <c r="CA48" s="1">
        <f t="shared" si="26"/>
        <v>20746.87877113904</v>
      </c>
      <c r="CB48" s="1">
        <f t="shared" si="26"/>
        <v>21161.81634656182</v>
      </c>
      <c r="CC48" s="1">
        <f t="shared" ref="CC48:EF48" si="27">+CB48*(1+$R34)</f>
        <v>21585.052673493057</v>
      </c>
      <c r="CD48" s="1">
        <f t="shared" si="27"/>
        <v>22016.753726962917</v>
      </c>
      <c r="CE48" s="1">
        <f t="shared" si="27"/>
        <v>22457.088801502177</v>
      </c>
      <c r="CF48" s="1">
        <f t="shared" si="27"/>
        <v>22906.23057753222</v>
      </c>
      <c r="CG48" s="1">
        <f t="shared" si="27"/>
        <v>23364.355189082864</v>
      </c>
      <c r="CH48" s="1">
        <f t="shared" si="27"/>
        <v>23831.642292864522</v>
      </c>
      <c r="CI48" s="1">
        <f t="shared" si="27"/>
        <v>24308.275138721812</v>
      </c>
      <c r="CJ48" s="1">
        <f t="shared" si="27"/>
        <v>24794.44064149625</v>
      </c>
      <c r="CK48" s="1">
        <f t="shared" si="27"/>
        <v>25290.329454326176</v>
      </c>
      <c r="CL48" s="1">
        <f t="shared" si="27"/>
        <v>25796.136043412702</v>
      </c>
      <c r="CM48" s="1">
        <f t="shared" si="27"/>
        <v>26312.058764280955</v>
      </c>
      <c r="CN48" s="1">
        <f t="shared" si="27"/>
        <v>26838.299939566576</v>
      </c>
      <c r="CO48" s="1">
        <f t="shared" si="27"/>
        <v>27375.065938357908</v>
      </c>
      <c r="CP48" s="1">
        <f t="shared" si="27"/>
        <v>27922.567257125065</v>
      </c>
      <c r="CQ48" s="1">
        <f t="shared" si="27"/>
        <v>28481.018602267566</v>
      </c>
      <c r="CR48" s="1">
        <f t="shared" si="27"/>
        <v>29050.638974312918</v>
      </c>
      <c r="CS48" s="1">
        <f t="shared" si="27"/>
        <v>29631.651753799179</v>
      </c>
      <c r="CT48" s="1">
        <f t="shared" si="27"/>
        <v>30224.284788875164</v>
      </c>
      <c r="CU48" s="1">
        <f t="shared" si="27"/>
        <v>30828.770484652669</v>
      </c>
      <c r="CV48" s="1">
        <f t="shared" si="27"/>
        <v>31445.345894345723</v>
      </c>
      <c r="CW48" s="1">
        <f t="shared" si="27"/>
        <v>32074.252812232637</v>
      </c>
      <c r="CX48" s="1">
        <f t="shared" si="27"/>
        <v>32715.737868477288</v>
      </c>
      <c r="CY48" s="1">
        <f t="shared" si="27"/>
        <v>33370.052625846838</v>
      </c>
      <c r="CZ48" s="1">
        <f t="shared" si="27"/>
        <v>34037.453678363774</v>
      </c>
      <c r="DA48" s="1">
        <f t="shared" si="27"/>
        <v>34718.20275193105</v>
      </c>
      <c r="DB48" s="1">
        <f t="shared" si="27"/>
        <v>35412.566806969669</v>
      </c>
      <c r="DC48" s="1">
        <f t="shared" si="27"/>
        <v>36120.818143109063</v>
      </c>
      <c r="DD48" s="1">
        <f t="shared" si="27"/>
        <v>36843.234505971246</v>
      </c>
      <c r="DE48" s="1">
        <f t="shared" si="27"/>
        <v>37580.099196090669</v>
      </c>
      <c r="DF48" s="1">
        <f t="shared" si="27"/>
        <v>38331.701180012482</v>
      </c>
      <c r="DG48" s="1">
        <f t="shared" si="27"/>
        <v>39098.335203612733</v>
      </c>
      <c r="DH48" s="1">
        <f t="shared" si="27"/>
        <v>39880.301907684989</v>
      </c>
      <c r="DI48" s="1">
        <f t="shared" si="27"/>
        <v>40677.907945838691</v>
      </c>
      <c r="DJ48" s="1">
        <f t="shared" si="27"/>
        <v>41491.466104755469</v>
      </c>
      <c r="DK48" s="1">
        <f t="shared" si="27"/>
        <v>42321.295426850578</v>
      </c>
      <c r="DL48" s="1">
        <f t="shared" si="27"/>
        <v>43167.721335387592</v>
      </c>
      <c r="DM48" s="1">
        <f t="shared" si="27"/>
        <v>44031.075762095345</v>
      </c>
      <c r="DN48" s="1">
        <f t="shared" si="27"/>
        <v>44911.697277337254</v>
      </c>
      <c r="DO48" s="1">
        <f t="shared" si="27"/>
        <v>45809.931222883999</v>
      </c>
      <c r="DP48" s="1">
        <f t="shared" si="27"/>
        <v>46726.129847341683</v>
      </c>
      <c r="DQ48" s="1">
        <f t="shared" si="27"/>
        <v>47660.65244428852</v>
      </c>
      <c r="DR48" s="1">
        <f t="shared" si="27"/>
        <v>48613.865493174293</v>
      </c>
      <c r="DS48" s="1">
        <f t="shared" si="27"/>
        <v>49586.142803037779</v>
      </c>
      <c r="DT48" s="1">
        <f t="shared" si="27"/>
        <v>50577.865659098534</v>
      </c>
      <c r="DU48" s="1">
        <f t="shared" si="27"/>
        <v>51589.422972280503</v>
      </c>
      <c r="DV48" s="1">
        <f t="shared" si="27"/>
        <v>52621.211431726115</v>
      </c>
      <c r="DW48" s="1">
        <f t="shared" si="27"/>
        <v>53673.63566036064</v>
      </c>
      <c r="DX48" s="1">
        <f t="shared" si="27"/>
        <v>54747.108373567855</v>
      </c>
      <c r="DY48" s="1">
        <f t="shared" si="27"/>
        <v>55842.050541039214</v>
      </c>
      <c r="DZ48" s="1">
        <f t="shared" si="27"/>
        <v>56958.891551859997</v>
      </c>
      <c r="EA48" s="1">
        <f t="shared" si="27"/>
        <v>58098.0693828972</v>
      </c>
      <c r="EB48" s="1">
        <f t="shared" si="27"/>
        <v>59260.030770555146</v>
      </c>
      <c r="EC48" s="1">
        <f t="shared" si="27"/>
        <v>60445.231385966246</v>
      </c>
      <c r="ED48" s="1">
        <f t="shared" si="27"/>
        <v>61654.136013685573</v>
      </c>
      <c r="EE48" s="1">
        <f t="shared" si="27"/>
        <v>62887.218733959286</v>
      </c>
      <c r="EF48" s="1">
        <f t="shared" si="27"/>
        <v>64144.963108638469</v>
      </c>
    </row>
    <row r="49" spans="2:5" s="1" customFormat="1" x14ac:dyDescent="0.25"/>
    <row r="50" spans="2:5" s="1" customFormat="1" x14ac:dyDescent="0.25">
      <c r="B50" s="1" t="s">
        <v>20</v>
      </c>
      <c r="D50" s="1">
        <v>1121</v>
      </c>
      <c r="E50" s="1">
        <v>1181</v>
      </c>
    </row>
    <row r="51" spans="2:5" s="1" customFormat="1" x14ac:dyDescent="0.25">
      <c r="B51" s="1" t="s">
        <v>21</v>
      </c>
      <c r="D51" s="1">
        <v>1000</v>
      </c>
      <c r="E51" s="1">
        <v>1500</v>
      </c>
    </row>
    <row r="52" spans="2:5" s="1" customFormat="1" x14ac:dyDescent="0.25">
      <c r="B52" s="1" t="s">
        <v>60</v>
      </c>
      <c r="D52" s="1">
        <f>+D50+D51</f>
        <v>2121</v>
      </c>
      <c r="E52" s="1">
        <f>+E50+E51</f>
        <v>2681</v>
      </c>
    </row>
    <row r="53" spans="2:5" s="3" customFormat="1" x14ac:dyDescent="0.25">
      <c r="B53" s="3" t="s">
        <v>61</v>
      </c>
      <c r="D53" s="3">
        <f>+D52/D46</f>
        <v>0.9017857142857143</v>
      </c>
      <c r="E53" s="3">
        <f>+E52/E46</f>
        <v>1.2870859337493998</v>
      </c>
    </row>
    <row r="54" spans="2:5" s="1" customFormat="1" x14ac:dyDescent="0.25"/>
    <row r="55" spans="2:5" s="1" customFormat="1" x14ac:dyDescent="0.25">
      <c r="B55" s="1" t="s">
        <v>22</v>
      </c>
      <c r="D55" s="1">
        <v>119</v>
      </c>
      <c r="E55" s="1">
        <v>131</v>
      </c>
    </row>
    <row r="56" spans="2:5" s="1" customFormat="1" x14ac:dyDescent="0.25">
      <c r="B56" s="1" t="s">
        <v>28</v>
      </c>
      <c r="D56" s="1">
        <v>3164</v>
      </c>
      <c r="E56" s="1">
        <v>3072</v>
      </c>
    </row>
    <row r="57" spans="2:5" s="1" customFormat="1" x14ac:dyDescent="0.25">
      <c r="B57" s="1" t="s">
        <v>23</v>
      </c>
      <c r="D57" s="1">
        <f>169+92</f>
        <v>261</v>
      </c>
      <c r="E57" s="1">
        <f>164+131</f>
        <v>295</v>
      </c>
    </row>
    <row r="58" spans="2:5" s="1" customFormat="1" x14ac:dyDescent="0.25">
      <c r="B58" s="1" t="s">
        <v>24</v>
      </c>
      <c r="D58" s="1">
        <v>82</v>
      </c>
      <c r="E58" s="1">
        <v>72</v>
      </c>
    </row>
    <row r="59" spans="2:5" s="1" customFormat="1" x14ac:dyDescent="0.25">
      <c r="B59" s="1" t="s">
        <v>25</v>
      </c>
      <c r="D59" s="1">
        <f>1412+5132</f>
        <v>6544</v>
      </c>
      <c r="E59" s="1">
        <f>5696+1571</f>
        <v>7267</v>
      </c>
    </row>
    <row r="60" spans="2:5" s="1" customFormat="1" x14ac:dyDescent="0.25">
      <c r="B60" s="1" t="s">
        <v>26</v>
      </c>
      <c r="D60" s="1">
        <f>+D55+D56+D57+D58-D59</f>
        <v>-2918</v>
      </c>
      <c r="E60" s="1">
        <f>+E55+E56+E57+E58-E59</f>
        <v>-3697</v>
      </c>
    </row>
    <row r="61" spans="2:5" s="1" customFormat="1" x14ac:dyDescent="0.25">
      <c r="B61" s="1" t="s">
        <v>27</v>
      </c>
      <c r="D61" s="1">
        <f>+D59-D55</f>
        <v>6425</v>
      </c>
      <c r="E61" s="1">
        <f>+E59-E55</f>
        <v>7136</v>
      </c>
    </row>
    <row r="62" spans="2:5" s="1" customFormat="1" x14ac:dyDescent="0.25"/>
    <row r="63" spans="2:5" s="1" customFormat="1" x14ac:dyDescent="0.25"/>
    <row r="64" spans="2:5" s="2" customFormat="1" x14ac:dyDescent="0.25">
      <c r="B64" s="2" t="s">
        <v>6</v>
      </c>
      <c r="D64" s="2">
        <f>+SUM(D65:D69)</f>
        <v>3199</v>
      </c>
      <c r="E64" s="2">
        <f>+SUM(E65:E69)</f>
        <v>3342</v>
      </c>
    </row>
    <row r="65" spans="2:15" s="1" customFormat="1" x14ac:dyDescent="0.25">
      <c r="B65" s="1" t="s">
        <v>29</v>
      </c>
      <c r="D65" s="1">
        <v>1233</v>
      </c>
      <c r="E65" s="1">
        <v>1305</v>
      </c>
    </row>
    <row r="66" spans="2:15" s="1" customFormat="1" x14ac:dyDescent="0.25">
      <c r="B66" s="1" t="s">
        <v>30</v>
      </c>
      <c r="D66" s="1">
        <v>981</v>
      </c>
      <c r="E66" s="1">
        <v>1035</v>
      </c>
    </row>
    <row r="67" spans="2:15" s="1" customFormat="1" x14ac:dyDescent="0.25">
      <c r="B67" s="1" t="s">
        <v>31</v>
      </c>
      <c r="D67" s="1">
        <v>381</v>
      </c>
      <c r="E67" s="1">
        <v>415</v>
      </c>
    </row>
    <row r="68" spans="2:15" s="1" customFormat="1" x14ac:dyDescent="0.25">
      <c r="B68" s="1" t="s">
        <v>32</v>
      </c>
      <c r="D68" s="1">
        <v>398</v>
      </c>
      <c r="E68" s="1">
        <v>410</v>
      </c>
    </row>
    <row r="69" spans="2:15" s="1" customFormat="1" x14ac:dyDescent="0.25">
      <c r="B69" s="1" t="s">
        <v>33</v>
      </c>
      <c r="D69" s="1">
        <v>206</v>
      </c>
      <c r="E69" s="1">
        <v>177</v>
      </c>
    </row>
    <row r="70" spans="2:15" s="1" customFormat="1" x14ac:dyDescent="0.25">
      <c r="B70" s="1" t="s">
        <v>39</v>
      </c>
      <c r="D70" s="1">
        <f>+D22-D64</f>
        <v>-338</v>
      </c>
      <c r="E70" s="1">
        <f>+E22-E64</f>
        <v>-315</v>
      </c>
    </row>
    <row r="71" spans="2:15" s="1" customFormat="1" x14ac:dyDescent="0.25"/>
    <row r="72" spans="2:15" s="2" customFormat="1" x14ac:dyDescent="0.25">
      <c r="B72" s="2" t="s">
        <v>40</v>
      </c>
    </row>
    <row r="73" spans="2:15" s="3" customFormat="1" x14ac:dyDescent="0.25">
      <c r="B73" s="3" t="s">
        <v>29</v>
      </c>
      <c r="D73" s="3">
        <f>+D65/D$64</f>
        <v>0.38543294779618631</v>
      </c>
      <c r="E73" s="3">
        <f>+E65/E$64</f>
        <v>0.39048473967684022</v>
      </c>
    </row>
    <row r="74" spans="2:15" s="3" customFormat="1" x14ac:dyDescent="0.25">
      <c r="B74" s="3" t="s">
        <v>30</v>
      </c>
      <c r="D74" s="3">
        <f t="shared" ref="D74:E77" si="28">+D66/D$64</f>
        <v>0.30665833072835263</v>
      </c>
      <c r="E74" s="3">
        <f t="shared" si="28"/>
        <v>0.30969479353680429</v>
      </c>
    </row>
    <row r="75" spans="2:15" s="3" customFormat="1" x14ac:dyDescent="0.25">
      <c r="B75" s="3" t="s">
        <v>31</v>
      </c>
      <c r="D75" s="3">
        <f t="shared" si="28"/>
        <v>0.1190997186620819</v>
      </c>
      <c r="E75" s="3">
        <f t="shared" si="28"/>
        <v>0.1241771394374626</v>
      </c>
    </row>
    <row r="76" spans="2:15" s="3" customFormat="1" x14ac:dyDescent="0.25">
      <c r="B76" s="3" t="s">
        <v>32</v>
      </c>
      <c r="D76" s="3">
        <f t="shared" si="28"/>
        <v>0.12441387933729291</v>
      </c>
      <c r="E76" s="3">
        <f t="shared" si="28"/>
        <v>0.12268102932375823</v>
      </c>
    </row>
    <row r="77" spans="2:15" s="3" customFormat="1" x14ac:dyDescent="0.25">
      <c r="B77" s="3" t="s">
        <v>33</v>
      </c>
      <c r="D77" s="3">
        <f t="shared" si="28"/>
        <v>6.439512347608628E-2</v>
      </c>
      <c r="E77" s="3">
        <f t="shared" si="28"/>
        <v>5.2962298025134649E-2</v>
      </c>
    </row>
    <row r="78" spans="2:15" s="1" customFormat="1" x14ac:dyDescent="0.25"/>
    <row r="79" spans="2:15" s="4" customFormat="1" x14ac:dyDescent="0.25">
      <c r="B79" s="4" t="s">
        <v>3</v>
      </c>
      <c r="D79" s="4">
        <f>+D19/D16</f>
        <v>0.1558193767224931</v>
      </c>
      <c r="E79" s="4">
        <f>+E19/E16</f>
        <v>0.15755995828988531</v>
      </c>
      <c r="F79" s="4">
        <f t="shared" ref="F79:O79" si="29">+F19/F16</f>
        <v>0.16</v>
      </c>
      <c r="G79" s="4">
        <f t="shared" si="29"/>
        <v>0.16</v>
      </c>
      <c r="H79" s="4">
        <f t="shared" si="29"/>
        <v>0.16</v>
      </c>
      <c r="I79" s="4">
        <f t="shared" si="29"/>
        <v>0.16</v>
      </c>
      <c r="J79" s="4">
        <f t="shared" si="29"/>
        <v>0.16</v>
      </c>
      <c r="K79" s="4">
        <f t="shared" si="29"/>
        <v>0.16</v>
      </c>
      <c r="L79" s="4">
        <f t="shared" si="29"/>
        <v>0.16</v>
      </c>
      <c r="M79" s="4">
        <f t="shared" si="29"/>
        <v>0.16</v>
      </c>
      <c r="N79" s="4">
        <f t="shared" si="29"/>
        <v>0.16</v>
      </c>
      <c r="O79" s="4">
        <f t="shared" si="29"/>
        <v>0.16</v>
      </c>
    </row>
    <row r="80" spans="2:15" s="4" customFormat="1" x14ac:dyDescent="0.25">
      <c r="B80" s="4" t="s">
        <v>4</v>
      </c>
      <c r="D80" s="4">
        <f>+D20/D16</f>
        <v>0.19567521729913082</v>
      </c>
      <c r="E80" s="4">
        <f>+E20/E16</f>
        <v>0.19426485922836287</v>
      </c>
      <c r="F80" s="4">
        <f t="shared" ref="F80:O80" si="30">+F20/F16</f>
        <v>0.18954528932493309</v>
      </c>
      <c r="G80" s="4">
        <f t="shared" si="30"/>
        <v>0.18482134967869054</v>
      </c>
      <c r="H80" s="4">
        <f t="shared" si="30"/>
        <v>0.18010988832500113</v>
      </c>
      <c r="I80" s="4">
        <f t="shared" si="30"/>
        <v>0.17542511760864424</v>
      </c>
      <c r="J80" s="4">
        <f t="shared" si="30"/>
        <v>0.17077896070396245</v>
      </c>
      <c r="K80" s="4">
        <f t="shared" si="30"/>
        <v>0.16618136810037662</v>
      </c>
      <c r="L80" s="4">
        <f t="shared" si="30"/>
        <v>0.16164060052221882</v>
      </c>
      <c r="M80" s="4">
        <f t="shared" si="30"/>
        <v>0.15716347767845634</v>
      </c>
      <c r="N80" s="4">
        <f t="shared" si="30"/>
        <v>0.15275559413511755</v>
      </c>
      <c r="O80" s="4">
        <f t="shared" si="30"/>
        <v>0.14842150473415319</v>
      </c>
    </row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2026-02-13T17:34:07Z</dcterms:created>
  <dcterms:modified xsi:type="dcterms:W3CDTF">2026-02-14T20:24:46Z</dcterms:modified>
</cp:coreProperties>
</file>