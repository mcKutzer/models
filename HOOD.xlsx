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3B3566C-804B-445A-B455-688B467B1F11}" xr6:coauthVersionLast="47" xr6:coauthVersionMax="47" xr10:uidLastSave="{00000000-0000-0000-0000-000000000000}"/>
  <bookViews>
    <workbookView xWindow="-120" yWindow="-120" windowWidth="29040" windowHeight="15840" xr2:uid="{31EEA3E6-5CD8-4DEC-BA6E-5201E62DB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F41" i="1"/>
  <c r="G41" i="1"/>
  <c r="H41" i="1"/>
  <c r="I41" i="1"/>
  <c r="J41" i="1"/>
  <c r="K41" i="1"/>
  <c r="L41" i="1"/>
  <c r="M41" i="1"/>
  <c r="N41" i="1"/>
  <c r="O41" i="1"/>
  <c r="P41" i="1"/>
  <c r="Q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D43" i="1"/>
  <c r="D42" i="1"/>
  <c r="D41" i="1"/>
  <c r="T28" i="1" l="1"/>
  <c r="T27" i="1"/>
  <c r="T26" i="1"/>
  <c r="T25" i="1"/>
  <c r="S19" i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ED19" i="1" s="1"/>
  <c r="EE19" i="1" s="1"/>
  <c r="EF19" i="1" s="1"/>
  <c r="EG19" i="1" s="1"/>
  <c r="EH19" i="1" s="1"/>
  <c r="EI19" i="1" s="1"/>
  <c r="EJ19" i="1" s="1"/>
  <c r="EK19" i="1" s="1"/>
  <c r="EL19" i="1" s="1"/>
  <c r="EM19" i="1" s="1"/>
  <c r="EN19" i="1" s="1"/>
  <c r="EO19" i="1" s="1"/>
  <c r="EP19" i="1" s="1"/>
  <c r="EQ19" i="1" s="1"/>
  <c r="ER19" i="1" s="1"/>
  <c r="ES19" i="1" s="1"/>
  <c r="ET19" i="1" s="1"/>
  <c r="R19" i="1"/>
  <c r="H20" i="1"/>
  <c r="I20" i="1"/>
  <c r="J20" i="1"/>
  <c r="K20" i="1"/>
  <c r="L20" i="1"/>
  <c r="M20" i="1"/>
  <c r="N20" i="1"/>
  <c r="O20" i="1"/>
  <c r="P20" i="1"/>
  <c r="Q20" i="1"/>
  <c r="G20" i="1"/>
  <c r="I21" i="1"/>
  <c r="J21" i="1" s="1"/>
  <c r="K21" i="1" s="1"/>
  <c r="L21" i="1" s="1"/>
  <c r="M21" i="1" s="1"/>
  <c r="N21" i="1" s="1"/>
  <c r="O21" i="1" s="1"/>
  <c r="P21" i="1" s="1"/>
  <c r="Q21" i="1" s="1"/>
  <c r="H21" i="1"/>
  <c r="G21" i="1"/>
  <c r="F20" i="1"/>
  <c r="E20" i="1"/>
  <c r="D20" i="1"/>
  <c r="F25" i="1"/>
  <c r="F24" i="1"/>
  <c r="E25" i="1"/>
  <c r="E24" i="1"/>
  <c r="G31" i="1"/>
  <c r="G29" i="1"/>
  <c r="G28" i="1"/>
  <c r="G30" i="1"/>
  <c r="G32" i="1" s="1"/>
  <c r="G33" i="1" s="1"/>
  <c r="G18" i="1"/>
  <c r="G14" i="1"/>
  <c r="G13" i="1"/>
  <c r="G12" i="1"/>
  <c r="G11" i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G10" i="1"/>
  <c r="G9" i="1"/>
  <c r="G7" i="1"/>
  <c r="G6" i="1"/>
  <c r="G25" i="1" s="1"/>
  <c r="G5" i="1"/>
  <c r="G24" i="1" s="1"/>
  <c r="F31" i="1"/>
  <c r="F32" i="1" s="1"/>
  <c r="F33" i="1" s="1"/>
  <c r="E31" i="1"/>
  <c r="E32" i="1" s="1"/>
  <c r="E33" i="1" s="1"/>
  <c r="D31" i="1"/>
  <c r="D32" i="1" s="1"/>
  <c r="D33" i="1" s="1"/>
  <c r="E8" i="1"/>
  <c r="E15" i="1" s="1"/>
  <c r="E17" i="1" s="1"/>
  <c r="E19" i="1" s="1"/>
  <c r="F8" i="1"/>
  <c r="F15" i="1" s="1"/>
  <c r="F17" i="1" s="1"/>
  <c r="F19" i="1" s="1"/>
  <c r="D8" i="1"/>
  <c r="D15" i="1" s="1"/>
  <c r="D17" i="1" s="1"/>
  <c r="D19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H6" i="1" l="1"/>
  <c r="H5" i="1"/>
  <c r="E26" i="1"/>
  <c r="F26" i="1"/>
  <c r="G8" i="1"/>
  <c r="D23" i="1"/>
  <c r="E23" i="1"/>
  <c r="F23" i="1"/>
  <c r="H13" i="1" l="1"/>
  <c r="H9" i="1"/>
  <c r="I5" i="1"/>
  <c r="H12" i="1"/>
  <c r="H24" i="1"/>
  <c r="H14" i="1" s="1"/>
  <c r="H8" i="1"/>
  <c r="H25" i="1"/>
  <c r="I6" i="1"/>
  <c r="G15" i="1"/>
  <c r="G17" i="1" s="1"/>
  <c r="G19" i="1" s="1"/>
  <c r="G26" i="1"/>
  <c r="J6" i="1" l="1"/>
  <c r="I25" i="1"/>
  <c r="H26" i="1"/>
  <c r="H10" i="1" s="1"/>
  <c r="H15" i="1"/>
  <c r="G23" i="1"/>
  <c r="I12" i="1"/>
  <c r="I13" i="1"/>
  <c r="I9" i="1"/>
  <c r="J5" i="1"/>
  <c r="I8" i="1"/>
  <c r="I24" i="1"/>
  <c r="I14" i="1" s="1"/>
  <c r="I26" i="1" l="1"/>
  <c r="H17" i="1"/>
  <c r="H23" i="1"/>
  <c r="I10" i="1"/>
  <c r="I15" i="1" s="1"/>
  <c r="J12" i="1"/>
  <c r="K5" i="1"/>
  <c r="J13" i="1"/>
  <c r="J9" i="1"/>
  <c r="J24" i="1"/>
  <c r="J14" i="1" s="1"/>
  <c r="J8" i="1"/>
  <c r="K6" i="1"/>
  <c r="J25" i="1"/>
  <c r="I23" i="1" l="1"/>
  <c r="I17" i="1"/>
  <c r="L5" i="1"/>
  <c r="K12" i="1"/>
  <c r="K13" i="1"/>
  <c r="K9" i="1"/>
  <c r="K24" i="1"/>
  <c r="K14" i="1" s="1"/>
  <c r="K8" i="1"/>
  <c r="H18" i="1"/>
  <c r="H19" i="1" s="1"/>
  <c r="J26" i="1"/>
  <c r="J10" i="1" s="1"/>
  <c r="L6" i="1"/>
  <c r="K25" i="1"/>
  <c r="J15" i="1" l="1"/>
  <c r="K26" i="1"/>
  <c r="K10" i="1" s="1"/>
  <c r="M5" i="1"/>
  <c r="L12" i="1"/>
  <c r="L13" i="1"/>
  <c r="L9" i="1"/>
  <c r="L24" i="1"/>
  <c r="L14" i="1" s="1"/>
  <c r="L8" i="1"/>
  <c r="I18" i="1"/>
  <c r="I19" i="1" s="1"/>
  <c r="M6" i="1"/>
  <c r="L25" i="1"/>
  <c r="K15" i="1" l="1"/>
  <c r="N5" i="1"/>
  <c r="M12" i="1"/>
  <c r="M13" i="1"/>
  <c r="M9" i="1"/>
  <c r="M8" i="1"/>
  <c r="M24" i="1"/>
  <c r="M14" i="1" s="1"/>
  <c r="L26" i="1"/>
  <c r="L10" i="1" s="1"/>
  <c r="N6" i="1"/>
  <c r="M25" i="1"/>
  <c r="J17" i="1"/>
  <c r="J23" i="1"/>
  <c r="L15" i="1" l="1"/>
  <c r="M26" i="1"/>
  <c r="M10" i="1" s="1"/>
  <c r="J18" i="1"/>
  <c r="J19" i="1" s="1"/>
  <c r="K23" i="1"/>
  <c r="K17" i="1"/>
  <c r="O6" i="1"/>
  <c r="N25" i="1"/>
  <c r="O5" i="1"/>
  <c r="N12" i="1"/>
  <c r="N13" i="1"/>
  <c r="N9" i="1"/>
  <c r="N24" i="1"/>
  <c r="N14" i="1" s="1"/>
  <c r="N8" i="1"/>
  <c r="M15" i="1" l="1"/>
  <c r="P6" i="1"/>
  <c r="O25" i="1"/>
  <c r="N26" i="1"/>
  <c r="N10" i="1" s="1"/>
  <c r="K18" i="1"/>
  <c r="K19" i="1" s="1"/>
  <c r="L17" i="1"/>
  <c r="L23" i="1"/>
  <c r="P5" i="1"/>
  <c r="O13" i="1"/>
  <c r="O12" i="1"/>
  <c r="O9" i="1"/>
  <c r="O8" i="1"/>
  <c r="O24" i="1"/>
  <c r="O14" i="1" s="1"/>
  <c r="N15" i="1" l="1"/>
  <c r="O26" i="1"/>
  <c r="O10" i="1" s="1"/>
  <c r="M23" i="1"/>
  <c r="M17" i="1"/>
  <c r="L18" i="1"/>
  <c r="L19" i="1" s="1"/>
  <c r="Q5" i="1"/>
  <c r="P12" i="1"/>
  <c r="P13" i="1"/>
  <c r="P9" i="1"/>
  <c r="P24" i="1"/>
  <c r="P14" i="1" s="1"/>
  <c r="P8" i="1"/>
  <c r="Q6" i="1"/>
  <c r="Q25" i="1" s="1"/>
  <c r="P25" i="1"/>
  <c r="O15" i="1" l="1"/>
  <c r="Q9" i="1"/>
  <c r="Q12" i="1"/>
  <c r="Q13" i="1"/>
  <c r="Q8" i="1"/>
  <c r="Q24" i="1"/>
  <c r="M18" i="1"/>
  <c r="M19" i="1" s="1"/>
  <c r="P26" i="1"/>
  <c r="P10" i="1" s="1"/>
  <c r="Q14" i="1"/>
  <c r="N23" i="1"/>
  <c r="N17" i="1"/>
  <c r="P15" i="1" l="1"/>
  <c r="N18" i="1"/>
  <c r="N19" i="1" s="1"/>
  <c r="O17" i="1"/>
  <c r="O23" i="1"/>
  <c r="Q26" i="1"/>
  <c r="Q10" i="1" s="1"/>
  <c r="Q15" i="1" s="1"/>
  <c r="Q23" i="1" l="1"/>
  <c r="Q17" i="1"/>
  <c r="O18" i="1"/>
  <c r="O19" i="1" s="1"/>
  <c r="P17" i="1"/>
  <c r="P23" i="1"/>
  <c r="Q18" i="1" l="1"/>
  <c r="Q19" i="1" s="1"/>
  <c r="P18" i="1"/>
  <c r="P19" i="1" s="1"/>
</calcChain>
</file>

<file path=xl/sharedStrings.xml><?xml version="1.0" encoding="utf-8"?>
<sst xmlns="http://schemas.openxmlformats.org/spreadsheetml/2006/main" count="40" uniqueCount="35">
  <si>
    <t>Revenue</t>
  </si>
  <si>
    <t>Transaction-based</t>
  </si>
  <si>
    <t>Net interest revenue</t>
  </si>
  <si>
    <t>other revenue</t>
  </si>
  <si>
    <t>Total Revenue</t>
  </si>
  <si>
    <t>Broker &amp; Transaction</t>
  </si>
  <si>
    <t>Tech &amp; Devs</t>
  </si>
  <si>
    <t>Operations</t>
  </si>
  <si>
    <t>Provision for credit loss</t>
  </si>
  <si>
    <t>Marketing</t>
  </si>
  <si>
    <t>G&amp;A</t>
  </si>
  <si>
    <t>Operating Income</t>
  </si>
  <si>
    <t>Other income</t>
  </si>
  <si>
    <t>Pretax</t>
  </si>
  <si>
    <t>Taxes</t>
  </si>
  <si>
    <t>Net Income</t>
  </si>
  <si>
    <t>Operating Margin</t>
  </si>
  <si>
    <t>CFFO</t>
  </si>
  <si>
    <t>CapEx</t>
  </si>
  <si>
    <t>FCF</t>
  </si>
  <si>
    <t>SBC</t>
  </si>
  <si>
    <t>D&amp;A</t>
  </si>
  <si>
    <t>Adj. FCF</t>
  </si>
  <si>
    <t>Cash</t>
  </si>
  <si>
    <t>PP&amp;E</t>
  </si>
  <si>
    <t>Discount</t>
  </si>
  <si>
    <t>Terminal</t>
  </si>
  <si>
    <t>NPV</t>
  </si>
  <si>
    <t>Net Cash</t>
  </si>
  <si>
    <t>Value</t>
  </si>
  <si>
    <t>Price</t>
  </si>
  <si>
    <t>EPS</t>
  </si>
  <si>
    <t>Shares</t>
  </si>
  <si>
    <t>Stocks Bought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</si>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</sst>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604157</xdr:colOff>
      <xdr:row>4</xdr:row>
      <xdr:rowOff>10886</xdr:rowOff>
    </xdr:from>
    <xdr:to>
      <xdr:col>6</xdr:col>
      <xdr:colOff>0</xdr:colOff>
      <xdr:row>36</xdr:row>
      <xdr:rowOff>10886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82BC56A-0C54-807B-9911-CFAEE59E39A9}"/>
            </a:ext>
          </a:extLst>
        </xdr:cNvPr>
        <xdr:cNvCxnSpPr/>
      </xdr:nvCxnSpPr>
      <xdr:spPr>
        <a:xfrm flipH="1">
          <a:off x="4098471" y="772886"/>
          <a:ext cx="5443" cy="514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AB4-BB98-46D4-BDD0-C8AA427D83EA}">
  <dimension ref="B2:ET172"/>
  <sheetViews>
    <sheetView tabSelected="1" zoomScale="175" zoomScaleNormal="175" workbookViewId="0">
      <pane xSplit="2" ySplit="2" topLeftCell="J15" activePane="bottomRight" state="frozen"/>
      <selection pane="topRight" activeCell="C1" sqref="C1"/>
      <selection pane="bottomLeft" activeCell="A3" sqref="A3"/>
      <selection pane="bottomRight" activeCell="T29" sqref="T29"/>
    </sheetView>
  </sheetViews>
  <sheetFormatPr defaultRowHeight="15" x14ac:dyDescent="0.25"/>
  <cols>
    <col min="1" max="1" width="2.85546875" customWidth="1"/>
    <col min="2" max="2" width="22.140625" bestFit="1" customWidth="1"/>
  </cols>
  <sheetData>
    <row r="2" spans="2:17" x14ac:dyDescent="0.25">
      <c r="D2">
        <v>2022</v>
      </c>
      <c r="E2">
        <f>+D2+1</f>
        <v>2023</v>
      </c>
      <c r="F2">
        <f t="shared" ref="F2:Q2" si="0">+E2+1</f>
        <v>2024</v>
      </c>
      <c r="G2">
        <f t="shared" si="0"/>
        <v>2025</v>
      </c>
      <c r="H2">
        <f t="shared" si="0"/>
        <v>2026</v>
      </c>
      <c r="I2">
        <f t="shared" si="0"/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D4" s="4"/>
      <c r="E4" s="4"/>
      <c r="F4" s="4"/>
      <c r="G4" s="4"/>
    </row>
    <row r="5" spans="2:17" s="1" customFormat="1" x14ac:dyDescent="0.25">
      <c r="B5" s="1" t="s">
        <v>1</v>
      </c>
      <c r="D5" s="1">
        <v>814</v>
      </c>
      <c r="E5" s="1">
        <v>785</v>
      </c>
      <c r="F5" s="1">
        <v>1647</v>
      </c>
      <c r="G5" s="1">
        <f>1852*1.33</f>
        <v>2463.1600000000003</v>
      </c>
      <c r="H5" s="1">
        <f>+G5*1.25</f>
        <v>3078.9500000000003</v>
      </c>
      <c r="I5" s="1">
        <f>+H5*1.2</f>
        <v>3694.7400000000002</v>
      </c>
      <c r="J5" s="1">
        <f>+I5*1.15</f>
        <v>4248.951</v>
      </c>
      <c r="K5" s="1">
        <f>+J5*1.12</f>
        <v>4758.8251200000004</v>
      </c>
      <c r="L5" s="1">
        <f t="shared" ref="L5:Q5" si="1">+K5*1.12</f>
        <v>5329.8841344000011</v>
      </c>
      <c r="M5" s="1">
        <f t="shared" si="1"/>
        <v>5969.4702305280016</v>
      </c>
      <c r="N5" s="1">
        <f t="shared" si="1"/>
        <v>6685.8066581913627</v>
      </c>
      <c r="O5" s="1">
        <f t="shared" si="1"/>
        <v>7488.1034571743266</v>
      </c>
      <c r="P5" s="1">
        <f t="shared" si="1"/>
        <v>8386.6758720352464</v>
      </c>
      <c r="Q5" s="1">
        <f t="shared" si="1"/>
        <v>9393.0769766794765</v>
      </c>
    </row>
    <row r="6" spans="2:17" s="1" customFormat="1" x14ac:dyDescent="0.25">
      <c r="B6" s="1" t="s">
        <v>2</v>
      </c>
      <c r="D6" s="1">
        <v>424</v>
      </c>
      <c r="E6" s="1">
        <v>929</v>
      </c>
      <c r="F6" s="1">
        <v>1109</v>
      </c>
      <c r="G6" s="1">
        <f>1103*1.33</f>
        <v>1466.99</v>
      </c>
      <c r="H6" s="1">
        <f>+G6*1.2</f>
        <v>1760.3879999999999</v>
      </c>
      <c r="I6" s="1">
        <f>+H6*1.18</f>
        <v>2077.2578399999998</v>
      </c>
      <c r="J6" s="1">
        <f>+I6*1.15</f>
        <v>2388.8465159999996</v>
      </c>
      <c r="K6" s="1">
        <f>+J6*1.12</f>
        <v>2675.5080979199997</v>
      </c>
      <c r="L6" s="1">
        <f>+K6*1.1</f>
        <v>2943.0589077119998</v>
      </c>
      <c r="M6" s="1">
        <f t="shared" ref="M6:Q6" si="2">+L6*1.1</f>
        <v>3237.3647984832</v>
      </c>
      <c r="N6" s="1">
        <f t="shared" si="2"/>
        <v>3561.1012783315205</v>
      </c>
      <c r="O6" s="1">
        <f t="shared" si="2"/>
        <v>3917.211406164673</v>
      </c>
      <c r="P6" s="1">
        <f t="shared" si="2"/>
        <v>4308.9325467811404</v>
      </c>
      <c r="Q6" s="1">
        <f t="shared" si="2"/>
        <v>4739.8258014592548</v>
      </c>
    </row>
    <row r="7" spans="2:17" s="1" customFormat="1" x14ac:dyDescent="0.25">
      <c r="B7" s="1" t="s">
        <v>3</v>
      </c>
      <c r="D7" s="1">
        <v>120</v>
      </c>
      <c r="E7" s="1">
        <v>151</v>
      </c>
      <c r="F7" s="1">
        <v>195</v>
      </c>
      <c r="G7" s="1">
        <f>235*1.33</f>
        <v>312.55</v>
      </c>
      <c r="H7" s="1">
        <v>500</v>
      </c>
      <c r="I7" s="1">
        <v>500</v>
      </c>
      <c r="J7" s="1">
        <v>500</v>
      </c>
      <c r="K7" s="1">
        <v>500</v>
      </c>
      <c r="L7" s="1">
        <v>500</v>
      </c>
      <c r="M7" s="1">
        <v>500</v>
      </c>
      <c r="N7" s="1">
        <v>500</v>
      </c>
      <c r="O7" s="1">
        <v>500</v>
      </c>
      <c r="P7" s="1">
        <v>500</v>
      </c>
      <c r="Q7" s="1">
        <v>500</v>
      </c>
    </row>
    <row r="8" spans="2:17" s="2" customFormat="1" x14ac:dyDescent="0.25">
      <c r="B8" s="2" t="s">
        <v>4</v>
      </c>
      <c r="D8" s="2">
        <f>+SUM(D5:D7)</f>
        <v>1358</v>
      </c>
      <c r="E8" s="2">
        <f t="shared" ref="E8:H8" si="3">+SUM(E5:E7)</f>
        <v>1865</v>
      </c>
      <c r="F8" s="2">
        <f t="shared" si="3"/>
        <v>2951</v>
      </c>
      <c r="G8" s="2">
        <f t="shared" si="3"/>
        <v>4242.7000000000007</v>
      </c>
      <c r="H8" s="2">
        <f t="shared" si="3"/>
        <v>5339.3379999999997</v>
      </c>
      <c r="I8" s="2">
        <f t="shared" ref="I8" si="4">+SUM(I5:I7)</f>
        <v>6271.99784</v>
      </c>
      <c r="J8" s="2">
        <f t="shared" ref="J8" si="5">+SUM(J5:J7)</f>
        <v>7137.7975159999996</v>
      </c>
      <c r="K8" s="2">
        <f t="shared" ref="K8" si="6">+SUM(K5:K7)</f>
        <v>7934.3332179200006</v>
      </c>
      <c r="L8" s="2">
        <f t="shared" ref="L8" si="7">+SUM(L5:L7)</f>
        <v>8772.9430421120014</v>
      </c>
      <c r="M8" s="2">
        <f t="shared" ref="M8" si="8">+SUM(M5:M7)</f>
        <v>9706.8350290112012</v>
      </c>
      <c r="N8" s="2">
        <f t="shared" ref="N8" si="9">+SUM(N5:N7)</f>
        <v>10746.907936522883</v>
      </c>
      <c r="O8" s="2">
        <f t="shared" ref="O8" si="10">+SUM(O5:O7)</f>
        <v>11905.314863338999</v>
      </c>
      <c r="P8" s="2">
        <f t="shared" ref="P8" si="11">+SUM(P5:P7)</f>
        <v>13195.608418816388</v>
      </c>
      <c r="Q8" s="2">
        <f t="shared" ref="Q8" si="12">+SUM(Q5:Q7)</f>
        <v>14632.90277813873</v>
      </c>
    </row>
    <row r="9" spans="2:17" s="1" customFormat="1" x14ac:dyDescent="0.25">
      <c r="B9" s="1" t="s">
        <v>5</v>
      </c>
      <c r="D9" s="1">
        <v>179</v>
      </c>
      <c r="E9" s="1">
        <v>146</v>
      </c>
      <c r="F9" s="1">
        <v>164</v>
      </c>
      <c r="G9" s="1">
        <f>154*1.33</f>
        <v>204.82000000000002</v>
      </c>
      <c r="H9" s="1">
        <f>+H5*0.08</f>
        <v>246.31600000000003</v>
      </c>
      <c r="I9" s="1">
        <f t="shared" ref="I9:Q9" si="13">+I5*0.08</f>
        <v>295.57920000000001</v>
      </c>
      <c r="J9" s="1">
        <f t="shared" si="13"/>
        <v>339.91608000000002</v>
      </c>
      <c r="K9" s="1">
        <f t="shared" si="13"/>
        <v>380.70600960000002</v>
      </c>
      <c r="L9" s="1">
        <f t="shared" si="13"/>
        <v>426.39073075200008</v>
      </c>
      <c r="M9" s="1">
        <f t="shared" si="13"/>
        <v>477.55761844224014</v>
      </c>
      <c r="N9" s="1">
        <f t="shared" si="13"/>
        <v>534.86453265530906</v>
      </c>
      <c r="O9" s="1">
        <f t="shared" si="13"/>
        <v>599.04827657394617</v>
      </c>
      <c r="P9" s="1">
        <f t="shared" si="13"/>
        <v>670.93406976281972</v>
      </c>
      <c r="Q9" s="1">
        <f t="shared" si="13"/>
        <v>751.44615813435814</v>
      </c>
    </row>
    <row r="10" spans="2:17" s="1" customFormat="1" x14ac:dyDescent="0.25">
      <c r="B10" s="1" t="s">
        <v>6</v>
      </c>
      <c r="D10" s="1">
        <v>878</v>
      </c>
      <c r="E10" s="1">
        <v>805</v>
      </c>
      <c r="F10" s="1">
        <v>818</v>
      </c>
      <c r="G10" s="1">
        <f>665*1.33</f>
        <v>884.45</v>
      </c>
      <c r="H10" s="1">
        <f>+G10*(1+H26/3)</f>
        <v>960.65316300940435</v>
      </c>
      <c r="I10" s="1">
        <f t="shared" ref="I10:Q10" si="14">+H10*(1+I26/3)</f>
        <v>1016.5878516236012</v>
      </c>
      <c r="J10" s="1">
        <f t="shared" si="14"/>
        <v>1063.3651547527559</v>
      </c>
      <c r="K10" s="1">
        <f t="shared" si="14"/>
        <v>1102.9202279640472</v>
      </c>
      <c r="L10" s="1">
        <f t="shared" si="14"/>
        <v>1141.7775044386376</v>
      </c>
      <c r="M10" s="1">
        <f t="shared" si="14"/>
        <v>1182.2921054909318</v>
      </c>
      <c r="N10" s="1">
        <f t="shared" si="14"/>
        <v>1224.5190512121992</v>
      </c>
      <c r="O10" s="1">
        <f t="shared" si="14"/>
        <v>1268.5159341395461</v>
      </c>
      <c r="P10" s="1">
        <f t="shared" si="14"/>
        <v>1314.3430277143896</v>
      </c>
      <c r="Q10" s="1">
        <f t="shared" si="14"/>
        <v>1362.0633944705187</v>
      </c>
    </row>
    <row r="11" spans="2:17" s="1" customFormat="1" x14ac:dyDescent="0.25">
      <c r="B11" s="1" t="s">
        <v>7</v>
      </c>
      <c r="D11" s="1">
        <v>249</v>
      </c>
      <c r="E11" s="1">
        <v>116</v>
      </c>
      <c r="F11" s="1">
        <v>112</v>
      </c>
      <c r="G11" s="1">
        <f>93*1.33</f>
        <v>123.69000000000001</v>
      </c>
      <c r="H11" s="1">
        <f>+G11*1.05</f>
        <v>129.87450000000001</v>
      </c>
      <c r="I11" s="1">
        <f t="shared" ref="I11:Q11" si="15">+H11*1.05</f>
        <v>136.36822500000002</v>
      </c>
      <c r="J11" s="1">
        <f t="shared" si="15"/>
        <v>143.18663625000002</v>
      </c>
      <c r="K11" s="1">
        <f t="shared" si="15"/>
        <v>150.34596806250002</v>
      </c>
      <c r="L11" s="1">
        <f t="shared" si="15"/>
        <v>157.86326646562503</v>
      </c>
      <c r="M11" s="1">
        <f t="shared" si="15"/>
        <v>165.7564297889063</v>
      </c>
      <c r="N11" s="1">
        <f t="shared" si="15"/>
        <v>174.04425127835162</v>
      </c>
      <c r="O11" s="1">
        <f t="shared" si="15"/>
        <v>182.74646384226921</v>
      </c>
      <c r="P11" s="1">
        <f t="shared" si="15"/>
        <v>191.88378703438266</v>
      </c>
      <c r="Q11" s="1">
        <f t="shared" si="15"/>
        <v>201.4779763861018</v>
      </c>
    </row>
    <row r="12" spans="2:17" s="1" customFormat="1" x14ac:dyDescent="0.25">
      <c r="B12" s="1" t="s">
        <v>8</v>
      </c>
      <c r="D12" s="1">
        <v>36</v>
      </c>
      <c r="E12" s="1">
        <v>43</v>
      </c>
      <c r="F12" s="1">
        <v>76</v>
      </c>
      <c r="G12" s="1">
        <f>78*1.33</f>
        <v>103.74000000000001</v>
      </c>
      <c r="H12" s="1">
        <f>+H5*0.04</f>
        <v>123.15800000000002</v>
      </c>
      <c r="I12" s="1">
        <f t="shared" ref="I12:Q12" si="16">+I5*0.04</f>
        <v>147.78960000000001</v>
      </c>
      <c r="J12" s="1">
        <f t="shared" si="16"/>
        <v>169.95804000000001</v>
      </c>
      <c r="K12" s="1">
        <f t="shared" si="16"/>
        <v>190.35300480000001</v>
      </c>
      <c r="L12" s="1">
        <f t="shared" si="16"/>
        <v>213.19536537600004</v>
      </c>
      <c r="M12" s="1">
        <f t="shared" si="16"/>
        <v>238.77880922112007</v>
      </c>
      <c r="N12" s="1">
        <f t="shared" si="16"/>
        <v>267.43226632765453</v>
      </c>
      <c r="O12" s="1">
        <f t="shared" si="16"/>
        <v>299.52413828697308</v>
      </c>
      <c r="P12" s="1">
        <f t="shared" si="16"/>
        <v>335.46703488140986</v>
      </c>
      <c r="Q12" s="1">
        <f t="shared" si="16"/>
        <v>375.72307906717907</v>
      </c>
    </row>
    <row r="13" spans="2:17" s="1" customFormat="1" x14ac:dyDescent="0.25">
      <c r="B13" s="1" t="s">
        <v>9</v>
      </c>
      <c r="D13" s="1">
        <v>103</v>
      </c>
      <c r="E13" s="1">
        <v>122</v>
      </c>
      <c r="F13" s="1">
        <v>272</v>
      </c>
      <c r="G13" s="1">
        <f>306*1.33</f>
        <v>406.98</v>
      </c>
      <c r="H13" s="1">
        <f>+H5*0.17</f>
        <v>523.42150000000004</v>
      </c>
      <c r="I13" s="1">
        <f t="shared" ref="I13:Q13" si="17">+I5*0.17</f>
        <v>628.10580000000004</v>
      </c>
      <c r="J13" s="1">
        <f t="shared" si="17"/>
        <v>722.32167000000004</v>
      </c>
      <c r="K13" s="1">
        <f t="shared" si="17"/>
        <v>809.00027040000009</v>
      </c>
      <c r="L13" s="1">
        <f t="shared" si="17"/>
        <v>906.0803028480002</v>
      </c>
      <c r="M13" s="1">
        <f t="shared" si="17"/>
        <v>1014.8099391897604</v>
      </c>
      <c r="N13" s="1">
        <f t="shared" si="17"/>
        <v>1136.5871318925317</v>
      </c>
      <c r="O13" s="1">
        <f t="shared" si="17"/>
        <v>1272.9775877196357</v>
      </c>
      <c r="P13" s="1">
        <f t="shared" si="17"/>
        <v>1425.7348982459919</v>
      </c>
      <c r="Q13" s="1">
        <f t="shared" si="17"/>
        <v>1596.8230860355111</v>
      </c>
    </row>
    <row r="14" spans="2:17" s="1" customFormat="1" x14ac:dyDescent="0.25">
      <c r="B14" s="1" t="s">
        <v>10</v>
      </c>
      <c r="D14" s="1">
        <v>924</v>
      </c>
      <c r="E14" s="1">
        <v>1169</v>
      </c>
      <c r="F14" s="1">
        <v>455</v>
      </c>
      <c r="G14" s="1">
        <f>450*1.33</f>
        <v>598.5</v>
      </c>
      <c r="H14" s="1">
        <f>+G14*(1+H24/2)</f>
        <v>673.3125</v>
      </c>
      <c r="I14" s="1">
        <f t="shared" ref="I14:Q14" si="18">+H14*(1+I24/2)</f>
        <v>740.64375000000007</v>
      </c>
      <c r="J14" s="1">
        <f t="shared" si="18"/>
        <v>796.19203125000001</v>
      </c>
      <c r="K14" s="1">
        <f t="shared" si="18"/>
        <v>843.96355312500009</v>
      </c>
      <c r="L14" s="1">
        <f t="shared" si="18"/>
        <v>894.60136631250009</v>
      </c>
      <c r="M14" s="1">
        <f t="shared" si="18"/>
        <v>948.27744829125015</v>
      </c>
      <c r="N14" s="1">
        <f t="shared" si="18"/>
        <v>1005.1740951887252</v>
      </c>
      <c r="O14" s="1">
        <f t="shared" si="18"/>
        <v>1065.4845409000488</v>
      </c>
      <c r="P14" s="1">
        <f t="shared" si="18"/>
        <v>1129.4136133540519</v>
      </c>
      <c r="Q14" s="1">
        <f t="shared" si="18"/>
        <v>1197.178430155295</v>
      </c>
    </row>
    <row r="15" spans="2:17" s="2" customFormat="1" x14ac:dyDescent="0.25">
      <c r="B15" s="2" t="s">
        <v>11</v>
      </c>
      <c r="D15" s="2">
        <f>+D8-SUM(D9:D14)</f>
        <v>-1011</v>
      </c>
      <c r="E15" s="2">
        <f t="shared" ref="E15:H15" si="19">+E8-SUM(E9:E14)</f>
        <v>-536</v>
      </c>
      <c r="F15" s="2">
        <f t="shared" si="19"/>
        <v>1054</v>
      </c>
      <c r="G15" s="2">
        <f t="shared" si="19"/>
        <v>1920.5200000000004</v>
      </c>
      <c r="H15" s="2">
        <f t="shared" si="19"/>
        <v>2682.6023369905956</v>
      </c>
      <c r="I15" s="2">
        <f t="shared" ref="I15" si="20">+I8-SUM(I9:I14)</f>
        <v>3306.9234133763985</v>
      </c>
      <c r="J15" s="2">
        <f t="shared" ref="J15" si="21">+J8-SUM(J9:J14)</f>
        <v>3902.8579037472437</v>
      </c>
      <c r="K15" s="2">
        <f t="shared" ref="K15" si="22">+K8-SUM(K9:K14)</f>
        <v>4457.0441839684536</v>
      </c>
      <c r="L15" s="2">
        <f t="shared" ref="L15" si="23">+L8-SUM(L9:L14)</f>
        <v>5033.0345059192387</v>
      </c>
      <c r="M15" s="2">
        <f t="shared" ref="M15" si="24">+M8-SUM(M9:M14)</f>
        <v>5679.3626785869928</v>
      </c>
      <c r="N15" s="2">
        <f t="shared" ref="N15" si="25">+N8-SUM(N9:N14)</f>
        <v>6404.2866079681116</v>
      </c>
      <c r="O15" s="2">
        <f t="shared" ref="O15" si="26">+O8-SUM(O9:O14)</f>
        <v>7217.0179218765797</v>
      </c>
      <c r="P15" s="2">
        <f t="shared" ref="P15" si="27">+P8-SUM(P9:P14)</f>
        <v>8127.8319878233415</v>
      </c>
      <c r="Q15" s="2">
        <f t="shared" ref="Q15" si="28">+Q8-SUM(Q9:Q14)</f>
        <v>9148.1906538897674</v>
      </c>
    </row>
    <row r="16" spans="2:17" s="1" customFormat="1" x14ac:dyDescent="0.25">
      <c r="B16" s="1" t="s">
        <v>12</v>
      </c>
      <c r="D16" s="1">
        <v>-16</v>
      </c>
      <c r="E16" s="1">
        <v>3</v>
      </c>
      <c r="F16" s="1">
        <v>10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</row>
    <row r="17" spans="2:150" s="1" customFormat="1" x14ac:dyDescent="0.25">
      <c r="B17" s="1" t="s">
        <v>13</v>
      </c>
      <c r="D17" s="1">
        <f>+D15+D16</f>
        <v>-1027</v>
      </c>
      <c r="E17" s="1">
        <f t="shared" ref="E17:H17" si="29">+E15+E16</f>
        <v>-533</v>
      </c>
      <c r="F17" s="1">
        <f t="shared" si="29"/>
        <v>1064</v>
      </c>
      <c r="G17" s="1">
        <f t="shared" si="29"/>
        <v>1925.5200000000004</v>
      </c>
      <c r="H17" s="1">
        <f t="shared" si="29"/>
        <v>2687.6023369905956</v>
      </c>
      <c r="I17" s="1">
        <f t="shared" ref="I17" si="30">+I15+I16</f>
        <v>3311.9234133763985</v>
      </c>
      <c r="J17" s="1">
        <f t="shared" ref="J17" si="31">+J15+J16</f>
        <v>3907.8579037472437</v>
      </c>
      <c r="K17" s="1">
        <f t="shared" ref="K17" si="32">+K15+K16</f>
        <v>4462.0441839684536</v>
      </c>
      <c r="L17" s="1">
        <f t="shared" ref="L17" si="33">+L15+L16</f>
        <v>5038.0345059192387</v>
      </c>
      <c r="M17" s="1">
        <f t="shared" ref="M17" si="34">+M15+M16</f>
        <v>5684.3626785869928</v>
      </c>
      <c r="N17" s="1">
        <f t="shared" ref="N17" si="35">+N15+N16</f>
        <v>6409.2866079681116</v>
      </c>
      <c r="O17" s="1">
        <f t="shared" ref="O17" si="36">+O15+O16</f>
        <v>7222.0179218765797</v>
      </c>
      <c r="P17" s="1">
        <f t="shared" ref="P17" si="37">+P15+P16</f>
        <v>8132.8319878233415</v>
      </c>
      <c r="Q17" s="1">
        <f t="shared" ref="Q17" si="38">+Q15+Q16</f>
        <v>9153.1906538897674</v>
      </c>
    </row>
    <row r="18" spans="2:150" s="1" customFormat="1" x14ac:dyDescent="0.25">
      <c r="B18" s="1" t="s">
        <v>14</v>
      </c>
      <c r="D18" s="1">
        <v>1</v>
      </c>
      <c r="E18" s="1">
        <v>8</v>
      </c>
      <c r="F18" s="1">
        <v>-347</v>
      </c>
      <c r="G18" s="1">
        <f>169*1.33</f>
        <v>224.77</v>
      </c>
      <c r="H18" s="1">
        <f>+H17*0.2</f>
        <v>537.52046739811919</v>
      </c>
      <c r="I18" s="1">
        <f t="shared" ref="I18:Q18" si="39">+I17*0.2</f>
        <v>662.38468267527969</v>
      </c>
      <c r="J18" s="1">
        <f t="shared" si="39"/>
        <v>781.5715807494488</v>
      </c>
      <c r="K18" s="1">
        <f t="shared" si="39"/>
        <v>892.40883679369074</v>
      </c>
      <c r="L18" s="1">
        <f t="shared" si="39"/>
        <v>1007.6069011838478</v>
      </c>
      <c r="M18" s="1">
        <f t="shared" si="39"/>
        <v>1136.8725357173987</v>
      </c>
      <c r="N18" s="1">
        <f t="shared" si="39"/>
        <v>1281.8573215936224</v>
      </c>
      <c r="O18" s="1">
        <f t="shared" si="39"/>
        <v>1444.4035843753161</v>
      </c>
      <c r="P18" s="1">
        <f t="shared" si="39"/>
        <v>1626.5663975646685</v>
      </c>
      <c r="Q18" s="1">
        <f t="shared" si="39"/>
        <v>1830.6381307779536</v>
      </c>
    </row>
    <row r="19" spans="2:150" s="1" customFormat="1" x14ac:dyDescent="0.25">
      <c r="B19" s="1" t="s">
        <v>15</v>
      </c>
      <c r="D19" s="1">
        <f>+D17-D18</f>
        <v>-1028</v>
      </c>
      <c r="E19" s="1">
        <f t="shared" ref="E19:H19" si="40">+E17-E18</f>
        <v>-541</v>
      </c>
      <c r="F19" s="1">
        <f t="shared" si="40"/>
        <v>1411</v>
      </c>
      <c r="G19" s="1">
        <f t="shared" si="40"/>
        <v>1700.7500000000005</v>
      </c>
      <c r="H19" s="1">
        <f t="shared" si="40"/>
        <v>2150.0818695924763</v>
      </c>
      <c r="I19" s="1">
        <f t="shared" ref="I19" si="41">+I17-I18</f>
        <v>2649.5387307011188</v>
      </c>
      <c r="J19" s="1">
        <f t="shared" ref="J19" si="42">+J17-J18</f>
        <v>3126.2863229977947</v>
      </c>
      <c r="K19" s="1">
        <f t="shared" ref="K19" si="43">+K17-K18</f>
        <v>3569.635347174763</v>
      </c>
      <c r="L19" s="1">
        <f t="shared" ref="L19" si="44">+L17-L18</f>
        <v>4030.427604735391</v>
      </c>
      <c r="M19" s="1">
        <f t="shared" ref="M19" si="45">+M17-M18</f>
        <v>4547.4901428695939</v>
      </c>
      <c r="N19" s="1">
        <f t="shared" ref="N19" si="46">+N17-N18</f>
        <v>5127.4292863744895</v>
      </c>
      <c r="O19" s="1">
        <f t="shared" ref="O19" si="47">+O17-O18</f>
        <v>5777.6143375012634</v>
      </c>
      <c r="P19" s="1">
        <f t="shared" ref="P19" si="48">+P17-P18</f>
        <v>6506.265590258673</v>
      </c>
      <c r="Q19" s="1">
        <f t="shared" ref="Q19" si="49">+Q17-Q18</f>
        <v>7322.5525231118136</v>
      </c>
      <c r="R19" s="1">
        <f>+Q19*(1+$T24)</f>
        <v>7542.2290988051682</v>
      </c>
      <c r="S19" s="1">
        <f t="shared" ref="S19:CD19" si="50">+R19*(1+$T24)</f>
        <v>7768.4959717693237</v>
      </c>
      <c r="T19" s="1">
        <f t="shared" si="50"/>
        <v>8001.5508509224037</v>
      </c>
      <c r="U19" s="1">
        <f t="shared" si="50"/>
        <v>8241.5973764500759</v>
      </c>
      <c r="V19" s="1">
        <f t="shared" si="50"/>
        <v>8488.8452977435791</v>
      </c>
      <c r="W19" s="1">
        <f t="shared" si="50"/>
        <v>8743.5106566758859</v>
      </c>
      <c r="X19" s="1">
        <f t="shared" si="50"/>
        <v>9005.8159763761632</v>
      </c>
      <c r="Y19" s="1">
        <f t="shared" si="50"/>
        <v>9275.9904556674483</v>
      </c>
      <c r="Z19" s="1">
        <f t="shared" si="50"/>
        <v>9554.2701693374711</v>
      </c>
      <c r="AA19" s="1">
        <f t="shared" si="50"/>
        <v>9840.8982744175955</v>
      </c>
      <c r="AB19" s="1">
        <f t="shared" si="50"/>
        <v>10136.125222650124</v>
      </c>
      <c r="AC19" s="1">
        <f t="shared" si="50"/>
        <v>10440.208979329627</v>
      </c>
      <c r="AD19" s="1">
        <f t="shared" si="50"/>
        <v>10753.415248709516</v>
      </c>
      <c r="AE19" s="1">
        <f t="shared" si="50"/>
        <v>11076.017706170802</v>
      </c>
      <c r="AF19" s="1">
        <f t="shared" si="50"/>
        <v>11408.298237355926</v>
      </c>
      <c r="AG19" s="1">
        <f t="shared" si="50"/>
        <v>11750.547184476603</v>
      </c>
      <c r="AH19" s="1">
        <f t="shared" si="50"/>
        <v>12103.063600010903</v>
      </c>
      <c r="AI19" s="1">
        <f t="shared" si="50"/>
        <v>12466.15550801123</v>
      </c>
      <c r="AJ19" s="1">
        <f t="shared" si="50"/>
        <v>12840.140173251568</v>
      </c>
      <c r="AK19" s="1">
        <f t="shared" si="50"/>
        <v>13225.344378449116</v>
      </c>
      <c r="AL19" s="1">
        <f t="shared" si="50"/>
        <v>13622.10470980259</v>
      </c>
      <c r="AM19" s="1">
        <f t="shared" si="50"/>
        <v>14030.767851096669</v>
      </c>
      <c r="AN19" s="1">
        <f t="shared" si="50"/>
        <v>14451.690886629569</v>
      </c>
      <c r="AO19" s="1">
        <f t="shared" si="50"/>
        <v>14885.241613228456</v>
      </c>
      <c r="AP19" s="1">
        <f t="shared" si="50"/>
        <v>15331.79886162531</v>
      </c>
      <c r="AQ19" s="1">
        <f t="shared" si="50"/>
        <v>15791.752827474069</v>
      </c>
      <c r="AR19" s="1">
        <f t="shared" si="50"/>
        <v>16265.505412298291</v>
      </c>
      <c r="AS19" s="1">
        <f t="shared" si="50"/>
        <v>16753.470574667241</v>
      </c>
      <c r="AT19" s="1">
        <f t="shared" si="50"/>
        <v>17256.074691907259</v>
      </c>
      <c r="AU19" s="1">
        <f t="shared" si="50"/>
        <v>17773.756932664477</v>
      </c>
      <c r="AV19" s="1">
        <f t="shared" si="50"/>
        <v>18306.969640644413</v>
      </c>
      <c r="AW19" s="1">
        <f t="shared" si="50"/>
        <v>18856.178729863746</v>
      </c>
      <c r="AX19" s="1">
        <f t="shared" si="50"/>
        <v>19421.86409175966</v>
      </c>
      <c r="AY19" s="1">
        <f t="shared" si="50"/>
        <v>20004.520014512451</v>
      </c>
      <c r="AZ19" s="1">
        <f t="shared" si="50"/>
        <v>20604.655614947824</v>
      </c>
      <c r="BA19" s="1">
        <f t="shared" si="50"/>
        <v>21222.795283396259</v>
      </c>
      <c r="BB19" s="1">
        <f t="shared" si="50"/>
        <v>21859.479141898148</v>
      </c>
      <c r="BC19" s="1">
        <f t="shared" si="50"/>
        <v>22515.263516155093</v>
      </c>
      <c r="BD19" s="1">
        <f t="shared" si="50"/>
        <v>23190.721421639748</v>
      </c>
      <c r="BE19" s="1">
        <f t="shared" si="50"/>
        <v>23886.443064288942</v>
      </c>
      <c r="BF19" s="1">
        <f t="shared" si="50"/>
        <v>24603.03635621761</v>
      </c>
      <c r="BG19" s="1">
        <f t="shared" si="50"/>
        <v>25341.127446904138</v>
      </c>
      <c r="BH19" s="1">
        <f t="shared" si="50"/>
        <v>26101.361270311263</v>
      </c>
      <c r="BI19" s="1">
        <f t="shared" si="50"/>
        <v>26884.402108420603</v>
      </c>
      <c r="BJ19" s="1">
        <f t="shared" si="50"/>
        <v>27690.934171673223</v>
      </c>
      <c r="BK19" s="1">
        <f t="shared" si="50"/>
        <v>28521.662196823421</v>
      </c>
      <c r="BL19" s="1">
        <f t="shared" si="50"/>
        <v>29377.312062728124</v>
      </c>
      <c r="BM19" s="1">
        <f t="shared" si="50"/>
        <v>30258.631424609968</v>
      </c>
      <c r="BN19" s="1">
        <f t="shared" si="50"/>
        <v>31166.390367348267</v>
      </c>
      <c r="BO19" s="1">
        <f t="shared" si="50"/>
        <v>32101.382078368715</v>
      </c>
      <c r="BP19" s="1">
        <f t="shared" si="50"/>
        <v>33064.423540719778</v>
      </c>
      <c r="BQ19" s="1">
        <f t="shared" si="50"/>
        <v>34056.356246941374</v>
      </c>
      <c r="BR19" s="1">
        <f t="shared" si="50"/>
        <v>35078.046934349615</v>
      </c>
      <c r="BS19" s="1">
        <f t="shared" si="50"/>
        <v>36130.388342380102</v>
      </c>
      <c r="BT19" s="1">
        <f t="shared" si="50"/>
        <v>37214.299992651504</v>
      </c>
      <c r="BU19" s="1">
        <f t="shared" si="50"/>
        <v>38330.728992431053</v>
      </c>
      <c r="BV19" s="1">
        <f t="shared" si="50"/>
        <v>39480.650862203984</v>
      </c>
      <c r="BW19" s="1">
        <f t="shared" si="50"/>
        <v>40665.070388070104</v>
      </c>
      <c r="BX19" s="1">
        <f t="shared" si="50"/>
        <v>41885.022499712206</v>
      </c>
      <c r="BY19" s="1">
        <f t="shared" si="50"/>
        <v>43141.573174703575</v>
      </c>
      <c r="BZ19" s="1">
        <f t="shared" si="50"/>
        <v>44435.820369944682</v>
      </c>
      <c r="CA19" s="1">
        <f t="shared" si="50"/>
        <v>45768.89498104302</v>
      </c>
      <c r="CB19" s="1">
        <f t="shared" si="50"/>
        <v>47141.961830474313</v>
      </c>
      <c r="CC19" s="1">
        <f t="shared" si="50"/>
        <v>48556.220685388544</v>
      </c>
      <c r="CD19" s="1">
        <f t="shared" si="50"/>
        <v>50012.907305950204</v>
      </c>
      <c r="CE19" s="1">
        <f t="shared" ref="CE19:EP19" si="51">+CD19*(1+$T24)</f>
        <v>51513.294525128709</v>
      </c>
      <c r="CF19" s="1">
        <f t="shared" si="51"/>
        <v>53058.693360882571</v>
      </c>
      <c r="CG19" s="1">
        <f t="shared" si="51"/>
        <v>54650.454161709051</v>
      </c>
      <c r="CH19" s="1">
        <f t="shared" si="51"/>
        <v>56289.967786560323</v>
      </c>
      <c r="CI19" s="1">
        <f t="shared" si="51"/>
        <v>57978.66682015713</v>
      </c>
      <c r="CJ19" s="1">
        <f t="shared" si="51"/>
        <v>59718.026824761844</v>
      </c>
      <c r="CK19" s="1">
        <f t="shared" si="51"/>
        <v>61509.567629504701</v>
      </c>
      <c r="CL19" s="1">
        <f t="shared" si="51"/>
        <v>63354.854658389842</v>
      </c>
      <c r="CM19" s="1">
        <f t="shared" si="51"/>
        <v>65255.500298141538</v>
      </c>
      <c r="CN19" s="1">
        <f t="shared" si="51"/>
        <v>67213.165307085786</v>
      </c>
      <c r="CO19" s="1">
        <f t="shared" si="51"/>
        <v>69229.560266298358</v>
      </c>
      <c r="CP19" s="1">
        <f t="shared" si="51"/>
        <v>71306.447074287309</v>
      </c>
      <c r="CQ19" s="1">
        <f t="shared" si="51"/>
        <v>73445.640486515927</v>
      </c>
      <c r="CR19" s="1">
        <f t="shared" si="51"/>
        <v>75649.009701111412</v>
      </c>
      <c r="CS19" s="1">
        <f t="shared" si="51"/>
        <v>77918.479992144756</v>
      </c>
      <c r="CT19" s="1">
        <f t="shared" si="51"/>
        <v>80256.034391909096</v>
      </c>
      <c r="CU19" s="1">
        <f t="shared" si="51"/>
        <v>82663.715423666377</v>
      </c>
      <c r="CV19" s="1">
        <f t="shared" si="51"/>
        <v>85143.626886376369</v>
      </c>
      <c r="CW19" s="1">
        <f t="shared" si="51"/>
        <v>87697.935692967658</v>
      </c>
      <c r="CX19" s="1">
        <f t="shared" si="51"/>
        <v>90328.873763756696</v>
      </c>
      <c r="CY19" s="1">
        <f t="shared" si="51"/>
        <v>93038.7399766694</v>
      </c>
      <c r="CZ19" s="1">
        <f t="shared" si="51"/>
        <v>95829.902175969488</v>
      </c>
      <c r="DA19" s="1">
        <f t="shared" si="51"/>
        <v>98704.799241248576</v>
      </c>
      <c r="DB19" s="1">
        <f t="shared" si="51"/>
        <v>101665.94321848603</v>
      </c>
      <c r="DC19" s="1">
        <f t="shared" si="51"/>
        <v>104715.92151504062</v>
      </c>
      <c r="DD19" s="1">
        <f t="shared" si="51"/>
        <v>107857.39916049184</v>
      </c>
      <c r="DE19" s="1">
        <f t="shared" si="51"/>
        <v>111093.1211353066</v>
      </c>
      <c r="DF19" s="1">
        <f t="shared" si="51"/>
        <v>114425.9147693658</v>
      </c>
      <c r="DG19" s="1">
        <f t="shared" si="51"/>
        <v>117858.69221244678</v>
      </c>
      <c r="DH19" s="1">
        <f t="shared" si="51"/>
        <v>121394.45297882019</v>
      </c>
      <c r="DI19" s="1">
        <f t="shared" si="51"/>
        <v>125036.28656818481</v>
      </c>
      <c r="DJ19" s="1">
        <f t="shared" si="51"/>
        <v>128787.37516523035</v>
      </c>
      <c r="DK19" s="1">
        <f t="shared" si="51"/>
        <v>132650.99642018726</v>
      </c>
      <c r="DL19" s="1">
        <f t="shared" si="51"/>
        <v>136630.52631279288</v>
      </c>
      <c r="DM19" s="1">
        <f t="shared" si="51"/>
        <v>140729.44210217666</v>
      </c>
      <c r="DN19" s="1">
        <f t="shared" si="51"/>
        <v>144951.32536524197</v>
      </c>
      <c r="DO19" s="1">
        <f t="shared" si="51"/>
        <v>149299.86512619923</v>
      </c>
      <c r="DP19" s="1">
        <f t="shared" si="51"/>
        <v>153778.86107998522</v>
      </c>
      <c r="DQ19" s="1">
        <f t="shared" si="51"/>
        <v>158392.22691238477</v>
      </c>
      <c r="DR19" s="1">
        <f t="shared" si="51"/>
        <v>163143.99371975631</v>
      </c>
      <c r="DS19" s="1">
        <f t="shared" si="51"/>
        <v>168038.31353134901</v>
      </c>
      <c r="DT19" s="1">
        <f t="shared" si="51"/>
        <v>173079.46293728947</v>
      </c>
      <c r="DU19" s="1">
        <f t="shared" si="51"/>
        <v>178271.84682540817</v>
      </c>
      <c r="DV19" s="1">
        <f t="shared" si="51"/>
        <v>183620.00223017042</v>
      </c>
      <c r="DW19" s="1">
        <f t="shared" si="51"/>
        <v>189128.60229707553</v>
      </c>
      <c r="DX19" s="1">
        <f t="shared" si="51"/>
        <v>194802.46036598779</v>
      </c>
      <c r="DY19" s="1">
        <f t="shared" si="51"/>
        <v>200646.53417696743</v>
      </c>
      <c r="DZ19" s="1">
        <f t="shared" si="51"/>
        <v>206665.93020227645</v>
      </c>
      <c r="EA19" s="1">
        <f t="shared" si="51"/>
        <v>212865.90810834474</v>
      </c>
      <c r="EB19" s="1">
        <f t="shared" si="51"/>
        <v>219251.88535159509</v>
      </c>
      <c r="EC19" s="1">
        <f t="shared" si="51"/>
        <v>225829.44191214294</v>
      </c>
      <c r="ED19" s="1">
        <f t="shared" si="51"/>
        <v>232604.32516950724</v>
      </c>
      <c r="EE19" s="1">
        <f t="shared" si="51"/>
        <v>239582.45492459246</v>
      </c>
      <c r="EF19" s="1">
        <f t="shared" si="51"/>
        <v>246769.92857233025</v>
      </c>
      <c r="EG19" s="1">
        <f t="shared" si="51"/>
        <v>254173.02642950017</v>
      </c>
      <c r="EH19" s="1">
        <f t="shared" si="51"/>
        <v>261798.21722238517</v>
      </c>
      <c r="EI19" s="1">
        <f t="shared" si="51"/>
        <v>269652.16373905673</v>
      </c>
      <c r="EJ19" s="1">
        <f t="shared" si="51"/>
        <v>277741.72865122842</v>
      </c>
      <c r="EK19" s="1">
        <f t="shared" si="51"/>
        <v>286073.98051076528</v>
      </c>
      <c r="EL19" s="1">
        <f t="shared" si="51"/>
        <v>294656.19992608827</v>
      </c>
      <c r="EM19" s="1">
        <f t="shared" si="51"/>
        <v>303495.88592387096</v>
      </c>
      <c r="EN19" s="1">
        <f t="shared" si="51"/>
        <v>312600.7625015871</v>
      </c>
      <c r="EO19" s="1">
        <f t="shared" si="51"/>
        <v>321978.78537663474</v>
      </c>
      <c r="EP19" s="1">
        <f t="shared" si="51"/>
        <v>331638.14893793379</v>
      </c>
      <c r="EQ19" s="1">
        <f t="shared" ref="EQ19:ET19" si="52">+EP19*(1+$T24)</f>
        <v>341587.29340607178</v>
      </c>
      <c r="ER19" s="1">
        <f t="shared" si="52"/>
        <v>351834.91220825393</v>
      </c>
      <c r="ES19" s="1">
        <f t="shared" si="52"/>
        <v>362389.95957450155</v>
      </c>
      <c r="ET19" s="1">
        <f t="shared" si="52"/>
        <v>373261.65836173663</v>
      </c>
    </row>
    <row r="20" spans="2:150" s="4" customFormat="1" x14ac:dyDescent="0.25">
      <c r="B20" s="4" t="s">
        <v>31</v>
      </c>
      <c r="D20" s="4">
        <f>+D19/D21</f>
        <v>-1.1700032686340343</v>
      </c>
      <c r="E20" s="4">
        <f>+E19/E21</f>
        <v>-0.60727995604514418</v>
      </c>
      <c r="F20" s="4">
        <f>+F19/F21</f>
        <v>1.557100387478086</v>
      </c>
      <c r="G20" s="4">
        <f>+G19/G21</f>
        <v>1.8914268833103185</v>
      </c>
      <c r="H20" s="4">
        <f t="shared" ref="H20:Q20" si="53">+H19/H21</f>
        <v>2.3911348813554723</v>
      </c>
      <c r="I20" s="4">
        <f t="shared" si="53"/>
        <v>2.9465875546788141</v>
      </c>
      <c r="J20" s="4">
        <f t="shared" si="53"/>
        <v>3.4767849456083453</v>
      </c>
      <c r="K20" s="4">
        <f t="shared" si="53"/>
        <v>3.9698393410325488</v>
      </c>
      <c r="L20" s="4">
        <f t="shared" si="53"/>
        <v>4.4822925902293287</v>
      </c>
      <c r="M20" s="4">
        <f t="shared" si="53"/>
        <v>5.0573247730778945</v>
      </c>
      <c r="N20" s="4">
        <f t="shared" si="53"/>
        <v>5.7022828719808016</v>
      </c>
      <c r="O20" s="4">
        <f t="shared" si="53"/>
        <v>6.4253623867993666</v>
      </c>
      <c r="P20" s="4">
        <f t="shared" si="53"/>
        <v>7.235705216740925</v>
      </c>
      <c r="Q20" s="4">
        <f t="shared" si="53"/>
        <v>8.1435088617759721</v>
      </c>
    </row>
    <row r="21" spans="2:150" s="1" customFormat="1" x14ac:dyDescent="0.25">
      <c r="B21" s="1" t="s">
        <v>32</v>
      </c>
      <c r="D21" s="1">
        <v>878.63002400000005</v>
      </c>
      <c r="E21" s="1">
        <v>890.85765900000001</v>
      </c>
      <c r="F21" s="1">
        <v>906.17150400000003</v>
      </c>
      <c r="G21" s="1">
        <f>786.356025+112.832844</f>
        <v>899.18886900000007</v>
      </c>
      <c r="H21" s="1">
        <f>+G21+0</f>
        <v>899.18886900000007</v>
      </c>
      <c r="I21" s="1">
        <f t="shared" ref="I21:Q21" si="54">+H21+0</f>
        <v>899.18886900000007</v>
      </c>
      <c r="J21" s="1">
        <f t="shared" si="54"/>
        <v>899.18886900000007</v>
      </c>
      <c r="K21" s="1">
        <f t="shared" si="54"/>
        <v>899.18886900000007</v>
      </c>
      <c r="L21" s="1">
        <f t="shared" si="54"/>
        <v>899.18886900000007</v>
      </c>
      <c r="M21" s="1">
        <f t="shared" si="54"/>
        <v>899.18886900000007</v>
      </c>
      <c r="N21" s="1">
        <f t="shared" si="54"/>
        <v>899.18886900000007</v>
      </c>
      <c r="O21" s="1">
        <f t="shared" si="54"/>
        <v>899.18886900000007</v>
      </c>
      <c r="P21" s="1">
        <f t="shared" si="54"/>
        <v>899.18886900000007</v>
      </c>
      <c r="Q21" s="1">
        <f t="shared" si="54"/>
        <v>899.18886900000007</v>
      </c>
    </row>
    <row r="22" spans="2:150" s="1" customFormat="1" x14ac:dyDescent="0.25"/>
    <row r="23" spans="2:150" s="3" customFormat="1" x14ac:dyDescent="0.25">
      <c r="B23" s="3" t="s">
        <v>16</v>
      </c>
      <c r="D23" s="3">
        <f>+D15/D8</f>
        <v>-0.74447717231222388</v>
      </c>
      <c r="E23" s="3">
        <f>+E15/E8</f>
        <v>-0.28739946380697051</v>
      </c>
      <c r="F23" s="3">
        <f>+F15/F8</f>
        <v>0.35716706201287701</v>
      </c>
      <c r="G23" s="3">
        <f>+G15/G8</f>
        <v>0.45266457680250788</v>
      </c>
      <c r="H23" s="3">
        <f t="shared" ref="H23:Q23" si="55">+H15/H8</f>
        <v>0.50242227350855029</v>
      </c>
      <c r="I23" s="3">
        <f t="shared" si="55"/>
        <v>0.52725200131389049</v>
      </c>
      <c r="J23" s="3">
        <f t="shared" si="55"/>
        <v>0.54678742217030463</v>
      </c>
      <c r="K23" s="3">
        <f t="shared" si="55"/>
        <v>0.56174149251786476</v>
      </c>
      <c r="L23" s="3">
        <f t="shared" si="55"/>
        <v>0.57369966746160295</v>
      </c>
      <c r="M23" s="3">
        <f t="shared" si="55"/>
        <v>0.58508902867029855</v>
      </c>
      <c r="N23" s="3">
        <f t="shared" si="55"/>
        <v>0.59591899789179659</v>
      </c>
      <c r="O23" s="3">
        <f t="shared" si="55"/>
        <v>0.60620134828189454</v>
      </c>
      <c r="P23" s="3">
        <f t="shared" si="55"/>
        <v>0.61594977130674711</v>
      </c>
      <c r="Q23" s="3">
        <f t="shared" si="55"/>
        <v>0.62517948711837168</v>
      </c>
      <c r="S23" s="3" t="s">
        <v>25</v>
      </c>
      <c r="T23" s="3">
        <v>0.1</v>
      </c>
    </row>
    <row r="24" spans="2:150" s="3" customFormat="1" x14ac:dyDescent="0.25">
      <c r="B24" s="1" t="s">
        <v>1</v>
      </c>
      <c r="E24" s="3">
        <f t="shared" ref="E24:G25" si="56">+E5/D5 -1</f>
        <v>-3.5626535626535616E-2</v>
      </c>
      <c r="F24" s="3">
        <f t="shared" si="56"/>
        <v>1.0980891719745225</v>
      </c>
      <c r="G24" s="3">
        <f t="shared" si="56"/>
        <v>0.49554341226472398</v>
      </c>
      <c r="H24" s="3">
        <f t="shared" ref="H24:Q24" si="57">+H5/G5 -1</f>
        <v>0.25</v>
      </c>
      <c r="I24" s="3">
        <f t="shared" si="57"/>
        <v>0.19999999999999996</v>
      </c>
      <c r="J24" s="3">
        <f t="shared" si="57"/>
        <v>0.14999999999999991</v>
      </c>
      <c r="K24" s="3">
        <f t="shared" si="57"/>
        <v>0.12000000000000011</v>
      </c>
      <c r="L24" s="3">
        <f t="shared" si="57"/>
        <v>0.12000000000000011</v>
      </c>
      <c r="M24" s="3">
        <f t="shared" si="57"/>
        <v>0.12000000000000011</v>
      </c>
      <c r="N24" s="3">
        <f t="shared" si="57"/>
        <v>0.12000000000000011</v>
      </c>
      <c r="O24" s="3">
        <f t="shared" si="57"/>
        <v>0.12000000000000011</v>
      </c>
      <c r="P24" s="3">
        <f t="shared" si="57"/>
        <v>0.12000000000000011</v>
      </c>
      <c r="Q24" s="3">
        <f t="shared" si="57"/>
        <v>0.12000000000000011</v>
      </c>
      <c r="S24" s="3" t="s">
        <v>26</v>
      </c>
      <c r="T24" s="3">
        <v>0.03</v>
      </c>
    </row>
    <row r="25" spans="2:150" s="3" customFormat="1" x14ac:dyDescent="0.25">
      <c r="B25" s="1" t="s">
        <v>2</v>
      </c>
      <c r="E25" s="3">
        <f t="shared" si="56"/>
        <v>1.1910377358490565</v>
      </c>
      <c r="F25" s="3">
        <f t="shared" si="56"/>
        <v>0.19375672766415497</v>
      </c>
      <c r="G25" s="3">
        <f t="shared" si="56"/>
        <v>0.32280432822362481</v>
      </c>
      <c r="H25" s="3">
        <f t="shared" ref="H25:Q25" si="58">+H6/G6 -1</f>
        <v>0.19999999999999996</v>
      </c>
      <c r="I25" s="3">
        <f t="shared" si="58"/>
        <v>0.17999999999999994</v>
      </c>
      <c r="J25" s="3">
        <f t="shared" si="58"/>
        <v>0.14999999999999991</v>
      </c>
      <c r="K25" s="3">
        <f t="shared" si="58"/>
        <v>0.12000000000000011</v>
      </c>
      <c r="L25" s="3">
        <f t="shared" si="58"/>
        <v>0.10000000000000009</v>
      </c>
      <c r="M25" s="3">
        <f t="shared" si="58"/>
        <v>0.10000000000000009</v>
      </c>
      <c r="N25" s="3">
        <f t="shared" si="58"/>
        <v>0.10000000000000009</v>
      </c>
      <c r="O25" s="3">
        <f t="shared" si="58"/>
        <v>0.10000000000000009</v>
      </c>
      <c r="P25" s="3">
        <f t="shared" si="58"/>
        <v>0.10000000000000009</v>
      </c>
      <c r="Q25" s="3">
        <f t="shared" si="58"/>
        <v>0.10000000000000009</v>
      </c>
      <c r="S25" s="3" t="s">
        <v>27</v>
      </c>
      <c r="T25" s="1">
        <f>NPV(T23,G19:EU19)</f>
        <v>61949.672086327424</v>
      </c>
    </row>
    <row r="26" spans="2:150" s="3" customFormat="1" x14ac:dyDescent="0.25">
      <c r="B26" s="1" t="s">
        <v>0</v>
      </c>
      <c r="E26" s="3">
        <f>+E8/D8 -1</f>
        <v>0.37334315169366716</v>
      </c>
      <c r="F26" s="3">
        <f>+F8/E8 -1</f>
        <v>0.58230563002680968</v>
      </c>
      <c r="G26" s="3">
        <f>+G8/F8 -1</f>
        <v>0.4377160284649273</v>
      </c>
      <c r="H26" s="3">
        <f t="shared" ref="H26:Q26" si="59">+H8/G8 -1</f>
        <v>0.25847644188841978</v>
      </c>
      <c r="I26" s="3">
        <f t="shared" si="59"/>
        <v>0.17467705547017265</v>
      </c>
      <c r="J26" s="3">
        <f t="shared" si="59"/>
        <v>0.13804208771857618</v>
      </c>
      <c r="K26" s="3">
        <f t="shared" si="59"/>
        <v>0.11159404566107356</v>
      </c>
      <c r="L26" s="3">
        <f t="shared" si="59"/>
        <v>0.10569379948625901</v>
      </c>
      <c r="M26" s="3">
        <f t="shared" si="59"/>
        <v>0.10645139064693776</v>
      </c>
      <c r="N26" s="3">
        <f t="shared" si="59"/>
        <v>0.10714850972569057</v>
      </c>
      <c r="O26" s="3">
        <f t="shared" si="59"/>
        <v>0.10778978787743432</v>
      </c>
      <c r="P26" s="3">
        <f t="shared" si="59"/>
        <v>0.10837962458688888</v>
      </c>
      <c r="Q26" s="3">
        <f t="shared" si="59"/>
        <v>0.10892217423433248</v>
      </c>
      <c r="S26" s="3" t="s">
        <v>28</v>
      </c>
      <c r="T26" s="1">
        <f>+G35</f>
        <v>4331</v>
      </c>
    </row>
    <row r="27" spans="2:150" s="1" customFormat="1" x14ac:dyDescent="0.25">
      <c r="S27" s="1" t="s">
        <v>29</v>
      </c>
      <c r="T27" s="1">
        <f>+T25+T26</f>
        <v>66280.672086327424</v>
      </c>
    </row>
    <row r="28" spans="2:150" s="1" customFormat="1" x14ac:dyDescent="0.25">
      <c r="B28" s="1" t="s">
        <v>21</v>
      </c>
      <c r="D28" s="1">
        <v>61</v>
      </c>
      <c r="E28" s="1">
        <v>71</v>
      </c>
      <c r="F28" s="1">
        <v>77</v>
      </c>
      <c r="G28" s="1">
        <f>63*1.33</f>
        <v>83.79</v>
      </c>
      <c r="S28" s="1" t="s">
        <v>30</v>
      </c>
      <c r="T28" s="1">
        <f>+T27/Q21</f>
        <v>73.711624299841532</v>
      </c>
    </row>
    <row r="29" spans="2:150" s="1" customFormat="1" x14ac:dyDescent="0.25">
      <c r="B29" s="1" t="s">
        <v>20</v>
      </c>
      <c r="D29" s="1">
        <v>654</v>
      </c>
      <c r="E29" s="1">
        <v>871</v>
      </c>
      <c r="F29" s="1">
        <v>304</v>
      </c>
      <c r="G29" s="1">
        <f>229*1.33</f>
        <v>304.57</v>
      </c>
    </row>
    <row r="30" spans="2:150" s="1" customFormat="1" x14ac:dyDescent="0.25">
      <c r="B30" s="1" t="s">
        <v>17</v>
      </c>
      <c r="D30" s="1">
        <v>-852</v>
      </c>
      <c r="E30" s="1">
        <v>1181</v>
      </c>
      <c r="F30" s="1">
        <v>-157</v>
      </c>
      <c r="G30" s="1">
        <f>2575*1.33</f>
        <v>3424.75</v>
      </c>
    </row>
    <row r="31" spans="2:150" s="1" customFormat="1" x14ac:dyDescent="0.25">
      <c r="B31" s="1" t="s">
        <v>18</v>
      </c>
      <c r="D31" s="1">
        <f>28+29</f>
        <v>57</v>
      </c>
      <c r="E31" s="1">
        <f>2+19</f>
        <v>21</v>
      </c>
      <c r="F31" s="1">
        <f>13+37</f>
        <v>50</v>
      </c>
      <c r="G31" s="1">
        <f>13*1.33+28*1.33</f>
        <v>54.53</v>
      </c>
    </row>
    <row r="32" spans="2:150" s="1" customFormat="1" x14ac:dyDescent="0.25">
      <c r="B32" s="1" t="s">
        <v>19</v>
      </c>
      <c r="D32" s="1">
        <f>+D30-D31</f>
        <v>-909</v>
      </c>
      <c r="E32" s="1">
        <f>+E30-E31</f>
        <v>1160</v>
      </c>
      <c r="F32" s="1">
        <f>+F30-F31</f>
        <v>-207</v>
      </c>
      <c r="G32" s="1">
        <f>+G30-G31</f>
        <v>3370.22</v>
      </c>
    </row>
    <row r="33" spans="2:17" s="1" customFormat="1" x14ac:dyDescent="0.25">
      <c r="B33" s="1" t="s">
        <v>22</v>
      </c>
      <c r="D33" s="1">
        <f>+D32-D29</f>
        <v>-1563</v>
      </c>
      <c r="E33" s="1">
        <f>+E32-E29</f>
        <v>289</v>
      </c>
      <c r="F33" s="1">
        <f>+F32-F29</f>
        <v>-511</v>
      </c>
      <c r="G33" s="1">
        <f>+G32-G29</f>
        <v>3065.6499999999996</v>
      </c>
    </row>
    <row r="34" spans="2:17" s="1" customFormat="1" x14ac:dyDescent="0.25"/>
    <row r="35" spans="2:17" s="1" customFormat="1" x14ac:dyDescent="0.25">
      <c r="B35" s="1" t="s">
        <v>23</v>
      </c>
      <c r="E35" s="1">
        <v>4835</v>
      </c>
      <c r="F35" s="1">
        <v>4332</v>
      </c>
      <c r="G35" s="1">
        <v>4331</v>
      </c>
    </row>
    <row r="36" spans="2:17" s="1" customFormat="1" x14ac:dyDescent="0.25">
      <c r="B36" s="1" t="s">
        <v>24</v>
      </c>
      <c r="E36" s="1">
        <v>120</v>
      </c>
      <c r="F36" s="1">
        <v>139</v>
      </c>
      <c r="G36" s="1">
        <v>150</v>
      </c>
    </row>
    <row r="37" spans="2:17" s="1" customFormat="1" x14ac:dyDescent="0.25"/>
    <row r="38" spans="2:17" s="1" customFormat="1" x14ac:dyDescent="0.25">
      <c r="B38" s="1" t="s">
        <v>33</v>
      </c>
      <c r="E38" s="1">
        <v>608</v>
      </c>
      <c r="F38" s="1">
        <v>257</v>
      </c>
      <c r="G38" s="1">
        <v>553</v>
      </c>
    </row>
    <row r="39" spans="2:17" s="1" customFormat="1" x14ac:dyDescent="0.25">
      <c r="B39" s="1" t="s">
        <v>34</v>
      </c>
    </row>
    <row r="40" spans="2:17" s="1" customFormat="1" x14ac:dyDescent="0.25"/>
    <row r="41" spans="2:17" s="3" customFormat="1" x14ac:dyDescent="0.25">
      <c r="B41" s="3" t="s">
        <v>6</v>
      </c>
      <c r="D41" s="3">
        <f>+D9/D5</f>
        <v>0.21990171990171989</v>
      </c>
      <c r="E41" s="3">
        <f t="shared" ref="E41:Q41" si="60">+E9/E5</f>
        <v>0.1859872611464968</v>
      </c>
      <c r="F41" s="3">
        <f t="shared" si="60"/>
        <v>9.9574984820886461E-2</v>
      </c>
      <c r="G41" s="3">
        <f t="shared" si="60"/>
        <v>8.3153347732181429E-2</v>
      </c>
      <c r="H41" s="3">
        <f t="shared" si="60"/>
        <v>0.08</v>
      </c>
      <c r="I41" s="3">
        <f t="shared" si="60"/>
        <v>0.08</v>
      </c>
      <c r="J41" s="3">
        <f t="shared" si="60"/>
        <v>0.08</v>
      </c>
      <c r="K41" s="3">
        <f t="shared" si="60"/>
        <v>0.08</v>
      </c>
      <c r="L41" s="3">
        <f t="shared" si="60"/>
        <v>0.08</v>
      </c>
      <c r="M41" s="3">
        <f t="shared" si="60"/>
        <v>0.08</v>
      </c>
      <c r="N41" s="3">
        <f t="shared" si="60"/>
        <v>0.08</v>
      </c>
      <c r="O41" s="3">
        <f t="shared" si="60"/>
        <v>0.08</v>
      </c>
      <c r="P41" s="3">
        <f t="shared" si="60"/>
        <v>0.08</v>
      </c>
      <c r="Q41" s="3">
        <f t="shared" si="60"/>
        <v>0.08</v>
      </c>
    </row>
    <row r="42" spans="2:17" s="3" customFormat="1" x14ac:dyDescent="0.25">
      <c r="B42" s="3" t="s">
        <v>9</v>
      </c>
      <c r="D42" s="3">
        <f>+D13/D5</f>
        <v>0.12653562653562653</v>
      </c>
      <c r="E42" s="3">
        <f t="shared" ref="E42:Q42" si="61">+E13/E5</f>
        <v>0.1554140127388535</v>
      </c>
      <c r="F42" s="3">
        <f t="shared" si="61"/>
        <v>0.16514875531268974</v>
      </c>
      <c r="G42" s="3">
        <f t="shared" si="61"/>
        <v>0.16522678185745138</v>
      </c>
      <c r="H42" s="3">
        <f t="shared" si="61"/>
        <v>0.16999999999999998</v>
      </c>
      <c r="I42" s="3">
        <f t="shared" si="61"/>
        <v>0.17</v>
      </c>
      <c r="J42" s="3">
        <f t="shared" si="61"/>
        <v>0.17</v>
      </c>
      <c r="K42" s="3">
        <f t="shared" si="61"/>
        <v>0.17</v>
      </c>
      <c r="L42" s="3">
        <f t="shared" si="61"/>
        <v>0.17</v>
      </c>
      <c r="M42" s="3">
        <f t="shared" si="61"/>
        <v>0.17</v>
      </c>
      <c r="N42" s="3">
        <f t="shared" si="61"/>
        <v>0.17</v>
      </c>
      <c r="O42" s="3">
        <f t="shared" si="61"/>
        <v>0.17</v>
      </c>
      <c r="P42" s="3">
        <f t="shared" si="61"/>
        <v>0.17</v>
      </c>
      <c r="Q42" s="3">
        <f t="shared" si="61"/>
        <v>0.17</v>
      </c>
    </row>
    <row r="43" spans="2:17" s="3" customFormat="1" x14ac:dyDescent="0.25">
      <c r="B43" s="3" t="s">
        <v>10</v>
      </c>
      <c r="D43" s="3">
        <f>+D14/D5</f>
        <v>1.1351351351351351</v>
      </c>
      <c r="E43" s="3">
        <f t="shared" ref="E43:Q43" si="62">+E14/E5</f>
        <v>1.4891719745222929</v>
      </c>
      <c r="F43" s="3">
        <f t="shared" si="62"/>
        <v>0.27625986642380085</v>
      </c>
      <c r="G43" s="3">
        <f t="shared" si="62"/>
        <v>0.24298056155507555</v>
      </c>
      <c r="H43" s="3">
        <f t="shared" si="62"/>
        <v>0.21868250539956802</v>
      </c>
      <c r="I43" s="3">
        <f t="shared" si="62"/>
        <v>0.20045896328293736</v>
      </c>
      <c r="J43" s="3">
        <f t="shared" si="62"/>
        <v>0.18738555263405016</v>
      </c>
      <c r="K43" s="3">
        <f t="shared" si="62"/>
        <v>0.17734704088579747</v>
      </c>
      <c r="L43" s="3">
        <f t="shared" si="62"/>
        <v>0.16784630655262972</v>
      </c>
      <c r="M43" s="3">
        <f t="shared" si="62"/>
        <v>0.15885454013016742</v>
      </c>
      <c r="N43" s="3">
        <f t="shared" si="62"/>
        <v>0.150344475480337</v>
      </c>
      <c r="O43" s="3">
        <f t="shared" si="62"/>
        <v>0.14229030715103325</v>
      </c>
      <c r="P43" s="3">
        <f t="shared" si="62"/>
        <v>0.13466761212508505</v>
      </c>
      <c r="Q43" s="3">
        <f t="shared" si="62"/>
        <v>0.12745327576124119</v>
      </c>
    </row>
    <row r="44" spans="2:17" s="1" customFormat="1" x14ac:dyDescent="0.25"/>
    <row r="45" spans="2:17" s="1" customFormat="1" x14ac:dyDescent="0.25"/>
    <row r="46" spans="2:17" s="1" customFormat="1" x14ac:dyDescent="0.25"/>
    <row r="47" spans="2:17" s="1" customFormat="1" x14ac:dyDescent="0.25"/>
    <row r="48" spans="2:17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2026-02-06T21:47:52Z</dcterms:created>
  <dcterms:modified xsi:type="dcterms:W3CDTF">2026-02-11T14:23:06Z</dcterms:modified>
</cp:coreProperties>
</file>