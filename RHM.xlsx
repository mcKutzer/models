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926A053-0711-4ACA-9927-67877E7CCB45}" xr6:coauthVersionLast="47" xr6:coauthVersionMax="47" xr10:uidLastSave="{00000000-0000-0000-0000-000000000000}"/>
  <bookViews>
    <workbookView xWindow="-120" yWindow="-120" windowWidth="29040" windowHeight="15840" tabRatio="1000" firstSheet="1" activeTab="1" xr2:uid="{5976F78B-9754-44D3-927B-3F64427B0591}"/>
  </bookViews>
  <sheets>
    <sheet name="Sheet1" sheetId="1" r:id="rId1"/>
    <sheet name="Sheet2" sheetId="2" r:id="rId2"/>
  </sheets>
  <definedNames>
    <definedName name="MV">Sheet2!$AD$21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2" l="1"/>
  <c r="V29" i="2" s="1"/>
  <c r="W29" i="2" s="1"/>
  <c r="X29" i="2" s="1"/>
  <c r="Y29" i="2" s="1"/>
  <c r="Z29" i="2" s="1"/>
  <c r="AA29" i="2" s="1"/>
  <c r="T29" i="2"/>
  <c r="R30" i="2"/>
  <c r="S30" i="2"/>
  <c r="W8" i="2"/>
  <c r="T8" i="2"/>
  <c r="S5" i="2"/>
  <c r="S7" i="2" s="1"/>
  <c r="G25" i="2"/>
  <c r="G24" i="2"/>
  <c r="C7" i="2"/>
  <c r="C13" i="2" s="1"/>
  <c r="H7" i="2"/>
  <c r="H13" i="2" s="1"/>
  <c r="H16" i="2" s="1"/>
  <c r="H18" i="2" s="1"/>
  <c r="S25" i="2"/>
  <c r="T9" i="2"/>
  <c r="U9" i="2" s="1"/>
  <c r="V9" i="2" s="1"/>
  <c r="W9" i="2" s="1"/>
  <c r="X9" i="2" s="1"/>
  <c r="Y9" i="2" s="1"/>
  <c r="Z9" i="2" s="1"/>
  <c r="AA9" i="2" s="1"/>
  <c r="T4" i="2"/>
  <c r="U4" i="2" s="1"/>
  <c r="V4" i="2" s="1"/>
  <c r="W4" i="2" s="1"/>
  <c r="T10" i="2"/>
  <c r="U10" i="2" s="1"/>
  <c r="V10" i="2" s="1"/>
  <c r="W10" i="2" s="1"/>
  <c r="X10" i="2" s="1"/>
  <c r="Y10" i="2" s="1"/>
  <c r="Z10" i="2" s="1"/>
  <c r="AA10" i="2" s="1"/>
  <c r="E6" i="1"/>
  <c r="T6" i="2"/>
  <c r="T15" i="2"/>
  <c r="U15" i="2" s="1"/>
  <c r="V15" i="2" s="1"/>
  <c r="W15" i="2" s="1"/>
  <c r="X15" i="2" s="1"/>
  <c r="Y15" i="2" s="1"/>
  <c r="Z15" i="2" s="1"/>
  <c r="AA15" i="2" s="1"/>
  <c r="T14" i="2"/>
  <c r="U14" i="2" s="1"/>
  <c r="V14" i="2" s="1"/>
  <c r="W14" i="2" s="1"/>
  <c r="X14" i="2" s="1"/>
  <c r="Y14" i="2" s="1"/>
  <c r="Z14" i="2" s="1"/>
  <c r="AA14" i="2" s="1"/>
  <c r="T12" i="2"/>
  <c r="U12" i="2" s="1"/>
  <c r="V12" i="2" s="1"/>
  <c r="W12" i="2" s="1"/>
  <c r="X12" i="2" s="1"/>
  <c r="Y12" i="2" s="1"/>
  <c r="Z12" i="2" s="1"/>
  <c r="AA12" i="2" s="1"/>
  <c r="T11" i="2"/>
  <c r="U11" i="2" s="1"/>
  <c r="V11" i="2" s="1"/>
  <c r="W11" i="2" s="1"/>
  <c r="X11" i="2" s="1"/>
  <c r="Y11" i="2" s="1"/>
  <c r="Z11" i="2" s="1"/>
  <c r="AA11" i="2" s="1"/>
  <c r="S24" i="2"/>
  <c r="P24" i="2"/>
  <c r="Q24" i="2"/>
  <c r="P25" i="2"/>
  <c r="Q25" i="2"/>
  <c r="R25" i="2"/>
  <c r="R24" i="2"/>
  <c r="T5" i="2"/>
  <c r="U5" i="2" s="1"/>
  <c r="R22" i="2"/>
  <c r="R7" i="2"/>
  <c r="R13" i="2" s="1"/>
  <c r="R16" i="2" s="1"/>
  <c r="R18" i="2" s="1"/>
  <c r="Q7" i="2"/>
  <c r="Q13" i="2" s="1"/>
  <c r="Q16" i="2" s="1"/>
  <c r="Q18" i="2" s="1"/>
  <c r="Q22" i="2" s="1"/>
  <c r="P7" i="2"/>
  <c r="P13" i="2" s="1"/>
  <c r="P16" i="2" s="1"/>
  <c r="P18" i="2" s="1"/>
  <c r="P22" i="2" s="1"/>
  <c r="O7" i="2"/>
  <c r="O13" i="2" s="1"/>
  <c r="O16" i="2" s="1"/>
  <c r="O18" i="2" s="1"/>
  <c r="O22" i="2" s="1"/>
  <c r="D7" i="2"/>
  <c r="D13" i="2" s="1"/>
  <c r="D16" i="2" s="1"/>
  <c r="D18" i="2" s="1"/>
  <c r="E7" i="2"/>
  <c r="F7" i="2"/>
  <c r="G7" i="2"/>
  <c r="G13" i="2" s="1"/>
  <c r="G16" i="2" s="1"/>
  <c r="G18" i="2" s="1"/>
  <c r="G22" i="2" s="1"/>
  <c r="I7" i="2"/>
  <c r="I13" i="2" s="1"/>
  <c r="I16" i="2" s="1"/>
  <c r="I18" i="2" s="1"/>
  <c r="J7" i="2"/>
  <c r="J13" i="2" s="1"/>
  <c r="J16" i="2" s="1"/>
  <c r="J18" i="2" s="1"/>
  <c r="E13" i="2"/>
  <c r="E16" i="2" s="1"/>
  <c r="E18" i="2" s="1"/>
  <c r="F13" i="2"/>
  <c r="F16" i="2" s="1"/>
  <c r="F18" i="2" s="1"/>
  <c r="E7" i="1"/>
  <c r="E8" i="1" l="1"/>
  <c r="V8" i="2"/>
  <c r="U8" i="2"/>
  <c r="C16" i="2"/>
  <c r="C18" i="2" s="1"/>
  <c r="C22" i="2" s="1"/>
  <c r="C21" i="2"/>
  <c r="C20" i="2"/>
  <c r="R21" i="2"/>
  <c r="G20" i="2"/>
  <c r="G21" i="2"/>
  <c r="Q20" i="2"/>
  <c r="P20" i="2"/>
  <c r="O20" i="2"/>
  <c r="R20" i="2"/>
  <c r="Q21" i="2"/>
  <c r="P21" i="2"/>
  <c r="O21" i="2"/>
  <c r="T24" i="2"/>
  <c r="V5" i="2"/>
  <c r="W5" i="2" s="1"/>
  <c r="T7" i="2"/>
  <c r="T25" i="2" l="1"/>
  <c r="U24" i="2"/>
  <c r="U6" i="2"/>
  <c r="U7" i="2" s="1"/>
  <c r="U20" i="2" s="1"/>
  <c r="T13" i="2"/>
  <c r="T21" i="2" s="1"/>
  <c r="T20" i="2"/>
  <c r="V25" i="2"/>
  <c r="W25" i="2"/>
  <c r="U25" i="2"/>
  <c r="S13" i="2"/>
  <c r="S20" i="2"/>
  <c r="X5" i="2"/>
  <c r="U13" i="2" l="1"/>
  <c r="U16" i="2" s="1"/>
  <c r="U17" i="2" s="1"/>
  <c r="U18" i="2" s="1"/>
  <c r="T16" i="2"/>
  <c r="T17" i="2" s="1"/>
  <c r="T18" i="2" s="1"/>
  <c r="V6" i="2"/>
  <c r="V24" i="2"/>
  <c r="V7" i="2"/>
  <c r="S16" i="2"/>
  <c r="S21" i="2"/>
  <c r="Y5" i="2"/>
  <c r="T22" i="2" l="1"/>
  <c r="T28" i="2"/>
  <c r="T30" i="2" s="1"/>
  <c r="E11" i="1"/>
  <c r="U22" i="2"/>
  <c r="U28" i="2"/>
  <c r="U30" i="2" s="1"/>
  <c r="U21" i="2"/>
  <c r="W24" i="2"/>
  <c r="X4" i="2"/>
  <c r="W6" i="2"/>
  <c r="W7" i="2"/>
  <c r="V20" i="2"/>
  <c r="V13" i="2"/>
  <c r="S18" i="2"/>
  <c r="S22" i="2" s="1"/>
  <c r="Z5" i="2"/>
  <c r="X8" i="2" l="1"/>
  <c r="X25" i="2" s="1"/>
  <c r="Y4" i="2"/>
  <c r="V21" i="2"/>
  <c r="V16" i="2"/>
  <c r="V17" i="2" s="1"/>
  <c r="V18" i="2" s="1"/>
  <c r="X6" i="2"/>
  <c r="X7" i="2" s="1"/>
  <c r="X24" i="2"/>
  <c r="W13" i="2"/>
  <c r="W20" i="2"/>
  <c r="AA5" i="2"/>
  <c r="AD26" i="2" l="1"/>
  <c r="V28" i="2"/>
  <c r="V30" i="2" s="1"/>
  <c r="Z4" i="2"/>
  <c r="Y8" i="2"/>
  <c r="Y25" i="2" s="1"/>
  <c r="V22" i="2"/>
  <c r="W16" i="2"/>
  <c r="W17" i="2" s="1"/>
  <c r="W18" i="2" s="1"/>
  <c r="W21" i="2"/>
  <c r="Y24" i="2"/>
  <c r="Y6" i="2"/>
  <c r="Y7" i="2" s="1"/>
  <c r="X20" i="2"/>
  <c r="X13" i="2"/>
  <c r="W22" i="2" l="1"/>
  <c r="W28" i="2"/>
  <c r="W30" i="2" s="1"/>
  <c r="AA4" i="2"/>
  <c r="AA8" i="2" s="1"/>
  <c r="AA25" i="2" s="1"/>
  <c r="Z8" i="2"/>
  <c r="Z25" i="2" s="1"/>
  <c r="X16" i="2"/>
  <c r="X17" i="2" s="1"/>
  <c r="X18" i="2" s="1"/>
  <c r="X21" i="2"/>
  <c r="Y20" i="2"/>
  <c r="Y13" i="2"/>
  <c r="Z24" i="2"/>
  <c r="Z6" i="2"/>
  <c r="Z7" i="2" s="1"/>
  <c r="X22" i="2" l="1"/>
  <c r="X28" i="2"/>
  <c r="X30" i="2" s="1"/>
  <c r="Z20" i="2"/>
  <c r="Z13" i="2"/>
  <c r="Y16" i="2"/>
  <c r="Y17" i="2" s="1"/>
  <c r="Y18" i="2" s="1"/>
  <c r="Y28" i="2" s="1"/>
  <c r="Y21" i="2"/>
  <c r="AA6" i="2"/>
  <c r="AA24" i="2"/>
  <c r="AA7" i="2"/>
  <c r="Y22" i="2" l="1"/>
  <c r="Y30" i="2"/>
  <c r="AA20" i="2"/>
  <c r="AA13" i="2"/>
  <c r="Z16" i="2"/>
  <c r="Z17" i="2" s="1"/>
  <c r="Z18" i="2" s="1"/>
  <c r="Z28" i="2" s="1"/>
  <c r="Z21" i="2"/>
  <c r="Z22" i="2" l="1"/>
  <c r="Z30" i="2"/>
  <c r="AA21" i="2"/>
  <c r="AA16" i="2"/>
  <c r="AA17" i="2" s="1"/>
  <c r="AA18" i="2" s="1"/>
  <c r="AA28" i="2" l="1"/>
  <c r="AA30" i="2" s="1"/>
  <c r="AD27" i="2"/>
  <c r="AB18" i="2"/>
  <c r="AA22" i="2"/>
  <c r="AB30" i="2" l="1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EE30" i="2" s="1"/>
  <c r="EF30" i="2" s="1"/>
  <c r="EG30" i="2" s="1"/>
  <c r="EH30" i="2" s="1"/>
  <c r="EI30" i="2" s="1"/>
  <c r="EJ30" i="2" s="1"/>
  <c r="EK30" i="2" s="1"/>
  <c r="EL30" i="2" s="1"/>
  <c r="EM30" i="2" s="1"/>
  <c r="EN30" i="2" s="1"/>
  <c r="EO30" i="2" s="1"/>
  <c r="EP30" i="2" s="1"/>
  <c r="EQ30" i="2" s="1"/>
  <c r="ER30" i="2" s="1"/>
  <c r="ES30" i="2" s="1"/>
  <c r="ET30" i="2" s="1"/>
  <c r="EU30" i="2" s="1"/>
  <c r="EV30" i="2" s="1"/>
  <c r="EW30" i="2" s="1"/>
  <c r="EX30" i="2" s="1"/>
  <c r="EY30" i="2" s="1"/>
  <c r="EZ30" i="2" s="1"/>
  <c r="AC18" i="2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AD22" i="2" l="1"/>
  <c r="AD23" i="2" l="1"/>
  <c r="H4" i="1" s="1"/>
</calcChain>
</file>

<file path=xl/sharedStrings.xml><?xml version="1.0" encoding="utf-8"?>
<sst xmlns="http://schemas.openxmlformats.org/spreadsheetml/2006/main" count="56" uniqueCount="54">
  <si>
    <t>Price</t>
  </si>
  <si>
    <t>Shares</t>
  </si>
  <si>
    <t>Cap</t>
  </si>
  <si>
    <t>Net Cash</t>
  </si>
  <si>
    <t>EV</t>
  </si>
  <si>
    <t>Revenue</t>
  </si>
  <si>
    <t>Other Income</t>
  </si>
  <si>
    <t>COGS</t>
  </si>
  <si>
    <t>Gross Profit</t>
  </si>
  <si>
    <t>G&amp;A</t>
  </si>
  <si>
    <t>D&amp;A</t>
  </si>
  <si>
    <t>Other Expenses</t>
  </si>
  <si>
    <t>Equity Income</t>
  </si>
  <si>
    <t>EBIT</t>
  </si>
  <si>
    <t>Interest Income</t>
  </si>
  <si>
    <t>Interest Expense</t>
  </si>
  <si>
    <t>EBT</t>
  </si>
  <si>
    <t>Taxes</t>
  </si>
  <si>
    <t>Net Income</t>
  </si>
  <si>
    <t>Q121</t>
  </si>
  <si>
    <t>Q221</t>
  </si>
  <si>
    <t>Q321</t>
  </si>
  <si>
    <t>Q421</t>
  </si>
  <si>
    <t>Q122</t>
  </si>
  <si>
    <t>Q222</t>
  </si>
  <si>
    <t>Q322</t>
  </si>
  <si>
    <t>Q422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</si>
  <si>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</si>
  <si>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</si>
  <si>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</si>
  <si>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</si>
  <si>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</si>
  <si>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</si>
  <si>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</si>
  <si>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</si>
  <si>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</si>
  <si>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</si>
  <si>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</si>
  <si>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</si>
  <si>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</si>
  <si>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Gross Margin</t>
  </si>
  <si>
    <t>EBIT Margin</t>
  </si>
  <si>
    <t>Net Margin</t>
  </si>
  <si>
    <t>Revenue Y/Y</t>
  </si>
  <si>
    <t>G&amp;A Y/Y</t>
  </si>
  <si>
    <t>Discount</t>
  </si>
  <si>
    <t>Maturity</t>
  </si>
  <si>
    <t>NPV</t>
  </si>
  <si>
    <t>Upside</t>
  </si>
  <si>
    <t>P/E FY25</t>
  </si>
  <si>
    <t>P/E FY30</t>
  </si>
  <si>
    <t>CFFO</t>
  </si>
  <si>
    <t>CapEx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</si>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</sst>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0.0%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8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7327</xdr:colOff>
      <xdr:row>3</xdr:row>
      <xdr:rowOff>7327</xdr:rowOff>
    </xdr:from>
    <xdr:to>
      <xdr:col>19</xdr:col>
      <xdr:colOff>7327</xdr:colOff>
      <xdr:row>21</xdr:row>
      <xdr:rowOff>168519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CF88E66-DEA0-1E95-105D-60B64661FD6D}"/>
            </a:ext>
          </a:extLst>
        </xdr:cNvPr>
        <xdr:cNvCxnSpPr/>
      </xdr:nvCxnSpPr>
      <xdr:spPr>
        <a:xfrm>
          <a:off x="11693769" y="578827"/>
          <a:ext cx="0" cy="35901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377D-1E7E-4F7C-A154-88B81C508A64}">
  <dimension ref="D4:H11"/>
  <sheetViews>
    <sheetView workbookViewId="0">
      <selection activeCell="E4" sqref="E4"/>
    </sheetView>
  </sheetViews>
  <sheetFormatPr defaultRowHeight="15" x14ac:dyDescent="0.25"/>
  <sheetData>
    <row r="4" spans="4:8" x14ac:dyDescent="0.25">
      <c r="D4" t="s">
        <v>0</v>
      </c>
      <c r="E4">
        <v>230</v>
      </c>
      <c r="G4" t="s">
        <v>48</v>
      </c>
      <c r="H4" s="3">
        <f>+Sheet2!AD23/Sheet1!E4 -1</f>
        <v>0.50912286154055697</v>
      </c>
    </row>
    <row r="5" spans="4:8" x14ac:dyDescent="0.25">
      <c r="D5" t="s">
        <v>1</v>
      </c>
      <c r="E5">
        <v>43.304000000000002</v>
      </c>
    </row>
    <row r="6" spans="4:8" x14ac:dyDescent="0.25">
      <c r="D6" t="s">
        <v>2</v>
      </c>
      <c r="E6">
        <f>+E4*E5</f>
        <v>9959.92</v>
      </c>
    </row>
    <row r="7" spans="4:8" x14ac:dyDescent="0.25">
      <c r="D7" t="s">
        <v>3</v>
      </c>
      <c r="E7">
        <f>334+1039-706-215</f>
        <v>452</v>
      </c>
    </row>
    <row r="8" spans="4:8" x14ac:dyDescent="0.25">
      <c r="D8" t="s">
        <v>4</v>
      </c>
      <c r="E8">
        <f>+E6-E7</f>
        <v>9507.92</v>
      </c>
    </row>
    <row r="11" spans="4:8" x14ac:dyDescent="0.25">
      <c r="E11">
        <f>+E8/Sheet2!T18</f>
        <v>13.983224915733931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862-7598-45EE-BFEE-919B476CB049}">
  <dimension ref="B1:EZ30"/>
  <sheetViews>
    <sheetView tabSelected="1" zoomScale="130" zoomScaleNormal="130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AC23" sqref="AC23:AD23"/>
    </sheetView>
  </sheetViews>
  <sheetFormatPr defaultRowHeight="15" x14ac:dyDescent="0.25"/>
  <cols>
    <col min="1" max="1" width="4.140625" customWidth="1"/>
    <col min="2" max="2" width="16" bestFit="1" customWidth="1"/>
    <col min="30" max="30" width="11.28515625" bestFit="1" customWidth="1"/>
  </cols>
  <sheetData>
    <row r="1" spans="2:27" x14ac:dyDescent="0.25"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</row>
    <row r="4" spans="2:27" s="1" customFormat="1" x14ac:dyDescent="0.25">
      <c r="B4" s="1" t="s">
        <v>5</v>
      </c>
      <c r="C4" s="1">
        <v>1353</v>
      </c>
      <c r="D4" s="1">
        <v>2582</v>
      </c>
      <c r="G4" s="1">
        <v>1409</v>
      </c>
      <c r="H4" s="1">
        <v>2674</v>
      </c>
      <c r="O4" s="1">
        <v>6192</v>
      </c>
      <c r="P4" s="1">
        <v>6491</v>
      </c>
      <c r="Q4" s="1">
        <v>5547</v>
      </c>
      <c r="R4" s="1">
        <v>5775</v>
      </c>
      <c r="S4" s="1">
        <v>6410</v>
      </c>
      <c r="T4" s="1">
        <f t="shared" ref="T4:V4" si="0">+S4*1.15</f>
        <v>7371.4999999999991</v>
      </c>
      <c r="U4" s="1">
        <f t="shared" si="0"/>
        <v>8477.2249999999985</v>
      </c>
      <c r="V4" s="1">
        <f t="shared" si="0"/>
        <v>9748.8087499999983</v>
      </c>
      <c r="W4" s="1">
        <f t="shared" ref="W4" si="1">+V4*1.12</f>
        <v>10918.665799999999</v>
      </c>
      <c r="X4" s="1">
        <f>+W4*1.05</f>
        <v>11464.59909</v>
      </c>
      <c r="Y4" s="1">
        <f t="shared" ref="Y4:AA4" si="2">+X4*1.05</f>
        <v>12037.8290445</v>
      </c>
      <c r="Z4" s="1">
        <f t="shared" si="2"/>
        <v>12639.720496725</v>
      </c>
      <c r="AA4" s="1">
        <f t="shared" si="2"/>
        <v>13271.706521561251</v>
      </c>
    </row>
    <row r="5" spans="2:27" s="1" customFormat="1" x14ac:dyDescent="0.25">
      <c r="B5" s="1" t="s">
        <v>6</v>
      </c>
      <c r="C5" s="1">
        <v>21</v>
      </c>
      <c r="G5" s="1">
        <v>29</v>
      </c>
      <c r="H5" s="1">
        <v>206</v>
      </c>
      <c r="O5" s="1">
        <v>179</v>
      </c>
      <c r="P5" s="1">
        <v>186</v>
      </c>
      <c r="Q5" s="1">
        <v>114</v>
      </c>
      <c r="R5" s="1">
        <v>134</v>
      </c>
      <c r="S5" s="1">
        <f>153+221</f>
        <v>374</v>
      </c>
      <c r="T5" s="1">
        <f t="shared" ref="T5:AA5" si="3">+S5*1.01</f>
        <v>377.74</v>
      </c>
      <c r="U5" s="1">
        <f t="shared" si="3"/>
        <v>381.51740000000001</v>
      </c>
      <c r="V5" s="1">
        <f t="shared" si="3"/>
        <v>385.33257400000002</v>
      </c>
      <c r="W5" s="1">
        <f t="shared" si="3"/>
        <v>389.18589974000002</v>
      </c>
      <c r="X5" s="1">
        <f t="shared" si="3"/>
        <v>393.07775873740002</v>
      </c>
      <c r="Y5" s="1">
        <f t="shared" si="3"/>
        <v>397.00853632477401</v>
      </c>
      <c r="Z5" s="1">
        <f t="shared" si="3"/>
        <v>400.97862168802175</v>
      </c>
      <c r="AA5" s="1">
        <f t="shared" si="3"/>
        <v>404.98840790490198</v>
      </c>
    </row>
    <row r="6" spans="2:27" s="1" customFormat="1" x14ac:dyDescent="0.25">
      <c r="B6" s="1" t="s">
        <v>7</v>
      </c>
      <c r="C6" s="1">
        <v>665</v>
      </c>
      <c r="G6" s="1">
        <v>684</v>
      </c>
      <c r="O6" s="1">
        <v>3209</v>
      </c>
      <c r="P6" s="1">
        <v>3444</v>
      </c>
      <c r="Q6" s="1">
        <v>2792</v>
      </c>
      <c r="R6" s="1">
        <v>2745</v>
      </c>
      <c r="S6" s="1">
        <v>3183</v>
      </c>
      <c r="T6" s="1">
        <f t="shared" ref="T6:AA6" si="4">+T4*0.5</f>
        <v>3685.7499999999995</v>
      </c>
      <c r="U6" s="1">
        <f t="shared" si="4"/>
        <v>4238.6124999999993</v>
      </c>
      <c r="V6" s="1">
        <f t="shared" si="4"/>
        <v>4874.4043749999992</v>
      </c>
      <c r="W6" s="1">
        <f t="shared" si="4"/>
        <v>5459.3328999999994</v>
      </c>
      <c r="X6" s="1">
        <f t="shared" si="4"/>
        <v>5732.2995449999999</v>
      </c>
      <c r="Y6" s="1">
        <f t="shared" si="4"/>
        <v>6018.9145222500001</v>
      </c>
      <c r="Z6" s="1">
        <f t="shared" si="4"/>
        <v>6319.8602483625</v>
      </c>
      <c r="AA6" s="1">
        <f t="shared" si="4"/>
        <v>6635.8532607806255</v>
      </c>
    </row>
    <row r="7" spans="2:27" s="1" customFormat="1" x14ac:dyDescent="0.25">
      <c r="B7" s="1" t="s">
        <v>8</v>
      </c>
      <c r="C7" s="1">
        <f t="shared" ref="C7:J7" si="5">+C5+C4-C6</f>
        <v>709</v>
      </c>
      <c r="D7" s="1">
        <f t="shared" si="5"/>
        <v>2582</v>
      </c>
      <c r="E7" s="1">
        <f t="shared" si="5"/>
        <v>0</v>
      </c>
      <c r="F7" s="1">
        <f t="shared" si="5"/>
        <v>0</v>
      </c>
      <c r="G7" s="1">
        <f t="shared" si="5"/>
        <v>754</v>
      </c>
      <c r="H7" s="1">
        <f t="shared" si="5"/>
        <v>2880</v>
      </c>
      <c r="I7" s="1">
        <f t="shared" si="5"/>
        <v>0</v>
      </c>
      <c r="J7" s="1">
        <f t="shared" si="5"/>
        <v>0</v>
      </c>
      <c r="O7" s="1">
        <f>+O5+O4-O6</f>
        <v>3162</v>
      </c>
      <c r="P7" s="1">
        <f t="shared" ref="P7" si="6">+P5+P4-P6</f>
        <v>3233</v>
      </c>
      <c r="Q7" s="1">
        <f t="shared" ref="Q7" si="7">+Q5+Q4-Q6</f>
        <v>2869</v>
      </c>
      <c r="R7" s="1">
        <f t="shared" ref="R7:S7" si="8">+R5+R4-R6</f>
        <v>3164</v>
      </c>
      <c r="S7" s="1">
        <f t="shared" si="8"/>
        <v>3601</v>
      </c>
      <c r="T7" s="1">
        <f t="shared" ref="T7" si="9">+T5+T4-T6</f>
        <v>4063.4899999999993</v>
      </c>
      <c r="U7" s="1">
        <f t="shared" ref="U7" si="10">+U5+U4-U6</f>
        <v>4620.1298999999999</v>
      </c>
      <c r="V7" s="1">
        <f t="shared" ref="V7" si="11">+V5+V4-V6</f>
        <v>5259.7369489999992</v>
      </c>
      <c r="W7" s="1">
        <f t="shared" ref="W7" si="12">+W5+W4-W6</f>
        <v>5848.5187997399989</v>
      </c>
      <c r="X7" s="1">
        <f t="shared" ref="X7" si="13">+X5+X4-X6</f>
        <v>6125.3773037373994</v>
      </c>
      <c r="Y7" s="1">
        <f t="shared" ref="Y7" si="14">+Y5+Y4-Y6</f>
        <v>6415.9230585747746</v>
      </c>
      <c r="Z7" s="1">
        <f t="shared" ref="Z7" si="15">+Z5+Z4-Z6</f>
        <v>6720.838870050522</v>
      </c>
      <c r="AA7" s="1">
        <f t="shared" ref="AA7" si="16">+AA5+AA4-AA6</f>
        <v>7040.841668685528</v>
      </c>
    </row>
    <row r="8" spans="2:27" s="1" customFormat="1" x14ac:dyDescent="0.25">
      <c r="B8" s="1" t="s">
        <v>9</v>
      </c>
      <c r="C8" s="1">
        <v>414</v>
      </c>
      <c r="G8" s="1">
        <v>457</v>
      </c>
      <c r="O8" s="1">
        <v>1574</v>
      </c>
      <c r="P8" s="1">
        <v>1678</v>
      </c>
      <c r="Q8" s="1">
        <v>1537</v>
      </c>
      <c r="R8" s="1">
        <v>1643</v>
      </c>
      <c r="S8" s="1">
        <v>1836</v>
      </c>
      <c r="T8" s="1">
        <f>+T4*0.285</f>
        <v>2100.8774999999996</v>
      </c>
      <c r="U8" s="1">
        <f t="shared" ref="U8:AA8" si="17">+U4*0.285</f>
        <v>2416.0091249999996</v>
      </c>
      <c r="V8" s="1">
        <f t="shared" si="17"/>
        <v>2778.4104937499992</v>
      </c>
      <c r="W8" s="1">
        <f t="shared" si="17"/>
        <v>3111.8197529999993</v>
      </c>
      <c r="X8" s="1">
        <f t="shared" si="17"/>
        <v>3267.4107406499998</v>
      </c>
      <c r="Y8" s="1">
        <f t="shared" si="17"/>
        <v>3430.7812776824999</v>
      </c>
      <c r="Z8" s="1">
        <f t="shared" si="17"/>
        <v>3602.3203415666248</v>
      </c>
      <c r="AA8" s="1">
        <f t="shared" si="17"/>
        <v>3782.4363586449563</v>
      </c>
    </row>
    <row r="9" spans="2:27" s="1" customFormat="1" x14ac:dyDescent="0.25">
      <c r="B9" s="1" t="s">
        <v>10</v>
      </c>
      <c r="C9" s="1">
        <v>58</v>
      </c>
      <c r="G9" s="1">
        <v>60</v>
      </c>
      <c r="O9" s="1">
        <v>318</v>
      </c>
      <c r="P9" s="1">
        <v>280</v>
      </c>
      <c r="Q9" s="1">
        <v>282</v>
      </c>
      <c r="R9" s="1">
        <v>251</v>
      </c>
      <c r="S9" s="1">
        <v>249</v>
      </c>
      <c r="T9" s="1">
        <f t="shared" ref="T9:AA9" si="18">+S9*1.05</f>
        <v>261.45</v>
      </c>
      <c r="U9" s="1">
        <f t="shared" si="18"/>
        <v>274.52249999999998</v>
      </c>
      <c r="V9" s="1">
        <f t="shared" si="18"/>
        <v>288.248625</v>
      </c>
      <c r="W9" s="1">
        <f t="shared" si="18"/>
        <v>302.66105625</v>
      </c>
      <c r="X9" s="1">
        <f t="shared" si="18"/>
        <v>317.79410906250001</v>
      </c>
      <c r="Y9" s="1">
        <f t="shared" si="18"/>
        <v>333.68381451562504</v>
      </c>
      <c r="Z9" s="1">
        <f t="shared" si="18"/>
        <v>350.36800524140631</v>
      </c>
      <c r="AA9" s="1">
        <f t="shared" si="18"/>
        <v>367.88640550347662</v>
      </c>
    </row>
    <row r="10" spans="2:27" s="1" customFormat="1" x14ac:dyDescent="0.25">
      <c r="B10" s="1" t="s">
        <v>11</v>
      </c>
      <c r="C10" s="1">
        <v>149</v>
      </c>
      <c r="G10" s="1">
        <v>153</v>
      </c>
      <c r="O10" s="1">
        <v>775</v>
      </c>
      <c r="P10" s="1">
        <v>781</v>
      </c>
      <c r="Q10" s="1">
        <v>642</v>
      </c>
      <c r="R10" s="1">
        <v>656</v>
      </c>
      <c r="S10" s="1">
        <v>768</v>
      </c>
      <c r="T10" s="1">
        <f t="shared" ref="T10:AA10" si="19">+S10*0.98</f>
        <v>752.64</v>
      </c>
      <c r="U10" s="1">
        <f t="shared" si="19"/>
        <v>737.58719999999994</v>
      </c>
      <c r="V10" s="1">
        <f t="shared" si="19"/>
        <v>722.83545599999991</v>
      </c>
      <c r="W10" s="1">
        <f t="shared" si="19"/>
        <v>708.37874687999988</v>
      </c>
      <c r="X10" s="1">
        <f t="shared" si="19"/>
        <v>694.21117194239991</v>
      </c>
      <c r="Y10" s="1">
        <f t="shared" si="19"/>
        <v>680.32694850355188</v>
      </c>
      <c r="Z10" s="1">
        <f t="shared" si="19"/>
        <v>666.72040953348085</v>
      </c>
      <c r="AA10" s="1">
        <f t="shared" si="19"/>
        <v>653.38600134281126</v>
      </c>
    </row>
    <row r="11" spans="2:27" s="1" customFormat="1" x14ac:dyDescent="0.25">
      <c r="B11" s="1" t="s">
        <v>12</v>
      </c>
      <c r="C11" s="1">
        <v>7</v>
      </c>
      <c r="G11" s="1">
        <v>17</v>
      </c>
      <c r="O11" s="1">
        <v>37</v>
      </c>
      <c r="P11" s="1">
        <v>37</v>
      </c>
      <c r="Q11" s="1">
        <v>13</v>
      </c>
      <c r="R11" s="1">
        <v>11</v>
      </c>
      <c r="S11" s="1">
        <v>32</v>
      </c>
      <c r="T11" s="1">
        <f t="shared" ref="T11:AA11" si="20">+S11*0.8</f>
        <v>25.6</v>
      </c>
      <c r="U11" s="1">
        <f t="shared" si="20"/>
        <v>20.480000000000004</v>
      </c>
      <c r="V11" s="1">
        <f t="shared" si="20"/>
        <v>16.384000000000004</v>
      </c>
      <c r="W11" s="1">
        <f t="shared" si="20"/>
        <v>13.107200000000004</v>
      </c>
      <c r="X11" s="1">
        <f t="shared" si="20"/>
        <v>10.485760000000004</v>
      </c>
      <c r="Y11" s="1">
        <f t="shared" si="20"/>
        <v>8.3886080000000032</v>
      </c>
      <c r="Z11" s="1">
        <f t="shared" si="20"/>
        <v>6.7108864000000032</v>
      </c>
      <c r="AA11" s="1">
        <f t="shared" si="20"/>
        <v>5.3687091200000028</v>
      </c>
    </row>
    <row r="12" spans="2:27" s="1" customFormat="1" x14ac:dyDescent="0.25">
      <c r="B12" s="1" t="s">
        <v>6</v>
      </c>
      <c r="C12" s="1">
        <v>-10</v>
      </c>
      <c r="G12" s="1">
        <v>-20</v>
      </c>
      <c r="O12" s="1">
        <v>-13</v>
      </c>
      <c r="P12" s="1">
        <v>-20</v>
      </c>
      <c r="Q12" s="1">
        <v>-24</v>
      </c>
      <c r="R12" s="1">
        <v>-17</v>
      </c>
      <c r="S12" s="1">
        <v>-48</v>
      </c>
      <c r="T12" s="1">
        <f t="shared" ref="T12:AA12" si="21">+S12*0.99</f>
        <v>-47.519999999999996</v>
      </c>
      <c r="U12" s="1">
        <f t="shared" si="21"/>
        <v>-47.044799999999995</v>
      </c>
      <c r="V12" s="1">
        <f t="shared" si="21"/>
        <v>-46.574351999999998</v>
      </c>
      <c r="W12" s="1">
        <f t="shared" si="21"/>
        <v>-46.108608479999994</v>
      </c>
      <c r="X12" s="1">
        <f t="shared" si="21"/>
        <v>-45.647522395199992</v>
      </c>
      <c r="Y12" s="1">
        <f t="shared" si="21"/>
        <v>-45.191047171247995</v>
      </c>
      <c r="Z12" s="1">
        <f t="shared" si="21"/>
        <v>-44.739136699535514</v>
      </c>
      <c r="AA12" s="1">
        <f t="shared" si="21"/>
        <v>-44.29174533254016</v>
      </c>
    </row>
    <row r="13" spans="2:27" s="1" customFormat="1" x14ac:dyDescent="0.25">
      <c r="B13" s="1" t="s">
        <v>13</v>
      </c>
      <c r="C13" s="1">
        <f>+C7-C8-C9-C10+C11+C12</f>
        <v>85</v>
      </c>
      <c r="D13" s="1">
        <f t="shared" ref="D13:J13" si="22">+D7-D8-D9-D10+D11+D12</f>
        <v>2582</v>
      </c>
      <c r="E13" s="1">
        <f t="shared" si="22"/>
        <v>0</v>
      </c>
      <c r="F13" s="1">
        <f t="shared" si="22"/>
        <v>0</v>
      </c>
      <c r="G13" s="1">
        <f t="shared" si="22"/>
        <v>81</v>
      </c>
      <c r="H13" s="1">
        <f t="shared" si="22"/>
        <v>2880</v>
      </c>
      <c r="I13" s="1">
        <f t="shared" si="22"/>
        <v>0</v>
      </c>
      <c r="J13" s="1">
        <f t="shared" si="22"/>
        <v>0</v>
      </c>
      <c r="O13" s="1">
        <f>+O7-O8-O9-O10+O11+O12</f>
        <v>519</v>
      </c>
      <c r="P13" s="1">
        <f t="shared" ref="P13" si="23">+P7-P8-P9-P10+P11+P12</f>
        <v>511</v>
      </c>
      <c r="Q13" s="1">
        <f t="shared" ref="Q13" si="24">+Q7-Q8-Q9-Q10+Q11+Q12</f>
        <v>397</v>
      </c>
      <c r="R13" s="1">
        <f t="shared" ref="R13" si="25">+R7-R8-R9-R10+R11+R12</f>
        <v>608</v>
      </c>
      <c r="S13" s="1">
        <f t="shared" ref="S13" si="26">+S7-S8-S9-S10+S11+S12</f>
        <v>732</v>
      </c>
      <c r="T13" s="1">
        <f t="shared" ref="T13" si="27">+T7-T8-T9-T10+T11+T12</f>
        <v>926.60249999999974</v>
      </c>
      <c r="U13" s="1">
        <f t="shared" ref="U13" si="28">+U7-U8-U9-U10+U11+U12</f>
        <v>1165.4462750000005</v>
      </c>
      <c r="V13" s="1">
        <f t="shared" ref="V13" si="29">+V7-V8-V9-V10+V11+V12</f>
        <v>1440.0520222499999</v>
      </c>
      <c r="W13" s="1">
        <f t="shared" ref="W13" si="30">+W7-W8-W9-W10+W11+W12</f>
        <v>1692.6578351299997</v>
      </c>
      <c r="X13" s="1">
        <f t="shared" ref="X13" si="31">+X7-X8-X9-X10+X11+X12</f>
        <v>1810.7995196872998</v>
      </c>
      <c r="Y13" s="1">
        <f t="shared" ref="Y13" si="32">+Y7-Y8-Y9-Y10+Y11+Y12</f>
        <v>1934.3285787018499</v>
      </c>
      <c r="Z13" s="1">
        <f t="shared" ref="Z13" si="33">+Z7-Z8-Z9-Z10+Z11+Z12</f>
        <v>2063.4018634094741</v>
      </c>
      <c r="AA13" s="1">
        <f t="shared" ref="AA13" si="34">+AA7-AA8-AA9-AA10+AA11+AA12</f>
        <v>2198.2098669817437</v>
      </c>
    </row>
    <row r="14" spans="2:27" s="1" customFormat="1" x14ac:dyDescent="0.25">
      <c r="B14" s="1" t="s">
        <v>14</v>
      </c>
      <c r="C14" s="1">
        <v>2</v>
      </c>
      <c r="G14" s="1">
        <v>1</v>
      </c>
      <c r="O14" s="1">
        <v>6</v>
      </c>
      <c r="P14" s="1">
        <v>11</v>
      </c>
      <c r="Q14" s="1">
        <v>9</v>
      </c>
      <c r="R14" s="1">
        <v>4</v>
      </c>
      <c r="S14" s="1">
        <v>12</v>
      </c>
      <c r="T14" s="1">
        <f>+S14</f>
        <v>12</v>
      </c>
      <c r="U14" s="1">
        <f t="shared" ref="U14:AA15" si="35">+T14</f>
        <v>12</v>
      </c>
      <c r="V14" s="1">
        <f t="shared" si="35"/>
        <v>12</v>
      </c>
      <c r="W14" s="1">
        <f t="shared" si="35"/>
        <v>12</v>
      </c>
      <c r="X14" s="1">
        <f t="shared" si="35"/>
        <v>12</v>
      </c>
      <c r="Y14" s="1">
        <f t="shared" si="35"/>
        <v>12</v>
      </c>
      <c r="Z14" s="1">
        <f t="shared" si="35"/>
        <v>12</v>
      </c>
      <c r="AA14" s="1">
        <f t="shared" si="35"/>
        <v>12</v>
      </c>
    </row>
    <row r="15" spans="2:27" s="1" customFormat="1" x14ac:dyDescent="0.25">
      <c r="B15" s="1" t="s">
        <v>15</v>
      </c>
      <c r="C15" s="1">
        <v>11</v>
      </c>
      <c r="G15" s="1">
        <v>8</v>
      </c>
      <c r="O15" s="1">
        <v>39</v>
      </c>
      <c r="P15" s="1">
        <v>46</v>
      </c>
      <c r="Q15" s="1">
        <v>40</v>
      </c>
      <c r="R15" s="1">
        <v>31</v>
      </c>
      <c r="S15" s="1">
        <v>32</v>
      </c>
      <c r="T15" s="1">
        <f>+S15</f>
        <v>32</v>
      </c>
      <c r="U15" s="1">
        <f t="shared" si="35"/>
        <v>32</v>
      </c>
      <c r="V15" s="1">
        <f t="shared" si="35"/>
        <v>32</v>
      </c>
      <c r="W15" s="1">
        <f t="shared" si="35"/>
        <v>32</v>
      </c>
      <c r="X15" s="1">
        <f t="shared" si="35"/>
        <v>32</v>
      </c>
      <c r="Y15" s="1">
        <f t="shared" si="35"/>
        <v>32</v>
      </c>
      <c r="Z15" s="1">
        <f t="shared" si="35"/>
        <v>32</v>
      </c>
      <c r="AA15" s="1">
        <f t="shared" si="35"/>
        <v>32</v>
      </c>
    </row>
    <row r="16" spans="2:27" s="1" customFormat="1" x14ac:dyDescent="0.25">
      <c r="B16" s="1" t="s">
        <v>16</v>
      </c>
      <c r="C16" s="1">
        <f>+C13+C14-C15</f>
        <v>76</v>
      </c>
      <c r="D16" s="1">
        <f t="shared" ref="D16:J16" si="36">+D13+D14-D15</f>
        <v>2582</v>
      </c>
      <c r="E16" s="1">
        <f t="shared" si="36"/>
        <v>0</v>
      </c>
      <c r="F16" s="1">
        <f t="shared" si="36"/>
        <v>0</v>
      </c>
      <c r="G16" s="1">
        <f t="shared" si="36"/>
        <v>74</v>
      </c>
      <c r="H16" s="1">
        <f t="shared" si="36"/>
        <v>2880</v>
      </c>
      <c r="I16" s="1">
        <f t="shared" si="36"/>
        <v>0</v>
      </c>
      <c r="J16" s="1">
        <f t="shared" si="36"/>
        <v>0</v>
      </c>
      <c r="O16" s="1">
        <f>+O13+O14-O15</f>
        <v>486</v>
      </c>
      <c r="P16" s="1">
        <f t="shared" ref="P16" si="37">+P13+P14-P15</f>
        <v>476</v>
      </c>
      <c r="Q16" s="1">
        <f t="shared" ref="Q16" si="38">+Q13+Q14-Q15</f>
        <v>366</v>
      </c>
      <c r="R16" s="1">
        <f t="shared" ref="R16" si="39">+R13+R14-R15</f>
        <v>581</v>
      </c>
      <c r="S16" s="1">
        <f t="shared" ref="S16" si="40">+S13+S14-S15</f>
        <v>712</v>
      </c>
      <c r="T16" s="1">
        <f t="shared" ref="T16" si="41">+T13+T14-T15</f>
        <v>906.60249999999974</v>
      </c>
      <c r="U16" s="1">
        <f t="shared" ref="U16" si="42">+U13+U14-U15</f>
        <v>1145.4462750000005</v>
      </c>
      <c r="V16" s="1">
        <f t="shared" ref="V16" si="43">+V13+V14-V15</f>
        <v>1420.0520222499999</v>
      </c>
      <c r="W16" s="1">
        <f t="shared" ref="W16" si="44">+W13+W14-W15</f>
        <v>1672.6578351299997</v>
      </c>
      <c r="X16" s="1">
        <f t="shared" ref="X16" si="45">+X13+X14-X15</f>
        <v>1790.7995196872998</v>
      </c>
      <c r="Y16" s="1">
        <f t="shared" ref="Y16" si="46">+Y13+Y14-Y15</f>
        <v>1914.3285787018499</v>
      </c>
      <c r="Z16" s="1">
        <f t="shared" ref="Z16" si="47">+Z13+Z14-Z15</f>
        <v>2043.4018634094741</v>
      </c>
      <c r="AA16" s="1">
        <f t="shared" ref="AA16" si="48">+AA13+AA14-AA15</f>
        <v>2178.2098669817437</v>
      </c>
    </row>
    <row r="17" spans="2:156" s="1" customFormat="1" x14ac:dyDescent="0.25">
      <c r="B17" s="1" t="s">
        <v>17</v>
      </c>
      <c r="C17" s="1">
        <v>21</v>
      </c>
      <c r="G17" s="1">
        <v>15</v>
      </c>
      <c r="O17" s="1">
        <v>131</v>
      </c>
      <c r="P17" s="1">
        <v>123</v>
      </c>
      <c r="Q17" s="1">
        <v>83</v>
      </c>
      <c r="R17" s="1">
        <v>150</v>
      </c>
      <c r="S17" s="1">
        <v>183</v>
      </c>
      <c r="T17" s="1">
        <f t="shared" ref="T17:AA17" si="49">+T16*0.25</f>
        <v>226.65062499999993</v>
      </c>
      <c r="U17" s="1">
        <f t="shared" si="49"/>
        <v>286.36156875000012</v>
      </c>
      <c r="V17" s="1">
        <f t="shared" si="49"/>
        <v>355.01300556249998</v>
      </c>
      <c r="W17" s="1">
        <f t="shared" si="49"/>
        <v>418.16445878249993</v>
      </c>
      <c r="X17" s="1">
        <f t="shared" si="49"/>
        <v>447.69987992182496</v>
      </c>
      <c r="Y17" s="1">
        <f t="shared" si="49"/>
        <v>478.58214467546247</v>
      </c>
      <c r="Z17" s="1">
        <f t="shared" si="49"/>
        <v>510.85046585236853</v>
      </c>
      <c r="AA17" s="1">
        <f t="shared" si="49"/>
        <v>544.55246674543594</v>
      </c>
    </row>
    <row r="18" spans="2:156" s="1" customFormat="1" x14ac:dyDescent="0.25">
      <c r="B18" s="1" t="s">
        <v>18</v>
      </c>
      <c r="C18" s="1">
        <f>+C16-C17</f>
        <v>55</v>
      </c>
      <c r="D18" s="1">
        <f t="shared" ref="D18:J18" si="50">+D16-D17</f>
        <v>2582</v>
      </c>
      <c r="E18" s="1">
        <f t="shared" si="50"/>
        <v>0</v>
      </c>
      <c r="F18" s="1">
        <f t="shared" si="50"/>
        <v>0</v>
      </c>
      <c r="G18" s="1">
        <f t="shared" si="50"/>
        <v>59</v>
      </c>
      <c r="H18" s="1">
        <f t="shared" si="50"/>
        <v>2880</v>
      </c>
      <c r="I18" s="1">
        <f t="shared" si="50"/>
        <v>0</v>
      </c>
      <c r="J18" s="1">
        <f t="shared" si="50"/>
        <v>0</v>
      </c>
      <c r="O18" s="1">
        <f>+O16-O17</f>
        <v>355</v>
      </c>
      <c r="P18" s="1">
        <f t="shared" ref="P18" si="51">+P16-P17</f>
        <v>353</v>
      </c>
      <c r="Q18" s="1">
        <f t="shared" ref="Q18" si="52">+Q16-Q17</f>
        <v>283</v>
      </c>
      <c r="R18" s="1">
        <f t="shared" ref="R18" si="53">+R16-R17</f>
        <v>431</v>
      </c>
      <c r="S18" s="1">
        <f t="shared" ref="S18" si="54">+S16-S17</f>
        <v>529</v>
      </c>
      <c r="T18" s="1">
        <f t="shared" ref="T18" si="55">+T16-T17</f>
        <v>679.95187499999975</v>
      </c>
      <c r="U18" s="1">
        <f t="shared" ref="U18" si="56">+U16-U17</f>
        <v>859.08470625000041</v>
      </c>
      <c r="V18" s="1">
        <f t="shared" ref="V18" si="57">+V16-V17</f>
        <v>1065.0390166875</v>
      </c>
      <c r="W18" s="1">
        <f t="shared" ref="W18" si="58">+W16-W17</f>
        <v>1254.4933763474999</v>
      </c>
      <c r="X18" s="1">
        <f t="shared" ref="X18" si="59">+X16-X17</f>
        <v>1343.0996397654749</v>
      </c>
      <c r="Y18" s="1">
        <f t="shared" ref="Y18" si="60">+Y16-Y17</f>
        <v>1435.7464340263873</v>
      </c>
      <c r="Z18" s="1">
        <f t="shared" ref="Z18" si="61">+Z16-Z17</f>
        <v>1532.5513975571057</v>
      </c>
      <c r="AA18" s="1">
        <f t="shared" ref="AA18" si="62">+AA16-AA17</f>
        <v>1633.6574002363077</v>
      </c>
      <c r="AB18" s="1">
        <f t="shared" ref="AB18:BG18" si="63">+AA18*(1+MV)</f>
        <v>1682.667122243397</v>
      </c>
      <c r="AC18" s="1">
        <f t="shared" si="63"/>
        <v>1733.147135910699</v>
      </c>
      <c r="AD18" s="1">
        <f t="shared" si="63"/>
        <v>1785.14154998802</v>
      </c>
      <c r="AE18" s="1">
        <f t="shared" si="63"/>
        <v>1838.6957964876606</v>
      </c>
      <c r="AF18" s="1">
        <f t="shared" si="63"/>
        <v>1893.8566703822905</v>
      </c>
      <c r="AG18" s="1">
        <f t="shared" si="63"/>
        <v>1950.6723704937592</v>
      </c>
      <c r="AH18" s="1">
        <f t="shared" si="63"/>
        <v>2009.1925416085721</v>
      </c>
      <c r="AI18" s="1">
        <f t="shared" si="63"/>
        <v>2069.4683178568293</v>
      </c>
      <c r="AJ18" s="1">
        <f t="shared" si="63"/>
        <v>2131.5523673925345</v>
      </c>
      <c r="AK18" s="1">
        <f t="shared" si="63"/>
        <v>2195.4989384143105</v>
      </c>
      <c r="AL18" s="1">
        <f t="shared" si="63"/>
        <v>2261.3639065667398</v>
      </c>
      <c r="AM18" s="1">
        <f t="shared" si="63"/>
        <v>2329.2048237637423</v>
      </c>
      <c r="AN18" s="1">
        <f t="shared" si="63"/>
        <v>2399.0809684766546</v>
      </c>
      <c r="AO18" s="1">
        <f t="shared" si="63"/>
        <v>2471.053397530954</v>
      </c>
      <c r="AP18" s="1">
        <f t="shared" si="63"/>
        <v>2545.1849994568829</v>
      </c>
      <c r="AQ18" s="1">
        <f t="shared" si="63"/>
        <v>2621.5405494405895</v>
      </c>
      <c r="AR18" s="1">
        <f t="shared" si="63"/>
        <v>2700.1867659238073</v>
      </c>
      <c r="AS18" s="1">
        <f t="shared" si="63"/>
        <v>2781.1923689015216</v>
      </c>
      <c r="AT18" s="1">
        <f t="shared" si="63"/>
        <v>2864.6281399685672</v>
      </c>
      <c r="AU18" s="1">
        <f t="shared" si="63"/>
        <v>2950.5669841676245</v>
      </c>
      <c r="AV18" s="1">
        <f t="shared" si="63"/>
        <v>3039.0839936926532</v>
      </c>
      <c r="AW18" s="1">
        <f t="shared" si="63"/>
        <v>3130.2565135034329</v>
      </c>
      <c r="AX18" s="1">
        <f t="shared" si="63"/>
        <v>3224.1642089085358</v>
      </c>
      <c r="AY18" s="1">
        <f t="shared" si="63"/>
        <v>3320.889135175792</v>
      </c>
      <c r="AZ18" s="1">
        <f t="shared" si="63"/>
        <v>3420.5158092310658</v>
      </c>
      <c r="BA18" s="1">
        <f t="shared" si="63"/>
        <v>3523.131283507998</v>
      </c>
      <c r="BB18" s="1">
        <f t="shared" si="63"/>
        <v>3628.8252220132381</v>
      </c>
      <c r="BC18" s="1">
        <f t="shared" si="63"/>
        <v>3737.6899786736353</v>
      </c>
      <c r="BD18" s="1">
        <f t="shared" si="63"/>
        <v>3849.8206780338446</v>
      </c>
      <c r="BE18" s="1">
        <f t="shared" si="63"/>
        <v>3965.31529837486</v>
      </c>
      <c r="BF18" s="1">
        <f t="shared" si="63"/>
        <v>4084.2747573261058</v>
      </c>
      <c r="BG18" s="1">
        <f t="shared" si="63"/>
        <v>4206.8030000458893</v>
      </c>
      <c r="BH18" s="1">
        <f t="shared" ref="BH18:CM18" si="64">+BG18*(1+MV)</f>
        <v>4333.0070900472665</v>
      </c>
      <c r="BI18" s="1">
        <f t="shared" si="64"/>
        <v>4462.9973027486849</v>
      </c>
      <c r="BJ18" s="1">
        <f t="shared" si="64"/>
        <v>4596.8872218311453</v>
      </c>
      <c r="BK18" s="1">
        <f t="shared" si="64"/>
        <v>4734.7938384860799</v>
      </c>
      <c r="BL18" s="1">
        <f t="shared" si="64"/>
        <v>4876.8376536406622</v>
      </c>
      <c r="BM18" s="1">
        <f t="shared" si="64"/>
        <v>5023.1427832498821</v>
      </c>
      <c r="BN18" s="1">
        <f t="shared" si="64"/>
        <v>5173.8370667473782</v>
      </c>
      <c r="BO18" s="1">
        <f t="shared" si="64"/>
        <v>5329.0521787498001</v>
      </c>
      <c r="BP18" s="1">
        <f t="shared" si="64"/>
        <v>5488.9237441122941</v>
      </c>
      <c r="BQ18" s="1">
        <f t="shared" si="64"/>
        <v>5653.5914564356635</v>
      </c>
      <c r="BR18" s="1">
        <f t="shared" si="64"/>
        <v>5823.1992001287335</v>
      </c>
      <c r="BS18" s="1">
        <f t="shared" si="64"/>
        <v>5997.8951761325961</v>
      </c>
      <c r="BT18" s="1">
        <f t="shared" si="64"/>
        <v>6177.832031416574</v>
      </c>
      <c r="BU18" s="1">
        <f t="shared" si="64"/>
        <v>6363.1669923590716</v>
      </c>
      <c r="BV18" s="1">
        <f t="shared" si="64"/>
        <v>6554.0620021298437</v>
      </c>
      <c r="BW18" s="1">
        <f t="shared" si="64"/>
        <v>6750.6838621937395</v>
      </c>
      <c r="BX18" s="1">
        <f t="shared" si="64"/>
        <v>6953.2043780595523</v>
      </c>
      <c r="BY18" s="1">
        <f t="shared" si="64"/>
        <v>7161.8005094013388</v>
      </c>
      <c r="BZ18" s="1">
        <f t="shared" si="64"/>
        <v>7376.6545246833793</v>
      </c>
      <c r="CA18" s="1">
        <f t="shared" si="64"/>
        <v>7597.9541604238811</v>
      </c>
      <c r="CB18" s="1">
        <f t="shared" si="64"/>
        <v>7825.8927852365978</v>
      </c>
      <c r="CC18" s="1">
        <f t="shared" si="64"/>
        <v>8060.6695687936963</v>
      </c>
      <c r="CD18" s="1">
        <f t="shared" si="64"/>
        <v>8302.4896558575074</v>
      </c>
      <c r="CE18" s="1">
        <f t="shared" si="64"/>
        <v>8551.564345533232</v>
      </c>
      <c r="CF18" s="1">
        <f t="shared" si="64"/>
        <v>8808.1112758992294</v>
      </c>
      <c r="CG18" s="1">
        <f t="shared" si="64"/>
        <v>9072.3546141762072</v>
      </c>
      <c r="CH18" s="1">
        <f t="shared" si="64"/>
        <v>9344.5252526014938</v>
      </c>
      <c r="CI18" s="1">
        <f t="shared" si="64"/>
        <v>9624.8610101795384</v>
      </c>
      <c r="CJ18" s="1">
        <f t="shared" si="64"/>
        <v>9913.6068404849248</v>
      </c>
      <c r="CK18" s="1">
        <f t="shared" si="64"/>
        <v>10211.015045699472</v>
      </c>
      <c r="CL18" s="1">
        <f t="shared" si="64"/>
        <v>10517.345497070457</v>
      </c>
      <c r="CM18" s="1">
        <f t="shared" si="64"/>
        <v>10832.865861982571</v>
      </c>
      <c r="CN18" s="1">
        <f t="shared" ref="CN18:DD18" si="65">+CM18*(1+MV)</f>
        <v>11157.851837842049</v>
      </c>
      <c r="CO18" s="1">
        <f t="shared" si="65"/>
        <v>11492.58739297731</v>
      </c>
      <c r="CP18" s="1">
        <f t="shared" si="65"/>
        <v>11837.365014766629</v>
      </c>
      <c r="CQ18" s="1">
        <f t="shared" si="65"/>
        <v>12192.485965209627</v>
      </c>
      <c r="CR18" s="1">
        <f t="shared" si="65"/>
        <v>12558.260544165916</v>
      </c>
      <c r="CS18" s="1">
        <f t="shared" si="65"/>
        <v>12935.008360490894</v>
      </c>
      <c r="CT18" s="1">
        <f t="shared" si="65"/>
        <v>13323.058611305622</v>
      </c>
      <c r="CU18" s="1">
        <f t="shared" si="65"/>
        <v>13722.750369644791</v>
      </c>
      <c r="CV18" s="1">
        <f t="shared" si="65"/>
        <v>14134.432880734135</v>
      </c>
      <c r="CW18" s="1">
        <f t="shared" si="65"/>
        <v>14558.465867156159</v>
      </c>
      <c r="CX18" s="1">
        <f t="shared" si="65"/>
        <v>14995.219843170844</v>
      </c>
      <c r="CY18" s="1">
        <f t="shared" si="65"/>
        <v>15445.076438465969</v>
      </c>
      <c r="CZ18" s="1">
        <f t="shared" si="65"/>
        <v>15908.428731619948</v>
      </c>
      <c r="DA18" s="1">
        <f t="shared" si="65"/>
        <v>16385.681593568548</v>
      </c>
      <c r="DB18" s="1">
        <f t="shared" si="65"/>
        <v>16877.252041375606</v>
      </c>
      <c r="DC18" s="1">
        <f t="shared" si="65"/>
        <v>17383.569602616873</v>
      </c>
      <c r="DD18" s="1">
        <f t="shared" si="65"/>
        <v>17905.07669069538</v>
      </c>
    </row>
    <row r="20" spans="2:156" s="2" customFormat="1" x14ac:dyDescent="0.25">
      <c r="B20" s="2" t="s">
        <v>40</v>
      </c>
      <c r="C20" s="2">
        <f t="shared" ref="C20" si="66">+C7/C4</f>
        <v>0.52402069475240209</v>
      </c>
      <c r="G20" s="2">
        <f t="shared" ref="G20" si="67">+G7/G4</f>
        <v>0.53513129879347054</v>
      </c>
      <c r="O20" s="2">
        <f t="shared" ref="O20:Q20" si="68">+O7/O4</f>
        <v>0.51065891472868219</v>
      </c>
      <c r="P20" s="2">
        <f t="shared" si="68"/>
        <v>0.49807425666307192</v>
      </c>
      <c r="Q20" s="2">
        <f t="shared" si="68"/>
        <v>0.5172165134306832</v>
      </c>
      <c r="R20" s="2">
        <f>+R7/R4</f>
        <v>0.54787878787878785</v>
      </c>
      <c r="S20" s="2">
        <f>+S7/S4</f>
        <v>0.5617784711388456</v>
      </c>
      <c r="T20" s="2">
        <f t="shared" ref="T20:AA20" si="69">+T7/T4</f>
        <v>0.55124330190598925</v>
      </c>
      <c r="U20" s="2">
        <f t="shared" si="69"/>
        <v>0.54500498689134724</v>
      </c>
      <c r="V20" s="2">
        <f t="shared" si="69"/>
        <v>0.53952611892196578</v>
      </c>
      <c r="W20" s="2">
        <f t="shared" si="69"/>
        <v>0.53564408938498687</v>
      </c>
      <c r="X20" s="2">
        <f t="shared" si="69"/>
        <v>0.53428621931317788</v>
      </c>
      <c r="Y20" s="2">
        <f t="shared" si="69"/>
        <v>0.53298007762505695</v>
      </c>
      <c r="Z20" s="2">
        <f t="shared" si="69"/>
        <v>0.53172369371553085</v>
      </c>
      <c r="AA20" s="2">
        <f t="shared" si="69"/>
        <v>0.5305151720501774</v>
      </c>
      <c r="AC20" s="3" t="s">
        <v>45</v>
      </c>
      <c r="AD20" s="3">
        <v>0.1</v>
      </c>
    </row>
    <row r="21" spans="2:156" s="2" customFormat="1" x14ac:dyDescent="0.25">
      <c r="B21" s="2" t="s">
        <v>41</v>
      </c>
      <c r="C21" s="2">
        <f t="shared" ref="C21" si="70">+C13/C4</f>
        <v>6.2823355506282333E-2</v>
      </c>
      <c r="G21" s="2">
        <f t="shared" ref="G21" si="71">+G13/G4</f>
        <v>5.7487579843860895E-2</v>
      </c>
      <c r="O21" s="2">
        <f t="shared" ref="O21:Q21" si="72">+O13/O4</f>
        <v>8.3817829457364337E-2</v>
      </c>
      <c r="P21" s="2">
        <f t="shared" si="72"/>
        <v>7.8724387613618857E-2</v>
      </c>
      <c r="Q21" s="2">
        <f t="shared" si="72"/>
        <v>7.1570218135929328E-2</v>
      </c>
      <c r="R21" s="2">
        <f>+R13/R4</f>
        <v>0.10528138528138528</v>
      </c>
      <c r="S21" s="3">
        <f>+S13/S4</f>
        <v>0.11419656786271451</v>
      </c>
      <c r="T21" s="2">
        <f t="shared" ref="T21:AA21" si="73">+T13/T4</f>
        <v>0.12570067150512104</v>
      </c>
      <c r="U21" s="2">
        <f t="shared" si="73"/>
        <v>0.13747969117252409</v>
      </c>
      <c r="V21" s="2">
        <f t="shared" si="73"/>
        <v>0.14771569113508357</v>
      </c>
      <c r="W21" s="2">
        <f t="shared" si="73"/>
        <v>0.15502423703910784</v>
      </c>
      <c r="X21" s="2">
        <f t="shared" si="73"/>
        <v>0.157947042497698</v>
      </c>
      <c r="Y21" s="2">
        <f t="shared" si="73"/>
        <v>0.16068749369601915</v>
      </c>
      <c r="Z21" s="2">
        <f t="shared" si="73"/>
        <v>0.16324742813293297</v>
      </c>
      <c r="AA21" s="2">
        <f t="shared" si="73"/>
        <v>0.16563128964692866</v>
      </c>
      <c r="AC21" s="3" t="s">
        <v>46</v>
      </c>
      <c r="AD21" s="3">
        <v>0.03</v>
      </c>
    </row>
    <row r="22" spans="2:156" s="2" customFormat="1" x14ac:dyDescent="0.25">
      <c r="B22" s="2" t="s">
        <v>42</v>
      </c>
      <c r="C22" s="2">
        <f t="shared" ref="C22" si="74">+C18/C4</f>
        <v>4.065040650406504E-2</v>
      </c>
      <c r="G22" s="2">
        <f t="shared" ref="G22" si="75">+G18/G4</f>
        <v>4.1873669268985093E-2</v>
      </c>
      <c r="O22" s="2">
        <f t="shared" ref="O22:Q22" si="76">+O18/O4</f>
        <v>5.7332041343669253E-2</v>
      </c>
      <c r="P22" s="2">
        <f t="shared" si="76"/>
        <v>5.4382991834848252E-2</v>
      </c>
      <c r="Q22" s="2">
        <f t="shared" si="76"/>
        <v>5.1018568595637283E-2</v>
      </c>
      <c r="R22" s="2">
        <f>+R18/R4</f>
        <v>7.4632034632034633E-2</v>
      </c>
      <c r="S22" s="3">
        <f>+S18/S4</f>
        <v>8.2527301092043676E-2</v>
      </c>
      <c r="T22" s="3">
        <f t="shared" ref="T22:AA22" si="77">+T18/T4</f>
        <v>9.2240639625585E-2</v>
      </c>
      <c r="U22" s="3">
        <f t="shared" si="77"/>
        <v>0.10134032142004024</v>
      </c>
      <c r="V22" s="3">
        <f t="shared" si="77"/>
        <v>0.10924811882144063</v>
      </c>
      <c r="W22" s="3">
        <f t="shared" si="77"/>
        <v>0.11489438355623083</v>
      </c>
      <c r="X22" s="3">
        <f t="shared" si="77"/>
        <v>0.11715190642270204</v>
      </c>
      <c r="Y22" s="3">
        <f t="shared" si="77"/>
        <v>0.11926954841432723</v>
      </c>
      <c r="Z22" s="3">
        <f t="shared" si="77"/>
        <v>0.12124883599714058</v>
      </c>
      <c r="AA22" s="3">
        <f t="shared" si="77"/>
        <v>0.1230932433279973</v>
      </c>
      <c r="AC22" t="s">
        <v>47</v>
      </c>
      <c r="AD22" s="4">
        <f>NPV(AD20,S30:EE30)</f>
        <v>15030.742971115025</v>
      </c>
    </row>
    <row r="23" spans="2:156" x14ac:dyDescent="0.25">
      <c r="AC23" t="s">
        <v>0</v>
      </c>
      <c r="AD23" s="5">
        <f>+AD22/Sheet1!E5</f>
        <v>347.09825815432811</v>
      </c>
    </row>
    <row r="24" spans="2:156" s="3" customFormat="1" x14ac:dyDescent="0.25">
      <c r="B24" s="3" t="s">
        <v>43</v>
      </c>
      <c r="G24" s="3">
        <f>+G4/C4 -1</f>
        <v>4.1389504804139055E-2</v>
      </c>
      <c r="P24" s="3">
        <f t="shared" ref="P24:Q24" si="78">+P4/O4 -1</f>
        <v>4.828811369509034E-2</v>
      </c>
      <c r="Q24" s="3">
        <f t="shared" si="78"/>
        <v>-0.1454321368048066</v>
      </c>
      <c r="R24" s="3">
        <f>+R4/Q4 -1</f>
        <v>4.1103299080584188E-2</v>
      </c>
      <c r="S24" s="3">
        <f t="shared" ref="S24:AA24" si="79">+S4/R4 -1</f>
        <v>0.10995670995671003</v>
      </c>
      <c r="T24" s="3">
        <f t="shared" si="79"/>
        <v>0.14999999999999991</v>
      </c>
      <c r="U24" s="3">
        <f t="shared" si="79"/>
        <v>0.14999999999999991</v>
      </c>
      <c r="V24" s="3">
        <f t="shared" si="79"/>
        <v>0.14999999999999991</v>
      </c>
      <c r="W24" s="3">
        <f t="shared" si="79"/>
        <v>0.12000000000000011</v>
      </c>
      <c r="X24" s="3">
        <f t="shared" si="79"/>
        <v>5.0000000000000044E-2</v>
      </c>
      <c r="Y24" s="3">
        <f t="shared" si="79"/>
        <v>5.0000000000000044E-2</v>
      </c>
      <c r="Z24" s="3">
        <f t="shared" si="79"/>
        <v>5.0000000000000044E-2</v>
      </c>
      <c r="AA24" s="3">
        <f t="shared" si="79"/>
        <v>5.0000000000000044E-2</v>
      </c>
      <c r="AC24"/>
      <c r="AD24" s="4"/>
    </row>
    <row r="25" spans="2:156" s="3" customFormat="1" x14ac:dyDescent="0.25">
      <c r="B25" s="3" t="s">
        <v>44</v>
      </c>
      <c r="G25" s="3">
        <f>+G8/C8 -1</f>
        <v>0.10386473429951693</v>
      </c>
      <c r="P25" s="3">
        <f t="shared" ref="P25:Q25" si="80">+P8/O8 -1</f>
        <v>6.6073697585768754E-2</v>
      </c>
      <c r="Q25" s="3">
        <f t="shared" si="80"/>
        <v>-8.4028605482717511E-2</v>
      </c>
      <c r="R25" s="3">
        <f>+R8/Q8 -1</f>
        <v>6.8965517241379226E-2</v>
      </c>
      <c r="S25" s="3">
        <f t="shared" ref="S25:AA25" si="81">+S8/R8 -1</f>
        <v>0.11746804625684715</v>
      </c>
      <c r="T25" s="3">
        <f t="shared" si="81"/>
        <v>0.14426879084967292</v>
      </c>
      <c r="U25" s="3">
        <f t="shared" si="81"/>
        <v>0.14999999999999991</v>
      </c>
      <c r="V25" s="3">
        <f t="shared" si="81"/>
        <v>0.14999999999999991</v>
      </c>
      <c r="W25" s="3">
        <f t="shared" si="81"/>
        <v>0.12000000000000011</v>
      </c>
      <c r="X25" s="3">
        <f t="shared" si="81"/>
        <v>5.0000000000000044E-2</v>
      </c>
      <c r="Y25" s="3">
        <f t="shared" si="81"/>
        <v>5.0000000000000044E-2</v>
      </c>
      <c r="Z25" s="3">
        <f t="shared" si="81"/>
        <v>5.0000000000000044E-2</v>
      </c>
      <c r="AA25" s="3">
        <f t="shared" si="81"/>
        <v>5.0000000000000044E-2</v>
      </c>
    </row>
    <row r="26" spans="2:156" x14ac:dyDescent="0.25">
      <c r="AC26" t="s">
        <v>49</v>
      </c>
      <c r="AD26" s="6">
        <f>+Sheet1!E6/Sheet2!V18</f>
        <v>9.3516949557186084</v>
      </c>
    </row>
    <row r="27" spans="2:156" x14ac:dyDescent="0.25">
      <c r="T27" s="7"/>
      <c r="U27" s="7"/>
      <c r="V27" s="7"/>
      <c r="W27" s="7"/>
      <c r="X27" s="7"/>
      <c r="Y27" s="7"/>
      <c r="Z27" s="7"/>
      <c r="AA27" s="7"/>
      <c r="AC27" t="s">
        <v>50</v>
      </c>
      <c r="AD27" s="6">
        <f>+Sheet1!E6/Sheet2!AA18</f>
        <v>6.0967005680378898</v>
      </c>
    </row>
    <row r="28" spans="2:156" x14ac:dyDescent="0.25">
      <c r="B28" t="s">
        <v>51</v>
      </c>
      <c r="R28">
        <v>690</v>
      </c>
      <c r="S28">
        <v>174</v>
      </c>
      <c r="T28" s="7">
        <f>+T18+T9</f>
        <v>941.40187499999979</v>
      </c>
      <c r="U28" s="7">
        <f t="shared" ref="U28:AA28" si="82">+U18+U9</f>
        <v>1133.6072062500004</v>
      </c>
      <c r="V28" s="7">
        <f t="shared" si="82"/>
        <v>1353.2876416874999</v>
      </c>
      <c r="W28" s="7">
        <f t="shared" si="82"/>
        <v>1557.1544325974999</v>
      </c>
      <c r="X28" s="7">
        <f t="shared" si="82"/>
        <v>1660.8937488279748</v>
      </c>
      <c r="Y28" s="7">
        <f t="shared" si="82"/>
        <v>1769.4302485420124</v>
      </c>
      <c r="Z28" s="7">
        <f t="shared" si="82"/>
        <v>1882.919402798512</v>
      </c>
      <c r="AA28" s="7">
        <f t="shared" si="82"/>
        <v>2001.5438057397844</v>
      </c>
    </row>
    <row r="29" spans="2:156" x14ac:dyDescent="0.25">
      <c r="B29" t="s">
        <v>52</v>
      </c>
      <c r="R29">
        <v>271</v>
      </c>
      <c r="S29">
        <v>349</v>
      </c>
      <c r="T29" s="7">
        <f>+S29*1.02</f>
        <v>355.98</v>
      </c>
      <c r="U29" s="7">
        <f t="shared" ref="U29:AA29" si="83">+T29*1.02</f>
        <v>363.09960000000001</v>
      </c>
      <c r="V29" s="7">
        <f t="shared" si="83"/>
        <v>370.36159200000003</v>
      </c>
      <c r="W29" s="7">
        <f t="shared" si="83"/>
        <v>377.76882384000004</v>
      </c>
      <c r="X29" s="7">
        <f t="shared" si="83"/>
        <v>385.32420031680005</v>
      </c>
      <c r="Y29" s="7">
        <f t="shared" si="83"/>
        <v>393.03068432313603</v>
      </c>
      <c r="Z29" s="7">
        <f t="shared" si="83"/>
        <v>400.89129800959876</v>
      </c>
      <c r="AA29" s="7">
        <f t="shared" si="83"/>
        <v>408.90912396979076</v>
      </c>
    </row>
    <row r="30" spans="2:156" x14ac:dyDescent="0.25">
      <c r="B30" t="s">
        <v>53</v>
      </c>
      <c r="R30">
        <f>+R28-R29</f>
        <v>419</v>
      </c>
      <c r="S30" s="7">
        <f>+S28-S29</f>
        <v>-175</v>
      </c>
      <c r="T30" s="7">
        <f t="shared" ref="T30:AA30" si="84">+T28-T29</f>
        <v>585.42187499999977</v>
      </c>
      <c r="U30" s="7">
        <f t="shared" si="84"/>
        <v>770.50760625000044</v>
      </c>
      <c r="V30" s="7">
        <f t="shared" si="84"/>
        <v>982.92604968749993</v>
      </c>
      <c r="W30" s="7">
        <f t="shared" si="84"/>
        <v>1179.3856087574998</v>
      </c>
      <c r="X30" s="7">
        <f t="shared" si="84"/>
        <v>1275.5695485111748</v>
      </c>
      <c r="Y30" s="7">
        <f t="shared" si="84"/>
        <v>1376.3995642188763</v>
      </c>
      <c r="Z30" s="7">
        <f t="shared" si="84"/>
        <v>1482.0281047889132</v>
      </c>
      <c r="AA30" s="7">
        <f t="shared" si="84"/>
        <v>1592.6346817699937</v>
      </c>
      <c r="AB30" s="1">
        <f t="shared" ref="AB30" si="85">+AA30*(1+MV)</f>
        <v>1640.4137222230936</v>
      </c>
      <c r="AC30" s="1">
        <f t="shared" ref="AC30" si="86">+AB30*(1+MV)</f>
        <v>1689.6261338897864</v>
      </c>
      <c r="AD30" s="1">
        <f t="shared" ref="AD30" si="87">+AC30*(1+MV)</f>
        <v>1740.3149179064801</v>
      </c>
      <c r="AE30" s="1">
        <f t="shared" ref="AE30" si="88">+AD30*(1+MV)</f>
        <v>1792.5243654436745</v>
      </c>
      <c r="AF30" s="1">
        <f t="shared" ref="AF30" si="89">+AE30*(1+MV)</f>
        <v>1846.3000964069847</v>
      </c>
      <c r="AG30" s="1">
        <f t="shared" ref="AG30" si="90">+AF30*(1+MV)</f>
        <v>1901.6890992991944</v>
      </c>
      <c r="AH30" s="1">
        <f t="shared" ref="AH30" si="91">+AG30*(1+MV)</f>
        <v>1958.7397722781702</v>
      </c>
      <c r="AI30" s="1">
        <f t="shared" ref="AI30" si="92">+AH30*(1+MV)</f>
        <v>2017.5019654465154</v>
      </c>
      <c r="AJ30" s="1">
        <f t="shared" ref="AJ30" si="93">+AI30*(1+MV)</f>
        <v>2078.0270244099111</v>
      </c>
      <c r="AK30" s="1">
        <f t="shared" ref="AK30" si="94">+AJ30*(1+MV)</f>
        <v>2140.3678351422086</v>
      </c>
      <c r="AL30" s="1">
        <f t="shared" ref="AL30" si="95">+AK30*(1+MV)</f>
        <v>2204.5788701964748</v>
      </c>
      <c r="AM30" s="1">
        <f t="shared" ref="AM30" si="96">+AL30*(1+MV)</f>
        <v>2270.716236302369</v>
      </c>
      <c r="AN30" s="1">
        <f t="shared" ref="AN30" si="97">+AM30*(1+MV)</f>
        <v>2338.8377233914402</v>
      </c>
      <c r="AO30" s="1">
        <f t="shared" ref="AO30" si="98">+AN30*(1+MV)</f>
        <v>2409.0028550931834</v>
      </c>
      <c r="AP30" s="1">
        <f t="shared" ref="AP30" si="99">+AO30*(1+MV)</f>
        <v>2481.2729407459788</v>
      </c>
      <c r="AQ30" s="1">
        <f t="shared" ref="AQ30" si="100">+AP30*(1+MV)</f>
        <v>2555.711128968358</v>
      </c>
      <c r="AR30" s="1">
        <f t="shared" ref="AR30" si="101">+AQ30*(1+MV)</f>
        <v>2632.3824628374086</v>
      </c>
      <c r="AS30" s="1">
        <f t="shared" ref="AS30" si="102">+AR30*(1+MV)</f>
        <v>2711.3539367225308</v>
      </c>
      <c r="AT30" s="1">
        <f t="shared" ref="AT30" si="103">+AS30*(1+MV)</f>
        <v>2792.6945548242065</v>
      </c>
      <c r="AU30" s="1">
        <f t="shared" ref="AU30" si="104">+AT30*(1+MV)</f>
        <v>2876.4753914689327</v>
      </c>
      <c r="AV30" s="1">
        <f t="shared" ref="AV30" si="105">+AU30*(1+MV)</f>
        <v>2962.7696532130008</v>
      </c>
      <c r="AW30" s="1">
        <f t="shared" ref="AW30" si="106">+AV30*(1+MV)</f>
        <v>3051.6527428093909</v>
      </c>
      <c r="AX30" s="1">
        <f t="shared" ref="AX30" si="107">+AW30*(1+MV)</f>
        <v>3143.2023250936727</v>
      </c>
      <c r="AY30" s="1">
        <f t="shared" ref="AY30" si="108">+AX30*(1+MV)</f>
        <v>3237.4983948464828</v>
      </c>
      <c r="AZ30" s="1">
        <f t="shared" ref="AZ30" si="109">+AY30*(1+MV)</f>
        <v>3334.6233466918775</v>
      </c>
      <c r="BA30" s="1">
        <f t="shared" ref="BA30" si="110">+AZ30*(1+MV)</f>
        <v>3434.6620470926341</v>
      </c>
      <c r="BB30" s="1">
        <f t="shared" ref="BB30" si="111">+BA30*(1+MV)</f>
        <v>3537.701908505413</v>
      </c>
      <c r="BC30" s="1">
        <f t="shared" ref="BC30" si="112">+BB30*(1+MV)</f>
        <v>3643.8329657605755</v>
      </c>
      <c r="BD30" s="1">
        <f t="shared" ref="BD30" si="113">+BC30*(1+MV)</f>
        <v>3753.1479547333929</v>
      </c>
      <c r="BE30" s="1">
        <f t="shared" ref="BE30" si="114">+BD30*(1+MV)</f>
        <v>3865.7423933753948</v>
      </c>
      <c r="BF30" s="1">
        <f t="shared" ref="BF30" si="115">+BE30*(1+MV)</f>
        <v>3981.7146651766566</v>
      </c>
      <c r="BG30" s="1">
        <f t="shared" ref="BG30" si="116">+BF30*(1+MV)</f>
        <v>4101.1661051319561</v>
      </c>
      <c r="BH30" s="1">
        <f t="shared" ref="BH30" si="117">+BG30*(1+MV)</f>
        <v>4224.2010882859149</v>
      </c>
      <c r="BI30" s="1">
        <f t="shared" ref="BI30" si="118">+BH30*(1+MV)</f>
        <v>4350.9271209344925</v>
      </c>
      <c r="BJ30" s="1">
        <f t="shared" ref="BJ30" si="119">+BI30*(1+MV)</f>
        <v>4481.4549345625273</v>
      </c>
      <c r="BK30" s="1">
        <f t="shared" ref="BK30" si="120">+BJ30*(1+MV)</f>
        <v>4615.8985825994032</v>
      </c>
      <c r="BL30" s="1">
        <f t="shared" ref="BL30" si="121">+BK30*(1+MV)</f>
        <v>4754.3755400773853</v>
      </c>
      <c r="BM30" s="1">
        <f t="shared" ref="BM30" si="122">+BL30*(1+MV)</f>
        <v>4897.0068062797072</v>
      </c>
      <c r="BN30" s="1">
        <f t="shared" ref="BN30" si="123">+BM30*(1+MV)</f>
        <v>5043.9170104680989</v>
      </c>
      <c r="BO30" s="1">
        <f t="shared" ref="BO30" si="124">+BN30*(1+MV)</f>
        <v>5195.2345207821418</v>
      </c>
      <c r="BP30" s="1">
        <f t="shared" ref="BP30" si="125">+BO30*(1+MV)</f>
        <v>5351.0915564056058</v>
      </c>
      <c r="BQ30" s="1">
        <f t="shared" ref="BQ30" si="126">+BP30*(1+MV)</f>
        <v>5511.6243030977739</v>
      </c>
      <c r="BR30" s="1">
        <f t="shared" ref="BR30" si="127">+BQ30*(1+MV)</f>
        <v>5676.9730321907073</v>
      </c>
      <c r="BS30" s="1">
        <f t="shared" ref="BS30" si="128">+BR30*(1+MV)</f>
        <v>5847.2822231564287</v>
      </c>
      <c r="BT30" s="1">
        <f t="shared" ref="BT30" si="129">+BS30*(1+MV)</f>
        <v>6022.7006898511218</v>
      </c>
      <c r="BU30" s="1">
        <f t="shared" ref="BU30" si="130">+BT30*(1+MV)</f>
        <v>6203.381710546656</v>
      </c>
      <c r="BV30" s="1">
        <f t="shared" ref="BV30" si="131">+BU30*(1+MV)</f>
        <v>6389.483161863056</v>
      </c>
      <c r="BW30" s="1">
        <f t="shared" ref="BW30" si="132">+BV30*(1+MV)</f>
        <v>6581.1676567189479</v>
      </c>
      <c r="BX30" s="1">
        <f t="shared" ref="BX30" si="133">+BW30*(1+MV)</f>
        <v>6778.6026864205169</v>
      </c>
      <c r="BY30" s="1">
        <f t="shared" ref="BY30" si="134">+BX30*(1+MV)</f>
        <v>6981.9607670131327</v>
      </c>
      <c r="BZ30" s="1">
        <f t="shared" ref="BZ30" si="135">+BY30*(1+MV)</f>
        <v>7191.4195900235272</v>
      </c>
      <c r="CA30" s="1">
        <f t="shared" ref="CA30" si="136">+BZ30*(1+MV)</f>
        <v>7407.1621777242335</v>
      </c>
      <c r="CB30" s="1">
        <f t="shared" ref="CB30" si="137">+CA30*(1+MV)</f>
        <v>7629.3770430559607</v>
      </c>
      <c r="CC30" s="1">
        <f t="shared" ref="CC30" si="138">+CB30*(1+MV)</f>
        <v>7858.2583543476394</v>
      </c>
      <c r="CD30" s="1">
        <f t="shared" ref="CD30" si="139">+CC30*(1+MV)</f>
        <v>8094.0061049780688</v>
      </c>
      <c r="CE30" s="1">
        <f t="shared" ref="CE30" si="140">+CD30*(1+MV)</f>
        <v>8336.8262881274113</v>
      </c>
      <c r="CF30" s="1">
        <f t="shared" ref="CF30" si="141">+CE30*(1+MV)</f>
        <v>8586.9310767712341</v>
      </c>
      <c r="CG30" s="1">
        <f t="shared" ref="CG30" si="142">+CF30*(1+MV)</f>
        <v>8844.5390090743713</v>
      </c>
      <c r="CH30" s="1">
        <f t="shared" ref="CH30" si="143">+CG30*(1+MV)</f>
        <v>9109.8751793466035</v>
      </c>
      <c r="CI30" s="1">
        <f t="shared" ref="CI30" si="144">+CH30*(1+MV)</f>
        <v>9383.1714347270026</v>
      </c>
      <c r="CJ30" s="1">
        <f t="shared" ref="CJ30" si="145">+CI30*(1+MV)</f>
        <v>9664.6665777688122</v>
      </c>
      <c r="CK30" s="1">
        <f t="shared" ref="CK30" si="146">+CJ30*(1+MV)</f>
        <v>9954.6065751018759</v>
      </c>
      <c r="CL30" s="1">
        <f t="shared" ref="CL30" si="147">+CK30*(1+MV)</f>
        <v>10253.244772354932</v>
      </c>
      <c r="CM30" s="1">
        <f t="shared" ref="CM30" si="148">+CL30*(1+MV)</f>
        <v>10560.84211552558</v>
      </c>
      <c r="CN30" s="1">
        <f t="shared" ref="CN30" si="149">+CM30*(1+MV)</f>
        <v>10877.667378991348</v>
      </c>
      <c r="CO30" s="1">
        <f t="shared" ref="CO30" si="150">+CN30*(1+MV)</f>
        <v>11203.997400361088</v>
      </c>
      <c r="CP30" s="1">
        <f t="shared" ref="CP30" si="151">+CO30*(1+MV)</f>
        <v>11540.117322371922</v>
      </c>
      <c r="CQ30" s="1">
        <f t="shared" ref="CQ30" si="152">+CP30*(1+MV)</f>
        <v>11886.32084204308</v>
      </c>
      <c r="CR30" s="1">
        <f t="shared" ref="CR30" si="153">+CQ30*(1+MV)</f>
        <v>12242.910467304373</v>
      </c>
      <c r="CS30" s="1">
        <f t="shared" ref="CS30" si="154">+CR30*(1+MV)</f>
        <v>12610.197781323504</v>
      </c>
      <c r="CT30" s="1">
        <f t="shared" ref="CT30" si="155">+CS30*(1+MV)</f>
        <v>12988.50371476321</v>
      </c>
      <c r="CU30" s="1">
        <f t="shared" ref="CU30" si="156">+CT30*(1+MV)</f>
        <v>13378.158826206107</v>
      </c>
      <c r="CV30" s="1">
        <f t="shared" ref="CV30" si="157">+CU30*(1+MV)</f>
        <v>13779.50359099229</v>
      </c>
      <c r="CW30" s="1">
        <f t="shared" ref="CW30" si="158">+CV30*(1+MV)</f>
        <v>14192.888698722059</v>
      </c>
      <c r="CX30" s="1">
        <f t="shared" ref="CX30" si="159">+CW30*(1+MV)</f>
        <v>14618.675359683721</v>
      </c>
      <c r="CY30" s="1">
        <f t="shared" ref="CY30" si="160">+CX30*(1+MV)</f>
        <v>15057.235620474232</v>
      </c>
      <c r="CZ30" s="1">
        <f t="shared" ref="CZ30" si="161">+CY30*(1+MV)</f>
        <v>15508.952689088459</v>
      </c>
      <c r="DA30" s="1">
        <f t="shared" ref="DA30" si="162">+CZ30*(1+MV)</f>
        <v>15974.221269761114</v>
      </c>
      <c r="DB30" s="1">
        <f t="shared" ref="DB30" si="163">+DA30*(1+MV)</f>
        <v>16453.447907853948</v>
      </c>
      <c r="DC30" s="1">
        <f t="shared" ref="DC30" si="164">+DB30*(1+MV)</f>
        <v>16947.051345089567</v>
      </c>
      <c r="DD30" s="1">
        <f t="shared" ref="DD30" si="165">+DC30*(1+MV)</f>
        <v>17455.462885442255</v>
      </c>
      <c r="DE30" s="1">
        <f t="shared" ref="DE30" si="166">+DD30*(1+MV)</f>
        <v>17979.126772005522</v>
      </c>
      <c r="DF30" s="1">
        <f t="shared" ref="DF30" si="167">+DE30*(1+MV)</f>
        <v>18518.50057516569</v>
      </c>
      <c r="DG30" s="1">
        <f t="shared" ref="DG30" si="168">+DF30*(1+MV)</f>
        <v>19074.05559242066</v>
      </c>
      <c r="DH30" s="1">
        <f t="shared" ref="DH30" si="169">+DG30*(1+MV)</f>
        <v>19646.277260193281</v>
      </c>
      <c r="DI30" s="1">
        <f t="shared" ref="DI30" si="170">+DH30*(1+MV)</f>
        <v>20235.66557799908</v>
      </c>
      <c r="DJ30" s="1">
        <f t="shared" ref="DJ30" si="171">+DI30*(1+MV)</f>
        <v>20842.735545339052</v>
      </c>
      <c r="DK30" s="1">
        <f t="shared" ref="DK30" si="172">+DJ30*(1+MV)</f>
        <v>21468.017611699222</v>
      </c>
      <c r="DL30" s="1">
        <f t="shared" ref="DL30" si="173">+DK30*(1+MV)</f>
        <v>22112.058140050201</v>
      </c>
      <c r="DM30" s="1">
        <f t="shared" ref="DM30" si="174">+DL30*(1+MV)</f>
        <v>22775.419884251707</v>
      </c>
      <c r="DN30" s="1">
        <f t="shared" ref="DN30" si="175">+DM30*(1+MV)</f>
        <v>23458.682480779258</v>
      </c>
      <c r="DO30" s="1">
        <f t="shared" ref="DO30" si="176">+DN30*(1+MV)</f>
        <v>24162.442955202638</v>
      </c>
      <c r="DP30" s="1">
        <f t="shared" ref="DP30" si="177">+DO30*(1+MV)</f>
        <v>24887.316243858717</v>
      </c>
      <c r="DQ30" s="1">
        <f t="shared" ref="DQ30" si="178">+DP30*(1+MV)</f>
        <v>25633.935731174479</v>
      </c>
      <c r="DR30" s="1">
        <f t="shared" ref="DR30" si="179">+DQ30*(1+MV)</f>
        <v>26402.953803109714</v>
      </c>
      <c r="DS30" s="1">
        <f t="shared" ref="DS30" si="180">+DR30*(1+MV)</f>
        <v>27195.042417203007</v>
      </c>
      <c r="DT30" s="1">
        <f t="shared" ref="DT30" si="181">+DS30*(1+MV)</f>
        <v>28010.893689719098</v>
      </c>
      <c r="DU30" s="1">
        <f t="shared" ref="DU30" si="182">+DT30*(1+MV)</f>
        <v>28851.220500410673</v>
      </c>
      <c r="DV30" s="1">
        <f t="shared" ref="DV30" si="183">+DU30*(1+MV)</f>
        <v>29716.757115422995</v>
      </c>
      <c r="DW30" s="1">
        <f t="shared" ref="DW30" si="184">+DV30*(1+MV)</f>
        <v>30608.259828885686</v>
      </c>
      <c r="DX30" s="1">
        <f t="shared" ref="DX30" si="185">+DW30*(1+MV)</f>
        <v>31526.507623752259</v>
      </c>
      <c r="DY30" s="1">
        <f t="shared" ref="DY30" si="186">+DX30*(1+MV)</f>
        <v>32472.302852464829</v>
      </c>
      <c r="DZ30" s="1">
        <f t="shared" ref="DZ30" si="187">+DY30*(1+MV)</f>
        <v>33446.471938038776</v>
      </c>
      <c r="EA30" s="1">
        <f t="shared" ref="EA30" si="188">+DZ30*(1+MV)</f>
        <v>34449.86609617994</v>
      </c>
      <c r="EB30" s="1">
        <f t="shared" ref="EB30" si="189">+EA30*(1+MV)</f>
        <v>35483.362079065337</v>
      </c>
      <c r="EC30" s="1">
        <f t="shared" ref="EC30" si="190">+EB30*(1+MV)</f>
        <v>36547.862941437299</v>
      </c>
      <c r="ED30" s="1">
        <f t="shared" ref="ED30" si="191">+EC30*(1+MV)</f>
        <v>37644.298829680418</v>
      </c>
      <c r="EE30" s="1">
        <f t="shared" ref="EE30" si="192">+ED30*(1+MV)</f>
        <v>38773.627794570828</v>
      </c>
      <c r="EF30" s="1">
        <f t="shared" ref="EF30" si="193">+EE30*(1+MV)</f>
        <v>39936.836628407953</v>
      </c>
      <c r="EG30" s="1">
        <f t="shared" ref="EG30" si="194">+EF30*(1+MV)</f>
        <v>41134.941727260193</v>
      </c>
      <c r="EH30" s="1">
        <f t="shared" ref="EH30" si="195">+EG30*(1+MV)</f>
        <v>42368.989979078004</v>
      </c>
      <c r="EI30" s="1">
        <f t="shared" ref="EI30" si="196">+EH30*(1+MV)</f>
        <v>43640.059678450343</v>
      </c>
      <c r="EJ30" s="1">
        <f t="shared" ref="EJ30" si="197">+EI30*(1+MV)</f>
        <v>44949.261468803852</v>
      </c>
      <c r="EK30" s="1">
        <f t="shared" ref="EK30" si="198">+EJ30*(1+MV)</f>
        <v>46297.739312867969</v>
      </c>
      <c r="EL30" s="1">
        <f t="shared" ref="EL30" si="199">+EK30*(1+MV)</f>
        <v>47686.671492254012</v>
      </c>
      <c r="EM30" s="1">
        <f t="shared" ref="EM30" si="200">+EL30*(1+MV)</f>
        <v>49117.271637021637</v>
      </c>
      <c r="EN30" s="1">
        <f t="shared" ref="EN30" si="201">+EM30*(1+MV)</f>
        <v>50590.789786132285</v>
      </c>
      <c r="EO30" s="1">
        <f t="shared" ref="EO30" si="202">+EN30*(1+MV)</f>
        <v>52108.513479716254</v>
      </c>
      <c r="EP30" s="1">
        <f t="shared" ref="EP30" si="203">+EO30*(1+MV)</f>
        <v>53671.76888410774</v>
      </c>
      <c r="EQ30" s="1">
        <f t="shared" ref="EQ30" si="204">+EP30*(1+MV)</f>
        <v>55281.921950630975</v>
      </c>
      <c r="ER30" s="1">
        <f t="shared" ref="ER30" si="205">+EQ30*(1+MV)</f>
        <v>56940.379609149903</v>
      </c>
      <c r="ES30" s="1">
        <f t="shared" ref="ES30" si="206">+ER30*(1+MV)</f>
        <v>58648.590997424399</v>
      </c>
      <c r="ET30" s="1">
        <f t="shared" ref="ET30" si="207">+ES30*(1+MV)</f>
        <v>60408.04872734713</v>
      </c>
      <c r="EU30" s="1">
        <f t="shared" ref="EU30" si="208">+ET30*(1+MV)</f>
        <v>62220.290189167543</v>
      </c>
      <c r="EV30" s="1">
        <f t="shared" ref="EV30" si="209">+EU30*(1+MV)</f>
        <v>64086.898894842569</v>
      </c>
      <c r="EW30" s="1">
        <f t="shared" ref="EW30" si="210">+EV30*(1+MV)</f>
        <v>66009.505861687852</v>
      </c>
      <c r="EX30" s="1">
        <f t="shared" ref="EX30" si="211">+EW30*(1+MV)</f>
        <v>67989.791037538496</v>
      </c>
      <c r="EY30" s="1">
        <f t="shared" ref="EY30" si="212">+EX30*(1+MV)</f>
        <v>70029.484768664654</v>
      </c>
      <c r="EZ30" s="1">
        <f t="shared" ref="EZ30" si="213">+EY30*(1+MV)</f>
        <v>72130.3693117246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2022-06-14T11:09:21Z</dcterms:created>
  <dcterms:modified xsi:type="dcterms:W3CDTF">2026-02-06T13:40:44Z</dcterms:modified>
</cp:coreProperties>
</file>