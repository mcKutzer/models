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25C95AA-1090-45FF-A30B-7F90FE6D3ADB}" xr6:coauthVersionLast="47" xr6:coauthVersionMax="47" xr10:uidLastSave="{00000000-0000-0000-0000-000000000000}"/>
  <bookViews>
    <workbookView xWindow="-120" yWindow="-120" windowWidth="29040" windowHeight="15840" activeTab="1" xr2:uid="{42805F13-B979-4AF4-B01A-1032ED6A2555}"/>
  </bookViews>
  <sheets>
    <sheet name="Sheet1" sheetId="1" r:id="rId1"/>
    <sheet name="Model" sheetId="2" r:id="rId2"/>
  </sheets>
  <definedNames>
    <definedName name="TR">Model!$AB$58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8" i="2" l="1"/>
  <c r="W58" i="2"/>
  <c r="V58" i="2"/>
  <c r="U58" i="2"/>
  <c r="T58" i="2"/>
  <c r="S58" i="2"/>
  <c r="R58" i="2"/>
  <c r="X57" i="2"/>
  <c r="W57" i="2"/>
  <c r="V57" i="2"/>
  <c r="U57" i="2"/>
  <c r="T57" i="2"/>
  <c r="S57" i="2"/>
  <c r="R57" i="2"/>
  <c r="U43" i="2"/>
  <c r="T43" i="2"/>
  <c r="S43" i="2"/>
  <c r="R43" i="2"/>
  <c r="R49" i="2"/>
  <c r="I40" i="2"/>
  <c r="X44" i="2" l="1"/>
  <c r="W44" i="2"/>
  <c r="X11" i="2"/>
  <c r="W11" i="2"/>
  <c r="V11" i="2"/>
  <c r="U11" i="2"/>
  <c r="T11" i="2"/>
  <c r="T9" i="2" s="1"/>
  <c r="T40" i="2" s="1"/>
  <c r="T41" i="2" s="1"/>
  <c r="S11" i="2"/>
  <c r="R48" i="2"/>
  <c r="R46" i="2"/>
  <c r="R45" i="2"/>
  <c r="R44" i="2"/>
  <c r="S44" i="2" s="1"/>
  <c r="T44" i="2" s="1"/>
  <c r="U44" i="2" s="1"/>
  <c r="V44" i="2" s="1"/>
  <c r="R41" i="2"/>
  <c r="P9" i="2"/>
  <c r="P25" i="2" s="1"/>
  <c r="R40" i="2"/>
  <c r="Q17" i="2"/>
  <c r="P17" i="2"/>
  <c r="P56" i="2"/>
  <c r="Q56" i="2"/>
  <c r="R25" i="2"/>
  <c r="S9" i="2"/>
  <c r="S40" i="2" s="1"/>
  <c r="S41" i="2" s="1"/>
  <c r="R9" i="2"/>
  <c r="R17" i="2"/>
  <c r="S15" i="2"/>
  <c r="T15" i="2" s="1"/>
  <c r="U15" i="2" s="1"/>
  <c r="R15" i="2"/>
  <c r="R23" i="2" s="1"/>
  <c r="R13" i="2"/>
  <c r="V12" i="2"/>
  <c r="U12" i="2"/>
  <c r="T12" i="2"/>
  <c r="S12" i="2"/>
  <c r="R12" i="2"/>
  <c r="R20" i="2" s="1"/>
  <c r="R11" i="2"/>
  <c r="R19" i="2" s="1"/>
  <c r="R10" i="2"/>
  <c r="R18" i="2" s="1"/>
  <c r="R21" i="2"/>
  <c r="S22" i="2"/>
  <c r="T22" i="2"/>
  <c r="U22" i="2"/>
  <c r="V22" i="2"/>
  <c r="W22" i="2"/>
  <c r="X22" i="2"/>
  <c r="R22" i="2"/>
  <c r="S13" i="2"/>
  <c r="T13" i="2" s="1"/>
  <c r="U13" i="2" s="1"/>
  <c r="V13" i="2" s="1"/>
  <c r="W13" i="2" s="1"/>
  <c r="X13" i="2" s="1"/>
  <c r="X21" i="2" s="1"/>
  <c r="B56" i="2"/>
  <c r="C56" i="2"/>
  <c r="D56" i="2"/>
  <c r="E56" i="2"/>
  <c r="F56" i="2"/>
  <c r="G56" i="2"/>
  <c r="H56" i="2"/>
  <c r="Q9" i="2"/>
  <c r="Q25" i="2"/>
  <c r="S10" i="2"/>
  <c r="T10" i="2" s="1"/>
  <c r="U10" i="2" s="1"/>
  <c r="V10" i="2" s="1"/>
  <c r="W10" i="2" s="1"/>
  <c r="X10" i="2" s="1"/>
  <c r="X18" i="2" s="1"/>
  <c r="Q26" i="2"/>
  <c r="Q27" i="2"/>
  <c r="Q28" i="2"/>
  <c r="Q29" i="2"/>
  <c r="Q30" i="2"/>
  <c r="Q66" i="2"/>
  <c r="Q72" i="2" s="1"/>
  <c r="P66" i="2"/>
  <c r="P70" i="2"/>
  <c r="Q70" i="2"/>
  <c r="P69" i="2"/>
  <c r="Q69" i="2"/>
  <c r="Q62" i="2"/>
  <c r="G69" i="2"/>
  <c r="P61" i="2"/>
  <c r="P60" i="2"/>
  <c r="V43" i="2"/>
  <c r="W43" i="2" s="1"/>
  <c r="X43" i="2" s="1"/>
  <c r="H49" i="2"/>
  <c r="H48" i="2"/>
  <c r="H46" i="2"/>
  <c r="P52" i="2"/>
  <c r="P50" i="2"/>
  <c r="P49" i="2"/>
  <c r="P48" i="2"/>
  <c r="P47" i="2"/>
  <c r="P46" i="2"/>
  <c r="P45" i="2"/>
  <c r="P44" i="2"/>
  <c r="P43" i="2"/>
  <c r="P41" i="2"/>
  <c r="P40" i="2"/>
  <c r="I15" i="2"/>
  <c r="H15" i="2"/>
  <c r="I13" i="2"/>
  <c r="H13" i="2"/>
  <c r="I12" i="2"/>
  <c r="H12" i="2"/>
  <c r="H11" i="2"/>
  <c r="I11" i="2"/>
  <c r="I10" i="2"/>
  <c r="H10" i="2"/>
  <c r="P23" i="2"/>
  <c r="P21" i="2"/>
  <c r="P20" i="2"/>
  <c r="P19" i="2"/>
  <c r="P18" i="2"/>
  <c r="P11" i="2"/>
  <c r="P12" i="2"/>
  <c r="P13" i="2"/>
  <c r="O42" i="2"/>
  <c r="O51" i="2" s="1"/>
  <c r="O53" i="2" s="1"/>
  <c r="N42" i="2"/>
  <c r="N51" i="2" s="1"/>
  <c r="N53" i="2" s="1"/>
  <c r="O1" i="2"/>
  <c r="P1" i="2" s="1"/>
  <c r="Q1" i="2" s="1"/>
  <c r="R1" i="2" s="1"/>
  <c r="S1" i="2" s="1"/>
  <c r="T1" i="2" s="1"/>
  <c r="U1" i="2" s="1"/>
  <c r="V1" i="2" s="1"/>
  <c r="W1" i="2" s="1"/>
  <c r="X1" i="2" s="1"/>
  <c r="E62" i="2"/>
  <c r="D62" i="2"/>
  <c r="D30" i="2"/>
  <c r="D29" i="2"/>
  <c r="D28" i="2"/>
  <c r="D27" i="2"/>
  <c r="D26" i="2"/>
  <c r="E26" i="2"/>
  <c r="E27" i="2"/>
  <c r="E28" i="2"/>
  <c r="E29" i="2"/>
  <c r="E30" i="2"/>
  <c r="G62" i="2"/>
  <c r="C62" i="2"/>
  <c r="F62" i="2"/>
  <c r="B62" i="2"/>
  <c r="G58" i="2"/>
  <c r="F58" i="2"/>
  <c r="G3" i="2"/>
  <c r="G4" i="2"/>
  <c r="G5" i="2"/>
  <c r="G6" i="2"/>
  <c r="G7" i="2"/>
  <c r="F4" i="2"/>
  <c r="F5" i="2"/>
  <c r="F6" i="2"/>
  <c r="F7" i="2"/>
  <c r="F3" i="2"/>
  <c r="F55" i="2"/>
  <c r="F26" i="2"/>
  <c r="F27" i="2"/>
  <c r="F28" i="2"/>
  <c r="F29" i="2"/>
  <c r="F30" i="2"/>
  <c r="B26" i="2"/>
  <c r="B27" i="2"/>
  <c r="B28" i="2"/>
  <c r="B29" i="2"/>
  <c r="B30" i="2"/>
  <c r="G27" i="2"/>
  <c r="G28" i="2"/>
  <c r="G29" i="2"/>
  <c r="G30" i="2"/>
  <c r="C27" i="2"/>
  <c r="C28" i="2"/>
  <c r="C29" i="2"/>
  <c r="C30" i="2"/>
  <c r="G26" i="2"/>
  <c r="C26" i="2"/>
  <c r="C42" i="2"/>
  <c r="C51" i="2" s="1"/>
  <c r="C53" i="2" s="1"/>
  <c r="C57" i="2" s="1"/>
  <c r="D42" i="2"/>
  <c r="D51" i="2" s="1"/>
  <c r="D53" i="2" s="1"/>
  <c r="D57" i="2" s="1"/>
  <c r="E42" i="2"/>
  <c r="E51" i="2" s="1"/>
  <c r="E53" i="2" s="1"/>
  <c r="E57" i="2" s="1"/>
  <c r="F51" i="2"/>
  <c r="F53" i="2" s="1"/>
  <c r="F57" i="2" s="1"/>
  <c r="G42" i="2"/>
  <c r="G51" i="2" s="1"/>
  <c r="G53" i="2" s="1"/>
  <c r="G57" i="2" s="1"/>
  <c r="B42" i="2"/>
  <c r="B51" i="2" s="1"/>
  <c r="B53" i="2" s="1"/>
  <c r="B57" i="2" s="1"/>
  <c r="X19" i="2" l="1"/>
  <c r="X17" i="2" s="1"/>
  <c r="U9" i="2"/>
  <c r="U40" i="2" s="1"/>
  <c r="U41" i="2" s="1"/>
  <c r="U23" i="2"/>
  <c r="V15" i="2"/>
  <c r="W15" i="2" s="1"/>
  <c r="X15" i="2" s="1"/>
  <c r="X23" i="2" s="1"/>
  <c r="S23" i="2"/>
  <c r="V23" i="2"/>
  <c r="T23" i="2"/>
  <c r="U21" i="2"/>
  <c r="T21" i="2"/>
  <c r="S21" i="2"/>
  <c r="W21" i="2"/>
  <c r="V21" i="2"/>
  <c r="W12" i="2"/>
  <c r="X12" i="2" s="1"/>
  <c r="U19" i="2"/>
  <c r="U17" i="2" s="1"/>
  <c r="U25" i="2" s="1"/>
  <c r="T19" i="2"/>
  <c r="T17" i="2" s="1"/>
  <c r="T25" i="2" s="1"/>
  <c r="S19" i="2"/>
  <c r="S17" i="2" s="1"/>
  <c r="S25" i="2" s="1"/>
  <c r="W18" i="2"/>
  <c r="V18" i="2"/>
  <c r="U18" i="2"/>
  <c r="T18" i="2"/>
  <c r="S18" i="2"/>
  <c r="P72" i="2"/>
  <c r="P29" i="2"/>
  <c r="P28" i="2"/>
  <c r="H40" i="2"/>
  <c r="H41" i="2" s="1"/>
  <c r="D55" i="2"/>
  <c r="P26" i="2"/>
  <c r="P27" i="2"/>
  <c r="E55" i="2"/>
  <c r="P62" i="2"/>
  <c r="I41" i="2"/>
  <c r="I48" i="2"/>
  <c r="S48" i="2" s="1"/>
  <c r="T48" i="2" s="1"/>
  <c r="U48" i="2" s="1"/>
  <c r="V48" i="2" s="1"/>
  <c r="W48" i="2" s="1"/>
  <c r="X48" i="2" s="1"/>
  <c r="I49" i="2"/>
  <c r="S49" i="2" s="1"/>
  <c r="T49" i="2" s="1"/>
  <c r="U49" i="2" s="1"/>
  <c r="V49" i="2" s="1"/>
  <c r="W49" i="2" s="1"/>
  <c r="X49" i="2" s="1"/>
  <c r="P30" i="2"/>
  <c r="I46" i="2"/>
  <c r="P42" i="2"/>
  <c r="B55" i="2"/>
  <c r="C55" i="2"/>
  <c r="G55" i="2"/>
  <c r="W19" i="2" l="1"/>
  <c r="W17" i="2" s="1"/>
  <c r="X9" i="2"/>
  <c r="X40" i="2" s="1"/>
  <c r="X41" i="2" s="1"/>
  <c r="V9" i="2"/>
  <c r="V40" i="2" s="1"/>
  <c r="V41" i="2" s="1"/>
  <c r="V19" i="2"/>
  <c r="V17" i="2" s="1"/>
  <c r="W9" i="2"/>
  <c r="W40" i="2" s="1"/>
  <c r="W41" i="2" s="1"/>
  <c r="W25" i="2"/>
  <c r="X25" i="2"/>
  <c r="W23" i="2"/>
  <c r="S20" i="2"/>
  <c r="I42" i="2"/>
  <c r="I55" i="2" s="1"/>
  <c r="I58" i="2"/>
  <c r="Q58" i="2"/>
  <c r="H58" i="2"/>
  <c r="P51" i="2"/>
  <c r="P53" i="2" s="1"/>
  <c r="P57" i="2" s="1"/>
  <c r="P55" i="2"/>
  <c r="H42" i="2"/>
  <c r="Q42" i="2"/>
  <c r="Q51" i="2" s="1"/>
  <c r="I51" i="2" l="1"/>
  <c r="I56" i="2" s="1"/>
  <c r="V25" i="2"/>
  <c r="T20" i="2"/>
  <c r="R42" i="2"/>
  <c r="R55" i="2" s="1"/>
  <c r="Q55" i="2"/>
  <c r="H55" i="2"/>
  <c r="H51" i="2"/>
  <c r="S42" i="2"/>
  <c r="S55" i="2" s="1"/>
  <c r="I52" i="2"/>
  <c r="I53" i="2" s="1"/>
  <c r="I57" i="2" s="1"/>
  <c r="R51" i="2" l="1"/>
  <c r="R56" i="2"/>
  <c r="S51" i="2"/>
  <c r="S56" i="2"/>
  <c r="U20" i="2"/>
  <c r="T42" i="2"/>
  <c r="T55" i="2" s="1"/>
  <c r="H52" i="2"/>
  <c r="R52" i="2" l="1"/>
  <c r="R53" i="2" s="1"/>
  <c r="S52" i="2"/>
  <c r="S53" i="2" s="1"/>
  <c r="T51" i="2"/>
  <c r="T56" i="2"/>
  <c r="V20" i="2"/>
  <c r="Q57" i="2"/>
  <c r="H53" i="2"/>
  <c r="H57" i="2" s="1"/>
  <c r="U42" i="2"/>
  <c r="U55" i="2" s="1"/>
  <c r="T52" i="2" l="1"/>
  <c r="T53" i="2" s="1"/>
  <c r="U51" i="2"/>
  <c r="U56" i="2"/>
  <c r="X20" i="2"/>
  <c r="W20" i="2"/>
  <c r="V42" i="2"/>
  <c r="V55" i="2" s="1"/>
  <c r="U52" i="2" l="1"/>
  <c r="U53" i="2" s="1"/>
  <c r="V51" i="2"/>
  <c r="V56" i="2"/>
  <c r="W42" i="2"/>
  <c r="W55" i="2" s="1"/>
  <c r="V52" i="2" l="1"/>
  <c r="V53" i="2" s="1"/>
  <c r="W51" i="2"/>
  <c r="W56" i="2"/>
  <c r="X42" i="2"/>
  <c r="X55" i="2" s="1"/>
  <c r="W52" i="2" l="1"/>
  <c r="W53" i="2" s="1"/>
  <c r="X51" i="2"/>
  <c r="X56" i="2"/>
  <c r="X52" i="2" l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Y53" i="2" s="1"/>
  <c r="AZ53" i="2" s="1"/>
  <c r="BA53" i="2" s="1"/>
  <c r="BB53" i="2" s="1"/>
  <c r="BC53" i="2" s="1"/>
  <c r="BD53" i="2" s="1"/>
  <c r="BE53" i="2" s="1"/>
  <c r="BF53" i="2" s="1"/>
  <c r="BG53" i="2" s="1"/>
  <c r="BH53" i="2" s="1"/>
  <c r="BI53" i="2" s="1"/>
  <c r="BJ53" i="2" s="1"/>
  <c r="BK53" i="2" s="1"/>
  <c r="BL53" i="2" s="1"/>
  <c r="BM53" i="2" s="1"/>
  <c r="BN53" i="2" s="1"/>
  <c r="BO53" i="2" s="1"/>
  <c r="BP53" i="2" s="1"/>
  <c r="BQ53" i="2" s="1"/>
  <c r="BR53" i="2" s="1"/>
  <c r="BS53" i="2" s="1"/>
  <c r="BT53" i="2" s="1"/>
  <c r="BU53" i="2" s="1"/>
  <c r="BV53" i="2" s="1"/>
  <c r="BW53" i="2" s="1"/>
  <c r="BX53" i="2" s="1"/>
  <c r="BY53" i="2" s="1"/>
  <c r="BZ53" i="2" s="1"/>
  <c r="CA53" i="2" s="1"/>
  <c r="CB53" i="2" s="1"/>
  <c r="CC53" i="2" s="1"/>
  <c r="CD53" i="2" s="1"/>
  <c r="CE53" i="2" s="1"/>
  <c r="CF53" i="2" s="1"/>
  <c r="CG53" i="2" s="1"/>
  <c r="CH53" i="2" s="1"/>
  <c r="CI53" i="2" s="1"/>
  <c r="CJ53" i="2" s="1"/>
  <c r="CK53" i="2" s="1"/>
  <c r="CL53" i="2" s="1"/>
  <c r="CM53" i="2" s="1"/>
  <c r="CN53" i="2" s="1"/>
  <c r="CO53" i="2" s="1"/>
  <c r="CP53" i="2" s="1"/>
  <c r="CQ53" i="2" s="1"/>
  <c r="CR53" i="2" s="1"/>
  <c r="CS53" i="2" s="1"/>
  <c r="CT53" i="2" s="1"/>
  <c r="CU53" i="2" s="1"/>
  <c r="CV53" i="2" s="1"/>
  <c r="CW53" i="2" s="1"/>
  <c r="CX53" i="2" s="1"/>
  <c r="CY53" i="2" s="1"/>
  <c r="CZ53" i="2" s="1"/>
  <c r="DA53" i="2" s="1"/>
  <c r="DB53" i="2" s="1"/>
  <c r="DC53" i="2" s="1"/>
  <c r="DD53" i="2" s="1"/>
  <c r="DE53" i="2" s="1"/>
  <c r="DF53" i="2" s="1"/>
  <c r="DG53" i="2" s="1"/>
  <c r="DH53" i="2" s="1"/>
  <c r="DI53" i="2" s="1"/>
  <c r="DJ53" i="2" s="1"/>
  <c r="DK53" i="2" s="1"/>
  <c r="DL53" i="2" s="1"/>
  <c r="DM53" i="2" s="1"/>
  <c r="DN53" i="2" s="1"/>
  <c r="DO53" i="2" s="1"/>
  <c r="DP53" i="2" s="1"/>
  <c r="DQ53" i="2" s="1"/>
  <c r="DR53" i="2" s="1"/>
  <c r="DS53" i="2" s="1"/>
  <c r="DT53" i="2" s="1"/>
  <c r="DU53" i="2" s="1"/>
  <c r="DV53" i="2" s="1"/>
  <c r="DW53" i="2" s="1"/>
  <c r="DX53" i="2" s="1"/>
  <c r="DY53" i="2" s="1"/>
  <c r="DZ53" i="2" s="1"/>
  <c r="EA53" i="2" s="1"/>
  <c r="EB53" i="2" s="1"/>
  <c r="EC53" i="2" s="1"/>
  <c r="ED53" i="2" s="1"/>
  <c r="EE53" i="2" s="1"/>
  <c r="EF53" i="2" s="1"/>
  <c r="EG53" i="2" s="1"/>
  <c r="EH53" i="2" s="1"/>
  <c r="EI53" i="2" s="1"/>
  <c r="EJ53" i="2" s="1"/>
  <c r="EK53" i="2" s="1"/>
  <c r="EL53" i="2" s="1"/>
  <c r="EM53" i="2" s="1"/>
  <c r="EN53" i="2" s="1"/>
  <c r="EO53" i="2" s="1"/>
  <c r="EP53" i="2" s="1"/>
  <c r="EQ53" i="2" s="1"/>
  <c r="ER53" i="2" s="1"/>
  <c r="ES53" i="2" s="1"/>
  <c r="ET53" i="2" s="1"/>
  <c r="EU53" i="2" s="1"/>
  <c r="EV53" i="2" s="1"/>
  <c r="EW53" i="2" s="1"/>
  <c r="EX53" i="2" s="1"/>
  <c r="EY53" i="2" s="1"/>
  <c r="EZ53" i="2" s="1"/>
  <c r="FA53" i="2" s="1"/>
  <c r="FB53" i="2" s="1"/>
  <c r="FC53" i="2" s="1"/>
  <c r="FD53" i="2" s="1"/>
  <c r="FE53" i="2" s="1"/>
  <c r="FF53" i="2" s="1"/>
  <c r="FG53" i="2" s="1"/>
  <c r="FH53" i="2" s="1"/>
  <c r="FI53" i="2" s="1"/>
  <c r="FJ53" i="2" s="1"/>
  <c r="FK53" i="2" s="1"/>
  <c r="FL53" i="2" s="1"/>
  <c r="AB59" i="2" s="1"/>
  <c r="AB61" i="2" s="1"/>
  <c r="AB62" i="2" s="1"/>
</calcChain>
</file>

<file path=xl/sharedStrings.xml><?xml version="1.0" encoding="utf-8"?>
<sst xmlns="http://schemas.openxmlformats.org/spreadsheetml/2006/main" count="74" uniqueCount="58">
  <si>
    <t xml:space="preserve">Revenue </t>
  </si>
  <si>
    <t>COGS</t>
  </si>
  <si>
    <t>Gross Profit</t>
  </si>
  <si>
    <t>R&amp;D</t>
  </si>
  <si>
    <t>SG&amp;A</t>
  </si>
  <si>
    <t>Other Income</t>
  </si>
  <si>
    <t>Other Expense</t>
  </si>
  <si>
    <t>Equity Income</t>
  </si>
  <si>
    <t>Interest Income</t>
  </si>
  <si>
    <t>Interest Expense</t>
  </si>
  <si>
    <t>Other Finance</t>
  </si>
  <si>
    <t>Pretax Income</t>
  </si>
  <si>
    <t>Taxes</t>
  </si>
  <si>
    <t>Net Income</t>
  </si>
  <si>
    <t>Q122</t>
  </si>
  <si>
    <t>Q222</t>
  </si>
  <si>
    <t>Q322</t>
  </si>
  <si>
    <t>Q422</t>
  </si>
  <si>
    <t>Q123</t>
  </si>
  <si>
    <t>Q223</t>
  </si>
  <si>
    <t>Q323</t>
  </si>
  <si>
    <t>Q423</t>
  </si>
  <si>
    <t>Digital Industry</t>
  </si>
  <si>
    <t>Revenue:</t>
  </si>
  <si>
    <t>Smart Infrastructure</t>
  </si>
  <si>
    <t>Mobility</t>
  </si>
  <si>
    <t>Healthineers</t>
  </si>
  <si>
    <t>Portfolio Companies</t>
  </si>
  <si>
    <t>Profit:</t>
  </si>
  <si>
    <t>Profit Margins:</t>
  </si>
  <si>
    <t>Gross Marign</t>
  </si>
  <si>
    <t>Net Margin</t>
  </si>
  <si>
    <t>Revenue Y/Y</t>
  </si>
  <si>
    <t>Growth:</t>
  </si>
  <si>
    <t>CFFO</t>
  </si>
  <si>
    <t>CapEx</t>
  </si>
  <si>
    <t>FCF</t>
  </si>
  <si>
    <t>Discount</t>
  </si>
  <si>
    <t>Terminal</t>
  </si>
  <si>
    <t>NPV</t>
  </si>
  <si>
    <t>Value</t>
  </si>
  <si>
    <t>Price</t>
  </si>
  <si>
    <t>Cash</t>
  </si>
  <si>
    <t>PP&amp;E</t>
  </si>
  <si>
    <t>Debt</t>
  </si>
  <si>
    <t>Equity Investments</t>
  </si>
  <si>
    <t>Financial Asset</t>
  </si>
  <si>
    <t>Europa/Afrika/Osten</t>
  </si>
  <si>
    <t>darin: Deutschland</t>
  </si>
  <si>
    <t>Amerika</t>
  </si>
  <si>
    <t>darin: USA</t>
  </si>
  <si>
    <t>Asien/Australien</t>
  </si>
  <si>
    <t>darin: China</t>
  </si>
  <si>
    <t>Siemens Finance</t>
  </si>
  <si>
    <t>NAV</t>
  </si>
  <si>
    <t>Finance Liabilities</t>
  </si>
  <si>
    <t>Financial Asset, short</t>
  </si>
  <si>
    <t>Pretax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</si>
</sst>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3" fontId="0" fillId="0" borderId="0" xfId="1" applyNumberFormat="1" applyFont="1"/>
    <xf numFmtId="165" fontId="0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16565</xdr:colOff>
      <xdr:row>8</xdr:row>
      <xdr:rowOff>115957</xdr:rowOff>
    </xdr:from>
    <xdr:to>
      <xdr:col>17</xdr:col>
      <xdr:colOff>41413</xdr:colOff>
      <xdr:row>62</xdr:row>
      <xdr:rowOff>8283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094E549-18C2-4CDA-3CC8-622C49A41460}"/>
            </a:ext>
          </a:extLst>
        </xdr:cNvPr>
        <xdr:cNvCxnSpPr/>
      </xdr:nvCxnSpPr>
      <xdr:spPr>
        <a:xfrm>
          <a:off x="11090413" y="1639957"/>
          <a:ext cx="24848" cy="99888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D0E2-706C-43BF-BDA2-D0788D63D806}">
  <dimension ref="A1"/>
  <sheetViews>
    <sheetView workbookViewId="0">
      <selection activeCell="N3" sqref="N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B5A0-481E-4AE4-9B20-BFABE061A948}">
  <dimension ref="A1:FL72"/>
  <sheetViews>
    <sheetView tabSelected="1" zoomScale="115" zoomScaleNormal="115" workbookViewId="0">
      <pane xSplit="1" ySplit="1" topLeftCell="G33" activePane="bottomRight" state="frozen"/>
      <selection pane="topRight" activeCell="B1" sqref="B1"/>
      <selection pane="bottomLeft" activeCell="A2" sqref="A2"/>
      <selection pane="bottomRight" activeCell="AB59" sqref="AB59"/>
    </sheetView>
  </sheetViews>
  <sheetFormatPr defaultRowHeight="15" x14ac:dyDescent="0.25"/>
  <cols>
    <col min="1" max="1" width="19" style="1" bestFit="1" customWidth="1"/>
    <col min="2" max="16384" width="9.140625" style="1"/>
  </cols>
  <sheetData>
    <row r="1" spans="1:24" customFormat="1" x14ac:dyDescent="0.25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N1">
        <v>2020</v>
      </c>
      <c r="O1">
        <f>+N1+1</f>
        <v>2021</v>
      </c>
      <c r="P1">
        <f t="shared" ref="P1:X1" si="0">+O1+1</f>
        <v>2022</v>
      </c>
      <c r="Q1">
        <f t="shared" si="0"/>
        <v>2023</v>
      </c>
      <c r="R1">
        <f t="shared" si="0"/>
        <v>2024</v>
      </c>
      <c r="S1">
        <f t="shared" si="0"/>
        <v>2025</v>
      </c>
      <c r="T1">
        <f t="shared" si="0"/>
        <v>2026</v>
      </c>
      <c r="U1">
        <f t="shared" si="0"/>
        <v>2027</v>
      </c>
      <c r="V1">
        <f t="shared" si="0"/>
        <v>2028</v>
      </c>
      <c r="W1">
        <f t="shared" si="0"/>
        <v>2029</v>
      </c>
      <c r="X1">
        <f t="shared" si="0"/>
        <v>2030</v>
      </c>
    </row>
    <row r="2" spans="1:24" x14ac:dyDescent="0.25">
      <c r="A2" s="1" t="s">
        <v>33</v>
      </c>
    </row>
    <row r="3" spans="1:24" s="3" customFormat="1" x14ac:dyDescent="0.25">
      <c r="A3" s="3" t="s">
        <v>22</v>
      </c>
      <c r="F3" s="3">
        <f>+F10/B10 -1</f>
        <v>0.17644352426961118</v>
      </c>
      <c r="G3" s="3">
        <f>+G10/C10 -1</f>
        <v>0.21292442497261765</v>
      </c>
    </row>
    <row r="4" spans="1:24" s="3" customFormat="1" x14ac:dyDescent="0.25">
      <c r="A4" s="3" t="s">
        <v>24</v>
      </c>
      <c r="F4" s="3">
        <f t="shared" ref="F4:G6" si="1">+F11/B11 -1</f>
        <v>0.20372801260173268</v>
      </c>
      <c r="G4" s="3">
        <f t="shared" si="1"/>
        <v>0.22424544774257926</v>
      </c>
    </row>
    <row r="5" spans="1:24" s="3" customFormat="1" x14ac:dyDescent="0.25">
      <c r="A5" s="3" t="s">
        <v>25</v>
      </c>
      <c r="F5" s="3">
        <f t="shared" si="1"/>
        <v>1.4937759336099532E-2</v>
      </c>
      <c r="G5" s="3">
        <f t="shared" si="1"/>
        <v>0.24812734082397014</v>
      </c>
    </row>
    <row r="6" spans="1:24" s="3" customFormat="1" x14ac:dyDescent="0.25">
      <c r="A6" s="3" t="s">
        <v>26</v>
      </c>
      <c r="F6" s="3">
        <f t="shared" si="1"/>
        <v>2.1704814522494065E-3</v>
      </c>
      <c r="G6" s="3">
        <f t="shared" si="1"/>
        <v>-2.1062271062271098E-2</v>
      </c>
    </row>
    <row r="7" spans="1:24" s="3" customFormat="1" x14ac:dyDescent="0.25">
      <c r="A7" s="3" t="s">
        <v>27</v>
      </c>
      <c r="F7" s="3">
        <f>+F15/B15 -1</f>
        <v>-1.1299435028248594E-2</v>
      </c>
      <c r="G7" s="3">
        <f>+G15/C15 -1</f>
        <v>6.0411311053984562E-2</v>
      </c>
    </row>
    <row r="9" spans="1:24" x14ac:dyDescent="0.25">
      <c r="A9" s="1" t="s">
        <v>23</v>
      </c>
      <c r="P9" s="1">
        <f>+SUM(P10:P15)</f>
        <v>72181</v>
      </c>
      <c r="Q9" s="1">
        <f>+SUM(Q10:Q15)</f>
        <v>77876</v>
      </c>
      <c r="R9" s="1">
        <f>+SUM(R10:R15)</f>
        <v>79677.783500000005</v>
      </c>
      <c r="S9" s="1">
        <f t="shared" ref="S9:X9" si="2">+SUM(S10:S15)</f>
        <v>83810.507928250008</v>
      </c>
      <c r="T9" s="1">
        <f t="shared" si="2"/>
        <v>88525.778845335895</v>
      </c>
      <c r="U9" s="1">
        <f t="shared" si="2"/>
        <v>92882.696237053722</v>
      </c>
      <c r="V9" s="1">
        <f t="shared" si="2"/>
        <v>96992.17638055791</v>
      </c>
      <c r="W9" s="1">
        <f t="shared" si="2"/>
        <v>100580.42476076583</v>
      </c>
      <c r="X9" s="1">
        <f t="shared" si="2"/>
        <v>104343.77303407113</v>
      </c>
    </row>
    <row r="10" spans="1:24" x14ac:dyDescent="0.25">
      <c r="A10" s="1" t="s">
        <v>22</v>
      </c>
      <c r="B10" s="1">
        <v>4347</v>
      </c>
      <c r="C10" s="1">
        <v>4565</v>
      </c>
      <c r="D10" s="1">
        <v>4930</v>
      </c>
      <c r="E10" s="1">
        <v>4676</v>
      </c>
      <c r="F10" s="1">
        <v>5114</v>
      </c>
      <c r="G10" s="1">
        <v>5537</v>
      </c>
      <c r="H10" s="1">
        <f>+D10*1.2</f>
        <v>5916</v>
      </c>
      <c r="I10" s="1">
        <f>+E10*1.2</f>
        <v>5611.2</v>
      </c>
      <c r="P10" s="1">
        <v>19517</v>
      </c>
      <c r="Q10" s="1">
        <v>21919</v>
      </c>
      <c r="R10" s="1">
        <f>+Q10*0.95</f>
        <v>20823.05</v>
      </c>
      <c r="S10" s="1">
        <f>+R10*1.04</f>
        <v>21655.972000000002</v>
      </c>
      <c r="T10" s="1">
        <f>+S10*1.03</f>
        <v>22305.651160000001</v>
      </c>
      <c r="U10" s="1">
        <f t="shared" ref="U10:X10" si="3">+T10*1.03</f>
        <v>22974.820694800001</v>
      </c>
      <c r="V10" s="1">
        <f t="shared" si="3"/>
        <v>23664.065315644002</v>
      </c>
      <c r="W10" s="1">
        <f t="shared" si="3"/>
        <v>24373.987275113323</v>
      </c>
      <c r="X10" s="1">
        <f t="shared" si="3"/>
        <v>25105.206893366721</v>
      </c>
    </row>
    <row r="11" spans="1:24" x14ac:dyDescent="0.25">
      <c r="A11" s="1" t="s">
        <v>24</v>
      </c>
      <c r="B11" s="1">
        <v>3809</v>
      </c>
      <c r="C11" s="1">
        <v>4009</v>
      </c>
      <c r="D11" s="1">
        <v>4369</v>
      </c>
      <c r="E11" s="1">
        <v>5165</v>
      </c>
      <c r="F11" s="1">
        <v>4585</v>
      </c>
      <c r="G11" s="1">
        <v>4908</v>
      </c>
      <c r="H11" s="1">
        <f>+D11*1.2</f>
        <v>5242.8</v>
      </c>
      <c r="I11" s="1">
        <f>+E11*1.2</f>
        <v>6198</v>
      </c>
      <c r="P11" s="1">
        <f t="shared" ref="P11:P13" si="4">+SUM(B11:E11)</f>
        <v>17352</v>
      </c>
      <c r="Q11" s="1">
        <v>19946</v>
      </c>
      <c r="R11" s="1">
        <f>+Q11*1.08</f>
        <v>21541.68</v>
      </c>
      <c r="S11" s="1">
        <f>+R11*1.1</f>
        <v>23695.848000000002</v>
      </c>
      <c r="T11" s="1">
        <f>+S11*1.12</f>
        <v>26539.349760000005</v>
      </c>
      <c r="U11" s="1">
        <f>+T11*1.1</f>
        <v>29193.284736000009</v>
      </c>
      <c r="V11" s="1">
        <f>+U11*1.08</f>
        <v>31528.747514880011</v>
      </c>
      <c r="W11" s="1">
        <f>+V11*1.06</f>
        <v>33420.472365772817</v>
      </c>
      <c r="X11" s="1">
        <f>+W11*1.06</f>
        <v>35425.700707719188</v>
      </c>
    </row>
    <row r="12" spans="1:24" x14ac:dyDescent="0.25">
      <c r="A12" s="1" t="s">
        <v>25</v>
      </c>
      <c r="B12" s="1">
        <v>2410</v>
      </c>
      <c r="C12" s="1">
        <v>2136</v>
      </c>
      <c r="D12" s="1">
        <v>2465</v>
      </c>
      <c r="E12" s="1">
        <v>2691</v>
      </c>
      <c r="F12" s="1">
        <v>2446</v>
      </c>
      <c r="G12" s="1">
        <v>2666</v>
      </c>
      <c r="H12" s="1">
        <f>+D12*1.1</f>
        <v>2711.5</v>
      </c>
      <c r="I12" s="1">
        <f>+E12*1.1</f>
        <v>2960.1000000000004</v>
      </c>
      <c r="P12" s="1">
        <f t="shared" si="4"/>
        <v>9702</v>
      </c>
      <c r="Q12" s="1">
        <v>10549</v>
      </c>
      <c r="R12" s="1">
        <f>+Q12*1.1</f>
        <v>11603.900000000001</v>
      </c>
      <c r="S12" s="1">
        <f>+R12*1.08</f>
        <v>12532.212000000003</v>
      </c>
      <c r="T12" s="1">
        <f>+S12*1.08</f>
        <v>13534.788960000003</v>
      </c>
      <c r="U12" s="1">
        <f>+T12*1.06</f>
        <v>14346.876297600005</v>
      </c>
      <c r="V12" s="1">
        <f>+U12*1.06</f>
        <v>15207.688875456006</v>
      </c>
      <c r="W12" s="1">
        <f t="shared" ref="W12:X12" si="5">+V12*1.05</f>
        <v>15968.073319228806</v>
      </c>
      <c r="X12" s="1">
        <f t="shared" si="5"/>
        <v>16766.476985190246</v>
      </c>
    </row>
    <row r="13" spans="1:24" x14ac:dyDescent="0.25">
      <c r="A13" s="1" t="s">
        <v>26</v>
      </c>
      <c r="B13" s="1">
        <v>5068</v>
      </c>
      <c r="C13" s="1">
        <v>5460</v>
      </c>
      <c r="D13" s="1">
        <v>5186</v>
      </c>
      <c r="E13" s="1">
        <v>6001</v>
      </c>
      <c r="F13" s="1">
        <v>5079</v>
      </c>
      <c r="G13" s="1">
        <v>5345</v>
      </c>
      <c r="H13" s="1">
        <f>+D13*0.99</f>
        <v>5134.1400000000003</v>
      </c>
      <c r="I13" s="1">
        <f>+E13*0.99</f>
        <v>5940.99</v>
      </c>
      <c r="P13" s="1">
        <f t="shared" si="4"/>
        <v>21715</v>
      </c>
      <c r="Q13" s="1">
        <v>21681</v>
      </c>
      <c r="R13" s="1">
        <f>+Q13*1.01</f>
        <v>21897.81</v>
      </c>
      <c r="S13" s="1">
        <f t="shared" ref="S13:X13" si="6">+R13*1.01</f>
        <v>22116.788100000002</v>
      </c>
      <c r="T13" s="1">
        <f t="shared" si="6"/>
        <v>22337.955981000003</v>
      </c>
      <c r="U13" s="1">
        <f t="shared" si="6"/>
        <v>22561.335540810003</v>
      </c>
      <c r="V13" s="1">
        <f t="shared" si="6"/>
        <v>22786.948896218102</v>
      </c>
      <c r="W13" s="1">
        <f t="shared" si="6"/>
        <v>23014.818385180282</v>
      </c>
      <c r="X13" s="1">
        <f t="shared" si="6"/>
        <v>23244.966569032087</v>
      </c>
    </row>
    <row r="14" spans="1:24" x14ac:dyDescent="0.25">
      <c r="A14" s="1" t="s">
        <v>53</v>
      </c>
      <c r="P14" s="1">
        <v>661</v>
      </c>
      <c r="Q14" s="1">
        <v>468</v>
      </c>
      <c r="R14" s="1">
        <v>500</v>
      </c>
      <c r="S14" s="1">
        <v>500</v>
      </c>
      <c r="T14" s="1">
        <v>500</v>
      </c>
      <c r="U14" s="1">
        <v>500</v>
      </c>
      <c r="V14" s="1">
        <v>500</v>
      </c>
      <c r="W14" s="1">
        <v>500</v>
      </c>
      <c r="X14" s="1">
        <v>500</v>
      </c>
    </row>
    <row r="15" spans="1:24" x14ac:dyDescent="0.25">
      <c r="A15" s="1" t="s">
        <v>27</v>
      </c>
      <c r="B15" s="1">
        <v>708</v>
      </c>
      <c r="C15" s="1">
        <v>778</v>
      </c>
      <c r="D15" s="1">
        <v>801</v>
      </c>
      <c r="E15" s="1">
        <v>1163</v>
      </c>
      <c r="F15" s="1">
        <v>700</v>
      </c>
      <c r="G15" s="1">
        <v>825</v>
      </c>
      <c r="H15" s="1">
        <f>+D15*1.05</f>
        <v>841.05000000000007</v>
      </c>
      <c r="I15" s="1">
        <f>+E15*1.05</f>
        <v>1221.1500000000001</v>
      </c>
      <c r="P15" s="1">
        <v>3234</v>
      </c>
      <c r="Q15" s="1">
        <v>3313</v>
      </c>
      <c r="R15" s="1">
        <f>+Q15*0.9995</f>
        <v>3311.3435000000004</v>
      </c>
      <c r="S15" s="1">
        <f t="shared" ref="S15:X15" si="7">+R15*0.9995</f>
        <v>3309.6878282500006</v>
      </c>
      <c r="T15" s="1">
        <f t="shared" si="7"/>
        <v>3308.0329843358759</v>
      </c>
      <c r="U15" s="1">
        <f t="shared" si="7"/>
        <v>3306.3789678437083</v>
      </c>
      <c r="V15" s="1">
        <f t="shared" si="7"/>
        <v>3304.7257783597865</v>
      </c>
      <c r="W15" s="1">
        <f t="shared" si="7"/>
        <v>3303.073415470607</v>
      </c>
      <c r="X15" s="1">
        <f t="shared" si="7"/>
        <v>3301.421878762872</v>
      </c>
    </row>
    <row r="17" spans="1:24" x14ac:dyDescent="0.25">
      <c r="A17" s="1" t="s">
        <v>28</v>
      </c>
      <c r="P17" s="1">
        <f t="shared" ref="P17:X17" si="8">+SUM(P18:P23)</f>
        <v>12296</v>
      </c>
      <c r="Q17" s="1">
        <f t="shared" si="8"/>
        <v>12346</v>
      </c>
      <c r="R17" s="1">
        <f t="shared" si="8"/>
        <v>13373.207412500002</v>
      </c>
      <c r="S17" s="1">
        <f t="shared" si="8"/>
        <v>14588.778100618751</v>
      </c>
      <c r="T17" s="1">
        <f t="shared" si="8"/>
        <v>16179.173044860192</v>
      </c>
      <c r="U17" s="1">
        <f t="shared" si="8"/>
        <v>17681.611691929633</v>
      </c>
      <c r="V17" s="1">
        <f t="shared" si="8"/>
        <v>18968.720345509111</v>
      </c>
      <c r="W17" s="1">
        <f t="shared" si="8"/>
        <v>20204.671439415477</v>
      </c>
      <c r="X17" s="1">
        <f t="shared" si="8"/>
        <v>21533.375575776561</v>
      </c>
    </row>
    <row r="18" spans="1:24" x14ac:dyDescent="0.25">
      <c r="A18" s="1" t="s">
        <v>22</v>
      </c>
      <c r="B18" s="1">
        <v>947</v>
      </c>
      <c r="C18" s="1">
        <v>826</v>
      </c>
      <c r="D18" s="1">
        <v>901</v>
      </c>
      <c r="E18" s="1">
        <v>1218</v>
      </c>
      <c r="F18" s="1">
        <v>1152</v>
      </c>
      <c r="G18" s="1">
        <v>1300</v>
      </c>
      <c r="P18" s="1">
        <f t="shared" ref="P18:P23" si="9">+SUM(B18:E18)</f>
        <v>3892</v>
      </c>
      <c r="Q18" s="1">
        <v>4957</v>
      </c>
      <c r="R18" s="1">
        <f>+R10*R26</f>
        <v>4581.0709999999999</v>
      </c>
      <c r="S18" s="1">
        <f t="shared" ref="S18:X18" si="10">+S10*S26</f>
        <v>4980.8735600000009</v>
      </c>
      <c r="T18" s="1">
        <f t="shared" si="10"/>
        <v>5353.3562784000005</v>
      </c>
      <c r="U18" s="1">
        <f t="shared" si="10"/>
        <v>5743.7051737000002</v>
      </c>
      <c r="V18" s="1">
        <f t="shared" si="10"/>
        <v>5916.0163289110005</v>
      </c>
      <c r="W18" s="1">
        <f t="shared" si="10"/>
        <v>6093.4968187783306</v>
      </c>
      <c r="X18" s="1">
        <f t="shared" si="10"/>
        <v>6276.3017233416804</v>
      </c>
    </row>
    <row r="19" spans="1:24" x14ac:dyDescent="0.25">
      <c r="A19" s="1" t="s">
        <v>24</v>
      </c>
      <c r="B19" s="1">
        <v>480</v>
      </c>
      <c r="C19" s="1">
        <v>445</v>
      </c>
      <c r="D19" s="1">
        <v>562</v>
      </c>
      <c r="E19" s="1">
        <v>735</v>
      </c>
      <c r="F19" s="1">
        <v>704</v>
      </c>
      <c r="G19" s="1">
        <v>779</v>
      </c>
      <c r="P19" s="1">
        <f t="shared" si="9"/>
        <v>2222</v>
      </c>
      <c r="Q19" s="1">
        <v>3074</v>
      </c>
      <c r="R19" s="1">
        <f>+R11*R27</f>
        <v>3985.2107999999998</v>
      </c>
      <c r="S19" s="1">
        <f t="shared" ref="S19:X19" si="11">+S11*S27</f>
        <v>4620.6903600000005</v>
      </c>
      <c r="T19" s="1">
        <f t="shared" si="11"/>
        <v>5573.263449600001</v>
      </c>
      <c r="U19" s="1">
        <f t="shared" si="11"/>
        <v>6422.5226419200017</v>
      </c>
      <c r="V19" s="1">
        <f t="shared" si="11"/>
        <v>7251.6119284224033</v>
      </c>
      <c r="W19" s="1">
        <f t="shared" si="11"/>
        <v>8020.9133677854761</v>
      </c>
      <c r="X19" s="1">
        <f t="shared" si="11"/>
        <v>8856.4251769297971</v>
      </c>
    </row>
    <row r="20" spans="1:24" x14ac:dyDescent="0.25">
      <c r="A20" s="1" t="s">
        <v>25</v>
      </c>
      <c r="B20" s="1">
        <v>224</v>
      </c>
      <c r="C20" s="1">
        <v>-369</v>
      </c>
      <c r="D20" s="1">
        <v>704</v>
      </c>
      <c r="E20" s="1">
        <v>236</v>
      </c>
      <c r="F20" s="1">
        <v>195</v>
      </c>
      <c r="G20" s="1">
        <v>247</v>
      </c>
      <c r="P20" s="1">
        <f t="shared" si="9"/>
        <v>795</v>
      </c>
      <c r="Q20" s="1">
        <v>882</v>
      </c>
      <c r="R20" s="1">
        <f t="shared" ref="R20:X20" si="12">+R12*R28</f>
        <v>1102.3705000000002</v>
      </c>
      <c r="S20" s="1">
        <f t="shared" si="12"/>
        <v>1253.2212000000004</v>
      </c>
      <c r="T20" s="1">
        <f t="shared" si="12"/>
        <v>1488.8267856000004</v>
      </c>
      <c r="U20" s="1">
        <f t="shared" si="12"/>
        <v>1721.6251557120006</v>
      </c>
      <c r="V20" s="1">
        <f t="shared" si="12"/>
        <v>1976.9995538092808</v>
      </c>
      <c r="W20" s="1">
        <f t="shared" si="12"/>
        <v>2235.5302646920331</v>
      </c>
      <c r="X20" s="1">
        <f t="shared" si="12"/>
        <v>2514.9715477785367</v>
      </c>
    </row>
    <row r="21" spans="1:24" x14ac:dyDescent="0.25">
      <c r="A21" s="1" t="s">
        <v>26</v>
      </c>
      <c r="B21" s="1">
        <v>810</v>
      </c>
      <c r="C21" s="1">
        <v>875</v>
      </c>
      <c r="D21" s="1">
        <v>715</v>
      </c>
      <c r="E21" s="1">
        <v>969</v>
      </c>
      <c r="F21" s="1">
        <v>636</v>
      </c>
      <c r="G21" s="1">
        <v>288</v>
      </c>
      <c r="P21" s="1">
        <f t="shared" si="9"/>
        <v>3369</v>
      </c>
      <c r="Q21" s="1">
        <v>2527</v>
      </c>
      <c r="R21" s="1">
        <f>+R13*R29</f>
        <v>2956.2043500000004</v>
      </c>
      <c r="S21" s="1">
        <f t="shared" ref="S21:X21" si="13">+S13*S29</f>
        <v>2985.7663935000005</v>
      </c>
      <c r="T21" s="1">
        <f t="shared" si="13"/>
        <v>3015.6240574350004</v>
      </c>
      <c r="U21" s="1">
        <f t="shared" si="13"/>
        <v>3045.7802980093506</v>
      </c>
      <c r="V21" s="1">
        <f t="shared" si="13"/>
        <v>3076.2381009894439</v>
      </c>
      <c r="W21" s="1">
        <f t="shared" si="13"/>
        <v>3107.0004819993383</v>
      </c>
      <c r="X21" s="1">
        <f t="shared" si="13"/>
        <v>3138.070486819332</v>
      </c>
    </row>
    <row r="22" spans="1:24" x14ac:dyDescent="0.25">
      <c r="A22" s="1" t="s">
        <v>53</v>
      </c>
      <c r="P22" s="1">
        <v>498</v>
      </c>
      <c r="Q22" s="1">
        <v>563</v>
      </c>
      <c r="R22" s="1">
        <f>+R14</f>
        <v>500</v>
      </c>
      <c r="S22" s="1">
        <f t="shared" ref="S22:X22" si="14">+S14</f>
        <v>500</v>
      </c>
      <c r="T22" s="1">
        <f t="shared" si="14"/>
        <v>500</v>
      </c>
      <c r="U22" s="1">
        <f t="shared" si="14"/>
        <v>500</v>
      </c>
      <c r="V22" s="1">
        <f t="shared" si="14"/>
        <v>500</v>
      </c>
      <c r="W22" s="1">
        <f t="shared" si="14"/>
        <v>500</v>
      </c>
      <c r="X22" s="1">
        <f t="shared" si="14"/>
        <v>500</v>
      </c>
    </row>
    <row r="23" spans="1:24" x14ac:dyDescent="0.25">
      <c r="A23" s="1" t="s">
        <v>27</v>
      </c>
      <c r="B23" s="1">
        <v>28</v>
      </c>
      <c r="C23" s="1">
        <v>324</v>
      </c>
      <c r="D23" s="1">
        <v>5</v>
      </c>
      <c r="E23" s="1">
        <v>1163</v>
      </c>
      <c r="F23" s="1">
        <v>168</v>
      </c>
      <c r="G23" s="1">
        <v>60</v>
      </c>
      <c r="P23" s="1">
        <f t="shared" si="9"/>
        <v>1520</v>
      </c>
      <c r="Q23" s="1">
        <v>343</v>
      </c>
      <c r="R23" s="1">
        <f>+R15*R30</f>
        <v>248.35076250000003</v>
      </c>
      <c r="S23" s="1">
        <f t="shared" ref="S23:X23" si="15">+S15*S30</f>
        <v>248.22658711875005</v>
      </c>
      <c r="T23" s="1">
        <f t="shared" si="15"/>
        <v>248.10247382519069</v>
      </c>
      <c r="U23" s="1">
        <f t="shared" si="15"/>
        <v>247.97842258827811</v>
      </c>
      <c r="V23" s="1">
        <f t="shared" si="15"/>
        <v>247.85443337698399</v>
      </c>
      <c r="W23" s="1">
        <f t="shared" si="15"/>
        <v>247.7305061602955</v>
      </c>
      <c r="X23" s="1">
        <f t="shared" si="15"/>
        <v>247.60664090721539</v>
      </c>
    </row>
    <row r="25" spans="1:24" x14ac:dyDescent="0.25">
      <c r="A25" s="1" t="s">
        <v>29</v>
      </c>
      <c r="P25" s="6">
        <f>+P17/P9</f>
        <v>0.17034953796705504</v>
      </c>
      <c r="Q25" s="6">
        <f>+Q17/Q9</f>
        <v>0.15853407981919976</v>
      </c>
      <c r="R25" s="6">
        <f>+R17/R9</f>
        <v>0.16784110733326313</v>
      </c>
      <c r="S25" s="6">
        <f t="shared" ref="S25:X25" si="16">+S17/S9</f>
        <v>0.17406860382123171</v>
      </c>
      <c r="T25" s="6">
        <f t="shared" si="16"/>
        <v>0.18276227846723558</v>
      </c>
      <c r="U25" s="6">
        <f t="shared" si="16"/>
        <v>0.19036497009952111</v>
      </c>
      <c r="V25" s="6">
        <f t="shared" si="16"/>
        <v>0.19556959183061895</v>
      </c>
      <c r="W25" s="6">
        <f t="shared" si="16"/>
        <v>0.20088075276549106</v>
      </c>
      <c r="X25" s="6">
        <f t="shared" si="16"/>
        <v>0.20636953168968999</v>
      </c>
    </row>
    <row r="26" spans="1:24" s="3" customFormat="1" x14ac:dyDescent="0.25">
      <c r="A26" s="3" t="s">
        <v>22</v>
      </c>
      <c r="B26" s="3">
        <f t="shared" ref="B26:G26" si="17">+B18/B10</f>
        <v>0.21785139176443524</v>
      </c>
      <c r="C26" s="3">
        <f t="shared" si="17"/>
        <v>0.18094194961664842</v>
      </c>
      <c r="D26" s="3">
        <f t="shared" si="17"/>
        <v>0.18275862068965518</v>
      </c>
      <c r="E26" s="3">
        <f t="shared" si="17"/>
        <v>0.26047904191616766</v>
      </c>
      <c r="F26" s="3">
        <f t="shared" si="17"/>
        <v>0.22526398122800156</v>
      </c>
      <c r="G26" s="3">
        <f t="shared" si="17"/>
        <v>0.23478417915838901</v>
      </c>
      <c r="P26" s="6">
        <f>+P18/P10</f>
        <v>0.19941589383614286</v>
      </c>
      <c r="Q26" s="6">
        <f>+Q18/Q10</f>
        <v>0.22615082804872486</v>
      </c>
      <c r="R26" s="3">
        <v>0.22</v>
      </c>
      <c r="S26" s="3">
        <v>0.23</v>
      </c>
      <c r="T26" s="3">
        <v>0.24</v>
      </c>
      <c r="U26" s="3">
        <v>0.25</v>
      </c>
      <c r="V26" s="3">
        <v>0.25</v>
      </c>
      <c r="W26" s="3">
        <v>0.25</v>
      </c>
      <c r="X26" s="3">
        <v>0.25</v>
      </c>
    </row>
    <row r="27" spans="1:24" s="3" customFormat="1" x14ac:dyDescent="0.25">
      <c r="A27" s="3" t="s">
        <v>24</v>
      </c>
      <c r="B27" s="3">
        <f t="shared" ref="B27:C29" si="18">+B19/B11</f>
        <v>0.12601732738251509</v>
      </c>
      <c r="C27" s="3">
        <f t="shared" si="18"/>
        <v>0.11100024943876279</v>
      </c>
      <c r="D27" s="3">
        <f t="shared" ref="D27:E27" si="19">+D19/D11</f>
        <v>0.12863355458915082</v>
      </c>
      <c r="E27" s="3">
        <f t="shared" si="19"/>
        <v>0.14230396902226525</v>
      </c>
      <c r="F27" s="3">
        <f t="shared" ref="F27:G29" si="20">+F19/F11</f>
        <v>0.15354416575790622</v>
      </c>
      <c r="G27" s="3">
        <f t="shared" si="20"/>
        <v>0.15872045639771801</v>
      </c>
      <c r="P27" s="6">
        <f t="shared" ref="P27:Q27" si="21">+P19/P11</f>
        <v>0.1280544029506685</v>
      </c>
      <c r="Q27" s="6">
        <f t="shared" si="21"/>
        <v>0.15411611350646745</v>
      </c>
      <c r="R27" s="3">
        <v>0.185</v>
      </c>
      <c r="S27" s="3">
        <v>0.19500000000000001</v>
      </c>
      <c r="T27" s="3">
        <v>0.21</v>
      </c>
      <c r="U27" s="3">
        <v>0.22</v>
      </c>
      <c r="V27" s="3">
        <v>0.23</v>
      </c>
      <c r="W27" s="3">
        <v>0.24</v>
      </c>
      <c r="X27" s="3">
        <v>0.25</v>
      </c>
    </row>
    <row r="28" spans="1:24" s="3" customFormat="1" x14ac:dyDescent="0.25">
      <c r="A28" s="3" t="s">
        <v>25</v>
      </c>
      <c r="B28" s="3">
        <f t="shared" si="18"/>
        <v>9.294605809128631E-2</v>
      </c>
      <c r="C28" s="3">
        <f t="shared" si="18"/>
        <v>-0.17275280898876405</v>
      </c>
      <c r="D28" s="3">
        <f t="shared" ref="D28:E28" si="22">+D20/D12</f>
        <v>0.28559837728194726</v>
      </c>
      <c r="E28" s="3">
        <f t="shared" si="22"/>
        <v>8.7699739873652913E-2</v>
      </c>
      <c r="F28" s="3">
        <f t="shared" si="20"/>
        <v>7.9721995094031065E-2</v>
      </c>
      <c r="G28" s="3">
        <f t="shared" si="20"/>
        <v>9.2648162040510129E-2</v>
      </c>
      <c r="P28" s="6">
        <f t="shared" ref="P28:Q28" si="23">+P20/P12</f>
        <v>8.1941867656153369E-2</v>
      </c>
      <c r="Q28" s="6">
        <f t="shared" si="23"/>
        <v>8.3609820836098206E-2</v>
      </c>
      <c r="R28" s="3">
        <v>9.5000000000000001E-2</v>
      </c>
      <c r="S28" s="3">
        <v>0.1</v>
      </c>
      <c r="T28" s="3">
        <v>0.11</v>
      </c>
      <c r="U28" s="3">
        <v>0.12</v>
      </c>
      <c r="V28" s="3">
        <v>0.13</v>
      </c>
      <c r="W28" s="3">
        <v>0.14000000000000001</v>
      </c>
      <c r="X28" s="3">
        <v>0.15</v>
      </c>
    </row>
    <row r="29" spans="1:24" s="3" customFormat="1" x14ac:dyDescent="0.25">
      <c r="A29" s="3" t="s">
        <v>26</v>
      </c>
      <c r="B29" s="3">
        <f t="shared" si="18"/>
        <v>0.15982636148382004</v>
      </c>
      <c r="C29" s="3">
        <f t="shared" si="18"/>
        <v>0.16025641025641027</v>
      </c>
      <c r="D29" s="3">
        <f t="shared" ref="D29:E29" si="24">+D21/D13</f>
        <v>0.13787119166988046</v>
      </c>
      <c r="E29" s="3">
        <f t="shared" si="24"/>
        <v>0.16147308781869688</v>
      </c>
      <c r="F29" s="3">
        <f t="shared" si="20"/>
        <v>0.12522150029533372</v>
      </c>
      <c r="G29" s="3">
        <f t="shared" si="20"/>
        <v>5.3882132834424695E-2</v>
      </c>
      <c r="P29" s="6">
        <f t="shared" ref="P29:Q29" si="25">+P21/P13</f>
        <v>0.15514621229564818</v>
      </c>
      <c r="Q29" s="6">
        <f t="shared" si="25"/>
        <v>0.11655366449886997</v>
      </c>
      <c r="R29" s="3">
        <v>0.13500000000000001</v>
      </c>
      <c r="S29" s="3">
        <v>0.13500000000000001</v>
      </c>
      <c r="T29" s="3">
        <v>0.13500000000000001</v>
      </c>
      <c r="U29" s="3">
        <v>0.13500000000000001</v>
      </c>
      <c r="V29" s="3">
        <v>0.13500000000000001</v>
      </c>
      <c r="W29" s="3">
        <v>0.13500000000000001</v>
      </c>
      <c r="X29" s="3">
        <v>0.13500000000000001</v>
      </c>
    </row>
    <row r="30" spans="1:24" s="3" customFormat="1" x14ac:dyDescent="0.25">
      <c r="A30" s="3" t="s">
        <v>27</v>
      </c>
      <c r="B30" s="3">
        <f>+B23/B15</f>
        <v>3.954802259887006E-2</v>
      </c>
      <c r="C30" s="3">
        <f>+C23/C15</f>
        <v>0.41645244215938304</v>
      </c>
      <c r="D30" s="3">
        <f t="shared" ref="D30:E30" si="26">+D23/D15</f>
        <v>6.2421972534332081E-3</v>
      </c>
      <c r="E30" s="3">
        <f t="shared" si="26"/>
        <v>1</v>
      </c>
      <c r="F30" s="3">
        <f>+F23/F15</f>
        <v>0.24</v>
      </c>
      <c r="G30" s="3">
        <f>+G23/G15</f>
        <v>7.2727272727272724E-2</v>
      </c>
      <c r="P30" s="6">
        <f t="shared" ref="P30:Q30" si="27">+P23/P15</f>
        <v>0.47000618429189855</v>
      </c>
      <c r="Q30" s="6">
        <f t="shared" si="27"/>
        <v>0.10353154240869303</v>
      </c>
      <c r="R30" s="3">
        <v>7.4999999999999997E-2</v>
      </c>
      <c r="S30" s="3">
        <v>7.4999999999999997E-2</v>
      </c>
      <c r="T30" s="3">
        <v>7.4999999999999997E-2</v>
      </c>
      <c r="U30" s="3">
        <v>7.4999999999999997E-2</v>
      </c>
      <c r="V30" s="3">
        <v>7.4999999999999997E-2</v>
      </c>
      <c r="W30" s="3">
        <v>7.4999999999999997E-2</v>
      </c>
      <c r="X30" s="3">
        <v>7.4999999999999997E-2</v>
      </c>
    </row>
    <row r="31" spans="1:24" s="5" customFormat="1" x14ac:dyDescent="0.25"/>
    <row r="32" spans="1:24" s="5" customFormat="1" x14ac:dyDescent="0.25">
      <c r="A32" s="5" t="s">
        <v>47</v>
      </c>
      <c r="P32" s="5">
        <v>42373</v>
      </c>
      <c r="Q32" s="5">
        <v>42679</v>
      </c>
    </row>
    <row r="33" spans="1:24" s="5" customFormat="1" x14ac:dyDescent="0.25">
      <c r="A33" s="5" t="s">
        <v>48</v>
      </c>
      <c r="P33" s="5">
        <v>15046</v>
      </c>
      <c r="Q33" s="5">
        <v>15164</v>
      </c>
    </row>
    <row r="34" spans="1:24" s="5" customFormat="1" x14ac:dyDescent="0.25">
      <c r="A34" s="5" t="s">
        <v>49</v>
      </c>
      <c r="P34" s="5">
        <v>25646</v>
      </c>
      <c r="Q34" s="5">
        <v>26540</v>
      </c>
    </row>
    <row r="35" spans="1:24" s="5" customFormat="1" x14ac:dyDescent="0.25">
      <c r="A35" s="5" t="s">
        <v>50</v>
      </c>
      <c r="P35" s="5">
        <v>21563</v>
      </c>
      <c r="Q35" s="5">
        <v>22093</v>
      </c>
    </row>
    <row r="36" spans="1:24" s="5" customFormat="1" x14ac:dyDescent="0.25">
      <c r="A36" s="5" t="s">
        <v>51</v>
      </c>
      <c r="P36" s="5">
        <v>20990</v>
      </c>
      <c r="Q36" s="5">
        <v>23085</v>
      </c>
    </row>
    <row r="37" spans="1:24" s="5" customFormat="1" x14ac:dyDescent="0.25">
      <c r="A37" s="5" t="s">
        <v>52</v>
      </c>
      <c r="P37" s="5">
        <v>10831</v>
      </c>
      <c r="Q37" s="5">
        <v>8798</v>
      </c>
    </row>
    <row r="38" spans="1:24" s="5" customFormat="1" x14ac:dyDescent="0.25">
      <c r="R38" s="7"/>
    </row>
    <row r="39" spans="1:24" x14ac:dyDescent="0.25">
      <c r="Q39" s="6"/>
      <c r="R39" s="6"/>
      <c r="S39" s="6"/>
      <c r="T39" s="6"/>
      <c r="U39" s="6"/>
      <c r="V39" s="6"/>
      <c r="W39" s="6"/>
      <c r="X39" s="6"/>
    </row>
    <row r="40" spans="1:24" s="2" customFormat="1" x14ac:dyDescent="0.25">
      <c r="A40" s="2" t="s">
        <v>0</v>
      </c>
      <c r="B40" s="2">
        <v>16497</v>
      </c>
      <c r="C40" s="2">
        <v>17040</v>
      </c>
      <c r="D40" s="2">
        <v>17867</v>
      </c>
      <c r="E40" s="2">
        <v>20573</v>
      </c>
      <c r="F40" s="2">
        <v>18070</v>
      </c>
      <c r="G40" s="2">
        <v>19416</v>
      </c>
      <c r="H40" s="2">
        <f>+SUM(H10:H15)</f>
        <v>19845.489999999998</v>
      </c>
      <c r="I40" s="2">
        <f>+SUM(I10:I15)</f>
        <v>21931.440000000002</v>
      </c>
      <c r="P40" s="2">
        <f t="shared" ref="P40:P41" si="28">+SUM(B40:E40)</f>
        <v>71977</v>
      </c>
      <c r="Q40" s="2">
        <v>77769</v>
      </c>
      <c r="R40" s="2">
        <f>+R9</f>
        <v>79677.783500000005</v>
      </c>
      <c r="S40" s="2">
        <f t="shared" ref="S40:X40" si="29">+S9</f>
        <v>83810.507928250008</v>
      </c>
      <c r="T40" s="2">
        <f t="shared" si="29"/>
        <v>88525.778845335895</v>
      </c>
      <c r="U40" s="2">
        <f t="shared" si="29"/>
        <v>92882.696237053722</v>
      </c>
      <c r="V40" s="2">
        <f t="shared" si="29"/>
        <v>96992.17638055791</v>
      </c>
      <c r="W40" s="2">
        <f t="shared" si="29"/>
        <v>100580.42476076583</v>
      </c>
      <c r="X40" s="2">
        <f t="shared" si="29"/>
        <v>104343.77303407113</v>
      </c>
    </row>
    <row r="41" spans="1:24" x14ac:dyDescent="0.25">
      <c r="A41" s="1" t="s">
        <v>1</v>
      </c>
      <c r="B41" s="1">
        <v>10292</v>
      </c>
      <c r="C41" s="1">
        <v>11300</v>
      </c>
      <c r="D41" s="1">
        <v>11638</v>
      </c>
      <c r="E41" s="1">
        <v>12901</v>
      </c>
      <c r="F41" s="1">
        <v>11104</v>
      </c>
      <c r="G41" s="1">
        <v>12217</v>
      </c>
      <c r="H41" s="1">
        <f>+H40*0.65</f>
        <v>12899.568499999999</v>
      </c>
      <c r="I41" s="1">
        <f>+I40*0.65</f>
        <v>14255.436000000002</v>
      </c>
      <c r="P41" s="1">
        <f t="shared" si="28"/>
        <v>46131</v>
      </c>
      <c r="Q41" s="1">
        <v>48116</v>
      </c>
      <c r="R41" s="1">
        <f>+R40*0.61</f>
        <v>48603.447935000004</v>
      </c>
      <c r="S41" s="1">
        <f>+S40*0.6</f>
        <v>50286.304756950005</v>
      </c>
      <c r="T41" s="1">
        <f t="shared" ref="T41:X41" si="30">+T40*0.6</f>
        <v>53115.467307201536</v>
      </c>
      <c r="U41" s="1">
        <f t="shared" si="30"/>
        <v>55729.617742232229</v>
      </c>
      <c r="V41" s="1">
        <f t="shared" si="30"/>
        <v>58195.305828334742</v>
      </c>
      <c r="W41" s="1">
        <f t="shared" si="30"/>
        <v>60348.254856459498</v>
      </c>
      <c r="X41" s="1">
        <f t="shared" si="30"/>
        <v>62606.263820442677</v>
      </c>
    </row>
    <row r="42" spans="1:24" x14ac:dyDescent="0.25">
      <c r="A42" s="1" t="s">
        <v>2</v>
      </c>
      <c r="B42" s="1">
        <f>+B40-B41</f>
        <v>6205</v>
      </c>
      <c r="C42" s="1">
        <f t="shared" ref="C42:I42" si="31">+C40-C41</f>
        <v>5740</v>
      </c>
      <c r="D42" s="1">
        <f t="shared" si="31"/>
        <v>6229</v>
      </c>
      <c r="E42" s="1">
        <f t="shared" si="31"/>
        <v>7672</v>
      </c>
      <c r="F42" s="1">
        <v>6967</v>
      </c>
      <c r="G42" s="1">
        <f t="shared" si="31"/>
        <v>7199</v>
      </c>
      <c r="H42" s="1">
        <f t="shared" si="31"/>
        <v>6945.9214999999986</v>
      </c>
      <c r="I42" s="1">
        <f t="shared" si="31"/>
        <v>7676.0040000000008</v>
      </c>
      <c r="N42" s="1">
        <f t="shared" ref="N42:X42" si="32">+N40-N41</f>
        <v>0</v>
      </c>
      <c r="O42" s="1">
        <f t="shared" si="32"/>
        <v>0</v>
      </c>
      <c r="P42" s="1">
        <f t="shared" si="32"/>
        <v>25846</v>
      </c>
      <c r="Q42" s="1">
        <f t="shared" si="32"/>
        <v>29653</v>
      </c>
      <c r="R42" s="1">
        <f t="shared" si="32"/>
        <v>31074.335565000001</v>
      </c>
      <c r="S42" s="1">
        <f t="shared" si="32"/>
        <v>33524.203171300003</v>
      </c>
      <c r="T42" s="1">
        <f t="shared" si="32"/>
        <v>35410.31153813436</v>
      </c>
      <c r="U42" s="1">
        <f t="shared" si="32"/>
        <v>37153.078494821493</v>
      </c>
      <c r="V42" s="1">
        <f t="shared" si="32"/>
        <v>38796.870552223168</v>
      </c>
      <c r="W42" s="1">
        <f t="shared" si="32"/>
        <v>40232.169904306335</v>
      </c>
      <c r="X42" s="1">
        <f t="shared" si="32"/>
        <v>41737.509213628451</v>
      </c>
    </row>
    <row r="43" spans="1:24" x14ac:dyDescent="0.25">
      <c r="A43" s="1" t="s">
        <v>3</v>
      </c>
      <c r="B43" s="1">
        <v>1251</v>
      </c>
      <c r="C43" s="1">
        <v>1359</v>
      </c>
      <c r="D43" s="1">
        <v>1400</v>
      </c>
      <c r="E43" s="1">
        <v>1582</v>
      </c>
      <c r="F43" s="1">
        <v>1430</v>
      </c>
      <c r="G43" s="1">
        <v>1528</v>
      </c>
      <c r="H43" s="1">
        <v>1500</v>
      </c>
      <c r="I43" s="1">
        <v>1500</v>
      </c>
      <c r="P43" s="1">
        <f t="shared" ref="P43:P50" si="33">+SUM(B43:E43)</f>
        <v>5592</v>
      </c>
      <c r="Q43" s="1">
        <v>6183</v>
      </c>
      <c r="R43" s="1">
        <f>+Q43*1.08</f>
        <v>6677.64</v>
      </c>
      <c r="S43" s="1">
        <f>+R43*1.06</f>
        <v>7078.2984000000006</v>
      </c>
      <c r="T43" s="1">
        <f>+S43*1.05</f>
        <v>7432.2133200000007</v>
      </c>
      <c r="U43" s="1">
        <f>+T43*1.04</f>
        <v>7729.501852800001</v>
      </c>
      <c r="V43" s="1">
        <f t="shared" ref="V43" si="34">+U43*1.03</f>
        <v>7961.3869083840009</v>
      </c>
      <c r="W43" s="1">
        <f>+V43*1.02</f>
        <v>8120.6146465516813</v>
      </c>
      <c r="X43" s="1">
        <f>+W43*1.02</f>
        <v>8283.0269394827155</v>
      </c>
    </row>
    <row r="44" spans="1:24" x14ac:dyDescent="0.25">
      <c r="A44" s="1" t="s">
        <v>4</v>
      </c>
      <c r="B44" s="1">
        <v>2933</v>
      </c>
      <c r="C44" s="1">
        <v>3081</v>
      </c>
      <c r="D44" s="1">
        <v>3179</v>
      </c>
      <c r="E44" s="1">
        <v>3663</v>
      </c>
      <c r="F44" s="1">
        <v>3349</v>
      </c>
      <c r="G44" s="1">
        <v>3375</v>
      </c>
      <c r="H44" s="1">
        <v>3350</v>
      </c>
      <c r="I44" s="1">
        <v>3350</v>
      </c>
      <c r="P44" s="1">
        <f t="shared" si="33"/>
        <v>12856</v>
      </c>
      <c r="Q44" s="1">
        <v>13941</v>
      </c>
      <c r="R44" s="1">
        <f>+Q44*1.02</f>
        <v>14219.82</v>
      </c>
      <c r="S44" s="1">
        <f>+R44*1.015</f>
        <v>14433.117299999998</v>
      </c>
      <c r="T44" s="1">
        <f t="shared" ref="T44:V44" si="35">+S44*1.015</f>
        <v>14649.614059499996</v>
      </c>
      <c r="U44" s="1">
        <f t="shared" si="35"/>
        <v>14869.358270392495</v>
      </c>
      <c r="V44" s="1">
        <f t="shared" si="35"/>
        <v>15092.398644448382</v>
      </c>
      <c r="W44" s="1">
        <f>+V44*1.01</f>
        <v>15243.322630892866</v>
      </c>
      <c r="X44" s="1">
        <f>+W44*1.01</f>
        <v>15395.755857201795</v>
      </c>
    </row>
    <row r="45" spans="1:24" x14ac:dyDescent="0.25">
      <c r="A45" s="1" t="s">
        <v>5</v>
      </c>
      <c r="B45" s="1">
        <v>29</v>
      </c>
      <c r="C45" s="1">
        <v>38</v>
      </c>
      <c r="D45" s="1">
        <v>833</v>
      </c>
      <c r="E45" s="1">
        <v>1271</v>
      </c>
      <c r="F45" s="1">
        <v>172</v>
      </c>
      <c r="G45" s="1">
        <v>52</v>
      </c>
      <c r="H45" s="1">
        <v>50</v>
      </c>
      <c r="I45" s="1">
        <v>50</v>
      </c>
      <c r="P45" s="1">
        <f t="shared" si="33"/>
        <v>2171</v>
      </c>
      <c r="Q45" s="1">
        <v>574</v>
      </c>
      <c r="R45" s="1">
        <f>195*2</f>
        <v>390</v>
      </c>
    </row>
    <row r="46" spans="1:24" x14ac:dyDescent="0.25">
      <c r="A46" s="1" t="s">
        <v>6</v>
      </c>
      <c r="B46" s="1">
        <v>85</v>
      </c>
      <c r="C46" s="1">
        <v>70</v>
      </c>
      <c r="D46" s="1">
        <v>52</v>
      </c>
      <c r="E46" s="1">
        <v>78</v>
      </c>
      <c r="F46" s="1">
        <v>134</v>
      </c>
      <c r="G46" s="1">
        <v>126</v>
      </c>
      <c r="H46" s="1">
        <f>+G46*0.95</f>
        <v>119.69999999999999</v>
      </c>
      <c r="I46" s="1">
        <f>+H46*0.95</f>
        <v>113.71499999999999</v>
      </c>
      <c r="P46" s="1">
        <f t="shared" si="33"/>
        <v>285</v>
      </c>
      <c r="Q46" s="1">
        <v>454</v>
      </c>
      <c r="R46" s="1">
        <f>79*2</f>
        <v>158</v>
      </c>
    </row>
    <row r="47" spans="1:24" x14ac:dyDescent="0.25">
      <c r="A47" s="1" t="s">
        <v>7</v>
      </c>
      <c r="B47" s="1">
        <v>239</v>
      </c>
      <c r="C47" s="1">
        <v>145</v>
      </c>
      <c r="D47" s="1">
        <v>-2814</v>
      </c>
      <c r="E47" s="1">
        <v>346</v>
      </c>
      <c r="F47" s="1">
        <v>-178</v>
      </c>
      <c r="G47" s="1">
        <v>1818</v>
      </c>
      <c r="H47" s="1">
        <v>150</v>
      </c>
      <c r="I47" s="1">
        <v>150</v>
      </c>
      <c r="P47" s="1">
        <f t="shared" si="33"/>
        <v>-2084</v>
      </c>
      <c r="Q47" s="1">
        <v>906</v>
      </c>
      <c r="R47" s="1">
        <v>664</v>
      </c>
    </row>
    <row r="48" spans="1:24" x14ac:dyDescent="0.25">
      <c r="A48" s="1" t="s">
        <v>8</v>
      </c>
      <c r="B48" s="1">
        <v>371</v>
      </c>
      <c r="C48" s="1">
        <v>367</v>
      </c>
      <c r="D48" s="1">
        <v>419</v>
      </c>
      <c r="E48" s="1">
        <v>475</v>
      </c>
      <c r="F48" s="1">
        <v>540</v>
      </c>
      <c r="G48" s="1">
        <v>578</v>
      </c>
      <c r="H48" s="1">
        <f>+G48*1.03</f>
        <v>595.34</v>
      </c>
      <c r="I48" s="1">
        <f>+H48*1.03</f>
        <v>613.2002</v>
      </c>
      <c r="P48" s="1">
        <f t="shared" si="33"/>
        <v>1632</v>
      </c>
      <c r="Q48" s="1">
        <v>2406</v>
      </c>
      <c r="R48" s="1">
        <f>713*4</f>
        <v>2852</v>
      </c>
      <c r="S48" s="1">
        <f t="shared" ref="S48:X48" si="36">+R48*1.043</f>
        <v>2974.636</v>
      </c>
      <c r="T48" s="1">
        <f t="shared" si="36"/>
        <v>3102.5453479999996</v>
      </c>
      <c r="U48" s="1">
        <f t="shared" si="36"/>
        <v>3235.9547979639992</v>
      </c>
      <c r="V48" s="1">
        <f t="shared" si="36"/>
        <v>3375.1008542764512</v>
      </c>
      <c r="W48" s="1">
        <f t="shared" si="36"/>
        <v>3520.2301910103383</v>
      </c>
      <c r="X48" s="1">
        <f t="shared" si="36"/>
        <v>3671.6000892237826</v>
      </c>
    </row>
    <row r="49" spans="1:168" x14ac:dyDescent="0.25">
      <c r="A49" s="1" t="s">
        <v>9</v>
      </c>
      <c r="B49" s="1">
        <v>165</v>
      </c>
      <c r="C49" s="1">
        <v>188</v>
      </c>
      <c r="D49" s="1">
        <v>160</v>
      </c>
      <c r="E49" s="1">
        <v>177</v>
      </c>
      <c r="F49" s="1">
        <v>276</v>
      </c>
      <c r="G49" s="1">
        <v>348</v>
      </c>
      <c r="H49" s="1">
        <f>+G49*1.05</f>
        <v>365.40000000000003</v>
      </c>
      <c r="I49" s="1">
        <f>+H49*1.05</f>
        <v>383.67000000000007</v>
      </c>
      <c r="P49" s="1">
        <f t="shared" si="33"/>
        <v>690</v>
      </c>
      <c r="Q49" s="1">
        <v>1373</v>
      </c>
      <c r="R49" s="1">
        <f>421*4</f>
        <v>1684</v>
      </c>
      <c r="S49" s="1">
        <f t="shared" ref="S49:X49" si="37">+R49*1.05</f>
        <v>1768.2</v>
      </c>
      <c r="T49" s="1">
        <f t="shared" si="37"/>
        <v>1856.6100000000001</v>
      </c>
      <c r="U49" s="1">
        <f t="shared" si="37"/>
        <v>1949.4405000000002</v>
      </c>
      <c r="V49" s="1">
        <f t="shared" si="37"/>
        <v>2046.9125250000002</v>
      </c>
      <c r="W49" s="1">
        <f t="shared" si="37"/>
        <v>2149.2581512500001</v>
      </c>
      <c r="X49" s="1">
        <f t="shared" si="37"/>
        <v>2256.7210588125004</v>
      </c>
    </row>
    <row r="50" spans="1:168" x14ac:dyDescent="0.25">
      <c r="A50" s="1" t="s">
        <v>10</v>
      </c>
      <c r="B50" s="1">
        <v>37</v>
      </c>
      <c r="C50" s="1">
        <v>158</v>
      </c>
      <c r="D50" s="1">
        <v>-788</v>
      </c>
      <c r="E50" s="1">
        <v>-394</v>
      </c>
      <c r="F50" s="1">
        <v>-88</v>
      </c>
      <c r="G50" s="1">
        <v>-130</v>
      </c>
      <c r="H50" s="1">
        <v>-150</v>
      </c>
      <c r="I50" s="1">
        <v>-150</v>
      </c>
      <c r="P50" s="1">
        <f t="shared" si="33"/>
        <v>-987</v>
      </c>
      <c r="Q50" s="1">
        <v>-387</v>
      </c>
      <c r="R50" s="1">
        <v>-100</v>
      </c>
      <c r="S50" s="1">
        <v>-100</v>
      </c>
      <c r="T50" s="1">
        <v>-100</v>
      </c>
      <c r="U50" s="1">
        <v>-100</v>
      </c>
      <c r="V50" s="1">
        <v>-100</v>
      </c>
      <c r="W50" s="1">
        <v>-100</v>
      </c>
      <c r="X50" s="1">
        <v>-100</v>
      </c>
    </row>
    <row r="51" spans="1:168" x14ac:dyDescent="0.25">
      <c r="A51" s="1" t="s">
        <v>11</v>
      </c>
      <c r="B51" s="1">
        <f>+B42-B43-B44+B45-B46+B47+B48-B49+B50</f>
        <v>2447</v>
      </c>
      <c r="C51" s="1">
        <f t="shared" ref="C51:I51" si="38">+C42-C43-C44+C45-C46+C47+C48-C49+C50</f>
        <v>1750</v>
      </c>
      <c r="D51" s="1">
        <f t="shared" si="38"/>
        <v>-912</v>
      </c>
      <c r="E51" s="1">
        <f t="shared" si="38"/>
        <v>3870</v>
      </c>
      <c r="F51" s="1">
        <f t="shared" si="38"/>
        <v>2224</v>
      </c>
      <c r="G51" s="1">
        <f t="shared" si="38"/>
        <v>4140</v>
      </c>
      <c r="H51" s="1">
        <f t="shared" si="38"/>
        <v>2256.1614999999988</v>
      </c>
      <c r="I51" s="1">
        <f t="shared" si="38"/>
        <v>2991.8192000000008</v>
      </c>
      <c r="N51" s="1">
        <f t="shared" ref="N51:X51" si="39">+N42-N43-N44+N45-N46+N47+N48-N49+N50</f>
        <v>0</v>
      </c>
      <c r="O51" s="1">
        <f t="shared" si="39"/>
        <v>0</v>
      </c>
      <c r="P51" s="1">
        <f t="shared" si="39"/>
        <v>7155</v>
      </c>
      <c r="Q51" s="1">
        <f>+Q42-Q43-Q44+Q45-Q46+Q47+Q48-Q49+Q50</f>
        <v>11201</v>
      </c>
      <c r="R51" s="1">
        <f t="shared" si="39"/>
        <v>12140.875565000002</v>
      </c>
      <c r="S51" s="1">
        <f t="shared" si="39"/>
        <v>13119.223471300005</v>
      </c>
      <c r="T51" s="1">
        <f t="shared" si="39"/>
        <v>14474.41950663436</v>
      </c>
      <c r="U51" s="1">
        <f t="shared" si="39"/>
        <v>15740.732669592999</v>
      </c>
      <c r="V51" s="1">
        <f t="shared" si="39"/>
        <v>16971.273328667237</v>
      </c>
      <c r="W51" s="1">
        <f t="shared" si="39"/>
        <v>18139.204666622129</v>
      </c>
      <c r="X51" s="1">
        <f t="shared" si="39"/>
        <v>19373.605447355218</v>
      </c>
    </row>
    <row r="52" spans="1:168" x14ac:dyDescent="0.25">
      <c r="A52" s="1" t="s">
        <v>12</v>
      </c>
      <c r="B52" s="1">
        <v>636</v>
      </c>
      <c r="C52" s="1">
        <v>541</v>
      </c>
      <c r="D52" s="1">
        <v>611</v>
      </c>
      <c r="E52" s="1">
        <v>953</v>
      </c>
      <c r="F52" s="1">
        <v>579</v>
      </c>
      <c r="G52" s="1">
        <v>588</v>
      </c>
      <c r="H52" s="1">
        <f>+H51*0.25</f>
        <v>564.0403749999997</v>
      </c>
      <c r="I52" s="1">
        <f>+I51*0.25</f>
        <v>747.9548000000002</v>
      </c>
      <c r="P52" s="1">
        <f t="shared" ref="P52" si="40">+SUM(B52:E52)</f>
        <v>2741</v>
      </c>
      <c r="Q52" s="1">
        <v>2687</v>
      </c>
      <c r="R52" s="1">
        <f>+R51*0.24</f>
        <v>2913.8101356000002</v>
      </c>
      <c r="S52" s="1">
        <f t="shared" ref="S52:X52" si="41">+S51*0.24</f>
        <v>3148.613633112001</v>
      </c>
      <c r="T52" s="1">
        <f t="shared" si="41"/>
        <v>3473.8606815922462</v>
      </c>
      <c r="U52" s="1">
        <f t="shared" si="41"/>
        <v>3777.7758407023193</v>
      </c>
      <c r="V52" s="1">
        <f t="shared" si="41"/>
        <v>4073.1055988801368</v>
      </c>
      <c r="W52" s="1">
        <f t="shared" si="41"/>
        <v>4353.409119989311</v>
      </c>
      <c r="X52" s="1">
        <f t="shared" si="41"/>
        <v>4649.6653073652524</v>
      </c>
    </row>
    <row r="53" spans="1:168" x14ac:dyDescent="0.25">
      <c r="A53" s="1" t="s">
        <v>13</v>
      </c>
      <c r="B53" s="1">
        <f>+B51-B52</f>
        <v>1811</v>
      </c>
      <c r="C53" s="1">
        <f t="shared" ref="C53:I53" si="42">+C51-C52</f>
        <v>1209</v>
      </c>
      <c r="D53" s="1">
        <f t="shared" si="42"/>
        <v>-1523</v>
      </c>
      <c r="E53" s="1">
        <f t="shared" si="42"/>
        <v>2917</v>
      </c>
      <c r="F53" s="1">
        <f t="shared" si="42"/>
        <v>1645</v>
      </c>
      <c r="G53" s="1">
        <f t="shared" si="42"/>
        <v>3552</v>
      </c>
      <c r="H53" s="1">
        <f t="shared" si="42"/>
        <v>1692.1211249999992</v>
      </c>
      <c r="I53" s="1">
        <f t="shared" si="42"/>
        <v>2243.8644000000004</v>
      </c>
      <c r="N53" s="1">
        <f t="shared" ref="N53:X53" si="43">+N51-N52</f>
        <v>0</v>
      </c>
      <c r="O53" s="1">
        <f t="shared" si="43"/>
        <v>0</v>
      </c>
      <c r="P53" s="1">
        <f t="shared" si="43"/>
        <v>4414</v>
      </c>
      <c r="Q53" s="1">
        <v>8529</v>
      </c>
      <c r="R53" s="1">
        <f t="shared" si="43"/>
        <v>9227.0654294000014</v>
      </c>
      <c r="S53" s="1">
        <f t="shared" si="43"/>
        <v>9970.6098381880038</v>
      </c>
      <c r="T53" s="1">
        <f t="shared" si="43"/>
        <v>11000.558825042113</v>
      </c>
      <c r="U53" s="1">
        <f t="shared" si="43"/>
        <v>11962.956828890679</v>
      </c>
      <c r="V53" s="1">
        <f t="shared" si="43"/>
        <v>12898.167729787101</v>
      </c>
      <c r="W53" s="1">
        <f t="shared" si="43"/>
        <v>13785.795546632817</v>
      </c>
      <c r="X53" s="1">
        <f t="shared" si="43"/>
        <v>14723.940139989965</v>
      </c>
      <c r="Y53" s="1">
        <f t="shared" ref="Y53:BD53" si="44">+X53*(1+TR)</f>
        <v>15165.658344189664</v>
      </c>
      <c r="Z53" s="1">
        <f t="shared" si="44"/>
        <v>15620.628094515354</v>
      </c>
      <c r="AA53" s="1">
        <f t="shared" si="44"/>
        <v>16089.246937350816</v>
      </c>
      <c r="AB53" s="1">
        <f t="shared" si="44"/>
        <v>16571.92434547134</v>
      </c>
      <c r="AC53" s="1">
        <f t="shared" si="44"/>
        <v>17069.082075835478</v>
      </c>
      <c r="AD53" s="1">
        <f t="shared" si="44"/>
        <v>17581.154538110542</v>
      </c>
      <c r="AE53" s="1">
        <f t="shared" si="44"/>
        <v>18108.589174253859</v>
      </c>
      <c r="AF53" s="1">
        <f t="shared" si="44"/>
        <v>18651.846849481473</v>
      </c>
      <c r="AG53" s="1">
        <f t="shared" si="44"/>
        <v>19211.402254965917</v>
      </c>
      <c r="AH53" s="1">
        <f t="shared" si="44"/>
        <v>19787.744322614893</v>
      </c>
      <c r="AI53" s="1">
        <f t="shared" si="44"/>
        <v>20381.37665229334</v>
      </c>
      <c r="AJ53" s="1">
        <f t="shared" si="44"/>
        <v>20992.81795186214</v>
      </c>
      <c r="AK53" s="1">
        <f t="shared" si="44"/>
        <v>21622.602490418005</v>
      </c>
      <c r="AL53" s="1">
        <f t="shared" si="44"/>
        <v>22271.280565130546</v>
      </c>
      <c r="AM53" s="1">
        <f t="shared" si="44"/>
        <v>22939.418982084462</v>
      </c>
      <c r="AN53" s="1">
        <f t="shared" si="44"/>
        <v>23627.601551546995</v>
      </c>
      <c r="AO53" s="1">
        <f t="shared" si="44"/>
        <v>24336.429598093408</v>
      </c>
      <c r="AP53" s="1">
        <f t="shared" si="44"/>
        <v>25066.52248603621</v>
      </c>
      <c r="AQ53" s="1">
        <f t="shared" si="44"/>
        <v>25818.518160617299</v>
      </c>
      <c r="AR53" s="1">
        <f t="shared" si="44"/>
        <v>26593.073705435818</v>
      </c>
      <c r="AS53" s="1">
        <f t="shared" si="44"/>
        <v>27390.865916598894</v>
      </c>
      <c r="AT53" s="1">
        <f t="shared" si="44"/>
        <v>28212.591894096862</v>
      </c>
      <c r="AU53" s="1">
        <f t="shared" si="44"/>
        <v>29058.969650919767</v>
      </c>
      <c r="AV53" s="1">
        <f t="shared" si="44"/>
        <v>29930.738740447363</v>
      </c>
      <c r="AW53" s="1">
        <f t="shared" si="44"/>
        <v>30828.660902660784</v>
      </c>
      <c r="AX53" s="1">
        <f t="shared" si="44"/>
        <v>31753.520729740609</v>
      </c>
      <c r="AY53" s="1">
        <f t="shared" si="44"/>
        <v>32706.126351632829</v>
      </c>
      <c r="AZ53" s="1">
        <f t="shared" si="44"/>
        <v>33687.310142181814</v>
      </c>
      <c r="BA53" s="1">
        <f t="shared" si="44"/>
        <v>34697.92944644727</v>
      </c>
      <c r="BB53" s="1">
        <f t="shared" si="44"/>
        <v>35738.867329840687</v>
      </c>
      <c r="BC53" s="1">
        <f t="shared" si="44"/>
        <v>36811.03334973591</v>
      </c>
      <c r="BD53" s="1">
        <f t="shared" si="44"/>
        <v>37915.364350227988</v>
      </c>
      <c r="BE53" s="1">
        <f t="shared" ref="BE53:CJ53" si="45">+BD53*(1+TR)</f>
        <v>39052.825280734825</v>
      </c>
      <c r="BF53" s="1">
        <f t="shared" si="45"/>
        <v>40224.410039156872</v>
      </c>
      <c r="BG53" s="1">
        <f t="shared" si="45"/>
        <v>41431.142340331578</v>
      </c>
      <c r="BH53" s="1">
        <f t="shared" si="45"/>
        <v>42674.076610541524</v>
      </c>
      <c r="BI53" s="1">
        <f t="shared" si="45"/>
        <v>43954.298908857774</v>
      </c>
      <c r="BJ53" s="1">
        <f t="shared" si="45"/>
        <v>45272.927876123511</v>
      </c>
      <c r="BK53" s="1">
        <f t="shared" si="45"/>
        <v>46631.11571240722</v>
      </c>
      <c r="BL53" s="1">
        <f t="shared" si="45"/>
        <v>48030.04918377944</v>
      </c>
      <c r="BM53" s="1">
        <f t="shared" si="45"/>
        <v>49470.950659292823</v>
      </c>
      <c r="BN53" s="1">
        <f t="shared" si="45"/>
        <v>50955.07917907161</v>
      </c>
      <c r="BO53" s="1">
        <f t="shared" si="45"/>
        <v>52483.731554443759</v>
      </c>
      <c r="BP53" s="1">
        <f t="shared" si="45"/>
        <v>54058.243501077071</v>
      </c>
      <c r="BQ53" s="1">
        <f t="shared" si="45"/>
        <v>55679.990806109388</v>
      </c>
      <c r="BR53" s="1">
        <f t="shared" si="45"/>
        <v>57350.390530292672</v>
      </c>
      <c r="BS53" s="1">
        <f t="shared" si="45"/>
        <v>59070.902246201455</v>
      </c>
      <c r="BT53" s="1">
        <f t="shared" si="45"/>
        <v>60843.029313587496</v>
      </c>
      <c r="BU53" s="1">
        <f t="shared" si="45"/>
        <v>62668.320192995125</v>
      </c>
      <c r="BV53" s="1">
        <f t="shared" si="45"/>
        <v>64548.369798784981</v>
      </c>
      <c r="BW53" s="1">
        <f t="shared" si="45"/>
        <v>66484.820892748539</v>
      </c>
      <c r="BX53" s="1">
        <f t="shared" si="45"/>
        <v>68479.365519530998</v>
      </c>
      <c r="BY53" s="1">
        <f t="shared" si="45"/>
        <v>70533.746485116935</v>
      </c>
      <c r="BZ53" s="1">
        <f t="shared" si="45"/>
        <v>72649.758879670451</v>
      </c>
      <c r="CA53" s="1">
        <f t="shared" si="45"/>
        <v>74829.251646060569</v>
      </c>
      <c r="CB53" s="1">
        <f t="shared" si="45"/>
        <v>77074.129195442394</v>
      </c>
      <c r="CC53" s="1">
        <f t="shared" si="45"/>
        <v>79386.353071305668</v>
      </c>
      <c r="CD53" s="1">
        <f t="shared" si="45"/>
        <v>81767.943663444836</v>
      </c>
      <c r="CE53" s="1">
        <f t="shared" si="45"/>
        <v>84220.981973348185</v>
      </c>
      <c r="CF53" s="1">
        <f t="shared" si="45"/>
        <v>86747.611432548627</v>
      </c>
      <c r="CG53" s="1">
        <f t="shared" si="45"/>
        <v>89350.039775525089</v>
      </c>
      <c r="CH53" s="1">
        <f t="shared" si="45"/>
        <v>92030.54096879084</v>
      </c>
      <c r="CI53" s="1">
        <f t="shared" si="45"/>
        <v>94791.457197854572</v>
      </c>
      <c r="CJ53" s="1">
        <f t="shared" si="45"/>
        <v>97635.200913790206</v>
      </c>
      <c r="CK53" s="1">
        <f t="shared" ref="CK53:DP53" si="46">+CJ53*(1+TR)</f>
        <v>100564.25694120392</v>
      </c>
      <c r="CL53" s="1">
        <f t="shared" si="46"/>
        <v>103581.18464944004</v>
      </c>
      <c r="CM53" s="1">
        <f t="shared" si="46"/>
        <v>106688.62018892325</v>
      </c>
      <c r="CN53" s="1">
        <f t="shared" si="46"/>
        <v>109889.27879459095</v>
      </c>
      <c r="CO53" s="1">
        <f t="shared" si="46"/>
        <v>113185.95715842869</v>
      </c>
      <c r="CP53" s="1">
        <f t="shared" si="46"/>
        <v>116581.53587318155</v>
      </c>
      <c r="CQ53" s="1">
        <f t="shared" si="46"/>
        <v>120078.981949377</v>
      </c>
      <c r="CR53" s="1">
        <f t="shared" si="46"/>
        <v>123681.35140785832</v>
      </c>
      <c r="CS53" s="1">
        <f t="shared" si="46"/>
        <v>127391.79195009408</v>
      </c>
      <c r="CT53" s="1">
        <f t="shared" si="46"/>
        <v>131213.54570859691</v>
      </c>
      <c r="CU53" s="1">
        <f t="shared" si="46"/>
        <v>135149.95207985482</v>
      </c>
      <c r="CV53" s="1">
        <f t="shared" si="46"/>
        <v>139204.45064225048</v>
      </c>
      <c r="CW53" s="1">
        <f t="shared" si="46"/>
        <v>143380.584161518</v>
      </c>
      <c r="CX53" s="1">
        <f t="shared" si="46"/>
        <v>147682.00168636354</v>
      </c>
      <c r="CY53" s="1">
        <f t="shared" si="46"/>
        <v>152112.46173695446</v>
      </c>
      <c r="CZ53" s="1">
        <f t="shared" si="46"/>
        <v>156675.83558906309</v>
      </c>
      <c r="DA53" s="1">
        <f t="shared" si="46"/>
        <v>161376.11065673499</v>
      </c>
      <c r="DB53" s="1">
        <f t="shared" si="46"/>
        <v>166217.39397643704</v>
      </c>
      <c r="DC53" s="1">
        <f t="shared" si="46"/>
        <v>171203.91579573016</v>
      </c>
      <c r="DD53" s="1">
        <f t="shared" si="46"/>
        <v>176340.03326960208</v>
      </c>
      <c r="DE53" s="1">
        <f t="shared" si="46"/>
        <v>181630.23426769013</v>
      </c>
      <c r="DF53" s="1">
        <f t="shared" si="46"/>
        <v>187079.14129572085</v>
      </c>
      <c r="DG53" s="1">
        <f t="shared" si="46"/>
        <v>192691.51553459247</v>
      </c>
      <c r="DH53" s="1">
        <f t="shared" si="46"/>
        <v>198472.26100063024</v>
      </c>
      <c r="DI53" s="1">
        <f t="shared" si="46"/>
        <v>204426.42883064915</v>
      </c>
      <c r="DJ53" s="1">
        <f t="shared" si="46"/>
        <v>210559.22169556862</v>
      </c>
      <c r="DK53" s="1">
        <f t="shared" si="46"/>
        <v>216875.99834643569</v>
      </c>
      <c r="DL53" s="1">
        <f t="shared" si="46"/>
        <v>223382.27829682876</v>
      </c>
      <c r="DM53" s="1">
        <f t="shared" si="46"/>
        <v>230083.74664573363</v>
      </c>
      <c r="DN53" s="1">
        <f t="shared" si="46"/>
        <v>236986.25904510563</v>
      </c>
      <c r="DO53" s="1">
        <f t="shared" si="46"/>
        <v>244095.8468164588</v>
      </c>
      <c r="DP53" s="1">
        <f t="shared" si="46"/>
        <v>251418.72222095256</v>
      </c>
      <c r="DQ53" s="1">
        <f t="shared" ref="DQ53:EV53" si="47">+DP53*(1+TR)</f>
        <v>258961.28388758114</v>
      </c>
      <c r="DR53" s="1">
        <f t="shared" si="47"/>
        <v>266730.12240420858</v>
      </c>
      <c r="DS53" s="1">
        <f t="shared" si="47"/>
        <v>274732.02607633482</v>
      </c>
      <c r="DT53" s="1">
        <f t="shared" si="47"/>
        <v>282973.98685862485</v>
      </c>
      <c r="DU53" s="1">
        <f t="shared" si="47"/>
        <v>291463.20646438358</v>
      </c>
      <c r="DV53" s="1">
        <f t="shared" si="47"/>
        <v>300207.1026583151</v>
      </c>
      <c r="DW53" s="1">
        <f t="shared" si="47"/>
        <v>309213.31573806453</v>
      </c>
      <c r="DX53" s="1">
        <f t="shared" si="47"/>
        <v>318489.71521020646</v>
      </c>
      <c r="DY53" s="1">
        <f t="shared" si="47"/>
        <v>328044.40666651266</v>
      </c>
      <c r="DZ53" s="1">
        <f t="shared" si="47"/>
        <v>337885.73886650807</v>
      </c>
      <c r="EA53" s="1">
        <f t="shared" si="47"/>
        <v>348022.31103250332</v>
      </c>
      <c r="EB53" s="1">
        <f t="shared" si="47"/>
        <v>358462.98036347842</v>
      </c>
      <c r="EC53" s="1">
        <f t="shared" si="47"/>
        <v>369216.86977438279</v>
      </c>
      <c r="ED53" s="1">
        <f t="shared" si="47"/>
        <v>380293.37586761429</v>
      </c>
      <c r="EE53" s="1">
        <f t="shared" si="47"/>
        <v>391702.17714364274</v>
      </c>
      <c r="EF53" s="1">
        <f t="shared" si="47"/>
        <v>403453.242457952</v>
      </c>
      <c r="EG53" s="1">
        <f t="shared" si="47"/>
        <v>415556.83973169059</v>
      </c>
      <c r="EH53" s="1">
        <f t="shared" si="47"/>
        <v>428023.54492364131</v>
      </c>
      <c r="EI53" s="1">
        <f t="shared" si="47"/>
        <v>440864.25127135054</v>
      </c>
      <c r="EJ53" s="1">
        <f t="shared" si="47"/>
        <v>454090.17880949104</v>
      </c>
      <c r="EK53" s="1">
        <f t="shared" si="47"/>
        <v>467712.88417377579</v>
      </c>
      <c r="EL53" s="1">
        <f t="shared" si="47"/>
        <v>481744.2706989891</v>
      </c>
      <c r="EM53" s="1">
        <f t="shared" si="47"/>
        <v>496196.5988199588</v>
      </c>
      <c r="EN53" s="1">
        <f t="shared" si="47"/>
        <v>511082.49678455759</v>
      </c>
      <c r="EO53" s="1">
        <f t="shared" si="47"/>
        <v>526414.97168809432</v>
      </c>
      <c r="EP53" s="1">
        <f t="shared" si="47"/>
        <v>542207.42083873716</v>
      </c>
      <c r="EQ53" s="1">
        <f t="shared" si="47"/>
        <v>558473.64346389927</v>
      </c>
      <c r="ER53" s="1">
        <f t="shared" si="47"/>
        <v>575227.85276781628</v>
      </c>
      <c r="ES53" s="1">
        <f t="shared" si="47"/>
        <v>592484.68835085083</v>
      </c>
      <c r="ET53" s="1">
        <f t="shared" si="47"/>
        <v>610259.22900137643</v>
      </c>
      <c r="EU53" s="1">
        <f t="shared" si="47"/>
        <v>628567.0058714177</v>
      </c>
      <c r="EV53" s="1">
        <f t="shared" si="47"/>
        <v>647424.01604756026</v>
      </c>
      <c r="EW53" s="1">
        <f t="shared" ref="EW53:FL53" si="48">+EV53*(1+TR)</f>
        <v>666846.73652898706</v>
      </c>
      <c r="EX53" s="1">
        <f t="shared" si="48"/>
        <v>686852.13862485671</v>
      </c>
      <c r="EY53" s="1">
        <f t="shared" si="48"/>
        <v>707457.70278360241</v>
      </c>
      <c r="EZ53" s="1">
        <f t="shared" si="48"/>
        <v>728681.43386711052</v>
      </c>
      <c r="FA53" s="1">
        <f t="shared" si="48"/>
        <v>750541.87688312388</v>
      </c>
      <c r="FB53" s="1">
        <f t="shared" si="48"/>
        <v>773058.13318961766</v>
      </c>
      <c r="FC53" s="1">
        <f t="shared" si="48"/>
        <v>796249.87718530616</v>
      </c>
      <c r="FD53" s="1">
        <f t="shared" si="48"/>
        <v>820137.37350086542</v>
      </c>
      <c r="FE53" s="1">
        <f t="shared" si="48"/>
        <v>844741.49470589135</v>
      </c>
      <c r="FF53" s="1">
        <f t="shared" si="48"/>
        <v>870083.73954706814</v>
      </c>
      <c r="FG53" s="1">
        <f t="shared" si="48"/>
        <v>896186.25173348025</v>
      </c>
      <c r="FH53" s="1">
        <f t="shared" si="48"/>
        <v>923071.83928548463</v>
      </c>
      <c r="FI53" s="1">
        <f t="shared" si="48"/>
        <v>950763.99446404923</v>
      </c>
      <c r="FJ53" s="1">
        <f t="shared" si="48"/>
        <v>979286.91429797071</v>
      </c>
      <c r="FK53" s="1">
        <f t="shared" si="48"/>
        <v>1008665.5217269099</v>
      </c>
      <c r="FL53" s="1">
        <f t="shared" si="48"/>
        <v>1038925.4873787173</v>
      </c>
    </row>
    <row r="54" spans="1:168" s="4" customFormat="1" x14ac:dyDescent="0.25"/>
    <row r="55" spans="1:168" s="3" customFormat="1" x14ac:dyDescent="0.25">
      <c r="A55" s="3" t="s">
        <v>30</v>
      </c>
      <c r="B55" s="3">
        <f t="shared" ref="B55:I55" si="49">+B42/B40</f>
        <v>0.37612899315026976</v>
      </c>
      <c r="C55" s="3">
        <f t="shared" si="49"/>
        <v>0.33685446009389669</v>
      </c>
      <c r="D55" s="3">
        <f t="shared" si="49"/>
        <v>0.34863155538142943</v>
      </c>
      <c r="E55" s="3">
        <f t="shared" si="49"/>
        <v>0.37291595780877851</v>
      </c>
      <c r="F55" s="3">
        <f t="shared" si="49"/>
        <v>0.3855561704482568</v>
      </c>
      <c r="G55" s="3">
        <f t="shared" si="49"/>
        <v>0.37077667902760608</v>
      </c>
      <c r="H55" s="3">
        <f t="shared" si="49"/>
        <v>0.35</v>
      </c>
      <c r="I55" s="3">
        <f t="shared" si="49"/>
        <v>0.35</v>
      </c>
      <c r="P55" s="3">
        <f>+P42/P40</f>
        <v>0.35908693054725815</v>
      </c>
      <c r="Q55" s="3">
        <f>+Q42/Q40</f>
        <v>0.38129588910748496</v>
      </c>
      <c r="R55" s="3">
        <f>+R42/R40</f>
        <v>0.39</v>
      </c>
      <c r="S55" s="3">
        <f t="shared" ref="S55:X55" si="50">+S42/S40</f>
        <v>0.4</v>
      </c>
      <c r="T55" s="3">
        <f t="shared" si="50"/>
        <v>0.4</v>
      </c>
      <c r="U55" s="3">
        <f t="shared" si="50"/>
        <v>0.4</v>
      </c>
      <c r="V55" s="3">
        <f t="shared" si="50"/>
        <v>0.4</v>
      </c>
      <c r="W55" s="3">
        <f t="shared" si="50"/>
        <v>0.4</v>
      </c>
      <c r="X55" s="3">
        <f t="shared" si="50"/>
        <v>0.4</v>
      </c>
    </row>
    <row r="56" spans="1:168" s="3" customFormat="1" x14ac:dyDescent="0.25">
      <c r="A56" s="3" t="s">
        <v>57</v>
      </c>
      <c r="B56" s="3">
        <f t="shared" ref="B56:H56" si="51">+B51/B40</f>
        <v>0.14832999939382918</v>
      </c>
      <c r="C56" s="3">
        <f t="shared" si="51"/>
        <v>0.10269953051643192</v>
      </c>
      <c r="D56" s="3">
        <f t="shared" si="51"/>
        <v>-5.1043823809257288E-2</v>
      </c>
      <c r="E56" s="3">
        <f t="shared" si="51"/>
        <v>0.18811063043795265</v>
      </c>
      <c r="F56" s="3">
        <f t="shared" si="51"/>
        <v>0.12307692307692308</v>
      </c>
      <c r="G56" s="3">
        <f t="shared" si="51"/>
        <v>0.21322620519159455</v>
      </c>
      <c r="H56" s="3">
        <f t="shared" si="51"/>
        <v>0.11368635896619328</v>
      </c>
      <c r="I56" s="3">
        <f>+I51/I40</f>
        <v>0.13641690650499924</v>
      </c>
      <c r="P56" s="6">
        <f>+(P42-P43-P44)/P40</f>
        <v>0.10278283340511553</v>
      </c>
      <c r="Q56" s="6">
        <f>+(Q42-Q43-Q44)/Q40</f>
        <v>0.12252954261980994</v>
      </c>
      <c r="R56" s="6">
        <f>+(R42-R43-R44)/R40</f>
        <v>0.12772538489351931</v>
      </c>
      <c r="S56" s="6">
        <f t="shared" ref="S56:X56" si="52">+(S42-S43-S44)/S40</f>
        <v>0.14333271290497518</v>
      </c>
      <c r="T56" s="6">
        <f t="shared" si="52"/>
        <v>0.15056048455581128</v>
      </c>
      <c r="U56" s="6">
        <f t="shared" si="52"/>
        <v>0.1566946154801962</v>
      </c>
      <c r="V56" s="6">
        <f t="shared" si="52"/>
        <v>0.16231293684576492</v>
      </c>
      <c r="W56" s="6">
        <f t="shared" si="52"/>
        <v>0.16770890227381213</v>
      </c>
      <c r="X56" s="6">
        <f t="shared" si="52"/>
        <v>0.173069517153144</v>
      </c>
    </row>
    <row r="57" spans="1:168" s="3" customFormat="1" x14ac:dyDescent="0.25">
      <c r="A57" s="3" t="s">
        <v>31</v>
      </c>
      <c r="B57" s="3">
        <f>+B53/B40</f>
        <v>0.1097775353094502</v>
      </c>
      <c r="C57" s="3">
        <f t="shared" ref="C57:G57" si="53">+C53/C40</f>
        <v>7.0950704225352115E-2</v>
      </c>
      <c r="D57" s="3">
        <f t="shared" si="53"/>
        <v>-8.5240946997257511E-2</v>
      </c>
      <c r="E57" s="3">
        <f t="shared" si="53"/>
        <v>0.14178778010013124</v>
      </c>
      <c r="F57" s="3">
        <f t="shared" si="53"/>
        <v>9.1034864416159378E-2</v>
      </c>
      <c r="G57" s="3">
        <f t="shared" si="53"/>
        <v>0.18294190358467244</v>
      </c>
      <c r="H57" s="3">
        <f t="shared" ref="H57:I57" si="54">+H53/H40</f>
        <v>8.526476922464496E-2</v>
      </c>
      <c r="I57" s="3">
        <f t="shared" si="54"/>
        <v>0.10231267987874942</v>
      </c>
      <c r="P57" s="3">
        <f t="shared" ref="P57:X57" si="55">+P53/P40</f>
        <v>6.132514553260069E-2</v>
      </c>
      <c r="Q57" s="3">
        <f t="shared" si="55"/>
        <v>0.10967094857848243</v>
      </c>
      <c r="R57" s="3">
        <f t="shared" si="55"/>
        <v>0.11580474536418299</v>
      </c>
      <c r="S57" s="3">
        <f t="shared" si="55"/>
        <v>0.11896610681233219</v>
      </c>
      <c r="T57" s="3">
        <f t="shared" si="55"/>
        <v>0.12426390333443187</v>
      </c>
      <c r="U57" s="3">
        <f t="shared" si="55"/>
        <v>0.12879639925997641</v>
      </c>
      <c r="V57" s="3">
        <f t="shared" si="55"/>
        <v>0.13298152707884323</v>
      </c>
      <c r="W57" s="3">
        <f t="shared" si="55"/>
        <v>0.13706241129347813</v>
      </c>
      <c r="X57" s="3">
        <f t="shared" si="55"/>
        <v>0.14110990729827444</v>
      </c>
      <c r="AA57" s="3" t="s">
        <v>37</v>
      </c>
      <c r="AB57" s="3">
        <v>0.1</v>
      </c>
    </row>
    <row r="58" spans="1:168" s="3" customFormat="1" x14ac:dyDescent="0.25">
      <c r="A58" s="3" t="s">
        <v>32</v>
      </c>
      <c r="F58" s="3">
        <f>+F40/B40 -1</f>
        <v>9.5350669818754952E-2</v>
      </c>
      <c r="G58" s="3">
        <f>+G40/C40 -1</f>
        <v>0.1394366197183099</v>
      </c>
      <c r="H58" s="3">
        <f>+H40/D40 -1</f>
        <v>0.11073431465830841</v>
      </c>
      <c r="I58" s="3">
        <f>+I40/E40 -1</f>
        <v>6.6030233801584792E-2</v>
      </c>
      <c r="Q58" s="3">
        <f t="shared" ref="Q58:X58" si="56">+Q40/P40 -1</f>
        <v>8.0470150186865208E-2</v>
      </c>
      <c r="R58" s="3">
        <f t="shared" si="56"/>
        <v>2.454427213928434E-2</v>
      </c>
      <c r="S58" s="3">
        <f t="shared" si="56"/>
        <v>5.1867964277018341E-2</v>
      </c>
      <c r="T58" s="3">
        <f t="shared" si="56"/>
        <v>5.6261094624586061E-2</v>
      </c>
      <c r="U58" s="3">
        <f t="shared" si="56"/>
        <v>4.9216368932826215E-2</v>
      </c>
      <c r="V58" s="3">
        <f t="shared" si="56"/>
        <v>4.4243764554552145E-2</v>
      </c>
      <c r="W58" s="3">
        <f t="shared" si="56"/>
        <v>3.6995235225252499E-2</v>
      </c>
      <c r="X58" s="3">
        <f t="shared" si="56"/>
        <v>3.7416309209834298E-2</v>
      </c>
      <c r="AA58" s="3" t="s">
        <v>38</v>
      </c>
      <c r="AB58" s="3">
        <v>0.03</v>
      </c>
    </row>
    <row r="59" spans="1:168" x14ac:dyDescent="0.25">
      <c r="R59" s="3"/>
      <c r="S59" s="3"/>
      <c r="T59" s="3"/>
      <c r="U59" s="3"/>
      <c r="V59" s="3"/>
      <c r="W59" s="3"/>
      <c r="X59" s="3"/>
      <c r="Y59" s="3"/>
      <c r="AA59" s="1" t="s">
        <v>39</v>
      </c>
      <c r="AB59" s="1">
        <f>NPV(AB57,Q53:FL53)</f>
        <v>160097.83023508353</v>
      </c>
    </row>
    <row r="60" spans="1:168" x14ac:dyDescent="0.25">
      <c r="A60" s="1" t="s">
        <v>34</v>
      </c>
      <c r="B60" s="1">
        <v>1516</v>
      </c>
      <c r="C60" s="1">
        <v>1908</v>
      </c>
      <c r="D60" s="1">
        <v>2781</v>
      </c>
      <c r="E60" s="1">
        <v>4117</v>
      </c>
      <c r="F60" s="1">
        <v>512</v>
      </c>
      <c r="G60" s="1">
        <v>2891</v>
      </c>
      <c r="P60" s="1">
        <f>+SUM(B60:E60)</f>
        <v>10322</v>
      </c>
      <c r="Q60" s="1">
        <v>12281</v>
      </c>
    </row>
    <row r="61" spans="1:168" x14ac:dyDescent="0.25">
      <c r="A61" s="1" t="s">
        <v>35</v>
      </c>
      <c r="B61" s="1">
        <v>392</v>
      </c>
      <c r="C61" s="1">
        <v>513</v>
      </c>
      <c r="D61" s="1">
        <v>471</v>
      </c>
      <c r="E61" s="1">
        <v>708</v>
      </c>
      <c r="F61" s="1">
        <v>436</v>
      </c>
      <c r="G61" s="1">
        <v>528</v>
      </c>
      <c r="P61" s="1">
        <f>+SUM(B61:E61)</f>
        <v>2084</v>
      </c>
      <c r="Q61" s="1">
        <v>2218</v>
      </c>
      <c r="AA61" s="1" t="s">
        <v>40</v>
      </c>
      <c r="AB61" s="1">
        <f>+AB59+AB60</f>
        <v>160097.83023508353</v>
      </c>
    </row>
    <row r="62" spans="1:168" x14ac:dyDescent="0.25">
      <c r="A62" s="1" t="s">
        <v>36</v>
      </c>
      <c r="B62" s="1">
        <f t="shared" ref="B62:G62" si="57">+B60-B61</f>
        <v>1124</v>
      </c>
      <c r="C62" s="1">
        <f t="shared" si="57"/>
        <v>1395</v>
      </c>
      <c r="D62" s="1">
        <f t="shared" si="57"/>
        <v>2310</v>
      </c>
      <c r="E62" s="1">
        <f t="shared" si="57"/>
        <v>3409</v>
      </c>
      <c r="F62" s="1">
        <f t="shared" si="57"/>
        <v>76</v>
      </c>
      <c r="G62" s="1">
        <f t="shared" si="57"/>
        <v>2363</v>
      </c>
      <c r="P62" s="1">
        <f>+P60-P61</f>
        <v>8238</v>
      </c>
      <c r="Q62" s="1">
        <f>+Q60-Q61</f>
        <v>10063</v>
      </c>
      <c r="AA62" s="1" t="s">
        <v>41</v>
      </c>
      <c r="AB62" s="1">
        <f>+AB61/792.55</f>
        <v>202.00344487424584</v>
      </c>
    </row>
    <row r="64" spans="1:168" x14ac:dyDescent="0.25">
      <c r="A64" s="1" t="s">
        <v>42</v>
      </c>
      <c r="G64" s="1">
        <v>9186</v>
      </c>
      <c r="P64" s="1">
        <v>10465</v>
      </c>
      <c r="Q64" s="1">
        <v>10084</v>
      </c>
      <c r="AB64" s="3"/>
    </row>
    <row r="65" spans="1:17" x14ac:dyDescent="0.25">
      <c r="A65" s="1" t="s">
        <v>56</v>
      </c>
      <c r="P65" s="1">
        <v>9696</v>
      </c>
      <c r="Q65" s="1">
        <v>10605</v>
      </c>
    </row>
    <row r="66" spans="1:17" x14ac:dyDescent="0.25">
      <c r="A66" s="1" t="s">
        <v>46</v>
      </c>
      <c r="G66" s="1">
        <v>9697</v>
      </c>
      <c r="P66" s="1">
        <f>25903</f>
        <v>25903</v>
      </c>
      <c r="Q66" s="1">
        <f>22855</f>
        <v>22855</v>
      </c>
    </row>
    <row r="67" spans="1:17" x14ac:dyDescent="0.25">
      <c r="A67" s="1" t="s">
        <v>43</v>
      </c>
      <c r="G67" s="1">
        <v>11423</v>
      </c>
      <c r="P67" s="1">
        <v>11733</v>
      </c>
      <c r="Q67" s="1">
        <v>11938</v>
      </c>
    </row>
    <row r="68" spans="1:17" x14ac:dyDescent="0.25">
      <c r="A68" s="1" t="s">
        <v>45</v>
      </c>
      <c r="G68" s="1">
        <v>4882</v>
      </c>
      <c r="P68" s="1">
        <v>4955</v>
      </c>
      <c r="Q68" s="1">
        <v>3014</v>
      </c>
    </row>
    <row r="69" spans="1:17" x14ac:dyDescent="0.25">
      <c r="A69" s="1" t="s">
        <v>44</v>
      </c>
      <c r="G69" s="1">
        <f>9411+40619</f>
        <v>50030</v>
      </c>
      <c r="P69" s="1">
        <f>6658+43978</f>
        <v>50636</v>
      </c>
      <c r="Q69" s="1">
        <f>7483+39113</f>
        <v>46596</v>
      </c>
    </row>
    <row r="70" spans="1:17" x14ac:dyDescent="0.25">
      <c r="A70" s="1" t="s">
        <v>55</v>
      </c>
      <c r="P70" s="1">
        <f>1616+1867</f>
        <v>3483</v>
      </c>
      <c r="Q70" s="1">
        <f>1601+1453</f>
        <v>3054</v>
      </c>
    </row>
    <row r="72" spans="1:17" x14ac:dyDescent="0.25">
      <c r="A72" s="1" t="s">
        <v>54</v>
      </c>
      <c r="P72" s="1">
        <f>+SUM(P64:P68)-P69-P70</f>
        <v>8633</v>
      </c>
      <c r="Q72" s="1">
        <f>+SUM(Q64:Q68)-Q69-Q70</f>
        <v>8846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cp:lastPrinted>2024-02-12T19:49:40Z</cp:lastPrinted>
  <dcterms:created xsi:type="dcterms:W3CDTF">2023-05-20T20:35:47Z</dcterms:created>
  <dcterms:modified xsi:type="dcterms:W3CDTF">2026-02-06T13:47:00Z</dcterms:modified>
</cp:coreProperties>
</file>