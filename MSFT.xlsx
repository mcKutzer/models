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4D011F3C-F61F-4F0D-8866-1BD3110FEFE9}" xr6:coauthVersionLast="47" xr6:coauthVersionMax="47" xr10:uidLastSave="{00000000-0000-0000-0000-000000000000}"/>
  <bookViews>
    <workbookView xWindow="-120" yWindow="-120" windowWidth="29040" windowHeight="15840" xr2:uid="{FE780681-FE2E-44A6-A5EA-4978E79DAF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51" i="1" l="1"/>
  <c r="Z49" i="1"/>
  <c r="Z48" i="1"/>
  <c r="Z47" i="1"/>
  <c r="AA55" i="1"/>
  <c r="AB55" i="1" s="1"/>
  <c r="AC55" i="1" s="1"/>
  <c r="AD55" i="1" s="1"/>
  <c r="AE55" i="1" s="1"/>
  <c r="AF55" i="1" s="1"/>
  <c r="AG55" i="1" s="1"/>
  <c r="AH55" i="1" s="1"/>
  <c r="AI55" i="1" s="1"/>
  <c r="AJ55" i="1" s="1"/>
  <c r="AK55" i="1" s="1"/>
  <c r="AL55" i="1" s="1"/>
  <c r="AM55" i="1" s="1"/>
  <c r="AN55" i="1" s="1"/>
  <c r="AO55" i="1" s="1"/>
  <c r="AP55" i="1" s="1"/>
  <c r="AQ55" i="1" s="1"/>
  <c r="AR55" i="1" s="1"/>
  <c r="AS55" i="1" s="1"/>
  <c r="AT55" i="1" s="1"/>
  <c r="AU55" i="1" s="1"/>
  <c r="AV55" i="1" s="1"/>
  <c r="AW55" i="1" s="1"/>
  <c r="AX55" i="1" s="1"/>
  <c r="AY55" i="1" s="1"/>
  <c r="AZ55" i="1" s="1"/>
  <c r="BA55" i="1" s="1"/>
  <c r="BB55" i="1" s="1"/>
  <c r="BC55" i="1" s="1"/>
  <c r="BD55" i="1" s="1"/>
  <c r="BE55" i="1" s="1"/>
  <c r="BF55" i="1" s="1"/>
  <c r="BG55" i="1" s="1"/>
  <c r="BH55" i="1" s="1"/>
  <c r="BI55" i="1" s="1"/>
  <c r="BJ55" i="1" s="1"/>
  <c r="BK55" i="1" s="1"/>
  <c r="BL55" i="1" s="1"/>
  <c r="BM55" i="1" s="1"/>
  <c r="BN55" i="1" s="1"/>
  <c r="BO55" i="1" s="1"/>
  <c r="BP55" i="1" s="1"/>
  <c r="BQ55" i="1" s="1"/>
  <c r="BR55" i="1" s="1"/>
  <c r="BS55" i="1" s="1"/>
  <c r="BT55" i="1" s="1"/>
  <c r="BU55" i="1" s="1"/>
  <c r="BV55" i="1" s="1"/>
  <c r="BW55" i="1" s="1"/>
  <c r="BX55" i="1" s="1"/>
  <c r="BY55" i="1" s="1"/>
  <c r="BZ55" i="1" s="1"/>
  <c r="CA55" i="1" s="1"/>
  <c r="CB55" i="1" s="1"/>
  <c r="CC55" i="1" s="1"/>
  <c r="CD55" i="1" s="1"/>
  <c r="CE55" i="1" s="1"/>
  <c r="CF55" i="1" s="1"/>
  <c r="CG55" i="1" s="1"/>
  <c r="CH55" i="1" s="1"/>
  <c r="CI55" i="1" s="1"/>
  <c r="CJ55" i="1" s="1"/>
  <c r="CK55" i="1" s="1"/>
  <c r="CL55" i="1" s="1"/>
  <c r="CM55" i="1" s="1"/>
  <c r="CN55" i="1" s="1"/>
  <c r="CO55" i="1" s="1"/>
  <c r="CP55" i="1" s="1"/>
  <c r="CQ55" i="1" s="1"/>
  <c r="CR55" i="1" s="1"/>
  <c r="CS55" i="1" s="1"/>
  <c r="CT55" i="1" s="1"/>
  <c r="CU55" i="1" s="1"/>
  <c r="CV55" i="1" s="1"/>
  <c r="CW55" i="1" s="1"/>
  <c r="CX55" i="1" s="1"/>
  <c r="CY55" i="1" s="1"/>
  <c r="CZ55" i="1" s="1"/>
  <c r="DA55" i="1" s="1"/>
  <c r="DB55" i="1" s="1"/>
  <c r="DC55" i="1" s="1"/>
  <c r="DD55" i="1" s="1"/>
  <c r="DE55" i="1" s="1"/>
  <c r="DF55" i="1" s="1"/>
  <c r="DG55" i="1" s="1"/>
  <c r="DH55" i="1" s="1"/>
  <c r="DI55" i="1" s="1"/>
  <c r="DJ55" i="1" s="1"/>
  <c r="DK55" i="1" s="1"/>
  <c r="DL55" i="1" s="1"/>
  <c r="DM55" i="1" s="1"/>
  <c r="DN55" i="1" s="1"/>
  <c r="DO55" i="1" s="1"/>
  <c r="DP55" i="1" s="1"/>
  <c r="DQ55" i="1" s="1"/>
  <c r="DR55" i="1" s="1"/>
  <c r="DS55" i="1" s="1"/>
  <c r="DT55" i="1" s="1"/>
  <c r="DU55" i="1" s="1"/>
  <c r="DV55" i="1" s="1"/>
  <c r="DW55" i="1" s="1"/>
  <c r="DX55" i="1" s="1"/>
  <c r="DY55" i="1" s="1"/>
  <c r="DZ55" i="1" s="1"/>
  <c r="EA55" i="1" s="1"/>
  <c r="EB55" i="1" s="1"/>
  <c r="EC55" i="1" s="1"/>
  <c r="ED55" i="1" s="1"/>
  <c r="EE55" i="1" s="1"/>
  <c r="EF55" i="1" s="1"/>
  <c r="EG55" i="1" s="1"/>
  <c r="EH55" i="1" s="1"/>
  <c r="EI55" i="1" s="1"/>
  <c r="EJ55" i="1" s="1"/>
  <c r="EK55" i="1" s="1"/>
  <c r="EL55" i="1" s="1"/>
  <c r="EM55" i="1" s="1"/>
  <c r="EN55" i="1" s="1"/>
  <c r="EO55" i="1" s="1"/>
  <c r="EP55" i="1" s="1"/>
  <c r="EQ55" i="1" s="1"/>
  <c r="ER55" i="1" s="1"/>
  <c r="ES55" i="1" s="1"/>
  <c r="ET55" i="1" s="1"/>
  <c r="EU55" i="1" s="1"/>
  <c r="EV55" i="1" s="1"/>
  <c r="EW55" i="1" s="1"/>
  <c r="EX55" i="1" s="1"/>
  <c r="EY55" i="1" s="1"/>
  <c r="EZ55" i="1" s="1"/>
  <c r="FA55" i="1" s="1"/>
  <c r="FB55" i="1" s="1"/>
  <c r="FC55" i="1" s="1"/>
  <c r="FD55" i="1" s="1"/>
  <c r="FE55" i="1" s="1"/>
  <c r="FF55" i="1" s="1"/>
  <c r="Y55" i="1"/>
  <c r="Z55" i="1" s="1"/>
  <c r="X55" i="1"/>
  <c r="S53" i="1"/>
  <c r="T53" i="1" s="1"/>
  <c r="U53" i="1" s="1"/>
  <c r="V53" i="1" s="1"/>
  <c r="W53" i="1" s="1"/>
  <c r="R53" i="1"/>
  <c r="O55" i="1"/>
  <c r="P55" i="1"/>
  <c r="Q55" i="1"/>
  <c r="R55" i="1"/>
  <c r="N55" i="1"/>
  <c r="O52" i="1"/>
  <c r="P52" i="1"/>
  <c r="Q52" i="1"/>
  <c r="R52" i="1"/>
  <c r="N52" i="1"/>
  <c r="O50" i="1"/>
  <c r="P50" i="1"/>
  <c r="Q50" i="1"/>
  <c r="R50" i="1"/>
  <c r="S50" i="1"/>
  <c r="S52" i="1" s="1"/>
  <c r="S55" i="1" s="1"/>
  <c r="N50" i="1"/>
  <c r="Q53" i="1"/>
  <c r="M69" i="1"/>
  <c r="L69" i="1"/>
  <c r="M68" i="1"/>
  <c r="L68" i="1"/>
  <c r="O41" i="1"/>
  <c r="P41" i="1"/>
  <c r="Q41" i="1"/>
  <c r="R41" i="1"/>
  <c r="S41" i="1"/>
  <c r="T41" i="1"/>
  <c r="U41" i="1"/>
  <c r="V41" i="1"/>
  <c r="W41" i="1"/>
  <c r="N41" i="1"/>
  <c r="O42" i="1"/>
  <c r="P42" i="1" s="1"/>
  <c r="Q42" i="1" s="1"/>
  <c r="R42" i="1" s="1"/>
  <c r="S42" i="1" s="1"/>
  <c r="T42" i="1" s="1"/>
  <c r="U42" i="1" s="1"/>
  <c r="V42" i="1" s="1"/>
  <c r="W42" i="1" s="1"/>
  <c r="N42" i="1"/>
  <c r="O39" i="1"/>
  <c r="P39" i="1"/>
  <c r="Q39" i="1"/>
  <c r="R39" i="1"/>
  <c r="S39" i="1"/>
  <c r="T39" i="1"/>
  <c r="U39" i="1"/>
  <c r="V39" i="1"/>
  <c r="W39" i="1"/>
  <c r="N39" i="1"/>
  <c r="T33" i="1"/>
  <c r="U33" i="1"/>
  <c r="V33" i="1"/>
  <c r="W33" i="1"/>
  <c r="S33" i="1"/>
  <c r="W34" i="1"/>
  <c r="V34" i="1"/>
  <c r="U34" i="1"/>
  <c r="O34" i="1"/>
  <c r="P34" i="1" s="1"/>
  <c r="Q34" i="1" s="1"/>
  <c r="R34" i="1" s="1"/>
  <c r="S34" i="1" s="1"/>
  <c r="T34" i="1" s="1"/>
  <c r="N34" i="1"/>
  <c r="N62" i="1" s="1"/>
  <c r="R35" i="1"/>
  <c r="S35" i="1"/>
  <c r="T35" i="1"/>
  <c r="U35" i="1"/>
  <c r="V35" i="1"/>
  <c r="W35" i="1"/>
  <c r="Q35" i="1"/>
  <c r="Q63" i="1" s="1"/>
  <c r="N63" i="1"/>
  <c r="O63" i="1"/>
  <c r="P63" i="1"/>
  <c r="O35" i="1"/>
  <c r="P35" i="1" s="1"/>
  <c r="W63" i="1" s="1"/>
  <c r="N35" i="1"/>
  <c r="N61" i="1"/>
  <c r="O61" i="1"/>
  <c r="P61" i="1"/>
  <c r="Q61" i="1"/>
  <c r="R61" i="1"/>
  <c r="S61" i="1"/>
  <c r="O33" i="1"/>
  <c r="P33" i="1" s="1"/>
  <c r="Q33" i="1" s="1"/>
  <c r="R33" i="1" s="1"/>
  <c r="W61" i="1" s="1"/>
  <c r="N33" i="1"/>
  <c r="M61" i="1"/>
  <c r="M62" i="1"/>
  <c r="M63" i="1"/>
  <c r="L62" i="1"/>
  <c r="L63" i="1"/>
  <c r="L61" i="1"/>
  <c r="O31" i="1"/>
  <c r="P31" i="1"/>
  <c r="Q31" i="1"/>
  <c r="R31" i="1"/>
  <c r="S31" i="1"/>
  <c r="T31" i="1"/>
  <c r="U31" i="1"/>
  <c r="V31" i="1"/>
  <c r="W31" i="1"/>
  <c r="W32" i="1" s="1"/>
  <c r="N44" i="1"/>
  <c r="N31" i="1"/>
  <c r="O48" i="1"/>
  <c r="P48" i="1"/>
  <c r="Q48" i="1"/>
  <c r="R48" i="1"/>
  <c r="S48" i="1"/>
  <c r="T48" i="1"/>
  <c r="U48" i="1"/>
  <c r="V48" i="1"/>
  <c r="W48" i="1"/>
  <c r="O28" i="1"/>
  <c r="P28" i="1"/>
  <c r="Q28" i="1"/>
  <c r="R28" i="1"/>
  <c r="S28" i="1"/>
  <c r="T28" i="1"/>
  <c r="U28" i="1"/>
  <c r="V28" i="1"/>
  <c r="W28" i="1"/>
  <c r="N28" i="1"/>
  <c r="P7" i="1"/>
  <c r="O15" i="1"/>
  <c r="P15" i="1"/>
  <c r="Q15" i="1"/>
  <c r="R15" i="1"/>
  <c r="S15" i="1"/>
  <c r="T15" i="1"/>
  <c r="U15" i="1"/>
  <c r="V15" i="1"/>
  <c r="W15" i="1"/>
  <c r="N15" i="1"/>
  <c r="U4" i="1"/>
  <c r="V4" i="1" s="1"/>
  <c r="W4" i="1" s="1"/>
  <c r="T4" i="1"/>
  <c r="O4" i="1"/>
  <c r="P4" i="1" s="1"/>
  <c r="Q4" i="1" s="1"/>
  <c r="R4" i="1" s="1"/>
  <c r="S4" i="1" s="1"/>
  <c r="N4" i="1"/>
  <c r="M9" i="1"/>
  <c r="N18" i="1"/>
  <c r="O18" i="1" s="1"/>
  <c r="P18" i="1" s="1"/>
  <c r="Q18" i="1" s="1"/>
  <c r="R18" i="1" s="1"/>
  <c r="S18" i="1" s="1"/>
  <c r="T18" i="1" s="1"/>
  <c r="U18" i="1" s="1"/>
  <c r="V18" i="1" s="1"/>
  <c r="W18" i="1" s="1"/>
  <c r="N17" i="1"/>
  <c r="O17" i="1" s="1"/>
  <c r="P17" i="1" s="1"/>
  <c r="Q17" i="1" s="1"/>
  <c r="R17" i="1" s="1"/>
  <c r="S17" i="1" s="1"/>
  <c r="T17" i="1" s="1"/>
  <c r="U17" i="1" s="1"/>
  <c r="V17" i="1" s="1"/>
  <c r="W17" i="1" s="1"/>
  <c r="N16" i="1"/>
  <c r="O16" i="1" s="1"/>
  <c r="P16" i="1" s="1"/>
  <c r="Q16" i="1" s="1"/>
  <c r="R16" i="1" s="1"/>
  <c r="S16" i="1" s="1"/>
  <c r="T16" i="1" s="1"/>
  <c r="U16" i="1" s="1"/>
  <c r="V16" i="1" s="1"/>
  <c r="W16" i="1" s="1"/>
  <c r="N14" i="1"/>
  <c r="O14" i="1" s="1"/>
  <c r="P14" i="1" s="1"/>
  <c r="Q14" i="1" s="1"/>
  <c r="R14" i="1" s="1"/>
  <c r="S14" i="1" s="1"/>
  <c r="T14" i="1" s="1"/>
  <c r="U14" i="1" s="1"/>
  <c r="V14" i="1" s="1"/>
  <c r="W14" i="1" s="1"/>
  <c r="N13" i="1"/>
  <c r="O13" i="1" s="1"/>
  <c r="P13" i="1" s="1"/>
  <c r="Q13" i="1" s="1"/>
  <c r="R13" i="1" s="1"/>
  <c r="S13" i="1" s="1"/>
  <c r="T13" i="1" s="1"/>
  <c r="U13" i="1" s="1"/>
  <c r="V13" i="1" s="1"/>
  <c r="W13" i="1" s="1"/>
  <c r="N12" i="1"/>
  <c r="O12" i="1" s="1"/>
  <c r="P12" i="1" s="1"/>
  <c r="Q12" i="1" s="1"/>
  <c r="R12" i="1" s="1"/>
  <c r="S12" i="1" s="1"/>
  <c r="T12" i="1" s="1"/>
  <c r="U12" i="1" s="1"/>
  <c r="V12" i="1" s="1"/>
  <c r="W12" i="1" s="1"/>
  <c r="N11" i="1"/>
  <c r="O11" i="1" s="1"/>
  <c r="P11" i="1" s="1"/>
  <c r="Q11" i="1" s="1"/>
  <c r="R11" i="1" s="1"/>
  <c r="S11" i="1" s="1"/>
  <c r="T11" i="1" s="1"/>
  <c r="U11" i="1" s="1"/>
  <c r="V11" i="1" s="1"/>
  <c r="W11" i="1" s="1"/>
  <c r="N10" i="1"/>
  <c r="O10" i="1" s="1"/>
  <c r="P10" i="1" s="1"/>
  <c r="Q10" i="1" s="1"/>
  <c r="R10" i="1" s="1"/>
  <c r="S10" i="1" s="1"/>
  <c r="T10" i="1" s="1"/>
  <c r="U10" i="1" s="1"/>
  <c r="V10" i="1" s="1"/>
  <c r="W10" i="1" s="1"/>
  <c r="V32" i="1"/>
  <c r="L59" i="1"/>
  <c r="M59" i="1"/>
  <c r="M55" i="1"/>
  <c r="L55" i="1"/>
  <c r="E47" i="1"/>
  <c r="E46" i="1"/>
  <c r="F47" i="1"/>
  <c r="F46" i="1"/>
  <c r="G47" i="1"/>
  <c r="G46" i="1"/>
  <c r="H47" i="1"/>
  <c r="H46" i="1"/>
  <c r="I47" i="1"/>
  <c r="I46" i="1"/>
  <c r="J47" i="1"/>
  <c r="J46" i="1"/>
  <c r="K47" i="1"/>
  <c r="K46" i="1"/>
  <c r="L47" i="1"/>
  <c r="L46" i="1"/>
  <c r="M47" i="1"/>
  <c r="M46" i="1"/>
  <c r="D28" i="1"/>
  <c r="E28" i="1"/>
  <c r="F28" i="1"/>
  <c r="G28" i="1"/>
  <c r="G48" i="1" s="1"/>
  <c r="H28" i="1"/>
  <c r="H48" i="1" s="1"/>
  <c r="I28" i="1"/>
  <c r="I48" i="1" s="1"/>
  <c r="J28" i="1"/>
  <c r="G2" i="1"/>
  <c r="F2" i="1" s="1"/>
  <c r="E2" i="1" s="1"/>
  <c r="D2" i="1" s="1"/>
  <c r="L28" i="1"/>
  <c r="M28" i="1"/>
  <c r="N48" i="1" s="1"/>
  <c r="L31" i="1"/>
  <c r="M31" i="1"/>
  <c r="K28" i="1"/>
  <c r="I2" i="1"/>
  <c r="J2" i="1" s="1"/>
  <c r="K2" i="1" s="1"/>
  <c r="L2" i="1" s="1"/>
  <c r="M2" i="1" s="1"/>
  <c r="N2" i="1" s="1"/>
  <c r="O2" i="1" s="1"/>
  <c r="P2" i="1" s="1"/>
  <c r="Q2" i="1" s="1"/>
  <c r="R2" i="1" s="1"/>
  <c r="S2" i="1" s="1"/>
  <c r="T2" i="1" s="1"/>
  <c r="U2" i="1" s="1"/>
  <c r="V2" i="1" s="1"/>
  <c r="W2" i="1" s="1"/>
  <c r="W50" i="1" l="1"/>
  <c r="W52" i="1" s="1"/>
  <c r="W55" i="1" s="1"/>
  <c r="V50" i="1"/>
  <c r="V52" i="1" s="1"/>
  <c r="V55" i="1" s="1"/>
  <c r="U50" i="1"/>
  <c r="U52" i="1" s="1"/>
  <c r="U55" i="1" s="1"/>
  <c r="T50" i="1"/>
  <c r="T52" i="1" s="1"/>
  <c r="T55" i="1" s="1"/>
  <c r="V61" i="1"/>
  <c r="U61" i="1"/>
  <c r="T61" i="1"/>
  <c r="W62" i="1"/>
  <c r="U62" i="1"/>
  <c r="T62" i="1"/>
  <c r="S62" i="1"/>
  <c r="R62" i="1"/>
  <c r="Q62" i="1"/>
  <c r="P62" i="1"/>
  <c r="O62" i="1"/>
  <c r="V63" i="1"/>
  <c r="T63" i="1"/>
  <c r="U63" i="1"/>
  <c r="R63" i="1"/>
  <c r="S63" i="1"/>
  <c r="V36" i="1"/>
  <c r="V38" i="1" s="1"/>
  <c r="V40" i="1" s="1"/>
  <c r="W36" i="1"/>
  <c r="W44" i="1"/>
  <c r="V44" i="1"/>
  <c r="W7" i="1"/>
  <c r="W8" i="1" s="1"/>
  <c r="W19" i="1" s="1"/>
  <c r="V7" i="1"/>
  <c r="V8" i="1" s="1"/>
  <c r="V19" i="1" s="1"/>
  <c r="U7" i="1"/>
  <c r="U8" i="1" s="1"/>
  <c r="U19" i="1" s="1"/>
  <c r="R32" i="1"/>
  <c r="T7" i="1"/>
  <c r="T8" i="1" s="1"/>
  <c r="T19" i="1" s="1"/>
  <c r="S7" i="1"/>
  <c r="S8" i="1" s="1"/>
  <c r="S19" i="1" s="1"/>
  <c r="M48" i="1"/>
  <c r="R7" i="1"/>
  <c r="R8" i="1" s="1"/>
  <c r="R19" i="1" s="1"/>
  <c r="P8" i="1"/>
  <c r="Q7" i="1"/>
  <c r="Q8" i="1" s="1"/>
  <c r="Q19" i="1" s="1"/>
  <c r="J48" i="1"/>
  <c r="T32" i="1"/>
  <c r="S32" i="1"/>
  <c r="E48" i="1"/>
  <c r="U32" i="1"/>
  <c r="O32" i="1"/>
  <c r="P32" i="1"/>
  <c r="Q32" i="1"/>
  <c r="L48" i="1"/>
  <c r="F48" i="1"/>
  <c r="K48" i="1"/>
  <c r="N32" i="1"/>
  <c r="N36" i="1" s="1"/>
  <c r="M32" i="1"/>
  <c r="L32" i="1"/>
  <c r="Z46" i="1" l="1"/>
  <c r="V62" i="1"/>
  <c r="V45" i="1"/>
  <c r="N38" i="1"/>
  <c r="N40" i="1" s="1"/>
  <c r="N45" i="1"/>
  <c r="P36" i="1"/>
  <c r="P44" i="1"/>
  <c r="O36" i="1"/>
  <c r="O44" i="1"/>
  <c r="S36" i="1"/>
  <c r="S44" i="1"/>
  <c r="T36" i="1"/>
  <c r="T44" i="1"/>
  <c r="R36" i="1"/>
  <c r="R44" i="1"/>
  <c r="Q36" i="1"/>
  <c r="Q44" i="1"/>
  <c r="U36" i="1"/>
  <c r="U44" i="1"/>
  <c r="W38" i="1"/>
  <c r="W40" i="1" s="1"/>
  <c r="W45" i="1"/>
  <c r="P19" i="1"/>
  <c r="L36" i="1"/>
  <c r="L44" i="1"/>
  <c r="M36" i="1"/>
  <c r="M44" i="1"/>
  <c r="R38" i="1" l="1"/>
  <c r="R40" i="1" s="1"/>
  <c r="R45" i="1"/>
  <c r="S38" i="1"/>
  <c r="S40" i="1" s="1"/>
  <c r="S45" i="1"/>
  <c r="T38" i="1"/>
  <c r="T40" i="1" s="1"/>
  <c r="T45" i="1"/>
  <c r="O38" i="1"/>
  <c r="O40" i="1" s="1"/>
  <c r="O45" i="1"/>
  <c r="Q38" i="1"/>
  <c r="Q40" i="1" s="1"/>
  <c r="Q45" i="1"/>
  <c r="U38" i="1"/>
  <c r="U40" i="1" s="1"/>
  <c r="U45" i="1"/>
  <c r="P38" i="1"/>
  <c r="P40" i="1" s="1"/>
  <c r="P45" i="1"/>
  <c r="M38" i="1"/>
  <c r="M40" i="1" s="1"/>
  <c r="M41" i="1" s="1"/>
  <c r="M45" i="1"/>
  <c r="L38" i="1"/>
  <c r="L40" i="1" s="1"/>
  <c r="L41" i="1" s="1"/>
  <c r="L45" i="1"/>
</calcChain>
</file>

<file path=xl/sharedStrings.xml><?xml version="1.0" encoding="utf-8"?>
<sst xmlns="http://schemas.openxmlformats.org/spreadsheetml/2006/main" count="65" uniqueCount="59">
  <si>
    <t>Product</t>
  </si>
  <si>
    <t>Service</t>
  </si>
  <si>
    <t>Revenue</t>
  </si>
  <si>
    <t>COGS</t>
  </si>
  <si>
    <t>Gross Profit</t>
  </si>
  <si>
    <t>R&amp;D</t>
  </si>
  <si>
    <t>S&amp;M</t>
  </si>
  <si>
    <t>G&amp;A</t>
  </si>
  <si>
    <t>Operating Income</t>
  </si>
  <si>
    <t>Other Income, net</t>
  </si>
  <si>
    <t>Pretax</t>
  </si>
  <si>
    <t>Taxes</t>
  </si>
  <si>
    <t>Net Income</t>
  </si>
  <si>
    <t>Shares</t>
  </si>
  <si>
    <t>EPS</t>
  </si>
  <si>
    <t>MSFT Office</t>
  </si>
  <si>
    <t>Cloud</t>
  </si>
  <si>
    <t>Personal Computing</t>
  </si>
  <si>
    <t>Gaming</t>
  </si>
  <si>
    <t>LinkedIn</t>
  </si>
  <si>
    <t>Server &amp; Cloud</t>
  </si>
  <si>
    <t>Commercial Office</t>
  </si>
  <si>
    <t>Windows</t>
  </si>
  <si>
    <t>Search &amp; Ads</t>
  </si>
  <si>
    <t>Dynamic &amp; Cloud</t>
  </si>
  <si>
    <t>Enterprise &amp; Partner</t>
  </si>
  <si>
    <t>Consumer Office</t>
  </si>
  <si>
    <t>Other</t>
  </si>
  <si>
    <t>Gross Margin</t>
  </si>
  <si>
    <t>Operating Margin</t>
  </si>
  <si>
    <t>Product Y/Y</t>
  </si>
  <si>
    <t>Service Y/Y</t>
  </si>
  <si>
    <t>Revenue Y/Y</t>
  </si>
  <si>
    <t>CFFO</t>
  </si>
  <si>
    <t>D&amp;A</t>
  </si>
  <si>
    <t>SBC</t>
  </si>
  <si>
    <t>CapEx</t>
  </si>
  <si>
    <t>FCF</t>
  </si>
  <si>
    <t>Software CapEx</t>
  </si>
  <si>
    <t>Stock Bought</t>
  </si>
  <si>
    <t>Dividend</t>
  </si>
  <si>
    <t>Total</t>
  </si>
  <si>
    <t>SearchGPT</t>
  </si>
  <si>
    <t>Global Search</t>
  </si>
  <si>
    <t>MSFT Share</t>
  </si>
  <si>
    <t>SearchGPT MS</t>
  </si>
  <si>
    <t>LLM Search MS</t>
  </si>
  <si>
    <t>Discount</t>
  </si>
  <si>
    <t>Terminal</t>
  </si>
  <si>
    <t>NPV</t>
  </si>
  <si>
    <t>Net Cash</t>
  </si>
  <si>
    <t>Value</t>
  </si>
  <si>
    <t>Price</t>
  </si>
  <si>
    <t>Cash</t>
  </si>
  <si>
    <t>Investments</t>
  </si>
  <si>
    <t>PP&amp;E</t>
  </si>
  <si>
    <t>Debt</t>
  </si>
  <si>
    <t>NAV</t>
  </si>
  <si>
    <t>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</si>
</sst>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#,##0.000"/>
    <numFmt numFmtId="170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4" fontId="2" fillId="0" borderId="0" xfId="0" applyNumberFormat="1" applyFont="1"/>
    <xf numFmtId="3" fontId="0" fillId="0" borderId="0" xfId="0" applyNumberFormat="1" applyFont="1"/>
    <xf numFmtId="9" fontId="0" fillId="0" borderId="0" xfId="1" applyFont="1"/>
    <xf numFmtId="169" fontId="0" fillId="0" borderId="0" xfId="0" applyNumberFormat="1"/>
    <xf numFmtId="17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5953</xdr:colOff>
      <xdr:row>2</xdr:row>
      <xdr:rowOff>172641</xdr:rowOff>
    </xdr:from>
    <xdr:to>
      <xdr:col>13</xdr:col>
      <xdr:colOff>5953</xdr:colOff>
      <xdr:row>49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3A7870A-0995-1FF2-E651-3A72845288D8}"/>
            </a:ext>
          </a:extLst>
        </xdr:cNvPr>
        <xdr:cNvCxnSpPr/>
      </xdr:nvCxnSpPr>
      <xdr:spPr>
        <a:xfrm>
          <a:off x="5732859" y="553641"/>
          <a:ext cx="0" cy="744735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6F758-57B9-4AC9-9BBC-ABE2A7A34AEB}">
  <dimension ref="B2:FF115"/>
  <sheetViews>
    <sheetView tabSelected="1" zoomScale="160" zoomScaleNormal="160" workbookViewId="0">
      <pane xSplit="2" ySplit="2" topLeftCell="L46" activePane="bottomRight" state="frozen"/>
      <selection pane="topRight" activeCell="C1" sqref="C1"/>
      <selection pane="bottomLeft" activeCell="A3" sqref="A3"/>
      <selection pane="bottomRight" activeCell="S53" sqref="S53"/>
    </sheetView>
  </sheetViews>
  <sheetFormatPr defaultRowHeight="15" x14ac:dyDescent="0.25"/>
  <cols>
    <col min="1" max="1" width="2.85546875" customWidth="1"/>
    <col min="2" max="2" width="19.28515625" bestFit="1" customWidth="1"/>
  </cols>
  <sheetData>
    <row r="2" spans="2:23" x14ac:dyDescent="0.25">
      <c r="D2">
        <f>+E2-1</f>
        <v>2016</v>
      </c>
      <c r="E2">
        <f>+F2-1</f>
        <v>2017</v>
      </c>
      <c r="F2">
        <f>+G2-1</f>
        <v>2018</v>
      </c>
      <c r="G2">
        <f>+H2-1</f>
        <v>2019</v>
      </c>
      <c r="H2">
        <v>2020</v>
      </c>
      <c r="I2">
        <f>+H2+1</f>
        <v>2021</v>
      </c>
      <c r="J2">
        <f>+I2+1</f>
        <v>2022</v>
      </c>
      <c r="K2">
        <f>+J2+1</f>
        <v>2023</v>
      </c>
      <c r="L2">
        <f>+K2+1</f>
        <v>2024</v>
      </c>
      <c r="M2">
        <f>+L2+1</f>
        <v>2025</v>
      </c>
      <c r="N2">
        <f>+M2+1</f>
        <v>2026</v>
      </c>
      <c r="O2">
        <f t="shared" ref="O2:W2" si="0">+N2+1</f>
        <v>2027</v>
      </c>
      <c r="P2">
        <f t="shared" si="0"/>
        <v>2028</v>
      </c>
      <c r="Q2">
        <f t="shared" si="0"/>
        <v>2029</v>
      </c>
      <c r="R2">
        <f t="shared" si="0"/>
        <v>2030</v>
      </c>
      <c r="S2">
        <f t="shared" si="0"/>
        <v>2031</v>
      </c>
      <c r="T2">
        <f t="shared" si="0"/>
        <v>2032</v>
      </c>
      <c r="U2">
        <f t="shared" si="0"/>
        <v>2033</v>
      </c>
      <c r="V2">
        <f t="shared" si="0"/>
        <v>2034</v>
      </c>
      <c r="W2">
        <f t="shared" si="0"/>
        <v>2035</v>
      </c>
    </row>
    <row r="3" spans="2:23" s="1" customFormat="1" x14ac:dyDescent="0.25"/>
    <row r="4" spans="2:23" s="1" customFormat="1" x14ac:dyDescent="0.25">
      <c r="B4" s="1" t="s">
        <v>43</v>
      </c>
      <c r="M4" s="1">
        <v>316000</v>
      </c>
      <c r="N4" s="1">
        <f>+M4*1.11</f>
        <v>350760.00000000006</v>
      </c>
      <c r="O4" s="1">
        <f t="shared" ref="O4:S4" si="1">+N4*1.11</f>
        <v>389343.60000000009</v>
      </c>
      <c r="P4" s="1">
        <f t="shared" si="1"/>
        <v>432171.39600000012</v>
      </c>
      <c r="Q4" s="1">
        <f t="shared" si="1"/>
        <v>479710.2495600002</v>
      </c>
      <c r="R4" s="1">
        <f t="shared" si="1"/>
        <v>532478.3770116003</v>
      </c>
      <c r="S4" s="1">
        <f t="shared" si="1"/>
        <v>591050.99848287634</v>
      </c>
      <c r="T4" s="1">
        <f>+S4*1.08</f>
        <v>638335.07836150646</v>
      </c>
      <c r="U4" s="1">
        <f t="shared" ref="U4:W4" si="2">+T4*1.08</f>
        <v>689401.884630427</v>
      </c>
      <c r="V4" s="1">
        <f t="shared" si="2"/>
        <v>744554.03540086118</v>
      </c>
      <c r="W4" s="1">
        <f t="shared" si="2"/>
        <v>804118.35823293007</v>
      </c>
    </row>
    <row r="5" spans="2:23" s="5" customFormat="1" x14ac:dyDescent="0.25">
      <c r="B5" s="5" t="s">
        <v>46</v>
      </c>
      <c r="N5" s="5">
        <v>0</v>
      </c>
      <c r="O5" s="5">
        <v>0.05</v>
      </c>
      <c r="P5" s="5">
        <v>0.25</v>
      </c>
      <c r="Q5" s="5">
        <v>0.35</v>
      </c>
      <c r="R5" s="5">
        <v>0.45</v>
      </c>
      <c r="S5" s="5">
        <v>0.55000000000000004</v>
      </c>
      <c r="T5" s="5">
        <v>0.65</v>
      </c>
      <c r="U5" s="5">
        <v>0.72</v>
      </c>
      <c r="V5" s="5">
        <v>0.78</v>
      </c>
      <c r="W5" s="5">
        <v>0.82</v>
      </c>
    </row>
    <row r="6" spans="2:23" s="5" customFormat="1" x14ac:dyDescent="0.25">
      <c r="B6" s="1" t="s">
        <v>45</v>
      </c>
      <c r="P6" s="5">
        <v>0.72</v>
      </c>
      <c r="Q6" s="5">
        <v>0.65</v>
      </c>
      <c r="R6" s="5">
        <v>0.6</v>
      </c>
      <c r="S6" s="5">
        <v>0.57999999999999996</v>
      </c>
      <c r="T6" s="5">
        <v>0.55000000000000004</v>
      </c>
      <c r="U6" s="5">
        <v>0.53</v>
      </c>
      <c r="V6" s="5">
        <v>0.52</v>
      </c>
      <c r="W6" s="5">
        <v>0.5</v>
      </c>
    </row>
    <row r="7" spans="2:23" s="1" customFormat="1" x14ac:dyDescent="0.25">
      <c r="B7" s="1" t="s">
        <v>42</v>
      </c>
      <c r="P7" s="1">
        <f>+P4*P5*P6</f>
        <v>77790.851280000017</v>
      </c>
      <c r="Q7" s="1">
        <f t="shared" ref="Q7:W7" si="3">+Q4*Q5*Q6</f>
        <v>109134.08177490006</v>
      </c>
      <c r="R7" s="1">
        <f t="shared" si="3"/>
        <v>143769.16179313208</v>
      </c>
      <c r="S7" s="1">
        <f t="shared" si="3"/>
        <v>188545.26851603755</v>
      </c>
      <c r="T7" s="1">
        <f t="shared" si="3"/>
        <v>228204.79051423859</v>
      </c>
      <c r="U7" s="1">
        <f t="shared" si="3"/>
        <v>263075.75917497097</v>
      </c>
      <c r="V7" s="1">
        <f t="shared" si="3"/>
        <v>301991.11675858928</v>
      </c>
      <c r="W7" s="1">
        <f t="shared" si="3"/>
        <v>329688.52687550132</v>
      </c>
    </row>
    <row r="8" spans="2:23" s="1" customFormat="1" x14ac:dyDescent="0.25">
      <c r="B8" s="1" t="s">
        <v>44</v>
      </c>
      <c r="P8" s="1">
        <f>+P7*0.3</f>
        <v>23337.255384000004</v>
      </c>
      <c r="Q8" s="1">
        <f t="shared" ref="Q8:W8" si="4">+Q7*0.3</f>
        <v>32740.224532470016</v>
      </c>
      <c r="R8" s="1">
        <f t="shared" si="4"/>
        <v>43130.748537939624</v>
      </c>
      <c r="S8" s="1">
        <f t="shared" si="4"/>
        <v>56563.580554811262</v>
      </c>
      <c r="T8" s="1">
        <f t="shared" si="4"/>
        <v>68461.437154271567</v>
      </c>
      <c r="U8" s="1">
        <f t="shared" si="4"/>
        <v>78922.727752491293</v>
      </c>
      <c r="V8" s="1">
        <f t="shared" si="4"/>
        <v>90597.335027576788</v>
      </c>
      <c r="W8" s="1">
        <f t="shared" si="4"/>
        <v>98906.558062650394</v>
      </c>
    </row>
    <row r="9" spans="2:23" s="1" customFormat="1" x14ac:dyDescent="0.25">
      <c r="M9" s="6">
        <f>+M15/L15 -1</f>
        <v>0.12774256460263289</v>
      </c>
    </row>
    <row r="10" spans="2:23" s="4" customFormat="1" x14ac:dyDescent="0.25">
      <c r="B10" s="4" t="s">
        <v>20</v>
      </c>
      <c r="K10" s="4">
        <v>65007</v>
      </c>
      <c r="L10" s="4">
        <v>79828</v>
      </c>
      <c r="M10" s="4">
        <v>98435</v>
      </c>
      <c r="N10" s="4">
        <f>+M10*1.15</f>
        <v>113200.24999999999</v>
      </c>
      <c r="O10" s="4">
        <f t="shared" ref="O10:W10" si="5">+N10*1.15</f>
        <v>130180.28749999998</v>
      </c>
      <c r="P10" s="4">
        <f t="shared" si="5"/>
        <v>149707.33062499997</v>
      </c>
      <c r="Q10" s="4">
        <f t="shared" si="5"/>
        <v>172163.43021874994</v>
      </c>
      <c r="R10" s="4">
        <f t="shared" si="5"/>
        <v>197987.94475156241</v>
      </c>
      <c r="S10" s="4">
        <f t="shared" si="5"/>
        <v>227686.13646429675</v>
      </c>
      <c r="T10" s="4">
        <f t="shared" si="5"/>
        <v>261839.05693394123</v>
      </c>
      <c r="U10" s="4">
        <f t="shared" si="5"/>
        <v>301114.9154740324</v>
      </c>
      <c r="V10" s="4">
        <f t="shared" si="5"/>
        <v>346282.15279513726</v>
      </c>
      <c r="W10" s="4">
        <f t="shared" si="5"/>
        <v>398224.4757144078</v>
      </c>
    </row>
    <row r="11" spans="2:23" s="4" customFormat="1" x14ac:dyDescent="0.25">
      <c r="B11" s="4" t="s">
        <v>21</v>
      </c>
      <c r="K11" s="4">
        <v>66949</v>
      </c>
      <c r="L11" s="4">
        <v>76969</v>
      </c>
      <c r="M11" s="4">
        <v>87767</v>
      </c>
      <c r="N11" s="4">
        <f>+M11*1.09</f>
        <v>95666.030000000013</v>
      </c>
      <c r="O11" s="4">
        <f t="shared" ref="O11:W11" si="6">+N11*1.09</f>
        <v>104275.97270000003</v>
      </c>
      <c r="P11" s="4">
        <f t="shared" si="6"/>
        <v>113660.81024300004</v>
      </c>
      <c r="Q11" s="4">
        <f t="shared" si="6"/>
        <v>123890.28316487005</v>
      </c>
      <c r="R11" s="4">
        <f t="shared" si="6"/>
        <v>135040.40864970838</v>
      </c>
      <c r="S11" s="4">
        <f t="shared" si="6"/>
        <v>147194.04542818214</v>
      </c>
      <c r="T11" s="4">
        <f t="shared" si="6"/>
        <v>160441.50951671854</v>
      </c>
      <c r="U11" s="4">
        <f t="shared" si="6"/>
        <v>174881.24537322321</v>
      </c>
      <c r="V11" s="4">
        <f t="shared" si="6"/>
        <v>190620.55745681332</v>
      </c>
      <c r="W11" s="4">
        <f t="shared" si="6"/>
        <v>207776.40762792653</v>
      </c>
    </row>
    <row r="12" spans="2:23" s="4" customFormat="1" x14ac:dyDescent="0.25">
      <c r="B12" s="4" t="s">
        <v>18</v>
      </c>
      <c r="K12" s="4">
        <v>15466</v>
      </c>
      <c r="L12" s="4">
        <v>21503</v>
      </c>
      <c r="M12" s="4">
        <v>23455</v>
      </c>
      <c r="N12" s="4">
        <f>+M12*1.07</f>
        <v>25096.850000000002</v>
      </c>
      <c r="O12" s="4">
        <f t="shared" ref="O12:W12" si="7">+N12*1.07</f>
        <v>26853.629500000003</v>
      </c>
      <c r="P12" s="4">
        <f t="shared" si="7"/>
        <v>28733.383565000004</v>
      </c>
      <c r="Q12" s="4">
        <f t="shared" si="7"/>
        <v>30744.720414550007</v>
      </c>
      <c r="R12" s="4">
        <f t="shared" si="7"/>
        <v>32896.850843568507</v>
      </c>
      <c r="S12" s="4">
        <f t="shared" si="7"/>
        <v>35199.630402618306</v>
      </c>
      <c r="T12" s="4">
        <f t="shared" si="7"/>
        <v>37663.604530801589</v>
      </c>
      <c r="U12" s="4">
        <f t="shared" si="7"/>
        <v>40300.056847957705</v>
      </c>
      <c r="V12" s="4">
        <f t="shared" si="7"/>
        <v>43121.060827314745</v>
      </c>
      <c r="W12" s="4">
        <f t="shared" si="7"/>
        <v>46139.53508522678</v>
      </c>
    </row>
    <row r="13" spans="2:23" s="4" customFormat="1" x14ac:dyDescent="0.25">
      <c r="B13" s="4" t="s">
        <v>19</v>
      </c>
      <c r="K13" s="4">
        <v>14989</v>
      </c>
      <c r="L13" s="4">
        <v>16372</v>
      </c>
      <c r="M13" s="4">
        <v>17812</v>
      </c>
      <c r="N13" s="4">
        <f>+M13*1.1</f>
        <v>19593.2</v>
      </c>
      <c r="O13" s="4">
        <f t="shared" ref="O13:W13" si="8">+N13*1.1</f>
        <v>21552.520000000004</v>
      </c>
      <c r="P13" s="4">
        <f t="shared" si="8"/>
        <v>23707.772000000008</v>
      </c>
      <c r="Q13" s="4">
        <f t="shared" si="8"/>
        <v>26078.549200000012</v>
      </c>
      <c r="R13" s="4">
        <f t="shared" si="8"/>
        <v>28686.404120000017</v>
      </c>
      <c r="S13" s="4">
        <f t="shared" si="8"/>
        <v>31555.044532000022</v>
      </c>
      <c r="T13" s="4">
        <f t="shared" si="8"/>
        <v>34710.548985200025</v>
      </c>
      <c r="U13" s="4">
        <f t="shared" si="8"/>
        <v>38181.603883720032</v>
      </c>
      <c r="V13" s="4">
        <f t="shared" si="8"/>
        <v>41999.764272092041</v>
      </c>
      <c r="W13" s="4">
        <f t="shared" si="8"/>
        <v>46199.740699301248</v>
      </c>
    </row>
    <row r="14" spans="2:23" s="4" customFormat="1" x14ac:dyDescent="0.25">
      <c r="B14" s="4" t="s">
        <v>22</v>
      </c>
      <c r="K14" s="4">
        <v>17147</v>
      </c>
      <c r="L14" s="4">
        <v>17026</v>
      </c>
      <c r="M14" s="4">
        <v>17314</v>
      </c>
      <c r="N14" s="4">
        <f>+M14*1.04</f>
        <v>18006.560000000001</v>
      </c>
      <c r="O14" s="4">
        <f t="shared" ref="O14:W14" si="9">+N14*1.04</f>
        <v>18726.822400000001</v>
      </c>
      <c r="P14" s="4">
        <f t="shared" si="9"/>
        <v>19475.895296000002</v>
      </c>
      <c r="Q14" s="4">
        <f t="shared" si="9"/>
        <v>20254.931107840002</v>
      </c>
      <c r="R14" s="4">
        <f t="shared" si="9"/>
        <v>21065.128352153602</v>
      </c>
      <c r="S14" s="4">
        <f t="shared" si="9"/>
        <v>21907.733486239747</v>
      </c>
      <c r="T14" s="4">
        <f t="shared" si="9"/>
        <v>22784.042825689339</v>
      </c>
      <c r="U14" s="4">
        <f t="shared" si="9"/>
        <v>23695.404538716914</v>
      </c>
      <c r="V14" s="4">
        <f t="shared" si="9"/>
        <v>24643.220720265592</v>
      </c>
      <c r="W14" s="4">
        <f t="shared" si="9"/>
        <v>25628.949549076216</v>
      </c>
    </row>
    <row r="15" spans="2:23" s="4" customFormat="1" x14ac:dyDescent="0.25">
      <c r="B15" s="4" t="s">
        <v>23</v>
      </c>
      <c r="K15" s="4">
        <v>12125</v>
      </c>
      <c r="L15" s="4">
        <v>12306</v>
      </c>
      <c r="M15" s="4">
        <v>13878</v>
      </c>
      <c r="N15" s="4">
        <f>+N4*(1-N5)*0.04</f>
        <v>14030.400000000003</v>
      </c>
      <c r="O15" s="4">
        <f t="shared" ref="O15:W15" si="10">+O4*(1-O5)*0.04</f>
        <v>14795.056800000004</v>
      </c>
      <c r="P15" s="4">
        <f t="shared" si="10"/>
        <v>12965.141880000003</v>
      </c>
      <c r="Q15" s="4">
        <f t="shared" si="10"/>
        <v>12472.466488560005</v>
      </c>
      <c r="R15" s="4">
        <f t="shared" si="10"/>
        <v>11714.524294255209</v>
      </c>
      <c r="S15" s="4">
        <f t="shared" si="10"/>
        <v>10638.917972691774</v>
      </c>
      <c r="T15" s="4">
        <f t="shared" si="10"/>
        <v>8936.6910970610897</v>
      </c>
      <c r="U15" s="4">
        <f t="shared" si="10"/>
        <v>7721.3011078607824</v>
      </c>
      <c r="V15" s="4">
        <f t="shared" si="10"/>
        <v>6552.075511527577</v>
      </c>
      <c r="W15" s="4">
        <f t="shared" si="10"/>
        <v>5789.6521792770982</v>
      </c>
    </row>
    <row r="16" spans="2:23" s="4" customFormat="1" x14ac:dyDescent="0.25">
      <c r="B16" s="4" t="s">
        <v>24</v>
      </c>
      <c r="K16" s="4">
        <v>5796</v>
      </c>
      <c r="L16" s="4">
        <v>6831</v>
      </c>
      <c r="M16" s="4">
        <v>7827</v>
      </c>
      <c r="N16" s="4">
        <f>+M16*1.11</f>
        <v>8687.9700000000012</v>
      </c>
      <c r="O16" s="4">
        <f t="shared" ref="O16:W16" si="11">+N16*1.11</f>
        <v>9643.646700000003</v>
      </c>
      <c r="P16" s="4">
        <f t="shared" si="11"/>
        <v>10704.447837000003</v>
      </c>
      <c r="Q16" s="4">
        <f t="shared" si="11"/>
        <v>11881.937099070004</v>
      </c>
      <c r="R16" s="4">
        <f t="shared" si="11"/>
        <v>13188.950179967705</v>
      </c>
      <c r="S16" s="4">
        <f t="shared" si="11"/>
        <v>14639.734699764154</v>
      </c>
      <c r="T16" s="4">
        <f t="shared" si="11"/>
        <v>16250.105516738213</v>
      </c>
      <c r="U16" s="4">
        <f t="shared" si="11"/>
        <v>18037.617123579417</v>
      </c>
      <c r="V16" s="4">
        <f t="shared" si="11"/>
        <v>20021.755007173157</v>
      </c>
      <c r="W16" s="4">
        <f t="shared" si="11"/>
        <v>22224.148057962208</v>
      </c>
    </row>
    <row r="17" spans="2:23" s="4" customFormat="1" x14ac:dyDescent="0.25">
      <c r="B17" s="4" t="s">
        <v>25</v>
      </c>
      <c r="K17" s="4">
        <v>7900</v>
      </c>
      <c r="L17" s="4">
        <v>7594</v>
      </c>
      <c r="M17" s="4">
        <v>7760</v>
      </c>
      <c r="N17" s="4">
        <f>+M17*1.08</f>
        <v>8380.8000000000011</v>
      </c>
      <c r="O17" s="4">
        <f t="shared" ref="O17:W17" si="12">+N17*1.08</f>
        <v>9051.264000000001</v>
      </c>
      <c r="P17" s="4">
        <f t="shared" si="12"/>
        <v>9775.3651200000022</v>
      </c>
      <c r="Q17" s="4">
        <f t="shared" si="12"/>
        <v>10557.394329600003</v>
      </c>
      <c r="R17" s="4">
        <f t="shared" si="12"/>
        <v>11401.985875968005</v>
      </c>
      <c r="S17" s="4">
        <f t="shared" si="12"/>
        <v>12314.144746045446</v>
      </c>
      <c r="T17" s="4">
        <f t="shared" si="12"/>
        <v>13299.276325729083</v>
      </c>
      <c r="U17" s="4">
        <f t="shared" si="12"/>
        <v>14363.218431787411</v>
      </c>
      <c r="V17" s="4">
        <f t="shared" si="12"/>
        <v>15512.275906330404</v>
      </c>
      <c r="W17" s="4">
        <f t="shared" si="12"/>
        <v>16753.257978836838</v>
      </c>
    </row>
    <row r="18" spans="2:23" s="4" customFormat="1" x14ac:dyDescent="0.25">
      <c r="B18" s="4" t="s">
        <v>26</v>
      </c>
      <c r="K18" s="4">
        <v>6417</v>
      </c>
      <c r="L18" s="4">
        <v>6648</v>
      </c>
      <c r="M18" s="4">
        <v>7404</v>
      </c>
      <c r="N18" s="4">
        <f>+M18*1.06</f>
        <v>7848.2400000000007</v>
      </c>
      <c r="O18" s="4">
        <f t="shared" ref="O18:W18" si="13">+N18*1.06</f>
        <v>8319.1344000000008</v>
      </c>
      <c r="P18" s="4">
        <f t="shared" si="13"/>
        <v>8818.2824640000017</v>
      </c>
      <c r="Q18" s="4">
        <f t="shared" si="13"/>
        <v>9347.3794118400019</v>
      </c>
      <c r="R18" s="4">
        <f t="shared" si="13"/>
        <v>9908.2221765504019</v>
      </c>
      <c r="S18" s="4">
        <f t="shared" si="13"/>
        <v>10502.715507143426</v>
      </c>
      <c r="T18" s="4">
        <f t="shared" si="13"/>
        <v>11132.878437572032</v>
      </c>
      <c r="U18" s="4">
        <f t="shared" si="13"/>
        <v>11800.851143826354</v>
      </c>
      <c r="V18" s="4">
        <f t="shared" si="13"/>
        <v>12508.902212455936</v>
      </c>
      <c r="W18" s="4">
        <f t="shared" si="13"/>
        <v>13259.436345203292</v>
      </c>
    </row>
    <row r="19" spans="2:23" s="4" customFormat="1" x14ac:dyDescent="0.25">
      <c r="B19" s="4" t="s">
        <v>42</v>
      </c>
      <c r="P19" s="4">
        <f>+P8</f>
        <v>23337.255384000004</v>
      </c>
      <c r="Q19" s="4">
        <f t="shared" ref="Q19:W19" si="14">+Q8</f>
        <v>32740.224532470016</v>
      </c>
      <c r="R19" s="4">
        <f t="shared" si="14"/>
        <v>43130.748537939624</v>
      </c>
      <c r="S19" s="4">
        <f t="shared" si="14"/>
        <v>56563.580554811262</v>
      </c>
      <c r="T19" s="4">
        <f t="shared" si="14"/>
        <v>68461.437154271567</v>
      </c>
      <c r="U19" s="4">
        <f t="shared" si="14"/>
        <v>78922.727752491293</v>
      </c>
      <c r="V19" s="4">
        <f t="shared" si="14"/>
        <v>90597.335027576788</v>
      </c>
      <c r="W19" s="4">
        <f t="shared" si="14"/>
        <v>98906.558062650394</v>
      </c>
    </row>
    <row r="20" spans="2:23" s="4" customFormat="1" x14ac:dyDescent="0.25">
      <c r="B20" s="4" t="s">
        <v>27</v>
      </c>
      <c r="K20" s="4">
        <v>119</v>
      </c>
      <c r="L20" s="4">
        <v>45</v>
      </c>
      <c r="M20" s="4">
        <v>72</v>
      </c>
      <c r="N20" s="4">
        <v>50</v>
      </c>
      <c r="O20" s="4">
        <v>50</v>
      </c>
      <c r="P20" s="4">
        <v>50</v>
      </c>
      <c r="Q20" s="4">
        <v>50</v>
      </c>
      <c r="R20" s="4">
        <v>50</v>
      </c>
      <c r="S20" s="4">
        <v>50</v>
      </c>
      <c r="T20" s="4">
        <v>50</v>
      </c>
      <c r="U20" s="4">
        <v>50</v>
      </c>
      <c r="V20" s="4">
        <v>50</v>
      </c>
      <c r="W20" s="4">
        <v>50</v>
      </c>
    </row>
    <row r="21" spans="2:23" s="4" customFormat="1" x14ac:dyDescent="0.25"/>
    <row r="22" spans="2:23" s="4" customFormat="1" x14ac:dyDescent="0.25">
      <c r="B22" s="4" t="s">
        <v>15</v>
      </c>
      <c r="L22" s="4">
        <v>106820</v>
      </c>
      <c r="M22" s="4">
        <v>120810</v>
      </c>
    </row>
    <row r="23" spans="2:23" s="1" customFormat="1" x14ac:dyDescent="0.25">
      <c r="B23" s="1" t="s">
        <v>16</v>
      </c>
      <c r="L23" s="1">
        <v>87464</v>
      </c>
      <c r="M23" s="1">
        <v>106265</v>
      </c>
    </row>
    <row r="24" spans="2:23" s="1" customFormat="1" x14ac:dyDescent="0.25">
      <c r="B24" s="1" t="s">
        <v>17</v>
      </c>
      <c r="L24" s="1">
        <v>54649</v>
      </c>
      <c r="M24" s="1">
        <v>54649</v>
      </c>
    </row>
    <row r="25" spans="2:23" s="1" customFormat="1" x14ac:dyDescent="0.25"/>
    <row r="26" spans="2:23" s="1" customFormat="1" x14ac:dyDescent="0.25">
      <c r="B26" s="1" t="s">
        <v>0</v>
      </c>
      <c r="D26" s="1">
        <v>67336</v>
      </c>
      <c r="E26" s="1">
        <v>63811</v>
      </c>
      <c r="F26" s="1">
        <v>64497</v>
      </c>
      <c r="G26" s="1">
        <v>66069</v>
      </c>
      <c r="H26" s="1">
        <v>68041</v>
      </c>
      <c r="I26" s="1">
        <v>71074</v>
      </c>
      <c r="J26" s="1">
        <v>72732</v>
      </c>
      <c r="K26" s="1">
        <v>64699</v>
      </c>
      <c r="L26" s="1">
        <v>64773</v>
      </c>
      <c r="M26" s="1">
        <v>63946</v>
      </c>
    </row>
    <row r="27" spans="2:23" s="1" customFormat="1" x14ac:dyDescent="0.25">
      <c r="B27" s="1" t="s">
        <v>1</v>
      </c>
      <c r="D27" s="1">
        <v>23818</v>
      </c>
      <c r="E27" s="1">
        <v>32760</v>
      </c>
      <c r="F27" s="1">
        <v>45863</v>
      </c>
      <c r="G27" s="1">
        <v>59774</v>
      </c>
      <c r="H27" s="1">
        <v>74974</v>
      </c>
      <c r="I27" s="1">
        <v>97014</v>
      </c>
      <c r="J27" s="1">
        <v>125538</v>
      </c>
      <c r="K27" s="1">
        <v>147216</v>
      </c>
      <c r="L27" s="1">
        <v>180349</v>
      </c>
      <c r="M27" s="1">
        <v>217778</v>
      </c>
    </row>
    <row r="28" spans="2:23" s="2" customFormat="1" x14ac:dyDescent="0.25">
      <c r="B28" s="2" t="s">
        <v>2</v>
      </c>
      <c r="D28" s="2">
        <f>+D26+D27</f>
        <v>91154</v>
      </c>
      <c r="E28" s="2">
        <f>+E26+E27</f>
        <v>96571</v>
      </c>
      <c r="F28" s="2">
        <f>+F26+F27</f>
        <v>110360</v>
      </c>
      <c r="G28" s="2">
        <f>+G26+G27</f>
        <v>125843</v>
      </c>
      <c r="H28" s="2">
        <f>+H26+H27</f>
        <v>143015</v>
      </c>
      <c r="I28" s="2">
        <f>+I26+I27</f>
        <v>168088</v>
      </c>
      <c r="J28" s="2">
        <f>+J26+J27</f>
        <v>198270</v>
      </c>
      <c r="K28" s="2">
        <f>+K26+K27</f>
        <v>211915</v>
      </c>
      <c r="L28" s="2">
        <f t="shared" ref="L28:N28" si="15">+L26+L27</f>
        <v>245122</v>
      </c>
      <c r="M28" s="2">
        <f t="shared" si="15"/>
        <v>281724</v>
      </c>
      <c r="N28" s="2">
        <f>+SUM(N10:N20)</f>
        <v>310560.3</v>
      </c>
      <c r="O28" s="2">
        <f t="shared" ref="O28:W28" si="16">+SUM(O10:O20)</f>
        <v>343448.33400000003</v>
      </c>
      <c r="P28" s="2">
        <f t="shared" si="16"/>
        <v>400935.68441400008</v>
      </c>
      <c r="Q28" s="2">
        <f t="shared" si="16"/>
        <v>450181.31596754998</v>
      </c>
      <c r="R28" s="2">
        <f t="shared" si="16"/>
        <v>505071.16778167384</v>
      </c>
      <c r="S28" s="2">
        <f t="shared" si="16"/>
        <v>568251.68379379308</v>
      </c>
      <c r="T28" s="2">
        <f t="shared" si="16"/>
        <v>635569.15132372268</v>
      </c>
      <c r="U28" s="2">
        <f t="shared" si="16"/>
        <v>709068.94167719549</v>
      </c>
      <c r="V28" s="2">
        <f t="shared" si="16"/>
        <v>791909.09973668691</v>
      </c>
      <c r="W28" s="2">
        <f t="shared" si="16"/>
        <v>880952.16129986849</v>
      </c>
    </row>
    <row r="29" spans="2:23" s="1" customFormat="1" x14ac:dyDescent="0.25">
      <c r="B29" s="1" t="s">
        <v>0</v>
      </c>
      <c r="L29" s="1">
        <v>15272</v>
      </c>
      <c r="M29" s="1">
        <v>13501</v>
      </c>
    </row>
    <row r="30" spans="2:23" s="1" customFormat="1" x14ac:dyDescent="0.25">
      <c r="B30" s="1" t="s">
        <v>1</v>
      </c>
      <c r="L30" s="1">
        <v>58842</v>
      </c>
      <c r="M30" s="1">
        <v>74330</v>
      </c>
    </row>
    <row r="31" spans="2:23" s="1" customFormat="1" x14ac:dyDescent="0.25">
      <c r="B31" s="1" t="s">
        <v>3</v>
      </c>
      <c r="L31" s="1">
        <f t="shared" ref="L31:N31" si="17">+L29+L30</f>
        <v>74114</v>
      </c>
      <c r="M31" s="1">
        <f t="shared" si="17"/>
        <v>87831</v>
      </c>
      <c r="N31" s="1">
        <f>+N28*0.3</f>
        <v>93168.09</v>
      </c>
      <c r="O31" s="1">
        <f t="shared" ref="O31:W31" si="18">+O28*0.3</f>
        <v>103034.50020000001</v>
      </c>
      <c r="P31" s="1">
        <f t="shared" si="18"/>
        <v>120280.70532420001</v>
      </c>
      <c r="Q31" s="1">
        <f t="shared" si="18"/>
        <v>135054.39479026498</v>
      </c>
      <c r="R31" s="1">
        <f t="shared" si="18"/>
        <v>151521.35033450215</v>
      </c>
      <c r="S31" s="1">
        <f t="shared" si="18"/>
        <v>170475.50513813793</v>
      </c>
      <c r="T31" s="1">
        <f t="shared" si="18"/>
        <v>190670.74539711679</v>
      </c>
      <c r="U31" s="1">
        <f t="shared" si="18"/>
        <v>212720.68250315863</v>
      </c>
      <c r="V31" s="1">
        <f t="shared" si="18"/>
        <v>237572.72992100607</v>
      </c>
      <c r="W31" s="1">
        <f t="shared" si="18"/>
        <v>264285.64838996052</v>
      </c>
    </row>
    <row r="32" spans="2:23" s="1" customFormat="1" x14ac:dyDescent="0.25">
      <c r="B32" s="1" t="s">
        <v>4</v>
      </c>
      <c r="L32" s="1">
        <f t="shared" ref="L32:N32" si="19">+L28-L31</f>
        <v>171008</v>
      </c>
      <c r="M32" s="1">
        <f t="shared" si="19"/>
        <v>193893</v>
      </c>
      <c r="N32" s="1">
        <f t="shared" si="19"/>
        <v>217392.21</v>
      </c>
      <c r="O32" s="1">
        <f t="shared" ref="O32" si="20">+O28-O31</f>
        <v>240413.83380000002</v>
      </c>
      <c r="P32" s="1">
        <f t="shared" ref="P32" si="21">+P28-P31</f>
        <v>280654.97908980004</v>
      </c>
      <c r="Q32" s="1">
        <f t="shared" ref="Q32" si="22">+Q28-Q31</f>
        <v>315126.92117728502</v>
      </c>
      <c r="R32" s="1">
        <f t="shared" ref="R32" si="23">+R28-R31</f>
        <v>353549.81744717166</v>
      </c>
      <c r="S32" s="1">
        <f t="shared" ref="S32" si="24">+S28-S31</f>
        <v>397776.17865565512</v>
      </c>
      <c r="T32" s="1">
        <f t="shared" ref="T32" si="25">+T28-T31</f>
        <v>444898.40592660592</v>
      </c>
      <c r="U32" s="1">
        <f t="shared" ref="U32" si="26">+U28-U31</f>
        <v>496348.25917403685</v>
      </c>
      <c r="V32" s="1">
        <f t="shared" ref="V32" si="27">+V28-V31</f>
        <v>554336.3698156809</v>
      </c>
      <c r="W32" s="1">
        <f t="shared" ref="W32" si="28">+W28-W31</f>
        <v>616666.51290990796</v>
      </c>
    </row>
    <row r="33" spans="2:26" s="1" customFormat="1" x14ac:dyDescent="0.25">
      <c r="B33" s="1" t="s">
        <v>5</v>
      </c>
      <c r="L33" s="1">
        <v>29510</v>
      </c>
      <c r="M33" s="1">
        <v>32488</v>
      </c>
      <c r="N33" s="1">
        <f>+M33*(1+N48*0.75)</f>
        <v>34982.019983387996</v>
      </c>
      <c r="O33" s="1">
        <f t="shared" ref="O33:W33" si="29">+N33*(1+O48*0.75)</f>
        <v>37760.44142666892</v>
      </c>
      <c r="P33" s="1">
        <f t="shared" si="29"/>
        <v>42500.778283454136</v>
      </c>
      <c r="Q33" s="1">
        <f t="shared" si="29"/>
        <v>46415.952991235172</v>
      </c>
      <c r="R33" s="1">
        <f t="shared" si="29"/>
        <v>50660.517388623259</v>
      </c>
      <c r="S33" s="1">
        <f>+S28*0.1</f>
        <v>56825.168379379313</v>
      </c>
      <c r="T33" s="1">
        <f t="shared" ref="T33:W33" si="30">+T28*0.1</f>
        <v>63556.915132372269</v>
      </c>
      <c r="U33" s="1">
        <f t="shared" si="30"/>
        <v>70906.894167719554</v>
      </c>
      <c r="V33" s="1">
        <f t="shared" si="30"/>
        <v>79190.909973668691</v>
      </c>
      <c r="W33" s="1">
        <f t="shared" si="30"/>
        <v>88095.21612998686</v>
      </c>
    </row>
    <row r="34" spans="2:26" s="1" customFormat="1" x14ac:dyDescent="0.25">
      <c r="B34" s="1" t="s">
        <v>6</v>
      </c>
      <c r="L34" s="1">
        <v>24456</v>
      </c>
      <c r="M34" s="1">
        <v>25654</v>
      </c>
      <c r="N34" s="1">
        <f>+M34*(1+N48*2/3)</f>
        <v>27404.570156607177</v>
      </c>
      <c r="O34" s="1">
        <f t="shared" ref="O34:W34" si="31">+N34*(1+O48*2/3)</f>
        <v>29339.315057068015</v>
      </c>
      <c r="P34" s="1">
        <f t="shared" si="31"/>
        <v>32613.246569946685</v>
      </c>
      <c r="Q34" s="1">
        <f t="shared" si="31"/>
        <v>35283.766201536404</v>
      </c>
      <c r="R34" s="1">
        <f t="shared" si="31"/>
        <v>38151.826439419354</v>
      </c>
      <c r="S34" s="1">
        <f t="shared" si="31"/>
        <v>41333.493017661895</v>
      </c>
      <c r="T34" s="1">
        <f t="shared" si="31"/>
        <v>44597.85181438212</v>
      </c>
      <c r="U34" s="1">
        <f>+U28*0.07</f>
        <v>49634.825917403687</v>
      </c>
      <c r="V34" s="1">
        <f>+V28*0.07</f>
        <v>55433.636981568088</v>
      </c>
      <c r="W34" s="1">
        <f>+W28*0.07</f>
        <v>61666.651290990798</v>
      </c>
    </row>
    <row r="35" spans="2:26" s="1" customFormat="1" x14ac:dyDescent="0.25">
      <c r="B35" s="1" t="s">
        <v>7</v>
      </c>
      <c r="L35" s="1">
        <v>7609</v>
      </c>
      <c r="M35" s="1">
        <v>7223</v>
      </c>
      <c r="N35" s="1">
        <f>+M35*(1+N48/2)</f>
        <v>7592.6607227286277</v>
      </c>
      <c r="O35" s="1">
        <f t="shared" ref="O35:W35" si="32">+N35*(1+O48/2)</f>
        <v>7994.6884191205427</v>
      </c>
      <c r="P35" s="1">
        <f t="shared" si="32"/>
        <v>8663.7751624569228</v>
      </c>
      <c r="Q35" s="1">
        <f>+Q28*0.022</f>
        <v>9903.9889512860991</v>
      </c>
      <c r="R35" s="1">
        <f t="shared" ref="R35:W35" si="33">+R28*0.022</f>
        <v>11111.565691196824</v>
      </c>
      <c r="S35" s="1">
        <f t="shared" si="33"/>
        <v>12501.537043463448</v>
      </c>
      <c r="T35" s="1">
        <f t="shared" si="33"/>
        <v>13982.521329121899</v>
      </c>
      <c r="U35" s="1">
        <f t="shared" si="33"/>
        <v>15599.516716898299</v>
      </c>
      <c r="V35" s="1">
        <f t="shared" si="33"/>
        <v>17422.00019420711</v>
      </c>
      <c r="W35" s="1">
        <f t="shared" si="33"/>
        <v>19380.947548597105</v>
      </c>
    </row>
    <row r="36" spans="2:26" s="2" customFormat="1" x14ac:dyDescent="0.25">
      <c r="B36" s="2" t="s">
        <v>8</v>
      </c>
      <c r="L36" s="2">
        <f t="shared" ref="L36:N36" si="34">+L32-L33-L34-L35</f>
        <v>109433</v>
      </c>
      <c r="M36" s="2">
        <f t="shared" si="34"/>
        <v>128528</v>
      </c>
      <c r="N36" s="2">
        <f t="shared" si="34"/>
        <v>147412.95913727622</v>
      </c>
      <c r="O36" s="2">
        <f t="shared" ref="O36" si="35">+O32-O33-O34-O35</f>
        <v>165319.38889714255</v>
      </c>
      <c r="P36" s="2">
        <f t="shared" ref="P36" si="36">+P32-P33-P34-P35</f>
        <v>196877.17907394227</v>
      </c>
      <c r="Q36" s="2">
        <f t="shared" ref="Q36" si="37">+Q32-Q33-Q34-Q35</f>
        <v>223523.21303322734</v>
      </c>
      <c r="R36" s="2">
        <f t="shared" ref="R36" si="38">+R32-R33-R34-R35</f>
        <v>253625.90792793222</v>
      </c>
      <c r="S36" s="2">
        <f t="shared" ref="S36" si="39">+S32-S33-S34-S35</f>
        <v>287115.98021515046</v>
      </c>
      <c r="T36" s="2">
        <f t="shared" ref="T36" si="40">+T32-T33-T34-T35</f>
        <v>322761.1176507296</v>
      </c>
      <c r="U36" s="2">
        <f t="shared" ref="U36" si="41">+U32-U33-U34-U35</f>
        <v>360207.02237201529</v>
      </c>
      <c r="V36" s="2">
        <f t="shared" ref="V36" si="42">+V32-V33-V34-V35</f>
        <v>402289.82266623701</v>
      </c>
      <c r="W36" s="2">
        <f t="shared" ref="W36" si="43">+W32-W33-W34-W35</f>
        <v>447523.69794033311</v>
      </c>
    </row>
    <row r="37" spans="2:26" s="1" customFormat="1" x14ac:dyDescent="0.25">
      <c r="B37" s="1" t="s">
        <v>9</v>
      </c>
      <c r="L37" s="1">
        <v>-1646</v>
      </c>
      <c r="M37" s="1">
        <v>-4901</v>
      </c>
    </row>
    <row r="38" spans="2:26" s="1" customFormat="1" x14ac:dyDescent="0.25">
      <c r="B38" s="1" t="s">
        <v>10</v>
      </c>
      <c r="L38" s="1">
        <f t="shared" ref="L38:N38" si="44">+L36+L37</f>
        <v>107787</v>
      </c>
      <c r="M38" s="1">
        <f t="shared" si="44"/>
        <v>123627</v>
      </c>
      <c r="N38" s="1">
        <f t="shared" si="44"/>
        <v>147412.95913727622</v>
      </c>
      <c r="O38" s="1">
        <f t="shared" ref="O38" si="45">+O36+O37</f>
        <v>165319.38889714255</v>
      </c>
      <c r="P38" s="1">
        <f t="shared" ref="P38" si="46">+P36+P37</f>
        <v>196877.17907394227</v>
      </c>
      <c r="Q38" s="1">
        <f t="shared" ref="Q38" si="47">+Q36+Q37</f>
        <v>223523.21303322734</v>
      </c>
      <c r="R38" s="1">
        <f t="shared" ref="R38" si="48">+R36+R37</f>
        <v>253625.90792793222</v>
      </c>
      <c r="S38" s="1">
        <f t="shared" ref="S38" si="49">+S36+S37</f>
        <v>287115.98021515046</v>
      </c>
      <c r="T38" s="1">
        <f t="shared" ref="T38" si="50">+T36+T37</f>
        <v>322761.1176507296</v>
      </c>
      <c r="U38" s="1">
        <f t="shared" ref="U38" si="51">+U36+U37</f>
        <v>360207.02237201529</v>
      </c>
      <c r="V38" s="1">
        <f t="shared" ref="V38" si="52">+V36+V37</f>
        <v>402289.82266623701</v>
      </c>
      <c r="W38" s="1">
        <f t="shared" ref="W38" si="53">+W36+W37</f>
        <v>447523.69794033311</v>
      </c>
    </row>
    <row r="39" spans="2:26" s="1" customFormat="1" x14ac:dyDescent="0.25">
      <c r="B39" s="1" t="s">
        <v>11</v>
      </c>
      <c r="L39" s="1">
        <v>19651</v>
      </c>
      <c r="M39" s="1">
        <v>21795</v>
      </c>
      <c r="N39" s="1">
        <f>+N38*0.18</f>
        <v>26534.332644709721</v>
      </c>
      <c r="O39" s="1">
        <f t="shared" ref="O39:W39" si="54">+O38*0.18</f>
        <v>29757.490001485658</v>
      </c>
      <c r="P39" s="1">
        <f t="shared" si="54"/>
        <v>35437.892233309605</v>
      </c>
      <c r="Q39" s="1">
        <f t="shared" si="54"/>
        <v>40234.178345980916</v>
      </c>
      <c r="R39" s="1">
        <f t="shared" si="54"/>
        <v>45652.663427027801</v>
      </c>
      <c r="S39" s="1">
        <f t="shared" si="54"/>
        <v>51680.876438727078</v>
      </c>
      <c r="T39" s="1">
        <f t="shared" si="54"/>
        <v>58097.001177131329</v>
      </c>
      <c r="U39" s="1">
        <f t="shared" si="54"/>
        <v>64837.264026962752</v>
      </c>
      <c r="V39" s="1">
        <f t="shared" si="54"/>
        <v>72412.16807992266</v>
      </c>
      <c r="W39" s="1">
        <f t="shared" si="54"/>
        <v>80554.265629259957</v>
      </c>
    </row>
    <row r="40" spans="2:26" s="1" customFormat="1" x14ac:dyDescent="0.25">
      <c r="B40" s="1" t="s">
        <v>12</v>
      </c>
      <c r="L40" s="1">
        <f t="shared" ref="L40:N40" si="55">+L38-L39</f>
        <v>88136</v>
      </c>
      <c r="M40" s="1">
        <f t="shared" si="55"/>
        <v>101832</v>
      </c>
      <c r="N40" s="1">
        <f t="shared" si="55"/>
        <v>120878.6264925665</v>
      </c>
      <c r="O40" s="1">
        <f t="shared" ref="O40" si="56">+O38-O39</f>
        <v>135561.89889565689</v>
      </c>
      <c r="P40" s="1">
        <f t="shared" ref="P40" si="57">+P38-P39</f>
        <v>161439.28684063267</v>
      </c>
      <c r="Q40" s="1">
        <f t="shared" ref="Q40" si="58">+Q38-Q39</f>
        <v>183289.03468724643</v>
      </c>
      <c r="R40" s="1">
        <f t="shared" ref="R40" si="59">+R38-R39</f>
        <v>207973.2445009044</v>
      </c>
      <c r="S40" s="1">
        <f t="shared" ref="S40" si="60">+S38-S39</f>
        <v>235435.10377642338</v>
      </c>
      <c r="T40" s="1">
        <f t="shared" ref="T40" si="61">+T38-T39</f>
        <v>264664.11647359829</v>
      </c>
      <c r="U40" s="1">
        <f t="shared" ref="U40" si="62">+U38-U39</f>
        <v>295369.75834505254</v>
      </c>
      <c r="V40" s="1">
        <f t="shared" ref="V40" si="63">+V38-V39</f>
        <v>329877.65458631434</v>
      </c>
      <c r="W40" s="1">
        <f t="shared" ref="W40" si="64">+W38-W39</f>
        <v>366969.43231107318</v>
      </c>
    </row>
    <row r="41" spans="2:26" s="3" customFormat="1" x14ac:dyDescent="0.25">
      <c r="B41" s="3" t="s">
        <v>14</v>
      </c>
      <c r="L41" s="3">
        <f>+L40/L42</f>
        <v>11.800240996117285</v>
      </c>
      <c r="M41" s="3">
        <f>+M40/M42</f>
        <v>13.64125920964501</v>
      </c>
      <c r="N41" s="3">
        <f>+N40/N42</f>
        <v>16.192716207979437</v>
      </c>
      <c r="O41" s="3">
        <f t="shared" ref="O41:W41" si="65">+O40/O42</f>
        <v>18.159664955881702</v>
      </c>
      <c r="P41" s="3">
        <f t="shared" si="65"/>
        <v>21.626160326943427</v>
      </c>
      <c r="Q41" s="3">
        <f t="shared" si="65"/>
        <v>24.553119181144865</v>
      </c>
      <c r="R41" s="3">
        <f t="shared" si="65"/>
        <v>27.85977823186931</v>
      </c>
      <c r="S41" s="3">
        <f t="shared" si="65"/>
        <v>31.538526962682301</v>
      </c>
      <c r="T41" s="3">
        <f t="shared" si="65"/>
        <v>35.454000867193344</v>
      </c>
      <c r="U41" s="3">
        <f t="shared" si="65"/>
        <v>39.567281760891163</v>
      </c>
      <c r="V41" s="3">
        <f t="shared" si="65"/>
        <v>44.189906843444653</v>
      </c>
      <c r="W41" s="3">
        <f t="shared" si="65"/>
        <v>49.158664743613286</v>
      </c>
    </row>
    <row r="42" spans="2:26" s="1" customFormat="1" x14ac:dyDescent="0.25">
      <c r="B42" s="1" t="s">
        <v>13</v>
      </c>
      <c r="L42" s="1">
        <v>7469</v>
      </c>
      <c r="M42" s="1">
        <v>7465</v>
      </c>
      <c r="N42" s="1">
        <f>+M42+0</f>
        <v>7465</v>
      </c>
      <c r="O42" s="1">
        <f t="shared" ref="O42:W42" si="66">+N42+0</f>
        <v>7465</v>
      </c>
      <c r="P42" s="1">
        <f t="shared" si="66"/>
        <v>7465</v>
      </c>
      <c r="Q42" s="1">
        <f t="shared" si="66"/>
        <v>7465</v>
      </c>
      <c r="R42" s="1">
        <f t="shared" si="66"/>
        <v>7465</v>
      </c>
      <c r="S42" s="1">
        <f t="shared" si="66"/>
        <v>7465</v>
      </c>
      <c r="T42" s="1">
        <f t="shared" si="66"/>
        <v>7465</v>
      </c>
      <c r="U42" s="1">
        <f t="shared" si="66"/>
        <v>7465</v>
      </c>
      <c r="V42" s="1">
        <f t="shared" si="66"/>
        <v>7465</v>
      </c>
      <c r="W42" s="1">
        <f t="shared" si="66"/>
        <v>7465</v>
      </c>
    </row>
    <row r="43" spans="2:26" s="1" customFormat="1" x14ac:dyDescent="0.25">
      <c r="L43" s="6"/>
      <c r="M43" s="6"/>
    </row>
    <row r="44" spans="2:26" s="5" customFormat="1" x14ac:dyDescent="0.25">
      <c r="B44" s="5" t="s">
        <v>28</v>
      </c>
      <c r="L44" s="5">
        <f>+L32/L28</f>
        <v>0.69764443827971379</v>
      </c>
      <c r="M44" s="5">
        <f>+M32/M28</f>
        <v>0.68823742386165188</v>
      </c>
      <c r="N44" s="5">
        <f>+N32/N28</f>
        <v>0.7</v>
      </c>
      <c r="O44" s="5">
        <f t="shared" ref="O44:W44" si="67">+O32/O28</f>
        <v>0.7</v>
      </c>
      <c r="P44" s="5">
        <f t="shared" si="67"/>
        <v>0.7</v>
      </c>
      <c r="Q44" s="5">
        <f t="shared" si="67"/>
        <v>0.70000000000000007</v>
      </c>
      <c r="R44" s="5">
        <f t="shared" si="67"/>
        <v>0.7</v>
      </c>
      <c r="S44" s="5">
        <f t="shared" si="67"/>
        <v>0.7</v>
      </c>
      <c r="T44" s="5">
        <f t="shared" si="67"/>
        <v>0.70000000000000007</v>
      </c>
      <c r="U44" s="5">
        <f t="shared" si="67"/>
        <v>0.70000000000000007</v>
      </c>
      <c r="V44" s="5">
        <f t="shared" si="67"/>
        <v>0.70000000000000007</v>
      </c>
      <c r="W44" s="5">
        <f t="shared" si="67"/>
        <v>0.70000000000000007</v>
      </c>
      <c r="Y44" s="5" t="s">
        <v>47</v>
      </c>
      <c r="Z44" s="5">
        <v>0.1</v>
      </c>
    </row>
    <row r="45" spans="2:26" s="5" customFormat="1" x14ac:dyDescent="0.25">
      <c r="B45" s="5" t="s">
        <v>29</v>
      </c>
      <c r="L45" s="5">
        <f>+L36/L28</f>
        <v>0.44644299573273716</v>
      </c>
      <c r="M45" s="5">
        <f>+M36/M28</f>
        <v>0.45621956240859851</v>
      </c>
      <c r="N45" s="5">
        <f>+N36/N28</f>
        <v>0.47466775095617897</v>
      </c>
      <c r="O45" s="5">
        <f t="shared" ref="O45:W45" si="68">+O36/O28</f>
        <v>0.4813515528572706</v>
      </c>
      <c r="P45" s="5">
        <f t="shared" si="68"/>
        <v>0.49104429145959955</v>
      </c>
      <c r="Q45" s="5">
        <f t="shared" si="68"/>
        <v>0.49651819190412461</v>
      </c>
      <c r="R45" s="5">
        <f t="shared" si="68"/>
        <v>0.50215875327408632</v>
      </c>
      <c r="S45" s="5">
        <f t="shared" si="68"/>
        <v>0.5052619964067524</v>
      </c>
      <c r="T45" s="5">
        <f t="shared" si="68"/>
        <v>0.50783005590894936</v>
      </c>
      <c r="U45" s="5">
        <f t="shared" si="68"/>
        <v>0.50800000000000001</v>
      </c>
      <c r="V45" s="5">
        <f t="shared" si="68"/>
        <v>0.50800000000000012</v>
      </c>
      <c r="W45" s="5">
        <f t="shared" si="68"/>
        <v>0.5079999999999999</v>
      </c>
      <c r="Y45" s="5" t="s">
        <v>48</v>
      </c>
      <c r="Z45" s="5">
        <v>0.04</v>
      </c>
    </row>
    <row r="46" spans="2:26" s="5" customFormat="1" x14ac:dyDescent="0.25">
      <c r="B46" s="5" t="s">
        <v>30</v>
      </c>
      <c r="E46" s="5">
        <f>+E26/D26 -1</f>
        <v>-5.234941190447906E-2</v>
      </c>
      <c r="F46" s="5">
        <f>+F26/E26 -1</f>
        <v>1.0750497563116079E-2</v>
      </c>
      <c r="G46" s="5">
        <f>+G26/F26 -1</f>
        <v>2.4373226661705161E-2</v>
      </c>
      <c r="H46" s="5">
        <f>+H26/G26 -1</f>
        <v>2.984758358685613E-2</v>
      </c>
      <c r="I46" s="5">
        <f>+I26/H26 -1</f>
        <v>4.457606443173967E-2</v>
      </c>
      <c r="J46" s="5">
        <f>+J26/I26 -1</f>
        <v>2.3327799195205001E-2</v>
      </c>
      <c r="K46" s="5">
        <f>+K26/J26 -1</f>
        <v>-0.11044657097288679</v>
      </c>
      <c r="L46" s="5">
        <f>+L26/K26 -1</f>
        <v>1.1437580178983442E-3</v>
      </c>
      <c r="M46" s="5">
        <f>+M26/L26 -1</f>
        <v>-1.2767665539653916E-2</v>
      </c>
      <c r="Y46" s="5" t="s">
        <v>49</v>
      </c>
      <c r="Z46" s="1">
        <f>NPV(Z44,N55:FP55)</f>
        <v>3528035.7493868447</v>
      </c>
    </row>
    <row r="47" spans="2:26" s="5" customFormat="1" x14ac:dyDescent="0.25">
      <c r="B47" s="5" t="s">
        <v>31</v>
      </c>
      <c r="E47" s="5">
        <f>+E27/D27 -1</f>
        <v>0.37543034679654053</v>
      </c>
      <c r="F47" s="5">
        <f>+F27/E27 -1</f>
        <v>0.39996947496947488</v>
      </c>
      <c r="G47" s="5">
        <f>+G27/F27 -1</f>
        <v>0.30331639884002359</v>
      </c>
      <c r="H47" s="5">
        <f>+H27/G27 -1</f>
        <v>0.25429116338207258</v>
      </c>
      <c r="I47" s="5">
        <f>+I27/H27 -1</f>
        <v>0.29396857577293467</v>
      </c>
      <c r="J47" s="5">
        <f>+J27/I27 -1</f>
        <v>0.29401941987754343</v>
      </c>
      <c r="K47" s="5">
        <f>+K27/J27 -1</f>
        <v>0.17268078191463943</v>
      </c>
      <c r="L47" s="5">
        <f>+L27/K27 -1</f>
        <v>0.2250638517552439</v>
      </c>
      <c r="M47" s="5">
        <f>+M27/L27 -1</f>
        <v>0.20753649867756407</v>
      </c>
      <c r="Y47" s="5" t="s">
        <v>50</v>
      </c>
      <c r="Z47" s="1">
        <f>+M65-M68</f>
        <v>-19139</v>
      </c>
    </row>
    <row r="48" spans="2:26" s="5" customFormat="1" x14ac:dyDescent="0.25">
      <c r="B48" s="5" t="s">
        <v>32</v>
      </c>
      <c r="E48" s="5">
        <f>+E28/D28 -1</f>
        <v>5.9426903920837271E-2</v>
      </c>
      <c r="F48" s="5">
        <f>+F28/E28 -1</f>
        <v>0.14278613662486661</v>
      </c>
      <c r="G48" s="5">
        <f>+G28/F28 -1</f>
        <v>0.14029539688292858</v>
      </c>
      <c r="H48" s="5">
        <f>+H28/G28 -1</f>
        <v>0.13645574247276371</v>
      </c>
      <c r="I48" s="5">
        <f>+I28/H28 -1</f>
        <v>0.17531727441177503</v>
      </c>
      <c r="J48" s="5">
        <f>+J28/I28 -1</f>
        <v>0.17956070629670173</v>
      </c>
      <c r="K48" s="5">
        <f>+K28/J28 -1</f>
        <v>6.8820295556564215E-2</v>
      </c>
      <c r="L48" s="5">
        <f>+L28/K28 -1</f>
        <v>0.1566996201307127</v>
      </c>
      <c r="M48" s="5">
        <f>+M28/L28 -1</f>
        <v>0.14932156232406713</v>
      </c>
      <c r="N48" s="5">
        <f>+N28/M28 -1</f>
        <v>0.10235656174127872</v>
      </c>
      <c r="O48" s="5">
        <f t="shared" ref="O48:W48" si="69">+O28/N28 -1</f>
        <v>0.10589902830464815</v>
      </c>
      <c r="P48" s="5">
        <f t="shared" si="69"/>
        <v>0.16738281925688425</v>
      </c>
      <c r="Q48" s="5">
        <f t="shared" si="69"/>
        <v>0.12282676116875546</v>
      </c>
      <c r="R48" s="5">
        <f t="shared" si="69"/>
        <v>0.12192832058379</v>
      </c>
      <c r="S48" s="5">
        <f t="shared" si="69"/>
        <v>0.12509230390167536</v>
      </c>
      <c r="T48" s="5">
        <f t="shared" si="69"/>
        <v>0.11846417608567572</v>
      </c>
      <c r="U48" s="5">
        <f t="shared" si="69"/>
        <v>0.1156440494325317</v>
      </c>
      <c r="V48" s="5">
        <f t="shared" si="69"/>
        <v>0.11682948327075993</v>
      </c>
      <c r="W48" s="5">
        <f t="shared" si="69"/>
        <v>0.11244101323344902</v>
      </c>
      <c r="Y48" s="5" t="s">
        <v>51</v>
      </c>
      <c r="Z48" s="1">
        <f>+Z46+Z47</f>
        <v>3508896.7493868447</v>
      </c>
    </row>
    <row r="49" spans="2:162" s="1" customFormat="1" x14ac:dyDescent="0.25">
      <c r="Y49" s="1" t="s">
        <v>52</v>
      </c>
      <c r="Z49" s="1">
        <f>+Z48/W42</f>
        <v>470.04645001833148</v>
      </c>
    </row>
    <row r="50" spans="2:162" s="1" customFormat="1" x14ac:dyDescent="0.25">
      <c r="B50" s="1" t="s">
        <v>34</v>
      </c>
      <c r="L50" s="1">
        <v>22287</v>
      </c>
      <c r="M50" s="1">
        <v>34153</v>
      </c>
      <c r="N50" s="1">
        <f>+SUM(K53:M53)/3</f>
        <v>46342.666666666664</v>
      </c>
      <c r="O50" s="1">
        <f t="shared" ref="O50:W50" si="70">+SUM(L53:N53)/3</f>
        <v>71342.666666666672</v>
      </c>
      <c r="P50" s="1">
        <f t="shared" si="70"/>
        <v>98183.666666666672</v>
      </c>
      <c r="Q50" s="1">
        <f t="shared" si="70"/>
        <v>123333.33333333333</v>
      </c>
      <c r="R50" s="1">
        <f t="shared" si="70"/>
        <v>136866.66666666666</v>
      </c>
      <c r="S50" s="1">
        <f t="shared" si="70"/>
        <v>144704</v>
      </c>
      <c r="T50" s="1">
        <f t="shared" si="70"/>
        <v>148531.41333333333</v>
      </c>
      <c r="U50" s="1">
        <f t="shared" si="70"/>
        <v>151502.0416</v>
      </c>
      <c r="V50" s="1">
        <f t="shared" si="70"/>
        <v>154532.082432</v>
      </c>
      <c r="W50" s="1">
        <f t="shared" si="70"/>
        <v>157622.72408064001</v>
      </c>
      <c r="Y50" s="1" t="s">
        <v>58</v>
      </c>
      <c r="Z50" s="1">
        <v>400</v>
      </c>
    </row>
    <row r="51" spans="2:162" s="1" customFormat="1" x14ac:dyDescent="0.25">
      <c r="B51" s="1" t="s">
        <v>35</v>
      </c>
      <c r="L51" s="1">
        <v>10734</v>
      </c>
      <c r="M51" s="1">
        <v>11974</v>
      </c>
      <c r="Z51" s="5">
        <f>+Z49/Z50 -1</f>
        <v>0.17511612504582863</v>
      </c>
    </row>
    <row r="52" spans="2:162" s="1" customFormat="1" x14ac:dyDescent="0.25">
      <c r="B52" s="1" t="s">
        <v>33</v>
      </c>
      <c r="L52" s="1">
        <v>118548</v>
      </c>
      <c r="M52" s="1">
        <v>136162</v>
      </c>
      <c r="N52" s="1">
        <f>+N40+N50</f>
        <v>167221.29315923317</v>
      </c>
      <c r="O52" s="1">
        <f t="shared" ref="O52:W52" si="71">+O40+O50</f>
        <v>206904.56556232355</v>
      </c>
      <c r="P52" s="1">
        <f t="shared" si="71"/>
        <v>259622.95350729936</v>
      </c>
      <c r="Q52" s="1">
        <f t="shared" si="71"/>
        <v>306622.36802057974</v>
      </c>
      <c r="R52" s="1">
        <f t="shared" si="71"/>
        <v>344839.91116757109</v>
      </c>
      <c r="S52" s="1">
        <f t="shared" si="71"/>
        <v>380139.10377642338</v>
      </c>
      <c r="T52" s="1">
        <f t="shared" si="71"/>
        <v>413195.52980693162</v>
      </c>
      <c r="U52" s="1">
        <f t="shared" si="71"/>
        <v>446871.79994505254</v>
      </c>
      <c r="V52" s="1">
        <f t="shared" si="71"/>
        <v>484409.73701831431</v>
      </c>
      <c r="W52" s="1">
        <f t="shared" si="71"/>
        <v>524592.15639171319</v>
      </c>
    </row>
    <row r="53" spans="2:162" s="1" customFormat="1" x14ac:dyDescent="0.25">
      <c r="B53" s="1" t="s">
        <v>36</v>
      </c>
      <c r="K53" s="1">
        <v>30000</v>
      </c>
      <c r="L53" s="1">
        <v>44477</v>
      </c>
      <c r="M53" s="1">
        <v>64551</v>
      </c>
      <c r="N53" s="1">
        <v>105000</v>
      </c>
      <c r="O53" s="1">
        <v>125000</v>
      </c>
      <c r="P53" s="1">
        <v>140000</v>
      </c>
      <c r="Q53" s="1">
        <f>+P53*1.04</f>
        <v>145600</v>
      </c>
      <c r="R53" s="1">
        <f>+Q53*1.02</f>
        <v>148512</v>
      </c>
      <c r="S53" s="1">
        <f t="shared" ref="S53:W53" si="72">+R53*1.02</f>
        <v>151482.23999999999</v>
      </c>
      <c r="T53" s="1">
        <f t="shared" si="72"/>
        <v>154511.8848</v>
      </c>
      <c r="U53" s="1">
        <f t="shared" si="72"/>
        <v>157602.122496</v>
      </c>
      <c r="V53" s="1">
        <f t="shared" si="72"/>
        <v>160754.16494592</v>
      </c>
      <c r="W53" s="1">
        <f t="shared" si="72"/>
        <v>163969.24824483841</v>
      </c>
    </row>
    <row r="54" spans="2:162" s="1" customFormat="1" x14ac:dyDescent="0.25">
      <c r="B54" s="1" t="s">
        <v>38</v>
      </c>
      <c r="L54" s="1">
        <v>69132</v>
      </c>
      <c r="M54" s="1">
        <v>5978</v>
      </c>
    </row>
    <row r="55" spans="2:162" s="2" customFormat="1" x14ac:dyDescent="0.25">
      <c r="B55" s="2" t="s">
        <v>37</v>
      </c>
      <c r="L55" s="2">
        <f>+L52-L53-L54</f>
        <v>4939</v>
      </c>
      <c r="M55" s="2">
        <f>+M52-M53-M54</f>
        <v>65633</v>
      </c>
      <c r="N55" s="2">
        <f>+N52-N53</f>
        <v>62221.293159233173</v>
      </c>
      <c r="O55" s="2">
        <f t="shared" ref="O55:W55" si="73">+O52-O53</f>
        <v>81904.565562323551</v>
      </c>
      <c r="P55" s="2">
        <f t="shared" si="73"/>
        <v>119622.95350729936</v>
      </c>
      <c r="Q55" s="2">
        <f t="shared" si="73"/>
        <v>161022.36802057974</v>
      </c>
      <c r="R55" s="2">
        <f t="shared" si="73"/>
        <v>196327.91116757109</v>
      </c>
      <c r="S55" s="2">
        <f t="shared" si="73"/>
        <v>228656.86377642339</v>
      </c>
      <c r="T55" s="2">
        <f t="shared" si="73"/>
        <v>258683.64500693162</v>
      </c>
      <c r="U55" s="2">
        <f t="shared" si="73"/>
        <v>289269.67744905257</v>
      </c>
      <c r="V55" s="2">
        <f t="shared" si="73"/>
        <v>323655.57207239431</v>
      </c>
      <c r="W55" s="2">
        <f t="shared" si="73"/>
        <v>360622.90814687475</v>
      </c>
      <c r="X55" s="2">
        <f>+W55*(1+$Z45)</f>
        <v>375047.82447274972</v>
      </c>
      <c r="Y55" s="2">
        <f t="shared" ref="Y55:CJ55" si="74">+X55*(1+$Z45)</f>
        <v>390049.73745165975</v>
      </c>
      <c r="Z55" s="2">
        <f t="shared" si="74"/>
        <v>405651.72694972617</v>
      </c>
      <c r="AA55" s="2">
        <f t="shared" si="74"/>
        <v>421877.79602771526</v>
      </c>
      <c r="AB55" s="2">
        <f t="shared" si="74"/>
        <v>438752.90786882391</v>
      </c>
      <c r="AC55" s="2">
        <f t="shared" si="74"/>
        <v>456303.02418357687</v>
      </c>
      <c r="AD55" s="2">
        <f t="shared" si="74"/>
        <v>474555.14515091997</v>
      </c>
      <c r="AE55" s="2">
        <f t="shared" si="74"/>
        <v>493537.3509569568</v>
      </c>
      <c r="AF55" s="2">
        <f t="shared" si="74"/>
        <v>513278.84499523509</v>
      </c>
      <c r="AG55" s="2">
        <f t="shared" si="74"/>
        <v>533809.99879504449</v>
      </c>
      <c r="AH55" s="2">
        <f t="shared" si="74"/>
        <v>555162.39874684624</v>
      </c>
      <c r="AI55" s="2">
        <f t="shared" si="74"/>
        <v>577368.89469672006</v>
      </c>
      <c r="AJ55" s="2">
        <f t="shared" si="74"/>
        <v>600463.65048458893</v>
      </c>
      <c r="AK55" s="2">
        <f t="shared" si="74"/>
        <v>624482.19650397252</v>
      </c>
      <c r="AL55" s="2">
        <f t="shared" si="74"/>
        <v>649461.48436413147</v>
      </c>
      <c r="AM55" s="2">
        <f t="shared" si="74"/>
        <v>675439.94373869675</v>
      </c>
      <c r="AN55" s="2">
        <f t="shared" si="74"/>
        <v>702457.54148824466</v>
      </c>
      <c r="AO55" s="2">
        <f t="shared" si="74"/>
        <v>730555.84314777446</v>
      </c>
      <c r="AP55" s="2">
        <f t="shared" si="74"/>
        <v>759778.07687368547</v>
      </c>
      <c r="AQ55" s="2">
        <f t="shared" si="74"/>
        <v>790169.19994863286</v>
      </c>
      <c r="AR55" s="2">
        <f t="shared" si="74"/>
        <v>821775.96794657817</v>
      </c>
      <c r="AS55" s="2">
        <f t="shared" si="74"/>
        <v>854647.00666444132</v>
      </c>
      <c r="AT55" s="2">
        <f t="shared" si="74"/>
        <v>888832.88693101902</v>
      </c>
      <c r="AU55" s="2">
        <f t="shared" si="74"/>
        <v>924386.20240825985</v>
      </c>
      <c r="AV55" s="2">
        <f t="shared" si="74"/>
        <v>961361.65050459024</v>
      </c>
      <c r="AW55" s="2">
        <f t="shared" si="74"/>
        <v>999816.11652477388</v>
      </c>
      <c r="AX55" s="2">
        <f t="shared" si="74"/>
        <v>1039808.7611857649</v>
      </c>
      <c r="AY55" s="2">
        <f t="shared" si="74"/>
        <v>1081401.1116331955</v>
      </c>
      <c r="AZ55" s="2">
        <f t="shared" si="74"/>
        <v>1124657.1560985234</v>
      </c>
      <c r="BA55" s="2">
        <f t="shared" si="74"/>
        <v>1169643.4423424643</v>
      </c>
      <c r="BB55" s="2">
        <f t="shared" si="74"/>
        <v>1216429.180036163</v>
      </c>
      <c r="BC55" s="2">
        <f t="shared" si="74"/>
        <v>1265086.3472376096</v>
      </c>
      <c r="BD55" s="2">
        <f t="shared" si="74"/>
        <v>1315689.8011271141</v>
      </c>
      <c r="BE55" s="2">
        <f t="shared" si="74"/>
        <v>1368317.3931721987</v>
      </c>
      <c r="BF55" s="2">
        <f t="shared" si="74"/>
        <v>1423050.0888990867</v>
      </c>
      <c r="BG55" s="2">
        <f t="shared" si="74"/>
        <v>1479972.0924550502</v>
      </c>
      <c r="BH55" s="2">
        <f t="shared" si="74"/>
        <v>1539170.9761532522</v>
      </c>
      <c r="BI55" s="2">
        <f t="shared" si="74"/>
        <v>1600737.8151993824</v>
      </c>
      <c r="BJ55" s="2">
        <f t="shared" si="74"/>
        <v>1664767.3278073578</v>
      </c>
      <c r="BK55" s="2">
        <f t="shared" si="74"/>
        <v>1731358.0209196522</v>
      </c>
      <c r="BL55" s="2">
        <f t="shared" si="74"/>
        <v>1800612.3417564384</v>
      </c>
      <c r="BM55" s="2">
        <f t="shared" si="74"/>
        <v>1872636.8354266959</v>
      </c>
      <c r="BN55" s="2">
        <f t="shared" si="74"/>
        <v>1947542.3088437638</v>
      </c>
      <c r="BO55" s="2">
        <f t="shared" si="74"/>
        <v>2025444.0011975144</v>
      </c>
      <c r="BP55" s="2">
        <f t="shared" si="74"/>
        <v>2106461.7612454151</v>
      </c>
      <c r="BQ55" s="2">
        <f t="shared" si="74"/>
        <v>2190720.231695232</v>
      </c>
      <c r="BR55" s="2">
        <f t="shared" si="74"/>
        <v>2278349.0409630411</v>
      </c>
      <c r="BS55" s="2">
        <f t="shared" si="74"/>
        <v>2369483.002601563</v>
      </c>
      <c r="BT55" s="2">
        <f t="shared" si="74"/>
        <v>2464262.3227056256</v>
      </c>
      <c r="BU55" s="2">
        <f t="shared" si="74"/>
        <v>2562832.8156138505</v>
      </c>
      <c r="BV55" s="2">
        <f t="shared" si="74"/>
        <v>2665346.1282384046</v>
      </c>
      <c r="BW55" s="2">
        <f t="shared" si="74"/>
        <v>2771959.9733679411</v>
      </c>
      <c r="BX55" s="2">
        <f t="shared" si="74"/>
        <v>2882838.3723026589</v>
      </c>
      <c r="BY55" s="2">
        <f t="shared" si="74"/>
        <v>2998151.9071947653</v>
      </c>
      <c r="BZ55" s="2">
        <f t="shared" si="74"/>
        <v>3118077.983482556</v>
      </c>
      <c r="CA55" s="2">
        <f t="shared" si="74"/>
        <v>3242801.1028218581</v>
      </c>
      <c r="CB55" s="2">
        <f t="shared" si="74"/>
        <v>3372513.1469347328</v>
      </c>
      <c r="CC55" s="2">
        <f t="shared" si="74"/>
        <v>3507413.6728121224</v>
      </c>
      <c r="CD55" s="2">
        <f t="shared" si="74"/>
        <v>3647710.2197246072</v>
      </c>
      <c r="CE55" s="2">
        <f t="shared" si="74"/>
        <v>3793618.6285135918</v>
      </c>
      <c r="CF55" s="2">
        <f t="shared" si="74"/>
        <v>3945363.3736541355</v>
      </c>
      <c r="CG55" s="2">
        <f t="shared" si="74"/>
        <v>4103177.908600301</v>
      </c>
      <c r="CH55" s="2">
        <f t="shared" si="74"/>
        <v>4267305.0249443129</v>
      </c>
      <c r="CI55" s="2">
        <f t="shared" si="74"/>
        <v>4437997.2259420855</v>
      </c>
      <c r="CJ55" s="2">
        <f t="shared" si="74"/>
        <v>4615517.1149797691</v>
      </c>
      <c r="CK55" s="2">
        <f t="shared" ref="CK55:EV55" si="75">+CJ55*(1+$Z45)</f>
        <v>4800137.7995789601</v>
      </c>
      <c r="CL55" s="2">
        <f t="shared" si="75"/>
        <v>4992143.3115621191</v>
      </c>
      <c r="CM55" s="2">
        <f t="shared" si="75"/>
        <v>5191829.0440246044</v>
      </c>
      <c r="CN55" s="2">
        <f t="shared" si="75"/>
        <v>5399502.2057855884</v>
      </c>
      <c r="CO55" s="2">
        <f t="shared" si="75"/>
        <v>5615482.2940170122</v>
      </c>
      <c r="CP55" s="2">
        <f t="shared" si="75"/>
        <v>5840101.5857776925</v>
      </c>
      <c r="CQ55" s="2">
        <f t="shared" si="75"/>
        <v>6073705.6492088009</v>
      </c>
      <c r="CR55" s="2">
        <f t="shared" si="75"/>
        <v>6316653.8751771534</v>
      </c>
      <c r="CS55" s="2">
        <f t="shared" si="75"/>
        <v>6569320.0301842401</v>
      </c>
      <c r="CT55" s="2">
        <f t="shared" si="75"/>
        <v>6832092.8313916102</v>
      </c>
      <c r="CU55" s="2">
        <f t="shared" si="75"/>
        <v>7105376.5446472745</v>
      </c>
      <c r="CV55" s="2">
        <f t="shared" si="75"/>
        <v>7389591.6064331662</v>
      </c>
      <c r="CW55" s="2">
        <f t="shared" si="75"/>
        <v>7685175.2706904933</v>
      </c>
      <c r="CX55" s="2">
        <f t="shared" si="75"/>
        <v>7992582.2815181129</v>
      </c>
      <c r="CY55" s="2">
        <f t="shared" si="75"/>
        <v>8312285.5727788378</v>
      </c>
      <c r="CZ55" s="2">
        <f t="shared" si="75"/>
        <v>8644776.9956899919</v>
      </c>
      <c r="DA55" s="2">
        <f t="shared" si="75"/>
        <v>8990568.0755175911</v>
      </c>
      <c r="DB55" s="2">
        <f t="shared" si="75"/>
        <v>9350190.7985382956</v>
      </c>
      <c r="DC55" s="2">
        <f t="shared" si="75"/>
        <v>9724198.4304798283</v>
      </c>
      <c r="DD55" s="2">
        <f t="shared" si="75"/>
        <v>10113166.367699021</v>
      </c>
      <c r="DE55" s="2">
        <f t="shared" si="75"/>
        <v>10517693.022406982</v>
      </c>
      <c r="DF55" s="2">
        <f t="shared" si="75"/>
        <v>10938400.743303262</v>
      </c>
      <c r="DG55" s="2">
        <f t="shared" si="75"/>
        <v>11375936.773035392</v>
      </c>
      <c r="DH55" s="2">
        <f t="shared" si="75"/>
        <v>11830974.243956808</v>
      </c>
      <c r="DI55" s="2">
        <f t="shared" si="75"/>
        <v>12304213.21371508</v>
      </c>
      <c r="DJ55" s="2">
        <f t="shared" si="75"/>
        <v>12796381.742263684</v>
      </c>
      <c r="DK55" s="2">
        <f t="shared" si="75"/>
        <v>13308237.011954231</v>
      </c>
      <c r="DL55" s="2">
        <f t="shared" si="75"/>
        <v>13840566.492432401</v>
      </c>
      <c r="DM55" s="2">
        <f t="shared" si="75"/>
        <v>14394189.152129697</v>
      </c>
      <c r="DN55" s="2">
        <f t="shared" si="75"/>
        <v>14969956.718214884</v>
      </c>
      <c r="DO55" s="2">
        <f t="shared" si="75"/>
        <v>15568754.98694348</v>
      </c>
      <c r="DP55" s="2">
        <f t="shared" si="75"/>
        <v>16191505.186421219</v>
      </c>
      <c r="DQ55" s="2">
        <f t="shared" si="75"/>
        <v>16839165.393878069</v>
      </c>
      <c r="DR55" s="2">
        <f t="shared" si="75"/>
        <v>17512732.009633191</v>
      </c>
      <c r="DS55" s="2">
        <f t="shared" si="75"/>
        <v>18213241.290018518</v>
      </c>
      <c r="DT55" s="2">
        <f t="shared" si="75"/>
        <v>18941770.941619258</v>
      </c>
      <c r="DU55" s="2">
        <f t="shared" si="75"/>
        <v>19699441.77928403</v>
      </c>
      <c r="DV55" s="2">
        <f t="shared" si="75"/>
        <v>20487419.450455394</v>
      </c>
      <c r="DW55" s="2">
        <f t="shared" si="75"/>
        <v>21306916.228473611</v>
      </c>
      <c r="DX55" s="2">
        <f t="shared" si="75"/>
        <v>22159192.877612557</v>
      </c>
      <c r="DY55" s="2">
        <f t="shared" si="75"/>
        <v>23045560.592717059</v>
      </c>
      <c r="DZ55" s="2">
        <f t="shared" si="75"/>
        <v>23967383.016425744</v>
      </c>
      <c r="EA55" s="2">
        <f t="shared" si="75"/>
        <v>24926078.337082773</v>
      </c>
      <c r="EB55" s="2">
        <f t="shared" si="75"/>
        <v>25923121.470566086</v>
      </c>
      <c r="EC55" s="2">
        <f t="shared" si="75"/>
        <v>26960046.32938873</v>
      </c>
      <c r="ED55" s="2">
        <f t="shared" si="75"/>
        <v>28038448.182564281</v>
      </c>
      <c r="EE55" s="2">
        <f t="shared" si="75"/>
        <v>29159986.109866854</v>
      </c>
      <c r="EF55" s="2">
        <f t="shared" si="75"/>
        <v>30326385.554261528</v>
      </c>
      <c r="EG55" s="2">
        <f t="shared" si="75"/>
        <v>31539440.976431992</v>
      </c>
      <c r="EH55" s="2">
        <f t="shared" si="75"/>
        <v>32801018.615489274</v>
      </c>
      <c r="EI55" s="2">
        <f t="shared" si="75"/>
        <v>34113059.360108845</v>
      </c>
      <c r="EJ55" s="2">
        <f t="shared" si="75"/>
        <v>35477581.734513201</v>
      </c>
      <c r="EK55" s="2">
        <f t="shared" si="75"/>
        <v>36896685.003893733</v>
      </c>
      <c r="EL55" s="2">
        <f t="shared" si="75"/>
        <v>38372552.404049486</v>
      </c>
      <c r="EM55" s="2">
        <f t="shared" si="75"/>
        <v>39907454.50021147</v>
      </c>
      <c r="EN55" s="2">
        <f t="shared" si="75"/>
        <v>41503752.680219933</v>
      </c>
      <c r="EO55" s="2">
        <f t="shared" si="75"/>
        <v>43163902.787428729</v>
      </c>
      <c r="EP55" s="2">
        <f t="shared" si="75"/>
        <v>44890458.898925878</v>
      </c>
      <c r="EQ55" s="2">
        <f t="shared" si="75"/>
        <v>46686077.254882917</v>
      </c>
      <c r="ER55" s="2">
        <f t="shared" si="75"/>
        <v>48553520.345078237</v>
      </c>
      <c r="ES55" s="2">
        <f t="shared" si="75"/>
        <v>50495661.158881366</v>
      </c>
      <c r="ET55" s="2">
        <f t="shared" si="75"/>
        <v>52515487.60523662</v>
      </c>
      <c r="EU55" s="2">
        <f t="shared" si="75"/>
        <v>54616107.109446086</v>
      </c>
      <c r="EV55" s="2">
        <f t="shared" si="75"/>
        <v>56800751.393823929</v>
      </c>
      <c r="EW55" s="2">
        <f t="shared" ref="EW55:FF55" si="76">+EV55*(1+$Z45)</f>
        <v>59072781.449576892</v>
      </c>
      <c r="EX55" s="2">
        <f t="shared" si="76"/>
        <v>61435692.707559973</v>
      </c>
      <c r="EY55" s="2">
        <f t="shared" si="76"/>
        <v>63893120.415862374</v>
      </c>
      <c r="EZ55" s="2">
        <f t="shared" si="76"/>
        <v>66448845.232496873</v>
      </c>
      <c r="FA55" s="2">
        <f t="shared" si="76"/>
        <v>69106799.041796744</v>
      </c>
      <c r="FB55" s="2">
        <f t="shared" si="76"/>
        <v>71871071.003468618</v>
      </c>
      <c r="FC55" s="2">
        <f t="shared" si="76"/>
        <v>74745913.843607366</v>
      </c>
      <c r="FD55" s="2">
        <f t="shared" si="76"/>
        <v>77735750.397351667</v>
      </c>
      <c r="FE55" s="2">
        <f t="shared" si="76"/>
        <v>80845180.413245738</v>
      </c>
      <c r="FF55" s="2">
        <f t="shared" si="76"/>
        <v>84078987.629775569</v>
      </c>
    </row>
    <row r="56" spans="2:162" s="1" customFormat="1" x14ac:dyDescent="0.25"/>
    <row r="57" spans="2:162" s="1" customFormat="1" x14ac:dyDescent="0.25">
      <c r="B57" s="1" t="s">
        <v>39</v>
      </c>
      <c r="L57" s="1">
        <v>17254</v>
      </c>
      <c r="M57" s="1">
        <v>18420</v>
      </c>
    </row>
    <row r="58" spans="2:162" s="1" customFormat="1" x14ac:dyDescent="0.25">
      <c r="B58" s="1" t="s">
        <v>40</v>
      </c>
      <c r="L58" s="1">
        <v>21771</v>
      </c>
      <c r="M58" s="1">
        <v>24082</v>
      </c>
    </row>
    <row r="59" spans="2:162" s="1" customFormat="1" x14ac:dyDescent="0.25">
      <c r="B59" s="1" t="s">
        <v>41</v>
      </c>
      <c r="L59" s="1">
        <f>+L57+L58</f>
        <v>39025</v>
      </c>
      <c r="M59" s="1">
        <f>+M57+M58</f>
        <v>42502</v>
      </c>
    </row>
    <row r="60" spans="2:162" s="1" customFormat="1" x14ac:dyDescent="0.25"/>
    <row r="61" spans="2:162" s="7" customFormat="1" x14ac:dyDescent="0.25">
      <c r="B61" s="7" t="s">
        <v>5</v>
      </c>
      <c r="L61" s="7">
        <f>+L33/L$28</f>
        <v>0.12038903076835208</v>
      </c>
      <c r="M61" s="7">
        <f>+M33/M$28</f>
        <v>0.11531853871164686</v>
      </c>
      <c r="N61" s="7">
        <f t="shared" ref="N61:W61" si="77">+N33/N$28</f>
        <v>0.11264163508145761</v>
      </c>
      <c r="O61" s="7">
        <f t="shared" si="77"/>
        <v>0.10994504176767653</v>
      </c>
      <c r="P61" s="7">
        <f t="shared" si="77"/>
        <v>0.10600398002879803</v>
      </c>
      <c r="Q61" s="7">
        <f t="shared" si="77"/>
        <v>0.10310501867780966</v>
      </c>
      <c r="R61" s="7">
        <f t="shared" si="77"/>
        <v>0.10030372078281488</v>
      </c>
      <c r="S61" s="7">
        <f t="shared" si="77"/>
        <v>0.1</v>
      </c>
      <c r="T61" s="7">
        <f t="shared" si="77"/>
        <v>0.1</v>
      </c>
      <c r="U61" s="7">
        <f t="shared" si="77"/>
        <v>0.1</v>
      </c>
      <c r="V61" s="7">
        <f t="shared" si="77"/>
        <v>0.1</v>
      </c>
      <c r="W61" s="7">
        <f t="shared" si="77"/>
        <v>0.10000000000000002</v>
      </c>
    </row>
    <row r="62" spans="2:162" s="7" customFormat="1" x14ac:dyDescent="0.25">
      <c r="B62" s="7" t="s">
        <v>6</v>
      </c>
      <c r="L62" s="7">
        <f t="shared" ref="L62:W63" si="78">+L34/L$28</f>
        <v>9.9770726413785787E-2</v>
      </c>
      <c r="M62" s="7">
        <f t="shared" si="78"/>
        <v>9.1060754497309424E-2</v>
      </c>
      <c r="N62" s="7">
        <f t="shared" si="78"/>
        <v>8.8242348286652145E-2</v>
      </c>
      <c r="O62" s="7">
        <f t="shared" si="78"/>
        <v>8.54257020710079E-2</v>
      </c>
      <c r="P62" s="7">
        <f t="shared" si="78"/>
        <v>8.1342838359757336E-2</v>
      </c>
      <c r="Q62" s="7">
        <f t="shared" si="78"/>
        <v>7.8376789418065793E-2</v>
      </c>
      <c r="R62" s="7">
        <f t="shared" si="78"/>
        <v>7.5537525943098718E-2</v>
      </c>
      <c r="S62" s="7">
        <f t="shared" si="78"/>
        <v>7.2738003593247558E-2</v>
      </c>
      <c r="T62" s="7">
        <f t="shared" si="78"/>
        <v>7.0169944091050637E-2</v>
      </c>
      <c r="U62" s="7">
        <f t="shared" si="78"/>
        <v>7.0000000000000007E-2</v>
      </c>
      <c r="V62" s="7">
        <f t="shared" si="78"/>
        <v>7.0000000000000007E-2</v>
      </c>
      <c r="W62" s="7">
        <f t="shared" si="78"/>
        <v>7.0000000000000007E-2</v>
      </c>
    </row>
    <row r="63" spans="2:162" s="7" customFormat="1" x14ac:dyDescent="0.25">
      <c r="B63" s="7" t="s">
        <v>7</v>
      </c>
      <c r="L63" s="7">
        <f t="shared" si="78"/>
        <v>3.1041685364838735E-2</v>
      </c>
      <c r="M63" s="7">
        <f t="shared" si="78"/>
        <v>2.5638568244097059E-2</v>
      </c>
      <c r="N63" s="7">
        <f t="shared" si="78"/>
        <v>2.4448265675711376E-2</v>
      </c>
      <c r="O63" s="7">
        <f t="shared" si="78"/>
        <v>2.3277703304044974E-2</v>
      </c>
      <c r="P63" s="7">
        <f t="shared" si="78"/>
        <v>2.1608890151845004E-2</v>
      </c>
      <c r="Q63" s="7">
        <f t="shared" si="78"/>
        <v>2.1999999999999999E-2</v>
      </c>
      <c r="R63" s="7">
        <f t="shared" si="78"/>
        <v>2.1999999999999999E-2</v>
      </c>
      <c r="S63" s="7">
        <f t="shared" si="78"/>
        <v>2.1999999999999999E-2</v>
      </c>
      <c r="T63" s="7">
        <f t="shared" si="78"/>
        <v>2.1999999999999999E-2</v>
      </c>
      <c r="U63" s="7">
        <f t="shared" si="78"/>
        <v>2.1999999999999999E-2</v>
      </c>
      <c r="V63" s="7">
        <f t="shared" si="78"/>
        <v>2.1999999999999999E-2</v>
      </c>
      <c r="W63" s="7">
        <f t="shared" si="78"/>
        <v>2.1999999999999999E-2</v>
      </c>
    </row>
    <row r="64" spans="2:162" s="1" customFormat="1" x14ac:dyDescent="0.25"/>
    <row r="65" spans="2:13" s="1" customFormat="1" x14ac:dyDescent="0.25">
      <c r="B65" s="1" t="s">
        <v>53</v>
      </c>
      <c r="L65" s="1">
        <v>18315</v>
      </c>
      <c r="M65" s="1">
        <v>30242</v>
      </c>
    </row>
    <row r="66" spans="2:13" s="1" customFormat="1" x14ac:dyDescent="0.25">
      <c r="B66" s="1" t="s">
        <v>54</v>
      </c>
      <c r="L66" s="1">
        <v>57228</v>
      </c>
      <c r="M66" s="1">
        <v>64323</v>
      </c>
    </row>
    <row r="67" spans="2:13" s="1" customFormat="1" x14ac:dyDescent="0.25">
      <c r="B67" s="1" t="s">
        <v>55</v>
      </c>
      <c r="L67" s="1">
        <v>135591</v>
      </c>
      <c r="M67" s="1">
        <v>204966</v>
      </c>
    </row>
    <row r="68" spans="2:13" s="1" customFormat="1" x14ac:dyDescent="0.25">
      <c r="B68" s="1" t="s">
        <v>56</v>
      </c>
      <c r="L68" s="1">
        <f>0+40152</f>
        <v>40152</v>
      </c>
      <c r="M68" s="1">
        <f>6693+42688</f>
        <v>49381</v>
      </c>
    </row>
    <row r="69" spans="2:13" s="1" customFormat="1" x14ac:dyDescent="0.25">
      <c r="B69" s="1" t="s">
        <v>57</v>
      </c>
      <c r="L69" s="1">
        <f>+SUM(L65:L67)-L68</f>
        <v>170982</v>
      </c>
      <c r="M69" s="1">
        <f>+SUM(M65:M67)-M68</f>
        <v>250150</v>
      </c>
    </row>
    <row r="70" spans="2:13" s="1" customFormat="1" x14ac:dyDescent="0.25"/>
    <row r="71" spans="2:13" s="1" customFormat="1" x14ac:dyDescent="0.25"/>
    <row r="72" spans="2:13" s="1" customFormat="1" x14ac:dyDescent="0.25"/>
    <row r="73" spans="2:13" s="1" customFormat="1" x14ac:dyDescent="0.25"/>
    <row r="74" spans="2:13" s="1" customFormat="1" x14ac:dyDescent="0.25"/>
    <row r="75" spans="2:13" s="1" customFormat="1" x14ac:dyDescent="0.25"/>
    <row r="76" spans="2:13" s="1" customFormat="1" x14ac:dyDescent="0.25"/>
    <row r="77" spans="2:13" s="1" customFormat="1" x14ac:dyDescent="0.25"/>
    <row r="78" spans="2:13" s="1" customFormat="1" x14ac:dyDescent="0.25"/>
    <row r="79" spans="2:13" s="1" customFormat="1" x14ac:dyDescent="0.25"/>
    <row r="80" spans="2:13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Kutzer Maximilian Claudius</dc:creator>
  <cp:lastModifiedBy>Kutzer Maximilian Claudius</cp:lastModifiedBy>
  <dcterms:created xsi:type="dcterms:W3CDTF">2026-02-13T20:33:25Z</dcterms:created>
  <dcterms:modified xsi:type="dcterms:W3CDTF">2026-02-13T21:41:45Z</dcterms:modified>
</cp:coreProperties>
</file>