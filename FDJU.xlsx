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613777C-9425-4E25-B8C6-13EB0DE8AAAF}" xr6:coauthVersionLast="47" xr6:coauthVersionMax="47" xr10:uidLastSave="{00000000-0000-0000-0000-000000000000}"/>
  <bookViews>
    <workbookView xWindow="14400" yWindow="0" windowWidth="14400" windowHeight="15600" xr2:uid="{AD61143B-4670-431E-8D58-2B8EA3210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D36" i="1"/>
  <c r="E32" i="1"/>
  <c r="D32" i="1"/>
  <c r="E31" i="1"/>
  <c r="D31" i="1"/>
  <c r="E29" i="1"/>
  <c r="D29" i="1"/>
  <c r="E19" i="1"/>
  <c r="D25" i="1"/>
  <c r="D19" i="1"/>
  <c r="E9" i="1"/>
  <c r="E11" i="1" s="1"/>
  <c r="E18" i="1" s="1"/>
  <c r="F9" i="1"/>
  <c r="F11" i="1" s="1"/>
  <c r="F18" i="1" s="1"/>
  <c r="F20" i="1" s="1"/>
  <c r="F25" i="1" s="1"/>
  <c r="F27" i="1" s="1"/>
  <c r="G9" i="1"/>
  <c r="G11" i="1"/>
  <c r="G18" i="1" s="1"/>
  <c r="G20" i="1" s="1"/>
  <c r="G25" i="1" s="1"/>
  <c r="G27" i="1" s="1"/>
  <c r="D9" i="1"/>
  <c r="D11" i="1" s="1"/>
  <c r="D18" i="1" s="1"/>
  <c r="G2" i="1"/>
  <c r="F2" i="1"/>
  <c r="E2" i="1"/>
  <c r="E20" i="1" l="1"/>
  <c r="E25" i="1" s="1"/>
  <c r="E27" i="1" s="1"/>
  <c r="D20" i="1"/>
  <c r="D27" i="1" s="1"/>
</calcChain>
</file>

<file path=xl/sharedStrings.xml><?xml version="1.0" encoding="utf-8"?>
<sst xmlns="http://schemas.openxmlformats.org/spreadsheetml/2006/main" count="29" uniqueCount="29">
  <si>
    <t>Public levies</t>
  </si>
  <si>
    <t>Total Revenue</t>
  </si>
  <si>
    <t>Gaming Revenue</t>
  </si>
  <si>
    <t>net Gaming Revenue</t>
  </si>
  <si>
    <t>Revenue from other</t>
  </si>
  <si>
    <t>Other Gaming Revenue</t>
  </si>
  <si>
    <t>Cost of Sales</t>
  </si>
  <si>
    <t>Marketing</t>
  </si>
  <si>
    <t>IT</t>
  </si>
  <si>
    <t>Personnel</t>
  </si>
  <si>
    <t>G&amp;A</t>
  </si>
  <si>
    <t>D&amp;A</t>
  </si>
  <si>
    <t>Other income, net</t>
  </si>
  <si>
    <t>Operating Profit A</t>
  </si>
  <si>
    <t>Operating Profit B</t>
  </si>
  <si>
    <t>Cost of debt</t>
  </si>
  <si>
    <t>Fianance income</t>
  </si>
  <si>
    <t>Finance expense</t>
  </si>
  <si>
    <t>Joint Venture</t>
  </si>
  <si>
    <t>Pretax</t>
  </si>
  <si>
    <t>Taxes</t>
  </si>
  <si>
    <t>Net Income</t>
  </si>
  <si>
    <t>EPS</t>
  </si>
  <si>
    <t>Shares</t>
  </si>
  <si>
    <t>Operating Margin</t>
  </si>
  <si>
    <t>Net Margin</t>
  </si>
  <si>
    <t>CFFO</t>
  </si>
  <si>
    <t>CapEx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</si>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</sst>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4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</xdr:colOff>
      <xdr:row>4</xdr:row>
      <xdr:rowOff>178594</xdr:rowOff>
    </xdr:from>
    <xdr:to>
      <xdr:col>5</xdr:col>
      <xdr:colOff>5953</xdr:colOff>
      <xdr:row>35</xdr:row>
      <xdr:rowOff>154781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EF6040-B318-BE2F-F99E-036A316600B3}"/>
            </a:ext>
          </a:extLst>
        </xdr:cNvPr>
        <xdr:cNvCxnSpPr/>
      </xdr:nvCxnSpPr>
      <xdr:spPr>
        <a:xfrm>
          <a:off x="3494484" y="940594"/>
          <a:ext cx="0" cy="58816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2717-0704-4200-BF1D-D29455FDB146}">
  <dimension ref="B2:G112"/>
  <sheetViews>
    <sheetView tabSelected="1" zoomScale="160" zoomScaleNormal="16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E36" sqref="E36"/>
    </sheetView>
  </sheetViews>
  <sheetFormatPr defaultRowHeight="15" x14ac:dyDescent="0.25"/>
  <cols>
    <col min="1" max="1" width="3" customWidth="1"/>
    <col min="2" max="2" width="22" bestFit="1" customWidth="1"/>
  </cols>
  <sheetData>
    <row r="2" spans="2:7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</row>
    <row r="3" spans="2:7" s="1" customFormat="1" x14ac:dyDescent="0.25"/>
    <row r="4" spans="2:7" s="1" customFormat="1" x14ac:dyDescent="0.25"/>
    <row r="5" spans="2:7" s="1" customFormat="1" x14ac:dyDescent="0.25"/>
    <row r="6" spans="2:7" s="1" customFormat="1" x14ac:dyDescent="0.25">
      <c r="B6" s="1" t="s">
        <v>2</v>
      </c>
      <c r="D6" s="1">
        <v>6710.4030000000002</v>
      </c>
      <c r="E6" s="1">
        <v>7647</v>
      </c>
    </row>
    <row r="7" spans="2:7" s="1" customFormat="1" x14ac:dyDescent="0.25">
      <c r="B7" s="1" t="s">
        <v>0</v>
      </c>
      <c r="D7" s="1">
        <v>4237.1000000000004</v>
      </c>
      <c r="E7" s="1">
        <v>4740.8999999999996</v>
      </c>
    </row>
    <row r="8" spans="2:7" s="1" customFormat="1" x14ac:dyDescent="0.25">
      <c r="B8" s="1" t="s">
        <v>5</v>
      </c>
      <c r="D8" s="1">
        <v>8.1999999999999993</v>
      </c>
      <c r="E8" s="1">
        <v>0</v>
      </c>
    </row>
    <row r="9" spans="2:7" s="2" customFormat="1" x14ac:dyDescent="0.25">
      <c r="B9" s="2" t="s">
        <v>3</v>
      </c>
      <c r="D9" s="2">
        <f>+D6-D7+D8</f>
        <v>2481.5029999999997</v>
      </c>
      <c r="E9" s="2">
        <f t="shared" ref="E9:G9" si="0">+E6-E7+E8</f>
        <v>2906.1000000000004</v>
      </c>
      <c r="F9" s="2">
        <f t="shared" si="0"/>
        <v>0</v>
      </c>
      <c r="G9" s="2">
        <f t="shared" si="0"/>
        <v>0</v>
      </c>
    </row>
    <row r="10" spans="2:7" s="1" customFormat="1" x14ac:dyDescent="0.25">
      <c r="B10" s="1" t="s">
        <v>4</v>
      </c>
      <c r="D10" s="1">
        <v>140</v>
      </c>
      <c r="E10" s="1">
        <v>159</v>
      </c>
    </row>
    <row r="11" spans="2:7" s="2" customFormat="1" x14ac:dyDescent="0.25">
      <c r="B11" s="2" t="s">
        <v>1</v>
      </c>
      <c r="D11" s="2">
        <f>+D9+D10</f>
        <v>2621.5029999999997</v>
      </c>
      <c r="E11" s="2">
        <f t="shared" ref="E11:G11" si="1">+E9+E10</f>
        <v>3065.1000000000004</v>
      </c>
      <c r="F11" s="2">
        <f t="shared" si="1"/>
        <v>0</v>
      </c>
      <c r="G11" s="2">
        <f t="shared" si="1"/>
        <v>0</v>
      </c>
    </row>
    <row r="12" spans="2:7" s="3" customFormat="1" x14ac:dyDescent="0.25">
      <c r="B12" s="3" t="s">
        <v>6</v>
      </c>
      <c r="D12" s="3">
        <v>1233.5</v>
      </c>
      <c r="E12" s="3">
        <v>1367.1</v>
      </c>
    </row>
    <row r="13" spans="2:7" s="3" customFormat="1" x14ac:dyDescent="0.25">
      <c r="B13" s="3" t="s">
        <v>7</v>
      </c>
      <c r="D13" s="3">
        <v>163</v>
      </c>
      <c r="E13" s="3">
        <v>222.6</v>
      </c>
    </row>
    <row r="14" spans="2:7" s="3" customFormat="1" x14ac:dyDescent="0.25">
      <c r="B14" s="3" t="s">
        <v>8</v>
      </c>
      <c r="D14" s="3">
        <v>108.5</v>
      </c>
      <c r="E14" s="3">
        <v>116.7</v>
      </c>
    </row>
    <row r="15" spans="2:7" s="3" customFormat="1" x14ac:dyDescent="0.25">
      <c r="B15" s="3" t="s">
        <v>9</v>
      </c>
      <c r="D15" s="3">
        <v>369.3</v>
      </c>
      <c r="E15" s="3">
        <v>442.8</v>
      </c>
    </row>
    <row r="16" spans="2:7" s="3" customFormat="1" x14ac:dyDescent="0.25">
      <c r="B16" s="3" t="s">
        <v>10</v>
      </c>
      <c r="D16" s="3">
        <v>90.2</v>
      </c>
      <c r="E16" s="3">
        <v>123.6</v>
      </c>
    </row>
    <row r="17" spans="2:7" s="3" customFormat="1" x14ac:dyDescent="0.25">
      <c r="B17" s="3" t="s">
        <v>11</v>
      </c>
      <c r="D17" s="3">
        <v>125.1</v>
      </c>
      <c r="E17" s="3">
        <v>224.5</v>
      </c>
    </row>
    <row r="18" spans="2:7" s="2" customFormat="1" x14ac:dyDescent="0.25">
      <c r="B18" s="2" t="s">
        <v>13</v>
      </c>
      <c r="D18" s="2">
        <f>+D11-SUM(D12:D17)</f>
        <v>531.90299999999979</v>
      </c>
      <c r="E18" s="2">
        <f t="shared" ref="E18:G18" si="2">+E11-SUM(E12:E17)</f>
        <v>567.80000000000064</v>
      </c>
      <c r="F18" s="2">
        <f t="shared" si="2"/>
        <v>0</v>
      </c>
      <c r="G18" s="2">
        <f t="shared" si="2"/>
        <v>0</v>
      </c>
    </row>
    <row r="19" spans="2:7" s="1" customFormat="1" x14ac:dyDescent="0.25">
      <c r="B19" s="3" t="s">
        <v>12</v>
      </c>
      <c r="D19" s="1">
        <f>13.4-24</f>
        <v>-10.6</v>
      </c>
      <c r="E19" s="1">
        <f>0-39.2</f>
        <v>-39.200000000000003</v>
      </c>
    </row>
    <row r="20" spans="2:7" s="1" customFormat="1" x14ac:dyDescent="0.25">
      <c r="B20" s="2" t="s">
        <v>14</v>
      </c>
      <c r="D20" s="1">
        <f>+D18+D19</f>
        <v>521.30299999999977</v>
      </c>
      <c r="E20" s="1">
        <f t="shared" ref="E20:G20" si="3">+E18+E19</f>
        <v>528.60000000000059</v>
      </c>
      <c r="F20" s="1">
        <f t="shared" si="3"/>
        <v>0</v>
      </c>
      <c r="G20" s="1">
        <f t="shared" si="3"/>
        <v>0</v>
      </c>
    </row>
    <row r="21" spans="2:7" s="3" customFormat="1" x14ac:dyDescent="0.25">
      <c r="B21" s="3" t="s">
        <v>15</v>
      </c>
      <c r="D21" s="3">
        <v>13.8</v>
      </c>
      <c r="E21" s="3">
        <v>37.700000000000003</v>
      </c>
    </row>
    <row r="22" spans="2:7" s="3" customFormat="1" x14ac:dyDescent="0.25">
      <c r="B22" s="3" t="s">
        <v>16</v>
      </c>
      <c r="D22" s="3">
        <v>67.7</v>
      </c>
      <c r="E22" s="3">
        <v>53.6</v>
      </c>
    </row>
    <row r="23" spans="2:7" s="3" customFormat="1" x14ac:dyDescent="0.25">
      <c r="B23" s="3" t="s">
        <v>17</v>
      </c>
      <c r="D23" s="3">
        <v>11.1</v>
      </c>
      <c r="E23" s="3">
        <v>10.5</v>
      </c>
    </row>
    <row r="24" spans="2:7" s="1" customFormat="1" x14ac:dyDescent="0.25">
      <c r="B24" s="3" t="s">
        <v>18</v>
      </c>
      <c r="D24" s="1">
        <v>2.1</v>
      </c>
      <c r="E24" s="1">
        <v>2.9</v>
      </c>
    </row>
    <row r="25" spans="2:7" s="1" customFormat="1" x14ac:dyDescent="0.25">
      <c r="B25" s="3" t="s">
        <v>19</v>
      </c>
      <c r="D25" s="1">
        <f>+D20-D21+D22-D23+D24</f>
        <v>566.20299999999975</v>
      </c>
      <c r="E25" s="1">
        <f t="shared" ref="E25:G25" si="4">+E20-E21+E22-E23+E24</f>
        <v>536.90000000000055</v>
      </c>
      <c r="F25" s="1">
        <f t="shared" si="4"/>
        <v>0</v>
      </c>
      <c r="G25" s="1">
        <f t="shared" si="4"/>
        <v>0</v>
      </c>
    </row>
    <row r="26" spans="2:7" s="1" customFormat="1" x14ac:dyDescent="0.25">
      <c r="B26" s="3" t="s">
        <v>20</v>
      </c>
      <c r="D26" s="1">
        <v>141</v>
      </c>
      <c r="E26" s="1">
        <v>137.9</v>
      </c>
    </row>
    <row r="27" spans="2:7" s="1" customFormat="1" x14ac:dyDescent="0.25">
      <c r="B27" s="3" t="s">
        <v>21</v>
      </c>
      <c r="D27" s="1">
        <f>+D25-D26</f>
        <v>425.20299999999975</v>
      </c>
      <c r="E27" s="1">
        <f t="shared" ref="E27:G27" si="5">+E25-E26</f>
        <v>399.00000000000057</v>
      </c>
      <c r="F27" s="1">
        <f t="shared" si="5"/>
        <v>0</v>
      </c>
      <c r="G27" s="1">
        <f t="shared" si="5"/>
        <v>0</v>
      </c>
    </row>
    <row r="28" spans="2:7" s="4" customFormat="1" x14ac:dyDescent="0.25">
      <c r="B28" s="4" t="s">
        <v>22</v>
      </c>
      <c r="D28" s="4">
        <v>2.23</v>
      </c>
      <c r="E28" s="4">
        <v>2.16</v>
      </c>
    </row>
    <row r="29" spans="2:7" s="1" customFormat="1" x14ac:dyDescent="0.25">
      <c r="B29" s="1" t="s">
        <v>23</v>
      </c>
      <c r="D29" s="1">
        <f>+D27/D28</f>
        <v>190.67399103139002</v>
      </c>
      <c r="E29" s="1">
        <f>+E27/E28</f>
        <v>184.72222222222248</v>
      </c>
    </row>
    <row r="30" spans="2:7" s="1" customFormat="1" x14ac:dyDescent="0.25"/>
    <row r="31" spans="2:7" s="5" customFormat="1" x14ac:dyDescent="0.25">
      <c r="B31" s="5" t="s">
        <v>24</v>
      </c>
      <c r="D31" s="5">
        <f>+D18/D11</f>
        <v>0.20290001575432104</v>
      </c>
      <c r="E31" s="5">
        <f>+E18/E11</f>
        <v>0.18524681087077113</v>
      </c>
    </row>
    <row r="32" spans="2:7" s="5" customFormat="1" x14ac:dyDescent="0.25">
      <c r="B32" s="5" t="s">
        <v>25</v>
      </c>
      <c r="D32" s="5">
        <f>+D27/D11</f>
        <v>0.16219817410088785</v>
      </c>
      <c r="E32" s="5">
        <f>+E27/E11</f>
        <v>0.13017519819908013</v>
      </c>
    </row>
    <row r="33" spans="2:5" s="1" customFormat="1" x14ac:dyDescent="0.25"/>
    <row r="34" spans="2:5" s="1" customFormat="1" x14ac:dyDescent="0.25">
      <c r="B34" s="1" t="s">
        <v>26</v>
      </c>
      <c r="D34" s="1">
        <v>628.9</v>
      </c>
      <c r="E34" s="1">
        <v>577</v>
      </c>
    </row>
    <row r="35" spans="2:5" s="1" customFormat="1" x14ac:dyDescent="0.25">
      <c r="B35" s="1" t="s">
        <v>27</v>
      </c>
      <c r="D35" s="1">
        <v>124.7</v>
      </c>
      <c r="E35" s="1">
        <v>149.9</v>
      </c>
    </row>
    <row r="36" spans="2:5" s="1" customFormat="1" x14ac:dyDescent="0.25">
      <c r="B36" s="1" t="s">
        <v>28</v>
      </c>
      <c r="D36" s="1">
        <f>+D34-D35</f>
        <v>504.2</v>
      </c>
      <c r="E36" s="1">
        <f>+E34-E35</f>
        <v>427.1</v>
      </c>
    </row>
    <row r="37" spans="2:5" s="1" customFormat="1" x14ac:dyDescent="0.25"/>
    <row r="38" spans="2:5" s="1" customFormat="1" x14ac:dyDescent="0.25"/>
    <row r="39" spans="2:5" s="1" customFormat="1" x14ac:dyDescent="0.25"/>
    <row r="40" spans="2:5" s="1" customFormat="1" x14ac:dyDescent="0.25"/>
    <row r="41" spans="2:5" s="1" customFormat="1" x14ac:dyDescent="0.25"/>
    <row r="42" spans="2:5" s="1" customFormat="1" x14ac:dyDescent="0.25"/>
    <row r="43" spans="2:5" s="1" customFormat="1" x14ac:dyDescent="0.25"/>
    <row r="44" spans="2:5" s="1" customFormat="1" x14ac:dyDescent="0.25"/>
    <row r="45" spans="2:5" s="1" customFormat="1" x14ac:dyDescent="0.25"/>
    <row r="46" spans="2:5" s="1" customFormat="1" x14ac:dyDescent="0.25"/>
    <row r="47" spans="2:5" s="1" customFormat="1" x14ac:dyDescent="0.25"/>
    <row r="48" spans="2:5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2026-02-18T18:27:54Z</dcterms:created>
  <dcterms:modified xsi:type="dcterms:W3CDTF">2026-02-18T18:37:22Z</dcterms:modified>
</cp:coreProperties>
</file>