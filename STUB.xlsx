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C379CC99-0FAF-464A-B867-5E85AB8FBD25}" xr6:coauthVersionLast="47" xr6:coauthVersionMax="47" xr10:uidLastSave="{00000000-0000-0000-0000-000000000000}"/>
  <bookViews>
    <workbookView xWindow="-28920" yWindow="-120" windowWidth="29040" windowHeight="15840" xr2:uid="{70C44F2E-BFEC-4C7B-8021-BEA3361118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1" l="1"/>
  <c r="T39" i="1"/>
  <c r="G43" i="1"/>
  <c r="T36" i="1"/>
  <c r="H20" i="1"/>
  <c r="I9" i="1"/>
  <c r="J9" i="1" s="1"/>
  <c r="T37" i="1"/>
  <c r="I15" i="1"/>
  <c r="I36" i="1" s="1"/>
  <c r="I10" i="1"/>
  <c r="F10" i="1"/>
  <c r="E10" i="1"/>
  <c r="H18" i="1"/>
  <c r="G20" i="1"/>
  <c r="G39" i="1"/>
  <c r="G40" i="1" s="1"/>
  <c r="G42" i="1" s="1"/>
  <c r="I18" i="1"/>
  <c r="E13" i="1"/>
  <c r="F13" i="1"/>
  <c r="D13" i="1"/>
  <c r="E11" i="1"/>
  <c r="D11" i="1"/>
  <c r="I32" i="1"/>
  <c r="J32" i="1" s="1"/>
  <c r="K32" i="1" s="1"/>
  <c r="L32" i="1" s="1"/>
  <c r="M32" i="1" s="1"/>
  <c r="N32" i="1" s="1"/>
  <c r="O32" i="1" s="1"/>
  <c r="P32" i="1" s="1"/>
  <c r="Q32" i="1" s="1"/>
  <c r="H23" i="1"/>
  <c r="H24" i="1"/>
  <c r="E53" i="1"/>
  <c r="F53" i="1"/>
  <c r="E50" i="1"/>
  <c r="F50" i="1"/>
  <c r="E51" i="1"/>
  <c r="F51" i="1"/>
  <c r="D51" i="1"/>
  <c r="D50" i="1"/>
  <c r="I16" i="1"/>
  <c r="I17" i="1" s="1"/>
  <c r="I34" i="1" s="1"/>
  <c r="H16" i="1"/>
  <c r="H17" i="1" s="1"/>
  <c r="H34" i="1" s="1"/>
  <c r="F36" i="1"/>
  <c r="E36" i="1"/>
  <c r="G48" i="1"/>
  <c r="G54" i="1"/>
  <c r="G53" i="1"/>
  <c r="H21" i="1"/>
  <c r="I21" i="1" s="1"/>
  <c r="J21" i="1" s="1"/>
  <c r="K21" i="1" s="1"/>
  <c r="L21" i="1" s="1"/>
  <c r="M21" i="1" s="1"/>
  <c r="N21" i="1" s="1"/>
  <c r="O21" i="1" s="1"/>
  <c r="P21" i="1" s="1"/>
  <c r="Q21" i="1" s="1"/>
  <c r="G9" i="1"/>
  <c r="G13" i="1" s="1"/>
  <c r="G4" i="1"/>
  <c r="H4" i="1" s="1"/>
  <c r="I4" i="1" s="1"/>
  <c r="J4" i="1" s="1"/>
  <c r="K4" i="1" s="1"/>
  <c r="L4" i="1" s="1"/>
  <c r="F5" i="1"/>
  <c r="F11" i="1"/>
  <c r="F8" i="1"/>
  <c r="E47" i="1"/>
  <c r="E48" i="1" s="1"/>
  <c r="F47" i="1"/>
  <c r="F48" i="1" s="1"/>
  <c r="F39" i="1"/>
  <c r="F40" i="1" s="1"/>
  <c r="F42" i="1" s="1"/>
  <c r="E39" i="1"/>
  <c r="E40" i="1" s="1"/>
  <c r="E42" i="1" s="1"/>
  <c r="D39" i="1"/>
  <c r="D40" i="1" s="1"/>
  <c r="D42" i="1" s="1"/>
  <c r="E17" i="1"/>
  <c r="E22" i="1" s="1"/>
  <c r="E28" i="1" s="1"/>
  <c r="E30" i="1" s="1"/>
  <c r="F17" i="1"/>
  <c r="F22" i="1" s="1"/>
  <c r="F28" i="1" s="1"/>
  <c r="F30" i="1" s="1"/>
  <c r="F31" i="1" s="1"/>
  <c r="D17" i="1"/>
  <c r="D22" i="1" s="1"/>
  <c r="D28" i="1" s="1"/>
  <c r="D30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J10" i="1" l="1"/>
  <c r="J18" i="1"/>
  <c r="I20" i="1"/>
  <c r="I51" i="1" s="1"/>
  <c r="K9" i="1"/>
  <c r="J5" i="1"/>
  <c r="G10" i="1"/>
  <c r="J15" i="1"/>
  <c r="H10" i="1"/>
  <c r="H51" i="1"/>
  <c r="F12" i="1"/>
  <c r="G5" i="1"/>
  <c r="G51" i="1"/>
  <c r="E54" i="1"/>
  <c r="H36" i="1"/>
  <c r="H19" i="1" s="1"/>
  <c r="G36" i="1"/>
  <c r="F54" i="1"/>
  <c r="G50" i="1"/>
  <c r="G17" i="1"/>
  <c r="G34" i="1" s="1"/>
  <c r="M4" i="1"/>
  <c r="I5" i="1"/>
  <c r="H5" i="1"/>
  <c r="F34" i="1"/>
  <c r="D34" i="1"/>
  <c r="D35" i="1"/>
  <c r="F35" i="1"/>
  <c r="E35" i="1"/>
  <c r="E34" i="1"/>
  <c r="J36" i="1" l="1"/>
  <c r="J16" i="1"/>
  <c r="J17" i="1" s="1"/>
  <c r="J34" i="1" s="1"/>
  <c r="J20" i="1"/>
  <c r="J51" i="1" s="1"/>
  <c r="K18" i="1"/>
  <c r="K15" i="1"/>
  <c r="L9" i="1"/>
  <c r="K10" i="1"/>
  <c r="H22" i="1"/>
  <c r="H28" i="1" s="1"/>
  <c r="H50" i="1"/>
  <c r="I19" i="1"/>
  <c r="I22" i="1" s="1"/>
  <c r="I35" i="1" s="1"/>
  <c r="G22" i="1"/>
  <c r="N4" i="1"/>
  <c r="K36" i="1" l="1"/>
  <c r="K20" i="1"/>
  <c r="K51" i="1" s="1"/>
  <c r="K16" i="1"/>
  <c r="K17" i="1" s="1"/>
  <c r="K34" i="1" s="1"/>
  <c r="L15" i="1"/>
  <c r="L36" i="1" s="1"/>
  <c r="M9" i="1"/>
  <c r="L10" i="1"/>
  <c r="L5" i="1"/>
  <c r="L18" i="1"/>
  <c r="M18" i="1"/>
  <c r="H35" i="1"/>
  <c r="J19" i="1"/>
  <c r="J22" i="1" s="1"/>
  <c r="I50" i="1"/>
  <c r="H29" i="1"/>
  <c r="H30" i="1" s="1"/>
  <c r="H38" i="1" s="1"/>
  <c r="H43" i="1" s="1"/>
  <c r="G28" i="1"/>
  <c r="G30" i="1" s="1"/>
  <c r="G31" i="1" s="1"/>
  <c r="G35" i="1"/>
  <c r="O4" i="1"/>
  <c r="K5" i="1"/>
  <c r="L16" i="1" l="1"/>
  <c r="L17" i="1" s="1"/>
  <c r="L20" i="1"/>
  <c r="L51" i="1" s="1"/>
  <c r="N9" i="1"/>
  <c r="M15" i="1"/>
  <c r="M5" i="1"/>
  <c r="M10" i="1"/>
  <c r="H31" i="1"/>
  <c r="N18" i="1"/>
  <c r="J50" i="1"/>
  <c r="K19" i="1"/>
  <c r="L19" i="1" s="1"/>
  <c r="L22" i="1" s="1"/>
  <c r="H45" i="1"/>
  <c r="I23" i="1" s="1"/>
  <c r="H47" i="1"/>
  <c r="I24" i="1" s="1"/>
  <c r="L34" i="1"/>
  <c r="J35" i="1"/>
  <c r="P4" i="1"/>
  <c r="K22" i="1" l="1"/>
  <c r="M20" i="1"/>
  <c r="M51" i="1" s="1"/>
  <c r="M16" i="1"/>
  <c r="M17" i="1" s="1"/>
  <c r="M34" i="1" s="1"/>
  <c r="M36" i="1"/>
  <c r="M19" i="1" s="1"/>
  <c r="K50" i="1"/>
  <c r="N5" i="1"/>
  <c r="N15" i="1"/>
  <c r="N10" i="1"/>
  <c r="O9" i="1"/>
  <c r="I28" i="1"/>
  <c r="I29" i="1" s="1"/>
  <c r="I30" i="1" s="1"/>
  <c r="I38" i="1" s="1"/>
  <c r="I43" i="1" s="1"/>
  <c r="L35" i="1"/>
  <c r="K35" i="1"/>
  <c r="L50" i="1"/>
  <c r="Q4" i="1"/>
  <c r="O5" i="1" l="1"/>
  <c r="O15" i="1"/>
  <c r="P9" i="1"/>
  <c r="O10" i="1"/>
  <c r="N36" i="1"/>
  <c r="N19" i="1" s="1"/>
  <c r="N16" i="1"/>
  <c r="N17" i="1" s="1"/>
  <c r="N34" i="1" s="1"/>
  <c r="N20" i="1"/>
  <c r="N51" i="1" s="1"/>
  <c r="O18" i="1"/>
  <c r="P18" i="1"/>
  <c r="I31" i="1"/>
  <c r="I45" i="1"/>
  <c r="J23" i="1" s="1"/>
  <c r="I47" i="1"/>
  <c r="J24" i="1" s="1"/>
  <c r="M50" i="1"/>
  <c r="M22" i="1"/>
  <c r="P5" i="1" l="1"/>
  <c r="P15" i="1"/>
  <c r="P20" i="1" s="1"/>
  <c r="P51" i="1" s="1"/>
  <c r="P10" i="1"/>
  <c r="Q9" i="1"/>
  <c r="O20" i="1"/>
  <c r="O51" i="1" s="1"/>
  <c r="O36" i="1"/>
  <c r="O19" i="1" s="1"/>
  <c r="O16" i="1"/>
  <c r="O17" i="1" s="1"/>
  <c r="O34" i="1" s="1"/>
  <c r="P36" i="1"/>
  <c r="P16" i="1"/>
  <c r="P17" i="1" s="1"/>
  <c r="P34" i="1" s="1"/>
  <c r="J28" i="1"/>
  <c r="J29" i="1" s="1"/>
  <c r="J30" i="1" s="1"/>
  <c r="J38" i="1" s="1"/>
  <c r="J43" i="1" s="1"/>
  <c r="N50" i="1"/>
  <c r="N22" i="1"/>
  <c r="M35" i="1"/>
  <c r="J31" i="1" l="1"/>
  <c r="Q10" i="1"/>
  <c r="Q5" i="1"/>
  <c r="Q15" i="1"/>
  <c r="Q18" i="1"/>
  <c r="J47" i="1"/>
  <c r="K24" i="1" s="1"/>
  <c r="J45" i="1"/>
  <c r="N35" i="1"/>
  <c r="P19" i="1"/>
  <c r="O50" i="1"/>
  <c r="O22" i="1"/>
  <c r="Q36" i="1" l="1"/>
  <c r="Q20" i="1"/>
  <c r="Q51" i="1" s="1"/>
  <c r="Q16" i="1"/>
  <c r="Q17" i="1" s="1"/>
  <c r="Q34" i="1" s="1"/>
  <c r="K23" i="1"/>
  <c r="K28" i="1" s="1"/>
  <c r="K29" i="1" s="1"/>
  <c r="K30" i="1" s="1"/>
  <c r="K38" i="1" s="1"/>
  <c r="K43" i="1" s="1"/>
  <c r="O35" i="1"/>
  <c r="Q19" i="1"/>
  <c r="P50" i="1"/>
  <c r="P22" i="1"/>
  <c r="K31" i="1" l="1"/>
  <c r="K47" i="1"/>
  <c r="L24" i="1" s="1"/>
  <c r="K45" i="1"/>
  <c r="P35" i="1"/>
  <c r="Q50" i="1"/>
  <c r="Q22" i="1"/>
  <c r="L23" i="1" l="1"/>
  <c r="L28" i="1" s="1"/>
  <c r="L29" i="1" s="1"/>
  <c r="L30" i="1" s="1"/>
  <c r="M24" i="1"/>
  <c r="Q35" i="1"/>
  <c r="L45" i="1" l="1"/>
  <c r="M23" i="1" s="1"/>
  <c r="L38" i="1"/>
  <c r="L43" i="1" s="1"/>
  <c r="L31" i="1"/>
  <c r="M28" i="1"/>
  <c r="M29" i="1" s="1"/>
  <c r="M30" i="1" s="1"/>
  <c r="M38" i="1" s="1"/>
  <c r="M43" i="1" s="1"/>
  <c r="M45" i="1" l="1"/>
  <c r="N23" i="1" s="1"/>
  <c r="M31" i="1"/>
  <c r="N24" i="1"/>
  <c r="N28" i="1" l="1"/>
  <c r="N29" i="1" s="1"/>
  <c r="N30" i="1" s="1"/>
  <c r="N38" i="1" s="1"/>
  <c r="N43" i="1" s="1"/>
  <c r="N45" i="1" l="1"/>
  <c r="O23" i="1" s="1"/>
  <c r="N31" i="1"/>
  <c r="O24" i="1"/>
  <c r="O28" i="1" l="1"/>
  <c r="O29" i="1" s="1"/>
  <c r="O30" i="1" s="1"/>
  <c r="O38" i="1" s="1"/>
  <c r="O43" i="1" s="1"/>
  <c r="O45" i="1" l="1"/>
  <c r="P23" i="1" s="1"/>
  <c r="O31" i="1"/>
  <c r="P24" i="1"/>
  <c r="P28" i="1" l="1"/>
  <c r="P29" i="1" s="1"/>
  <c r="P30" i="1" s="1"/>
  <c r="P38" i="1" s="1"/>
  <c r="P43" i="1" s="1"/>
  <c r="P45" i="1" l="1"/>
  <c r="Q23" i="1" s="1"/>
  <c r="P31" i="1"/>
  <c r="Q24" i="1"/>
  <c r="Q28" i="1" l="1"/>
  <c r="Q29" i="1" s="1"/>
  <c r="Q30" i="1" s="1"/>
  <c r="Q31" i="1" l="1"/>
  <c r="Q38" i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H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CD43" i="1" s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CZ43" i="1" s="1"/>
  <c r="DA43" i="1" s="1"/>
  <c r="DB43" i="1" s="1"/>
  <c r="DC43" i="1" s="1"/>
  <c r="DD43" i="1" s="1"/>
  <c r="DE43" i="1" s="1"/>
  <c r="DF43" i="1" s="1"/>
  <c r="DG43" i="1" s="1"/>
  <c r="DH43" i="1" s="1"/>
  <c r="DI43" i="1" s="1"/>
  <c r="DJ43" i="1" s="1"/>
  <c r="DK43" i="1" s="1"/>
  <c r="DL43" i="1" s="1"/>
  <c r="T38" i="1" s="1"/>
  <c r="Q45" i="1"/>
  <c r="R30" i="1"/>
  <c r="S30" i="1" s="1"/>
  <c r="T30" i="1" s="1"/>
  <c r="U30" i="1" s="1"/>
  <c r="V30" i="1" s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BG30" i="1" s="1"/>
  <c r="BH30" i="1" s="1"/>
  <c r="BI30" i="1" s="1"/>
  <c r="BJ30" i="1" s="1"/>
  <c r="BK30" i="1" s="1"/>
  <c r="BL30" i="1" s="1"/>
  <c r="BM30" i="1" s="1"/>
  <c r="BN30" i="1" s="1"/>
  <c r="BO30" i="1" s="1"/>
  <c r="BP30" i="1" s="1"/>
  <c r="BQ30" i="1" s="1"/>
  <c r="BR30" i="1" s="1"/>
  <c r="BS30" i="1" s="1"/>
  <c r="BT30" i="1" s="1"/>
  <c r="BU30" i="1" s="1"/>
  <c r="BV30" i="1" s="1"/>
  <c r="BW30" i="1" s="1"/>
  <c r="BX30" i="1" s="1"/>
  <c r="BY30" i="1" s="1"/>
  <c r="BZ30" i="1" s="1"/>
  <c r="CA30" i="1" s="1"/>
  <c r="CB30" i="1" s="1"/>
  <c r="CC30" i="1" s="1"/>
  <c r="CD30" i="1" s="1"/>
  <c r="CE30" i="1" s="1"/>
  <c r="CF30" i="1" s="1"/>
  <c r="CG30" i="1" s="1"/>
  <c r="CH30" i="1" s="1"/>
  <c r="CI30" i="1" s="1"/>
  <c r="CJ30" i="1" s="1"/>
  <c r="CK30" i="1" s="1"/>
  <c r="CL30" i="1" s="1"/>
  <c r="CM30" i="1" s="1"/>
  <c r="CN30" i="1" s="1"/>
  <c r="CO30" i="1" s="1"/>
  <c r="CP30" i="1" s="1"/>
  <c r="CQ30" i="1" s="1"/>
  <c r="CR30" i="1" s="1"/>
  <c r="CS30" i="1" s="1"/>
  <c r="CT30" i="1" s="1"/>
  <c r="CU30" i="1" s="1"/>
  <c r="CV30" i="1" s="1"/>
  <c r="CW30" i="1" s="1"/>
  <c r="CX30" i="1" s="1"/>
  <c r="CY30" i="1" s="1"/>
  <c r="CZ30" i="1" s="1"/>
  <c r="DA30" i="1" s="1"/>
  <c r="DB30" i="1" s="1"/>
  <c r="DC30" i="1" s="1"/>
  <c r="DD30" i="1" s="1"/>
  <c r="DE30" i="1" s="1"/>
  <c r="DF30" i="1" s="1"/>
  <c r="DG30" i="1" s="1"/>
  <c r="DH30" i="1" s="1"/>
  <c r="DI30" i="1" s="1"/>
  <c r="DJ30" i="1" s="1"/>
  <c r="DK30" i="1" s="1"/>
  <c r="DL30" i="1" s="1"/>
  <c r="T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9" authorId="0" shapeId="0" xr:uid="{0A143B71-76E0-479C-848A-436E59538426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Gross Merchandise Sales. Total Value of all Sales
</t>
        </r>
      </text>
    </comment>
  </commentList>
</comments>
</file>

<file path=xl/sharedStrings.xml><?xml version="1.0" encoding="utf-8"?>
<sst xmlns="http://schemas.openxmlformats.org/spreadsheetml/2006/main" count="53" uniqueCount="51">
  <si>
    <t>Revenue</t>
  </si>
  <si>
    <t>COGS</t>
  </si>
  <si>
    <t>Gross Profit</t>
  </si>
  <si>
    <t>Support</t>
  </si>
  <si>
    <t>G&amp;A</t>
  </si>
  <si>
    <t>S&amp;M</t>
  </si>
  <si>
    <t>D&amp;A</t>
  </si>
  <si>
    <t>Operating Margin</t>
  </si>
  <si>
    <t>Operating Income</t>
  </si>
  <si>
    <t>Interest Income</t>
  </si>
  <si>
    <t>Interest Expenses</t>
  </si>
  <si>
    <t>Other Income</t>
  </si>
  <si>
    <t>Pretax</t>
  </si>
  <si>
    <t>Taxes</t>
  </si>
  <si>
    <t>Net Income</t>
  </si>
  <si>
    <t>Currencies, net</t>
  </si>
  <si>
    <t>Derivatives, net</t>
  </si>
  <si>
    <t>Gross Margin</t>
  </si>
  <si>
    <t>CFFO</t>
  </si>
  <si>
    <t>CapEx</t>
  </si>
  <si>
    <t>FCF</t>
  </si>
  <si>
    <t>SBC</t>
  </si>
  <si>
    <t>Adj. FCF</t>
  </si>
  <si>
    <t>Cash</t>
  </si>
  <si>
    <t>PP&amp;E</t>
  </si>
  <si>
    <t>Debt</t>
  </si>
  <si>
    <t>Equity</t>
  </si>
  <si>
    <t>Tickets Sold</t>
  </si>
  <si>
    <t>Missed Tickets FV</t>
  </si>
  <si>
    <t>Resale Value</t>
  </si>
  <si>
    <t>GMS</t>
  </si>
  <si>
    <t>Fee (Rev/GMS)</t>
  </si>
  <si>
    <t>Total RV Fee opp.</t>
  </si>
  <si>
    <t>TAM</t>
  </si>
  <si>
    <t>Market Share</t>
  </si>
  <si>
    <t>Revenue Y/Y</t>
  </si>
  <si>
    <t>Cash Yield</t>
  </si>
  <si>
    <t>Debt Yield</t>
  </si>
  <si>
    <t>Discount</t>
  </si>
  <si>
    <t>Terminal</t>
  </si>
  <si>
    <t>NPV</t>
  </si>
  <si>
    <t>Shares</t>
  </si>
  <si>
    <t>EPS</t>
  </si>
  <si>
    <t>Support thing</t>
  </si>
  <si>
    <t>Price</t>
  </si>
  <si>
    <t>Current</t>
  </si>
  <si>
    <t>Diff</t>
  </si>
  <si>
    <t>Y/Y Growth</t>
  </si>
  <si>
    <t>Net Cash</t>
  </si>
  <si>
    <t>Value</t>
  </si>
  <si>
    <t>FCFF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</si>
</sst>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164" fontId="0" fillId="0" borderId="0" xfId="1" applyNumberFormat="1" applyFont="1"/>
    <xf numFmtId="3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23138</xdr:colOff>
      <xdr:row>2</xdr:row>
      <xdr:rowOff>170447</xdr:rowOff>
    </xdr:from>
    <xdr:to>
      <xdr:col>7</xdr:col>
      <xdr:colOff>33165</xdr:colOff>
      <xdr:row>36</xdr:row>
      <xdr:rowOff>165434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3CF6597-EB0C-64BF-EC68-E4D461439E86}"/>
            </a:ext>
          </a:extLst>
        </xdr:cNvPr>
        <xdr:cNvCxnSpPr/>
      </xdr:nvCxnSpPr>
      <xdr:spPr>
        <a:xfrm>
          <a:off x="5122676" y="551447"/>
          <a:ext cx="10027" cy="628148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4FBF-3DA6-470B-8C8E-39FB6CB9FB7C}">
  <dimension ref="B2:DL130"/>
  <sheetViews>
    <sheetView tabSelected="1" zoomScale="130" zoomScaleNormal="130" workbookViewId="0">
      <pane xSplit="2" ySplit="2" topLeftCell="F24" activePane="bottomRight" state="frozen"/>
      <selection pane="topRight" activeCell="C1" sqref="C1"/>
      <selection pane="bottomLeft" activeCell="A3" sqref="A3"/>
      <selection pane="bottomRight" activeCell="I9" sqref="I9"/>
    </sheetView>
  </sheetViews>
  <sheetFormatPr defaultRowHeight="15" x14ac:dyDescent="0.25"/>
  <cols>
    <col min="1" max="1" width="2.85546875" customWidth="1"/>
    <col min="2" max="2" width="16.5703125" bestFit="1" customWidth="1"/>
    <col min="4" max="17" width="12" customWidth="1"/>
    <col min="18" max="19" width="9.5703125" bestFit="1" customWidth="1"/>
    <col min="20" max="20" width="10.7109375" bestFit="1" customWidth="1"/>
    <col min="21" max="69" width="9.5703125" bestFit="1" customWidth="1"/>
  </cols>
  <sheetData>
    <row r="2" spans="2:17" x14ac:dyDescent="0.25">
      <c r="D2">
        <v>2022</v>
      </c>
      <c r="E2">
        <f>+D2+1</f>
        <v>2023</v>
      </c>
      <c r="F2">
        <f>+E2+1</f>
        <v>2024</v>
      </c>
      <c r="G2">
        <f>+F2+1</f>
        <v>2025</v>
      </c>
      <c r="H2">
        <f>+G2+1</f>
        <v>2026</v>
      </c>
      <c r="I2">
        <f>+H2+1</f>
        <v>2027</v>
      </c>
      <c r="J2">
        <f t="shared" ref="J2:Q2" si="0">+I2+1</f>
        <v>2028</v>
      </c>
      <c r="K2">
        <f t="shared" si="0"/>
        <v>2029</v>
      </c>
      <c r="L2">
        <f t="shared" si="0"/>
        <v>2030</v>
      </c>
      <c r="M2">
        <f t="shared" si="0"/>
        <v>2031</v>
      </c>
      <c r="N2">
        <f t="shared" si="0"/>
        <v>2032</v>
      </c>
      <c r="O2">
        <f t="shared" si="0"/>
        <v>2033</v>
      </c>
      <c r="P2">
        <f t="shared" si="0"/>
        <v>2034</v>
      </c>
      <c r="Q2">
        <f t="shared" si="0"/>
        <v>2035</v>
      </c>
    </row>
    <row r="3" spans="2:17" s="1" customFormat="1" x14ac:dyDescent="0.25"/>
    <row r="4" spans="2:17" s="1" customFormat="1" x14ac:dyDescent="0.25">
      <c r="B4" s="1" t="s">
        <v>33</v>
      </c>
      <c r="F4" s="1">
        <v>194000000</v>
      </c>
      <c r="G4" s="1">
        <f>+F4*1.02</f>
        <v>197880000</v>
      </c>
      <c r="H4" s="1">
        <f t="shared" ref="H4:Q4" si="1">+G4*1.02</f>
        <v>201837600</v>
      </c>
      <c r="I4" s="1">
        <f t="shared" si="1"/>
        <v>205874352</v>
      </c>
      <c r="J4" s="1">
        <f t="shared" si="1"/>
        <v>209991839.03999999</v>
      </c>
      <c r="K4" s="1">
        <f t="shared" si="1"/>
        <v>214191675.82080001</v>
      </c>
      <c r="L4" s="1">
        <f t="shared" si="1"/>
        <v>218475509.33721602</v>
      </c>
      <c r="M4" s="1">
        <f t="shared" si="1"/>
        <v>222845019.52396035</v>
      </c>
      <c r="N4" s="1">
        <f t="shared" si="1"/>
        <v>227301919.91443956</v>
      </c>
      <c r="O4" s="1">
        <f t="shared" si="1"/>
        <v>231847958.31272835</v>
      </c>
      <c r="P4" s="1">
        <f t="shared" si="1"/>
        <v>236484917.47898293</v>
      </c>
      <c r="Q4" s="1">
        <f t="shared" si="1"/>
        <v>241214615.82856259</v>
      </c>
    </row>
    <row r="5" spans="2:17" s="1" customFormat="1" x14ac:dyDescent="0.25">
      <c r="B5" s="1" t="s">
        <v>34</v>
      </c>
      <c r="F5" s="5">
        <f>+F9/F4</f>
        <v>4.4740340206185565E-2</v>
      </c>
      <c r="G5" s="5">
        <f>+G9/G4</f>
        <v>4.5216133116295888E-2</v>
      </c>
      <c r="H5" s="5">
        <f t="shared" ref="H5:Q5" si="2">+H9/H4</f>
        <v>4.9544782538040483E-2</v>
      </c>
      <c r="I5" s="5">
        <f t="shared" si="2"/>
        <v>5.4402114159417009E-2</v>
      </c>
      <c r="J5" s="5">
        <f>+J9/J4</f>
        <v>5.9735654763281437E-2</v>
      </c>
      <c r="K5" s="5">
        <f t="shared" si="2"/>
        <v>6.5592091504779612E-2</v>
      </c>
      <c r="L5" s="5">
        <f t="shared" si="2"/>
        <v>7.0736569269860369E-2</v>
      </c>
      <c r="M5" s="5">
        <f t="shared" si="2"/>
        <v>7.6284535487104316E-2</v>
      </c>
      <c r="N5" s="5">
        <f t="shared" si="2"/>
        <v>8.2267636309622319E-2</v>
      </c>
      <c r="O5" s="5">
        <f t="shared" si="2"/>
        <v>8.8719999941749561E-2</v>
      </c>
      <c r="P5" s="5">
        <f t="shared" si="2"/>
        <v>9.5678431309729903E-2</v>
      </c>
      <c r="Q5" s="5">
        <f t="shared" si="2"/>
        <v>0.10318262200068912</v>
      </c>
    </row>
    <row r="6" spans="2:17" s="1" customFormat="1" x14ac:dyDescent="0.25">
      <c r="B6" s="1" t="s">
        <v>27</v>
      </c>
      <c r="F6" s="1">
        <v>40000</v>
      </c>
    </row>
    <row r="7" spans="2:17" s="1" customFormat="1" x14ac:dyDescent="0.25">
      <c r="B7" s="1" t="s">
        <v>28</v>
      </c>
      <c r="F7" s="1">
        <v>66000000</v>
      </c>
    </row>
    <row r="8" spans="2:17" s="1" customFormat="1" x14ac:dyDescent="0.25">
      <c r="B8" s="1" t="s">
        <v>29</v>
      </c>
      <c r="F8" s="1">
        <f>+F7*0.666666666666667</f>
        <v>44000000.000000022</v>
      </c>
    </row>
    <row r="9" spans="2:17" s="1" customFormat="1" x14ac:dyDescent="0.25">
      <c r="B9" s="1" t="s">
        <v>30</v>
      </c>
      <c r="D9" s="1">
        <v>4762979</v>
      </c>
      <c r="E9" s="1">
        <v>6857159</v>
      </c>
      <c r="F9" s="1">
        <v>8679626</v>
      </c>
      <c r="G9" s="1">
        <f>+G15/G11</f>
        <v>8947368.421052631</v>
      </c>
      <c r="H9" s="1">
        <v>10000000</v>
      </c>
      <c r="I9" s="1">
        <f>+H9*1.12</f>
        <v>11200000.000000002</v>
      </c>
      <c r="J9" s="1">
        <f>+I9*1.12</f>
        <v>12544000.000000004</v>
      </c>
      <c r="K9" s="1">
        <f>+J9*1.12</f>
        <v>14049280.000000006</v>
      </c>
      <c r="L9" s="1">
        <f>+K9*1.1</f>
        <v>15454208.000000007</v>
      </c>
      <c r="M9" s="1">
        <f t="shared" ref="M9:Q9" si="3">+L9*1.1</f>
        <v>16999628.800000008</v>
      </c>
      <c r="N9" s="1">
        <f t="shared" si="3"/>
        <v>18699591.680000011</v>
      </c>
      <c r="O9" s="1">
        <f t="shared" si="3"/>
        <v>20569550.848000012</v>
      </c>
      <c r="P9" s="1">
        <f t="shared" si="3"/>
        <v>22626505.932800014</v>
      </c>
      <c r="Q9" s="1">
        <f t="shared" si="3"/>
        <v>24889156.526080016</v>
      </c>
    </row>
    <row r="10" spans="2:17" s="1" customFormat="1" x14ac:dyDescent="0.25">
      <c r="B10" s="1" t="s">
        <v>47</v>
      </c>
      <c r="E10" s="3">
        <f t="shared" ref="E10:Q10" si="4">+E9/D9 -1</f>
        <v>0.43967861290171539</v>
      </c>
      <c r="F10" s="3">
        <f t="shared" si="4"/>
        <v>0.2657758118194431</v>
      </c>
      <c r="G10" s="3">
        <f t="shared" si="4"/>
        <v>3.0847230174736895E-2</v>
      </c>
      <c r="H10" s="3">
        <f t="shared" si="4"/>
        <v>0.11764705882352944</v>
      </c>
      <c r="I10" s="3">
        <f t="shared" si="4"/>
        <v>0.12000000000000011</v>
      </c>
      <c r="J10" s="3">
        <f t="shared" si="4"/>
        <v>0.12000000000000011</v>
      </c>
      <c r="K10" s="3">
        <f t="shared" si="4"/>
        <v>0.12000000000000011</v>
      </c>
      <c r="L10" s="3">
        <f t="shared" si="4"/>
        <v>0.10000000000000009</v>
      </c>
      <c r="M10" s="3">
        <f t="shared" si="4"/>
        <v>0.10000000000000009</v>
      </c>
      <c r="N10" s="3">
        <f t="shared" si="4"/>
        <v>0.10000000000000009</v>
      </c>
      <c r="O10" s="3">
        <f t="shared" si="4"/>
        <v>0.10000000000000009</v>
      </c>
      <c r="P10" s="3">
        <f t="shared" si="4"/>
        <v>0.10000000000000009</v>
      </c>
      <c r="Q10" s="3">
        <f t="shared" si="4"/>
        <v>0.10000000000000009</v>
      </c>
    </row>
    <row r="11" spans="2:17" s="3" customFormat="1" x14ac:dyDescent="0.25">
      <c r="B11" s="3" t="s">
        <v>31</v>
      </c>
      <c r="D11" s="3">
        <f>+D15/D9</f>
        <v>0.21766104784421683</v>
      </c>
      <c r="E11" s="3">
        <f>+E15/E9</f>
        <v>0.19945855127466053</v>
      </c>
      <c r="F11" s="3">
        <f>+F15/F9</f>
        <v>0.20400014931518939</v>
      </c>
      <c r="G11" s="3">
        <v>0.19</v>
      </c>
      <c r="H11" s="3">
        <v>0.2</v>
      </c>
      <c r="I11" s="3">
        <v>0.2</v>
      </c>
      <c r="J11" s="3">
        <v>0.2</v>
      </c>
      <c r="K11" s="3">
        <v>0.2</v>
      </c>
      <c r="L11" s="3">
        <v>0.2</v>
      </c>
      <c r="M11" s="3">
        <v>0.2</v>
      </c>
      <c r="N11" s="3">
        <v>0.2</v>
      </c>
      <c r="O11" s="3">
        <v>0.2</v>
      </c>
      <c r="P11" s="3">
        <v>0.2</v>
      </c>
      <c r="Q11" s="3">
        <v>0.2</v>
      </c>
    </row>
    <row r="12" spans="2:17" s="1" customFormat="1" x14ac:dyDescent="0.25">
      <c r="B12" s="1" t="s">
        <v>32</v>
      </c>
      <c r="F12" s="1">
        <f>+F8*F11</f>
        <v>8976006.5698683374</v>
      </c>
    </row>
    <row r="13" spans="2:17" s="1" customFormat="1" x14ac:dyDescent="0.25">
      <c r="B13" s="1" t="s">
        <v>43</v>
      </c>
      <c r="D13" s="1">
        <f>+D18/D9 *1000</f>
        <v>15.312055753342603</v>
      </c>
      <c r="E13" s="1">
        <f t="shared" ref="E13:F13" si="5">+E18/E9 *1000</f>
        <v>9.7140812981002789</v>
      </c>
      <c r="F13" s="1">
        <f t="shared" si="5"/>
        <v>6.8494886761249854</v>
      </c>
      <c r="G13" s="1">
        <f>+G18/G9 *1000</f>
        <v>7.0667705882352942</v>
      </c>
      <c r="H13" s="1">
        <v>7.2</v>
      </c>
      <c r="I13" s="1">
        <v>7.3</v>
      </c>
      <c r="J13" s="1">
        <v>7.4</v>
      </c>
      <c r="K13" s="1">
        <v>7.5</v>
      </c>
      <c r="L13" s="1">
        <v>7.5</v>
      </c>
      <c r="M13" s="1">
        <v>7.5</v>
      </c>
      <c r="N13" s="1">
        <v>7.5</v>
      </c>
      <c r="O13" s="1">
        <v>7.5</v>
      </c>
      <c r="P13" s="1">
        <v>7.5</v>
      </c>
      <c r="Q13" s="1">
        <v>7.5</v>
      </c>
    </row>
    <row r="14" spans="2:17" s="1" customFormat="1" x14ac:dyDescent="0.25">
      <c r="D14" s="4"/>
      <c r="E14" s="4"/>
      <c r="F14" s="4"/>
      <c r="G14" s="4"/>
    </row>
    <row r="15" spans="2:17" s="2" customFormat="1" x14ac:dyDescent="0.25">
      <c r="B15" s="2" t="s">
        <v>0</v>
      </c>
      <c r="D15" s="2">
        <v>1036715</v>
      </c>
      <c r="E15" s="2">
        <v>1367719</v>
      </c>
      <c r="F15" s="2">
        <v>1770645</v>
      </c>
      <c r="G15" s="2">
        <v>1700000</v>
      </c>
      <c r="H15" s="2">
        <f>+H9*H11</f>
        <v>2000000</v>
      </c>
      <c r="I15" s="2">
        <f t="shared" ref="I15:Q15" si="6">+I9*I11</f>
        <v>2240000.0000000005</v>
      </c>
      <c r="J15" s="2">
        <f t="shared" si="6"/>
        <v>2508800.0000000009</v>
      </c>
      <c r="K15" s="2">
        <f t="shared" si="6"/>
        <v>2809856.0000000014</v>
      </c>
      <c r="L15" s="2">
        <f t="shared" si="6"/>
        <v>3090841.6000000015</v>
      </c>
      <c r="M15" s="2">
        <f t="shared" si="6"/>
        <v>3399925.7600000016</v>
      </c>
      <c r="N15" s="2">
        <f t="shared" si="6"/>
        <v>3739918.3360000025</v>
      </c>
      <c r="O15" s="2">
        <f t="shared" si="6"/>
        <v>4113910.1696000025</v>
      </c>
      <c r="P15" s="2">
        <f t="shared" si="6"/>
        <v>4525301.1865600031</v>
      </c>
      <c r="Q15" s="2">
        <f t="shared" si="6"/>
        <v>4977831.3052160032</v>
      </c>
    </row>
    <row r="16" spans="2:17" s="1" customFormat="1" x14ac:dyDescent="0.25">
      <c r="B16" s="1" t="s">
        <v>1</v>
      </c>
      <c r="D16" s="1">
        <v>185616</v>
      </c>
      <c r="E16" s="1">
        <v>231870</v>
      </c>
      <c r="F16" s="1">
        <v>334102</v>
      </c>
      <c r="G16" s="1">
        <v>313984</v>
      </c>
      <c r="H16" s="1">
        <f>+H15*0.18</f>
        <v>360000</v>
      </c>
      <c r="I16" s="1">
        <f t="shared" ref="I16:Q16" si="7">+I15*0.18</f>
        <v>403200.00000000006</v>
      </c>
      <c r="J16" s="1">
        <f t="shared" si="7"/>
        <v>451584.00000000017</v>
      </c>
      <c r="K16" s="1">
        <f t="shared" si="7"/>
        <v>505774.08000000025</v>
      </c>
      <c r="L16" s="1">
        <f t="shared" si="7"/>
        <v>556351.48800000024</v>
      </c>
      <c r="M16" s="1">
        <f t="shared" si="7"/>
        <v>611986.63680000033</v>
      </c>
      <c r="N16" s="1">
        <f t="shared" si="7"/>
        <v>673185.30048000044</v>
      </c>
      <c r="O16" s="1">
        <f t="shared" si="7"/>
        <v>740503.83052800037</v>
      </c>
      <c r="P16" s="1">
        <f t="shared" si="7"/>
        <v>814554.21358080057</v>
      </c>
      <c r="Q16" s="1">
        <f t="shared" si="7"/>
        <v>896009.63493888057</v>
      </c>
    </row>
    <row r="17" spans="2:116" s="1" customFormat="1" x14ac:dyDescent="0.25">
      <c r="B17" s="1" t="s">
        <v>2</v>
      </c>
      <c r="D17" s="1">
        <f>+D15-D16</f>
        <v>851099</v>
      </c>
      <c r="E17" s="1">
        <f t="shared" ref="E17:G17" si="8">+E15-E16</f>
        <v>1135849</v>
      </c>
      <c r="F17" s="1">
        <f t="shared" si="8"/>
        <v>1436543</v>
      </c>
      <c r="G17" s="1">
        <f t="shared" si="8"/>
        <v>1386016</v>
      </c>
      <c r="H17" s="1">
        <f t="shared" ref="H17" si="9">+H15-H16</f>
        <v>1640000</v>
      </c>
      <c r="I17" s="1">
        <f t="shared" ref="I17" si="10">+I15-I16</f>
        <v>1836800.0000000005</v>
      </c>
      <c r="J17" s="1">
        <f t="shared" ref="J17" si="11">+J15-J16</f>
        <v>2057216.0000000007</v>
      </c>
      <c r="K17" s="1">
        <f t="shared" ref="K17" si="12">+K15-K16</f>
        <v>2304081.9200000013</v>
      </c>
      <c r="L17" s="1">
        <f t="shared" ref="L17" si="13">+L15-L16</f>
        <v>2534490.1120000011</v>
      </c>
      <c r="M17" s="1">
        <f t="shared" ref="M17" si="14">+M15-M16</f>
        <v>2787939.1232000012</v>
      </c>
      <c r="N17" s="1">
        <f t="shared" ref="N17" si="15">+N15-N16</f>
        <v>3066733.0355200022</v>
      </c>
      <c r="O17" s="1">
        <f t="shared" ref="O17" si="16">+O15-O16</f>
        <v>3373406.3390720021</v>
      </c>
      <c r="P17" s="1">
        <f t="shared" ref="P17" si="17">+P15-P16</f>
        <v>3710746.9729792024</v>
      </c>
      <c r="Q17" s="1">
        <f t="shared" ref="Q17" si="18">+Q15-Q16</f>
        <v>4081821.6702771224</v>
      </c>
    </row>
    <row r="18" spans="2:116" s="1" customFormat="1" x14ac:dyDescent="0.25">
      <c r="B18" s="1" t="s">
        <v>3</v>
      </c>
      <c r="D18" s="1">
        <v>72931</v>
      </c>
      <c r="E18" s="1">
        <v>66611</v>
      </c>
      <c r="F18" s="1">
        <v>59451</v>
      </c>
      <c r="G18" s="1">
        <v>63229</v>
      </c>
      <c r="H18" s="1">
        <f>+H13*H9/1000</f>
        <v>72000</v>
      </c>
      <c r="I18" s="1">
        <f t="shared" ref="I18:Q18" si="19">+I13*I9/1000</f>
        <v>81760.000000000015</v>
      </c>
      <c r="J18" s="1">
        <f t="shared" si="19"/>
        <v>92825.600000000035</v>
      </c>
      <c r="K18" s="1">
        <f t="shared" si="19"/>
        <v>105369.60000000005</v>
      </c>
      <c r="L18" s="1">
        <f t="shared" si="19"/>
        <v>115906.56000000006</v>
      </c>
      <c r="M18" s="1">
        <f t="shared" si="19"/>
        <v>127497.21600000006</v>
      </c>
      <c r="N18" s="1">
        <f t="shared" si="19"/>
        <v>140246.93760000009</v>
      </c>
      <c r="O18" s="1">
        <f t="shared" si="19"/>
        <v>154271.63136000012</v>
      </c>
      <c r="P18" s="1">
        <f t="shared" si="19"/>
        <v>169698.7944960001</v>
      </c>
      <c r="Q18" s="1">
        <f t="shared" si="19"/>
        <v>186668.67394560011</v>
      </c>
    </row>
    <row r="19" spans="2:116" s="1" customFormat="1" x14ac:dyDescent="0.25">
      <c r="B19" s="1" t="s">
        <v>5</v>
      </c>
      <c r="D19" s="1">
        <v>652426</v>
      </c>
      <c r="E19" s="1">
        <v>517795</v>
      </c>
      <c r="F19" s="1">
        <v>827972</v>
      </c>
      <c r="G19" s="1">
        <v>971717</v>
      </c>
      <c r="H19" s="1">
        <f>+G19*(1+H36/2)</f>
        <v>1057456.7352941178</v>
      </c>
      <c r="I19" s="1">
        <f t="shared" ref="I19:Q19" si="20">+H19*(1+I36/2)</f>
        <v>1120904.1394117649</v>
      </c>
      <c r="J19" s="1">
        <f t="shared" si="20"/>
        <v>1188158.387776471</v>
      </c>
      <c r="K19" s="1">
        <f t="shared" si="20"/>
        <v>1259447.8910430593</v>
      </c>
      <c r="L19" s="1">
        <f t="shared" si="20"/>
        <v>1322420.2855952124</v>
      </c>
      <c r="M19" s="1">
        <f t="shared" si="20"/>
        <v>1388541.299874973</v>
      </c>
      <c r="N19" s="1">
        <f t="shared" si="20"/>
        <v>1457968.3648687217</v>
      </c>
      <c r="O19" s="1">
        <f t="shared" si="20"/>
        <v>1530866.7831121576</v>
      </c>
      <c r="P19" s="1">
        <f t="shared" si="20"/>
        <v>1607410.1222677655</v>
      </c>
      <c r="Q19" s="1">
        <f t="shared" si="20"/>
        <v>1687780.6283811533</v>
      </c>
    </row>
    <row r="20" spans="2:116" s="1" customFormat="1" x14ac:dyDescent="0.25">
      <c r="B20" s="1" t="s">
        <v>4</v>
      </c>
      <c r="D20" s="1">
        <v>258116</v>
      </c>
      <c r="E20" s="1">
        <v>275456</v>
      </c>
      <c r="F20" s="1">
        <v>386531</v>
      </c>
      <c r="G20" s="1">
        <f>1714628-G41</f>
        <v>266960</v>
      </c>
      <c r="H20" s="1">
        <f>+H15*0.22</f>
        <v>440000</v>
      </c>
      <c r="I20" s="1">
        <f>+I15*0.22</f>
        <v>492800.00000000012</v>
      </c>
      <c r="J20" s="1">
        <f>+J15*0.2</f>
        <v>501760.00000000023</v>
      </c>
      <c r="K20" s="1">
        <f t="shared" ref="K20:Q20" si="21">+K15*0.2</f>
        <v>561971.2000000003</v>
      </c>
      <c r="L20" s="1">
        <f t="shared" si="21"/>
        <v>618168.3200000003</v>
      </c>
      <c r="M20" s="1">
        <f t="shared" si="21"/>
        <v>679985.15200000035</v>
      </c>
      <c r="N20" s="1">
        <f t="shared" si="21"/>
        <v>747983.66720000049</v>
      </c>
      <c r="O20" s="1">
        <f t="shared" si="21"/>
        <v>822782.03392000054</v>
      </c>
      <c r="P20" s="1">
        <f t="shared" si="21"/>
        <v>905060.23731200071</v>
      </c>
      <c r="Q20" s="1">
        <f t="shared" si="21"/>
        <v>995566.26104320074</v>
      </c>
    </row>
    <row r="21" spans="2:116" s="1" customFormat="1" x14ac:dyDescent="0.25">
      <c r="B21" s="1" t="s">
        <v>6</v>
      </c>
      <c r="D21" s="1">
        <v>85047</v>
      </c>
      <c r="E21" s="1">
        <v>22753</v>
      </c>
      <c r="F21" s="1">
        <v>24532</v>
      </c>
      <c r="G21" s="1">
        <v>25604</v>
      </c>
      <c r="H21" s="1">
        <f>+G21*1.02</f>
        <v>26116.080000000002</v>
      </c>
      <c r="I21" s="1">
        <f t="shared" ref="I21:Q21" si="22">+H21*1.02</f>
        <v>26638.401600000001</v>
      </c>
      <c r="J21" s="1">
        <f t="shared" si="22"/>
        <v>27171.169632000001</v>
      </c>
      <c r="K21" s="1">
        <f t="shared" si="22"/>
        <v>27714.593024640002</v>
      </c>
      <c r="L21" s="1">
        <f t="shared" si="22"/>
        <v>28268.884885132804</v>
      </c>
      <c r="M21" s="1">
        <f t="shared" si="22"/>
        <v>28834.262582835461</v>
      </c>
      <c r="N21" s="1">
        <f t="shared" si="22"/>
        <v>29410.94783449217</v>
      </c>
      <c r="O21" s="1">
        <f t="shared" si="22"/>
        <v>29999.166791182015</v>
      </c>
      <c r="P21" s="1">
        <f t="shared" si="22"/>
        <v>30599.150127005654</v>
      </c>
      <c r="Q21" s="1">
        <f t="shared" si="22"/>
        <v>31211.133129545768</v>
      </c>
    </row>
    <row r="22" spans="2:116" s="2" customFormat="1" x14ac:dyDescent="0.25">
      <c r="B22" s="2" t="s">
        <v>8</v>
      </c>
      <c r="D22" s="2">
        <f>+D17-D18-D19-D20-D21</f>
        <v>-217421</v>
      </c>
      <c r="E22" s="2">
        <f t="shared" ref="E22:G22" si="23">+E17-E18-E19-E20-E21</f>
        <v>253234</v>
      </c>
      <c r="F22" s="2">
        <f t="shared" si="23"/>
        <v>138057</v>
      </c>
      <c r="G22" s="2">
        <f t="shared" si="23"/>
        <v>58506</v>
      </c>
      <c r="H22" s="2">
        <f t="shared" ref="H22" si="24">+H17-H18-H19-H20-H21</f>
        <v>44427.184705882173</v>
      </c>
      <c r="I22" s="2">
        <f t="shared" ref="I22" si="25">+I17-I18-I19-I20-I21</f>
        <v>114697.45898823543</v>
      </c>
      <c r="J22" s="2">
        <f t="shared" ref="J22" si="26">+J17-J18-J19-J20-J21</f>
        <v>247300.84259152939</v>
      </c>
      <c r="K22" s="2">
        <f t="shared" ref="K22" si="27">+K17-K18-K19-K20-K21</f>
        <v>349578.63593230164</v>
      </c>
      <c r="L22" s="2">
        <f t="shared" ref="L22" si="28">+L17-L18-L19-L20-L21</f>
        <v>449726.06151965563</v>
      </c>
      <c r="M22" s="2">
        <f t="shared" ref="M22" si="29">+M17-M18-M19-M20-M21</f>
        <v>563081.1927421923</v>
      </c>
      <c r="N22" s="2">
        <f t="shared" ref="N22" si="30">+N17-N18-N19-N20-N21</f>
        <v>691123.11801678757</v>
      </c>
      <c r="O22" s="2">
        <f t="shared" ref="O22" si="31">+O17-O18-O19-O20-O21</f>
        <v>835486.72388866195</v>
      </c>
      <c r="P22" s="2">
        <f t="shared" ref="P22" si="32">+P17-P18-P19-P20-P21</f>
        <v>997978.66877643031</v>
      </c>
      <c r="Q22" s="2">
        <f t="shared" ref="Q22" si="33">+Q17-Q18-Q19-Q20-Q21</f>
        <v>1180594.9737776222</v>
      </c>
    </row>
    <row r="23" spans="2:116" s="1" customFormat="1" x14ac:dyDescent="0.25">
      <c r="B23" s="1" t="s">
        <v>9</v>
      </c>
      <c r="D23" s="1">
        <v>2814</v>
      </c>
      <c r="E23" s="1">
        <v>22514</v>
      </c>
      <c r="F23" s="1">
        <v>41118</v>
      </c>
      <c r="G23" s="1">
        <v>42412</v>
      </c>
      <c r="H23" s="1">
        <f>+G45*0.02</f>
        <v>24831.74</v>
      </c>
      <c r="I23" s="1">
        <f t="shared" ref="I23:Q23" si="34">+H45*0.02</f>
        <v>24475.248208235294</v>
      </c>
      <c r="J23" s="1">
        <f t="shared" si="34"/>
        <v>24646.112594461763</v>
      </c>
      <c r="K23" s="1">
        <f t="shared" si="34"/>
        <v>25844.601313303319</v>
      </c>
      <c r="L23" s="1">
        <f t="shared" si="34"/>
        <v>27876.770856544219</v>
      </c>
      <c r="M23" s="1">
        <f t="shared" si="34"/>
        <v>6545.7482084450357</v>
      </c>
      <c r="N23" s="1">
        <f t="shared" si="34"/>
        <v>15395.00309908485</v>
      </c>
      <c r="O23" s="1">
        <f t="shared" si="34"/>
        <v>26352.382164269286</v>
      </c>
      <c r="P23" s="1">
        <f t="shared" si="34"/>
        <v>39701.704397484427</v>
      </c>
      <c r="Q23" s="1">
        <f t="shared" si="34"/>
        <v>55758.982144362715</v>
      </c>
    </row>
    <row r="24" spans="2:116" s="1" customFormat="1" x14ac:dyDescent="0.25">
      <c r="B24" s="1" t="s">
        <v>10</v>
      </c>
      <c r="D24" s="1">
        <v>119714</v>
      </c>
      <c r="E24" s="1">
        <v>155942</v>
      </c>
      <c r="F24" s="1">
        <v>179778</v>
      </c>
      <c r="G24" s="1">
        <v>140035</v>
      </c>
      <c r="H24" s="1">
        <f>+G47*0.08</f>
        <v>120556.56</v>
      </c>
      <c r="I24" s="1">
        <f t="shared" ref="I24:Q24" si="35">+H47*0.08</f>
        <v>121982.52716705883</v>
      </c>
      <c r="J24" s="1">
        <f t="shared" si="35"/>
        <v>121299.06962215295</v>
      </c>
      <c r="K24" s="1">
        <f t="shared" si="35"/>
        <v>116505.11474678673</v>
      </c>
      <c r="L24" s="1">
        <f t="shared" si="35"/>
        <v>108376.43657382313</v>
      </c>
      <c r="M24" s="1">
        <f t="shared" si="35"/>
        <v>0</v>
      </c>
      <c r="N24" s="1">
        <f t="shared" si="35"/>
        <v>0</v>
      </c>
      <c r="O24" s="1">
        <f t="shared" si="35"/>
        <v>0</v>
      </c>
      <c r="P24" s="1">
        <f t="shared" si="35"/>
        <v>0</v>
      </c>
      <c r="Q24" s="1">
        <f t="shared" si="35"/>
        <v>0</v>
      </c>
    </row>
    <row r="25" spans="2:116" s="1" customFormat="1" x14ac:dyDescent="0.25">
      <c r="B25" s="1" t="s">
        <v>11</v>
      </c>
      <c r="D25" s="1">
        <v>12572</v>
      </c>
      <c r="E25" s="1">
        <v>-1784</v>
      </c>
      <c r="F25" s="1">
        <v>1907</v>
      </c>
      <c r="G25" s="1">
        <v>4552</v>
      </c>
      <c r="H25" s="1">
        <v>5000</v>
      </c>
      <c r="I25" s="1">
        <v>5000</v>
      </c>
      <c r="J25" s="1">
        <v>5000</v>
      </c>
      <c r="K25" s="1">
        <v>5000</v>
      </c>
      <c r="L25" s="1">
        <v>5000</v>
      </c>
      <c r="M25" s="1">
        <v>5000</v>
      </c>
      <c r="N25" s="1">
        <v>5000</v>
      </c>
      <c r="O25" s="1">
        <v>5000</v>
      </c>
      <c r="P25" s="1">
        <v>5000</v>
      </c>
      <c r="Q25" s="1">
        <v>5000</v>
      </c>
    </row>
    <row r="26" spans="2:116" s="1" customFormat="1" x14ac:dyDescent="0.25">
      <c r="B26" s="1" t="s">
        <v>15</v>
      </c>
      <c r="D26" s="1">
        <v>23898</v>
      </c>
      <c r="E26" s="1">
        <v>-24730</v>
      </c>
      <c r="F26" s="1">
        <v>41070</v>
      </c>
      <c r="G26" s="1">
        <v>-89664</v>
      </c>
    </row>
    <row r="27" spans="2:116" s="1" customFormat="1" x14ac:dyDescent="0.25">
      <c r="B27" s="1" t="s">
        <v>16</v>
      </c>
      <c r="D27" s="1">
        <v>49377</v>
      </c>
      <c r="E27" s="1">
        <v>-7696</v>
      </c>
      <c r="F27" s="1">
        <v>3101</v>
      </c>
      <c r="G27" s="1">
        <v>-139</v>
      </c>
    </row>
    <row r="28" spans="2:116" s="1" customFormat="1" x14ac:dyDescent="0.25">
      <c r="B28" s="1" t="s">
        <v>12</v>
      </c>
      <c r="D28" s="1">
        <f>+D22+D23-D24+D25+D26+D27</f>
        <v>-248474</v>
      </c>
      <c r="E28" s="1">
        <f t="shared" ref="E28:G28" si="36">+E22+E23-E24+E25+E26+E27</f>
        <v>85596</v>
      </c>
      <c r="F28" s="1">
        <f t="shared" si="36"/>
        <v>45475</v>
      </c>
      <c r="G28" s="1">
        <f t="shared" si="36"/>
        <v>-124368</v>
      </c>
      <c r="H28" s="1">
        <f t="shared" ref="H28" si="37">+H22+H23-H24+H25+H26+H27</f>
        <v>-46297.635294117819</v>
      </c>
      <c r="I28" s="1">
        <f t="shared" ref="I28" si="38">+I22+I23-I24+I25+I26+I27</f>
        <v>22190.180029411902</v>
      </c>
      <c r="J28" s="1">
        <f t="shared" ref="J28" si="39">+J22+J23-J24+J25+J26+J27</f>
        <v>155647.88556383818</v>
      </c>
      <c r="K28" s="1">
        <f t="shared" ref="K28" si="40">+K22+K23-K24+K25+K26+K27</f>
        <v>263918.12249881827</v>
      </c>
      <c r="L28" s="1">
        <f t="shared" ref="L28" si="41">+L22+L23-L24+L25+L26+L27</f>
        <v>374226.39580237668</v>
      </c>
      <c r="M28" s="1">
        <f t="shared" ref="M28" si="42">+M22+M23-M24+M25+M26+M27</f>
        <v>574626.94095063733</v>
      </c>
      <c r="N28" s="1">
        <f t="shared" ref="N28" si="43">+N22+N23-N24+N25+N26+N27</f>
        <v>711518.1211158724</v>
      </c>
      <c r="O28" s="1">
        <f t="shared" ref="O28" si="44">+O22+O23-O24+O25+O26+O27</f>
        <v>866839.10605293128</v>
      </c>
      <c r="P28" s="1">
        <f t="shared" ref="P28" si="45">+P22+P23-P24+P25+P26+P27</f>
        <v>1042680.3731739147</v>
      </c>
      <c r="Q28" s="1">
        <f t="shared" ref="Q28" si="46">+Q22+Q23-Q24+Q25+Q26+Q27</f>
        <v>1241353.955921985</v>
      </c>
    </row>
    <row r="29" spans="2:116" s="1" customFormat="1" x14ac:dyDescent="0.25">
      <c r="B29" s="1" t="s">
        <v>13</v>
      </c>
      <c r="D29" s="1">
        <v>12513</v>
      </c>
      <c r="E29" s="1">
        <v>-319605</v>
      </c>
      <c r="F29" s="1">
        <v>40059</v>
      </c>
      <c r="G29" s="1">
        <v>360594</v>
      </c>
      <c r="H29" s="1">
        <f>+H28*0.23</f>
        <v>-10648.4561176471</v>
      </c>
      <c r="I29" s="1">
        <f t="shared" ref="I29:Q29" si="47">+I28*0.23</f>
        <v>5103.7414067647378</v>
      </c>
      <c r="J29" s="1">
        <f t="shared" si="47"/>
        <v>35799.013679682779</v>
      </c>
      <c r="K29" s="1">
        <f t="shared" si="47"/>
        <v>60701.168174728205</v>
      </c>
      <c r="L29" s="1">
        <f t="shared" si="47"/>
        <v>86072.071034546636</v>
      </c>
      <c r="M29" s="1">
        <f t="shared" si="47"/>
        <v>132164.19641864661</v>
      </c>
      <c r="N29" s="1">
        <f t="shared" si="47"/>
        <v>163649.16785665066</v>
      </c>
      <c r="O29" s="1">
        <f t="shared" si="47"/>
        <v>199372.99439217421</v>
      </c>
      <c r="P29" s="1">
        <f t="shared" si="47"/>
        <v>239816.4858300004</v>
      </c>
      <c r="Q29" s="1">
        <f t="shared" si="47"/>
        <v>285511.40986205655</v>
      </c>
    </row>
    <row r="30" spans="2:116" s="1" customFormat="1" x14ac:dyDescent="0.25">
      <c r="B30" s="1" t="s">
        <v>14</v>
      </c>
      <c r="D30" s="1">
        <f>+D28-D29</f>
        <v>-260987</v>
      </c>
      <c r="E30" s="1">
        <f t="shared" ref="E30:G30" si="48">+E28-E29</f>
        <v>405201</v>
      </c>
      <c r="F30" s="1">
        <f t="shared" si="48"/>
        <v>5416</v>
      </c>
      <c r="G30" s="1">
        <f t="shared" si="48"/>
        <v>-484962</v>
      </c>
      <c r="H30" s="1">
        <f t="shared" ref="H30" si="49">+H28-H29</f>
        <v>-35649.179176470716</v>
      </c>
      <c r="I30" s="1">
        <f t="shared" ref="I30" si="50">+I28-I29</f>
        <v>17086.438622647165</v>
      </c>
      <c r="J30" s="1">
        <f t="shared" ref="J30" si="51">+J28-J29</f>
        <v>119848.87188415541</v>
      </c>
      <c r="K30" s="1">
        <f t="shared" ref="K30" si="52">+K28-K29</f>
        <v>203216.95432409007</v>
      </c>
      <c r="L30" s="1">
        <f t="shared" ref="L30" si="53">+L28-L29</f>
        <v>288154.32476783002</v>
      </c>
      <c r="M30" s="1">
        <f t="shared" ref="M30" si="54">+M28-M29</f>
        <v>442462.74453199073</v>
      </c>
      <c r="N30" s="1">
        <f t="shared" ref="N30" si="55">+N28-N29</f>
        <v>547868.95325922174</v>
      </c>
      <c r="O30" s="1">
        <f t="shared" ref="O30" si="56">+O28-O29</f>
        <v>667466.1116607571</v>
      </c>
      <c r="P30" s="1">
        <f t="shared" ref="P30" si="57">+P28-P29</f>
        <v>802863.88734391436</v>
      </c>
      <c r="Q30" s="1">
        <f t="shared" ref="Q30" si="58">+Q28-Q29</f>
        <v>955842.54605992837</v>
      </c>
      <c r="R30" s="1">
        <f>+Q30*(1+$T35)</f>
        <v>974959.39698112698</v>
      </c>
      <c r="S30" s="1">
        <f t="shared" ref="S30:CD30" si="59">+R30*(1+$T35)</f>
        <v>994458.58492074953</v>
      </c>
      <c r="T30" s="1">
        <f t="shared" si="59"/>
        <v>1014347.7566191645</v>
      </c>
      <c r="U30" s="1">
        <f t="shared" si="59"/>
        <v>1034634.7117515478</v>
      </c>
      <c r="V30" s="1">
        <f t="shared" si="59"/>
        <v>1055327.4059865787</v>
      </c>
      <c r="W30" s="1">
        <f t="shared" si="59"/>
        <v>1076433.9541063101</v>
      </c>
      <c r="X30" s="1">
        <f t="shared" si="59"/>
        <v>1097962.6331884363</v>
      </c>
      <c r="Y30" s="1">
        <f t="shared" si="59"/>
        <v>1119921.8858522051</v>
      </c>
      <c r="Z30" s="1">
        <f t="shared" si="59"/>
        <v>1142320.3235692491</v>
      </c>
      <c r="AA30" s="1">
        <f t="shared" si="59"/>
        <v>1165166.7300406341</v>
      </c>
      <c r="AB30" s="1">
        <f t="shared" si="59"/>
        <v>1188470.0646414468</v>
      </c>
      <c r="AC30" s="1">
        <f t="shared" si="59"/>
        <v>1212239.4659342756</v>
      </c>
      <c r="AD30" s="1">
        <f t="shared" si="59"/>
        <v>1236484.2552529611</v>
      </c>
      <c r="AE30" s="1">
        <f t="shared" si="59"/>
        <v>1261213.9403580204</v>
      </c>
      <c r="AF30" s="1">
        <f t="shared" si="59"/>
        <v>1286438.2191651808</v>
      </c>
      <c r="AG30" s="1">
        <f t="shared" si="59"/>
        <v>1312166.9835484845</v>
      </c>
      <c r="AH30" s="1">
        <f t="shared" si="59"/>
        <v>1338410.3232194541</v>
      </c>
      <c r="AI30" s="1">
        <f t="shared" si="59"/>
        <v>1365178.5296838433</v>
      </c>
      <c r="AJ30" s="1">
        <f t="shared" si="59"/>
        <v>1392482.1002775203</v>
      </c>
      <c r="AK30" s="1">
        <f t="shared" si="59"/>
        <v>1420331.7422830707</v>
      </c>
      <c r="AL30" s="1">
        <f t="shared" si="59"/>
        <v>1448738.3771287322</v>
      </c>
      <c r="AM30" s="1">
        <f t="shared" si="59"/>
        <v>1477713.1446713067</v>
      </c>
      <c r="AN30" s="1">
        <f t="shared" si="59"/>
        <v>1507267.4075647329</v>
      </c>
      <c r="AO30" s="1">
        <f t="shared" si="59"/>
        <v>1537412.7557160277</v>
      </c>
      <c r="AP30" s="1">
        <f t="shared" si="59"/>
        <v>1568161.0108303484</v>
      </c>
      <c r="AQ30" s="1">
        <f t="shared" si="59"/>
        <v>1599524.2310469553</v>
      </c>
      <c r="AR30" s="1">
        <f t="shared" si="59"/>
        <v>1631514.7156678946</v>
      </c>
      <c r="AS30" s="1">
        <f t="shared" si="59"/>
        <v>1664145.0099812525</v>
      </c>
      <c r="AT30" s="1">
        <f t="shared" si="59"/>
        <v>1697427.9101808777</v>
      </c>
      <c r="AU30" s="1">
        <f t="shared" si="59"/>
        <v>1731376.4683844952</v>
      </c>
      <c r="AV30" s="1">
        <f t="shared" si="59"/>
        <v>1766003.9977521852</v>
      </c>
      <c r="AW30" s="1">
        <f t="shared" si="59"/>
        <v>1801324.0777072289</v>
      </c>
      <c r="AX30" s="1">
        <f t="shared" si="59"/>
        <v>1837350.5592613735</v>
      </c>
      <c r="AY30" s="1">
        <f t="shared" si="59"/>
        <v>1874097.5704466009</v>
      </c>
      <c r="AZ30" s="1">
        <f t="shared" si="59"/>
        <v>1911579.5218555329</v>
      </c>
      <c r="BA30" s="1">
        <f t="shared" si="59"/>
        <v>1949811.1122926436</v>
      </c>
      <c r="BB30" s="1">
        <f t="shared" si="59"/>
        <v>1988807.3345384966</v>
      </c>
      <c r="BC30" s="1">
        <f t="shared" si="59"/>
        <v>2028583.4812292666</v>
      </c>
      <c r="BD30" s="1">
        <f t="shared" si="59"/>
        <v>2069155.150853852</v>
      </c>
      <c r="BE30" s="1">
        <f t="shared" si="59"/>
        <v>2110538.2538709291</v>
      </c>
      <c r="BF30" s="1">
        <f t="shared" si="59"/>
        <v>2152749.0189483478</v>
      </c>
      <c r="BG30" s="1">
        <f t="shared" si="59"/>
        <v>2195803.9993273146</v>
      </c>
      <c r="BH30" s="1">
        <f t="shared" si="59"/>
        <v>2239720.0793138607</v>
      </c>
      <c r="BI30" s="1">
        <f t="shared" si="59"/>
        <v>2284514.4809001382</v>
      </c>
      <c r="BJ30" s="1">
        <f t="shared" si="59"/>
        <v>2330204.7705181409</v>
      </c>
      <c r="BK30" s="1">
        <f t="shared" si="59"/>
        <v>2376808.8659285037</v>
      </c>
      <c r="BL30" s="1">
        <f t="shared" si="59"/>
        <v>2424345.0432470739</v>
      </c>
      <c r="BM30" s="1">
        <f t="shared" si="59"/>
        <v>2472831.9441120154</v>
      </c>
      <c r="BN30" s="1">
        <f t="shared" si="59"/>
        <v>2522288.5829942557</v>
      </c>
      <c r="BO30" s="1">
        <f t="shared" si="59"/>
        <v>2572734.3546541408</v>
      </c>
      <c r="BP30" s="1">
        <f t="shared" si="59"/>
        <v>2624189.0417472236</v>
      </c>
      <c r="BQ30" s="1">
        <f t="shared" si="59"/>
        <v>2676672.822582168</v>
      </c>
      <c r="BR30" s="1">
        <f t="shared" si="59"/>
        <v>2730206.2790338113</v>
      </c>
      <c r="BS30" s="1">
        <f t="shared" si="59"/>
        <v>2784810.4046144877</v>
      </c>
      <c r="BT30" s="1">
        <f t="shared" si="59"/>
        <v>2840506.6127067776</v>
      </c>
      <c r="BU30" s="1">
        <f t="shared" si="59"/>
        <v>2897316.7449609134</v>
      </c>
      <c r="BV30" s="1">
        <f t="shared" si="59"/>
        <v>2955263.0798601317</v>
      </c>
      <c r="BW30" s="1">
        <f t="shared" si="59"/>
        <v>3014368.3414573343</v>
      </c>
      <c r="BX30" s="1">
        <f t="shared" si="59"/>
        <v>3074655.708286481</v>
      </c>
      <c r="BY30" s="1">
        <f t="shared" si="59"/>
        <v>3136148.8224522108</v>
      </c>
      <c r="BZ30" s="1">
        <f t="shared" si="59"/>
        <v>3198871.7989012552</v>
      </c>
      <c r="CA30" s="1">
        <f t="shared" si="59"/>
        <v>3262849.2348792804</v>
      </c>
      <c r="CB30" s="1">
        <f t="shared" si="59"/>
        <v>3328106.2195768659</v>
      </c>
      <c r="CC30" s="1">
        <f t="shared" si="59"/>
        <v>3394668.3439684031</v>
      </c>
      <c r="CD30" s="1">
        <f t="shared" si="59"/>
        <v>3462561.7108477713</v>
      </c>
      <c r="CE30" s="1">
        <f t="shared" ref="CE30:DL30" si="60">+CD30*(1+$T35)</f>
        <v>3531812.9450647268</v>
      </c>
      <c r="CF30" s="1">
        <f t="shared" si="60"/>
        <v>3602449.2039660215</v>
      </c>
      <c r="CG30" s="1">
        <f t="shared" si="60"/>
        <v>3674498.188045342</v>
      </c>
      <c r="CH30" s="1">
        <f t="shared" si="60"/>
        <v>3747988.1518062488</v>
      </c>
      <c r="CI30" s="1">
        <f t="shared" si="60"/>
        <v>3822947.9148423737</v>
      </c>
      <c r="CJ30" s="1">
        <f t="shared" si="60"/>
        <v>3899406.8731392212</v>
      </c>
      <c r="CK30" s="1">
        <f t="shared" si="60"/>
        <v>3977395.0106020058</v>
      </c>
      <c r="CL30" s="1">
        <f t="shared" si="60"/>
        <v>4056942.9108140459</v>
      </c>
      <c r="CM30" s="1">
        <f t="shared" si="60"/>
        <v>4138081.769030327</v>
      </c>
      <c r="CN30" s="1">
        <f t="shared" si="60"/>
        <v>4220843.4044109331</v>
      </c>
      <c r="CO30" s="1">
        <f t="shared" si="60"/>
        <v>4305260.2724991515</v>
      </c>
      <c r="CP30" s="1">
        <f t="shared" si="60"/>
        <v>4391365.477949135</v>
      </c>
      <c r="CQ30" s="1">
        <f t="shared" si="60"/>
        <v>4479192.787508118</v>
      </c>
      <c r="CR30" s="1">
        <f t="shared" si="60"/>
        <v>4568776.6432582801</v>
      </c>
      <c r="CS30" s="1">
        <f t="shared" si="60"/>
        <v>4660152.1761234459</v>
      </c>
      <c r="CT30" s="1">
        <f t="shared" si="60"/>
        <v>4753355.2196459146</v>
      </c>
      <c r="CU30" s="1">
        <f t="shared" si="60"/>
        <v>4848422.3240388334</v>
      </c>
      <c r="CV30" s="1">
        <f t="shared" si="60"/>
        <v>4945390.7705196105</v>
      </c>
      <c r="CW30" s="1">
        <f t="shared" si="60"/>
        <v>5044298.5859300029</v>
      </c>
      <c r="CX30" s="1">
        <f t="shared" si="60"/>
        <v>5145184.5576486029</v>
      </c>
      <c r="CY30" s="1">
        <f t="shared" si="60"/>
        <v>5248088.248801575</v>
      </c>
      <c r="CZ30" s="1">
        <f t="shared" si="60"/>
        <v>5353050.0137776062</v>
      </c>
      <c r="DA30" s="1">
        <f t="shared" si="60"/>
        <v>5460111.0140531585</v>
      </c>
      <c r="DB30" s="1">
        <f t="shared" si="60"/>
        <v>5569313.234334222</v>
      </c>
      <c r="DC30" s="1">
        <f t="shared" si="60"/>
        <v>5680699.4990209062</v>
      </c>
      <c r="DD30" s="1">
        <f t="shared" si="60"/>
        <v>5794313.4890013244</v>
      </c>
      <c r="DE30" s="1">
        <f t="shared" si="60"/>
        <v>5910199.7587813511</v>
      </c>
      <c r="DF30" s="1">
        <f t="shared" si="60"/>
        <v>6028403.7539569782</v>
      </c>
      <c r="DG30" s="1">
        <f t="shared" si="60"/>
        <v>6148971.8290361175</v>
      </c>
      <c r="DH30" s="1">
        <f t="shared" si="60"/>
        <v>6271951.2656168398</v>
      </c>
      <c r="DI30" s="1">
        <f t="shared" si="60"/>
        <v>6397390.2909291768</v>
      </c>
      <c r="DJ30" s="1">
        <f t="shared" si="60"/>
        <v>6525338.0967477607</v>
      </c>
      <c r="DK30" s="1">
        <f t="shared" si="60"/>
        <v>6655844.8586827163</v>
      </c>
      <c r="DL30" s="1">
        <f t="shared" si="60"/>
        <v>6788961.7558563706</v>
      </c>
    </row>
    <row r="31" spans="2:116" s="4" customFormat="1" x14ac:dyDescent="0.25">
      <c r="B31" s="4" t="s">
        <v>42</v>
      </c>
      <c r="F31" s="4">
        <f>+F30/F32</f>
        <v>1.7796124521927949E-2</v>
      </c>
      <c r="G31" s="4">
        <f>+G30/G32</f>
        <v>-1.5191447298057215</v>
      </c>
      <c r="H31" s="4">
        <f t="shared" ref="H31:Q31" si="61">+H30/H32</f>
        <v>-0.11391101771443612</v>
      </c>
      <c r="I31" s="4">
        <f t="shared" si="61"/>
        <v>5.4596870323051147E-2</v>
      </c>
      <c r="J31" s="4">
        <f t="shared" si="61"/>
        <v>0.38295711945204952</v>
      </c>
      <c r="K31" s="4">
        <f t="shared" si="61"/>
        <v>0.64934594901314946</v>
      </c>
      <c r="L31" s="4">
        <f t="shared" si="61"/>
        <v>0.9207491771587335</v>
      </c>
      <c r="M31" s="4">
        <f t="shared" si="61"/>
        <v>1.41381604554945</v>
      </c>
      <c r="N31" s="4">
        <f t="shared" si="61"/>
        <v>1.7506240390828329</v>
      </c>
      <c r="O31" s="4">
        <f t="shared" si="61"/>
        <v>2.1327768500026787</v>
      </c>
      <c r="P31" s="4">
        <f t="shared" si="61"/>
        <v>2.5654179031947004</v>
      </c>
      <c r="Q31" s="4">
        <f t="shared" si="61"/>
        <v>3.0542357415148627</v>
      </c>
    </row>
    <row r="32" spans="2:116" s="1" customFormat="1" x14ac:dyDescent="0.25">
      <c r="B32" s="1" t="s">
        <v>41</v>
      </c>
      <c r="F32" s="1">
        <v>304335.924</v>
      </c>
      <c r="G32" s="1">
        <v>319233.57299999997</v>
      </c>
      <c r="H32" s="1">
        <v>312956.375</v>
      </c>
      <c r="I32" s="1">
        <f t="shared" ref="I32:Q32" si="62">+H32+0</f>
        <v>312956.375</v>
      </c>
      <c r="J32" s="1">
        <f t="shared" si="62"/>
        <v>312956.375</v>
      </c>
      <c r="K32" s="1">
        <f t="shared" si="62"/>
        <v>312956.375</v>
      </c>
      <c r="L32" s="1">
        <f t="shared" si="62"/>
        <v>312956.375</v>
      </c>
      <c r="M32" s="1">
        <f t="shared" si="62"/>
        <v>312956.375</v>
      </c>
      <c r="N32" s="1">
        <f t="shared" si="62"/>
        <v>312956.375</v>
      </c>
      <c r="O32" s="1">
        <f t="shared" si="62"/>
        <v>312956.375</v>
      </c>
      <c r="P32" s="1">
        <f t="shared" si="62"/>
        <v>312956.375</v>
      </c>
      <c r="Q32" s="1">
        <f t="shared" si="62"/>
        <v>312956.375</v>
      </c>
    </row>
    <row r="33" spans="2:116" s="1" customFormat="1" x14ac:dyDescent="0.25"/>
    <row r="34" spans="2:116" s="3" customFormat="1" x14ac:dyDescent="0.25">
      <c r="B34" s="3" t="s">
        <v>17</v>
      </c>
      <c r="D34" s="3">
        <f>+D17/D15</f>
        <v>0.8209575437801131</v>
      </c>
      <c r="E34" s="3">
        <f t="shared" ref="E34:G34" si="63">+E17/E15</f>
        <v>0.83046956282686724</v>
      </c>
      <c r="F34" s="3">
        <f t="shared" si="63"/>
        <v>0.8113105676180149</v>
      </c>
      <c r="G34" s="3">
        <f t="shared" si="63"/>
        <v>0.81530352941176476</v>
      </c>
      <c r="H34" s="3">
        <f t="shared" ref="H34:Q34" si="64">+H17/H15</f>
        <v>0.82</v>
      </c>
      <c r="I34" s="3">
        <f t="shared" si="64"/>
        <v>0.82000000000000006</v>
      </c>
      <c r="J34" s="3">
        <f t="shared" si="64"/>
        <v>0.82</v>
      </c>
      <c r="K34" s="3">
        <f t="shared" si="64"/>
        <v>0.82000000000000006</v>
      </c>
      <c r="L34" s="3">
        <f t="shared" si="64"/>
        <v>0.82</v>
      </c>
      <c r="M34" s="3">
        <f t="shared" si="64"/>
        <v>0.82</v>
      </c>
      <c r="N34" s="3">
        <f t="shared" si="64"/>
        <v>0.82000000000000006</v>
      </c>
      <c r="O34" s="3">
        <f t="shared" si="64"/>
        <v>0.82000000000000006</v>
      </c>
      <c r="P34" s="3">
        <f t="shared" si="64"/>
        <v>0.82</v>
      </c>
      <c r="Q34" s="3">
        <f t="shared" si="64"/>
        <v>0.82</v>
      </c>
      <c r="S34" s="3" t="s">
        <v>38</v>
      </c>
      <c r="T34" s="3">
        <v>0.1</v>
      </c>
    </row>
    <row r="35" spans="2:116" s="3" customFormat="1" x14ac:dyDescent="0.25">
      <c r="B35" s="3" t="s">
        <v>7</v>
      </c>
      <c r="D35" s="3">
        <f>+D22/D15</f>
        <v>-0.20972109017425233</v>
      </c>
      <c r="E35" s="3">
        <f t="shared" ref="E35:G35" si="65">+E22/E15</f>
        <v>0.18515060476603748</v>
      </c>
      <c r="F35" s="3">
        <f t="shared" si="65"/>
        <v>7.7969892327372226E-2</v>
      </c>
      <c r="G35" s="3">
        <f t="shared" si="65"/>
        <v>3.4415294117647058E-2</v>
      </c>
      <c r="H35" s="3">
        <f t="shared" ref="H35:Q35" si="66">+H22/H15</f>
        <v>2.2213592352941087E-2</v>
      </c>
      <c r="I35" s="3">
        <f t="shared" si="66"/>
        <v>5.1204222762605091E-2</v>
      </c>
      <c r="J35" s="3">
        <f t="shared" si="66"/>
        <v>9.8573358813587891E-2</v>
      </c>
      <c r="K35" s="3">
        <f t="shared" si="66"/>
        <v>0.12441158405708387</v>
      </c>
      <c r="L35" s="3">
        <f t="shared" si="66"/>
        <v>0.14550278523482257</v>
      </c>
      <c r="M35" s="3">
        <f t="shared" si="66"/>
        <v>0.16561573178062336</v>
      </c>
      <c r="N35" s="3">
        <f t="shared" si="66"/>
        <v>0.18479631262643353</v>
      </c>
      <c r="O35" s="3">
        <f t="shared" si="66"/>
        <v>0.20308822736639792</v>
      </c>
      <c r="P35" s="3">
        <f t="shared" si="66"/>
        <v>0.22053309329783272</v>
      </c>
      <c r="Q35" s="3">
        <f t="shared" si="66"/>
        <v>0.2371705470493827</v>
      </c>
      <c r="S35" s="3" t="s">
        <v>39</v>
      </c>
      <c r="T35" s="3">
        <v>0.02</v>
      </c>
    </row>
    <row r="36" spans="2:116" s="3" customFormat="1" x14ac:dyDescent="0.25">
      <c r="B36" s="3" t="s">
        <v>35</v>
      </c>
      <c r="E36" s="3">
        <f>+E15/D15 -1</f>
        <v>0.31928157690397074</v>
      </c>
      <c r="F36" s="3">
        <f t="shared" ref="F36:Q36" si="67">+F15/E15 -1</f>
        <v>0.29459706270074482</v>
      </c>
      <c r="G36" s="3">
        <f t="shared" si="67"/>
        <v>-3.9897890316805462E-2</v>
      </c>
      <c r="H36" s="3">
        <f t="shared" si="67"/>
        <v>0.17647058823529416</v>
      </c>
      <c r="I36" s="3">
        <f t="shared" si="67"/>
        <v>0.12000000000000033</v>
      </c>
      <c r="J36" s="3">
        <f t="shared" si="67"/>
        <v>0.12000000000000011</v>
      </c>
      <c r="K36" s="3">
        <f t="shared" si="67"/>
        <v>0.12000000000000011</v>
      </c>
      <c r="L36" s="3">
        <f t="shared" si="67"/>
        <v>0.10000000000000009</v>
      </c>
      <c r="M36" s="3">
        <f t="shared" si="67"/>
        <v>0.10000000000000009</v>
      </c>
      <c r="N36" s="3">
        <f t="shared" si="67"/>
        <v>0.10000000000000009</v>
      </c>
      <c r="O36" s="3">
        <f t="shared" si="67"/>
        <v>9.9999999999999867E-2</v>
      </c>
      <c r="P36" s="3">
        <f t="shared" si="67"/>
        <v>0.10000000000000009</v>
      </c>
      <c r="Q36" s="3">
        <f t="shared" si="67"/>
        <v>9.9999999999999867E-2</v>
      </c>
      <c r="S36" s="3" t="s">
        <v>40</v>
      </c>
      <c r="T36" s="6">
        <f>NPV(T34,H43:DV43)</f>
        <v>5643971.5539511386</v>
      </c>
    </row>
    <row r="37" spans="2:116" s="1" customFormat="1" x14ac:dyDescent="0.25">
      <c r="S37" s="1" t="s">
        <v>48</v>
      </c>
      <c r="T37" s="1">
        <f>+G45-G47</f>
        <v>-265370</v>
      </c>
    </row>
    <row r="38" spans="2:116" s="1" customFormat="1" x14ac:dyDescent="0.25">
      <c r="B38" s="1" t="s">
        <v>18</v>
      </c>
      <c r="D38" s="1">
        <v>-47521</v>
      </c>
      <c r="E38" s="1">
        <v>307391</v>
      </c>
      <c r="F38" s="1">
        <v>261487</v>
      </c>
      <c r="G38" s="1">
        <v>192569</v>
      </c>
      <c r="H38" s="1">
        <f>+H30+H21</f>
        <v>-9533.0991764707142</v>
      </c>
      <c r="I38" s="1">
        <f t="shared" ref="I38:Q38" si="68">+I30+I21</f>
        <v>43724.840222647166</v>
      </c>
      <c r="J38" s="1">
        <f t="shared" si="68"/>
        <v>147020.04151615541</v>
      </c>
      <c r="K38" s="1">
        <f t="shared" si="68"/>
        <v>230931.54734873006</v>
      </c>
      <c r="L38" s="1">
        <f t="shared" si="68"/>
        <v>316423.2096529628</v>
      </c>
      <c r="M38" s="1">
        <f t="shared" si="68"/>
        <v>471297.00711482618</v>
      </c>
      <c r="N38" s="1">
        <f t="shared" si="68"/>
        <v>577279.90109371394</v>
      </c>
      <c r="O38" s="1">
        <f t="shared" si="68"/>
        <v>697465.27845193911</v>
      </c>
      <c r="P38" s="1">
        <f t="shared" si="68"/>
        <v>833463.03747092001</v>
      </c>
      <c r="Q38" s="1">
        <f t="shared" si="68"/>
        <v>987053.67918947409</v>
      </c>
      <c r="S38" s="1" t="s">
        <v>49</v>
      </c>
      <c r="T38" s="1">
        <f>+T36+T37</f>
        <v>5378601.5539511386</v>
      </c>
    </row>
    <row r="39" spans="2:116" s="1" customFormat="1" x14ac:dyDescent="0.25">
      <c r="B39" s="1" t="s">
        <v>19</v>
      </c>
      <c r="D39" s="1">
        <f>685+1648</f>
        <v>2333</v>
      </c>
      <c r="E39" s="1">
        <f>2009+1722+1706</f>
        <v>5437</v>
      </c>
      <c r="F39" s="1">
        <f>2625+2086+1666</f>
        <v>6377</v>
      </c>
      <c r="G39" s="1">
        <f>31532+1393+1455</f>
        <v>34380</v>
      </c>
      <c r="H39" s="1">
        <v>35000</v>
      </c>
      <c r="I39" s="1">
        <v>35000</v>
      </c>
      <c r="J39" s="1">
        <v>35000</v>
      </c>
      <c r="K39" s="1">
        <v>35000</v>
      </c>
      <c r="L39" s="1">
        <v>35000</v>
      </c>
      <c r="M39" s="1">
        <v>35000</v>
      </c>
      <c r="N39" s="1">
        <v>35000</v>
      </c>
      <c r="O39" s="1">
        <v>35000</v>
      </c>
      <c r="P39" s="1">
        <v>35000</v>
      </c>
      <c r="Q39" s="1">
        <v>35000</v>
      </c>
      <c r="S39" s="1" t="s">
        <v>44</v>
      </c>
      <c r="T39" s="1">
        <f>+T38/Q32</f>
        <v>17.186425916235574</v>
      </c>
    </row>
    <row r="40" spans="2:116" s="1" customFormat="1" x14ac:dyDescent="0.25">
      <c r="B40" s="1" t="s">
        <v>20</v>
      </c>
      <c r="D40" s="1">
        <f>+D38-D39</f>
        <v>-49854</v>
      </c>
      <c r="E40" s="1">
        <f>+E38-E39</f>
        <v>301954</v>
      </c>
      <c r="F40" s="1">
        <f>+F38-F39</f>
        <v>255110</v>
      </c>
      <c r="G40" s="1">
        <f>+G38-G39</f>
        <v>158189</v>
      </c>
      <c r="S40" s="1" t="s">
        <v>45</v>
      </c>
      <c r="T40" s="1">
        <v>8</v>
      </c>
    </row>
    <row r="41" spans="2:116" s="1" customFormat="1" x14ac:dyDescent="0.25">
      <c r="B41" s="1" t="s">
        <v>21</v>
      </c>
      <c r="D41" s="1">
        <v>21366</v>
      </c>
      <c r="E41" s="1">
        <v>34897</v>
      </c>
      <c r="F41" s="1">
        <v>7737</v>
      </c>
      <c r="G41" s="1">
        <v>1447668</v>
      </c>
      <c r="S41" s="1" t="s">
        <v>46</v>
      </c>
      <c r="T41" s="3">
        <f>+T39/T40 -1</f>
        <v>1.1483032395294468</v>
      </c>
    </row>
    <row r="42" spans="2:116" s="1" customFormat="1" x14ac:dyDescent="0.25">
      <c r="B42" s="1" t="s">
        <v>22</v>
      </c>
      <c r="D42" s="1">
        <f>+D40-D41</f>
        <v>-71220</v>
      </c>
      <c r="E42" s="1">
        <f>+E40-E41</f>
        <v>267057</v>
      </c>
      <c r="F42" s="1">
        <f>+F40-F41</f>
        <v>247373</v>
      </c>
      <c r="G42" s="1">
        <f>+G40-G41</f>
        <v>-1289479</v>
      </c>
    </row>
    <row r="43" spans="2:116" s="1" customFormat="1" x14ac:dyDescent="0.25">
      <c r="B43" s="1" t="s">
        <v>50</v>
      </c>
      <c r="G43" s="1">
        <f>+G38-G39+G24-G23</f>
        <v>255812</v>
      </c>
      <c r="H43" s="1">
        <f>+H38-H39+H24-H23</f>
        <v>51191.720823529278</v>
      </c>
      <c r="I43" s="1">
        <f t="shared" ref="I43:Q43" si="69">+I38-I39+I24-I23</f>
        <v>106232.1191814707</v>
      </c>
      <c r="J43" s="1">
        <f t="shared" si="69"/>
        <v>208672.9985438466</v>
      </c>
      <c r="K43" s="1">
        <f t="shared" si="69"/>
        <v>286592.06078221346</v>
      </c>
      <c r="L43" s="1">
        <f t="shared" si="69"/>
        <v>361922.87537024176</v>
      </c>
      <c r="M43" s="1">
        <f t="shared" si="69"/>
        <v>429751.25890638115</v>
      </c>
      <c r="N43" s="1">
        <f t="shared" si="69"/>
        <v>526884.89799462911</v>
      </c>
      <c r="O43" s="1">
        <f t="shared" si="69"/>
        <v>636112.89628766978</v>
      </c>
      <c r="P43" s="1">
        <f t="shared" si="69"/>
        <v>758761.33307343558</v>
      </c>
      <c r="Q43" s="1">
        <f t="shared" si="69"/>
        <v>896294.69704511133</v>
      </c>
      <c r="R43" s="1">
        <f>+Q43*(1+$T48)</f>
        <v>896294.69704511133</v>
      </c>
      <c r="S43" s="1">
        <f t="shared" ref="S43:CD43" si="70">+R43*(1+$T48)</f>
        <v>896294.69704511133</v>
      </c>
      <c r="T43" s="1">
        <f t="shared" si="70"/>
        <v>896294.69704511133</v>
      </c>
      <c r="U43" s="1">
        <f t="shared" si="70"/>
        <v>896294.69704511133</v>
      </c>
      <c r="V43" s="1">
        <f t="shared" si="70"/>
        <v>896294.69704511133</v>
      </c>
      <c r="W43" s="1">
        <f t="shared" si="70"/>
        <v>896294.69704511133</v>
      </c>
      <c r="X43" s="1">
        <f t="shared" si="70"/>
        <v>896294.69704511133</v>
      </c>
      <c r="Y43" s="1">
        <f t="shared" si="70"/>
        <v>896294.69704511133</v>
      </c>
      <c r="Z43" s="1">
        <f t="shared" si="70"/>
        <v>896294.69704511133</v>
      </c>
      <c r="AA43" s="1">
        <f t="shared" si="70"/>
        <v>896294.69704511133</v>
      </c>
      <c r="AB43" s="1">
        <f t="shared" si="70"/>
        <v>896294.69704511133</v>
      </c>
      <c r="AC43" s="1">
        <f t="shared" si="70"/>
        <v>896294.69704511133</v>
      </c>
      <c r="AD43" s="1">
        <f t="shared" si="70"/>
        <v>896294.69704511133</v>
      </c>
      <c r="AE43" s="1">
        <f t="shared" si="70"/>
        <v>896294.69704511133</v>
      </c>
      <c r="AF43" s="1">
        <f t="shared" si="70"/>
        <v>896294.69704511133</v>
      </c>
      <c r="AG43" s="1">
        <f t="shared" si="70"/>
        <v>896294.69704511133</v>
      </c>
      <c r="AH43" s="1">
        <f t="shared" si="70"/>
        <v>896294.69704511133</v>
      </c>
      <c r="AI43" s="1">
        <f t="shared" si="70"/>
        <v>896294.69704511133</v>
      </c>
      <c r="AJ43" s="1">
        <f t="shared" si="70"/>
        <v>896294.69704511133</v>
      </c>
      <c r="AK43" s="1">
        <f t="shared" si="70"/>
        <v>896294.69704511133</v>
      </c>
      <c r="AL43" s="1">
        <f t="shared" si="70"/>
        <v>896294.69704511133</v>
      </c>
      <c r="AM43" s="1">
        <f t="shared" si="70"/>
        <v>896294.69704511133</v>
      </c>
      <c r="AN43" s="1">
        <f t="shared" si="70"/>
        <v>896294.69704511133</v>
      </c>
      <c r="AO43" s="1">
        <f t="shared" si="70"/>
        <v>896294.69704511133</v>
      </c>
      <c r="AP43" s="1">
        <f t="shared" si="70"/>
        <v>896294.69704511133</v>
      </c>
      <c r="AQ43" s="1">
        <f t="shared" si="70"/>
        <v>896294.69704511133</v>
      </c>
      <c r="AR43" s="1">
        <f t="shared" si="70"/>
        <v>896294.69704511133</v>
      </c>
      <c r="AS43" s="1">
        <f t="shared" si="70"/>
        <v>896294.69704511133</v>
      </c>
      <c r="AT43" s="1">
        <f t="shared" si="70"/>
        <v>896294.69704511133</v>
      </c>
      <c r="AU43" s="1">
        <f t="shared" si="70"/>
        <v>896294.69704511133</v>
      </c>
      <c r="AV43" s="1">
        <f t="shared" si="70"/>
        <v>896294.69704511133</v>
      </c>
      <c r="AW43" s="1">
        <f t="shared" si="70"/>
        <v>896294.69704511133</v>
      </c>
      <c r="AX43" s="1">
        <f t="shared" si="70"/>
        <v>896294.69704511133</v>
      </c>
      <c r="AY43" s="1">
        <f t="shared" si="70"/>
        <v>896294.69704511133</v>
      </c>
      <c r="AZ43" s="1">
        <f t="shared" si="70"/>
        <v>896294.69704511133</v>
      </c>
      <c r="BA43" s="1">
        <f t="shared" si="70"/>
        <v>896294.69704511133</v>
      </c>
      <c r="BB43" s="1">
        <f t="shared" si="70"/>
        <v>896294.69704511133</v>
      </c>
      <c r="BC43" s="1">
        <f t="shared" si="70"/>
        <v>896294.69704511133</v>
      </c>
      <c r="BD43" s="1">
        <f t="shared" si="70"/>
        <v>896294.69704511133</v>
      </c>
      <c r="BE43" s="1">
        <f t="shared" si="70"/>
        <v>896294.69704511133</v>
      </c>
      <c r="BF43" s="1">
        <f t="shared" si="70"/>
        <v>896294.69704511133</v>
      </c>
      <c r="BG43" s="1">
        <f t="shared" si="70"/>
        <v>896294.69704511133</v>
      </c>
      <c r="BH43" s="1">
        <f t="shared" si="70"/>
        <v>896294.69704511133</v>
      </c>
      <c r="BI43" s="1">
        <f t="shared" si="70"/>
        <v>896294.69704511133</v>
      </c>
      <c r="BJ43" s="1">
        <f t="shared" si="70"/>
        <v>896294.69704511133</v>
      </c>
      <c r="BK43" s="1">
        <f t="shared" si="70"/>
        <v>896294.69704511133</v>
      </c>
      <c r="BL43" s="1">
        <f t="shared" si="70"/>
        <v>896294.69704511133</v>
      </c>
      <c r="BM43" s="1">
        <f t="shared" si="70"/>
        <v>896294.69704511133</v>
      </c>
      <c r="BN43" s="1">
        <f t="shared" si="70"/>
        <v>896294.69704511133</v>
      </c>
      <c r="BO43" s="1">
        <f t="shared" si="70"/>
        <v>896294.69704511133</v>
      </c>
      <c r="BP43" s="1">
        <f t="shared" si="70"/>
        <v>896294.69704511133</v>
      </c>
      <c r="BQ43" s="1">
        <f t="shared" si="70"/>
        <v>896294.69704511133</v>
      </c>
      <c r="BR43" s="1">
        <f t="shared" si="70"/>
        <v>896294.69704511133</v>
      </c>
      <c r="BS43" s="1">
        <f t="shared" si="70"/>
        <v>896294.69704511133</v>
      </c>
      <c r="BT43" s="1">
        <f t="shared" si="70"/>
        <v>896294.69704511133</v>
      </c>
      <c r="BU43" s="1">
        <f t="shared" si="70"/>
        <v>896294.69704511133</v>
      </c>
      <c r="BV43" s="1">
        <f t="shared" si="70"/>
        <v>896294.69704511133</v>
      </c>
      <c r="BW43" s="1">
        <f t="shared" si="70"/>
        <v>896294.69704511133</v>
      </c>
      <c r="BX43" s="1">
        <f t="shared" si="70"/>
        <v>896294.69704511133</v>
      </c>
      <c r="BY43" s="1">
        <f t="shared" si="70"/>
        <v>896294.69704511133</v>
      </c>
      <c r="BZ43" s="1">
        <f t="shared" si="70"/>
        <v>896294.69704511133</v>
      </c>
      <c r="CA43" s="1">
        <f t="shared" si="70"/>
        <v>896294.69704511133</v>
      </c>
      <c r="CB43" s="1">
        <f t="shared" si="70"/>
        <v>896294.69704511133</v>
      </c>
      <c r="CC43" s="1">
        <f t="shared" si="70"/>
        <v>896294.69704511133</v>
      </c>
      <c r="CD43" s="1">
        <f t="shared" si="70"/>
        <v>896294.69704511133</v>
      </c>
      <c r="CE43" s="1">
        <f t="shared" ref="CE43:DL43" si="71">+CD43*(1+$T48)</f>
        <v>896294.69704511133</v>
      </c>
      <c r="CF43" s="1">
        <f t="shared" si="71"/>
        <v>896294.69704511133</v>
      </c>
      <c r="CG43" s="1">
        <f t="shared" si="71"/>
        <v>896294.69704511133</v>
      </c>
      <c r="CH43" s="1">
        <f t="shared" si="71"/>
        <v>896294.69704511133</v>
      </c>
      <c r="CI43" s="1">
        <f t="shared" si="71"/>
        <v>896294.69704511133</v>
      </c>
      <c r="CJ43" s="1">
        <f t="shared" si="71"/>
        <v>896294.69704511133</v>
      </c>
      <c r="CK43" s="1">
        <f t="shared" si="71"/>
        <v>896294.69704511133</v>
      </c>
      <c r="CL43" s="1">
        <f t="shared" si="71"/>
        <v>896294.69704511133</v>
      </c>
      <c r="CM43" s="1">
        <f t="shared" si="71"/>
        <v>896294.69704511133</v>
      </c>
      <c r="CN43" s="1">
        <f t="shared" si="71"/>
        <v>896294.69704511133</v>
      </c>
      <c r="CO43" s="1">
        <f t="shared" si="71"/>
        <v>896294.69704511133</v>
      </c>
      <c r="CP43" s="1">
        <f t="shared" si="71"/>
        <v>896294.69704511133</v>
      </c>
      <c r="CQ43" s="1">
        <f t="shared" si="71"/>
        <v>896294.69704511133</v>
      </c>
      <c r="CR43" s="1">
        <f t="shared" si="71"/>
        <v>896294.69704511133</v>
      </c>
      <c r="CS43" s="1">
        <f t="shared" si="71"/>
        <v>896294.69704511133</v>
      </c>
      <c r="CT43" s="1">
        <f t="shared" si="71"/>
        <v>896294.69704511133</v>
      </c>
      <c r="CU43" s="1">
        <f t="shared" si="71"/>
        <v>896294.69704511133</v>
      </c>
      <c r="CV43" s="1">
        <f t="shared" si="71"/>
        <v>896294.69704511133</v>
      </c>
      <c r="CW43" s="1">
        <f t="shared" si="71"/>
        <v>896294.69704511133</v>
      </c>
      <c r="CX43" s="1">
        <f t="shared" si="71"/>
        <v>896294.69704511133</v>
      </c>
      <c r="CY43" s="1">
        <f t="shared" si="71"/>
        <v>896294.69704511133</v>
      </c>
      <c r="CZ43" s="1">
        <f t="shared" si="71"/>
        <v>896294.69704511133</v>
      </c>
      <c r="DA43" s="1">
        <f t="shared" si="71"/>
        <v>896294.69704511133</v>
      </c>
      <c r="DB43" s="1">
        <f t="shared" si="71"/>
        <v>896294.69704511133</v>
      </c>
      <c r="DC43" s="1">
        <f t="shared" si="71"/>
        <v>896294.69704511133</v>
      </c>
      <c r="DD43" s="1">
        <f t="shared" si="71"/>
        <v>896294.69704511133</v>
      </c>
      <c r="DE43" s="1">
        <f t="shared" si="71"/>
        <v>896294.69704511133</v>
      </c>
      <c r="DF43" s="1">
        <f t="shared" si="71"/>
        <v>896294.69704511133</v>
      </c>
      <c r="DG43" s="1">
        <f t="shared" si="71"/>
        <v>896294.69704511133</v>
      </c>
      <c r="DH43" s="1">
        <f t="shared" si="71"/>
        <v>896294.69704511133</v>
      </c>
      <c r="DI43" s="1">
        <f t="shared" si="71"/>
        <v>896294.69704511133</v>
      </c>
      <c r="DJ43" s="1">
        <f t="shared" si="71"/>
        <v>896294.69704511133</v>
      </c>
      <c r="DK43" s="1">
        <f t="shared" si="71"/>
        <v>896294.69704511133</v>
      </c>
      <c r="DL43" s="1">
        <f t="shared" si="71"/>
        <v>896294.69704511133</v>
      </c>
    </row>
    <row r="44" spans="2:116" s="1" customFormat="1" x14ac:dyDescent="0.25"/>
    <row r="45" spans="2:116" s="1" customFormat="1" x14ac:dyDescent="0.25">
      <c r="B45" s="1" t="s">
        <v>23</v>
      </c>
      <c r="E45" s="1">
        <v>775712</v>
      </c>
      <c r="F45" s="1">
        <v>1000965</v>
      </c>
      <c r="G45" s="1">
        <v>1241587</v>
      </c>
      <c r="H45" s="1">
        <f>+G45+H30/2</f>
        <v>1223762.4104117646</v>
      </c>
      <c r="I45" s="1">
        <f>+H45+I30/2</f>
        <v>1232305.6297230881</v>
      </c>
      <c r="J45" s="1">
        <f>+I45+J30/2</f>
        <v>1292230.0656651659</v>
      </c>
      <c r="K45" s="1">
        <f>+J45+K30/2</f>
        <v>1393838.5428272109</v>
      </c>
      <c r="L45" s="1">
        <f>+K45+L30-K47</f>
        <v>327287.41042225179</v>
      </c>
      <c r="M45" s="1">
        <f t="shared" ref="M45:Q45" si="72">+L45+M30</f>
        <v>769750.15495424252</v>
      </c>
      <c r="N45" s="1">
        <f t="shared" si="72"/>
        <v>1317619.1082134643</v>
      </c>
      <c r="O45" s="1">
        <f t="shared" si="72"/>
        <v>1985085.2198742214</v>
      </c>
      <c r="P45" s="1">
        <f t="shared" si="72"/>
        <v>2787949.1072181356</v>
      </c>
      <c r="Q45" s="1">
        <f t="shared" si="72"/>
        <v>3743791.653278064</v>
      </c>
    </row>
    <row r="46" spans="2:116" s="1" customFormat="1" x14ac:dyDescent="0.25">
      <c r="B46" s="1" t="s">
        <v>24</v>
      </c>
      <c r="E46" s="1">
        <v>4485</v>
      </c>
      <c r="F46" s="1">
        <v>6514</v>
      </c>
      <c r="G46" s="1">
        <v>73254</v>
      </c>
    </row>
    <row r="47" spans="2:116" s="1" customFormat="1" x14ac:dyDescent="0.25">
      <c r="B47" s="1" t="s">
        <v>25</v>
      </c>
      <c r="E47" s="1">
        <f>20280+2387831</f>
        <v>2408111</v>
      </c>
      <c r="F47" s="1">
        <f>19526+2311981</f>
        <v>2331507</v>
      </c>
      <c r="G47" s="1">
        <v>1506957</v>
      </c>
      <c r="H47" s="1">
        <f>+G47-H30/2</f>
        <v>1524781.5895882354</v>
      </c>
      <c r="I47" s="1">
        <f>+H47-I30/2</f>
        <v>1516238.3702769119</v>
      </c>
      <c r="J47" s="1">
        <f>+I47-J30/2</f>
        <v>1456313.9343348341</v>
      </c>
      <c r="K47" s="1">
        <f>+J47-K30/2</f>
        <v>1354705.4571727891</v>
      </c>
    </row>
    <row r="48" spans="2:116" s="1" customFormat="1" x14ac:dyDescent="0.25">
      <c r="B48" s="1" t="s">
        <v>26</v>
      </c>
      <c r="E48" s="1">
        <f>+E45+E46-E47</f>
        <v>-1627914</v>
      </c>
      <c r="F48" s="1">
        <f>+F45+F46-F47</f>
        <v>-1324028</v>
      </c>
      <c r="G48" s="1">
        <f>+G45+G46-G47</f>
        <v>-192116</v>
      </c>
    </row>
    <row r="49" spans="2:17" s="1" customFormat="1" x14ac:dyDescent="0.25"/>
    <row r="50" spans="2:17" s="3" customFormat="1" x14ac:dyDescent="0.25">
      <c r="B50" s="3" t="s">
        <v>5</v>
      </c>
      <c r="D50" s="3">
        <f>+D19/D$15</f>
        <v>0.62932049791890732</v>
      </c>
      <c r="E50" s="3">
        <f t="shared" ref="E50:G50" si="73">+E19/E$15</f>
        <v>0.37858288142520502</v>
      </c>
      <c r="F50" s="3">
        <f t="shared" si="73"/>
        <v>0.46761039056389053</v>
      </c>
      <c r="G50" s="3">
        <f t="shared" si="73"/>
        <v>0.57159823529411768</v>
      </c>
      <c r="H50" s="3">
        <f t="shared" ref="H50:Q50" si="74">+H19/H$15</f>
        <v>0.52872836764705888</v>
      </c>
      <c r="I50" s="3">
        <f t="shared" si="74"/>
        <v>0.50040363366596641</v>
      </c>
      <c r="J50" s="3">
        <f t="shared" si="74"/>
        <v>0.47359629614814674</v>
      </c>
      <c r="K50" s="3">
        <f t="shared" si="74"/>
        <v>0.44822506599735312</v>
      </c>
      <c r="L50" s="3">
        <f t="shared" si="74"/>
        <v>0.42785119936110982</v>
      </c>
      <c r="M50" s="3">
        <f t="shared" si="74"/>
        <v>0.40840341757196852</v>
      </c>
      <c r="N50" s="3">
        <f t="shared" si="74"/>
        <v>0.38983962586415166</v>
      </c>
      <c r="O50" s="3">
        <f t="shared" si="74"/>
        <v>0.37211964287032656</v>
      </c>
      <c r="P50" s="3">
        <f t="shared" si="74"/>
        <v>0.35520511364894808</v>
      </c>
      <c r="Q50" s="3">
        <f t="shared" si="74"/>
        <v>0.33905942666490491</v>
      </c>
    </row>
    <row r="51" spans="2:17" s="3" customFormat="1" x14ac:dyDescent="0.25">
      <c r="B51" s="3" t="s">
        <v>4</v>
      </c>
      <c r="D51" s="3">
        <f>+D20/D$15</f>
        <v>0.24897488702295231</v>
      </c>
      <c r="E51" s="3">
        <f>+E20/E$15</f>
        <v>0.20139809419917395</v>
      </c>
      <c r="F51" s="3">
        <f>+F20/F$15</f>
        <v>0.21829954621056169</v>
      </c>
      <c r="G51" s="3">
        <f>+G20/G$15</f>
        <v>0.15703529411764705</v>
      </c>
      <c r="H51" s="3">
        <f t="shared" ref="H51:Q51" si="75">+H20/H$15</f>
        <v>0.22</v>
      </c>
      <c r="I51" s="3">
        <f t="shared" si="75"/>
        <v>0.22</v>
      </c>
      <c r="J51" s="3">
        <f t="shared" si="75"/>
        <v>0.2</v>
      </c>
      <c r="K51" s="3">
        <f t="shared" si="75"/>
        <v>0.2</v>
      </c>
      <c r="L51" s="3">
        <f t="shared" si="75"/>
        <v>0.2</v>
      </c>
      <c r="M51" s="3">
        <f t="shared" si="75"/>
        <v>0.2</v>
      </c>
      <c r="N51" s="3">
        <f t="shared" si="75"/>
        <v>0.2</v>
      </c>
      <c r="O51" s="3">
        <f t="shared" si="75"/>
        <v>0.2</v>
      </c>
      <c r="P51" s="3">
        <f t="shared" si="75"/>
        <v>0.2</v>
      </c>
      <c r="Q51" s="3">
        <f t="shared" si="75"/>
        <v>0.2</v>
      </c>
    </row>
    <row r="52" spans="2:17" s="1" customFormat="1" x14ac:dyDescent="0.25"/>
    <row r="53" spans="2:17" s="3" customFormat="1" x14ac:dyDescent="0.25">
      <c r="B53" s="3" t="s">
        <v>36</v>
      </c>
      <c r="E53" s="3">
        <f>+E23/E45</f>
        <v>2.9023658264923063E-2</v>
      </c>
      <c r="F53" s="3">
        <f>+F23/F45</f>
        <v>4.1078359383195213E-2</v>
      </c>
      <c r="G53" s="3">
        <f>+G23/G45</f>
        <v>3.4159507146901504E-2</v>
      </c>
    </row>
    <row r="54" spans="2:17" s="3" customFormat="1" x14ac:dyDescent="0.25">
      <c r="B54" s="3" t="s">
        <v>37</v>
      </c>
      <c r="E54" s="3">
        <f>+E24/E47</f>
        <v>6.4756981717204898E-2</v>
      </c>
      <c r="F54" s="3">
        <f>+F24/F47</f>
        <v>7.7108067871981517E-2</v>
      </c>
      <c r="G54" s="3">
        <f>+G24/G47</f>
        <v>9.2925677375001417E-2</v>
      </c>
    </row>
    <row r="55" spans="2:17" s="1" customFormat="1" x14ac:dyDescent="0.25"/>
    <row r="56" spans="2:17" s="1" customFormat="1" x14ac:dyDescent="0.25"/>
    <row r="57" spans="2:17" s="1" customFormat="1" x14ac:dyDescent="0.25"/>
    <row r="58" spans="2:17" s="1" customFormat="1" x14ac:dyDescent="0.25"/>
    <row r="59" spans="2:17" s="1" customFormat="1" x14ac:dyDescent="0.25"/>
    <row r="60" spans="2:17" s="1" customFormat="1" x14ac:dyDescent="0.25"/>
    <row r="61" spans="2:17" s="1" customFormat="1" x14ac:dyDescent="0.25"/>
    <row r="62" spans="2:17" s="1" customFormat="1" x14ac:dyDescent="0.25"/>
    <row r="63" spans="2:17" s="1" customFormat="1" x14ac:dyDescent="0.25"/>
    <row r="64" spans="2:17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2026-02-01T14:35:04Z</dcterms:created>
  <dcterms:modified xsi:type="dcterms:W3CDTF">2026-03-10T15:12:58Z</dcterms:modified>
</cp:coreProperties>
</file>