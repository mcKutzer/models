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9FFFDABA-F111-42FA-A9D8-0F3B860AA593}" xr6:coauthVersionLast="47" xr6:coauthVersionMax="47" xr10:uidLastSave="{00000000-0000-0000-0000-000000000000}"/>
  <bookViews>
    <workbookView xWindow="-120" yWindow="-120" windowWidth="29040" windowHeight="15840" xr2:uid="{0D1C4467-A5DE-47AA-81F0-909F840C3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1" l="1"/>
  <c r="M22" i="1"/>
  <c r="N22" i="1" s="1"/>
  <c r="K22" i="1"/>
  <c r="K21" i="1"/>
  <c r="L21" i="1"/>
  <c r="J21" i="1"/>
  <c r="J22" i="1"/>
  <c r="W27" i="1"/>
  <c r="I40" i="1"/>
  <c r="H40" i="1"/>
  <c r="E40" i="1"/>
  <c r="C40" i="1"/>
  <c r="D39" i="1"/>
  <c r="D38" i="1"/>
  <c r="I36" i="1"/>
  <c r="H36" i="1"/>
  <c r="I30" i="1"/>
  <c r="H30" i="1"/>
  <c r="E30" i="1"/>
  <c r="C30" i="1"/>
  <c r="D29" i="1"/>
  <c r="D28" i="1"/>
  <c r="D19" i="1"/>
  <c r="D17" i="1"/>
  <c r="D16" i="1"/>
  <c r="D14" i="1"/>
  <c r="K13" i="1"/>
  <c r="K44" i="1" s="1"/>
  <c r="I13" i="1"/>
  <c r="D13" i="1" s="1"/>
  <c r="H13" i="1"/>
  <c r="E13" i="1"/>
  <c r="E44" i="1" s="1"/>
  <c r="C13" i="1"/>
  <c r="D12" i="1"/>
  <c r="D11" i="1"/>
  <c r="D9" i="1"/>
  <c r="L8" i="1"/>
  <c r="L9" i="1" s="1"/>
  <c r="L10" i="1" s="1"/>
  <c r="K8" i="1"/>
  <c r="K9" i="1" s="1"/>
  <c r="K10" i="1" s="1"/>
  <c r="I8" i="1"/>
  <c r="I43" i="1" s="1"/>
  <c r="H8" i="1"/>
  <c r="H43" i="1" s="1"/>
  <c r="F8" i="1"/>
  <c r="F10" i="1" s="1"/>
  <c r="F15" i="1" s="1"/>
  <c r="F18" i="1" s="1"/>
  <c r="F20" i="1" s="1"/>
  <c r="E8" i="1"/>
  <c r="E43" i="1" s="1"/>
  <c r="C8" i="1"/>
  <c r="C10" i="1" s="1"/>
  <c r="J7" i="1"/>
  <c r="D7" i="1"/>
  <c r="D6" i="1"/>
  <c r="M5" i="1"/>
  <c r="M8" i="1" s="1"/>
  <c r="J5" i="1"/>
  <c r="D5" i="1"/>
  <c r="I2" i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O22" i="1" l="1"/>
  <c r="N21" i="1"/>
  <c r="M21" i="1"/>
  <c r="J8" i="1"/>
  <c r="D30" i="1"/>
  <c r="D8" i="1"/>
  <c r="D10" i="1" s="1"/>
  <c r="I26" i="1"/>
  <c r="K11" i="1"/>
  <c r="K42" i="1" s="1"/>
  <c r="K12" i="1"/>
  <c r="K43" i="1" s="1"/>
  <c r="D40" i="1"/>
  <c r="L11" i="1"/>
  <c r="L42" i="1" s="1"/>
  <c r="L12" i="1"/>
  <c r="L43" i="1" s="1"/>
  <c r="N5" i="1"/>
  <c r="N8" i="1" s="1"/>
  <c r="N26" i="1" s="1"/>
  <c r="H44" i="1"/>
  <c r="K24" i="1"/>
  <c r="J12" i="1"/>
  <c r="J43" i="1" s="1"/>
  <c r="J11" i="1"/>
  <c r="J42" i="1" s="1"/>
  <c r="J26" i="1"/>
  <c r="J9" i="1"/>
  <c r="J10" i="1" s="1"/>
  <c r="J13" i="1"/>
  <c r="J44" i="1" s="1"/>
  <c r="D15" i="1"/>
  <c r="D24" i="1"/>
  <c r="L24" i="1"/>
  <c r="C15" i="1"/>
  <c r="C24" i="1"/>
  <c r="M9" i="1"/>
  <c r="M12" i="1"/>
  <c r="M43" i="1" s="1"/>
  <c r="M10" i="1"/>
  <c r="M26" i="1"/>
  <c r="M13" i="1"/>
  <c r="M44" i="1" s="1"/>
  <c r="M11" i="1"/>
  <c r="M42" i="1" s="1"/>
  <c r="I44" i="1"/>
  <c r="L13" i="1"/>
  <c r="L44" i="1" s="1"/>
  <c r="K26" i="1"/>
  <c r="L26" i="1"/>
  <c r="E10" i="1"/>
  <c r="E42" i="1"/>
  <c r="H10" i="1"/>
  <c r="H42" i="1"/>
  <c r="I10" i="1"/>
  <c r="I42" i="1"/>
  <c r="P22" i="1" l="1"/>
  <c r="O21" i="1"/>
  <c r="N11" i="1"/>
  <c r="N42" i="1" s="1"/>
  <c r="N9" i="1"/>
  <c r="N10" i="1" s="1"/>
  <c r="N12" i="1"/>
  <c r="N43" i="1" s="1"/>
  <c r="N13" i="1"/>
  <c r="N44" i="1" s="1"/>
  <c r="K15" i="1"/>
  <c r="K25" i="1" s="1"/>
  <c r="L15" i="1"/>
  <c r="O5" i="1"/>
  <c r="O8" i="1" s="1"/>
  <c r="J24" i="1"/>
  <c r="J15" i="1"/>
  <c r="N15" i="1"/>
  <c r="N24" i="1"/>
  <c r="M15" i="1"/>
  <c r="M24" i="1"/>
  <c r="H24" i="1"/>
  <c r="H15" i="1"/>
  <c r="C25" i="1"/>
  <c r="C18" i="1"/>
  <c r="C20" i="1" s="1"/>
  <c r="L25" i="1"/>
  <c r="L18" i="1"/>
  <c r="E24" i="1"/>
  <c r="E15" i="1"/>
  <c r="I24" i="1"/>
  <c r="I15" i="1"/>
  <c r="D25" i="1"/>
  <c r="D18" i="1"/>
  <c r="D20" i="1" s="1"/>
  <c r="Q22" i="1" l="1"/>
  <c r="P21" i="1"/>
  <c r="P5" i="1"/>
  <c r="K18" i="1"/>
  <c r="K19" i="1" s="1"/>
  <c r="K20" i="1" s="1"/>
  <c r="O9" i="1"/>
  <c r="O12" i="1"/>
  <c r="O43" i="1" s="1"/>
  <c r="O26" i="1"/>
  <c r="O13" i="1"/>
  <c r="O44" i="1" s="1"/>
  <c r="O11" i="1"/>
  <c r="O42" i="1" s="1"/>
  <c r="O10" i="1"/>
  <c r="H25" i="1"/>
  <c r="H18" i="1"/>
  <c r="H20" i="1" s="1"/>
  <c r="P8" i="1"/>
  <c r="Q5" i="1"/>
  <c r="M25" i="1"/>
  <c r="M18" i="1"/>
  <c r="E25" i="1"/>
  <c r="E18" i="1"/>
  <c r="E20" i="1" s="1"/>
  <c r="I25" i="1"/>
  <c r="I18" i="1"/>
  <c r="I20" i="1" s="1"/>
  <c r="N25" i="1"/>
  <c r="N18" i="1"/>
  <c r="L19" i="1"/>
  <c r="L20" i="1" s="1"/>
  <c r="J25" i="1"/>
  <c r="J18" i="1"/>
  <c r="Q21" i="1" l="1"/>
  <c r="R22" i="1"/>
  <c r="O15" i="1"/>
  <c r="O24" i="1"/>
  <c r="J19" i="1"/>
  <c r="J20" i="1" s="1"/>
  <c r="Q8" i="1"/>
  <c r="R5" i="1"/>
  <c r="P9" i="1"/>
  <c r="P26" i="1"/>
  <c r="P13" i="1"/>
  <c r="P44" i="1" s="1"/>
  <c r="P12" i="1"/>
  <c r="P43" i="1" s="1"/>
  <c r="P11" i="1"/>
  <c r="P42" i="1" s="1"/>
  <c r="P10" i="1"/>
  <c r="M20" i="1"/>
  <c r="M19" i="1"/>
  <c r="N19" i="1"/>
  <c r="N20" i="1" s="1"/>
  <c r="R21" i="1" l="1"/>
  <c r="S22" i="1"/>
  <c r="S5" i="1"/>
  <c r="R8" i="1"/>
  <c r="P15" i="1"/>
  <c r="P24" i="1"/>
  <c r="Q9" i="1"/>
  <c r="Q26" i="1"/>
  <c r="Q13" i="1"/>
  <c r="Q44" i="1" s="1"/>
  <c r="Q11" i="1"/>
  <c r="Q42" i="1" s="1"/>
  <c r="Q12" i="1"/>
  <c r="Q43" i="1" s="1"/>
  <c r="Q10" i="1"/>
  <c r="O25" i="1"/>
  <c r="O18" i="1"/>
  <c r="S21" i="1" l="1"/>
  <c r="T22" i="1"/>
  <c r="T21" i="1" s="1"/>
  <c r="O19" i="1"/>
  <c r="O20" i="1" s="1"/>
  <c r="Q15" i="1"/>
  <c r="Q24" i="1"/>
  <c r="R9" i="1"/>
  <c r="R26" i="1"/>
  <c r="R13" i="1"/>
  <c r="R44" i="1" s="1"/>
  <c r="R12" i="1"/>
  <c r="R43" i="1" s="1"/>
  <c r="R11" i="1"/>
  <c r="R42" i="1" s="1"/>
  <c r="R10" i="1"/>
  <c r="P25" i="1"/>
  <c r="P18" i="1"/>
  <c r="S8" i="1"/>
  <c r="T5" i="1"/>
  <c r="T8" i="1" s="1"/>
  <c r="P19" i="1" l="1"/>
  <c r="P20" i="1" s="1"/>
  <c r="Q25" i="1"/>
  <c r="Q18" i="1"/>
  <c r="R24" i="1"/>
  <c r="R15" i="1"/>
  <c r="T13" i="1"/>
  <c r="T44" i="1" s="1"/>
  <c r="T12" i="1"/>
  <c r="T43" i="1" s="1"/>
  <c r="T11" i="1"/>
  <c r="T42" i="1" s="1"/>
  <c r="T9" i="1"/>
  <c r="T10" i="1" s="1"/>
  <c r="T26" i="1"/>
  <c r="S26" i="1"/>
  <c r="S13" i="1"/>
  <c r="S44" i="1" s="1"/>
  <c r="S12" i="1"/>
  <c r="S43" i="1" s="1"/>
  <c r="S11" i="1"/>
  <c r="S42" i="1" s="1"/>
  <c r="S9" i="1"/>
  <c r="S10" i="1" s="1"/>
  <c r="T24" i="1" l="1"/>
  <c r="T15" i="1"/>
  <c r="S24" i="1"/>
  <c r="S15" i="1"/>
  <c r="Q19" i="1"/>
  <c r="Q20" i="1" s="1"/>
  <c r="R25" i="1"/>
  <c r="R18" i="1"/>
  <c r="R19" i="1" l="1"/>
  <c r="R20" i="1" s="1"/>
  <c r="T25" i="1"/>
  <c r="T18" i="1"/>
  <c r="S25" i="1"/>
  <c r="S18" i="1"/>
  <c r="S19" i="1" l="1"/>
  <c r="S20" i="1"/>
  <c r="T19" i="1"/>
  <c r="T20" i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W26" i="1" s="1"/>
  <c r="W28" i="1" s="1"/>
  <c r="W30" i="1" s="1"/>
</calcChain>
</file>

<file path=xl/sharedStrings.xml><?xml version="1.0" encoding="utf-8"?>
<sst xmlns="http://schemas.openxmlformats.org/spreadsheetml/2006/main" count="46" uniqueCount="43">
  <si>
    <t>A$</t>
  </si>
  <si>
    <t>H1 24</t>
  </si>
  <si>
    <t>H2 24</t>
  </si>
  <si>
    <t>H1 25</t>
  </si>
  <si>
    <t>H2 25</t>
  </si>
  <si>
    <t>Revenue</t>
  </si>
  <si>
    <t>Other Income</t>
  </si>
  <si>
    <t>Interest Revenue</t>
  </si>
  <si>
    <t>Total Revenue</t>
  </si>
  <si>
    <t>COGS</t>
  </si>
  <si>
    <t>Gross Profit</t>
  </si>
  <si>
    <t>R&amp;D</t>
  </si>
  <si>
    <t>S&amp;M</t>
  </si>
  <si>
    <t>G&amp;A</t>
  </si>
  <si>
    <t>SBC</t>
  </si>
  <si>
    <t>Operating Income</t>
  </si>
  <si>
    <t>Currencies, net</t>
  </si>
  <si>
    <t>Finance cost</t>
  </si>
  <si>
    <t>Pretax</t>
  </si>
  <si>
    <t>Taxes</t>
  </si>
  <si>
    <t>Net Income</t>
  </si>
  <si>
    <t>Gross Margin</t>
  </si>
  <si>
    <t>Discount</t>
  </si>
  <si>
    <t>Operating Margin</t>
  </si>
  <si>
    <t>Terminal</t>
  </si>
  <si>
    <t>Revenue Y/Y</t>
  </si>
  <si>
    <t>NPV</t>
  </si>
  <si>
    <t>Net Cash</t>
  </si>
  <si>
    <t>CFFO</t>
  </si>
  <si>
    <t>Value</t>
  </si>
  <si>
    <t>CapEx</t>
  </si>
  <si>
    <t>FCF</t>
  </si>
  <si>
    <t>Cash</t>
  </si>
  <si>
    <t>Inventory</t>
  </si>
  <si>
    <t>PP&amp;E</t>
  </si>
  <si>
    <t>Debt</t>
  </si>
  <si>
    <t>Equity</t>
  </si>
  <si>
    <t>Current Assets</t>
  </si>
  <si>
    <t>Current Liabilities</t>
  </si>
  <si>
    <t>Working Capital</t>
  </si>
  <si>
    <t>Shares</t>
  </si>
  <si>
    <t>Share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</si>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</sst>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3" fontId="0" fillId="0" borderId="0" xfId="1" applyNumberFormat="1" applyFont="1"/>
    <xf numFmtId="165" fontId="0" fillId="0" borderId="0" xfId="0" applyNumberFormat="1"/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54644</xdr:colOff>
      <xdr:row>2</xdr:row>
      <xdr:rowOff>54142</xdr:rowOff>
    </xdr:from>
    <xdr:to>
      <xdr:col>9</xdr:col>
      <xdr:colOff>64169</xdr:colOff>
      <xdr:row>38</xdr:row>
      <xdr:rowOff>92242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9D4DA81-3B39-6A11-7F57-633004BD680C}"/>
            </a:ext>
          </a:extLst>
        </xdr:cNvPr>
        <xdr:cNvCxnSpPr/>
      </xdr:nvCxnSpPr>
      <xdr:spPr>
        <a:xfrm flipH="1">
          <a:off x="5624262" y="435142"/>
          <a:ext cx="9525" cy="6896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107D-86FF-4A8C-BEA8-2D27F56D0DA1}">
  <dimension ref="A1:EI103"/>
  <sheetViews>
    <sheetView tabSelected="1" zoomScale="190" zoomScaleNormal="190" workbookViewId="0">
      <pane xSplit="2" ySplit="2" topLeftCell="H12" activePane="bottomRight" state="frozen"/>
      <selection pane="topRight" activeCell="C1" sqref="C1"/>
      <selection pane="bottomLeft" activeCell="A3" sqref="A3"/>
      <selection pane="bottomRight" activeCell="O12" sqref="O12"/>
    </sheetView>
  </sheetViews>
  <sheetFormatPr defaultRowHeight="15" x14ac:dyDescent="0.25"/>
  <cols>
    <col min="1" max="1" width="2.85546875" customWidth="1"/>
    <col min="2" max="2" width="16.42578125" bestFit="1" customWidth="1"/>
    <col min="23" max="23" width="11" bestFit="1" customWidth="1"/>
  </cols>
  <sheetData>
    <row r="1" spans="1:20" x14ac:dyDescent="0.25">
      <c r="A1" t="s">
        <v>0</v>
      </c>
    </row>
    <row r="2" spans="1:20" x14ac:dyDescent="0.25">
      <c r="C2" t="s">
        <v>1</v>
      </c>
      <c r="D2" t="s">
        <v>2</v>
      </c>
      <c r="E2" t="s">
        <v>3</v>
      </c>
      <c r="F2" t="s">
        <v>4</v>
      </c>
      <c r="H2">
        <v>2023</v>
      </c>
      <c r="I2">
        <f>+H2+1</f>
        <v>2024</v>
      </c>
      <c r="J2">
        <f>+I2+1</f>
        <v>2025</v>
      </c>
      <c r="K2">
        <f>+J2+1</f>
        <v>2026</v>
      </c>
      <c r="L2">
        <f t="shared" ref="L2:T2" si="0">+K2+1</f>
        <v>2027</v>
      </c>
      <c r="M2">
        <f t="shared" si="0"/>
        <v>2028</v>
      </c>
      <c r="N2">
        <f t="shared" si="0"/>
        <v>2029</v>
      </c>
      <c r="O2">
        <f t="shared" si="0"/>
        <v>2030</v>
      </c>
      <c r="P2">
        <f t="shared" si="0"/>
        <v>2031</v>
      </c>
      <c r="Q2">
        <f t="shared" si="0"/>
        <v>2032</v>
      </c>
      <c r="R2">
        <f t="shared" si="0"/>
        <v>2033</v>
      </c>
      <c r="S2">
        <f t="shared" si="0"/>
        <v>2034</v>
      </c>
      <c r="T2">
        <f t="shared" si="0"/>
        <v>2035</v>
      </c>
    </row>
    <row r="3" spans="1:20" s="1" customFormat="1" x14ac:dyDescent="0.25"/>
    <row r="4" spans="1:20" s="1" customFormat="1" x14ac:dyDescent="0.25"/>
    <row r="5" spans="1:20" s="1" customFormat="1" x14ac:dyDescent="0.25">
      <c r="B5" s="1" t="s">
        <v>5</v>
      </c>
      <c r="C5" s="1">
        <v>23308</v>
      </c>
      <c r="D5" s="1">
        <f>+I5-C5</f>
        <v>34221</v>
      </c>
      <c r="E5" s="1">
        <v>72324</v>
      </c>
      <c r="H5" s="1">
        <v>54089</v>
      </c>
      <c r="I5" s="1">
        <v>57529</v>
      </c>
      <c r="J5" s="1">
        <f>+E5+92900+50000</f>
        <v>215224</v>
      </c>
      <c r="K5" s="1">
        <v>300000</v>
      </c>
      <c r="L5" s="1">
        <v>375000</v>
      </c>
      <c r="M5" s="1">
        <f>+L5*1.2</f>
        <v>450000</v>
      </c>
      <c r="N5" s="1">
        <f>+M5*1.15</f>
        <v>517499.99999999994</v>
      </c>
      <c r="O5" s="1">
        <f t="shared" ref="O5:T5" si="1">+N5*1.15</f>
        <v>595124.99999999988</v>
      </c>
      <c r="P5" s="1">
        <f t="shared" si="1"/>
        <v>684393.74999999977</v>
      </c>
      <c r="Q5" s="1">
        <f>+P5*1.12</f>
        <v>766520.99999999977</v>
      </c>
      <c r="R5" s="1">
        <f>+Q5*1.12</f>
        <v>858503.51999999979</v>
      </c>
      <c r="S5" s="1">
        <f>+R5*1.12</f>
        <v>961523.94239999983</v>
      </c>
      <c r="T5" s="1">
        <f>+S5*1.12</f>
        <v>1076906.8154879999</v>
      </c>
    </row>
    <row r="6" spans="1:20" s="1" customFormat="1" x14ac:dyDescent="0.25">
      <c r="B6" s="1" t="s">
        <v>6</v>
      </c>
      <c r="C6" s="1">
        <v>95</v>
      </c>
      <c r="D6" s="1">
        <f>+I6-C6</f>
        <v>387</v>
      </c>
      <c r="E6" s="1">
        <v>237</v>
      </c>
      <c r="H6" s="1">
        <v>115</v>
      </c>
      <c r="I6" s="1">
        <v>482</v>
      </c>
      <c r="J6" s="1">
        <v>500</v>
      </c>
      <c r="K6" s="1">
        <v>500</v>
      </c>
      <c r="L6" s="1">
        <v>500</v>
      </c>
      <c r="M6" s="1">
        <v>500</v>
      </c>
      <c r="N6" s="1">
        <v>500</v>
      </c>
      <c r="O6" s="1">
        <v>500</v>
      </c>
      <c r="P6" s="1">
        <v>500</v>
      </c>
      <c r="Q6" s="1">
        <v>500</v>
      </c>
      <c r="R6" s="1">
        <v>500</v>
      </c>
      <c r="S6" s="1">
        <v>500</v>
      </c>
      <c r="T6" s="1">
        <v>500</v>
      </c>
    </row>
    <row r="7" spans="1:20" s="1" customFormat="1" x14ac:dyDescent="0.25">
      <c r="B7" s="1" t="s">
        <v>7</v>
      </c>
      <c r="C7" s="1">
        <v>682</v>
      </c>
      <c r="D7" s="1">
        <f>+I7-C7</f>
        <v>5231</v>
      </c>
      <c r="E7" s="1">
        <v>4243</v>
      </c>
      <c r="H7" s="1">
        <v>974</v>
      </c>
      <c r="I7" s="1">
        <v>5913</v>
      </c>
      <c r="J7" s="1">
        <f>+E7*2</f>
        <v>8486</v>
      </c>
      <c r="K7" s="1">
        <v>8500</v>
      </c>
      <c r="L7" s="1">
        <v>8500</v>
      </c>
      <c r="M7" s="1">
        <v>8500</v>
      </c>
      <c r="N7" s="1">
        <v>8500</v>
      </c>
      <c r="O7" s="1">
        <v>8500</v>
      </c>
      <c r="P7" s="1">
        <v>8500</v>
      </c>
      <c r="Q7" s="1">
        <v>8500</v>
      </c>
      <c r="R7" s="1">
        <v>8500</v>
      </c>
      <c r="S7" s="1">
        <v>8500</v>
      </c>
      <c r="T7" s="1">
        <v>8500</v>
      </c>
    </row>
    <row r="8" spans="1:20" s="2" customFormat="1" x14ac:dyDescent="0.25">
      <c r="B8" s="2" t="s">
        <v>8</v>
      </c>
      <c r="C8" s="2">
        <f t="shared" ref="C8:F8" si="2">+SUM(C5:C7)</f>
        <v>24085</v>
      </c>
      <c r="D8" s="2">
        <f t="shared" si="2"/>
        <v>39839</v>
      </c>
      <c r="E8" s="2">
        <f t="shared" si="2"/>
        <v>76804</v>
      </c>
      <c r="F8" s="2">
        <f t="shared" si="2"/>
        <v>0</v>
      </c>
      <c r="H8" s="2">
        <f>+SUM(H5:H7)</f>
        <v>55178</v>
      </c>
      <c r="I8" s="2">
        <f t="shared" ref="I8:T8" si="3">+SUM(I5:I7)</f>
        <v>63924</v>
      </c>
      <c r="J8" s="2">
        <f t="shared" si="3"/>
        <v>224210</v>
      </c>
      <c r="K8" s="2">
        <f t="shared" si="3"/>
        <v>309000</v>
      </c>
      <c r="L8" s="2">
        <f t="shared" si="3"/>
        <v>384000</v>
      </c>
      <c r="M8" s="2">
        <f t="shared" si="3"/>
        <v>459000</v>
      </c>
      <c r="N8" s="2">
        <f t="shared" si="3"/>
        <v>526500</v>
      </c>
      <c r="O8" s="2">
        <f t="shared" si="3"/>
        <v>604124.99999999988</v>
      </c>
      <c r="P8" s="2">
        <f t="shared" si="3"/>
        <v>693393.74999999977</v>
      </c>
      <c r="Q8" s="2">
        <f t="shared" si="3"/>
        <v>775520.99999999977</v>
      </c>
      <c r="R8" s="2">
        <f t="shared" si="3"/>
        <v>867503.51999999979</v>
      </c>
      <c r="S8" s="2">
        <f t="shared" si="3"/>
        <v>970523.94239999983</v>
      </c>
      <c r="T8" s="2">
        <f t="shared" si="3"/>
        <v>1085906.8154879999</v>
      </c>
    </row>
    <row r="9" spans="1:20" s="1" customFormat="1" x14ac:dyDescent="0.25">
      <c r="B9" s="1" t="s">
        <v>9</v>
      </c>
      <c r="C9" s="1">
        <v>6614</v>
      </c>
      <c r="D9" s="1">
        <f>+I9-C9</f>
        <v>9670</v>
      </c>
      <c r="E9" s="1">
        <v>25029</v>
      </c>
      <c r="H9" s="1">
        <v>15137</v>
      </c>
      <c r="I9" s="1">
        <v>16284</v>
      </c>
      <c r="J9" s="1">
        <f>+J8*0.25</f>
        <v>56052.5</v>
      </c>
      <c r="K9" s="1">
        <f t="shared" ref="K9:T9" si="4">+K8*0.25</f>
        <v>77250</v>
      </c>
      <c r="L9" s="1">
        <f t="shared" si="4"/>
        <v>96000</v>
      </c>
      <c r="M9" s="1">
        <f t="shared" si="4"/>
        <v>114750</v>
      </c>
      <c r="N9" s="1">
        <f t="shared" si="4"/>
        <v>131625</v>
      </c>
      <c r="O9" s="1">
        <f t="shared" si="4"/>
        <v>151031.24999999997</v>
      </c>
      <c r="P9" s="1">
        <f t="shared" si="4"/>
        <v>173348.43749999994</v>
      </c>
      <c r="Q9" s="1">
        <f t="shared" si="4"/>
        <v>193880.24999999994</v>
      </c>
      <c r="R9" s="1">
        <f t="shared" si="4"/>
        <v>216875.87999999995</v>
      </c>
      <c r="S9" s="1">
        <f t="shared" si="4"/>
        <v>242630.98559999996</v>
      </c>
      <c r="T9" s="1">
        <f t="shared" si="4"/>
        <v>271476.70387199998</v>
      </c>
    </row>
    <row r="10" spans="1:20" s="1" customFormat="1" x14ac:dyDescent="0.25">
      <c r="B10" s="1" t="s">
        <v>10</v>
      </c>
      <c r="C10" s="1">
        <f t="shared" ref="C10:F10" si="5">+C8-C9</f>
        <v>17471</v>
      </c>
      <c r="D10" s="1">
        <f t="shared" si="5"/>
        <v>30169</v>
      </c>
      <c r="E10" s="1">
        <f t="shared" si="5"/>
        <v>51775</v>
      </c>
      <c r="F10" s="1">
        <f t="shared" si="5"/>
        <v>0</v>
      </c>
      <c r="H10" s="1">
        <f>+H8-H9</f>
        <v>40041</v>
      </c>
      <c r="I10" s="1">
        <f>+I8-I9</f>
        <v>47640</v>
      </c>
      <c r="J10" s="1">
        <f t="shared" ref="J10:T10" si="6">+J8-J9</f>
        <v>168157.5</v>
      </c>
      <c r="K10" s="1">
        <f t="shared" si="6"/>
        <v>231750</v>
      </c>
      <c r="L10" s="1">
        <f t="shared" si="6"/>
        <v>288000</v>
      </c>
      <c r="M10" s="1">
        <f t="shared" si="6"/>
        <v>344250</v>
      </c>
      <c r="N10" s="1">
        <f t="shared" si="6"/>
        <v>394875</v>
      </c>
      <c r="O10" s="1">
        <f t="shared" si="6"/>
        <v>453093.74999999988</v>
      </c>
      <c r="P10" s="1">
        <f t="shared" si="6"/>
        <v>520045.31249999983</v>
      </c>
      <c r="Q10" s="1">
        <f t="shared" si="6"/>
        <v>581640.74999999977</v>
      </c>
      <c r="R10" s="1">
        <f t="shared" si="6"/>
        <v>650627.6399999999</v>
      </c>
      <c r="S10" s="1">
        <f t="shared" si="6"/>
        <v>727892.95679999981</v>
      </c>
      <c r="T10" s="1">
        <f t="shared" si="6"/>
        <v>814430.11161599995</v>
      </c>
    </row>
    <row r="11" spans="1:20" s="1" customFormat="1" x14ac:dyDescent="0.25">
      <c r="B11" s="1" t="s">
        <v>11</v>
      </c>
      <c r="C11" s="1">
        <v>8811</v>
      </c>
      <c r="D11" s="1">
        <f>+I11-C11</f>
        <v>13004</v>
      </c>
      <c r="E11" s="1">
        <v>19606</v>
      </c>
      <c r="H11" s="1">
        <v>11060</v>
      </c>
      <c r="I11" s="1">
        <v>21815</v>
      </c>
      <c r="J11" s="1">
        <f>+J8*0.2</f>
        <v>44842</v>
      </c>
      <c r="K11" s="1">
        <f t="shared" ref="K11:T11" si="7">+K8*0.2</f>
        <v>61800</v>
      </c>
      <c r="L11" s="1">
        <f t="shared" si="7"/>
        <v>76800</v>
      </c>
      <c r="M11" s="1">
        <f t="shared" si="7"/>
        <v>91800</v>
      </c>
      <c r="N11" s="1">
        <f t="shared" si="7"/>
        <v>105300</v>
      </c>
      <c r="O11" s="1">
        <f t="shared" si="7"/>
        <v>120824.99999999999</v>
      </c>
      <c r="P11" s="1">
        <f t="shared" si="7"/>
        <v>138678.74999999997</v>
      </c>
      <c r="Q11" s="1">
        <f t="shared" si="7"/>
        <v>155104.19999999995</v>
      </c>
      <c r="R11" s="1">
        <f t="shared" si="7"/>
        <v>173500.70399999997</v>
      </c>
      <c r="S11" s="1">
        <f t="shared" si="7"/>
        <v>194104.78847999999</v>
      </c>
      <c r="T11" s="1">
        <f t="shared" si="7"/>
        <v>217181.3630976</v>
      </c>
    </row>
    <row r="12" spans="1:20" s="1" customFormat="1" x14ac:dyDescent="0.25">
      <c r="B12" s="1" t="s">
        <v>12</v>
      </c>
      <c r="C12" s="1">
        <v>4173</v>
      </c>
      <c r="D12" s="1">
        <f>+I12-C12</f>
        <v>6958</v>
      </c>
      <c r="E12" s="1">
        <v>9752</v>
      </c>
      <c r="H12" s="1">
        <v>11663</v>
      </c>
      <c r="I12" s="1">
        <v>11131</v>
      </c>
      <c r="J12" s="1">
        <f>+J8*0.1</f>
        <v>22421</v>
      </c>
      <c r="K12" s="1">
        <f t="shared" ref="K12:T12" si="8">+K8*0.1</f>
        <v>30900</v>
      </c>
      <c r="L12" s="1">
        <f t="shared" si="8"/>
        <v>38400</v>
      </c>
      <c r="M12" s="1">
        <f t="shared" si="8"/>
        <v>45900</v>
      </c>
      <c r="N12" s="1">
        <f t="shared" si="8"/>
        <v>52650</v>
      </c>
      <c r="O12" s="1">
        <f t="shared" si="8"/>
        <v>60412.499999999993</v>
      </c>
      <c r="P12" s="1">
        <f t="shared" si="8"/>
        <v>69339.374999999985</v>
      </c>
      <c r="Q12" s="1">
        <f t="shared" si="8"/>
        <v>77552.099999999977</v>
      </c>
      <c r="R12" s="1">
        <f t="shared" si="8"/>
        <v>86750.351999999984</v>
      </c>
      <c r="S12" s="1">
        <f t="shared" si="8"/>
        <v>97052.394239999994</v>
      </c>
      <c r="T12" s="1">
        <f t="shared" si="8"/>
        <v>108590.6815488</v>
      </c>
    </row>
    <row r="13" spans="1:20" s="1" customFormat="1" x14ac:dyDescent="0.25">
      <c r="B13" s="1" t="s">
        <v>13</v>
      </c>
      <c r="C13" s="1">
        <f>6099+821</f>
        <v>6920</v>
      </c>
      <c r="D13" s="1">
        <f>+I13-C13</f>
        <v>10234</v>
      </c>
      <c r="E13" s="1">
        <f>12926+1263</f>
        <v>14189</v>
      </c>
      <c r="H13" s="1">
        <f>7274+1083</f>
        <v>8357</v>
      </c>
      <c r="I13" s="1">
        <f>15123+2031</f>
        <v>17154</v>
      </c>
      <c r="J13" s="1">
        <f>+J8*0.15</f>
        <v>33631.5</v>
      </c>
      <c r="K13" s="1">
        <f t="shared" ref="K13:T13" si="9">+K8*0.15</f>
        <v>46350</v>
      </c>
      <c r="L13" s="1">
        <f t="shared" si="9"/>
        <v>57600</v>
      </c>
      <c r="M13" s="1">
        <f t="shared" si="9"/>
        <v>68850</v>
      </c>
      <c r="N13" s="1">
        <f t="shared" si="9"/>
        <v>78975</v>
      </c>
      <c r="O13" s="1">
        <f t="shared" si="9"/>
        <v>90618.749999999985</v>
      </c>
      <c r="P13" s="1">
        <f t="shared" si="9"/>
        <v>104009.06249999996</v>
      </c>
      <c r="Q13" s="1">
        <f t="shared" si="9"/>
        <v>116328.14999999997</v>
      </c>
      <c r="R13" s="1">
        <f t="shared" si="9"/>
        <v>130125.52799999996</v>
      </c>
      <c r="S13" s="1">
        <f t="shared" si="9"/>
        <v>145578.59135999996</v>
      </c>
      <c r="T13" s="1">
        <f t="shared" si="9"/>
        <v>162886.02232319998</v>
      </c>
    </row>
    <row r="14" spans="1:20" s="1" customFormat="1" x14ac:dyDescent="0.25">
      <c r="B14" s="1" t="s">
        <v>14</v>
      </c>
      <c r="C14" s="1">
        <v>2682</v>
      </c>
      <c r="D14" s="1">
        <f>+I14-C14</f>
        <v>1965</v>
      </c>
      <c r="E14" s="1">
        <v>2719</v>
      </c>
      <c r="H14" s="1">
        <v>5274</v>
      </c>
      <c r="I14" s="1">
        <v>4647</v>
      </c>
      <c r="J14" s="1">
        <v>5000</v>
      </c>
      <c r="K14" s="1">
        <v>5001</v>
      </c>
      <c r="L14" s="1">
        <v>5002</v>
      </c>
      <c r="M14" s="1">
        <v>5003</v>
      </c>
      <c r="N14" s="1">
        <v>5004</v>
      </c>
      <c r="O14" s="1">
        <v>5005</v>
      </c>
      <c r="P14" s="1">
        <v>5006</v>
      </c>
      <c r="Q14" s="1">
        <v>5007</v>
      </c>
      <c r="R14" s="1">
        <v>5008</v>
      </c>
      <c r="S14" s="1">
        <v>5009</v>
      </c>
      <c r="T14" s="1">
        <v>5010</v>
      </c>
    </row>
    <row r="15" spans="1:20" s="2" customFormat="1" x14ac:dyDescent="0.25">
      <c r="B15" s="2" t="s">
        <v>15</v>
      </c>
      <c r="C15" s="2">
        <f t="shared" ref="C15:F15" si="10">+C10-C11-C12-C13-C14</f>
        <v>-5115</v>
      </c>
      <c r="D15" s="2">
        <f t="shared" si="10"/>
        <v>-1992</v>
      </c>
      <c r="E15" s="2">
        <f t="shared" si="10"/>
        <v>5509</v>
      </c>
      <c r="F15" s="2">
        <f t="shared" si="10"/>
        <v>0</v>
      </c>
      <c r="H15" s="2">
        <f>+H10-SUM(H11:H14)</f>
        <v>3687</v>
      </c>
      <c r="I15" s="2">
        <f>+I10-I11-I12-I13-I14</f>
        <v>-7107</v>
      </c>
      <c r="J15" s="2">
        <f t="shared" ref="J15:T15" si="11">+J10-J11-J12-J13-J14</f>
        <v>62263</v>
      </c>
      <c r="K15" s="2">
        <f t="shared" si="11"/>
        <v>87699</v>
      </c>
      <c r="L15" s="2">
        <f t="shared" si="11"/>
        <v>110198</v>
      </c>
      <c r="M15" s="2">
        <f t="shared" si="11"/>
        <v>132697</v>
      </c>
      <c r="N15" s="2">
        <f t="shared" si="11"/>
        <v>152946</v>
      </c>
      <c r="O15" s="2">
        <f t="shared" si="11"/>
        <v>176232.49999999988</v>
      </c>
      <c r="P15" s="2">
        <f t="shared" si="11"/>
        <v>203012.12499999994</v>
      </c>
      <c r="Q15" s="2">
        <f t="shared" si="11"/>
        <v>227649.29999999987</v>
      </c>
      <c r="R15" s="2">
        <f t="shared" si="11"/>
        <v>255243.05599999995</v>
      </c>
      <c r="S15" s="2">
        <f t="shared" si="11"/>
        <v>286148.18271999987</v>
      </c>
      <c r="T15" s="2">
        <f t="shared" si="11"/>
        <v>320762.04464639991</v>
      </c>
    </row>
    <row r="16" spans="1:20" s="1" customFormat="1" x14ac:dyDescent="0.25">
      <c r="B16" s="1" t="s">
        <v>16</v>
      </c>
      <c r="C16" s="1">
        <v>0</v>
      </c>
      <c r="D16" s="1">
        <f>+I16-C16</f>
        <v>780</v>
      </c>
      <c r="E16" s="1">
        <v>-18</v>
      </c>
      <c r="H16" s="1">
        <v>-487</v>
      </c>
      <c r="I16" s="1">
        <v>780</v>
      </c>
    </row>
    <row r="17" spans="2:139" s="1" customFormat="1" x14ac:dyDescent="0.25">
      <c r="B17" s="1" t="s">
        <v>17</v>
      </c>
      <c r="C17" s="1">
        <v>85</v>
      </c>
      <c r="D17" s="1">
        <f>+I17-C17</f>
        <v>374</v>
      </c>
      <c r="E17" s="1">
        <v>290</v>
      </c>
      <c r="H17" s="1">
        <v>32</v>
      </c>
      <c r="I17" s="1">
        <v>459</v>
      </c>
      <c r="J17" s="1">
        <v>600</v>
      </c>
      <c r="K17" s="1">
        <v>700</v>
      </c>
      <c r="L17" s="1">
        <v>800</v>
      </c>
      <c r="M17" s="1">
        <v>900</v>
      </c>
      <c r="N17" s="1">
        <v>1000</v>
      </c>
      <c r="O17" s="1">
        <v>1000</v>
      </c>
      <c r="P17" s="1">
        <v>1000</v>
      </c>
      <c r="Q17" s="1">
        <v>1000</v>
      </c>
      <c r="R17" s="1">
        <v>1000</v>
      </c>
      <c r="S17" s="1">
        <v>1000</v>
      </c>
      <c r="T17" s="1">
        <v>1000</v>
      </c>
    </row>
    <row r="18" spans="2:139" s="1" customFormat="1" x14ac:dyDescent="0.25">
      <c r="B18" s="1" t="s">
        <v>18</v>
      </c>
      <c r="C18" s="1">
        <f t="shared" ref="C18:F18" si="12">+C15+C16-C17</f>
        <v>-5200</v>
      </c>
      <c r="D18" s="1">
        <f t="shared" si="12"/>
        <v>-1586</v>
      </c>
      <c r="E18" s="1">
        <f t="shared" si="12"/>
        <v>5201</v>
      </c>
      <c r="F18" s="1">
        <f t="shared" si="12"/>
        <v>0</v>
      </c>
      <c r="H18" s="1">
        <f>+H15+H16-H17</f>
        <v>3168</v>
      </c>
      <c r="I18" s="1">
        <f t="shared" ref="I18:T18" si="13">+I15+I16-I17</f>
        <v>-6786</v>
      </c>
      <c r="J18" s="1">
        <f t="shared" si="13"/>
        <v>61663</v>
      </c>
      <c r="K18" s="1">
        <f t="shared" si="13"/>
        <v>86999</v>
      </c>
      <c r="L18" s="1">
        <f t="shared" si="13"/>
        <v>109398</v>
      </c>
      <c r="M18" s="1">
        <f t="shared" si="13"/>
        <v>131797</v>
      </c>
      <c r="N18" s="1">
        <f t="shared" si="13"/>
        <v>151946</v>
      </c>
      <c r="O18" s="1">
        <f t="shared" si="13"/>
        <v>175232.49999999988</v>
      </c>
      <c r="P18" s="1">
        <f t="shared" si="13"/>
        <v>202012.12499999994</v>
      </c>
      <c r="Q18" s="1">
        <f t="shared" si="13"/>
        <v>226649.29999999987</v>
      </c>
      <c r="R18" s="1">
        <f t="shared" si="13"/>
        <v>254243.05599999995</v>
      </c>
      <c r="S18" s="1">
        <f t="shared" si="13"/>
        <v>285148.18271999987</v>
      </c>
      <c r="T18" s="1">
        <f t="shared" si="13"/>
        <v>319762.04464639991</v>
      </c>
    </row>
    <row r="19" spans="2:139" s="1" customFormat="1" x14ac:dyDescent="0.25">
      <c r="B19" s="1" t="s">
        <v>19</v>
      </c>
      <c r="C19" s="1">
        <v>-395</v>
      </c>
      <c r="D19" s="1">
        <f>+I19-C19</f>
        <v>-5071</v>
      </c>
      <c r="E19" s="1">
        <v>3078</v>
      </c>
      <c r="H19" s="1">
        <v>-6168</v>
      </c>
      <c r="I19" s="1">
        <v>-5466</v>
      </c>
      <c r="J19" s="1">
        <f>+J18*0.25</f>
        <v>15415.75</v>
      </c>
      <c r="K19" s="1">
        <f t="shared" ref="K19:T19" si="14">+K18*0.25</f>
        <v>21749.75</v>
      </c>
      <c r="L19" s="1">
        <f t="shared" si="14"/>
        <v>27349.5</v>
      </c>
      <c r="M19" s="1">
        <f t="shared" si="14"/>
        <v>32949.25</v>
      </c>
      <c r="N19" s="1">
        <f t="shared" si="14"/>
        <v>37986.5</v>
      </c>
      <c r="O19" s="1">
        <f t="shared" si="14"/>
        <v>43808.124999999971</v>
      </c>
      <c r="P19" s="1">
        <f t="shared" si="14"/>
        <v>50503.031249999985</v>
      </c>
      <c r="Q19" s="1">
        <f t="shared" si="14"/>
        <v>56662.324999999968</v>
      </c>
      <c r="R19" s="1">
        <f t="shared" si="14"/>
        <v>63560.763999999988</v>
      </c>
      <c r="S19" s="1">
        <f t="shared" si="14"/>
        <v>71287.045679999967</v>
      </c>
      <c r="T19" s="1">
        <f t="shared" si="14"/>
        <v>79940.511161599978</v>
      </c>
    </row>
    <row r="20" spans="2:139" s="1" customFormat="1" x14ac:dyDescent="0.25">
      <c r="B20" s="1" t="s">
        <v>20</v>
      </c>
      <c r="C20" s="1">
        <f t="shared" ref="C20:F20" si="15">+C18-C19</f>
        <v>-4805</v>
      </c>
      <c r="D20" s="1">
        <f t="shared" si="15"/>
        <v>3485</v>
      </c>
      <c r="E20" s="1">
        <f t="shared" si="15"/>
        <v>2123</v>
      </c>
      <c r="F20" s="1">
        <f t="shared" si="15"/>
        <v>0</v>
      </c>
      <c r="H20" s="1">
        <f>+H18-H19</f>
        <v>9336</v>
      </c>
      <c r="I20" s="1">
        <f t="shared" ref="I20:T20" si="16">+I18-I19</f>
        <v>-1320</v>
      </c>
      <c r="J20" s="1">
        <f t="shared" si="16"/>
        <v>46247.25</v>
      </c>
      <c r="K20" s="1">
        <f t="shared" si="16"/>
        <v>65249.25</v>
      </c>
      <c r="L20" s="1">
        <f t="shared" si="16"/>
        <v>82048.5</v>
      </c>
      <c r="M20" s="1">
        <f t="shared" si="16"/>
        <v>98847.75</v>
      </c>
      <c r="N20" s="1">
        <f t="shared" si="16"/>
        <v>113959.5</v>
      </c>
      <c r="O20" s="1">
        <f t="shared" si="16"/>
        <v>131424.37499999991</v>
      </c>
      <c r="P20" s="1">
        <f t="shared" si="16"/>
        <v>151509.09374999994</v>
      </c>
      <c r="Q20" s="1">
        <f t="shared" si="16"/>
        <v>169986.97499999992</v>
      </c>
      <c r="R20" s="1">
        <f t="shared" si="16"/>
        <v>190682.29199999996</v>
      </c>
      <c r="S20" s="1">
        <f t="shared" si="16"/>
        <v>213861.13703999989</v>
      </c>
      <c r="T20" s="1">
        <f t="shared" si="16"/>
        <v>239821.53348479993</v>
      </c>
      <c r="U20" s="1">
        <f>+T20*(1+$W25)</f>
        <v>247016.17948934395</v>
      </c>
      <c r="V20" s="1">
        <f t="shared" ref="V20:CG20" si="17">+U20*(1+$W25)</f>
        <v>254426.66487402428</v>
      </c>
      <c r="W20" s="1">
        <f t="shared" si="17"/>
        <v>262059.46482024502</v>
      </c>
      <c r="X20" s="1">
        <f t="shared" si="17"/>
        <v>269921.24876485235</v>
      </c>
      <c r="Y20" s="1">
        <f t="shared" si="17"/>
        <v>278018.88622779795</v>
      </c>
      <c r="Z20" s="1">
        <f t="shared" si="17"/>
        <v>286359.45281463192</v>
      </c>
      <c r="AA20" s="1">
        <f t="shared" si="17"/>
        <v>294950.23639907088</v>
      </c>
      <c r="AB20" s="1">
        <f t="shared" si="17"/>
        <v>303798.74349104305</v>
      </c>
      <c r="AC20" s="1">
        <f t="shared" si="17"/>
        <v>312912.70579577435</v>
      </c>
      <c r="AD20" s="1">
        <f t="shared" si="17"/>
        <v>322300.08696964761</v>
      </c>
      <c r="AE20" s="1">
        <f t="shared" si="17"/>
        <v>331969.08957873704</v>
      </c>
      <c r="AF20" s="1">
        <f t="shared" si="17"/>
        <v>341928.16226609919</v>
      </c>
      <c r="AG20" s="1">
        <f t="shared" si="17"/>
        <v>352186.00713408215</v>
      </c>
      <c r="AH20" s="1">
        <f t="shared" si="17"/>
        <v>362751.58734810463</v>
      </c>
      <c r="AI20" s="1">
        <f t="shared" si="17"/>
        <v>373634.13496854779</v>
      </c>
      <c r="AJ20" s="1">
        <f t="shared" si="17"/>
        <v>384843.15901760425</v>
      </c>
      <c r="AK20" s="1">
        <f t="shared" si="17"/>
        <v>396388.45378813241</v>
      </c>
      <c r="AL20" s="1">
        <f t="shared" si="17"/>
        <v>408280.10740177642</v>
      </c>
      <c r="AM20" s="1">
        <f t="shared" si="17"/>
        <v>420528.51062382973</v>
      </c>
      <c r="AN20" s="1">
        <f t="shared" si="17"/>
        <v>433144.36594254465</v>
      </c>
      <c r="AO20" s="1">
        <f t="shared" si="17"/>
        <v>446138.69692082098</v>
      </c>
      <c r="AP20" s="1">
        <f t="shared" si="17"/>
        <v>459522.85782844562</v>
      </c>
      <c r="AQ20" s="1">
        <f t="shared" si="17"/>
        <v>473308.543563299</v>
      </c>
      <c r="AR20" s="1">
        <f t="shared" si="17"/>
        <v>487507.79987019795</v>
      </c>
      <c r="AS20" s="1">
        <f t="shared" si="17"/>
        <v>502133.03386630391</v>
      </c>
      <c r="AT20" s="1">
        <f t="shared" si="17"/>
        <v>517197.02488229307</v>
      </c>
      <c r="AU20" s="1">
        <f t="shared" si="17"/>
        <v>532712.93562876189</v>
      </c>
      <c r="AV20" s="1">
        <f t="shared" si="17"/>
        <v>548694.32369762473</v>
      </c>
      <c r="AW20" s="1">
        <f t="shared" si="17"/>
        <v>565155.15340855345</v>
      </c>
      <c r="AX20" s="1">
        <f t="shared" si="17"/>
        <v>582109.80801081005</v>
      </c>
      <c r="AY20" s="1">
        <f t="shared" si="17"/>
        <v>599573.10225113435</v>
      </c>
      <c r="AZ20" s="1">
        <f t="shared" si="17"/>
        <v>617560.29531866836</v>
      </c>
      <c r="BA20" s="1">
        <f t="shared" si="17"/>
        <v>636087.10417822842</v>
      </c>
      <c r="BB20" s="1">
        <f t="shared" si="17"/>
        <v>655169.71730357525</v>
      </c>
      <c r="BC20" s="1">
        <f t="shared" si="17"/>
        <v>674824.80882268248</v>
      </c>
      <c r="BD20" s="1">
        <f t="shared" si="17"/>
        <v>695069.55308736302</v>
      </c>
      <c r="BE20" s="1">
        <f t="shared" si="17"/>
        <v>715921.63967998396</v>
      </c>
      <c r="BF20" s="1">
        <f t="shared" si="17"/>
        <v>737399.28887038352</v>
      </c>
      <c r="BG20" s="1">
        <f t="shared" si="17"/>
        <v>759521.267536495</v>
      </c>
      <c r="BH20" s="1">
        <f t="shared" si="17"/>
        <v>782306.90556258988</v>
      </c>
      <c r="BI20" s="1">
        <f t="shared" si="17"/>
        <v>805776.11272946757</v>
      </c>
      <c r="BJ20" s="1">
        <f t="shared" si="17"/>
        <v>829949.39611135167</v>
      </c>
      <c r="BK20" s="1">
        <f t="shared" si="17"/>
        <v>854847.87799469219</v>
      </c>
      <c r="BL20" s="1">
        <f t="shared" si="17"/>
        <v>880493.31433453294</v>
      </c>
      <c r="BM20" s="1">
        <f t="shared" si="17"/>
        <v>906908.11376456893</v>
      </c>
      <c r="BN20" s="1">
        <f t="shared" si="17"/>
        <v>934115.35717750597</v>
      </c>
      <c r="BO20" s="1">
        <f t="shared" si="17"/>
        <v>962138.81789283117</v>
      </c>
      <c r="BP20" s="1">
        <f t="shared" si="17"/>
        <v>991002.98242961615</v>
      </c>
      <c r="BQ20" s="1">
        <f t="shared" si="17"/>
        <v>1020733.0719025047</v>
      </c>
      <c r="BR20" s="1">
        <f t="shared" si="17"/>
        <v>1051355.0640595797</v>
      </c>
      <c r="BS20" s="1">
        <f t="shared" si="17"/>
        <v>1082895.7159813673</v>
      </c>
      <c r="BT20" s="1">
        <f t="shared" si="17"/>
        <v>1115382.5874608082</v>
      </c>
      <c r="BU20" s="1">
        <f t="shared" si="17"/>
        <v>1148844.0650846325</v>
      </c>
      <c r="BV20" s="1">
        <f t="shared" si="17"/>
        <v>1183309.3870371715</v>
      </c>
      <c r="BW20" s="1">
        <f t="shared" si="17"/>
        <v>1218808.6686482867</v>
      </c>
      <c r="BX20" s="1">
        <f t="shared" si="17"/>
        <v>1255372.9287077354</v>
      </c>
      <c r="BY20" s="1">
        <f t="shared" si="17"/>
        <v>1293034.1165689675</v>
      </c>
      <c r="BZ20" s="1">
        <f t="shared" si="17"/>
        <v>1331825.1400660365</v>
      </c>
      <c r="CA20" s="1">
        <f t="shared" si="17"/>
        <v>1371779.8942680177</v>
      </c>
      <c r="CB20" s="1">
        <f t="shared" si="17"/>
        <v>1412933.2910960582</v>
      </c>
      <c r="CC20" s="1">
        <f t="shared" si="17"/>
        <v>1455321.2898289401</v>
      </c>
      <c r="CD20" s="1">
        <f t="shared" si="17"/>
        <v>1498980.9285238083</v>
      </c>
      <c r="CE20" s="1">
        <f t="shared" si="17"/>
        <v>1543950.3563795225</v>
      </c>
      <c r="CF20" s="1">
        <f t="shared" si="17"/>
        <v>1590268.8670709082</v>
      </c>
      <c r="CG20" s="1">
        <f t="shared" si="17"/>
        <v>1637976.9330830355</v>
      </c>
      <c r="CH20" s="1">
        <f t="shared" ref="CH20:EI20" si="18">+CG20*(1+$W25)</f>
        <v>1687116.2410755267</v>
      </c>
      <c r="CI20" s="1">
        <f t="shared" si="18"/>
        <v>1737729.7283077925</v>
      </c>
      <c r="CJ20" s="1">
        <f t="shared" si="18"/>
        <v>1789861.6201570262</v>
      </c>
      <c r="CK20" s="1">
        <f t="shared" si="18"/>
        <v>1843557.468761737</v>
      </c>
      <c r="CL20" s="1">
        <f t="shared" si="18"/>
        <v>1898864.1928245891</v>
      </c>
      <c r="CM20" s="1">
        <f t="shared" si="18"/>
        <v>1955830.1186093269</v>
      </c>
      <c r="CN20" s="1">
        <f t="shared" si="18"/>
        <v>2014505.0221676067</v>
      </c>
      <c r="CO20" s="1">
        <f t="shared" si="18"/>
        <v>2074940.172832635</v>
      </c>
      <c r="CP20" s="1">
        <f t="shared" si="18"/>
        <v>2137188.3780176141</v>
      </c>
      <c r="CQ20" s="1">
        <f t="shared" si="18"/>
        <v>2201304.0293581425</v>
      </c>
      <c r="CR20" s="1">
        <f t="shared" si="18"/>
        <v>2267343.1502388869</v>
      </c>
      <c r="CS20" s="1">
        <f t="shared" si="18"/>
        <v>2335363.4447460538</v>
      </c>
      <c r="CT20" s="1">
        <f t="shared" si="18"/>
        <v>2405424.3480884354</v>
      </c>
      <c r="CU20" s="1">
        <f t="shared" si="18"/>
        <v>2477587.0785310883</v>
      </c>
      <c r="CV20" s="1">
        <f t="shared" si="18"/>
        <v>2551914.6908870209</v>
      </c>
      <c r="CW20" s="1">
        <f t="shared" si="18"/>
        <v>2628472.1316136317</v>
      </c>
      <c r="CX20" s="1">
        <f t="shared" si="18"/>
        <v>2707326.2955620405</v>
      </c>
      <c r="CY20" s="1">
        <f t="shared" si="18"/>
        <v>2788546.0844289018</v>
      </c>
      <c r="CZ20" s="1">
        <f t="shared" si="18"/>
        <v>2872202.4669617689</v>
      </c>
      <c r="DA20" s="1">
        <f t="shared" si="18"/>
        <v>2958368.5409706221</v>
      </c>
      <c r="DB20" s="1">
        <f t="shared" si="18"/>
        <v>3047119.5971997408</v>
      </c>
      <c r="DC20" s="1">
        <f t="shared" si="18"/>
        <v>3138533.1851157332</v>
      </c>
      <c r="DD20" s="1">
        <f t="shared" si="18"/>
        <v>3232689.1806692053</v>
      </c>
      <c r="DE20" s="1">
        <f t="shared" si="18"/>
        <v>3329669.8560892814</v>
      </c>
      <c r="DF20" s="1">
        <f t="shared" si="18"/>
        <v>3429559.9517719601</v>
      </c>
      <c r="DG20" s="1">
        <f t="shared" si="18"/>
        <v>3532446.7503251191</v>
      </c>
      <c r="DH20" s="1">
        <f t="shared" si="18"/>
        <v>3638420.1528348727</v>
      </c>
      <c r="DI20" s="1">
        <f t="shared" si="18"/>
        <v>3747572.7574199191</v>
      </c>
      <c r="DJ20" s="1">
        <f t="shared" si="18"/>
        <v>3859999.940142517</v>
      </c>
      <c r="DK20" s="1">
        <f t="shared" si="18"/>
        <v>3975799.9383467925</v>
      </c>
      <c r="DL20" s="1">
        <f t="shared" si="18"/>
        <v>4095073.9364971966</v>
      </c>
      <c r="DM20" s="1">
        <f t="shared" si="18"/>
        <v>4217926.1545921126</v>
      </c>
      <c r="DN20" s="1">
        <f t="shared" si="18"/>
        <v>4344463.9392298758</v>
      </c>
      <c r="DO20" s="1">
        <f t="shared" si="18"/>
        <v>4474797.8574067717</v>
      </c>
      <c r="DP20" s="1">
        <f t="shared" si="18"/>
        <v>4609041.7931289747</v>
      </c>
      <c r="DQ20" s="1">
        <f t="shared" si="18"/>
        <v>4747313.0469228439</v>
      </c>
      <c r="DR20" s="1">
        <f t="shared" si="18"/>
        <v>4889732.4383305293</v>
      </c>
      <c r="DS20" s="1">
        <f t="shared" si="18"/>
        <v>5036424.4114804454</v>
      </c>
      <c r="DT20" s="1">
        <f t="shared" si="18"/>
        <v>5187517.1438248586</v>
      </c>
      <c r="DU20" s="1">
        <f t="shared" si="18"/>
        <v>5343142.6581396041</v>
      </c>
      <c r="DV20" s="1">
        <f t="shared" si="18"/>
        <v>5503436.9378837924</v>
      </c>
      <c r="DW20" s="1">
        <f t="shared" si="18"/>
        <v>5668540.0460203066</v>
      </c>
      <c r="DX20" s="1">
        <f t="shared" si="18"/>
        <v>5838596.2474009162</v>
      </c>
      <c r="DY20" s="1">
        <f t="shared" si="18"/>
        <v>6013754.1348229442</v>
      </c>
      <c r="DZ20" s="1">
        <f t="shared" si="18"/>
        <v>6194166.7588676326</v>
      </c>
      <c r="EA20" s="1">
        <f t="shared" si="18"/>
        <v>6379991.7616336616</v>
      </c>
      <c r="EB20" s="1">
        <f t="shared" si="18"/>
        <v>6571391.5144826714</v>
      </c>
      <c r="EC20" s="1">
        <f t="shared" si="18"/>
        <v>6768533.2599171521</v>
      </c>
      <c r="ED20" s="1">
        <f t="shared" si="18"/>
        <v>6971589.2577146664</v>
      </c>
      <c r="EE20" s="1">
        <f t="shared" si="18"/>
        <v>7180736.9354461068</v>
      </c>
      <c r="EF20" s="1">
        <f t="shared" si="18"/>
        <v>7396159.0435094899</v>
      </c>
      <c r="EG20" s="1">
        <f t="shared" si="18"/>
        <v>7618043.8148147743</v>
      </c>
      <c r="EH20" s="1">
        <f t="shared" si="18"/>
        <v>7846585.1292592175</v>
      </c>
      <c r="EI20" s="1">
        <f t="shared" si="18"/>
        <v>8081982.683136994</v>
      </c>
    </row>
    <row r="21" spans="2:139" s="6" customFormat="1" x14ac:dyDescent="0.25">
      <c r="B21" s="6" t="s">
        <v>42</v>
      </c>
      <c r="J21" s="6">
        <f>+J20/J22</f>
        <v>5.540769308183334E-2</v>
      </c>
      <c r="K21" s="6">
        <f t="shared" ref="K21:T21" si="19">+K20/K22</f>
        <v>7.8173522054172176E-2</v>
      </c>
      <c r="L21" s="6">
        <f t="shared" si="19"/>
        <v>9.8300290413479791E-2</v>
      </c>
      <c r="M21" s="6">
        <f t="shared" si="19"/>
        <v>0.11842705877278739</v>
      </c>
      <c r="N21" s="6">
        <f t="shared" si="19"/>
        <v>0.13653207487492092</v>
      </c>
      <c r="O21" s="6">
        <f t="shared" si="19"/>
        <v>0.15745631218011377</v>
      </c>
      <c r="P21" s="6">
        <f t="shared" si="19"/>
        <v>0.18151931986456948</v>
      </c>
      <c r="Q21" s="6">
        <f t="shared" si="19"/>
        <v>0.20365721504974399</v>
      </c>
      <c r="R21" s="6">
        <f t="shared" si="19"/>
        <v>0.22845176548392657</v>
      </c>
      <c r="S21" s="6">
        <f t="shared" si="19"/>
        <v>0.25622176979699796</v>
      </c>
      <c r="T21" s="6">
        <f t="shared" si="19"/>
        <v>0.28732428245442515</v>
      </c>
    </row>
    <row r="22" spans="2:139" s="1" customFormat="1" x14ac:dyDescent="0.25">
      <c r="B22" s="1" t="s">
        <v>41</v>
      </c>
      <c r="J22" s="1">
        <f>+W29</f>
        <v>834672</v>
      </c>
      <c r="K22" s="1">
        <f>+J22</f>
        <v>834672</v>
      </c>
      <c r="L22" s="1">
        <f t="shared" ref="L22:T22" si="20">+K22</f>
        <v>834672</v>
      </c>
      <c r="M22" s="1">
        <f t="shared" si="20"/>
        <v>834672</v>
      </c>
      <c r="N22" s="1">
        <f t="shared" si="20"/>
        <v>834672</v>
      </c>
      <c r="O22" s="1">
        <f t="shared" si="20"/>
        <v>834672</v>
      </c>
      <c r="P22" s="1">
        <f t="shared" si="20"/>
        <v>834672</v>
      </c>
      <c r="Q22" s="1">
        <f t="shared" si="20"/>
        <v>834672</v>
      </c>
      <c r="R22" s="1">
        <f t="shared" si="20"/>
        <v>834672</v>
      </c>
      <c r="S22" s="1">
        <f t="shared" si="20"/>
        <v>834672</v>
      </c>
      <c r="T22" s="1">
        <f t="shared" si="20"/>
        <v>834672</v>
      </c>
    </row>
    <row r="23" spans="2:139" s="1" customFormat="1" x14ac:dyDescent="0.25"/>
    <row r="24" spans="2:139" s="3" customFormat="1" x14ac:dyDescent="0.25">
      <c r="B24" s="3" t="s">
        <v>21</v>
      </c>
      <c r="C24" s="3">
        <f>+C10/C8</f>
        <v>0.72538924641893299</v>
      </c>
      <c r="D24" s="3">
        <f>+D10/D8</f>
        <v>0.75727302392128315</v>
      </c>
      <c r="E24" s="3">
        <f>+E10/E8</f>
        <v>0.67411853549294309</v>
      </c>
      <c r="H24" s="3">
        <f>+H10/H8</f>
        <v>0.72566965094784153</v>
      </c>
      <c r="I24" s="3">
        <f>+I10/I8</f>
        <v>0.74525999624554162</v>
      </c>
      <c r="J24" s="3">
        <f t="shared" ref="J24:T24" si="21">+J10/J8</f>
        <v>0.75</v>
      </c>
      <c r="K24" s="3">
        <f t="shared" si="21"/>
        <v>0.75</v>
      </c>
      <c r="L24" s="3">
        <f t="shared" si="21"/>
        <v>0.75</v>
      </c>
      <c r="M24" s="3">
        <f t="shared" si="21"/>
        <v>0.75</v>
      </c>
      <c r="N24" s="3">
        <f t="shared" si="21"/>
        <v>0.75</v>
      </c>
      <c r="O24" s="3">
        <f t="shared" si="21"/>
        <v>0.75</v>
      </c>
      <c r="P24" s="3">
        <f t="shared" si="21"/>
        <v>0.75</v>
      </c>
      <c r="Q24" s="3">
        <f t="shared" si="21"/>
        <v>0.74999999999999989</v>
      </c>
      <c r="R24" s="3">
        <f t="shared" si="21"/>
        <v>0.75000000000000011</v>
      </c>
      <c r="S24" s="3">
        <f t="shared" si="21"/>
        <v>0.74999999999999989</v>
      </c>
      <c r="T24" s="3">
        <f t="shared" si="21"/>
        <v>0.75</v>
      </c>
      <c r="V24" s="3" t="s">
        <v>22</v>
      </c>
      <c r="W24" s="3">
        <v>0.12</v>
      </c>
    </row>
    <row r="25" spans="2:139" s="3" customFormat="1" x14ac:dyDescent="0.25">
      <c r="B25" s="3" t="s">
        <v>23</v>
      </c>
      <c r="C25" s="3">
        <f>+C15/C8</f>
        <v>-0.21237284616981525</v>
      </c>
      <c r="D25" s="3">
        <f>+D15/D8</f>
        <v>-5.0001255051582622E-2</v>
      </c>
      <c r="E25" s="3">
        <f>+E15/E8</f>
        <v>7.1728034998177176E-2</v>
      </c>
      <c r="H25" s="3">
        <f>+H15/H8</f>
        <v>6.6820109463916783E-2</v>
      </c>
      <c r="I25" s="3">
        <f>+I15/I8</f>
        <v>-0.11117889994368313</v>
      </c>
      <c r="J25" s="3">
        <f t="shared" ref="J25:T25" si="22">+J15/J8</f>
        <v>0.27769947816778912</v>
      </c>
      <c r="K25" s="3">
        <f t="shared" si="22"/>
        <v>0.28381553398058251</v>
      </c>
      <c r="L25" s="3">
        <f t="shared" si="22"/>
        <v>0.28697395833333333</v>
      </c>
      <c r="M25" s="3">
        <f t="shared" si="22"/>
        <v>0.28910021786492374</v>
      </c>
      <c r="N25" s="3">
        <f t="shared" si="22"/>
        <v>0.29049572649572647</v>
      </c>
      <c r="O25" s="3">
        <f t="shared" si="22"/>
        <v>0.29171529070970398</v>
      </c>
      <c r="P25" s="3">
        <f t="shared" si="22"/>
        <v>0.29278043680087973</v>
      </c>
      <c r="Q25" s="3">
        <f t="shared" si="22"/>
        <v>0.29354369514171758</v>
      </c>
      <c r="R25" s="3">
        <f t="shared" si="22"/>
        <v>0.29422711276145602</v>
      </c>
      <c r="S25" s="3">
        <f t="shared" si="22"/>
        <v>0.2948388702419712</v>
      </c>
      <c r="T25" s="3">
        <f t="shared" si="22"/>
        <v>0.29538634445557965</v>
      </c>
      <c r="V25" s="3" t="s">
        <v>24</v>
      </c>
      <c r="W25" s="3">
        <v>0.03</v>
      </c>
    </row>
    <row r="26" spans="2:139" s="3" customFormat="1" x14ac:dyDescent="0.25">
      <c r="B26" s="3" t="s">
        <v>25</v>
      </c>
      <c r="I26" s="3">
        <f>+I8/H8 -1</f>
        <v>0.15850520134836343</v>
      </c>
      <c r="J26" s="3">
        <f>+J8/I8 -1</f>
        <v>2.5074463425317566</v>
      </c>
      <c r="K26" s="3">
        <f>+K8/J8 -1</f>
        <v>0.37817224923063208</v>
      </c>
      <c r="L26" s="3">
        <f>+L8/K8 -1</f>
        <v>0.24271844660194164</v>
      </c>
      <c r="M26" s="3">
        <f t="shared" ref="M26:T26" si="23">+M8/L8 -1</f>
        <v>0.1953125</v>
      </c>
      <c r="N26" s="3">
        <f t="shared" si="23"/>
        <v>0.14705882352941169</v>
      </c>
      <c r="O26" s="3">
        <f t="shared" si="23"/>
        <v>0.14743589743589713</v>
      </c>
      <c r="P26" s="3">
        <f t="shared" si="23"/>
        <v>0.14776536312849142</v>
      </c>
      <c r="Q26" s="3">
        <f t="shared" si="23"/>
        <v>0.11844244341688981</v>
      </c>
      <c r="R26" s="3">
        <f t="shared" si="23"/>
        <v>0.11860738780768032</v>
      </c>
      <c r="S26" s="3">
        <f t="shared" si="23"/>
        <v>0.11875504827922789</v>
      </c>
      <c r="T26" s="3">
        <f t="shared" si="23"/>
        <v>0.11888719901404055</v>
      </c>
      <c r="V26" s="3" t="s">
        <v>26</v>
      </c>
      <c r="W26" s="4">
        <f>NPV(W24,J20:EL20)</f>
        <v>1478505.173443252</v>
      </c>
    </row>
    <row r="27" spans="2:139" s="1" customFormat="1" x14ac:dyDescent="0.25">
      <c r="V27" s="1" t="s">
        <v>27</v>
      </c>
      <c r="W27" s="1">
        <f>+I32</f>
        <v>62620</v>
      </c>
    </row>
    <row r="28" spans="2:139" s="1" customFormat="1" x14ac:dyDescent="0.25">
      <c r="B28" s="1" t="s">
        <v>28</v>
      </c>
      <c r="C28" s="1">
        <v>-30236</v>
      </c>
      <c r="D28" s="1">
        <f>+I28-C28</f>
        <v>-31961</v>
      </c>
      <c r="E28" s="1">
        <v>-8736</v>
      </c>
      <c r="H28" s="1">
        <v>9482</v>
      </c>
      <c r="I28" s="1">
        <v>-62197</v>
      </c>
      <c r="V28" s="1" t="s">
        <v>29</v>
      </c>
      <c r="W28" s="1">
        <f>+W26+W27</f>
        <v>1541125.173443252</v>
      </c>
    </row>
    <row r="29" spans="2:139" s="1" customFormat="1" x14ac:dyDescent="0.25">
      <c r="B29" s="1" t="s">
        <v>30</v>
      </c>
      <c r="C29" s="1">
        <v>1496</v>
      </c>
      <c r="D29" s="1">
        <f>+I29-C29</f>
        <v>4863</v>
      </c>
      <c r="E29" s="1">
        <v>5188</v>
      </c>
      <c r="H29" s="1">
        <v>1733</v>
      </c>
      <c r="I29" s="1">
        <v>6359</v>
      </c>
      <c r="V29" s="1" t="s">
        <v>40</v>
      </c>
      <c r="W29" s="1">
        <v>834672</v>
      </c>
    </row>
    <row r="30" spans="2:139" s="1" customFormat="1" x14ac:dyDescent="0.25">
      <c r="B30" s="1" t="s">
        <v>31</v>
      </c>
      <c r="C30" s="1">
        <f>+C28-C29</f>
        <v>-31732</v>
      </c>
      <c r="D30" s="1">
        <f>+D28-D29</f>
        <v>-36824</v>
      </c>
      <c r="E30" s="1">
        <f>+E28-E29</f>
        <v>-13924</v>
      </c>
      <c r="H30" s="1">
        <f>+H28-H29</f>
        <v>7749</v>
      </c>
      <c r="I30" s="1">
        <f>+I28-I29</f>
        <v>-68556</v>
      </c>
      <c r="W30" s="5">
        <f>+W28/W29</f>
        <v>1.8463841765906273</v>
      </c>
    </row>
    <row r="31" spans="2:139" s="1" customFormat="1" x14ac:dyDescent="0.25"/>
    <row r="32" spans="2:139" s="1" customFormat="1" x14ac:dyDescent="0.25">
      <c r="B32" s="1" t="s">
        <v>32</v>
      </c>
      <c r="H32" s="1">
        <v>56696</v>
      </c>
      <c r="I32" s="1">
        <v>62620</v>
      </c>
    </row>
    <row r="33" spans="2:23" s="1" customFormat="1" x14ac:dyDescent="0.25">
      <c r="B33" s="1" t="s">
        <v>33</v>
      </c>
      <c r="H33" s="1">
        <v>18580</v>
      </c>
      <c r="I33" s="1">
        <v>66678</v>
      </c>
      <c r="W33" s="6"/>
    </row>
    <row r="34" spans="2:23" s="1" customFormat="1" x14ac:dyDescent="0.25">
      <c r="B34" s="1" t="s">
        <v>34</v>
      </c>
      <c r="H34" s="1">
        <v>3968</v>
      </c>
      <c r="I34" s="1">
        <v>9555</v>
      </c>
    </row>
    <row r="35" spans="2:23" s="1" customFormat="1" x14ac:dyDescent="0.25">
      <c r="B35" s="1" t="s">
        <v>35</v>
      </c>
      <c r="H35" s="1">
        <v>0</v>
      </c>
      <c r="I35" s="1">
        <v>0</v>
      </c>
    </row>
    <row r="36" spans="2:23" s="1" customFormat="1" x14ac:dyDescent="0.25">
      <c r="B36" s="1" t="s">
        <v>36</v>
      </c>
      <c r="H36" s="1">
        <f>+H32+H33+H34-H35</f>
        <v>79244</v>
      </c>
      <c r="I36" s="1">
        <f>+I32+I33+I34-I35</f>
        <v>138853</v>
      </c>
    </row>
    <row r="37" spans="2:23" s="1" customFormat="1" x14ac:dyDescent="0.25"/>
    <row r="38" spans="2:23" s="1" customFormat="1" x14ac:dyDescent="0.25">
      <c r="B38" s="1" t="s">
        <v>37</v>
      </c>
      <c r="C38" s="1">
        <v>317901</v>
      </c>
      <c r="D38" s="1">
        <f>+I38</f>
        <v>317901</v>
      </c>
      <c r="E38" s="1">
        <v>308602</v>
      </c>
      <c r="H38" s="1">
        <v>84644</v>
      </c>
      <c r="I38" s="1">
        <v>317901</v>
      </c>
    </row>
    <row r="39" spans="2:23" s="1" customFormat="1" x14ac:dyDescent="0.25">
      <c r="B39" s="1" t="s">
        <v>38</v>
      </c>
      <c r="C39" s="1">
        <v>27833</v>
      </c>
      <c r="D39" s="1">
        <f>+I39</f>
        <v>27833</v>
      </c>
      <c r="E39" s="1">
        <v>24216</v>
      </c>
      <c r="H39" s="1">
        <v>13397</v>
      </c>
      <c r="I39" s="1">
        <v>27833</v>
      </c>
    </row>
    <row r="40" spans="2:23" s="1" customFormat="1" x14ac:dyDescent="0.25">
      <c r="B40" s="1" t="s">
        <v>39</v>
      </c>
      <c r="C40" s="1">
        <f>+C38-C39</f>
        <v>290068</v>
      </c>
      <c r="D40" s="1">
        <f>+D38-D39</f>
        <v>290068</v>
      </c>
      <c r="E40" s="1">
        <f>+E38-E39</f>
        <v>284386</v>
      </c>
      <c r="H40" s="1">
        <f>+H38-H39</f>
        <v>71247</v>
      </c>
      <c r="I40" s="1">
        <f>+I38-I39</f>
        <v>290068</v>
      </c>
    </row>
    <row r="41" spans="2:23" s="1" customFormat="1" x14ac:dyDescent="0.25"/>
    <row r="42" spans="2:23" s="3" customFormat="1" x14ac:dyDescent="0.25">
      <c r="B42" s="3" t="s">
        <v>11</v>
      </c>
      <c r="E42" s="3">
        <f>+E11/E$8</f>
        <v>0.25527316285610124</v>
      </c>
      <c r="H42" s="3">
        <f>+H11/H$8</f>
        <v>0.20044220522672079</v>
      </c>
      <c r="I42" s="3">
        <f t="shared" ref="I42:T42" si="24">+I11/I$8</f>
        <v>0.34126462674425878</v>
      </c>
      <c r="J42" s="3">
        <f t="shared" si="24"/>
        <v>0.2</v>
      </c>
      <c r="K42" s="3">
        <f t="shared" si="24"/>
        <v>0.2</v>
      </c>
      <c r="L42" s="3">
        <f t="shared" si="24"/>
        <v>0.2</v>
      </c>
      <c r="M42" s="3">
        <f t="shared" si="24"/>
        <v>0.2</v>
      </c>
      <c r="N42" s="3">
        <f t="shared" si="24"/>
        <v>0.2</v>
      </c>
      <c r="O42" s="3">
        <f t="shared" si="24"/>
        <v>0.2</v>
      </c>
      <c r="P42" s="3">
        <f t="shared" si="24"/>
        <v>0.20000000000000004</v>
      </c>
      <c r="Q42" s="3">
        <f t="shared" si="24"/>
        <v>0.2</v>
      </c>
      <c r="R42" s="3">
        <f t="shared" si="24"/>
        <v>0.2</v>
      </c>
      <c r="S42" s="3">
        <f t="shared" si="24"/>
        <v>0.2</v>
      </c>
      <c r="T42" s="3">
        <f t="shared" si="24"/>
        <v>0.2</v>
      </c>
    </row>
    <row r="43" spans="2:23" s="3" customFormat="1" x14ac:dyDescent="0.25">
      <c r="B43" s="3" t="s">
        <v>12</v>
      </c>
      <c r="E43" s="3">
        <f t="shared" ref="E43:E44" si="25">+E12/E$8</f>
        <v>0.12697255351283787</v>
      </c>
      <c r="H43" s="3">
        <f t="shared" ref="H43:T44" si="26">+H12/H$8</f>
        <v>0.21137047373953388</v>
      </c>
      <c r="I43" s="3">
        <f t="shared" si="26"/>
        <v>0.17412865277517051</v>
      </c>
      <c r="J43" s="3">
        <f t="shared" si="26"/>
        <v>0.1</v>
      </c>
      <c r="K43" s="3">
        <f t="shared" si="26"/>
        <v>0.1</v>
      </c>
      <c r="L43" s="3">
        <f t="shared" si="26"/>
        <v>0.1</v>
      </c>
      <c r="M43" s="3">
        <f t="shared" si="26"/>
        <v>0.1</v>
      </c>
      <c r="N43" s="3">
        <f t="shared" si="26"/>
        <v>0.1</v>
      </c>
      <c r="O43" s="3">
        <f t="shared" si="26"/>
        <v>0.1</v>
      </c>
      <c r="P43" s="3">
        <f t="shared" si="26"/>
        <v>0.10000000000000002</v>
      </c>
      <c r="Q43" s="3">
        <f t="shared" si="26"/>
        <v>0.1</v>
      </c>
      <c r="R43" s="3">
        <f t="shared" si="26"/>
        <v>0.1</v>
      </c>
      <c r="S43" s="3">
        <f t="shared" si="26"/>
        <v>0.1</v>
      </c>
      <c r="T43" s="3">
        <f t="shared" si="26"/>
        <v>0.1</v>
      </c>
    </row>
    <row r="44" spans="2:23" s="3" customFormat="1" x14ac:dyDescent="0.25">
      <c r="B44" s="3" t="s">
        <v>13</v>
      </c>
      <c r="E44" s="3">
        <f t="shared" si="25"/>
        <v>0.18474298213634707</v>
      </c>
      <c r="H44" s="3">
        <f t="shared" si="26"/>
        <v>0.15145529015187212</v>
      </c>
      <c r="I44" s="3">
        <f t="shared" si="26"/>
        <v>0.26834991552468557</v>
      </c>
      <c r="J44" s="3">
        <f t="shared" si="26"/>
        <v>0.15</v>
      </c>
      <c r="K44" s="3">
        <f t="shared" si="26"/>
        <v>0.15</v>
      </c>
      <c r="L44" s="3">
        <f t="shared" si="26"/>
        <v>0.15</v>
      </c>
      <c r="M44" s="3">
        <f t="shared" si="26"/>
        <v>0.15</v>
      </c>
      <c r="N44" s="3">
        <f t="shared" si="26"/>
        <v>0.15</v>
      </c>
      <c r="O44" s="3">
        <f t="shared" si="26"/>
        <v>0.15</v>
      </c>
      <c r="P44" s="3">
        <f t="shared" si="26"/>
        <v>0.15</v>
      </c>
      <c r="Q44" s="3">
        <f t="shared" si="26"/>
        <v>0.15</v>
      </c>
      <c r="R44" s="3">
        <f t="shared" si="26"/>
        <v>0.15</v>
      </c>
      <c r="S44" s="3">
        <f t="shared" si="26"/>
        <v>0.15</v>
      </c>
      <c r="T44" s="3">
        <f t="shared" si="26"/>
        <v>0.15</v>
      </c>
    </row>
    <row r="45" spans="2:23" s="1" customFormat="1" x14ac:dyDescent="0.25"/>
    <row r="46" spans="2:23" s="1" customFormat="1" x14ac:dyDescent="0.25"/>
    <row r="47" spans="2:23" s="1" customFormat="1" x14ac:dyDescent="0.25"/>
    <row r="48" spans="2:23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2026-01-22T16:13:07Z</dcterms:created>
  <dcterms:modified xsi:type="dcterms:W3CDTF">2026-01-22T16:19:14Z</dcterms:modified>
</cp:coreProperties>
</file>