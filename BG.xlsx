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8E0A5AB-2642-431E-9BF6-6A8BD87FAB48}" xr6:coauthVersionLast="47" xr6:coauthVersionMax="47" xr10:uidLastSave="{00000000-0000-0000-0000-000000000000}"/>
  <bookViews>
    <workbookView xWindow="-26640" yWindow="1515" windowWidth="20145" windowHeight="12345" xr2:uid="{F88A6D18-670C-4807-8EAF-950D12E42538}"/>
  </bookViews>
  <sheets>
    <sheet name="Sheet1" sheetId="1" r:id="rId1"/>
  </sheets>
  <definedNames>
    <definedName name="TR">Sheet1!$AL$17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" i="1" l="1"/>
  <c r="AE8" i="1" s="1"/>
  <c r="AF8" i="1" s="1"/>
  <c r="AG8" i="1" s="1"/>
  <c r="AH8" i="1" s="1"/>
  <c r="AI8" i="1" s="1"/>
  <c r="AC8" i="1"/>
  <c r="AB8" i="1"/>
  <c r="AD4" i="1"/>
  <c r="AE4" i="1" s="1"/>
  <c r="AF4" i="1" s="1"/>
  <c r="AG4" i="1" s="1"/>
  <c r="AH4" i="1" s="1"/>
  <c r="AI4" i="1" s="1"/>
  <c r="AC4" i="1"/>
  <c r="AE3" i="1"/>
  <c r="AF3" i="1" s="1"/>
  <c r="AG3" i="1" s="1"/>
  <c r="AH3" i="1" s="1"/>
  <c r="AI3" i="1" s="1"/>
  <c r="AD3" i="1"/>
  <c r="AC3" i="1"/>
  <c r="AB3" i="1"/>
  <c r="AB17" i="1" s="1"/>
  <c r="AB11" i="1"/>
  <c r="AD11" i="1" s="1"/>
  <c r="AF11" i="1" s="1"/>
  <c r="AH11" i="1" s="1"/>
  <c r="AA18" i="1"/>
  <c r="Y18" i="1"/>
  <c r="Z18" i="1"/>
  <c r="AC10" i="1"/>
  <c r="AB4" i="1"/>
  <c r="Y17" i="1"/>
  <c r="Z17" i="1"/>
  <c r="AA17" i="1"/>
  <c r="G17" i="1"/>
  <c r="H17" i="1"/>
  <c r="I17" i="1"/>
  <c r="J17" i="1"/>
  <c r="K17" i="1"/>
  <c r="L17" i="1"/>
  <c r="M17" i="1"/>
  <c r="N17" i="1"/>
  <c r="O17" i="1"/>
  <c r="P17" i="1"/>
  <c r="Q17" i="1"/>
  <c r="R17" i="1"/>
  <c r="AA16" i="1"/>
  <c r="Z16" i="1"/>
  <c r="Y16" i="1"/>
  <c r="X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C16" i="1"/>
  <c r="Y1" i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C5" i="1" l="1"/>
  <c r="AC7" i="1" s="1"/>
  <c r="AC9" i="1" s="1"/>
  <c r="AC12" i="1" s="1"/>
  <c r="AC13" i="1" s="1"/>
  <c r="AC14" i="1" s="1"/>
  <c r="AC18" i="1" s="1"/>
  <c r="AC17" i="1"/>
  <c r="AB5" i="1"/>
  <c r="AB7" i="1" s="1"/>
  <c r="AB9" i="1" s="1"/>
  <c r="AB12" i="1" s="1"/>
  <c r="AB13" i="1" s="1"/>
  <c r="AB14" i="1" s="1"/>
  <c r="AD17" i="1"/>
  <c r="AD10" i="1"/>
  <c r="AE10" i="1" s="1"/>
  <c r="AF10" i="1" s="1"/>
  <c r="AG10" i="1" s="1"/>
  <c r="AH10" i="1" s="1"/>
  <c r="AI10" i="1" s="1"/>
  <c r="AD5" i="1" l="1"/>
  <c r="AD7" i="1" s="1"/>
  <c r="AD9" i="1" s="1"/>
  <c r="AD12" i="1" s="1"/>
  <c r="AD13" i="1" s="1"/>
  <c r="AD14" i="1" s="1"/>
  <c r="AD18" i="1" s="1"/>
  <c r="AB18" i="1"/>
  <c r="AE5" i="1" l="1"/>
  <c r="AE7" i="1" s="1"/>
  <c r="AE9" i="1" s="1"/>
  <c r="AE12" i="1" s="1"/>
  <c r="AE17" i="1"/>
  <c r="AE13" i="1" l="1"/>
  <c r="AE14" i="1" s="1"/>
  <c r="AE18" i="1" s="1"/>
  <c r="AF17" i="1"/>
  <c r="AF5" i="1"/>
  <c r="AF7" i="1" s="1"/>
  <c r="AF9" i="1" s="1"/>
  <c r="AF12" i="1" s="1"/>
  <c r="AF13" i="1" s="1"/>
  <c r="AF14" i="1" s="1"/>
  <c r="AF18" i="1" s="1"/>
  <c r="AG5" i="1" l="1"/>
  <c r="AG7" i="1" s="1"/>
  <c r="AG9" i="1" s="1"/>
  <c r="AG12" i="1" s="1"/>
  <c r="AG17" i="1"/>
  <c r="AG13" i="1" l="1"/>
  <c r="AG14" i="1" s="1"/>
  <c r="AH5" i="1"/>
  <c r="AH7" i="1" s="1"/>
  <c r="AH9" i="1" s="1"/>
  <c r="AH12" i="1" s="1"/>
  <c r="AH17" i="1"/>
  <c r="AG18" i="1" l="1"/>
  <c r="AH13" i="1"/>
  <c r="AH14" i="1" s="1"/>
  <c r="AI17" i="1"/>
  <c r="AI5" i="1"/>
  <c r="AI7" i="1" s="1"/>
  <c r="AI9" i="1" s="1"/>
  <c r="AI12" i="1" s="1"/>
  <c r="AJ14" i="1" l="1"/>
  <c r="AL14" i="1" s="1"/>
  <c r="AN14" i="1" s="1"/>
  <c r="AP14" i="1" s="1"/>
  <c r="AR14" i="1" s="1"/>
  <c r="AT14" i="1" s="1"/>
  <c r="AV14" i="1" s="1"/>
  <c r="AX14" i="1" s="1"/>
  <c r="AZ14" i="1" s="1"/>
  <c r="BB14" i="1" s="1"/>
  <c r="BD14" i="1" s="1"/>
  <c r="BF14" i="1" s="1"/>
  <c r="BH14" i="1" s="1"/>
  <c r="BJ14" i="1" s="1"/>
  <c r="BL14" i="1" s="1"/>
  <c r="BN14" i="1" s="1"/>
  <c r="BP14" i="1" s="1"/>
  <c r="BR14" i="1" s="1"/>
  <c r="BT14" i="1" s="1"/>
  <c r="BV14" i="1" s="1"/>
  <c r="BX14" i="1" s="1"/>
  <c r="BZ14" i="1" s="1"/>
  <c r="CB14" i="1" s="1"/>
  <c r="CD14" i="1" s="1"/>
  <c r="CF14" i="1" s="1"/>
  <c r="CH14" i="1" s="1"/>
  <c r="CJ14" i="1" s="1"/>
  <c r="CL14" i="1" s="1"/>
  <c r="CN14" i="1" s="1"/>
  <c r="CP14" i="1" s="1"/>
  <c r="CR14" i="1" s="1"/>
  <c r="CT14" i="1" s="1"/>
  <c r="CV14" i="1" s="1"/>
  <c r="CX14" i="1" s="1"/>
  <c r="CZ14" i="1" s="1"/>
  <c r="DB14" i="1" s="1"/>
  <c r="DD14" i="1" s="1"/>
  <c r="DF14" i="1" s="1"/>
  <c r="DH14" i="1" s="1"/>
  <c r="DJ14" i="1" s="1"/>
  <c r="DL14" i="1" s="1"/>
  <c r="DN14" i="1" s="1"/>
  <c r="DP14" i="1" s="1"/>
  <c r="DR14" i="1" s="1"/>
  <c r="DT14" i="1" s="1"/>
  <c r="DV14" i="1" s="1"/>
  <c r="DX14" i="1" s="1"/>
  <c r="DZ14" i="1" s="1"/>
  <c r="EB14" i="1" s="1"/>
  <c r="ED14" i="1" s="1"/>
  <c r="EF14" i="1" s="1"/>
  <c r="EH14" i="1" s="1"/>
  <c r="EJ14" i="1" s="1"/>
  <c r="EL14" i="1" s="1"/>
  <c r="AH18" i="1"/>
  <c r="AI13" i="1"/>
  <c r="AI14" i="1" s="1"/>
  <c r="AK14" i="1" l="1"/>
  <c r="AI18" i="1"/>
  <c r="AM14" i="1" l="1"/>
  <c r="AO14" i="1" s="1"/>
  <c r="AQ14" i="1" s="1"/>
  <c r="AS14" i="1" s="1"/>
  <c r="AU14" i="1" s="1"/>
  <c r="AW14" i="1" s="1"/>
  <c r="AY14" i="1" s="1"/>
  <c r="BA14" i="1" s="1"/>
  <c r="BC14" i="1" s="1"/>
  <c r="BE14" i="1" s="1"/>
  <c r="BG14" i="1" s="1"/>
  <c r="BI14" i="1" s="1"/>
  <c r="BK14" i="1" s="1"/>
  <c r="BM14" i="1" s="1"/>
  <c r="BO14" i="1" s="1"/>
  <c r="BQ14" i="1" s="1"/>
  <c r="BS14" i="1" s="1"/>
  <c r="BU14" i="1" s="1"/>
  <c r="BW14" i="1" s="1"/>
  <c r="BY14" i="1" s="1"/>
  <c r="CA14" i="1" s="1"/>
  <c r="CC14" i="1" s="1"/>
  <c r="CE14" i="1" s="1"/>
  <c r="CG14" i="1" s="1"/>
  <c r="CI14" i="1" s="1"/>
  <c r="CK14" i="1" s="1"/>
  <c r="CM14" i="1" s="1"/>
  <c r="CO14" i="1" s="1"/>
  <c r="CQ14" i="1" s="1"/>
  <c r="CS14" i="1" s="1"/>
  <c r="CU14" i="1" s="1"/>
  <c r="CW14" i="1" s="1"/>
  <c r="CY14" i="1" s="1"/>
  <c r="DA14" i="1" s="1"/>
  <c r="DC14" i="1" s="1"/>
  <c r="DE14" i="1" s="1"/>
  <c r="DG14" i="1" s="1"/>
  <c r="DI14" i="1" s="1"/>
  <c r="DK14" i="1" s="1"/>
  <c r="DM14" i="1" s="1"/>
  <c r="DO14" i="1" s="1"/>
  <c r="DQ14" i="1" s="1"/>
  <c r="DS14" i="1" s="1"/>
  <c r="DU14" i="1" s="1"/>
  <c r="DW14" i="1" s="1"/>
  <c r="DY14" i="1" s="1"/>
  <c r="EA14" i="1" s="1"/>
  <c r="EC14" i="1" s="1"/>
  <c r="EE14" i="1" s="1"/>
  <c r="EG14" i="1" s="1"/>
  <c r="EI14" i="1" s="1"/>
  <c r="EK14" i="1" s="1"/>
  <c r="AL18" i="1" l="1"/>
  <c r="AL20" i="1" s="1"/>
  <c r="AL21" i="1" s="1"/>
</calcChain>
</file>

<file path=xl/sharedStrings.xml><?xml version="1.0" encoding="utf-8"?>
<sst xmlns="http://schemas.openxmlformats.org/spreadsheetml/2006/main" count="64" uniqueCount="52">
  <si>
    <t>Net interest income</t>
  </si>
  <si>
    <t>Net fee and commission income</t>
  </si>
  <si>
    <t>Core revenues</t>
  </si>
  <si>
    <t>Operating income</t>
  </si>
  <si>
    <t>Operating expenses</t>
  </si>
  <si>
    <t>Pre-provision profit</t>
  </si>
  <si>
    <t>Regulatory charges</t>
  </si>
  <si>
    <t>Total risk costs</t>
  </si>
  <si>
    <t>Profit before tax</t>
  </si>
  <si>
    <t>Income taxes</t>
  </si>
  <si>
    <t>Net profit</t>
  </si>
  <si>
    <t>Impairments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</si>
  <si>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</si>
  <si>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</si>
  <si>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</si>
  <si>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</si>
  <si>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</si>
  <si>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</si>
  <si>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</si>
  <si>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</si>
  <si>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</si>
  <si>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</si>
  <si>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</si>
  <si>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</si>
  <si>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</si>
  <si>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</si>
  <si>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</si>
  <si>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</si>
  <si>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Net Margin</t>
  </si>
  <si>
    <t>Total assets</t>
  </si>
  <si>
    <t>Interest-bearing assets (average)</t>
  </si>
  <si>
    <t>Customer loans</t>
  </si>
  <si>
    <t>Customer loans (average)</t>
  </si>
  <si>
    <t>Customer deposits and own issues</t>
  </si>
  <si>
    <t>Customer deposits (average)</t>
  </si>
  <si>
    <t>Own funds</t>
  </si>
  <si>
    <t>Credit risk</t>
  </si>
  <si>
    <t>Market risk</t>
  </si>
  <si>
    <t>-</t>
  </si>
  <si>
    <t>Operational risk</t>
  </si>
  <si>
    <t>Total Risk-weighted assets</t>
  </si>
  <si>
    <r>
      <t>Common equity</t>
    </r>
    <r>
      <rPr>
        <vertAlign val="superscript"/>
        <sz val="10"/>
        <rFont val="Calibri"/>
        <family val="2"/>
        <scheme val="minor"/>
      </rPr>
      <t>1)</t>
    </r>
  </si>
  <si>
    <r>
      <t>Tangible common equity</t>
    </r>
    <r>
      <rPr>
        <vertAlign val="superscript"/>
        <sz val="10"/>
        <rFont val="Calibri"/>
        <family val="2"/>
        <scheme val="minor"/>
      </rPr>
      <t>1)</t>
    </r>
  </si>
  <si>
    <r>
      <t xml:space="preserve">Common Equity Tier 1 capital </t>
    </r>
    <r>
      <rPr>
        <vertAlign val="superscript"/>
        <sz val="10"/>
        <rFont val="Calibri"/>
        <family val="2"/>
        <scheme val="minor"/>
      </rPr>
      <t>2)</t>
    </r>
  </si>
  <si>
    <t>Interest Income Y/Y</t>
  </si>
  <si>
    <t>Discount</t>
  </si>
  <si>
    <t>Terminal</t>
  </si>
  <si>
    <t>NPV</t>
  </si>
  <si>
    <t>Net Cash</t>
  </si>
  <si>
    <t>Value</t>
  </si>
  <si>
    <t>Price</t>
  </si>
  <si>
    <t>Net Income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</si>
</sst>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&quot;£&quot;#,##0.00;\-&quot;£&quot;#,##0.00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0.0%"/>
    <numFmt numFmtId="170" formatCode="[$-809]dd\ mmmm\ yyyy"/>
    <numFmt numFmtId="171" formatCode="0.0"/>
    <numFmt numFmtId="172" formatCode="#,##0.0"/>
    <numFmt numFmtId="173" formatCode="[$-C07]d\ mmm\ yyyy;@"/>
    <numFmt numFmtId="174" formatCode="0.0_)\%;\(0.0\)\%;0.0_)\%;@_)_%"/>
    <numFmt numFmtId="175" formatCode="#,##0.0_)_%;\(#,##0.0\)_%;0.0_)_%;@_)_%"/>
    <numFmt numFmtId="176" formatCode="#,##0.0_);\(#,##0.0\)"/>
    <numFmt numFmtId="177" formatCode="#,##0.0_);\(#,##0.0\);#,##0.0_);@_)"/>
    <numFmt numFmtId="178" formatCode="&quot;$&quot;_(#,##0.00_);&quot;$&quot;\(#,##0.00\)"/>
    <numFmt numFmtId="179" formatCode="&quot;$&quot;_(#,##0.00_);&quot;$&quot;\(#,##0.00\);&quot;$&quot;_(0.00_);@_)"/>
    <numFmt numFmtId="180" formatCode="&quot;\&quot;_(#,##0.00_);&quot;\&quot;\(#,##0.00\);&quot;\&quot;_(0.00_);@_)"/>
    <numFmt numFmtId="181" formatCode="#,##0.00_);\(#,##0.00\);0.00_);@_)"/>
    <numFmt numFmtId="182" formatCode="#,##0.00_ ;[Red]\-#,##0.00;\-"/>
    <numFmt numFmtId="183" formatCode="\€_(#,##0.00_);\€\(#,##0.00\);\€_(0.00_);@_)"/>
    <numFmt numFmtId="184" formatCode="#,##0.0_)\x;\(#,##0.0\)\x"/>
    <numFmt numFmtId="185" formatCode="#,##0_)\x;\(#,##0\)\x;0_)\x;@_)_x"/>
    <numFmt numFmtId="186" formatCode="#,##0.0_)_x;\(#,##0.0\)_x"/>
    <numFmt numFmtId="187" formatCode="#,##0_)_x;\(#,##0\)_x;0_)_x;@_)_x"/>
    <numFmt numFmtId="188" formatCode="0.0_)\%;\(0.0\)\%"/>
    <numFmt numFmtId="189" formatCode="#,##0.0_)_%;\(#,##0.0\)_%"/>
    <numFmt numFmtId="190" formatCode="#,##0\ ;\(#,##0\)"/>
    <numFmt numFmtId="191" formatCode="#,##0.00,"/>
    <numFmt numFmtId="192" formatCode="#,##0,"/>
    <numFmt numFmtId="193" formatCode="#,##0.0;\-#,##0.0"/>
    <numFmt numFmtId="194" formatCode="mmm"/>
    <numFmt numFmtId="195" formatCode=";;;@"/>
    <numFmt numFmtId="196" formatCode="0.000_)"/>
    <numFmt numFmtId="197" formatCode="mm/dd/yy;@"/>
    <numFmt numFmtId="198" formatCode="dd/mm/yy;@"/>
    <numFmt numFmtId="199" formatCode="dd\-mm\-yy"/>
    <numFmt numFmtId="200" formatCode="#,##0.000"/>
    <numFmt numFmtId="201" formatCode="_-[$€]\ * #,##0.00_-;\-[$€]\ * #,##0.00_-;_-[$€]\ * &quot;-&quot;??_-;_-@_-"/>
    <numFmt numFmtId="202" formatCode="_-* #,##0.00\ [$€]_-;\-* #,##0.00\ [$€]_-;_-* &quot;-&quot;??\ [$€]_-;_-@_-"/>
    <numFmt numFmtId="203" formatCode="#,##0.00_ ;\-#,##0.00\ "/>
    <numFmt numFmtId="204" formatCode="#\.##\.###"/>
    <numFmt numFmtId="205" formatCode="_(* #,##0_);_(* \(#,##0\);_(* &quot;-&quot;??_);_(@_)"/>
    <numFmt numFmtId="206" formatCode="_-* #,##0.00\ _D_M_-;\-* #,##0.00\ _D_M_-;_-* &quot;-&quot;??\ _D_M_-;_-@_-"/>
    <numFmt numFmtId="207" formatCode="#,###,;\-#,###,;0;\-"/>
    <numFmt numFmtId="208" formatCode="_-* #,##0.00_-;\-* #,##0.00_-;_-* \-??_-;_-@_-"/>
    <numFmt numFmtId="209" formatCode="0.00_)"/>
    <numFmt numFmtId="210" formatCode="#,##0\ \ \ \ \ "/>
    <numFmt numFmtId="211" formatCode="#,##0.0,\ \ \ \ \ "/>
    <numFmt numFmtId="212" formatCode="#,##0.0\ ;\(#,##0.0\)"/>
    <numFmt numFmtId="213" formatCode="\-###,###\-"/>
    <numFmt numFmtId="214" formatCode="_ * #,##0.00_ ;_ * \-#,##0.00_ ;_ * &quot;-&quot;??_ ;_ @_ "/>
    <numFmt numFmtId="215" formatCode="_ * #,##0_ ;_ * \-#,##0_ ;_ * &quot;-&quot;_ ;_ @_ "/>
  </numFmts>
  <fonts count="1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Geneva"/>
      <family val="2"/>
    </font>
    <font>
      <sz val="9"/>
      <name val="?? ??"/>
      <family val="1"/>
    </font>
    <font>
      <sz val="11"/>
      <name val="ＭＳ Ｐゴシック"/>
      <family val="3"/>
      <charset val="128"/>
    </font>
    <font>
      <sz val="10"/>
      <name val="Palatino"/>
    </font>
    <font>
      <sz val="10"/>
      <name val="Palatino"/>
      <family val="1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Geneva"/>
    </font>
    <font>
      <sz val="10"/>
      <name val="Book Antiqua"/>
      <family val="1"/>
    </font>
    <font>
      <u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27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8"/>
      <color theme="3"/>
      <name val="Tahoma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color indexed="63"/>
      <name val="Calibri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9"/>
      <color indexed="9"/>
      <name val="Tahoma"/>
      <family val="2"/>
    </font>
    <font>
      <sz val="10"/>
      <color theme="3"/>
      <name val="Tahoma"/>
      <family val="2"/>
    </font>
    <font>
      <b/>
      <sz val="10"/>
      <color theme="3"/>
      <name val="Tahoma"/>
      <family val="2"/>
    </font>
    <font>
      <b/>
      <sz val="10"/>
      <name val="Tahoma"/>
      <family val="2"/>
    </font>
    <font>
      <sz val="11"/>
      <color indexed="17"/>
      <name val="Calibri"/>
      <family val="2"/>
    </font>
    <font>
      <b/>
      <sz val="10"/>
      <color indexed="52"/>
      <name val="Arial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8"/>
      <name val="Arial CE"/>
      <charset val="238"/>
    </font>
    <font>
      <sz val="11"/>
      <name val="Tms Rmn"/>
      <family val="1"/>
    </font>
    <font>
      <b/>
      <sz val="14"/>
      <color indexed="13"/>
      <name val="Arial"/>
      <family val="2"/>
    </font>
    <font>
      <b/>
      <sz val="9"/>
      <name val="Tahoma"/>
      <family val="2"/>
    </font>
    <font>
      <b/>
      <sz val="9"/>
      <color indexed="9"/>
      <name val="Tahoma"/>
      <family val="2"/>
    </font>
    <font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name val="Times New Roman"/>
      <family val="1"/>
    </font>
    <font>
      <i/>
      <sz val="10"/>
      <color indexed="23"/>
      <name val="Arial"/>
      <family val="2"/>
    </font>
    <font>
      <b/>
      <sz val="10"/>
      <color indexed="12"/>
      <name val="Helv"/>
    </font>
    <font>
      <b/>
      <sz val="11"/>
      <name val="Tahoma"/>
      <family val="2"/>
    </font>
    <font>
      <b/>
      <sz val="8"/>
      <color theme="3"/>
      <name val="Tahoma"/>
      <family val="2"/>
    </font>
    <font>
      <i/>
      <sz val="10"/>
      <name val="Tahoma"/>
      <family val="2"/>
    </font>
    <font>
      <sz val="10"/>
      <color indexed="17"/>
      <name val="Arial"/>
      <family val="2"/>
    </font>
    <font>
      <sz val="10"/>
      <name val="ＭＳ Ｐゴシック"/>
      <family val="3"/>
      <charset val="128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8"/>
      <color theme="3"/>
      <name val="Tahoma"/>
      <family val="2"/>
    </font>
    <font>
      <sz val="8"/>
      <color theme="4" tint="-0.24994659260841701"/>
      <name val="Tahoma"/>
      <family val="2"/>
    </font>
    <font>
      <sz val="10"/>
      <color indexed="62"/>
      <name val="Arial"/>
      <family val="2"/>
    </font>
    <font>
      <b/>
      <i/>
      <sz val="9"/>
      <name val="Tahom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0"/>
      <color indexed="52"/>
      <name val="Arial"/>
      <family val="2"/>
    </font>
    <font>
      <b/>
      <sz val="10"/>
      <name val="Times New Roman"/>
      <family val="1"/>
    </font>
    <font>
      <sz val="12"/>
      <color indexed="56"/>
      <name val="Tahoma"/>
      <family val="2"/>
    </font>
    <font>
      <sz val="9"/>
      <name val="Univers (WN)"/>
    </font>
    <font>
      <sz val="11"/>
      <color indexed="60"/>
      <name val="Calibri"/>
      <family val="2"/>
    </font>
    <font>
      <sz val="8"/>
      <color indexed="8"/>
      <name val="MS Sans Serif"/>
      <family val="2"/>
    </font>
    <font>
      <b/>
      <i/>
      <sz val="16"/>
      <name val="Helv"/>
      <family val="2"/>
    </font>
    <font>
      <sz val="11"/>
      <name val="Univers 45 Light"/>
      <family val="2"/>
    </font>
    <font>
      <b/>
      <sz val="11"/>
      <name val="Univers 45 Light"/>
      <family val="2"/>
    </font>
    <font>
      <b/>
      <sz val="11"/>
      <color indexed="9"/>
      <name val="Univers 45 Light"/>
      <family val="2"/>
    </font>
    <font>
      <sz val="11"/>
      <name val="Univers 45 Light"/>
    </font>
    <font>
      <sz val="10"/>
      <color indexed="8"/>
      <name val="MS Sans Serif"/>
      <family val="2"/>
    </font>
    <font>
      <sz val="10"/>
      <name val="Arial CE"/>
      <charset val="238"/>
    </font>
    <font>
      <sz val="10"/>
      <name val="Times New Roman CE"/>
      <charset val="238"/>
    </font>
    <font>
      <b/>
      <sz val="10"/>
      <color indexed="63"/>
      <name val="Arial"/>
      <family val="2"/>
    </font>
    <font>
      <sz val="22"/>
      <name val="UBSHeadline"/>
      <family val="1"/>
    </font>
    <font>
      <b/>
      <sz val="10"/>
      <color indexed="56"/>
      <name val="Tahoma"/>
      <family val="2"/>
    </font>
    <font>
      <sz val="8"/>
      <color indexed="8"/>
      <name val="Tahoma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0"/>
      <color theme="3"/>
      <name val="Webdings"/>
      <family val="1"/>
      <charset val="2"/>
    </font>
    <font>
      <b/>
      <sz val="12"/>
      <color indexed="8"/>
      <name val="Times New Roman"/>
      <family val="1"/>
    </font>
    <font>
      <sz val="10"/>
      <name val="Frutiger 45 Light"/>
      <family val="2"/>
    </font>
    <font>
      <sz val="12"/>
      <name val="Times New Roman"/>
      <family val="1"/>
    </font>
    <font>
      <sz val="11"/>
      <color indexed="10"/>
      <name val="Calibri"/>
      <family val="2"/>
    </font>
    <font>
      <sz val="11"/>
      <color theme="3"/>
      <name val="Calibri"/>
      <family val="2"/>
      <scheme val="minor"/>
    </font>
    <font>
      <b/>
      <sz val="16"/>
      <name val="Arial"/>
      <family val="2"/>
    </font>
    <font>
      <b/>
      <sz val="18"/>
      <color indexed="56"/>
      <name val="Cambria"/>
      <family val="2"/>
    </font>
    <font>
      <b/>
      <sz val="14"/>
      <color indexed="9"/>
      <name val="Arial"/>
      <family val="2"/>
    </font>
    <font>
      <sz val="8"/>
      <color indexed="36"/>
      <name val="Verdana"/>
      <family val="2"/>
    </font>
    <font>
      <u/>
      <sz val="11"/>
      <color indexed="12"/>
      <name val="ＭＳ Ｐゴシック"/>
      <family val="3"/>
      <charset val="128"/>
    </font>
    <font>
      <sz val="11"/>
      <name val="돋움"/>
      <family val="3"/>
      <charset val="129"/>
    </font>
    <font>
      <sz val="11"/>
      <name val="돋움"/>
      <charset val="129"/>
    </font>
    <font>
      <sz val="14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theme="2"/>
        <bgColor theme="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8F8F2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  <bgColor indexed="18"/>
      </patternFill>
    </fill>
    <fill>
      <patternFill patternType="solid">
        <fgColor indexed="18"/>
        <bgColor indexed="18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</patternFill>
    </fill>
    <fill>
      <patternFill patternType="solid">
        <fgColor indexed="56"/>
        <bgColor indexed="56"/>
      </patternFill>
    </fill>
    <fill>
      <patternFill patternType="solid">
        <fgColor indexed="62"/>
        <bgColor indexed="12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rgb="FFEAF0F6"/>
        <bgColor indexed="64"/>
      </patternFill>
    </fill>
    <fill>
      <patternFill patternType="solid">
        <fgColor theme="2"/>
        <bgColor indexed="26"/>
      </patternFill>
    </fill>
    <fill>
      <patternFill patternType="solid">
        <fgColor indexed="12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otted">
        <color indexed="55"/>
      </top>
      <bottom style="dotted">
        <color indexed="55"/>
      </bottom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3" tint="0.399945066682943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9"/>
      </left>
      <right/>
      <top style="dotted">
        <color indexed="55"/>
      </top>
      <bottom style="dotted">
        <color indexed="55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55"/>
      </left>
      <right style="thin">
        <color indexed="55"/>
      </right>
      <top style="dotted">
        <color indexed="55"/>
      </top>
      <bottom style="dotted">
        <color indexed="55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9"/>
      </top>
      <bottom style="dotted">
        <color indexed="22"/>
      </bottom>
      <diagonal/>
    </border>
    <border>
      <left/>
      <right/>
      <top/>
      <bottom style="medium">
        <color theme="3"/>
      </bottom>
      <diagonal/>
    </border>
  </borders>
  <cellStyleXfs count="182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Alignment="0" applyProtection="0">
      <alignment wrapText="1"/>
    </xf>
    <xf numFmtId="170" fontId="1" fillId="0" borderId="0"/>
    <xf numFmtId="0" fontId="1" fillId="0" borderId="0"/>
    <xf numFmtId="43" fontId="1" fillId="0" borderId="0" applyFont="0" applyFill="0" applyBorder="0" applyAlignment="0" applyProtection="0"/>
    <xf numFmtId="173" fontId="4" fillId="0" borderId="0">
      <alignment horizontal="center"/>
    </xf>
    <xf numFmtId="3" fontId="5" fillId="0" borderId="0" applyFont="0" applyBorder="0">
      <alignment horizontal="right"/>
    </xf>
    <xf numFmtId="9" fontId="1" fillId="0" borderId="0" applyFont="0" applyFill="0" applyBorder="0" applyAlignment="0" applyProtection="0"/>
    <xf numFmtId="169" fontId="1" fillId="0" borderId="0" applyFont="0" applyFill="0" applyBorder="0" applyAlignment="0"/>
    <xf numFmtId="10" fontId="1" fillId="0" borderId="0" applyFont="0" applyFill="0" applyBorder="0" applyAlignment="0"/>
    <xf numFmtId="3" fontId="5" fillId="0" borderId="0" applyFont="0" applyBorder="0">
      <alignment horizontal="right"/>
    </xf>
    <xf numFmtId="173" fontId="6" fillId="0" borderId="0">
      <alignment vertical="center"/>
    </xf>
    <xf numFmtId="174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3" fontId="5" fillId="0" borderId="0" applyFont="0" applyBorder="0">
      <alignment horizontal="right"/>
    </xf>
    <xf numFmtId="0" fontId="3" fillId="16" borderId="0"/>
    <xf numFmtId="0" fontId="3" fillId="16" borderId="0"/>
    <xf numFmtId="0" fontId="3" fillId="16" borderId="0"/>
    <xf numFmtId="0" fontId="3" fillId="16" borderId="0"/>
    <xf numFmtId="173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173" fontId="10" fillId="16" borderId="0"/>
    <xf numFmtId="173" fontId="11" fillId="16" borderId="0"/>
    <xf numFmtId="173" fontId="12" fillId="16" borderId="0"/>
    <xf numFmtId="173" fontId="12" fillId="16" borderId="0"/>
    <xf numFmtId="173" fontId="12" fillId="16" borderId="0"/>
    <xf numFmtId="173" fontId="12" fillId="16" borderId="0"/>
    <xf numFmtId="173" fontId="12" fillId="16" borderId="0"/>
    <xf numFmtId="173" fontId="12" fillId="16" borderId="0"/>
    <xf numFmtId="0" fontId="12" fillId="16" borderId="0"/>
    <xf numFmtId="173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0" fontId="12" fillId="16" borderId="0"/>
    <xf numFmtId="173" fontId="13" fillId="16" borderId="0"/>
    <xf numFmtId="173" fontId="14" fillId="16" borderId="0"/>
    <xf numFmtId="173" fontId="15" fillId="16" borderId="0"/>
    <xf numFmtId="0" fontId="15" fillId="16" borderId="0"/>
    <xf numFmtId="0" fontId="15" fillId="16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7" fillId="0" borderId="0" applyFont="0" applyFill="0" applyBorder="0" applyAlignment="0" applyProtection="0"/>
    <xf numFmtId="39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7" fillId="0" borderId="0" applyFont="0" applyFill="0" applyBorder="0" applyAlignment="0" applyProtection="0"/>
    <xf numFmtId="166" fontId="3" fillId="17" borderId="3"/>
    <xf numFmtId="166" fontId="3" fillId="17" borderId="3"/>
    <xf numFmtId="166" fontId="3" fillId="17" borderId="3"/>
    <xf numFmtId="166" fontId="3" fillId="17" borderId="3"/>
    <xf numFmtId="182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82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82" fontId="3" fillId="17" borderId="3"/>
    <xf numFmtId="182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82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66" fontId="3" fillId="17" borderId="3"/>
    <xf numFmtId="182" fontId="3" fillId="17" borderId="3"/>
    <xf numFmtId="182" fontId="3" fillId="17" borderId="3"/>
    <xf numFmtId="166" fontId="3" fillId="17" borderId="3"/>
    <xf numFmtId="182" fontId="3" fillId="17" borderId="3"/>
    <xf numFmtId="182" fontId="3" fillId="17" borderId="3"/>
    <xf numFmtId="182" fontId="3" fillId="17" borderId="3"/>
    <xf numFmtId="182" fontId="3" fillId="17" borderId="3"/>
    <xf numFmtId="182" fontId="3" fillId="17" borderId="3"/>
    <xf numFmtId="166" fontId="3" fillId="17" borderId="3"/>
    <xf numFmtId="166" fontId="3" fillId="17" borderId="3"/>
    <xf numFmtId="9" fontId="9" fillId="0" borderId="0" applyFont="0" applyBorder="0">
      <alignment horizontal="right"/>
    </xf>
    <xf numFmtId="183" fontId="7" fillId="0" borderId="0" applyFont="0" applyFill="0" applyBorder="0" applyAlignment="0" applyProtection="0"/>
    <xf numFmtId="9" fontId="8" fillId="0" borderId="0" applyFont="0" applyBorder="0">
      <alignment horizontal="right"/>
    </xf>
    <xf numFmtId="9" fontId="9" fillId="0" borderId="0" applyFont="0" applyBorder="0">
      <alignment horizontal="right"/>
    </xf>
    <xf numFmtId="0" fontId="3" fillId="0" borderId="0"/>
    <xf numFmtId="173" fontId="11" fillId="17" borderId="0"/>
    <xf numFmtId="173" fontId="16" fillId="0" borderId="0" applyNumberFormat="0" applyFill="0" applyBorder="0" applyAlignment="0" applyProtection="0"/>
    <xf numFmtId="173" fontId="16" fillId="0" borderId="0" applyNumberFormat="0" applyFill="0" applyBorder="0" applyAlignment="0" applyProtection="0"/>
    <xf numFmtId="173" fontId="7" fillId="18" borderId="0" applyNumberFormat="0" applyFont="0" applyAlignment="0" applyProtection="0"/>
    <xf numFmtId="0" fontId="3" fillId="0" borderId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7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Protection="0">
      <alignment horizontal="right"/>
    </xf>
    <xf numFmtId="187" fontId="7" fillId="0" borderId="0" applyFont="0" applyFill="0" applyBorder="0" applyProtection="0">
      <alignment horizontal="right"/>
    </xf>
    <xf numFmtId="0" fontId="3" fillId="0" borderId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73" fontId="3" fillId="16" borderId="0"/>
    <xf numFmtId="0" fontId="3" fillId="16" borderId="0"/>
    <xf numFmtId="0" fontId="3" fillId="16" borderId="0"/>
    <xf numFmtId="0" fontId="3" fillId="16" borderId="0"/>
    <xf numFmtId="173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173" fontId="10" fillId="16" borderId="0"/>
    <xf numFmtId="173" fontId="11" fillId="16" borderId="0"/>
    <xf numFmtId="173" fontId="3" fillId="16" borderId="0"/>
    <xf numFmtId="173" fontId="13" fillId="16" borderId="0"/>
    <xf numFmtId="173" fontId="14" fillId="16" borderId="0"/>
    <xf numFmtId="173" fontId="15" fillId="16" borderId="0"/>
    <xf numFmtId="0" fontId="15" fillId="16" borderId="0"/>
    <xf numFmtId="0" fontId="15" fillId="16" borderId="0"/>
    <xf numFmtId="173" fontId="17" fillId="0" borderId="0" applyNumberFormat="0" applyFill="0" applyBorder="0" applyProtection="0">
      <alignment vertical="top"/>
    </xf>
    <xf numFmtId="173" fontId="17" fillId="0" borderId="0" applyNumberFormat="0" applyFill="0" applyBorder="0" applyProtection="0">
      <alignment vertical="top"/>
    </xf>
    <xf numFmtId="173" fontId="18" fillId="0" borderId="4" applyNumberFormat="0" applyFill="0" applyAlignment="0" applyProtection="0"/>
    <xf numFmtId="173" fontId="18" fillId="0" borderId="4" applyNumberFormat="0" applyFill="0" applyAlignment="0" applyProtection="0"/>
    <xf numFmtId="173" fontId="18" fillId="0" borderId="4" applyNumberFormat="0" applyFill="0" applyAlignment="0" applyProtection="0"/>
    <xf numFmtId="173" fontId="19" fillId="0" borderId="5" applyNumberFormat="0" applyFill="0" applyProtection="0">
      <alignment horizontal="center"/>
    </xf>
    <xf numFmtId="173" fontId="19" fillId="0" borderId="5" applyNumberFormat="0" applyFill="0" applyProtection="0">
      <alignment horizontal="center"/>
    </xf>
    <xf numFmtId="173" fontId="19" fillId="0" borderId="5" applyNumberFormat="0" applyFill="0" applyProtection="0">
      <alignment horizontal="center"/>
    </xf>
    <xf numFmtId="173" fontId="19" fillId="0" borderId="0" applyNumberFormat="0" applyFill="0" applyBorder="0" applyProtection="0">
      <alignment horizontal="left"/>
    </xf>
    <xf numFmtId="173" fontId="19" fillId="0" borderId="0" applyNumberFormat="0" applyFill="0" applyBorder="0" applyProtection="0">
      <alignment horizontal="left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173" fontId="20" fillId="0" borderId="0" applyNumberFormat="0" applyFill="0" applyBorder="0" applyProtection="0">
      <alignment horizontal="centerContinuous"/>
    </xf>
    <xf numFmtId="0" fontId="3" fillId="0" borderId="0"/>
    <xf numFmtId="9" fontId="9" fillId="0" borderId="0" applyFont="0" applyBorder="0">
      <alignment horizontal="right"/>
    </xf>
    <xf numFmtId="3" fontId="21" fillId="0" borderId="0" applyFont="0" applyBorder="0">
      <alignment horizontal="right"/>
    </xf>
    <xf numFmtId="171" fontId="5" fillId="0" borderId="0" applyFont="0" applyBorder="0">
      <alignment horizontal="right"/>
    </xf>
    <xf numFmtId="169" fontId="9" fillId="0" borderId="0" applyFont="0" applyBorder="0"/>
    <xf numFmtId="2" fontId="5" fillId="0" borderId="0" applyFont="0" applyBorder="0">
      <alignment horizontal="right"/>
    </xf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90" fontId="15" fillId="0" borderId="0" applyFill="0" applyBorder="0" applyAlignment="0" applyProtection="0"/>
    <xf numFmtId="173" fontId="22" fillId="0" borderId="6" applyNumberFormat="0" applyFont="0" applyFill="0" applyBorder="0" applyAlignment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4" fontId="23" fillId="0" borderId="0" applyFill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5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5" fillId="24" borderId="0" applyNumberFormat="0" applyBorder="0" applyAlignment="0" applyProtection="0"/>
    <xf numFmtId="9" fontId="26" fillId="25" borderId="7" applyNumberFormat="0" applyFont="0" applyBorder="0" applyAlignment="0">
      <alignment horizontal="center"/>
      <protection locked="0"/>
    </xf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5" fillId="28" borderId="0" applyNumberFormat="0" applyBorder="0" applyAlignment="0" applyProtection="0"/>
    <xf numFmtId="0" fontId="25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5" fillId="26" borderId="0" applyNumberFormat="0" applyBorder="0" applyAlignment="0" applyProtection="0"/>
    <xf numFmtId="0" fontId="25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29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7" fillId="30" borderId="0" applyNumberFormat="0" applyBorder="0" applyAlignment="0" applyProtection="0"/>
    <xf numFmtId="0" fontId="28" fillId="30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8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0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7" fillId="32" borderId="0" applyNumberFormat="0" applyBorder="0" applyAlignment="0" applyProtection="0"/>
    <xf numFmtId="0" fontId="28" fillId="32" borderId="0" applyNumberFormat="0" applyBorder="0" applyAlignment="0" applyProtection="0"/>
    <xf numFmtId="0" fontId="27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37" borderId="0" applyNumberFormat="0" applyBorder="0" applyAlignment="0" applyProtection="0"/>
    <xf numFmtId="0" fontId="28" fillId="37" borderId="0" applyNumberFormat="0" applyBorder="0" applyAlignment="0" applyProtection="0"/>
    <xf numFmtId="191" fontId="29" fillId="38" borderId="8" applyNumberFormat="0" applyProtection="0">
      <alignment horizontal="center" vertical="center" wrapText="1"/>
    </xf>
    <xf numFmtId="0" fontId="3" fillId="0" borderId="0" applyFill="0" applyBorder="0" applyProtection="0">
      <protection locked="0"/>
    </xf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9" fontId="1" fillId="0" borderId="0" applyNumberFormat="0" applyFont="0" applyFill="0" applyBorder="0" applyProtection="0">
      <alignment horizontal="left" vertical="center" wrapText="1"/>
    </xf>
    <xf numFmtId="9" fontId="1" fillId="0" borderId="9" applyNumberFormat="0" applyFont="0" applyFill="0" applyAlignment="0"/>
    <xf numFmtId="192" fontId="1" fillId="0" borderId="0" applyFont="0" applyFill="0" applyBorder="0" applyAlignment="0"/>
    <xf numFmtId="193" fontId="24" fillId="0" borderId="10" applyFill="0" applyBorder="0"/>
    <xf numFmtId="193" fontId="24" fillId="0" borderId="10" applyFill="0" applyBorder="0"/>
    <xf numFmtId="37" fontId="30" fillId="0" borderId="0">
      <alignment horizontal="left" vertical="center"/>
    </xf>
    <xf numFmtId="37" fontId="30" fillId="0" borderId="0">
      <alignment horizontal="left" vertical="center"/>
    </xf>
    <xf numFmtId="193" fontId="3" fillId="0" borderId="11" applyBorder="0" applyAlignment="0"/>
    <xf numFmtId="194" fontId="31" fillId="0" borderId="0" applyBorder="0">
      <alignment horizontal="center" vertical="center"/>
    </xf>
    <xf numFmtId="195" fontId="24" fillId="0" borderId="0" applyBorder="0"/>
    <xf numFmtId="195" fontId="24" fillId="0" borderId="0" applyBorder="0"/>
    <xf numFmtId="3" fontId="24" fillId="0" borderId="10" applyBorder="0"/>
    <xf numFmtId="3" fontId="24" fillId="0" borderId="10" applyBorder="0"/>
    <xf numFmtId="0" fontId="32" fillId="39" borderId="12" applyNumberFormat="0" applyAlignment="0" applyProtection="0"/>
    <xf numFmtId="0" fontId="32" fillId="39" borderId="12" applyNumberFormat="0" applyAlignment="0" applyProtection="0"/>
    <xf numFmtId="0" fontId="32" fillId="39" borderId="12" applyNumberFormat="0" applyAlignment="0" applyProtection="0"/>
    <xf numFmtId="0" fontId="33" fillId="20" borderId="0" applyNumberFormat="0" applyBorder="0" applyAlignment="0" applyProtection="0"/>
    <xf numFmtId="0" fontId="34" fillId="20" borderId="0" applyNumberFormat="0" applyBorder="0" applyAlignment="0" applyProtection="0"/>
    <xf numFmtId="191" fontId="29" fillId="0" borderId="13" applyNumberFormat="0" applyFill="0" applyProtection="0">
      <alignment horizontal="center" vertical="center" wrapText="1"/>
    </xf>
    <xf numFmtId="0" fontId="35" fillId="39" borderId="14" applyNumberFormat="0" applyAlignment="0" applyProtection="0"/>
    <xf numFmtId="0" fontId="35" fillId="39" borderId="14" applyNumberFormat="0" applyAlignment="0" applyProtection="0"/>
    <xf numFmtId="0" fontId="35" fillId="39" borderId="14" applyNumberFormat="0" applyAlignment="0" applyProtection="0"/>
    <xf numFmtId="9" fontId="36" fillId="40" borderId="0" applyNumberFormat="0" applyAlignment="0">
      <alignment horizontal="center"/>
    </xf>
    <xf numFmtId="3" fontId="37" fillId="0" borderId="15" applyFill="0" applyProtection="0">
      <alignment horizontal="right"/>
    </xf>
    <xf numFmtId="0" fontId="38" fillId="41" borderId="16" applyNumberFormat="0" applyFill="0" applyBorder="0" applyAlignment="0">
      <alignment horizontal="center"/>
      <protection locked="0"/>
    </xf>
    <xf numFmtId="0" fontId="39" fillId="42" borderId="16" applyNumberFormat="0" applyFont="0" applyFill="0" applyAlignment="0" applyProtection="0"/>
    <xf numFmtId="0" fontId="40" fillId="21" borderId="0" applyNumberFormat="0" applyBorder="0" applyAlignment="0" applyProtection="0"/>
    <xf numFmtId="191" fontId="1" fillId="38" borderId="17" applyNumberFormat="0" applyFont="0" applyAlignment="0"/>
    <xf numFmtId="0" fontId="29" fillId="43" borderId="18" applyFill="0">
      <alignment horizontal="center" vertical="center" wrapText="1"/>
    </xf>
    <xf numFmtId="0" fontId="41" fillId="39" borderId="14" applyNumberFormat="0" applyAlignment="0" applyProtection="0"/>
    <xf numFmtId="0" fontId="41" fillId="39" borderId="14" applyNumberFormat="0" applyAlignment="0" applyProtection="0"/>
    <xf numFmtId="0" fontId="41" fillId="39" borderId="14" applyNumberFormat="0" applyAlignment="0" applyProtection="0"/>
    <xf numFmtId="0" fontId="41" fillId="39" borderId="14" applyNumberFormat="0" applyAlignment="0" applyProtection="0"/>
    <xf numFmtId="0" fontId="35" fillId="39" borderId="14" applyNumberFormat="0" applyAlignment="0" applyProtection="0"/>
    <xf numFmtId="0" fontId="35" fillId="39" borderId="14" applyNumberFormat="0" applyAlignment="0" applyProtection="0"/>
    <xf numFmtId="0" fontId="42" fillId="44" borderId="19" applyNumberFormat="0" applyAlignment="0" applyProtection="0"/>
    <xf numFmtId="0" fontId="43" fillId="0" borderId="20" applyNumberFormat="0" applyFill="0" applyAlignment="0" applyProtection="0"/>
    <xf numFmtId="0" fontId="44" fillId="44" borderId="19" applyNumberFormat="0" applyAlignment="0" applyProtection="0"/>
    <xf numFmtId="0" fontId="42" fillId="44" borderId="19" applyNumberFormat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96" fontId="46" fillId="0" borderId="0"/>
    <xf numFmtId="196" fontId="46" fillId="0" borderId="0"/>
    <xf numFmtId="196" fontId="46" fillId="0" borderId="0"/>
    <xf numFmtId="196" fontId="46" fillId="0" borderId="0"/>
    <xf numFmtId="196" fontId="46" fillId="0" borderId="0"/>
    <xf numFmtId="196" fontId="46" fillId="0" borderId="0"/>
    <xf numFmtId="196" fontId="46" fillId="0" borderId="0"/>
    <xf numFmtId="196" fontId="46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4" fillId="0" borderId="0" applyFont="0" applyFill="0" applyBorder="0" applyAlignment="0" applyProtection="0"/>
    <xf numFmtId="197" fontId="1" fillId="0" borderId="0" applyFont="0" applyFill="0" applyBorder="0" applyAlignment="0"/>
    <xf numFmtId="173" fontId="47" fillId="45" borderId="0">
      <alignment horizontal="centerContinuous"/>
    </xf>
    <xf numFmtId="198" fontId="1" fillId="0" borderId="0" applyFon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left"/>
    </xf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4" fontId="48" fillId="46" borderId="21" applyFont="0" applyFill="0" applyBorder="0" applyProtection="0">
      <alignment horizontal="right" wrapText="1"/>
    </xf>
    <xf numFmtId="200" fontId="49" fillId="47" borderId="2" applyFont="0" applyFill="0" applyBorder="0" applyAlignment="0" applyProtection="0">
      <alignment horizontal="center" vertical="center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42" borderId="22" applyBorder="0" applyAlignment="0">
      <protection locked="0"/>
    </xf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195" fontId="30" fillId="42" borderId="0" applyBorder="0">
      <alignment horizontal="left" vertical="center"/>
      <protection locked="0"/>
    </xf>
    <xf numFmtId="195" fontId="30" fillId="42" borderId="0" applyBorder="0">
      <alignment vertical="center"/>
      <protection locked="0"/>
    </xf>
    <xf numFmtId="193" fontId="3" fillId="42" borderId="11" applyBorder="0" applyAlignment="0">
      <protection locked="0"/>
    </xf>
    <xf numFmtId="194" fontId="31" fillId="42" borderId="0" applyBorder="0">
      <alignment horizontal="center" vertical="center"/>
      <protection locked="0"/>
    </xf>
    <xf numFmtId="195" fontId="24" fillId="42" borderId="10" applyBorder="0">
      <protection locked="0"/>
    </xf>
    <xf numFmtId="195" fontId="24" fillId="42" borderId="10" applyBorder="0">
      <protection locked="0"/>
    </xf>
    <xf numFmtId="3" fontId="3" fillId="42" borderId="10" applyBorder="0">
      <alignment vertical="center"/>
      <protection locked="0"/>
    </xf>
    <xf numFmtId="0" fontId="51" fillId="0" borderId="0" applyNumberFormat="0" applyFill="0" applyBorder="0" applyAlignment="0" applyProtection="0"/>
    <xf numFmtId="0" fontId="28" fillId="32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1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50" fillId="24" borderId="14" applyNumberFormat="0" applyAlignment="0" applyProtection="0"/>
    <xf numFmtId="0" fontId="50" fillId="24" borderId="14" applyNumberFormat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" fontId="54" fillId="0" borderId="0" applyFont="0" applyFill="0" applyBorder="0" applyAlignment="0" applyProtection="0"/>
    <xf numFmtId="201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165" fontId="3" fillId="0" borderId="0" applyFont="0" applyFill="0" applyBorder="0" applyAlignment="0" applyProtection="0">
      <alignment horizontal="left" wrapText="1"/>
    </xf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15" fillId="0" borderId="0" applyFont="0" applyFill="0" applyBorder="0" applyAlignment="0" applyProtection="0"/>
    <xf numFmtId="0" fontId="25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" fontId="56" fillId="39" borderId="0">
      <alignment horizontal="left"/>
      <protection locked="0"/>
    </xf>
    <xf numFmtId="0" fontId="10" fillId="0" borderId="0" applyNumberFormat="0" applyFill="0" applyAlignment="0" applyProtection="0"/>
    <xf numFmtId="9" fontId="57" fillId="48" borderId="16" applyNumberFormat="0" applyFill="0" applyBorder="0" applyAlignment="0" applyProtection="0">
      <alignment horizontal="left" indent="2"/>
    </xf>
    <xf numFmtId="191" fontId="58" fillId="0" borderId="0" applyNumberFormat="0" applyFill="0" applyBorder="0" applyProtection="0">
      <alignment horizontal="right"/>
    </xf>
    <xf numFmtId="0" fontId="59" fillId="42" borderId="16" applyNumberFormat="0" applyFill="0" applyBorder="0" applyAlignment="0" applyProtection="0"/>
    <xf numFmtId="3" fontId="3" fillId="49" borderId="15" applyNumberFormat="0" applyFont="0" applyBorder="0" applyAlignment="0" applyProtection="0">
      <alignment horizontal="right"/>
    </xf>
    <xf numFmtId="9" fontId="2" fillId="0" borderId="0" applyNumberFormat="0" applyFill="0" applyBorder="0" applyAlignment="0" applyProtection="0"/>
    <xf numFmtId="0" fontId="60" fillId="21" borderId="0" applyNumberFormat="0" applyBorder="0" applyAlignment="0" applyProtection="0"/>
    <xf numFmtId="0" fontId="40" fillId="21" borderId="0" applyNumberFormat="0" applyBorder="0" applyAlignment="0" applyProtection="0"/>
    <xf numFmtId="173" fontId="61" fillId="0" borderId="0" applyNumberFormat="0" applyBorder="0" applyAlignment="0"/>
    <xf numFmtId="38" fontId="15" fillId="16" borderId="0" applyNumberFormat="0" applyBorder="0" applyAlignment="0" applyProtection="0"/>
    <xf numFmtId="0" fontId="59" fillId="42" borderId="16" applyNumberFormat="0" applyFon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29" fillId="0" borderId="9" applyNumberFormat="0" applyFill="0">
      <alignment horizontal="left" vertical="center"/>
    </xf>
    <xf numFmtId="0" fontId="49" fillId="47" borderId="2" applyNumberFormat="0" applyProtection="0">
      <alignment horizontal="center" vertical="center" wrapText="1"/>
    </xf>
    <xf numFmtId="173" fontId="30" fillId="0" borderId="24" applyNumberFormat="0" applyAlignment="0" applyProtection="0">
      <alignment horizontal="left" vertical="center"/>
    </xf>
    <xf numFmtId="173" fontId="30" fillId="0" borderId="25">
      <alignment horizontal="left" vertical="center"/>
    </xf>
    <xf numFmtId="0" fontId="62" fillId="0" borderId="26" applyNumberFormat="0" applyFill="0" applyAlignment="0" applyProtection="0"/>
    <xf numFmtId="0" fontId="63" fillId="0" borderId="26" applyNumberFormat="0" applyFill="0" applyAlignment="0" applyProtection="0"/>
    <xf numFmtId="0" fontId="64" fillId="0" borderId="27" applyNumberFormat="0" applyFill="0" applyAlignment="0" applyProtection="0"/>
    <xf numFmtId="0" fontId="65" fillId="0" borderId="27" applyNumberFormat="0" applyFill="0" applyAlignment="0" applyProtection="0"/>
    <xf numFmtId="0" fontId="66" fillId="0" borderId="28" applyNumberFormat="0" applyFill="0" applyAlignment="0" applyProtection="0"/>
    <xf numFmtId="0" fontId="51" fillId="0" borderId="28" applyNumberFormat="0" applyFill="0" applyAlignment="0" applyProtection="0"/>
    <xf numFmtId="0" fontId="6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wrapText="1"/>
    </xf>
    <xf numFmtId="9" fontId="69" fillId="0" borderId="0" applyNumberFormat="0" applyFill="0" applyBorder="0" applyAlignment="0"/>
    <xf numFmtId="9" fontId="69" fillId="0" borderId="0" applyNumberFormat="0" applyFill="0" applyBorder="0" applyAlignment="0"/>
    <xf numFmtId="0" fontId="34" fillId="20" borderId="0" applyNumberFormat="0" applyBorder="0" applyAlignment="0" applyProtection="0"/>
    <xf numFmtId="9" fontId="70" fillId="0" borderId="0" applyNumberFormat="0" applyFill="0" applyProtection="0">
      <alignment horizontal="left" indent="1"/>
    </xf>
    <xf numFmtId="0" fontId="71" fillId="24" borderId="14" applyNumberFormat="0" applyAlignment="0" applyProtection="0"/>
    <xf numFmtId="10" fontId="15" fillId="17" borderId="30" applyNumberFormat="0" applyBorder="0" applyAlignment="0" applyProtection="0"/>
    <xf numFmtId="0" fontId="71" fillId="24" borderId="14" applyNumberFormat="0" applyAlignment="0" applyProtection="0"/>
    <xf numFmtId="0" fontId="71" fillId="24" borderId="14" applyNumberFormat="0" applyAlignment="0" applyProtection="0"/>
    <xf numFmtId="0" fontId="71" fillId="24" borderId="14" applyNumberFormat="0" applyAlignment="0" applyProtection="0"/>
    <xf numFmtId="203" fontId="3" fillId="50" borderId="31" applyProtection="0"/>
    <xf numFmtId="4" fontId="72" fillId="46" borderId="21" applyNumberFormat="0" applyFill="0" applyBorder="0" applyAlignment="0" applyProtection="0">
      <alignment horizontal="right" vertical="center" wrapText="1"/>
    </xf>
    <xf numFmtId="204" fontId="10" fillId="0" borderId="0">
      <alignment horizontal="center"/>
    </xf>
    <xf numFmtId="204" fontId="10" fillId="0" borderId="0">
      <alignment horizontal="center"/>
    </xf>
    <xf numFmtId="204" fontId="10" fillId="0" borderId="0">
      <alignment horizontal="center"/>
    </xf>
    <xf numFmtId="204" fontId="10" fillId="0" borderId="0">
      <alignment horizontal="center"/>
    </xf>
    <xf numFmtId="204" fontId="10" fillId="0" borderId="0">
      <alignment horizontal="center"/>
    </xf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9" fontId="10" fillId="0" borderId="31" applyNumberFormat="0" applyFill="0" applyAlignment="0" applyProtection="0"/>
    <xf numFmtId="0" fontId="10" fillId="0" borderId="0" applyNumberFormat="0" applyFill="0" applyAlignment="0" applyProtection="0"/>
    <xf numFmtId="49" fontId="10" fillId="0" borderId="31" applyNumberFormat="0" applyFill="0" applyAlignment="0" applyProtection="0"/>
    <xf numFmtId="49" fontId="10" fillId="0" borderId="0" applyNumberFormat="0" applyFill="0" applyAlignment="0" applyProtection="0"/>
    <xf numFmtId="173" fontId="3" fillId="0" borderId="0"/>
    <xf numFmtId="38" fontId="73" fillId="0" borderId="0"/>
    <xf numFmtId="38" fontId="74" fillId="0" borderId="0"/>
    <xf numFmtId="38" fontId="75" fillId="0" borderId="0"/>
    <xf numFmtId="38" fontId="76" fillId="0" borderId="0"/>
    <xf numFmtId="173" fontId="54" fillId="0" borderId="0"/>
    <xf numFmtId="173" fontId="54" fillId="0" borderId="0"/>
    <xf numFmtId="0" fontId="3" fillId="0" borderId="0" applyNumberFormat="0" applyFill="0" applyAlignment="0" applyProtection="0"/>
    <xf numFmtId="0" fontId="77" fillId="0" borderId="20" applyNumberFormat="0" applyFill="0" applyAlignment="0" applyProtection="0"/>
    <xf numFmtId="0" fontId="43" fillId="0" borderId="20" applyNumberFormat="0" applyFill="0" applyAlignment="0" applyProtection="0"/>
    <xf numFmtId="38" fontId="4" fillId="0" borderId="0"/>
    <xf numFmtId="38" fontId="78" fillId="1" borderId="31"/>
    <xf numFmtId="9" fontId="79" fillId="51" borderId="29" applyNumberFormat="0" applyFill="0" applyProtection="0"/>
    <xf numFmtId="165" fontId="45" fillId="0" borderId="0" applyFont="0" applyFill="0" applyBorder="0" applyAlignment="0" applyProtection="0"/>
    <xf numFmtId="0" fontId="1" fillId="0" borderId="0" applyNumberFormat="0" applyFont="0" applyFill="0" applyBorder="0">
      <alignment horizontal="center" vertical="center" wrapText="1"/>
    </xf>
    <xf numFmtId="207" fontId="72" fillId="46" borderId="21" applyFont="0" applyFill="0" applyBorder="0" applyAlignment="0" applyProtection="0">
      <alignment horizontal="right" vertical="center" wrapText="1"/>
    </xf>
    <xf numFmtId="208" fontId="3" fillId="0" borderId="0" applyFill="0" applyBorder="0" applyAlignment="0" applyProtection="0"/>
    <xf numFmtId="208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80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37" fontId="82" fillId="0" borderId="30"/>
    <xf numFmtId="209" fontId="8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15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 applyFill="0" applyBorder="0" applyProtection="0">
      <protection locked="0"/>
    </xf>
    <xf numFmtId="0" fontId="3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24" fillId="0" borderId="0"/>
    <xf numFmtId="0" fontId="24" fillId="0" borderId="0"/>
    <xf numFmtId="0" fontId="3" fillId="0" borderId="0"/>
    <xf numFmtId="0" fontId="3" fillId="0" borderId="0">
      <alignment horizontal="left" wrapText="1"/>
    </xf>
    <xf numFmtId="0" fontId="3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173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4" fillId="0" borderId="0"/>
    <xf numFmtId="210" fontId="84" fillId="0" borderId="0"/>
    <xf numFmtId="211" fontId="85" fillId="52" borderId="0">
      <alignment vertical="center"/>
    </xf>
    <xf numFmtId="211" fontId="86" fillId="53" borderId="32">
      <alignment vertical="center"/>
    </xf>
    <xf numFmtId="211" fontId="86" fillId="53" borderId="32">
      <alignment vertical="center"/>
    </xf>
    <xf numFmtId="211" fontId="84" fillId="0" borderId="0"/>
    <xf numFmtId="210" fontId="87" fillId="0" borderId="0"/>
    <xf numFmtId="0" fontId="3" fillId="0" borderId="0"/>
    <xf numFmtId="173" fontId="88" fillId="0" borderId="0"/>
    <xf numFmtId="0" fontId="89" fillId="0" borderId="0"/>
    <xf numFmtId="173" fontId="90" fillId="0" borderId="0"/>
    <xf numFmtId="0" fontId="3" fillId="54" borderId="33" applyNumberFormat="0" applyFont="0" applyAlignment="0" applyProtection="0"/>
    <xf numFmtId="0" fontId="3" fillId="54" borderId="33" applyNumberFormat="0" applyFont="0" applyAlignment="0" applyProtection="0"/>
    <xf numFmtId="0" fontId="3" fillId="54" borderId="33" applyNumberFormat="0" applyFont="0" applyAlignment="0" applyProtection="0"/>
    <xf numFmtId="0" fontId="25" fillId="54" borderId="33" applyNumberFormat="0" applyFont="0" applyAlignment="0" applyProtection="0"/>
    <xf numFmtId="0" fontId="3" fillId="54" borderId="33" applyNumberFormat="0" applyFont="0" applyAlignment="0" applyProtection="0"/>
    <xf numFmtId="0" fontId="25" fillId="54" borderId="33" applyNumberFormat="0" applyFont="0" applyAlignment="0" applyProtection="0"/>
    <xf numFmtId="0" fontId="25" fillId="54" borderId="33" applyNumberFormat="0" applyFont="0" applyAlignment="0" applyProtection="0"/>
    <xf numFmtId="0" fontId="25" fillId="54" borderId="33" applyNumberFormat="0" applyFont="0" applyAlignment="0" applyProtection="0"/>
    <xf numFmtId="0" fontId="3" fillId="18" borderId="33" applyNumberFormat="0" applyFont="0" applyAlignment="0" applyProtection="0"/>
    <xf numFmtId="0" fontId="25" fillId="2" borderId="1" applyNumberFormat="0" applyFont="0" applyAlignment="0" applyProtection="0"/>
    <xf numFmtId="0" fontId="25" fillId="2" borderId="1" applyNumberFormat="0" applyFont="0" applyAlignment="0" applyProtection="0"/>
    <xf numFmtId="0" fontId="25" fillId="2" borderId="1" applyNumberFormat="0" applyFont="0" applyAlignment="0" applyProtection="0"/>
    <xf numFmtId="0" fontId="25" fillId="2" borderId="1" applyNumberFormat="0" applyFont="0" applyAlignment="0" applyProtection="0"/>
    <xf numFmtId="0" fontId="3" fillId="54" borderId="33" applyNumberFormat="0" applyFont="0" applyAlignment="0" applyProtection="0"/>
    <xf numFmtId="0" fontId="3" fillId="54" borderId="33" applyNumberFormat="0" applyFont="0" applyAlignment="0" applyProtection="0"/>
    <xf numFmtId="0" fontId="91" fillId="39" borderId="12" applyNumberFormat="0" applyAlignment="0" applyProtection="0"/>
    <xf numFmtId="0" fontId="91" fillId="39" borderId="12" applyNumberFormat="0" applyAlignment="0" applyProtection="0"/>
    <xf numFmtId="0" fontId="91" fillId="39" borderId="12" applyNumberFormat="0" applyAlignment="0" applyProtection="0"/>
    <xf numFmtId="0" fontId="91" fillId="39" borderId="12" applyNumberFormat="0" applyAlignment="0" applyProtection="0"/>
    <xf numFmtId="49" fontId="92" fillId="0" borderId="31" applyFill="0" applyProtection="0">
      <alignment vertical="center"/>
    </xf>
    <xf numFmtId="169" fontId="49" fillId="55" borderId="7" applyFont="0" applyFill="0" applyBorder="0" applyAlignment="0" applyProtection="0">
      <alignment horizontal="center"/>
    </xf>
    <xf numFmtId="10" fontId="49" fillId="51" borderId="7" applyFont="0" applyFill="0" applyBorder="0" applyAlignment="0" applyProtection="0">
      <alignment horizontal="center"/>
    </xf>
    <xf numFmtId="10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59" fillId="41" borderId="16" applyFont="0" applyFill="0" applyBorder="0" applyAlignment="0" applyProtection="0">
      <alignment horizontal="center"/>
    </xf>
    <xf numFmtId="9" fontId="93" fillId="51" borderId="0" applyNumberFormat="0" applyFill="0">
      <alignment horizontal="left"/>
    </xf>
    <xf numFmtId="0" fontId="29" fillId="0" borderId="17" applyNumberFormat="0" applyFill="0" applyAlignment="0"/>
    <xf numFmtId="9" fontId="58" fillId="0" borderId="34" applyNumberFormat="0" applyFill="0"/>
    <xf numFmtId="9" fontId="2" fillId="15" borderId="35" applyNumberFormat="0" applyAlignment="0"/>
    <xf numFmtId="0" fontId="39" fillId="42" borderId="36" applyNumberFormat="0" applyFont="0" applyBorder="0" applyAlignment="0" applyProtection="0"/>
    <xf numFmtId="207" fontId="72" fillId="46" borderId="21" applyFont="0" applyFill="0" applyBorder="0" applyAlignment="0" applyProtection="0">
      <alignment horizontal="right" vertical="center" wrapText="1"/>
    </xf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" fontId="29" fillId="0" borderId="0" applyFill="0" applyBorder="0" applyProtection="0">
      <alignment horizontal="right" vertical="center"/>
    </xf>
    <xf numFmtId="191" fontId="29" fillId="0" borderId="0" applyNumberFormat="0" applyFill="0" applyBorder="0" applyProtection="0">
      <alignment horizontal="left"/>
    </xf>
    <xf numFmtId="0" fontId="29" fillId="0" borderId="0" applyNumberFormat="0" applyFill="0" applyBorder="0" applyProtection="0">
      <alignment horizontal="right" vertical="center" wrapText="1"/>
    </xf>
    <xf numFmtId="3" fontId="94" fillId="56" borderId="37" applyNumberFormat="0" applyFont="0" applyFill="0" applyProtection="0">
      <alignment horizontal="left"/>
    </xf>
    <xf numFmtId="0" fontId="32" fillId="39" borderId="12" applyNumberFormat="0" applyAlignment="0" applyProtection="0"/>
    <xf numFmtId="0" fontId="32" fillId="39" borderId="12" applyNumberFormat="0" applyAlignment="0" applyProtection="0"/>
    <xf numFmtId="4" fontId="24" fillId="42" borderId="12" applyNumberFormat="0" applyProtection="0">
      <alignment vertical="center"/>
    </xf>
    <xf numFmtId="4" fontId="95" fillId="42" borderId="12" applyNumberFormat="0" applyProtection="0">
      <alignment vertical="center"/>
    </xf>
    <xf numFmtId="4" fontId="24" fillId="42" borderId="12" applyNumberFormat="0" applyProtection="0">
      <alignment horizontal="left" vertical="center" indent="1"/>
    </xf>
    <xf numFmtId="4" fontId="24" fillId="42" borderId="12" applyNumberFormat="0" applyProtection="0">
      <alignment horizontal="left" vertical="center" indent="1"/>
    </xf>
    <xf numFmtId="0" fontId="3" fillId="48" borderId="12" applyNumberFormat="0" applyProtection="0">
      <alignment horizontal="left" vertical="center" indent="1"/>
    </xf>
    <xf numFmtId="4" fontId="24" fillId="57" borderId="12" applyNumberFormat="0" applyProtection="0">
      <alignment horizontal="right" vertical="center"/>
    </xf>
    <xf numFmtId="4" fontId="24" fillId="52" borderId="12" applyNumberFormat="0" applyProtection="0">
      <alignment horizontal="right" vertical="center"/>
    </xf>
    <xf numFmtId="4" fontId="24" fillId="58" borderId="12" applyNumberFormat="0" applyProtection="0">
      <alignment horizontal="right" vertical="center"/>
    </xf>
    <xf numFmtId="4" fontId="24" fillId="59" borderId="12" applyNumberFormat="0" applyProtection="0">
      <alignment horizontal="right" vertical="center"/>
    </xf>
    <xf numFmtId="4" fontId="24" fillId="60" borderId="12" applyNumberFormat="0" applyProtection="0">
      <alignment horizontal="right" vertical="center"/>
    </xf>
    <xf numFmtId="4" fontId="24" fillId="61" borderId="12" applyNumberFormat="0" applyProtection="0">
      <alignment horizontal="right" vertical="center"/>
    </xf>
    <xf numFmtId="4" fontId="24" fillId="62" borderId="12" applyNumberFormat="0" applyProtection="0">
      <alignment horizontal="right" vertical="center"/>
    </xf>
    <xf numFmtId="4" fontId="24" fillId="63" borderId="12" applyNumberFormat="0" applyProtection="0">
      <alignment horizontal="right" vertical="center"/>
    </xf>
    <xf numFmtId="4" fontId="24" fillId="64" borderId="12" applyNumberFormat="0" applyProtection="0">
      <alignment horizontal="right" vertical="center"/>
    </xf>
    <xf numFmtId="4" fontId="96" fillId="65" borderId="12" applyNumberFormat="0" applyProtection="0">
      <alignment horizontal="left" vertical="center" indent="1"/>
    </xf>
    <xf numFmtId="4" fontId="24" fillId="66" borderId="38" applyNumberFormat="0" applyProtection="0">
      <alignment horizontal="left" vertical="center" indent="1"/>
    </xf>
    <xf numFmtId="4" fontId="31" fillId="67" borderId="0" applyNumberFormat="0" applyProtection="0">
      <alignment horizontal="left" vertical="center" indent="1"/>
    </xf>
    <xf numFmtId="0" fontId="3" fillId="48" borderId="12" applyNumberFormat="0" applyProtection="0">
      <alignment horizontal="left" vertical="center" indent="1"/>
    </xf>
    <xf numFmtId="4" fontId="24" fillId="66" borderId="12" applyNumberFormat="0" applyProtection="0">
      <alignment horizontal="left" vertical="center" indent="1"/>
    </xf>
    <xf numFmtId="4" fontId="24" fillId="68" borderId="12" applyNumberFormat="0" applyProtection="0">
      <alignment horizontal="left" vertical="center" indent="1"/>
    </xf>
    <xf numFmtId="0" fontId="3" fillId="68" borderId="12" applyNumberFormat="0" applyProtection="0">
      <alignment horizontal="left" vertical="center" indent="1"/>
    </xf>
    <xf numFmtId="0" fontId="3" fillId="68" borderId="12" applyNumberFormat="0" applyProtection="0">
      <alignment horizontal="left" vertical="center" indent="1"/>
    </xf>
    <xf numFmtId="0" fontId="3" fillId="69" borderId="12" applyNumberFormat="0" applyProtection="0">
      <alignment horizontal="left" vertical="center" indent="1"/>
    </xf>
    <xf numFmtId="0" fontId="3" fillId="69" borderId="12" applyNumberFormat="0" applyProtection="0">
      <alignment horizontal="left" vertical="center" indent="1"/>
    </xf>
    <xf numFmtId="0" fontId="3" fillId="16" borderId="12" applyNumberFormat="0" applyProtection="0">
      <alignment horizontal="left" vertical="center" indent="1"/>
    </xf>
    <xf numFmtId="0" fontId="3" fillId="16" borderId="12" applyNumberFormat="0" applyProtection="0">
      <alignment horizontal="left" vertical="center" indent="1"/>
    </xf>
    <xf numFmtId="0" fontId="3" fillId="48" borderId="12" applyNumberFormat="0" applyProtection="0">
      <alignment horizontal="left" vertical="center" indent="1"/>
    </xf>
    <xf numFmtId="0" fontId="3" fillId="48" borderId="12" applyNumberFormat="0" applyProtection="0">
      <alignment horizontal="left" vertical="center" indent="1"/>
    </xf>
    <xf numFmtId="4" fontId="24" fillId="17" borderId="12" applyNumberFormat="0" applyProtection="0">
      <alignment vertical="center"/>
    </xf>
    <xf numFmtId="4" fontId="95" fillId="17" borderId="12" applyNumberFormat="0" applyProtection="0">
      <alignment vertical="center"/>
    </xf>
    <xf numFmtId="4" fontId="24" fillId="17" borderId="12" applyNumberFormat="0" applyProtection="0">
      <alignment horizontal="left" vertical="center" indent="1"/>
    </xf>
    <xf numFmtId="4" fontId="24" fillId="17" borderId="12" applyNumberFormat="0" applyProtection="0">
      <alignment horizontal="left" vertical="center" indent="1"/>
    </xf>
    <xf numFmtId="4" fontId="24" fillId="66" borderId="12" applyNumberFormat="0" applyProtection="0">
      <alignment horizontal="right" vertical="center"/>
    </xf>
    <xf numFmtId="4" fontId="95" fillId="66" borderId="12" applyNumberFormat="0" applyProtection="0">
      <alignment horizontal="right" vertical="center"/>
    </xf>
    <xf numFmtId="0" fontId="3" fillId="48" borderId="12" applyNumberFormat="0" applyProtection="0">
      <alignment horizontal="left" vertical="center" indent="1"/>
    </xf>
    <xf numFmtId="0" fontId="3" fillId="48" borderId="12" applyNumberFormat="0" applyProtection="0">
      <alignment horizontal="left" vertical="center" indent="1"/>
    </xf>
    <xf numFmtId="0" fontId="97" fillId="0" borderId="0"/>
    <xf numFmtId="4" fontId="98" fillId="66" borderId="12" applyNumberFormat="0" applyProtection="0">
      <alignment horizontal="right" vertical="center"/>
    </xf>
    <xf numFmtId="173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0" fontId="3" fillId="54" borderId="0" applyNumberFormat="0" applyFont="0" applyBorder="0" applyAlignment="0" applyProtection="0"/>
    <xf numFmtId="173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0" fontId="3" fillId="70" borderId="0" applyNumberFormat="0" applyFont="0" applyBorder="0" applyAlignment="0" applyProtection="0"/>
    <xf numFmtId="173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173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73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173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73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" fillId="0" borderId="0" applyNumberFormat="0" applyFon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4" fontId="80" fillId="0" borderId="0" applyFont="0" applyFill="0" applyBorder="0" applyAlignment="0" applyProtection="0">
      <alignment horizontal="left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Alignment="0" applyProtection="0">
      <alignment wrapText="1"/>
    </xf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horizontal="left" wrapText="1"/>
    </xf>
    <xf numFmtId="0" fontId="1" fillId="0" borderId="0"/>
    <xf numFmtId="0" fontId="1" fillId="0" borderId="0"/>
    <xf numFmtId="0" fontId="3" fillId="0" borderId="0">
      <alignment horizontal="left" wrapText="1"/>
    </xf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>
      <alignment horizontal="left" wrapText="1"/>
    </xf>
    <xf numFmtId="0" fontId="1" fillId="0" borderId="0"/>
    <xf numFmtId="0" fontId="3" fillId="0" borderId="0"/>
    <xf numFmtId="0" fontId="3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>
      <alignment horizontal="left" wrapText="1"/>
    </xf>
    <xf numFmtId="173" fontId="3" fillId="0" borderId="0">
      <alignment horizontal="left" wrapText="1"/>
    </xf>
    <xf numFmtId="0" fontId="3" fillId="0" borderId="0"/>
    <xf numFmtId="0" fontId="3" fillId="0" borderId="0"/>
    <xf numFmtId="0" fontId="99" fillId="0" borderId="0"/>
    <xf numFmtId="0" fontId="99" fillId="0" borderId="0"/>
    <xf numFmtId="212" fontId="100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212" fontId="3" fillId="0" borderId="0" applyFill="0" applyBorder="0" applyAlignment="0" applyProtection="0"/>
    <xf numFmtId="14" fontId="23" fillId="0" borderId="0" applyFill="0" applyBorder="0" applyAlignment="0" applyProtection="0"/>
    <xf numFmtId="9" fontId="101" fillId="0" borderId="0" applyNumberFormat="0" applyFill="0" applyBorder="0" applyAlignment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173" fontId="3" fillId="0" borderId="0"/>
    <xf numFmtId="173" fontId="24" fillId="0" borderId="0" applyNumberFormat="0" applyBorder="0" applyAlignment="0"/>
    <xf numFmtId="173" fontId="102" fillId="0" borderId="0" applyNumberFormat="0" applyBorder="0" applyAlignment="0"/>
    <xf numFmtId="38" fontId="4" fillId="0" borderId="39"/>
    <xf numFmtId="9" fontId="1" fillId="71" borderId="0" applyNumberFormat="0" applyFont="0" applyBorder="0" applyProtection="0">
      <alignment horizontal="right" vertical="center"/>
    </xf>
    <xf numFmtId="9" fontId="1" fillId="71" borderId="0" applyNumberFormat="0" applyFont="0" applyBorder="0" applyProtection="0">
      <alignment horizontal="right" vertical="center"/>
    </xf>
    <xf numFmtId="9" fontId="29" fillId="71" borderId="0" applyNumberFormat="0" applyBorder="0" applyProtection="0">
      <alignment horizontal="left" vertical="center" wrapText="1"/>
    </xf>
    <xf numFmtId="191" fontId="58" fillId="71" borderId="40" applyNumberFormat="0" applyFill="0" applyBorder="0" applyAlignment="0"/>
    <xf numFmtId="0" fontId="10" fillId="0" borderId="0" applyNumberFormat="0" applyFill="0" applyAlignment="0" applyProtection="0"/>
    <xf numFmtId="9" fontId="39" fillId="41" borderId="16" applyNumberFormat="0" applyFill="0" applyBorder="0" applyAlignment="0" applyProtection="0">
      <alignment horizontal="center"/>
    </xf>
    <xf numFmtId="49" fontId="103" fillId="0" borderId="31">
      <alignment vertical="center"/>
    </xf>
    <xf numFmtId="172" fontId="104" fillId="0" borderId="0" applyFont="0" applyFill="0" applyBorder="0" applyAlignment="0" applyProtection="0"/>
    <xf numFmtId="192" fontId="54" fillId="0" borderId="0" applyFont="0" applyFill="0" applyBorder="0" applyAlignment="0" applyProtection="0"/>
    <xf numFmtId="172" fontId="104" fillId="0" borderId="0" applyFont="0" applyFill="0" applyBorder="0" applyAlignment="0" applyProtection="0"/>
    <xf numFmtId="49" fontId="37" fillId="72" borderId="7" applyNumberFormat="0" applyFill="0" applyBorder="0" applyAlignment="0" applyProtection="0">
      <alignment horizontal="left" wrapText="1"/>
    </xf>
    <xf numFmtId="0" fontId="10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6" fillId="0" borderId="0" applyNumberFormat="0" applyFill="0" applyBorder="0" applyProtection="0">
      <alignment horizontal="right"/>
    </xf>
    <xf numFmtId="195" fontId="107" fillId="0" borderId="0">
      <alignment horizontal="center" vertical="center"/>
    </xf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5" fillId="0" borderId="27" applyNumberFormat="0" applyFill="0" applyAlignment="0" applyProtection="0"/>
    <xf numFmtId="0" fontId="51" fillId="0" borderId="28" applyNumberFormat="0" applyFill="0" applyAlignment="0" applyProtection="0"/>
    <xf numFmtId="0" fontId="96" fillId="0" borderId="23" applyNumberFormat="0" applyFill="0" applyAlignment="0" applyProtection="0"/>
    <xf numFmtId="0" fontId="96" fillId="0" borderId="23" applyNumberFormat="0" applyFill="0" applyAlignment="0" applyProtection="0"/>
    <xf numFmtId="0" fontId="96" fillId="0" borderId="23" applyNumberFormat="0" applyFill="0" applyAlignment="0" applyProtection="0"/>
    <xf numFmtId="3" fontId="80" fillId="0" borderId="0" applyFont="0" applyFill="0" applyBorder="0" applyAlignment="0" applyProtection="0">
      <alignment horizontal="left"/>
    </xf>
    <xf numFmtId="192" fontId="104" fillId="0" borderId="0" applyFont="0" applyFill="0" applyBorder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40" fontId="109" fillId="73" borderId="30" applyNumberFormat="0" applyProtection="0">
      <alignment horizontal="centerContinuous"/>
    </xf>
    <xf numFmtId="40" fontId="109" fillId="73" borderId="30" applyNumberFormat="0" applyProtection="0">
      <alignment horizontal="centerContinuous"/>
    </xf>
    <xf numFmtId="0" fontId="65" fillId="0" borderId="27" applyNumberFormat="0" applyFill="0" applyAlignment="0" applyProtection="0"/>
    <xf numFmtId="0" fontId="65" fillId="0" borderId="27" applyNumberFormat="0" applyFill="0" applyAlignment="0" applyProtection="0"/>
    <xf numFmtId="0" fontId="65" fillId="0" borderId="27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40" fontId="109" fillId="73" borderId="30" applyNumberFormat="0" applyProtection="0">
      <alignment horizontal="centerContinuous"/>
    </xf>
    <xf numFmtId="40" fontId="109" fillId="73" borderId="30" applyNumberFormat="0" applyProtection="0">
      <alignment horizontal="centerContinuous"/>
    </xf>
    <xf numFmtId="40" fontId="109" fillId="73" borderId="30" applyNumberFormat="0" applyProtection="0">
      <alignment horizontal="centerContinuous"/>
    </xf>
    <xf numFmtId="40" fontId="109" fillId="73" borderId="30" applyNumberFormat="0" applyProtection="0">
      <alignment horizontal="centerContinuous"/>
    </xf>
    <xf numFmtId="40" fontId="109" fillId="73" borderId="30" applyNumberFormat="0" applyProtection="0">
      <alignment horizontal="centerContinuous"/>
    </xf>
    <xf numFmtId="200" fontId="48" fillId="46" borderId="21" applyNumberFormat="0" applyFont="0" applyFill="0" applyProtection="0">
      <alignment horizontal="left" vertical="center" wrapText="1"/>
    </xf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193" fontId="3" fillId="16" borderId="0" applyBorder="0" applyAlignment="0"/>
    <xf numFmtId="37" fontId="3" fillId="16" borderId="11" applyBorder="0" applyAlignment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200" fontId="48" fillId="46" borderId="41" applyNumberFormat="0" applyFont="0" applyAlignment="0" applyProtection="0">
      <alignment horizontal="center" vertical="center" wrapText="1"/>
    </xf>
    <xf numFmtId="9" fontId="58" fillId="0" borderId="42" applyNumberFormat="0" applyFill="0">
      <alignment horizontal="left"/>
    </xf>
    <xf numFmtId="213" fontId="110" fillId="0" borderId="0"/>
    <xf numFmtId="9" fontId="49" fillId="51" borderId="7" applyNumberFormat="0" applyFont="0" applyFill="0" applyBorder="0" applyProtection="0">
      <alignment horizontal="center"/>
    </xf>
    <xf numFmtId="0" fontId="42" fillId="44" borderId="19" applyNumberFormat="0" applyAlignment="0" applyProtection="0"/>
    <xf numFmtId="0" fontId="42" fillId="44" borderId="19" applyNumberFormat="0" applyAlignment="0" applyProtection="0"/>
    <xf numFmtId="0" fontId="42" fillId="44" borderId="19" applyNumberFormat="0" applyAlignment="0" applyProtection="0"/>
    <xf numFmtId="0" fontId="10" fillId="0" borderId="0" applyNumberFormat="0" applyFill="0" applyAlignment="0" applyProtection="0"/>
    <xf numFmtId="0" fontId="12" fillId="0" borderId="0" applyNumberFormat="0" applyFill="0" applyAlignment="0" applyProtection="0"/>
    <xf numFmtId="173" fontId="111" fillId="0" borderId="0" applyNumberFormat="0" applyFill="0" applyBorder="0" applyAlignment="0" applyProtection="0">
      <alignment vertical="top"/>
      <protection locked="0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173" fontId="113" fillId="0" borderId="0"/>
    <xf numFmtId="173" fontId="114" fillId="0" borderId="0"/>
    <xf numFmtId="41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5" fontId="115" fillId="0" borderId="0" applyFont="0" applyFill="0" applyBorder="0" applyAlignment="0" applyProtection="0"/>
    <xf numFmtId="173" fontId="3" fillId="0" borderId="0"/>
    <xf numFmtId="165" fontId="115" fillId="0" borderId="0" applyFont="0" applyFill="0" applyBorder="0" applyAlignment="0" applyProtection="0"/>
    <xf numFmtId="164" fontId="1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1" fillId="24" borderId="14" applyNumberFormat="0" applyAlignment="0" applyProtection="0"/>
    <xf numFmtId="0" fontId="71" fillId="24" borderId="14" applyNumberFormat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3" fontId="117" fillId="0" borderId="0" xfId="0" applyNumberFormat="1" applyFont="1"/>
    <xf numFmtId="3" fontId="118" fillId="0" borderId="0" xfId="0" applyNumberFormat="1" applyFont="1" applyAlignment="1">
      <alignment vertical="center"/>
    </xf>
    <xf numFmtId="3" fontId="118" fillId="0" borderId="0" xfId="0" applyNumberFormat="1" applyFont="1" applyAlignment="1">
      <alignment horizontal="right" vertical="center"/>
    </xf>
    <xf numFmtId="3" fontId="119" fillId="0" borderId="0" xfId="0" applyNumberFormat="1" applyFont="1" applyAlignment="1">
      <alignment vertical="center"/>
    </xf>
    <xf numFmtId="3" fontId="119" fillId="0" borderId="0" xfId="0" applyNumberFormat="1" applyFont="1" applyAlignment="1">
      <alignment horizontal="right" vertical="center"/>
    </xf>
    <xf numFmtId="3" fontId="121" fillId="0" borderId="0" xfId="0" applyNumberFormat="1" applyFont="1"/>
    <xf numFmtId="3" fontId="118" fillId="0" borderId="0" xfId="0" applyNumberFormat="1" applyFont="1" applyAlignment="1">
      <alignment vertical="center" wrapText="1"/>
    </xf>
    <xf numFmtId="3" fontId="122" fillId="0" borderId="0" xfId="0" applyNumberFormat="1" applyFont="1"/>
    <xf numFmtId="3" fontId="118" fillId="0" borderId="0" xfId="0" applyNumberFormat="1" applyFont="1" applyAlignment="1">
      <alignment horizontal="left" vertical="center" indent="1"/>
    </xf>
    <xf numFmtId="0" fontId="117" fillId="0" borderId="0" xfId="0" applyFont="1"/>
    <xf numFmtId="200" fontId="117" fillId="0" borderId="0" xfId="0" applyNumberFormat="1" applyFont="1"/>
    <xf numFmtId="9" fontId="117" fillId="0" borderId="0" xfId="1" applyFont="1" applyFill="1" applyBorder="1"/>
  </cellXfs>
  <cellStyles count="1824">
    <cellStyle name="-" xfId="6" xr:uid="{756173C4-9F98-46C8-A8E3-0EE60A005CCD}"/>
    <cellStyle name="#,##0" xfId="7" xr:uid="{2BCF889A-5051-413C-B402-A6087767D636}"/>
    <cellStyle name="%0." xfId="8" xr:uid="{D82F1EDD-691A-48DC-A3C8-A29D7042FDDD}"/>
    <cellStyle name="%0.0" xfId="9" xr:uid="{AB1607A0-C9BD-4215-A1FF-258A9439DFE4}"/>
    <cellStyle name="%0.00" xfId="10" xr:uid="{C6DCD538-7BB9-4AAD-8CD5-C58D5B5F23E1}"/>
    <cellStyle name="&amp;Z&amp;N" xfId="11" xr:uid="{126AFDF9-85EA-449A-B6DB-971124653744}"/>
    <cellStyle name="??_????????H9.12????????" xfId="12" xr:uid="{5D14B58E-6FDF-4DC2-B1F4-A895BCD05AD4}"/>
    <cellStyle name="_%(SignOnly)" xfId="13" xr:uid="{7658A6B1-4FC9-4F98-971B-EC8CB6BA8CFE}"/>
    <cellStyle name="_%(SignSpaceOnly)" xfId="14" xr:uid="{53D20635-5C3B-4685-88AB-CC0FFE0DF70D}"/>
    <cellStyle name="_20101206 KPIs 2011" xfId="15" xr:uid="{B1F798A8-7B45-411C-9B66-9FF1C06F0044}"/>
    <cellStyle name="_20101206 KPIs 2011 2" xfId="16" xr:uid="{9362C840-12C8-48A3-8E59-E2F83E571676}"/>
    <cellStyle name="_2010302 Development of ratios and RWAs (past, forecast and budget)_V3" xfId="17" xr:uid="{B1C7DC2F-9B5C-4B8E-A30E-45B918EBA7C4}"/>
    <cellStyle name="_2010302 Development of ratios and RWAs (past, forecast and budget)_V3 2" xfId="18" xr:uid="{A0DC3474-3A8A-4A38-831B-2E9A99666501}"/>
    <cellStyle name="_20110204 Finance Calendar 2011" xfId="19" xr:uid="{A0BC24A7-FCDC-4BAE-818F-D0E654E72EFD}"/>
    <cellStyle name="_20110204 Finance Calendar 2011 2" xfId="20" xr:uid="{FCBAA6B1-4A27-4A35-94FD-CE0D481BABB3}"/>
    <cellStyle name="_20110215 Finance Calendar 2011" xfId="21" xr:uid="{3D572E53-8B7D-42D4-B4F7-FD0DBA1AD80B}"/>
    <cellStyle name="_20110215 Finance Calendar 2011 2" xfId="22" xr:uid="{2162EA27-8E7C-49EC-BB79-BF46F9CDDCFE}"/>
    <cellStyle name="_Bewertung DCF 1706" xfId="23" xr:uid="{7091081B-65F2-4DCB-AFBE-55853AE2E7F1}"/>
    <cellStyle name="_Column1" xfId="24" xr:uid="{46CCC374-3912-4D34-B3F6-1DDF81B1260C}"/>
    <cellStyle name="_Column1 2" xfId="25" xr:uid="{BE99548E-732A-490D-8C82-9BD88DF9E609}"/>
    <cellStyle name="_Column1 3" xfId="26" xr:uid="{3B99B024-F05B-4678-A3DA-206E26A9AC2A}"/>
    <cellStyle name="_Column1 4" xfId="27" xr:uid="{78509C28-2331-494C-9E52-93FABF807AF6}"/>
    <cellStyle name="_Column1_20110419_Business_Performance_Report_v11" xfId="28" xr:uid="{CBF104C1-F8BD-4568-ABB4-EF07B5A73363}"/>
    <cellStyle name="_Column1_20110419_Business_Performance_Report_v11_RSC" xfId="29" xr:uid="{09CEA689-3EA6-419A-B2F8-B2AA2333BE71}"/>
    <cellStyle name="_Column1_Division Summary  PCR" xfId="30" xr:uid="{EDD88F53-F063-48AA-B0B6-8BB24179C9DE}"/>
    <cellStyle name="_Column1_Key-P-FM" xfId="31" xr:uid="{10EEEC38-54EE-4396-857F-AAE6A59C6517}"/>
    <cellStyle name="_Column1_Key-P-Retail" xfId="32" xr:uid="{21F4E27A-72A7-4D27-816F-BD2ADF69C713}"/>
    <cellStyle name="_Column1_New Network Strategy" xfId="33" xr:uid="{C02228E9-A9BF-467B-89F8-05CDD0D4AF58}"/>
    <cellStyle name="_Column1_Restructuring File _ 3-07-13_scorecard" xfId="34" xr:uid="{2A142673-BF54-4CAB-9CF9-849A3B312956}"/>
    <cellStyle name="_Column1_Sales Funnel" xfId="35" xr:uid="{F210750F-8FDC-47E9-9600-6498545D2F3C}"/>
    <cellStyle name="_Column2" xfId="36" xr:uid="{16862531-5EE6-4C18-8D31-12BA87421047}"/>
    <cellStyle name="_Column3" xfId="37" xr:uid="{7F8F159E-4874-4B7E-A6B4-215EA2A09169}"/>
    <cellStyle name="_Column4" xfId="38" xr:uid="{73606F8B-DDA0-44E9-B1F2-F9B946CE2DCF}"/>
    <cellStyle name="_Column4_~3174756" xfId="39" xr:uid="{86156A5B-DF20-42F9-B8C7-0B6AC69F16C5}"/>
    <cellStyle name="_Column4_~3174756_03 2011 Business Development" xfId="40" xr:uid="{9B85068E-9C71-4980-A8A3-66ED7B023F21}"/>
    <cellStyle name="_Column4_~3174756_Derivatives" xfId="41" xr:uid="{56EDF033-F24B-49EB-9B76-27668F0A5701}"/>
    <cellStyle name="_Column4_03 2011 Business Development" xfId="42" xr:uid="{7BFEF58A-B31A-4063-AFF6-7F550305FD5D}"/>
    <cellStyle name="_Column4_03 2011 Business Development_Derivatives" xfId="43" xr:uid="{00DAE755-55E9-4518-9648-D9A0AEE03D5B}"/>
    <cellStyle name="_Column4_2011_Segmentreporting_v79_Testversion" xfId="44" xr:uid="{D2451DFE-50C9-4AFD-8E61-2EB23D8E8316}"/>
    <cellStyle name="_Column4_20110419_Business_Performance_Report_v11" xfId="45" xr:uid="{252663E2-6F14-48EE-95AC-EB8D56BD52D2}"/>
    <cellStyle name="_Column4_BOLERO_2011-10-03_Nom" xfId="46" xr:uid="{878EF41D-FB19-4867-A3BA-5E8F649324B5}"/>
    <cellStyle name="_Column4_BOLERO_2011-10-03_Nom_BOLERO_2012-12-03_V2" xfId="47" xr:uid="{19295FC2-306A-439B-8A4E-AF9308208EAE}"/>
    <cellStyle name="_Column4_BOLERO_2011-11-02_Mü" xfId="48" xr:uid="{CCB12C9B-8294-4BAF-9A2E-FC15974A62A6}"/>
    <cellStyle name="_Column4_BOLERO_2011-11-02_Mü_BOLERO_2012-12-03_V2" xfId="49" xr:uid="{266DF883-9E82-422F-AED5-A2290856F250}"/>
    <cellStyle name="_Column4_BOLERO_2011-12-01_Mü" xfId="50" xr:uid="{5BA0649C-D5AC-45B6-A096-53576D0B5B11}"/>
    <cellStyle name="_Column4_BOLERO_2011-12-01_Mü_BOLERO_2012-12-03_V2" xfId="51" xr:uid="{A9921518-288C-4B83-B414-52FEEE5F9632}"/>
    <cellStyle name="_Column4_BOLERO_2012-04-02" xfId="52" xr:uid="{3A6E0115-6CA9-495F-A1BD-88A904E6B3E0}"/>
    <cellStyle name="_Column4_BOLERO_2012-04-02_BOLERO_2012-12-03_V2" xfId="53" xr:uid="{8702710F-FB12-4D15-8E05-AC82817483B4}"/>
    <cellStyle name="_Column4_BOLERO_2012-08-06" xfId="54" xr:uid="{F29BD5E3-E67A-47AE-83F7-DD74DFDA641E}"/>
    <cellStyle name="_Column4_BOLERO_2012-08-06_BOLERO_2012-12-03_V2" xfId="55" xr:uid="{1F3C4844-D19F-4C28-A718-CB0BE05C59C7}"/>
    <cellStyle name="_Column4_BOLERO_2012-12-03_V3" xfId="56" xr:uid="{1EC442D4-FA77-4FBF-8FCE-07E78FBBB209}"/>
    <cellStyle name="_Column4_Daten_MonRep_2011_10" xfId="57" xr:uid="{629002D0-C099-4835-895A-E16A8DC43D60}"/>
    <cellStyle name="_Column4_Daten_MonRep_2011_10_BOLERO_2012-12-03_V2" xfId="58" xr:uid="{B105A066-1539-4FB1-BCE7-F1747EB62B1F}"/>
    <cellStyle name="_Column4_Daten_MonRep_2011_12_ergänzt" xfId="59" xr:uid="{DEDC6EF7-FEB3-4A76-ACE3-3947E07EF9E2}"/>
    <cellStyle name="_Column4_Daten_MonRep_2011_12_ergänzt_BOLERO_2012-12-03_V2" xfId="60" xr:uid="{C47A6101-B3AC-44C6-98A1-918BA46EB863}"/>
    <cellStyle name="_Column4_Daten_MonRep_2012_02" xfId="61" xr:uid="{9BB1D627-0A3E-40B0-8D81-709E65D89967}"/>
    <cellStyle name="_Column4_Daten_MonRep_2012_02_BOLERO_2012-12-03_V2" xfId="62" xr:uid="{A3BB492C-6182-41F6-845C-C741AD6F9E1A}"/>
    <cellStyle name="_Column4_Daten_MonRep_2012_08" xfId="63" xr:uid="{D75B29A9-F9E6-442E-B95E-D90A74B06C9B}"/>
    <cellStyle name="_Column4_Daten_MonRep_2012_08_BOLERO_2012-12-03_V2" xfId="64" xr:uid="{DC49501D-29BD-4D95-BF36-809A6676ABD3}"/>
    <cellStyle name="_Column4_Daten_MonRep_2012_10" xfId="65" xr:uid="{67EBC980-5237-45AD-BB02-F618BB6AFBC7}"/>
    <cellStyle name="_Column4_Daten_MonRep_2012_10_BOLERO_2012-12-03_V2" xfId="66" xr:uid="{8A725722-44C8-4E96-B4F8-DD14C19E0175}"/>
    <cellStyle name="_Column4_DELTA-POOL_111102" xfId="67" xr:uid="{DAD5CA30-5EE7-46E7-B400-12469085C039}"/>
    <cellStyle name="_Column4_Folien_cost review_09" xfId="68" xr:uid="{EE626030-3942-4A50-81B4-B4B02753BC11}"/>
    <cellStyle name="_Column4_FTE_Plan_2012_Ressorts" xfId="69" xr:uid="{31301843-5E52-43AF-9921-F0D214BF1023}"/>
    <cellStyle name="_Column4_FTE_Plan_2012_Ressorts_BOLERO_2012-12-03_V2" xfId="70" xr:uid="{A80F16D9-78B1-4EC2-BFFC-BD503327A365}"/>
    <cellStyle name="_Column4_Info_FTE_Plan_2012" xfId="71" xr:uid="{B71A49E2-6711-4598-B386-0ECD22A4C6A2}"/>
    <cellStyle name="_Column4_Info_FTE_Plan_2012_BOLERO_2012-12-03_V2" xfId="72" xr:uid="{3BF4587D-D66B-4ACC-A9EF-70BB2F11BF2F}"/>
    <cellStyle name="_Column4_KONZERN_121203" xfId="73" xr:uid="{066758B1-3AAF-4E1D-BEDE-BE2A92C40141}"/>
    <cellStyle name="_Column4_KONZERN_121203_BOLERO_2012-12-03_V2" xfId="74" xr:uid="{1A0F5BE9-D1F4-45EC-9E80-24C3444185B6}"/>
    <cellStyle name="_Column4_Mappe3" xfId="75" xr:uid="{B61735E7-DE62-4B70-83C6-4E696AABDB2E}"/>
    <cellStyle name="_Column4_Mappe6" xfId="76" xr:uid="{A4649922-CA97-4C33-877E-E27E554729CE}"/>
    <cellStyle name="_Column4_Mappe6_BOLERO_2012-12-03_V2" xfId="77" xr:uid="{4C337D0B-7E04-49E2-9CFD-27B35F9DD3E4}"/>
    <cellStyle name="_Column4_MODELLE_2012" xfId="78" xr:uid="{F7D9A95A-1F05-4103-9C91-20564F36A3FE}"/>
    <cellStyle name="_Column4_MODELLE_2012_BOLERO_2012-12-03_V2" xfId="79" xr:uid="{91A2DAE5-DD0F-4217-A407-DCC37163D2ED}"/>
    <cellStyle name="_Column4_Restructuring File _ 3-07-13_scorecard" xfId="80" xr:uid="{DFA124C3-BBE8-4464-A6C4-1FDA375A3F7D}"/>
    <cellStyle name="_Column4_Restruk-Kosten_2012_1207_val" xfId="81" xr:uid="{71A321BB-984A-42A0-BF60-5DC8BAAA241A}"/>
    <cellStyle name="_Column4_STAT-Nominations_121212" xfId="82" xr:uid="{451EE286-B6EB-4106-9324-80D9B7A92834}"/>
    <cellStyle name="_Column4_Wincor SB-Install" xfId="83" xr:uid="{7BDA52DF-4504-4D30-946D-DFE58B11D899}"/>
    <cellStyle name="_Column4_Wincor SB-Install_BOLERO_2012-12-03_V2" xfId="84" xr:uid="{A3DFB95B-71F7-419E-B054-F1C599D698EB}"/>
    <cellStyle name="_Column4_Wincor SB-Install_KONZERN_121203" xfId="85" xr:uid="{F34DC394-D02E-4055-BB65-F2DA62215D1B}"/>
    <cellStyle name="_Column4_Wincor SB-Install_Mappe6" xfId="86" xr:uid="{2F800B6E-A0CE-4730-B184-1975AD77E6D7}"/>
    <cellStyle name="_Column4_Wincor SB-Install_STAT-Nominations_121212" xfId="87" xr:uid="{6D3342B7-48D1-4909-82DA-DD63C7FD34B8}"/>
    <cellStyle name="_Column5" xfId="88" xr:uid="{246CB940-1B2B-44F0-93C9-2A71E67318AC}"/>
    <cellStyle name="_Column6" xfId="89" xr:uid="{DEB61FD9-BAD6-44F9-8B89-20DC8FCC3EA7}"/>
    <cellStyle name="_Column7" xfId="90" xr:uid="{1CF82CE9-18F2-42FB-948B-B0C9DBF51E8A}"/>
    <cellStyle name="_Column7_Daten_MonRep_2011_12_ergänzt" xfId="91" xr:uid="{7D0F7FA8-AB15-42DE-B648-D43966CBD724}"/>
    <cellStyle name="_Column7_Mappe3" xfId="92" xr:uid="{5BD341F8-3BDA-4D9D-90DB-A9726C5D8D41}"/>
    <cellStyle name="_Comma" xfId="93" xr:uid="{3316E0E3-DFEE-4F03-96EF-CBF375A4134D}"/>
    <cellStyle name="_Comma_8-(j-k) 2008-2010 AOP 700k" xfId="94" xr:uid="{41E54839-59F9-488E-81C6-546A89D09816}"/>
    <cellStyle name="_Comma_Cerberus Senior Payment Component Accrual Dec. 05" xfId="95" xr:uid="{C70DCEFC-BB27-486D-ACA2-63C682DDBF4A}"/>
    <cellStyle name="_consolidated own funds 11_2010" xfId="96" xr:uid="{EC80A5B2-A9BA-402D-8DBC-DCECE0B714DB}"/>
    <cellStyle name="_consolidated own funds 11_2010 2" xfId="97" xr:uid="{7F4F252A-08D9-45C4-B4A0-33484E22DF24}"/>
    <cellStyle name="_Currency" xfId="98" xr:uid="{CCAFFE20-42A6-474D-B30B-3CC39A9728F1}"/>
    <cellStyle name="_Currency_8-(j-k) 2008-2010 AOP 700k" xfId="99" xr:uid="{2746532F-5311-4F38-B11D-1E61E2C06EC0}"/>
    <cellStyle name="_Currency_Cerberus Senior Payment Component Accrual Dec. 05" xfId="100" xr:uid="{22F587BF-1E0F-4F27-8E8A-8486765731DB}"/>
    <cellStyle name="_CurrencySpace" xfId="101" xr:uid="{A96BC739-7D8D-407E-AD73-A3B40586AA50}"/>
    <cellStyle name="_CurrencySpace_8-(j-k) 2008-2010 AOP 700k" xfId="102" xr:uid="{06072A43-69E6-4C87-8CB6-4F814368B24D}"/>
    <cellStyle name="_CurrencySpace_Cerberus Senior Payment Component Accrual Dec. 05" xfId="103" xr:uid="{E615784C-DE23-4C97-9E8F-4903C4D89B95}"/>
    <cellStyle name="_Data" xfId="104" xr:uid="{C67A5EAA-B0BA-43AA-8D04-6BF75634FC25}"/>
    <cellStyle name="_Data 2" xfId="105" xr:uid="{4F815A19-286E-4498-9457-64C90DE7F432}"/>
    <cellStyle name="_Data 3" xfId="106" xr:uid="{B6FBCAEE-D021-40EF-AD65-475DB86D7AF3}"/>
    <cellStyle name="_Data 4" xfId="107" xr:uid="{3AC5D00F-A786-4AC9-A37F-003431D4545B}"/>
    <cellStyle name="_Data_2009-IST-MONAT" xfId="108" xr:uid="{5EF826F9-667B-4221-9EEB-E346B490E855}"/>
    <cellStyle name="_Data_2010-12 Excerpt HR Master Management Reporting - Period Jan - Dec 2010" xfId="109" xr:uid="{EDC88AFE-5BE6-428B-83CE-4583AA76148A}"/>
    <cellStyle name="_Data_2010-12 Excerpt HR Master Management Reporting - Period Jan - Dec 2010 2" xfId="110" xr:uid="{493DF5C8-A71F-417D-942F-FC9D8504F6B6}"/>
    <cellStyle name="_Data_2010-12 Excerpt HR Master Management Reporting - Period Jan - Dec 2010 3" xfId="111" xr:uid="{787F7F29-0CEC-41B8-A343-F3C5483F5339}"/>
    <cellStyle name="_Data_2010-12 Excerpt HR Master Management Reporting - Period Jan - Dec 2010 4" xfId="112" xr:uid="{BA4B38AB-0CFF-45F6-B2FD-CD61A163B7F4}"/>
    <cellStyle name="_Data_2010-12 Excerpt HR Master Management Reporting - Period Jan - Dec 2010_20110419_Business_Performance_Report_v11" xfId="113" xr:uid="{AD22A7B4-AD48-41F7-8DC9-E3AF74A2B245}"/>
    <cellStyle name="_Data_2010-12 Excerpt HR Master Management Reporting - Period Jan - Dec 2010_20110419_Business_Performance_Report_v11_RSC" xfId="114" xr:uid="{0D953EBD-B4A1-49FF-8011-26F9434A6BDD}"/>
    <cellStyle name="_Data_2010-12 Excerpt HR Master Management Reporting - Period Jan - Dec 2010_Division Summary  PCR" xfId="115" xr:uid="{8F4DBFA9-1B02-413D-8847-38B94CC1A517}"/>
    <cellStyle name="_Data_2010-12 Excerpt HR Master Management Reporting - Period Jan - Dec 2010_Key-P-FM" xfId="116" xr:uid="{0B40D517-9EDA-4DD8-9C5F-CDF20E498DDD}"/>
    <cellStyle name="_Data_2010-12 Excerpt HR Master Management Reporting - Period Jan - Dec 2010_Key-P-Retail" xfId="117" xr:uid="{A64C41D6-6F06-422F-95F6-2C2F09663816}"/>
    <cellStyle name="_Data_2010-12 Excerpt HR Master Management Reporting - Period Jan - Dec 2010_New Network Strategy" xfId="118" xr:uid="{41FDAEF2-F711-49AF-9A6C-7C6FA01B9F0F}"/>
    <cellStyle name="_Data_2010-12 Excerpt HR Master Management Reporting - Period Jan - Dec 2010_Sales Funnel" xfId="119" xr:uid="{6CA1B11F-DCA1-4559-8E79-67A20D55580F}"/>
    <cellStyle name="_Data_2010-IST-MONAT" xfId="120" xr:uid="{0BDF5BF0-5F87-42CA-B296-861947E0B2B0}"/>
    <cellStyle name="_Data_20110321 Master Management Reporting 1.0_v6_PP_HL" xfId="121" xr:uid="{D574831C-30F2-4A37-BB3E-26323BC96D8A}"/>
    <cellStyle name="_Data_20110321 Master Management Reporting 1.0_v6_PP_HL 2" xfId="122" xr:uid="{39669678-77ED-400E-AE30-CEC65E4B8908}"/>
    <cellStyle name="_Data_20110321 Master Management Reporting 1.0_v6_PP_HL 3" xfId="123" xr:uid="{5103059A-1356-42C3-824A-A1DD138BFED9}"/>
    <cellStyle name="_Data_20110321 Master Management Reporting 1.0_v6_PP_HL 4" xfId="124" xr:uid="{D9FD5DF7-F0EB-4C8A-A6DF-6E10E057737A}"/>
    <cellStyle name="_Data_20110321 Master Management Reporting 1.0_v6_PP_HL_03 2011 Business Development" xfId="125" xr:uid="{2ED2D65E-8AC6-4559-B0F5-A907C0CEE08A}"/>
    <cellStyle name="_Data_20110321 Master Management Reporting 1.0_v6_PP_HL_20110419_Business_Performance_Report_v11_RSC" xfId="126" xr:uid="{829F32DE-FAF2-4B9A-B501-4BEEAF41F578}"/>
    <cellStyle name="_Data_20110321 Master Management Reporting 1.0_v6_PP_HL_Division Summary  PCR" xfId="127" xr:uid="{621EFEA1-280F-4368-B193-EECC198A885E}"/>
    <cellStyle name="_Data_20110321 Master Management Reporting 1.0_v6_PP_HL_Key-P-FM" xfId="128" xr:uid="{CF69E39B-4A9C-4B72-9E15-DFCE667FB94F}"/>
    <cellStyle name="_Data_20110321 Master Management Reporting 1.0_v6_PP_HL_Key-P-Retail" xfId="129" xr:uid="{8F5FDACC-D860-4DDA-B8AB-12C05B6A0F1E}"/>
    <cellStyle name="_Data_20110321 Master Management Reporting 1.0_v6_PP_HL_New Network Strategy" xfId="130" xr:uid="{25D6EB0A-0062-41F9-902B-47CCF3AD6EBA}"/>
    <cellStyle name="_Data_20110321 Master Management Reporting 1.0_v6_PP_HL_Sales Funnel" xfId="131" xr:uid="{02E3B4D3-9B05-44F1-B32D-D76F653F4969}"/>
    <cellStyle name="_Data_20110419_Business_Performance_Report_v11" xfId="132" xr:uid="{A7CF1633-111F-452E-9522-3A3D243043F1}"/>
    <cellStyle name="_Data_20110419_Business_Performance_Report_v11_RSC" xfId="133" xr:uid="{CE60A04E-7B6F-4388-B50E-F30F5DB5F0BD}"/>
    <cellStyle name="_Data_2011-IST-MONAT" xfId="134" xr:uid="{D168EDFC-6B9E-4BD1-A7EF-8B0F7BF3D2D4}"/>
    <cellStyle name="_Data_2012-IST-MONAT" xfId="135" xr:uid="{6131611F-6EF9-4CF7-A55B-0320692AE7AA}"/>
    <cellStyle name="_Data_Abgrenzung Personalaufwand 01.2011_2011-02-09" xfId="136" xr:uid="{D3D15263-D100-4F28-AC53-AD00BAAFF6D0}"/>
    <cellStyle name="_Data_Abgrenzung Personalaufwand 01.2012_2012-02-03_vorl" xfId="137" xr:uid="{9534FD81-125B-4E4B-808F-3EF83D2944CD}"/>
    <cellStyle name="_Data_Abgrenzung Personalaufwand 02.2011_2011-03-08_vorl" xfId="138" xr:uid="{9F8121D5-BFDD-4A23-B183-D4AE80496E3E}"/>
    <cellStyle name="_Data_Abgrenzung Personalaufwand 02.2012_2012-03-08_vorl" xfId="139" xr:uid="{B89C3479-CADC-4CB3-B7EB-48BB971F6AFB}"/>
    <cellStyle name="_Data_Abgrenzung Personalaufwand 03.2011_2011-04-11_vorl" xfId="140" xr:uid="{606B5C3E-577E-4F32-A06A-F963E0D0C3D8}"/>
    <cellStyle name="_Data_Abgrenzung Personalaufwand 03.2012_2012-04-10_vorläufig" xfId="141" xr:uid="{D6EF1D62-D339-4537-A919-37D7196E9299}"/>
    <cellStyle name="_Data_Abgrenzung Personalaufwand 04.2011_2011-05-09_vorl" xfId="142" xr:uid="{49A04B88-BA36-4428-867C-1054A8208B05}"/>
    <cellStyle name="_Data_Abgrenzung Personalaufwand 04.2012_2012-05-08_in Arbeit" xfId="143" xr:uid="{B3E25710-8F6D-4382-8E60-86F602AC3561}"/>
    <cellStyle name="_Data_Abgrenzung Personalaufwand 05 2010_2010-06-08" xfId="144" xr:uid="{17AEB764-CE84-4217-9A67-5F6CBB7D2A3E}"/>
    <cellStyle name="_Data_Abgrenzung Personalaufwand 05 2010_2010-06-08 2" xfId="145" xr:uid="{A0CC7F36-9FFA-4866-85EC-6221BB136425}"/>
    <cellStyle name="_Data_Abgrenzung Personalaufwand 05 2010_2010-06-08 3" xfId="146" xr:uid="{7EA98C8F-E438-49C1-AC1D-654CC740793D}"/>
    <cellStyle name="_Data_Abgrenzung Personalaufwand 05 2010_2010-06-08 4" xfId="147" xr:uid="{14A3D6F9-927B-4569-B90D-D801EC930C87}"/>
    <cellStyle name="_Data_Abgrenzung Personalaufwand 05 2010_2010-06-08_20110419_Business_Performance_Report_v11" xfId="148" xr:uid="{9FC28103-1738-4725-A254-4BE9EB242930}"/>
    <cellStyle name="_Data_Abgrenzung Personalaufwand 05 2010_2010-06-08_20110419_Business_Performance_Report_v11_RSC" xfId="149" xr:uid="{6B1E5186-9554-4ADB-8BB2-5E3BB5D04BC3}"/>
    <cellStyle name="_Data_Abgrenzung Personalaufwand 05 2010_2010-06-08_Division Summary  PCR" xfId="150" xr:uid="{C557987B-89D7-49E8-B8C3-5E65ED461BE3}"/>
    <cellStyle name="_Data_Abgrenzung Personalaufwand 05 2010_2010-06-08_Key-P-FM" xfId="151" xr:uid="{BA8AFE34-6A4A-4B5E-AA79-7A3AAF0148DD}"/>
    <cellStyle name="_Data_Abgrenzung Personalaufwand 05 2010_2010-06-08_Key-P-Retail" xfId="152" xr:uid="{5DFA9591-6A50-4667-BC41-912576C3161A}"/>
    <cellStyle name="_Data_Abgrenzung Personalaufwand 05 2010_2010-06-08_New Network Strategy" xfId="153" xr:uid="{32C798B7-A8FB-43D3-823F-C7317B471CB5}"/>
    <cellStyle name="_Data_Abgrenzung Personalaufwand 05 2010_2010-06-08_Restructuring File _ 3-07-13_scorecard" xfId="154" xr:uid="{A182D5AE-A9FE-4D02-85DB-3E313481EF5B}"/>
    <cellStyle name="_Data_Abgrenzung Personalaufwand 05 2010_2010-06-08_Sales Funnel" xfId="155" xr:uid="{11366F72-8C5B-4B9D-AEA3-20978C464193}"/>
    <cellStyle name="_Data_Abgrenzung Personalaufwand 05.2011_2011-06-08_(vorl.)" xfId="156" xr:uid="{3046A85A-5149-4F61-BAB3-6B3F84194CFC}"/>
    <cellStyle name="_Data_Abgrenzung Personalaufwand 05.2012_2012-06-11_vorl" xfId="157" xr:uid="{2448FE15-66A5-456D-AFA3-C450B7E4B48A}"/>
    <cellStyle name="_Data_Abgrenzung Personalaufwand 06.2010_2010-07-08" xfId="158" xr:uid="{A152769F-0053-4DA7-86F2-0BCB1ED5FAA2}"/>
    <cellStyle name="_Data_Abgrenzung Personalaufwand 06.2010_2010-07-08 2" xfId="159" xr:uid="{ADD8EFE0-E16A-4CD0-8EB2-BBA08F3F1091}"/>
    <cellStyle name="_Data_Abgrenzung Personalaufwand 06.2010_2010-07-08 3" xfId="160" xr:uid="{EF5A1016-28B7-450E-9093-07AE914C6EA5}"/>
    <cellStyle name="_Data_Abgrenzung Personalaufwand 06.2010_2010-07-08 4" xfId="161" xr:uid="{3D3E6D5A-7F6D-44B8-B3D1-F6EA3D6570B1}"/>
    <cellStyle name="_Data_Abgrenzung Personalaufwand 06.2010_2010-07-08_20110419_Business_Performance_Report_v11" xfId="162" xr:uid="{40A1E012-38BE-4077-AB16-2D5A4EE07EB5}"/>
    <cellStyle name="_Data_Abgrenzung Personalaufwand 06.2010_2010-07-08_20110419_Business_Performance_Report_v11_RSC" xfId="163" xr:uid="{47B96E03-A319-4235-9F6A-4F32896550FA}"/>
    <cellStyle name="_Data_Abgrenzung Personalaufwand 06.2010_2010-07-08_Division Summary  PCR" xfId="164" xr:uid="{5D74F356-5558-4B44-8F9C-5E19B96E19F1}"/>
    <cellStyle name="_Data_Abgrenzung Personalaufwand 06.2010_2010-07-08_Key-P-FM" xfId="165" xr:uid="{B86E7732-470A-403B-A6E6-4724BC360059}"/>
    <cellStyle name="_Data_Abgrenzung Personalaufwand 06.2010_2010-07-08_Key-P-Retail" xfId="166" xr:uid="{7F0750C1-1C38-42DB-A29B-6B5DDEF074B5}"/>
    <cellStyle name="_Data_Abgrenzung Personalaufwand 06.2010_2010-07-08_New Network Strategy" xfId="167" xr:uid="{A7C69313-3F93-4F9B-BF46-FC4AEE9FDF82}"/>
    <cellStyle name="_Data_Abgrenzung Personalaufwand 06.2010_2010-07-08_Restructuring File _ 3-07-13_scorecard" xfId="168" xr:uid="{5684EFCB-23CB-4374-A353-42718CDE9601}"/>
    <cellStyle name="_Data_Abgrenzung Personalaufwand 06.2010_2010-07-08_Sales Funnel" xfId="169" xr:uid="{E5E19F65-8B3E-487B-AC62-EDC90295DFD1}"/>
    <cellStyle name="_Data_Abgrenzung Personalaufwand 06.2011_2011-07-07_(vorl)" xfId="170" xr:uid="{3E556DE6-F167-457D-981A-C079F0FABCC5}"/>
    <cellStyle name="_Data_Abgrenzung Personalaufwand 06.2012_2012-06-28_endg" xfId="171" xr:uid="{33B91833-9C6D-46C5-ACF0-0601DD220242}"/>
    <cellStyle name="_Data_Abgrenzung Personalaufwand 07.2010_2010-08-06_vorläufig" xfId="172" xr:uid="{1F45B6C3-8963-4A34-8F21-B6401FB96FE7}"/>
    <cellStyle name="_Data_Abgrenzung Personalaufwand 07.2010_2010-08-06_vorläufig 2" xfId="173" xr:uid="{50D90F74-20FA-4892-95C7-0D76695EADD6}"/>
    <cellStyle name="_Data_Abgrenzung Personalaufwand 07.2010_2010-08-06_vorläufig 3" xfId="174" xr:uid="{3F590144-A602-49D5-88EF-4CE3268D21C8}"/>
    <cellStyle name="_Data_Abgrenzung Personalaufwand 07.2010_2010-08-06_vorläufig 4" xfId="175" xr:uid="{093B32E7-4216-4834-A26B-461AB0E7BA58}"/>
    <cellStyle name="_Data_Abgrenzung Personalaufwand 07.2010_2010-08-06_vorläufig_20110419_Business_Performance_Report_v11" xfId="176" xr:uid="{EB0CD085-078D-486D-B37E-A85EC3AC0C8A}"/>
    <cellStyle name="_Data_Abgrenzung Personalaufwand 07.2010_2010-08-06_vorläufig_20110419_Business_Performance_Report_v11_RSC" xfId="177" xr:uid="{E7344DF5-B9F4-4474-94CE-E2E3F12FB49B}"/>
    <cellStyle name="_Data_Abgrenzung Personalaufwand 07.2010_2010-08-06_vorläufig_Division Summary  PCR" xfId="178" xr:uid="{60F1ED87-1A28-4508-83BF-2CF5C4E78098}"/>
    <cellStyle name="_Data_Abgrenzung Personalaufwand 07.2010_2010-08-06_vorläufig_Key-P-FM" xfId="179" xr:uid="{26429783-B1AB-4188-9F26-AEE8D576C62C}"/>
    <cellStyle name="_Data_Abgrenzung Personalaufwand 07.2010_2010-08-06_vorläufig_Key-P-Retail" xfId="180" xr:uid="{A12F1425-5757-43BA-A264-7F7E9B52E2C0}"/>
    <cellStyle name="_Data_Abgrenzung Personalaufwand 07.2010_2010-08-06_vorläufig_New Network Strategy" xfId="181" xr:uid="{0B96F829-1426-4B2B-B048-38E62A741293}"/>
    <cellStyle name="_Data_Abgrenzung Personalaufwand 07.2010_2010-08-06_vorläufig_Restructuring File _ 3-07-13_scorecard" xfId="182" xr:uid="{F0B1932F-51C8-4794-BF12-273A3BDF1150}"/>
    <cellStyle name="_Data_Abgrenzung Personalaufwand 07.2010_2010-08-06_vorläufig_Sales Funnel" xfId="183" xr:uid="{5BBA802D-275C-4C82-B97D-2D57D406F966}"/>
    <cellStyle name="_Data_Abgrenzung Personalaufwand 07.2011_2011-08-05_(vorl)" xfId="184" xr:uid="{D711F710-AA02-48D9-829F-E90AA7C75314}"/>
    <cellStyle name="_Data_Abgrenzung Personalaufwand 07.2012_2012-08-08_final" xfId="185" xr:uid="{7C6DAC3A-D22E-4AB7-BBB6-8FDC01CBD9EC}"/>
    <cellStyle name="_Data_Abgrenzung Personalaufwand 08.2010_2010-09-08_vorläufig" xfId="186" xr:uid="{72F4FBA0-D501-4E9F-9A55-3C9B98543D87}"/>
    <cellStyle name="_Data_Abgrenzung Personalaufwand 08.2010_2010-09-08_vorläufig 2" xfId="187" xr:uid="{DA227727-4BA7-4AF9-8B78-97F3719B8C84}"/>
    <cellStyle name="_Data_Abgrenzung Personalaufwand 08.2010_2010-09-08_vorläufig 3" xfId="188" xr:uid="{34F7F5DA-B383-4A64-8852-AEA83F85176C}"/>
    <cellStyle name="_Data_Abgrenzung Personalaufwand 08.2010_2010-09-08_vorläufig 4" xfId="189" xr:uid="{99DC9755-2E24-4938-94BF-9645015AADA3}"/>
    <cellStyle name="_Data_Abgrenzung Personalaufwand 08.2010_2010-09-08_vorläufig_20110419_Business_Performance_Report_v11" xfId="190" xr:uid="{F444330B-3314-438B-9723-8432F48E3319}"/>
    <cellStyle name="_Data_Abgrenzung Personalaufwand 08.2010_2010-09-08_vorläufig_20110419_Business_Performance_Report_v11_RSC" xfId="191" xr:uid="{49DFA98B-4A96-4938-83A2-211373CFCC5B}"/>
    <cellStyle name="_Data_Abgrenzung Personalaufwand 08.2010_2010-09-08_vorläufig_Division Summary  PCR" xfId="192" xr:uid="{CF49B276-3CBE-4959-A082-E765555EA45B}"/>
    <cellStyle name="_Data_Abgrenzung Personalaufwand 08.2010_2010-09-08_vorläufig_Key-P-FM" xfId="193" xr:uid="{80F4F5D7-FA18-4DD9-802C-DA359AAB2032}"/>
    <cellStyle name="_Data_Abgrenzung Personalaufwand 08.2010_2010-09-08_vorläufig_Key-P-Retail" xfId="194" xr:uid="{6F993EF5-B2D8-46C5-A954-62C58BA89656}"/>
    <cellStyle name="_Data_Abgrenzung Personalaufwand 08.2010_2010-09-08_vorläufig_New Network Strategy" xfId="195" xr:uid="{9D7165DF-2E80-4433-B8BE-B9917E6B0BD9}"/>
    <cellStyle name="_Data_Abgrenzung Personalaufwand 08.2010_2010-09-08_vorläufig_Restructuring File _ 3-07-13_scorecard" xfId="196" xr:uid="{75390C54-CF2B-4797-B27B-B2F41ADBAF07}"/>
    <cellStyle name="_Data_Abgrenzung Personalaufwand 08.2010_2010-09-08_vorläufig_Sales Funnel" xfId="197" xr:uid="{B7736113-8FFA-4EF6-90D9-5306487490B7}"/>
    <cellStyle name="_Data_Abgrenzung Personalaufwand 08.2011_2011-09-01_(vorläufig)" xfId="198" xr:uid="{06A83455-94A7-4C60-97C2-70CB1A8523FA}"/>
    <cellStyle name="_Data_Abgrenzung Personalaufwand 08.2012_2012-09-10_final_HL" xfId="199" xr:uid="{701FB547-D256-4733-BB87-C17D9EFD815E}"/>
    <cellStyle name="_Data_Abgrenzung Personalaufwand 09.2010_2010-10-08_vorl" xfId="200" xr:uid="{DB2CEAFA-5C3D-4F60-9AFD-68B1555B6469}"/>
    <cellStyle name="_Data_Abgrenzung Personalaufwand 09.2010_2010-10-08_vorl 2" xfId="201" xr:uid="{FDC6200B-A367-4E12-BF30-26930218FF1E}"/>
    <cellStyle name="_Data_Abgrenzung Personalaufwand 09.2010_2010-10-08_vorl 3" xfId="202" xr:uid="{25271323-6F0A-4A28-97D1-F3F67B0A249F}"/>
    <cellStyle name="_Data_Abgrenzung Personalaufwand 09.2010_2010-10-08_vorl 4" xfId="203" xr:uid="{C651E687-CB6C-439E-9539-C58E1405C91F}"/>
    <cellStyle name="_Data_Abgrenzung Personalaufwand 09.2010_2010-10-08_vorl_20110419_Business_Performance_Report_v11" xfId="204" xr:uid="{A12B51B9-FB7E-48F9-9F1A-30D76B717FA5}"/>
    <cellStyle name="_Data_Abgrenzung Personalaufwand 09.2010_2010-10-08_vorl_20110419_Business_Performance_Report_v11_RSC" xfId="205" xr:uid="{CC55EF75-A56A-4E4C-A48C-AD99737F9D9A}"/>
    <cellStyle name="_Data_Abgrenzung Personalaufwand 09.2010_2010-10-08_vorl_Division Summary  PCR" xfId="206" xr:uid="{4CF8DF1C-42B7-49B3-8992-68B0750E0958}"/>
    <cellStyle name="_Data_Abgrenzung Personalaufwand 09.2010_2010-10-08_vorl_Key-P-FM" xfId="207" xr:uid="{3D9A2E8A-EC9C-4558-B4E5-1DD865CD3035}"/>
    <cellStyle name="_Data_Abgrenzung Personalaufwand 09.2010_2010-10-08_vorl_Key-P-Retail" xfId="208" xr:uid="{A55E121C-1074-4D7E-B953-CE2E6CFAE7BA}"/>
    <cellStyle name="_Data_Abgrenzung Personalaufwand 09.2010_2010-10-08_vorl_New Network Strategy" xfId="209" xr:uid="{92D1CDAA-BBA3-4915-9854-59D449B96D36}"/>
    <cellStyle name="_Data_Abgrenzung Personalaufwand 09.2010_2010-10-08_vorl_Restructuring File _ 3-07-13_scorecard" xfId="210" xr:uid="{CEF83CCF-9005-4886-AF36-A43167E3AAB6}"/>
    <cellStyle name="_Data_Abgrenzung Personalaufwand 09.2010_2010-10-08_vorl_Sales Funnel" xfId="211" xr:uid="{C1D5FDF7-1BEC-4675-B88A-3BA85D8A24A1}"/>
    <cellStyle name="_Data_Abgrenzung Personalaufwand 09.2011_2011-10-10_(final)" xfId="212" xr:uid="{62BE4D5F-4B0D-4EBE-8CA2-2BFF5D020731}"/>
    <cellStyle name="_Data_Abgrenzung Personalaufwand 10.2010_2010-11-09_vorl" xfId="213" xr:uid="{2ADF5F24-12A9-491E-AC0A-CA7B155ED330}"/>
    <cellStyle name="_Data_Abgrenzung Personalaufwand 10.2010_2010-11-09_vorl 2" xfId="214" xr:uid="{56F418E3-86FC-4F1C-9822-AA62190FBAE9}"/>
    <cellStyle name="_Data_Abgrenzung Personalaufwand 10.2010_2010-11-09_vorl 3" xfId="215" xr:uid="{9CA833EF-C2D8-4197-8CC6-7AA7E6700B86}"/>
    <cellStyle name="_Data_Abgrenzung Personalaufwand 10.2010_2010-11-09_vorl 4" xfId="216" xr:uid="{449E2F37-322E-432B-B275-52296D7DDB38}"/>
    <cellStyle name="_Data_Abgrenzung Personalaufwand 10.2010_2010-11-09_vorl_20110419_Business_Performance_Report_v11" xfId="217" xr:uid="{AE0988AF-F801-4A0D-9DEF-938DFBAADD0C}"/>
    <cellStyle name="_Data_Abgrenzung Personalaufwand 10.2010_2010-11-09_vorl_20110419_Business_Performance_Report_v11_RSC" xfId="218" xr:uid="{74CFCB55-C08F-4B32-904C-FB78894ECCF8}"/>
    <cellStyle name="_Data_Abgrenzung Personalaufwand 10.2010_2010-11-09_vorl_Division Summary  PCR" xfId="219" xr:uid="{EBD28477-B303-4F62-9635-C807B89D2685}"/>
    <cellStyle name="_Data_Abgrenzung Personalaufwand 10.2010_2010-11-09_vorl_Key-P-FM" xfId="220" xr:uid="{24E1A84D-5E81-476B-AC0F-5AAD3D3E9554}"/>
    <cellStyle name="_Data_Abgrenzung Personalaufwand 10.2010_2010-11-09_vorl_Key-P-Retail" xfId="221" xr:uid="{68BFF905-95AB-4D2A-9688-B5EB3C4726F8}"/>
    <cellStyle name="_Data_Abgrenzung Personalaufwand 10.2010_2010-11-09_vorl_New Network Strategy" xfId="222" xr:uid="{2CABCA90-6C5B-4268-A051-1573C63049C1}"/>
    <cellStyle name="_Data_Abgrenzung Personalaufwand 10.2010_2010-11-09_vorl_Restructuring File _ 3-07-13_scorecard" xfId="223" xr:uid="{7A00616D-7D32-47BD-90A1-1369FE55670C}"/>
    <cellStyle name="_Data_Abgrenzung Personalaufwand 10.2010_2010-11-09_vorl_Sales Funnel" xfId="224" xr:uid="{E415FE32-F939-4B5B-A253-217B5F546DF1}"/>
    <cellStyle name="_Data_Abgrenzung Personalaufwand 10.2010_2010-12-09_final" xfId="225" xr:uid="{D2006579-A8E7-4DB9-8612-B9D287E03BB8}"/>
    <cellStyle name="_Data_Abgrenzung Personalaufwand 10.2010_2010-12-09_final 2" xfId="226" xr:uid="{7B14B65B-75FF-44F5-88CF-357D9D9D5687}"/>
    <cellStyle name="_Data_Abgrenzung Personalaufwand 10.2010_2010-12-09_final 3" xfId="227" xr:uid="{AC605B55-0E89-4F8C-AECE-3951C34E8131}"/>
    <cellStyle name="_Data_Abgrenzung Personalaufwand 10.2010_2010-12-09_final 4" xfId="228" xr:uid="{355DF807-3AAF-43CC-A375-1B8E5EC437AE}"/>
    <cellStyle name="_Data_Abgrenzung Personalaufwand 10.2010_2010-12-09_final_20110419_Business_Performance_Report_v11" xfId="229" xr:uid="{8CD89026-1DBE-43E3-A127-AC818D2D3C27}"/>
    <cellStyle name="_Data_Abgrenzung Personalaufwand 10.2010_2010-12-09_final_20110419_Business_Performance_Report_v11_RSC" xfId="230" xr:uid="{9AD0B9E0-8AA9-4B43-8760-5660B474637C}"/>
    <cellStyle name="_Data_Abgrenzung Personalaufwand 10.2010_2010-12-09_final_Division Summary  PCR" xfId="231" xr:uid="{D9A8A799-1DE9-4B26-9460-4D1FC2852F59}"/>
    <cellStyle name="_Data_Abgrenzung Personalaufwand 10.2010_2010-12-09_final_Key-P-FM" xfId="232" xr:uid="{A8B7E27B-FC13-4E78-884D-806BAFE3A9CE}"/>
    <cellStyle name="_Data_Abgrenzung Personalaufwand 10.2010_2010-12-09_final_Key-P-Retail" xfId="233" xr:uid="{7F3F55B9-52C2-490B-A4A5-38D50783251D}"/>
    <cellStyle name="_Data_Abgrenzung Personalaufwand 10.2010_2010-12-09_final_New Network Strategy" xfId="234" xr:uid="{3F631E86-97C1-415A-B5A8-841E98B2525D}"/>
    <cellStyle name="_Data_Abgrenzung Personalaufwand 10.2010_2010-12-09_final_Restructuring File _ 3-07-13_scorecard" xfId="235" xr:uid="{FDED96DB-ACE8-45FB-A472-1DCE44A0922B}"/>
    <cellStyle name="_Data_Abgrenzung Personalaufwand 10.2010_2010-12-09_final_Sales Funnel" xfId="236" xr:uid="{D59EBE1A-2794-495C-A535-373218C384CB}"/>
    <cellStyle name="_Data_Abgrenzung Personalaufwand 10.2011_2011-11-08_(vorl.)" xfId="237" xr:uid="{8EEA4889-71A6-4B86-922E-5A545CD13462}"/>
    <cellStyle name="_Data_Abgrenzung Personalaufwand 11.2011_2011-12-07_vorl" xfId="238" xr:uid="{B49B0A1D-A5A1-4568-8DF3-8865478A76B3}"/>
    <cellStyle name="_Data_Cost Model 2012-07-14 Scenario 3_adj_20120910" xfId="239" xr:uid="{02DF709D-77E4-4E84-9F44-DE40A5957A1E}"/>
    <cellStyle name="_Data_Division Summary  PCR" xfId="240" xr:uid="{85F05546-A2CC-4D9B-91DD-EC8AE15C00FC}"/>
    <cellStyle name="_Data_FC_2012-03_Konten für Herbert" xfId="241" xr:uid="{7210D7A4-4DCF-4A07-A46B-F5B877D17B55}"/>
    <cellStyle name="_Data_Key-P-FM" xfId="242" xr:uid="{EE4486BD-C17A-42FD-AD0E-C025026870A5}"/>
    <cellStyle name="_Data_Key-P-Retail" xfId="243" xr:uid="{93DF7F34-F31F-47A9-8392-4323D6435122}"/>
    <cellStyle name="_Data_Mappe4" xfId="244" xr:uid="{4AA8F6CC-8660-40C7-97A0-2F24E3932761}"/>
    <cellStyle name="_Data_Mappe4 2" xfId="245" xr:uid="{8D9D1125-6AD1-4FA5-BCE3-B247480FC98A}"/>
    <cellStyle name="_Data_Mappe4 3" xfId="246" xr:uid="{9DD21C02-44C3-4806-94A7-A0F8393A5E04}"/>
    <cellStyle name="_Data_Mappe4 4" xfId="247" xr:uid="{3481FB5C-65B0-414C-A381-E9DE1962A027}"/>
    <cellStyle name="_Data_Mappe4_20110419_Business_Performance_Report_v11" xfId="248" xr:uid="{919E0DEC-A1A2-421C-AB3E-FAC6E3DAEE7F}"/>
    <cellStyle name="_Data_Mappe4_20110419_Business_Performance_Report_v11_RSC" xfId="249" xr:uid="{14CA28D6-419A-4F8A-BF8E-C1E76DC22DF4}"/>
    <cellStyle name="_Data_Mappe4_Division Summary  PCR" xfId="250" xr:uid="{D8B8D829-3912-436D-BC45-E6DBC142447B}"/>
    <cellStyle name="_Data_Mappe4_Key-P-FM" xfId="251" xr:uid="{C985E4CF-F493-4F29-8A55-D5D3166BEE1B}"/>
    <cellStyle name="_Data_Mappe4_Key-P-Retail" xfId="252" xr:uid="{9A4770B1-2516-44FC-B518-7B5B48DDAECC}"/>
    <cellStyle name="_Data_Mappe4_New Network Strategy" xfId="253" xr:uid="{37626BF2-B086-41DC-B133-5B28B72691A2}"/>
    <cellStyle name="_Data_Mappe4_Restructuring File _ 3-07-13_scorecard" xfId="254" xr:uid="{3C0A69E4-E77D-4EE8-8510-8CE82F548800}"/>
    <cellStyle name="_Data_Mappe4_Sales Funnel" xfId="255" xr:uid="{79748C71-810D-484D-B2F6-D08867CFCD71}"/>
    <cellStyle name="_Data_MOR_2011-01" xfId="256" xr:uid="{D7ECF567-8888-4DB8-AC4A-C8E317123D25}"/>
    <cellStyle name="_Data_MOR_2011-03 HBrunner" xfId="257" xr:uid="{5C742B0C-BE86-4487-8DBC-C9470487D3D9}"/>
    <cellStyle name="_Data_New Network Strategy" xfId="258" xr:uid="{75C3F3E1-6BE2-4636-90F8-C249A620E003}"/>
    <cellStyle name="_Data_PA_an CO_Konten_Budget_20101104" xfId="259" xr:uid="{6F8CB0D7-7703-44FC-A3EF-E877F545DEC4}"/>
    <cellStyle name="_Data_PA_MCR_2010-12" xfId="260" xr:uid="{956A456B-9DC5-4FF1-B62D-D68E1AAF0B51}"/>
    <cellStyle name="_Data_PA_Pers+Sach_Erw 2.2011_2011-03-03" xfId="261" xr:uid="{70D38A22-3C5F-49D6-88F6-1DD11D426142}"/>
    <cellStyle name="_Data_PA1_PA_MCR_Konten Forecast 2010" xfId="262" xr:uid="{D862D558-3FE1-435E-981E-7FE4DFA208DD}"/>
    <cellStyle name="_Data_Restructuring File _ 3-07-13_scorecard" xfId="263" xr:uid="{8DD8065F-D6C0-4050-93F8-8952C3F2A258}"/>
    <cellStyle name="_Data_Sales Funnel" xfId="264" xr:uid="{46C875A8-BD0E-4211-ACEC-AB74FC65DE1C}"/>
    <cellStyle name="_Data_Versand Plan 2012-01-10_HR" xfId="265" xr:uid="{98A6EFF4-0865-40D7-9C70-F9F098643ADE}"/>
    <cellStyle name="_EM-Anforderung_V12_6.6" xfId="266" xr:uid="{7634A26B-6F32-4503-BB22-737A978D7045}"/>
    <cellStyle name="_Euro" xfId="267" xr:uid="{08DD1C43-95DC-4E0B-B01E-BC24DFED3A26}"/>
    <cellStyle name="_Excel Basistabellen und Graphiken_IFRS_102010 2.0" xfId="268" xr:uid="{230C2B97-77A6-4914-930B-1463D0C5B406}"/>
    <cellStyle name="_Excel Basistabellen und Graphiken_IFRS_102010 2.0 2" xfId="269" xr:uid="{AF4FD9FA-CA4A-40FC-93BD-4BC56BB5B6BF}"/>
    <cellStyle name="_GBP Austria" xfId="270" xr:uid="{547BF7D1-BCDE-4B43-841B-C2D9F6220EE8}"/>
    <cellStyle name="_Header" xfId="271" xr:uid="{728CF117-F86B-47BE-BC2D-C902E5C650D6}"/>
    <cellStyle name="_Heading" xfId="272" xr:uid="{8DDE4088-014A-4321-82DF-0ED47B376CB8}"/>
    <cellStyle name="_Heading_8-(j-k) 2008-2010 AOP 700k" xfId="273" xr:uid="{E401E497-821F-4EE8-ADB2-66B21C69BED2}"/>
    <cellStyle name="_Highlight" xfId="274" xr:uid="{D2000A52-D3FE-41D8-893D-24F62CB68AE3}"/>
    <cellStyle name="_Kopie von GBP Eastern Europe" xfId="275" xr:uid="{DD91EE47-9742-4B90-A746-9BD8DD27AA92}"/>
    <cellStyle name="_Multiple" xfId="276" xr:uid="{8C2F93FF-EC18-4ED9-A595-C55A678E7D4A}"/>
    <cellStyle name="_Multiple_8-(j-k) 2008-2010 AOP 700k" xfId="277" xr:uid="{C11339AD-0D00-4583-A637-61990381A8A1}"/>
    <cellStyle name="_Multiple_Cerberus Senior Payment Component Accrual Dec. 05" xfId="278" xr:uid="{B5ACC7CB-29C4-4AC2-83A1-A08BC91B251B}"/>
    <cellStyle name="_MultipleSpace" xfId="279" xr:uid="{1EEF95AB-4EE3-460F-A7AF-CA6A8F05E108}"/>
    <cellStyle name="_MultipleSpace_8-(j-k) 2008-2010 AOP 700k" xfId="280" xr:uid="{57909944-D7CB-4C8E-BFB0-7E284EC3AF1E}"/>
    <cellStyle name="_MultipleSpace_Cerberus Senior Payment Component Accrual Dec. 05" xfId="281" xr:uid="{CF64C96F-AF40-4647-AB4A-124EE4962982}"/>
    <cellStyle name="_Output summary Europe Sept21 v.145" xfId="282" xr:uid="{AFD9B508-2230-46C6-ADAF-FCB9DD2D0704}"/>
    <cellStyle name="_Percent" xfId="283" xr:uid="{80556049-93A3-4406-9B27-0D2A851FF16E}"/>
    <cellStyle name="_PercentSpace" xfId="284" xr:uid="{BC306CE5-8184-4066-AB40-84B17CF82621}"/>
    <cellStyle name="_Row1" xfId="285" xr:uid="{BB361CD6-E681-419D-A34A-B11A7C6EE22B}"/>
    <cellStyle name="_Row1 2" xfId="286" xr:uid="{A96958A8-5FA3-4675-A294-8EADE3CF697D}"/>
    <cellStyle name="_Row1 3" xfId="287" xr:uid="{84E0E660-FC57-4EAF-B874-B0BCE38D8AE3}"/>
    <cellStyle name="_Row1 4" xfId="288" xr:uid="{348F0832-094A-4967-B51C-ADE76CA4D9B0}"/>
    <cellStyle name="_Row1_20110419_Business_Performance_Report_v11" xfId="289" xr:uid="{B0F784F9-3CE8-4918-A49A-238C5ACF2B3C}"/>
    <cellStyle name="_Row1_20110419_Business_Performance_Report_v11_RSC" xfId="290" xr:uid="{8EF3C292-9A72-44EA-BC0E-581F1EA420A9}"/>
    <cellStyle name="_Row1_Division Summary  PCR" xfId="291" xr:uid="{35E8512E-5DB4-446F-98F8-5148C77F33DE}"/>
    <cellStyle name="_Row1_Key-P-FM" xfId="292" xr:uid="{0E3C7241-352D-4203-9B12-E7D0A5DE9B14}"/>
    <cellStyle name="_Row1_Key-P-Retail" xfId="293" xr:uid="{DB1C494B-CC9B-4457-ACEA-A9B2116C1E8D}"/>
    <cellStyle name="_Row1_New Network Strategy" xfId="294" xr:uid="{29E40ECA-D1EE-4145-A82F-510486AF5563}"/>
    <cellStyle name="_Row1_Restructuring File _ 3-07-13_scorecard" xfId="295" xr:uid="{C9C562E0-4752-41E4-A38D-7B87BAD1DD2B}"/>
    <cellStyle name="_Row1_Sales Funnel" xfId="296" xr:uid="{CB8EDA40-E511-4877-A44D-4179CA44D870}"/>
    <cellStyle name="_Row2" xfId="297" xr:uid="{AADC05DB-487F-4FFF-93A0-B30E7F89E6AE}"/>
    <cellStyle name="_Row3" xfId="298" xr:uid="{2BD277B6-792B-4DFD-94EE-79A63C079DD4}"/>
    <cellStyle name="_Row4" xfId="299" xr:uid="{5F15E63C-FF53-4928-9FCC-3ACFA8EA5414}"/>
    <cellStyle name="_Row5" xfId="300" xr:uid="{5F1D2925-23CA-4C09-8760-7B27BD9DCE26}"/>
    <cellStyle name="_Row6" xfId="301" xr:uid="{3F0355A4-15ED-4F5C-BEB9-3035AA342C14}"/>
    <cellStyle name="_Row7" xfId="302" xr:uid="{4AB7484F-98E5-45EC-8FE0-D052A7D34077}"/>
    <cellStyle name="_Row7_Daten_MonRep_2011_12_ergänzt" xfId="303" xr:uid="{625120FE-87C9-4627-AB0B-E92247BACB93}"/>
    <cellStyle name="_Row7_Mappe3" xfId="304" xr:uid="{DB4F8BF3-2517-470E-A438-8D59D8C3F943}"/>
    <cellStyle name="_SubHeading" xfId="305" xr:uid="{21B598B6-CD06-408F-A3D4-A9A366794883}"/>
    <cellStyle name="_SubHeading_8-(j-k) 2008-2010 AOP 700k" xfId="306" xr:uid="{22840351-CB24-44FF-8C1F-2775F5CF2CF6}"/>
    <cellStyle name="_Table" xfId="307" xr:uid="{E1B271E8-0011-4357-BA94-7E6D03546449}"/>
    <cellStyle name="_Table_8-(j-k) 2008-2010 AOP 700k" xfId="308" xr:uid="{0F6566C4-5908-4D20-AB06-3B05306C187D}"/>
    <cellStyle name="_Table_8-(j-k) 2008-2010 AOP 700k_BL_Budget Assumption Workbook v1" xfId="309" xr:uid="{470AEEB3-1BCC-4B13-9BEE-4661402837A4}"/>
    <cellStyle name="_TableHead" xfId="310" xr:uid="{A376918F-2148-4BB9-B42F-76E00B680282}"/>
    <cellStyle name="_TableHead_8-(j-k) 2008-2010 AOP 700k" xfId="311" xr:uid="{262CC4C9-6DC1-48DA-BEAB-C98CCA839388}"/>
    <cellStyle name="_TableHead_8-(j-k) 2008-2010 AOP 700k_BL_Budget Assumption Workbook v1" xfId="312" xr:uid="{62FC09B1-77C6-4FF3-9043-72EF61004601}"/>
    <cellStyle name="_TableRowHead" xfId="313" xr:uid="{61EE516E-B611-4545-A2B4-B343429457F6}"/>
    <cellStyle name="_TableRowHead_8-(j-k) 2008-2010 AOP 700k" xfId="314" xr:uid="{61958001-4829-4A30-AC53-33876E4D032C}"/>
    <cellStyle name="_TableSuperHead" xfId="315" xr:uid="{CDFB1D3B-0307-4CFB-85DD-CFC4E1B91D7B}"/>
    <cellStyle name="_TableSuperHead_20100616 overview " xfId="316" xr:uid="{EADAE837-B993-4573-85F9-56FBE1B6DB22}"/>
    <cellStyle name="_TableSuperHead_20110204 Finance Calendar 2011" xfId="317" xr:uid="{BF5DBA0F-62B7-4431-8FE4-9CAE20C325C0}"/>
    <cellStyle name="_TableSuperHead_20110204 Finance Calendar 2011_~3174756" xfId="318" xr:uid="{ECAEF3F6-9A33-4D18-A9B5-8F9F637327BE}"/>
    <cellStyle name="_TableSuperHead_20110204 Finance Calendar 2011_03 2011 Business Development" xfId="319" xr:uid="{D887E68D-57A5-4810-832A-BA6727A6483C}"/>
    <cellStyle name="_TableSuperHead_20110204 Finance Calendar 2011_03 2011 Business Development_Derivatives" xfId="320" xr:uid="{80004305-FA2A-47B8-A330-3E5483113477}"/>
    <cellStyle name="_TableSuperHead_20110204 Finance Calendar 2011_2011_Segmentreporting_v79_Testversion" xfId="321" xr:uid="{3CD39454-FB21-47AF-A0E3-BAA550B0F6A2}"/>
    <cellStyle name="_TableSuperHead_20110204 Finance Calendar 2011_20110419_Business_Performance_Report_v11" xfId="322" xr:uid="{778C88E3-274E-44A1-B10F-8F765DA5A5C4}"/>
    <cellStyle name="_TableSuperHead_20110204 Finance Calendar 2011_Derivatives" xfId="323" xr:uid="{A8EB69A2-8BC2-46EC-876B-6FC99E1222B1}"/>
    <cellStyle name="_TableSuperHead_20110215 Finance Calendar 2011" xfId="324" xr:uid="{4C91D256-7AC5-4612-A8B2-1F0984083FFE}"/>
    <cellStyle name="_TableSuperHead_20110215 Finance Calendar 2011_03 2011 Business Development" xfId="325" xr:uid="{26AAEAEB-5938-4510-9513-AF507C0EB4BC}"/>
    <cellStyle name="_TableSuperHead_20110215 Finance Calendar 2011_03 2011 Business Development_Derivatives" xfId="326" xr:uid="{ACACB1BD-1A24-4A8D-A6EF-125F8956F362}"/>
    <cellStyle name="_TableSuperHead_20110215 Finance Calendar 2011_2011_Segmentreporting_v79_Testversion" xfId="327" xr:uid="{75EDBA91-F89C-4789-8EF2-AD24965BE259}"/>
    <cellStyle name="_TableSuperHead_20110215 Finance Calendar 2011_20110419_Business_Performance_Report_v11" xfId="328" xr:uid="{AD3CF03E-3F79-4BEB-8852-C7069B72C123}"/>
    <cellStyle name="_TableSuperHead_20110215 Finance Calendar 2011_Derivatives" xfId="329" xr:uid="{DA6976D1-BE64-4ACD-850A-DE03EF8D7979}"/>
    <cellStyle name="_TableSuperHead_2011203 Overview Reports" xfId="330" xr:uid="{C10DA9AA-641F-49C9-B042-EA1EDABFA833}"/>
    <cellStyle name="_TableSuperHead_2011203 Overview Reports 2" xfId="331" xr:uid="{53566D87-755E-41A7-8E95-15D6146C9778}"/>
    <cellStyle name="_TableSuperHead_2011203 Overview Reports 3" xfId="332" xr:uid="{A33F4A3E-90C4-483D-8940-33584721577B}"/>
    <cellStyle name="_TableSuperHead_2011203 Overview Reports 4" xfId="333" xr:uid="{5D694598-2DCD-46D7-944D-E97D45AEE844}"/>
    <cellStyle name="_TableSuperHead_2011203 Overview Reports_~3174756" xfId="334" xr:uid="{0954DA60-3BF0-437E-87C5-2DDFAD0A6D01}"/>
    <cellStyle name="_TableSuperHead_2011203 Overview Reports_03 2011 Business Development" xfId="335" xr:uid="{C2EEF828-F588-48DE-85A3-148A0051DE7B}"/>
    <cellStyle name="_TableSuperHead_2011203 Overview Reports_03 2011 Business Development_Derivatives" xfId="336" xr:uid="{3F518DB8-2CF6-470F-A048-606FDABC6C54}"/>
    <cellStyle name="_TableSuperHead_2011203 Overview Reports_2011_Segmentreporting_v79_Testversion" xfId="337" xr:uid="{6C0B960A-B832-45B3-9EAA-6EA365680873}"/>
    <cellStyle name="_TableSuperHead_2011203 Overview Reports_20110419_Business_Performance_Report_v11" xfId="338" xr:uid="{AB7AD4B4-1650-4834-B97F-75E6B2F56F11}"/>
    <cellStyle name="_TableSuperHead_2011203 Overview Reports_20110419_Business_Performance_Report_v11_RSC" xfId="339" xr:uid="{5E6EC5FA-44ED-4030-92A5-8BAA92DC8342}"/>
    <cellStyle name="_TableSuperHead_2011203 Overview Reports_Derivatives" xfId="340" xr:uid="{2AA2499B-9425-4288-B477-3387AA126795}"/>
    <cellStyle name="_TableSuperHead_2011203 Overview Reports_Division Summary  PCR" xfId="341" xr:uid="{EFC413F3-002C-4487-B723-E48B5C9BF9B5}"/>
    <cellStyle name="_TableSuperHead_2011203 Overview Reports_Key-P-FM" xfId="342" xr:uid="{5F00FC25-BE99-4A30-BB7F-B2D33AFEF98A}"/>
    <cellStyle name="_TableSuperHead_2011203 Overview Reports_Key-P-Retail" xfId="343" xr:uid="{B654B618-CB36-4A52-8021-F1F3F273758B}"/>
    <cellStyle name="_TableSuperHead_2011203 Overview Reports_New Network Strategy" xfId="344" xr:uid="{ACAF53E6-37E7-41FF-B730-178FD8FDB676}"/>
    <cellStyle name="_TableSuperHead_2011203 Overview Reports_Sales Funnel" xfId="345" xr:uid="{D9303135-97D6-4A2B-B83F-6EF959524FF9}"/>
    <cellStyle name="_TableSuperHead_8-(j-k) 2008-2010 AOP 700k" xfId="346" xr:uid="{8E50131C-36DF-4BD4-9EE0-7D9EE9DED4D0}"/>
    <cellStyle name="_TableSuperHead_Bawag - 2010 Plan _ IFRS - 6-17-2010" xfId="347" xr:uid="{E5971EC7-16AC-4B85-85B9-2F276D02AF2F}"/>
    <cellStyle name="_TableSuperHead_Bawag - 2010 Plan _ IFRS - 6-17-2010_~3174756" xfId="348" xr:uid="{B0A977AF-DF56-4DAF-B5F8-7E73982DC448}"/>
    <cellStyle name="_TableSuperHead_Bawag - 2010 Plan _ IFRS - 6-17-2010_03 2011 Business Development" xfId="349" xr:uid="{425BE25E-CA7D-42C5-95F2-3A312601066E}"/>
    <cellStyle name="_TableSuperHead_Bawag - 2010 Plan _ IFRS - 6-17-2010_03 2011 Business Development_Derivatives" xfId="350" xr:uid="{87CEC2E1-F2C8-4F09-A77E-9500480C0D90}"/>
    <cellStyle name="_TableSuperHead_Bawag - 2010 Plan _ IFRS - 6-17-2010_2011_Segmentreporting_v79_Testversion" xfId="351" xr:uid="{CB1BBEEC-B769-4C9E-924D-783B838D2FEC}"/>
    <cellStyle name="_TableSuperHead_Bawag - 2010 Plan _ IFRS - 6-17-2010_20110419_Business_Performance_Report_v11" xfId="352" xr:uid="{99983CED-3343-4B24-BA23-71B6338502CA}"/>
    <cellStyle name="_TableSuperHead_Bawag - 2010 Plan _ IFRS - 6-17-2010_Derivatives" xfId="353" xr:uid="{A3FEC47C-3BEC-4BAF-A7F5-EBD56CC18011}"/>
    <cellStyle name="_TableSuperHead_Derivatives" xfId="354" xr:uid="{95EC204D-C354-4B71-B526-CCCE34C5B130}"/>
    <cellStyle name="_TableSuperHead_Derivatives_1" xfId="355" xr:uid="{372A94B5-502D-4FEF-B2F3-B67746F1C435}"/>
    <cellStyle name="_TableSuperHead_Derivatives_1 2" xfId="356" xr:uid="{0C731FAD-10D9-4000-B001-6A75B3CC6860}"/>
    <cellStyle name="_TableSuperHead_Derivatives_1_KR Market Business Headcount" xfId="357" xr:uid="{952E0F5B-5D5E-40CE-A315-B0CA92164893}"/>
    <cellStyle name="_TableSuperHead_Derivatives_2" xfId="358" xr:uid="{5DC41CBD-5EE8-466E-AFC3-D741E91EBBDB}"/>
    <cellStyle name="_TableSuperHead_Derivatives_2 2" xfId="359" xr:uid="{FC5C5058-5B8A-460C-B728-851E93747E97}"/>
    <cellStyle name="_TableSuperHead_Derivatives_2_KR Market Business Headcount" xfId="360" xr:uid="{39FAD110-5DC5-453B-88C8-8A5F1F4DD675}"/>
    <cellStyle name="_TableSuperHead_DIVISION_Products" xfId="361" xr:uid="{0C15B6F6-0252-4FE9-B3CA-9287F53FDD8F}"/>
    <cellStyle name="_TableSuperHead_DIVISION_Products 2" xfId="362" xr:uid="{44992D27-6958-4809-8A99-53DD2DBB7DC5}"/>
    <cellStyle name="_TableSuperHead_DIVISION_Products 3" xfId="363" xr:uid="{1B6EA38B-26FE-4A76-AE81-CD2BF8969071}"/>
    <cellStyle name="_TableSuperHead_DIVISION_Products 4" xfId="364" xr:uid="{5F891357-7E29-496B-91D3-E4F0DA44AF36}"/>
    <cellStyle name="_TableSuperHead_DIVISION_Products_20100505_Segmentreporting_v57_Testversion" xfId="365" xr:uid="{B0961ACA-2A6F-45BC-9E9F-8EAFD204DF7C}"/>
    <cellStyle name="_TableSuperHead_DIVISION_Products_20100505_Segmentreporting_v57d" xfId="366" xr:uid="{F1B449ED-C695-45B1-8888-FEB979FF608B}"/>
    <cellStyle name="_TableSuperHead_DIVISION_Products_20100602_Segmentreporting_v61" xfId="367" xr:uid="{E640F7AF-A76B-4BB7-8F63-A1577FDC9D0B}"/>
    <cellStyle name="_TableSuperHead_DIVISION_Products_20100607_Segmentreporting_v62" xfId="368" xr:uid="{8FC316FE-68E4-4EC9-B38A-FB16EFFDA1F0}"/>
    <cellStyle name="_TableSuperHead_DIVISION_Products_20100614_Segmentreporting_v68" xfId="369" xr:uid="{74EC04F2-B90E-406C-ADF6-913AF4E7E624}"/>
    <cellStyle name="_TableSuperHead_DIVISION_Products_20100614_Segmentreporting_v70_Testversion" xfId="370" xr:uid="{77462B09-DAA9-4F75-9BC9-442ED2C5768F}"/>
    <cellStyle name="_TableSuperHead_DIVISION_Products_20100713_Segmentreporting_v72" xfId="371" xr:uid="{ACA7EB9E-4452-44F9-B935-6806A2789C5D}"/>
    <cellStyle name="_TableSuperHead_DIVISION_Products_20100714_Segmentreporting_v73" xfId="372" xr:uid="{21D87194-53BE-4F57-B4E6-2FC3D2C60879}"/>
    <cellStyle name="_TableSuperHead_DIVISION_Products_20100714_Segmentreporting_v74" xfId="373" xr:uid="{2F281B72-F541-44A9-96C7-49E6F96D7CF2}"/>
    <cellStyle name="_TableSuperHead_DIVISION_Products_20100719_Segmentreporting_v75" xfId="374" xr:uid="{82D91501-8545-4C7D-B537-F22D76F5E03F}"/>
    <cellStyle name="_TableSuperHead_DIVISION_Products_20100719_Segmentreporting_v75_Testversion" xfId="375" xr:uid="{C599E344-775A-4E55-A0BE-A3D2FEC112A8}"/>
    <cellStyle name="_TableSuperHead_DIVISION_Products_20100720_Segmentreporting_v76_Testversion" xfId="376" xr:uid="{2FBA33B0-D049-4B84-ABF5-DC14560D6631}"/>
    <cellStyle name="_TableSuperHead_DIVISION_Products_20101012_Segmentreporting_v77_Testversion" xfId="377" xr:uid="{2C72A515-C434-4F02-9447-BD293884DDA9}"/>
    <cellStyle name="_TableSuperHead_DIVISION_Products_20101206 KPIs 2011" xfId="378" xr:uid="{AC650780-4716-4102-BB6F-A003AE6FDB73}"/>
    <cellStyle name="_TableSuperHead_DIVISION_Products_2010301 KPIs 2011" xfId="379" xr:uid="{E49DD2BA-FF49-46CC-B1FE-9D7C3E6E0C79}"/>
    <cellStyle name="_TableSuperHead_DIVISION_Products_2011_Segmentreporting_v79_Testversion" xfId="380" xr:uid="{F1C5E687-E0B9-4B51-B2BA-CE5A9043599C}"/>
    <cellStyle name="_TableSuperHead_DIVISION_Products_2011_Segmentreporting_v79_Testversion_01" xfId="381" xr:uid="{078F367C-8E2E-404A-A019-BE29818FC61D}"/>
    <cellStyle name="_TableSuperHead_DIVISION_Products_20110215_Segmentreporting_v79_Testversion_x" xfId="382" xr:uid="{A415EF62-9262-4C37-B0AD-66747190DAB6}"/>
    <cellStyle name="_TableSuperHead_DIVISION_Products_20110307 Master Management Reporting 1.0_v6 Excerpt Businesses" xfId="383" xr:uid="{74CAC178-F826-4C29-9AB3-BA1D6790AC39}"/>
    <cellStyle name="_TableSuperHead_DIVISION_Products_20110419_Business_Performance_Report_v11_RSC" xfId="384" xr:uid="{6D9CB5CA-56D1-40ED-B1BF-B583D0260019}"/>
    <cellStyle name="_TableSuperHead_DIVISION_Products_Division Summary  PCR" xfId="385" xr:uid="{5C855789-5F25-423E-86C4-4CA576141D6E}"/>
    <cellStyle name="_TableSuperHead_DIVISION_Products_Key-P-FM" xfId="386" xr:uid="{F695BEA1-BFA6-4FA6-8CB9-AE22E8A1478A}"/>
    <cellStyle name="_TableSuperHead_DIVISION_Products_Key-P-Retail" xfId="387" xr:uid="{D3E376EE-A829-46D9-93A9-09F50336376C}"/>
    <cellStyle name="_TableSuperHead_DIVISION_Products_Kopie von 20100608_Segmentreporting_v65" xfId="388" xr:uid="{5720CF59-B690-47B9-9756-87C45CF7F7CE}"/>
    <cellStyle name="_TableSuperHead_DIVISION_Products_New Network Strategy" xfId="389" xr:uid="{EC85218F-2CE3-4C26-94C1-0156CCDC7707}"/>
    <cellStyle name="_TableSuperHead_DIVISION_Products_Sales Funnel" xfId="390" xr:uid="{4B1BEDE0-157C-40EC-AAF7-A639618F4F1C}"/>
    <cellStyle name="_TableSuperHead_DIVISION_Products_Testversion von 2011_Segmentreporting_v79_Testversion" xfId="391" xr:uid="{BA9EB5DB-2303-4AA1-9C54-30652B4ED85C}"/>
    <cellStyle name="_TableSuperHead_Excel Basistabellen und Graphiken_IFRS_102010 2.0" xfId="392" xr:uid="{7EDED95E-00BC-4370-8F38-F83C6315E584}"/>
    <cellStyle name="_TableSuperHead_Excel Basistabellen und Graphiken_IFRS_102010 2.0_~3174756" xfId="393" xr:uid="{5EAEBC07-5C77-4D04-A64F-09382D5A0733}"/>
    <cellStyle name="_TableSuperHead_Excel Basistabellen und Graphiken_IFRS_102010 2.0_03 2011 Business Development" xfId="394" xr:uid="{A4A9EFA2-2D91-4DC3-B221-CDC4EF36D408}"/>
    <cellStyle name="_TableSuperHead_Excel Basistabellen und Graphiken_IFRS_102010 2.0_03 2011 Business Development_Derivatives" xfId="395" xr:uid="{C85F8337-0D48-4664-A275-6B878D9B8FA7}"/>
    <cellStyle name="_TableSuperHead_Excel Basistabellen und Graphiken_IFRS_102010 2.0_2011_Segmentreporting_v79_Testversion" xfId="396" xr:uid="{E0C732F3-D42A-449E-8981-869E9B69F835}"/>
    <cellStyle name="_TableSuperHead_Excel Basistabellen und Graphiken_IFRS_102010 2.0_20110419_Business_Performance_Report_v11" xfId="397" xr:uid="{BA7F856D-4CAB-49BB-9144-E409316691CA}"/>
    <cellStyle name="_TableSuperHead_Excel Basistabellen und Graphiken_IFRS_102010 2.0_Derivatives" xfId="398" xr:uid="{03027C26-16D2-4068-B7F5-77D7095BF26D}"/>
    <cellStyle name="_TableSuperHead_gains and losses_AfS" xfId="399" xr:uid="{B8C56071-BF65-4DE4-B16F-5B3A564D3258}"/>
    <cellStyle name="_TableSuperHead_gains and losses_AfS_~3174756" xfId="400" xr:uid="{1AE0CC3C-3480-4F3E-8EE4-E0B8EAFFC8BD}"/>
    <cellStyle name="_TableSuperHead_gains and losses_AfS_03 2011 Business Development" xfId="401" xr:uid="{86879EAD-7A51-4890-9145-146660EE08F9}"/>
    <cellStyle name="_TableSuperHead_gains and losses_AfS_03 2011 Business Development_Derivatives" xfId="402" xr:uid="{C5589393-9FFA-48E4-A621-35CCB869D0FD}"/>
    <cellStyle name="_TableSuperHead_gains and losses_AfS_2011_Segmentreporting_v79_Testversion" xfId="403" xr:uid="{48F8AC44-8734-47D3-942A-6A15E588162E}"/>
    <cellStyle name="_TableSuperHead_gains and losses_AfS_20110419_Business_Performance_Report_v11" xfId="404" xr:uid="{4A913C29-E515-4257-B54F-B25F4B253444}"/>
    <cellStyle name="_TableSuperHead_gains and losses_AfS_Derivatives" xfId="405" xr:uid="{99D6AAC3-9044-4A8A-9887-CD37968FC53E}"/>
    <cellStyle name="_TableSuperHead_Tabelle1" xfId="406" xr:uid="{6B2619E9-7996-4C49-A180-93D1F7DD4720}"/>
    <cellStyle name="=D:\WINNT\SYSTEM32\COMMAND.COM" xfId="407" xr:uid="{4E3E27D1-2B5E-4E18-ADE1-3594B973604C}"/>
    <cellStyle name="0%" xfId="408" xr:uid="{B4106C85-C244-4C1C-BED2-E728FB7CB64D}"/>
    <cellStyle name="0,##0" xfId="409" xr:uid="{3C209827-A981-441D-A254-533CFF0E8967}"/>
    <cellStyle name="0.0" xfId="410" xr:uid="{B4B602E8-BDBE-4580-B3DE-76EF15F1FCA6}"/>
    <cellStyle name="0.0%" xfId="411" xr:uid="{751B91C4-88C5-41A7-A622-18687DAE914B}"/>
    <cellStyle name="0.00" xfId="412" xr:uid="{9C1A88F5-3CD9-4303-8A84-DEF6534645FC}"/>
    <cellStyle name="1" xfId="413" xr:uid="{C0EBBD5D-7437-4152-852D-E99DF2016FCD}"/>
    <cellStyle name="1 2" xfId="414" xr:uid="{C451B61B-D501-4ACA-9460-11186C29DFCA}"/>
    <cellStyle name="1_20100615_Erfassungstemplate_Ertragsplanung_Retail_v05_kuen" xfId="415" xr:uid="{7612AE55-AE15-4DD8-99EE-75A439330CF4}"/>
    <cellStyle name="1_20100615_Erfassungstemplate_Ertragsplanung_Retail_v05_kuen 2" xfId="416" xr:uid="{A03A0A84-8830-4772-9102-77E585984B00}"/>
    <cellStyle name="1_20100615_Erfassungstemplate_Ertragsplanung_Retail_v08" xfId="417" xr:uid="{698482AA-9CFB-4B2D-B036-F0CE8502830A}"/>
    <cellStyle name="1_20100615_Erfassungstemplate_Ertragsplanung_Retail_v08 2" xfId="418" xr:uid="{5DD108C2-8D37-4532-BCF5-2FC869C10C3D}"/>
    <cellStyle name="1_20100616 overview " xfId="419" xr:uid="{A8DC09C3-C81E-4B0E-AEA3-1A07D06FF30D}"/>
    <cellStyle name="1_20100623 Management Reporting - Business Review v100413a" xfId="420" xr:uid="{36A02B91-BE4A-4B1D-86C5-1B97E1DC53C3}"/>
    <cellStyle name="1_20100630_Erfassungstemplate_Financial_Markets_v04" xfId="421" xr:uid="{5609C773-2C7E-4FA1-9947-3FB8F3892D0B}"/>
    <cellStyle name="1_20100630_Erfassungstemplate_Financial_Markets_v04 2" xfId="422" xr:uid="{D699BCC0-F61A-4E72-9FBF-AE7F381F001D}"/>
    <cellStyle name="1_20100701_Erfassungstemplate_Ertragsplanung_Retail_v11" xfId="423" xr:uid="{074D00DC-620E-47EA-9920-0EEABDE0F685}"/>
    <cellStyle name="1_20100701_Erfassungstemplate_Ertragsplanung_Retail_v11 2" xfId="424" xr:uid="{3C7C086E-BA7C-4290-9079-AAC45319D8AF}"/>
    <cellStyle name="1_20100702_Erfassungstemplate_Ertragsplanung_Retail_v15" xfId="425" xr:uid="{DA7831AA-4BF0-4A24-864E-61365241C7ED}"/>
    <cellStyle name="1_20100702_Erfassungstemplate_Ertragsplanung_Retail_v15 2" xfId="426" xr:uid="{229EA982-B223-4EBC-9B1C-54021D299F97}"/>
    <cellStyle name="1_20100702_Erfassungstemplate_Ertragsplanung_Retail_v16" xfId="427" xr:uid="{A0568758-66BB-4DCD-BD62-7A90EBE74309}"/>
    <cellStyle name="1_20100702_Erfassungstemplate_Ertragsplanung_Retail_v16 2" xfId="428" xr:uid="{A99E2249-6535-426E-A76A-B7289C5066BC}"/>
    <cellStyle name="1_20100702_Erfassungstemplate_Ertragsplanung_Retail_v22" xfId="429" xr:uid="{0171C64C-8AFC-4743-8D21-3AAF8DE02FE3}"/>
    <cellStyle name="1_20100702_Erfassungstemplate_Ertragsplanung_Retail_v22 2" xfId="430" xr:uid="{E6A5C362-FDDB-4438-9760-F477109A8BF3}"/>
    <cellStyle name="1_20100702_Erfassungstemplate_Ertragsplanung_Retail_v23" xfId="431" xr:uid="{7498F270-D8D5-43BF-9748-0F1CA910249A}"/>
    <cellStyle name="1_20100702_Erfassungstemplate_Ertragsplanung_Retail_v23 2" xfId="432" xr:uid="{3B262E8A-6C3D-459A-BF8D-D30C3F064C86}"/>
    <cellStyle name="1_20100713_Erfassungstemplate_Ertragsplanung_Retail_v26" xfId="433" xr:uid="{E60B7327-65CB-498D-82AF-D5765E84C2DF}"/>
    <cellStyle name="1_20100713_Erfassungstemplate_Ertragsplanung_Retail_v26 2" xfId="434" xr:uid="{64BFDF5D-C3C4-4457-B69E-C05D8701C3D5}"/>
    <cellStyle name="1_20100718_Erfassungstemplate_Ertragsplanung_Retail_v29" xfId="435" xr:uid="{95E04CD0-7E49-4EE7-A9B7-C22CD3D7D904}"/>
    <cellStyle name="1_20100718_Erfassungstemplate_Ertragsplanung_Retail_v29 2" xfId="436" xr:uid="{0ECB7CF2-B4DE-4777-8116-B9F5F7CBFB18}"/>
    <cellStyle name="1_20100720_Erfassungstemplate_LLP_00_draft" xfId="437" xr:uid="{8F85E40C-389A-4594-84DF-610B8726B0C6}"/>
    <cellStyle name="1_20100726 Management Reporting - Business Review v100413a" xfId="438" xr:uid="{1A92D219-5F37-49C2-BCCF-C6D88403E6E6}"/>
    <cellStyle name="1_20100727 Management Reporting - Business Review v100413a" xfId="439" xr:uid="{FE18CD08-08A9-4304-9E9F-ADD4E33D8D47}"/>
    <cellStyle name="1_20100727 Management Reporting - Business Review v100413a TEST" xfId="440" xr:uid="{2E39705D-73C6-4B11-B15B-661E3B4484D0}"/>
    <cellStyle name="1_20100728_Erfassungstemplate_Ertragsplanung_Retail_v44" xfId="441" xr:uid="{A68FC600-26B2-4174-9E6F-832FE7F6E272}"/>
    <cellStyle name="1_20100728_Erfassungstemplate_Ertragsplanung_Retail_v44 2" xfId="442" xr:uid="{D9B576A2-4B49-4A65-8DFE-B5A857794B94}"/>
    <cellStyle name="1_20100728_Erfassungstemplate_Financial_Markets_v05" xfId="443" xr:uid="{97B8EB54-5A8B-42F9-96D3-22D5651E13C8}"/>
    <cellStyle name="1_20100728_Erfassungstemplate_Financial_Markets_v05 2" xfId="444" xr:uid="{9675391E-0049-4C9C-BAC4-76F154911039}"/>
    <cellStyle name="1_20100728_Erfassungstemplate_Financial_Markets_v07" xfId="445" xr:uid="{BD77BEF0-FB0B-4744-8031-760515F7C218}"/>
    <cellStyle name="1_20100728_Erfassungstemplate_Financial_Markets_v07 2" xfId="446" xr:uid="{F56ECD53-DD7C-451E-B9C1-78FBEDDE2408}"/>
    <cellStyle name="1_20100806 Management Reporting - Business Review v100413a TESTVERSION" xfId="447" xr:uid="{940EC57C-5332-492A-AC0F-3654E9A462AD}"/>
    <cellStyle name="1_20101119_Segmentreporting_v78_Testversion" xfId="448" xr:uid="{264889E8-05B0-4F15-9813-86D7424B164C}"/>
    <cellStyle name="1_20101206 KPIs 2011" xfId="449" xr:uid="{6CA76635-7590-4FCD-A500-6FDCBA248B7D}"/>
    <cellStyle name="1_20110103 Management Reporting Details Business Review" xfId="450" xr:uid="{0F1E53FC-84FD-4A44-8AE0-4C09F608C43D}"/>
    <cellStyle name="1_20110204 Finance Calendar 2011" xfId="451" xr:uid="{EB8BB633-1829-4929-A933-A5382F34AA69}"/>
    <cellStyle name="1_20110204 Finance Calendar 2011_~3174756" xfId="452" xr:uid="{92DE06EA-AB17-4BBF-8C50-15A97BD0555D}"/>
    <cellStyle name="1_20110204 Finance Calendar 2011_03 2011 Business Development" xfId="453" xr:uid="{C818FAB0-18C2-4636-A128-D13BD8A4BB76}"/>
    <cellStyle name="1_20110204 Finance Calendar 2011_03 2011 Business Development_Derivatives" xfId="454" xr:uid="{E1399082-DECA-49DD-B603-6BF336FDA9E2}"/>
    <cellStyle name="1_20110204 Finance Calendar 2011_2011_Segmentreporting_v79_Testversion" xfId="455" xr:uid="{6E2CFB54-9C56-4318-BAAD-038660044B66}"/>
    <cellStyle name="1_20110204 Finance Calendar 2011_20110419_Business_Performance_Report_v11" xfId="456" xr:uid="{6F73EFD3-C1D0-4F65-8BA4-C5D5ABCFE8A1}"/>
    <cellStyle name="1_20110204 Finance Calendar 2011_Derivatives" xfId="457" xr:uid="{ABF56BAF-F348-4536-9D5A-3EEAC479B80A}"/>
    <cellStyle name="1_20110215 Finance Calendar 2011" xfId="458" xr:uid="{DC3A06DC-DFAE-4A79-BD80-6BD1F2AE15FB}"/>
    <cellStyle name="1_20110215 Finance Calendar 2011_03 2011 Business Development" xfId="459" xr:uid="{45E04FE0-54B0-42F1-8B0D-53128BA2DC67}"/>
    <cellStyle name="1_20110215 Finance Calendar 2011_03 2011 Business Development_Derivatives" xfId="460" xr:uid="{E797C6BD-BE21-4716-847F-A94356CC1107}"/>
    <cellStyle name="1_20110215 Finance Calendar 2011_2011_Segmentreporting_v79_Testversion" xfId="461" xr:uid="{653338C1-6847-4F88-BB2B-DB3848B8BE6E}"/>
    <cellStyle name="1_20110215 Finance Calendar 2011_20110419_Business_Performance_Report_v11" xfId="462" xr:uid="{487D8686-1B45-43D2-8A15-B9EDEC0694D4}"/>
    <cellStyle name="1_20110215 Finance Calendar 2011_Derivatives" xfId="463" xr:uid="{835E98D1-E721-486B-ADA2-1E4229171530}"/>
    <cellStyle name="1_2011203 Overview Reports" xfId="464" xr:uid="{0BC0707C-3894-49A9-8A1C-39618CFAB2C5}"/>
    <cellStyle name="1_2011203 Overview Reports 2" xfId="465" xr:uid="{230D0285-6CCE-45CF-9FB0-33BF237969B4}"/>
    <cellStyle name="1_2011203 Overview Reports 3" xfId="466" xr:uid="{8B9B4FCB-F4D9-49B8-AF55-A61B06BFF84A}"/>
    <cellStyle name="1_2011203 Overview Reports 4" xfId="467" xr:uid="{B0C50360-DDB4-4763-A382-F5F3538870EC}"/>
    <cellStyle name="1_2011203 Overview Reports_~3174756" xfId="468" xr:uid="{FC0844A7-DE9B-4939-97F3-5330D6000D2B}"/>
    <cellStyle name="1_2011203 Overview Reports_03 2011 Business Development" xfId="469" xr:uid="{C9AFAF97-7B7F-4888-8FCC-C0BF137A250D}"/>
    <cellStyle name="1_2011203 Overview Reports_03 2011 Business Development_Derivatives" xfId="470" xr:uid="{2E033C8A-ECC7-40B8-AC5F-304526F72813}"/>
    <cellStyle name="1_2011203 Overview Reports_2011_Segmentreporting_v79_Testversion" xfId="471" xr:uid="{A8818018-C908-4BE4-8B06-2F0CC2AD892A}"/>
    <cellStyle name="1_2011203 Overview Reports_20110419_Business_Performance_Report_v11" xfId="472" xr:uid="{F70829BB-229E-4659-A683-8314C88ACFA6}"/>
    <cellStyle name="1_2011203 Overview Reports_20110419_Business_Performance_Report_v11_RSC" xfId="473" xr:uid="{F27CF38E-C745-42A8-84CD-D6C43C88B4D3}"/>
    <cellStyle name="1_2011203 Overview Reports_Derivatives" xfId="474" xr:uid="{2550290D-C70A-407F-B84F-9442D7CF4E14}"/>
    <cellStyle name="1_2011203 Overview Reports_Division Summary  PCR" xfId="475" xr:uid="{2CD6A501-FF9D-47AD-BD1D-1226CE7AE561}"/>
    <cellStyle name="1_2011203 Overview Reports_Key-P-FM" xfId="476" xr:uid="{C7099C3F-8DF1-4165-8D1A-02F65136A55E}"/>
    <cellStyle name="1_2011203 Overview Reports_Key-P-Retail" xfId="477" xr:uid="{B6B0459B-3558-4324-BA4F-887A8C862655}"/>
    <cellStyle name="1_2011203 Overview Reports_New Network Strategy" xfId="478" xr:uid="{A8D2D4FA-1F30-4700-B0E2-7ED07458B876}"/>
    <cellStyle name="1_2011203 Overview Reports_Sales Funnel" xfId="479" xr:uid="{A6FAA322-A21F-4731-B082-2B89E3C31F7F}"/>
    <cellStyle name="1_20121227 BP_2013_Ertragsplanung_TOTAL_MON_v00_COMMERCIAL_für MH" xfId="480" xr:uid="{5936503A-D7EB-4456-AF45-6E0685DB8C0F}"/>
    <cellStyle name="1_BOLERO_2012-08-06" xfId="481" xr:uid="{080FBE28-70E6-4340-87DD-0C3CE1C9933D}"/>
    <cellStyle name="1_BOLERO_2012-12-03_V2" xfId="482" xr:uid="{465627A8-BEB6-4A1D-A0E7-10CDBAEA87ED}"/>
    <cellStyle name="1_BOLERO_2012-12-03_V3" xfId="483" xr:uid="{753299E6-B84A-4025-87A6-A93AB2C2FE62}"/>
    <cellStyle name="1_BP_2011_Ertragsplanung_Total_v00" xfId="484" xr:uid="{D2F63E2F-92E6-4D99-BBE4-F3BC8B0D71C8}"/>
    <cellStyle name="1_BP_2011_Ertragsplanung_Total_v01" xfId="485" xr:uid="{D62833A1-F7D6-432C-A5A5-7515317D75E9}"/>
    <cellStyle name="1_BP_2011_Investment Books_CR" xfId="486" xr:uid="{0439F0FA-28D6-4CB4-B49E-66F2EB3A56D5}"/>
    <cellStyle name="1_BP_2011_Investment Books_CR 2" xfId="487" xr:uid="{D7E4C405-7377-442A-912F-57A4C867FB11}"/>
    <cellStyle name="1_BP_2011_Investment Books_CR_2 libor" xfId="488" xr:uid="{07365085-F3BB-4F0D-81EA-66E58FB6A1F9}"/>
    <cellStyle name="1_BP_2011_Investment Books_CR_2 libor 2" xfId="489" xr:uid="{0475FB52-0AC2-4BA1-8063-909FC48FD932}"/>
    <cellStyle name="1_BP_2011_Investment Books_CR_3 equity" xfId="490" xr:uid="{4B2EEFEF-B2C0-4C85-9D4A-DDD8DC9E9D5A}"/>
    <cellStyle name="1_BP_2011_Investment Books_CR_3 equity 2" xfId="491" xr:uid="{FA046638-52E2-45B9-9EC4-2A0AF8C94778}"/>
    <cellStyle name="1_BP_2011_Investment Books_CR_4 mismatch sov" xfId="492" xr:uid="{8F3E1950-02C2-4E1A-A5D0-736B61506B9A}"/>
    <cellStyle name="1_BP_2011_Investment Books_CR_4 mismatch sov 2" xfId="493" xr:uid="{06824222-A019-465E-A39E-C408712948BA}"/>
    <cellStyle name="1_BP_2011_Investment Books_CR_5_b" xfId="494" xr:uid="{A9C6C6A7-60B3-4BC9-BFDB-05D7080AFA24}"/>
    <cellStyle name="1_BP_2011_Investment Books_CR_5_b 2" xfId="495" xr:uid="{A8EA3E90-A589-4517-82E0-D81B20884F02}"/>
    <cellStyle name="1_BP_2011_Investment Books_CR_6" xfId="496" xr:uid="{4E9FF546-98C5-4ADF-B467-85829D650046}"/>
    <cellStyle name="1_BP_2011_Investment Books_CR_6 2" xfId="497" xr:uid="{55BC2B95-13A3-4639-94D9-5195F2D8AB7A}"/>
    <cellStyle name="1_BP_2011_Investment Books_CR_7" xfId="498" xr:uid="{45783630-4508-489E-97CE-74A189293570}"/>
    <cellStyle name="1_BP_2011_Investment Books_CR_7 2" xfId="499" xr:uid="{23057D19-96C3-461C-9A9A-39866A084463}"/>
    <cellStyle name="1_BP_2011_Investment Books_CR_8" xfId="500" xr:uid="{26AACFA8-7910-45AF-B763-B3C3B9EC6EC0}"/>
    <cellStyle name="1_BP_2011_Investment Books_CR_8 2" xfId="501" xr:uid="{4661AF52-9DC2-49FE-B2D6-EFD75C224750}"/>
    <cellStyle name="1_BP_2012_Ertragsplanung_Total_v00" xfId="502" xr:uid="{DB435B08-260B-4288-B806-B0C0C07E8F64}"/>
    <cellStyle name="1_BP_2012_Ertragsplanung_Total_v03" xfId="503" xr:uid="{7A577F74-0A5A-4E4A-A39F-7DE9740C8717}"/>
    <cellStyle name="1_BP_2012_Ertragsplanung_Total_v07" xfId="504" xr:uid="{93A73A33-9782-4BF5-A968-F9671E5F9BF5}"/>
    <cellStyle name="1_BP_2012_Ertragsplanung_Total_v10" xfId="505" xr:uid="{FCCA6AFC-279A-4CAD-A02F-AF2E9E3F7C7D}"/>
    <cellStyle name="1_BP_2012_LLP_KR" xfId="506" xr:uid="{6DC847BC-6C33-4E5F-923A-98910A67031B}"/>
    <cellStyle name="1_BP_2013_Ertragsplanung_TOTAL_MON_v00_COMMERCIAL" xfId="507" xr:uid="{E0838B75-436D-4902-8E76-3ACD7E38444F}"/>
    <cellStyle name="1_BP_2013_Ertragsplanung_TOTAL_MON_v00_COMMERCIAL_für MH" xfId="508" xr:uid="{11B7C17F-3B04-4DEE-8663-95387EAE6CC3}"/>
    <cellStyle name="1_BP_2013_Ertragsplanung_TOTAL_MON_v00_INT_COMMERCIAL_für AW" xfId="509" xr:uid="{C14D4621-8D20-4096-B541-E84F21CAF8E6}"/>
    <cellStyle name="1_consolidated own funds 11_2010" xfId="510" xr:uid="{75741B94-AD91-4102-A40C-B21B5EC78AE3}"/>
    <cellStyle name="1_consolidated own funds 11_2010_~3174756" xfId="511" xr:uid="{5418CCDA-A781-41F2-ADAE-3A9DF3DA6D6E}"/>
    <cellStyle name="1_consolidated own funds 11_2010_03 2011 Business Development" xfId="512" xr:uid="{EF78CB32-6493-4736-826A-62618566ECFF}"/>
    <cellStyle name="1_consolidated own funds 11_2010_03 2011 Business Development_Derivatives" xfId="513" xr:uid="{2118805F-DE09-4F8D-9011-7879DDE3F81C}"/>
    <cellStyle name="1_consolidated own funds 11_2010_2011_Segmentreporting_v79_Testversion" xfId="514" xr:uid="{FF592E16-DC1B-4E2D-9691-36DADB5C5201}"/>
    <cellStyle name="1_consolidated own funds 11_2010_20110419_Business_Performance_Report_v11" xfId="515" xr:uid="{C5F030D1-C750-4000-8161-A3F3025E1378}"/>
    <cellStyle name="1_consolidated own funds 11_2010_Derivatives" xfId="516" xr:uid="{5CE06BA2-EF87-4FFC-B1B3-CF08B2C5E0A9}"/>
    <cellStyle name="1_Daten_MonRep_2012_08" xfId="517" xr:uid="{3F308809-4E05-4373-A53C-BAA3432B2A80}"/>
    <cellStyle name="1_Daten_MonRep_2012_10" xfId="518" xr:uid="{3973BB9B-79C4-4752-9D89-EB92C4D4F30F}"/>
    <cellStyle name="1_DIVISION_Products" xfId="519" xr:uid="{8E14F452-D153-41BB-B14D-E0DD54707EBD}"/>
    <cellStyle name="1_DIVISION_Products 2" xfId="520" xr:uid="{61389D8C-1EEA-43C6-B00D-05F8D0620BAC}"/>
    <cellStyle name="1_DIVISION_Products 3" xfId="521" xr:uid="{98CD9296-61D5-4284-B443-74889B8BA935}"/>
    <cellStyle name="1_DIVISION_Products 4" xfId="522" xr:uid="{FA8BA3DD-6F47-4FF4-AD14-9F0E684513AA}"/>
    <cellStyle name="1_DIVISION_Products_20100505_Segmentreporting_v57_Testversion" xfId="523" xr:uid="{EBC069A6-A569-439C-B903-45965453955D}"/>
    <cellStyle name="1_DIVISION_Products_20100505_Segmentreporting_v57_Testversion 2" xfId="524" xr:uid="{4F247DC7-56F5-4DCA-85BF-43AD17827B84}"/>
    <cellStyle name="1_DIVISION_Products_20100505_Segmentreporting_v57_Testversion_20100615_Erfassungstemplate_Ertragsplanung_Retail_v05_kuen" xfId="525" xr:uid="{44722AB1-C97B-4E12-ADDC-8146090CA665}"/>
    <cellStyle name="1_DIVISION_Products_20100505_Segmentreporting_v57_Testversion_20100615_Erfassungstemplate_Ertragsplanung_Retail_v05_kuen 2" xfId="526" xr:uid="{92B84460-C068-418B-9178-466A4C6AE849}"/>
    <cellStyle name="1_DIVISION_Products_20100505_Segmentreporting_v57_Testversion_20100615_Erfassungstemplate_Ertragsplanung_Retail_v08" xfId="527" xr:uid="{0799302F-FBB5-4464-8539-DE2C03DD262B}"/>
    <cellStyle name="1_DIVISION_Products_20100505_Segmentreporting_v57_Testversion_20100615_Erfassungstemplate_Ertragsplanung_Retail_v08 2" xfId="528" xr:uid="{68A1E162-561A-4BEA-8B4D-BE14BC766F7D}"/>
    <cellStyle name="1_DIVISION_Products_20100505_Segmentreporting_v57_Testversion_20100623 Management Reporting - Business Review v100413a" xfId="529" xr:uid="{614544D2-9F8B-4429-9543-5ADE8A211657}"/>
    <cellStyle name="1_DIVISION_Products_20100505_Segmentreporting_v57_Testversion_20100630_Erfassungstemplate_Financial_Markets_v04" xfId="530" xr:uid="{1455B18F-27A5-4DAE-A8E0-C7D77592ACB8}"/>
    <cellStyle name="1_DIVISION_Products_20100505_Segmentreporting_v57_Testversion_20100630_Erfassungstemplate_Financial_Markets_v04 2" xfId="531" xr:uid="{2687393D-26F0-4979-881F-4C4B1CDC2474}"/>
    <cellStyle name="1_DIVISION_Products_20100505_Segmentreporting_v57_Testversion_20100701_Erfassungstemplate_Ertragsplanung_Retail_v11" xfId="532" xr:uid="{123751BD-E578-4423-9B4E-818676AD49C0}"/>
    <cellStyle name="1_DIVISION_Products_20100505_Segmentreporting_v57_Testversion_20100701_Erfassungstemplate_Ertragsplanung_Retail_v11 2" xfId="533" xr:uid="{F7703EA5-E99A-4051-B8A1-11853053A747}"/>
    <cellStyle name="1_DIVISION_Products_20100505_Segmentreporting_v57_Testversion_20100702_Erfassungstemplate_Ertragsplanung_Retail_v15" xfId="534" xr:uid="{1CA8A3BE-11A7-4FD5-B3B9-1F273AE3FBC7}"/>
    <cellStyle name="1_DIVISION_Products_20100505_Segmentreporting_v57_Testversion_20100702_Erfassungstemplate_Ertragsplanung_Retail_v15 2" xfId="535" xr:uid="{3E2970B0-78C9-4B91-8211-CFD0329636C4}"/>
    <cellStyle name="1_DIVISION_Products_20100505_Segmentreporting_v57_Testversion_20100702_Erfassungstemplate_Ertragsplanung_Retail_v16" xfId="536" xr:uid="{C952723F-E1BA-4BC3-8C92-546799C4CC9F}"/>
    <cellStyle name="1_DIVISION_Products_20100505_Segmentreporting_v57_Testversion_20100702_Erfassungstemplate_Ertragsplanung_Retail_v16 2" xfId="537" xr:uid="{4C2A98AC-06DB-4DD4-B571-6477D6E9D187}"/>
    <cellStyle name="1_DIVISION_Products_20100505_Segmentreporting_v57_Testversion_20100702_Erfassungstemplate_Ertragsplanung_Retail_v22" xfId="538" xr:uid="{DD6EAE71-63DD-4E48-9AF5-F164F2532491}"/>
    <cellStyle name="1_DIVISION_Products_20100505_Segmentreporting_v57_Testversion_20100702_Erfassungstemplate_Ertragsplanung_Retail_v22 2" xfId="539" xr:uid="{4579D089-DEA7-4F83-8935-6899FA38067B}"/>
    <cellStyle name="1_DIVISION_Products_20100505_Segmentreporting_v57_Testversion_20100702_Erfassungstemplate_Ertragsplanung_Retail_v23" xfId="540" xr:uid="{DD794BFA-39F3-479A-B1CA-28B640A310B3}"/>
    <cellStyle name="1_DIVISION_Products_20100505_Segmentreporting_v57_Testversion_20100702_Erfassungstemplate_Ertragsplanung_Retail_v23 2" xfId="541" xr:uid="{7532AD96-7C5A-4379-BB2C-B4C7C6B79654}"/>
    <cellStyle name="1_DIVISION_Products_20100505_Segmentreporting_v57_Testversion_20100713_Erfassungstemplate_Ertragsplanung_Retail_v26" xfId="542" xr:uid="{0E03625F-E2F7-4D4B-B427-E2339CBD023E}"/>
    <cellStyle name="1_DIVISION_Products_20100505_Segmentreporting_v57_Testversion_20100713_Erfassungstemplate_Ertragsplanung_Retail_v26 2" xfId="543" xr:uid="{AFD9D58D-F38F-4048-9184-CDC52ACE51E2}"/>
    <cellStyle name="1_DIVISION_Products_20100505_Segmentreporting_v57_Testversion_20100718_Erfassungstemplate_Ertragsplanung_Retail_v29" xfId="544" xr:uid="{AAE5CEC5-7700-42C7-AA13-36F652E28B51}"/>
    <cellStyle name="1_DIVISION_Products_20100505_Segmentreporting_v57_Testversion_20100718_Erfassungstemplate_Ertragsplanung_Retail_v29 2" xfId="545" xr:uid="{43C2C86D-EC3F-4ABA-B0E1-BD0AF4F52BEC}"/>
    <cellStyle name="1_DIVISION_Products_20100505_Segmentreporting_v57_Testversion_20100720_Erfassungstemplate_LLP_00_draft" xfId="546" xr:uid="{5FE80570-79A1-460D-B90A-7E4485DFB43E}"/>
    <cellStyle name="1_DIVISION_Products_20100505_Segmentreporting_v57_Testversion_20100726 Management Reporting - Business Review v100413a" xfId="547" xr:uid="{083ECA9C-3AC3-4FC3-9581-5DE663A8812C}"/>
    <cellStyle name="1_DIVISION_Products_20100505_Segmentreporting_v57_Testversion_20100727 Management Reporting - Business Review v100413a" xfId="548" xr:uid="{6D17FF1A-7DEF-47D6-8516-4D7EC184E251}"/>
    <cellStyle name="1_DIVISION_Products_20100505_Segmentreporting_v57_Testversion_20100727 Management Reporting - Business Review v100413a TEST" xfId="549" xr:uid="{D5A92BC2-A339-4B06-8EFC-09EABB9F1E96}"/>
    <cellStyle name="1_DIVISION_Products_20100505_Segmentreporting_v57_Testversion_20100728_Erfassungstemplate_Ertragsplanung_Retail_v44" xfId="550" xr:uid="{F9E4834E-CF5C-438A-AD01-D88076A66F35}"/>
    <cellStyle name="1_DIVISION_Products_20100505_Segmentreporting_v57_Testversion_20100728_Erfassungstemplate_Ertragsplanung_Retail_v44 2" xfId="551" xr:uid="{771172AE-7733-4611-BCF9-0530A64C81FE}"/>
    <cellStyle name="1_DIVISION_Products_20100505_Segmentreporting_v57_Testversion_20100728_Erfassungstemplate_Financial_Markets_v05" xfId="552" xr:uid="{83314CD1-B641-4182-A0B0-2F334101DAB5}"/>
    <cellStyle name="1_DIVISION_Products_20100505_Segmentreporting_v57_Testversion_20100728_Erfassungstemplate_Financial_Markets_v05 2" xfId="553" xr:uid="{6AC1BB23-CFC6-4CD7-9D45-538B3024E515}"/>
    <cellStyle name="1_DIVISION_Products_20100505_Segmentreporting_v57_Testversion_20100728_Erfassungstemplate_Financial_Markets_v07" xfId="554" xr:uid="{48D1E97C-E7FF-40E6-B0FD-1FBC8653584B}"/>
    <cellStyle name="1_DIVISION_Products_20100505_Segmentreporting_v57_Testversion_20100728_Erfassungstemplate_Financial_Markets_v07 2" xfId="555" xr:uid="{263056DB-D2EF-4743-A922-CE5FFCC6C8F6}"/>
    <cellStyle name="1_DIVISION_Products_20100505_Segmentreporting_v57_Testversion_20100806 Management Reporting - Business Review v100413a TESTVERSION" xfId="556" xr:uid="{4F34AA61-8166-4D95-9BAF-2FEF11327593}"/>
    <cellStyle name="1_DIVISION_Products_20100505_Segmentreporting_v57_Testversion_20101119_Segmentreporting_v78_Testversion" xfId="557" xr:uid="{8A6A6A7F-D3C7-4061-A04D-CC07093D2112}"/>
    <cellStyle name="1_DIVISION_Products_20100505_Segmentreporting_v57_Testversion_20101206 KPIs 2011" xfId="558" xr:uid="{DD2B6797-FFB8-4189-81CE-65DD825056C5}"/>
    <cellStyle name="1_DIVISION_Products_20100505_Segmentreporting_v57_Testversion_20110103 Management Reporting Details Business Review" xfId="559" xr:uid="{14EA4FD5-02EE-4AE1-818E-DD12D7E47171}"/>
    <cellStyle name="1_DIVISION_Products_20100505_Segmentreporting_v57_Testversion_20121227 BP_2013_Ertragsplanung_TOTAL_MON_v00_COMMERCIAL_für MH" xfId="560" xr:uid="{0473DB77-FBD1-4DC1-988F-AC37A22B6377}"/>
    <cellStyle name="1_DIVISION_Products_20100505_Segmentreporting_v57_Testversion_BP_2011_Ertragsplanung_Total_v00" xfId="561" xr:uid="{53A7BBB9-31B4-49E3-9EE6-039E23D65464}"/>
    <cellStyle name="1_DIVISION_Products_20100505_Segmentreporting_v57_Testversion_BP_2011_Ertragsplanung_Total_v01" xfId="562" xr:uid="{7A362339-759C-4D71-9DED-78B0DF882CDD}"/>
    <cellStyle name="1_DIVISION_Products_20100505_Segmentreporting_v57_Testversion_BP_2011_Investment Books_CR" xfId="563" xr:uid="{B4AFF682-38E6-4785-87B0-30CBE9F8FAFA}"/>
    <cellStyle name="1_DIVISION_Products_20100505_Segmentreporting_v57_Testversion_BP_2011_Investment Books_CR 2" xfId="564" xr:uid="{33BC814C-61E2-4764-8539-AD9F5B9774C0}"/>
    <cellStyle name="1_DIVISION_Products_20100505_Segmentreporting_v57_Testversion_BP_2011_Investment Books_CR_2 libor" xfId="565" xr:uid="{56C2913B-E2A9-4C07-BC4E-F57BB7611E95}"/>
    <cellStyle name="1_DIVISION_Products_20100505_Segmentreporting_v57_Testversion_BP_2011_Investment Books_CR_2 libor 2" xfId="566" xr:uid="{D7DABA8D-56D0-4F6E-AB47-CBCDA358095C}"/>
    <cellStyle name="1_DIVISION_Products_20100505_Segmentreporting_v57_Testversion_BP_2011_Investment Books_CR_3 equity" xfId="567" xr:uid="{5E75CA00-52DA-46AE-BA8B-26495DAD7965}"/>
    <cellStyle name="1_DIVISION_Products_20100505_Segmentreporting_v57_Testversion_BP_2011_Investment Books_CR_3 equity 2" xfId="568" xr:uid="{3B0ECEB5-C11F-4123-BC40-EF2043A631CC}"/>
    <cellStyle name="1_DIVISION_Products_20100505_Segmentreporting_v57_Testversion_BP_2011_Investment Books_CR_4 mismatch sov" xfId="569" xr:uid="{6C2C7972-6126-4E98-99A7-6E603319EFE1}"/>
    <cellStyle name="1_DIVISION_Products_20100505_Segmentreporting_v57_Testversion_BP_2011_Investment Books_CR_4 mismatch sov 2" xfId="570" xr:uid="{B64EC151-6968-4CAA-B886-C96002D2BFF5}"/>
    <cellStyle name="1_DIVISION_Products_20100505_Segmentreporting_v57_Testversion_BP_2011_Investment Books_CR_5_b" xfId="571" xr:uid="{6995FC9A-7AE1-444D-8D48-B232730CD449}"/>
    <cellStyle name="1_DIVISION_Products_20100505_Segmentreporting_v57_Testversion_BP_2011_Investment Books_CR_5_b 2" xfId="572" xr:uid="{8ED6481C-6338-4377-89A9-B2CACFA7464E}"/>
    <cellStyle name="1_DIVISION_Products_20100505_Segmentreporting_v57_Testversion_BP_2011_Investment Books_CR_6" xfId="573" xr:uid="{27749070-6AAC-49A1-9480-6785B47595BF}"/>
    <cellStyle name="1_DIVISION_Products_20100505_Segmentreporting_v57_Testversion_BP_2011_Investment Books_CR_6 2" xfId="574" xr:uid="{D72B9C0A-84F0-4B01-AE29-9E8134D177FD}"/>
    <cellStyle name="1_DIVISION_Products_20100505_Segmentreporting_v57_Testversion_BP_2011_Investment Books_CR_7" xfId="575" xr:uid="{97EBE03E-68C7-4E98-9771-6A3E96D87374}"/>
    <cellStyle name="1_DIVISION_Products_20100505_Segmentreporting_v57_Testversion_BP_2011_Investment Books_CR_7 2" xfId="576" xr:uid="{3A785466-E48B-456F-AB47-48223BFDC159}"/>
    <cellStyle name="1_DIVISION_Products_20100505_Segmentreporting_v57_Testversion_BP_2011_Investment Books_CR_8" xfId="577" xr:uid="{ED169684-6880-4A1A-8C2E-D84A3E09790D}"/>
    <cellStyle name="1_DIVISION_Products_20100505_Segmentreporting_v57_Testversion_BP_2011_Investment Books_CR_8 2" xfId="578" xr:uid="{78642A76-9254-40E6-A820-521CC046721D}"/>
    <cellStyle name="1_DIVISION_Products_20100505_Segmentreporting_v57_Testversion_BP_2012_Ertragsplanung_Total_v00" xfId="579" xr:uid="{9FC8EB57-FCAA-4808-9B39-D4938F6AC388}"/>
    <cellStyle name="1_DIVISION_Products_20100505_Segmentreporting_v57_Testversion_BP_2012_Ertragsplanung_Total_v03" xfId="580" xr:uid="{3256CF7F-39CC-4C02-9401-D7DE4D4FDB66}"/>
    <cellStyle name="1_DIVISION_Products_20100505_Segmentreporting_v57_Testversion_BP_2012_Ertragsplanung_Total_v07" xfId="581" xr:uid="{7E49D654-7454-44E7-91BE-20653B943D1A}"/>
    <cellStyle name="1_DIVISION_Products_20100505_Segmentreporting_v57_Testversion_BP_2012_Ertragsplanung_Total_v10" xfId="582" xr:uid="{2A3C3B04-A186-4AF5-A20C-CEC29B26227E}"/>
    <cellStyle name="1_DIVISION_Products_20100505_Segmentreporting_v57_Testversion_BP_2012_LLP_KR" xfId="583" xr:uid="{DECEDCF1-9812-4C86-A834-A1444EA6C0C2}"/>
    <cellStyle name="1_DIVISION_Products_20100505_Segmentreporting_v57_Testversion_BP_2013_Ertragsplanung_TOTAL_MON_v00_COMMERCIAL" xfId="584" xr:uid="{A51271BB-E34E-446F-B88D-2870F2430D19}"/>
    <cellStyle name="1_DIVISION_Products_20100505_Segmentreporting_v57_Testversion_BP_2013_Ertragsplanung_TOTAL_MON_v00_COMMERCIAL_für MH" xfId="585" xr:uid="{D809C9F8-0D0E-4FD9-BBC3-F7B038EF2E44}"/>
    <cellStyle name="1_DIVISION_Products_20100505_Segmentreporting_v57_Testversion_BP_2013_Ertragsplanung_TOTAL_MON_v00_INT_COMMERCIAL_für AW" xfId="586" xr:uid="{7A55973B-1D00-4089-991D-306D4ACE6069}"/>
    <cellStyle name="1_DIVISION_Products_20100505_Segmentreporting_v57_Testversion_LLP_KR" xfId="587" xr:uid="{A70285FD-F988-49CC-AC1B-6079A1D317FC}"/>
    <cellStyle name="1_DIVISION_Products_20100505_Segmentreporting_v57d" xfId="588" xr:uid="{B2A6C6E1-3DA2-49B6-BD3B-2ADB00631441}"/>
    <cellStyle name="1_DIVISION_Products_20100505_Segmentreporting_v57d_20100623 Management Reporting - Business Review v100413a" xfId="589" xr:uid="{8A8F0DD7-5DF3-456F-89EC-A88784B1337A}"/>
    <cellStyle name="1_DIVISION_Products_20100505_Segmentreporting_v57d_20100726 Management Reporting - Business Review v100413a" xfId="590" xr:uid="{508D1C87-E6F3-4903-AC3F-9315842C1F70}"/>
    <cellStyle name="1_DIVISION_Products_20100505_Segmentreporting_v57d_20100727 Management Reporting - Business Review v100413a" xfId="591" xr:uid="{966DF9DA-C292-4A46-99CE-E1BA16EFD410}"/>
    <cellStyle name="1_DIVISION_Products_20100505_Segmentreporting_v57d_20100727 Management Reporting - Business Review v100413a TEST" xfId="592" xr:uid="{015F4262-86B6-45FD-AF38-6B6ABC9AAB56}"/>
    <cellStyle name="1_DIVISION_Products_20100505_Segmentreporting_v57d_20100806 Management Reporting - Business Review v100413a TESTVERSION" xfId="593" xr:uid="{63A8C721-8695-42E6-AF5F-87E366E0FBFE}"/>
    <cellStyle name="1_DIVISION_Products_20100505_Segmentreporting_v57d_20101119_Segmentreporting_v78_Testversion" xfId="594" xr:uid="{6F89542A-F398-47AD-8625-B81584E9B8C1}"/>
    <cellStyle name="1_DIVISION_Products_20100505_Segmentreporting_v57d_20101206 KPIs 2011" xfId="595" xr:uid="{DEC015BD-FE2A-41E2-B543-BDCC628518DE}"/>
    <cellStyle name="1_DIVISION_Products_20100505_Segmentreporting_v57d_20110103 Management Reporting Details Business Review" xfId="596" xr:uid="{378D80BA-8109-48B9-877A-D910A952E23B}"/>
    <cellStyle name="1_DIVISION_Products_20100602_Segmentreporting_v61" xfId="597" xr:uid="{C59B6C2A-2CF2-414D-A255-996DE52BF72B}"/>
    <cellStyle name="1_DIVISION_Products_20100602_Segmentreporting_v61_20100623 Management Reporting - Business Review v100413a" xfId="598" xr:uid="{A502F5D0-5D88-46EE-8303-D6D82D6304E5}"/>
    <cellStyle name="1_DIVISION_Products_20100602_Segmentreporting_v61_20100726 Management Reporting - Business Review v100413a" xfId="599" xr:uid="{B591AE99-5B4C-499F-85C0-80C971FBD1AB}"/>
    <cellStyle name="1_DIVISION_Products_20100602_Segmentreporting_v61_20100727 Management Reporting - Business Review v100413a" xfId="600" xr:uid="{C7836A67-A311-4650-883C-0B1B3363DBEC}"/>
    <cellStyle name="1_DIVISION_Products_20100602_Segmentreporting_v61_20100727 Management Reporting - Business Review v100413a TEST" xfId="601" xr:uid="{0550B03C-3105-4351-9869-DDBDCD444EFE}"/>
    <cellStyle name="1_DIVISION_Products_20100602_Segmentreporting_v61_20100806 Management Reporting - Business Review v100413a TESTVERSION" xfId="602" xr:uid="{23A14A7C-DE43-406D-842F-053EF8D7FD90}"/>
    <cellStyle name="1_DIVISION_Products_20100602_Segmentreporting_v61_20101119_Segmentreporting_v78_Testversion" xfId="603" xr:uid="{6BB133F3-2B8A-4858-9FDC-8D8751362622}"/>
    <cellStyle name="1_DIVISION_Products_20100602_Segmentreporting_v61_20101206 KPIs 2011" xfId="604" xr:uid="{5370B723-85CD-48F4-B8E7-C23D75651418}"/>
    <cellStyle name="1_DIVISION_Products_20100602_Segmentreporting_v61_20110103 Management Reporting Details Business Review" xfId="605" xr:uid="{889070E9-C03F-4361-BCDC-EF66D501ED0A}"/>
    <cellStyle name="1_DIVISION_Products_20100607_Segmentreporting_v62" xfId="606" xr:uid="{088456F5-562E-4A21-81C5-6DE74A0235E9}"/>
    <cellStyle name="1_DIVISION_Products_20100607_Segmentreporting_v62_20100623 Management Reporting - Business Review v100413a" xfId="607" xr:uid="{9061451E-0A8D-42E5-91FD-9F1433F746F3}"/>
    <cellStyle name="1_DIVISION_Products_20100607_Segmentreporting_v62_20100726 Management Reporting - Business Review v100413a" xfId="608" xr:uid="{13C69015-79FB-456C-A787-0693E24C5524}"/>
    <cellStyle name="1_DIVISION_Products_20100607_Segmentreporting_v62_20100727 Management Reporting - Business Review v100413a" xfId="609" xr:uid="{010814CC-B920-4F5D-A26F-28E40B4F032D}"/>
    <cellStyle name="1_DIVISION_Products_20100607_Segmentreporting_v62_20100727 Management Reporting - Business Review v100413a TEST" xfId="610" xr:uid="{9BCB4C0E-E94A-4262-A895-8FE3FBD4E4F6}"/>
    <cellStyle name="1_DIVISION_Products_20100607_Segmentreporting_v62_20100806 Management Reporting - Business Review v100413a TESTVERSION" xfId="611" xr:uid="{42EE8306-5172-4692-BA9B-ADEDC2D8F764}"/>
    <cellStyle name="1_DIVISION_Products_20100607_Segmentreporting_v62_20101119_Segmentreporting_v78_Testversion" xfId="612" xr:uid="{AC3B3F9A-80C2-4666-A4B1-8C454D083EF8}"/>
    <cellStyle name="1_DIVISION_Products_20100607_Segmentreporting_v62_20101206 KPIs 2011" xfId="613" xr:uid="{2A8F9BC2-CC9D-42BF-9FEA-D49F906DA326}"/>
    <cellStyle name="1_DIVISION_Products_20100607_Segmentreporting_v62_20110103 Management Reporting Details Business Review" xfId="614" xr:uid="{72D46738-69CF-458A-B908-08FC06CFA95B}"/>
    <cellStyle name="1_DIVISION_Products_20100614_Segmentreporting_v68" xfId="615" xr:uid="{2A35A1B6-01F1-41E5-9B19-1D7F86C3D20D}"/>
    <cellStyle name="1_DIVISION_Products_20100614_Segmentreporting_v68_20100623 Management Reporting - Business Review v100413a" xfId="616" xr:uid="{41FF44EC-FBE5-4B27-9EF3-65184BE3EBD6}"/>
    <cellStyle name="1_DIVISION_Products_20100614_Segmentreporting_v68_20100726 Management Reporting - Business Review v100413a" xfId="617" xr:uid="{2EE38EEE-302A-4B6F-9A16-46938B439625}"/>
    <cellStyle name="1_DIVISION_Products_20100614_Segmentreporting_v68_20100727 Management Reporting - Business Review v100413a" xfId="618" xr:uid="{1516CC15-0CE6-4026-8D62-82F2575610EE}"/>
    <cellStyle name="1_DIVISION_Products_20100614_Segmentreporting_v68_20100727 Management Reporting - Business Review v100413a TEST" xfId="619" xr:uid="{83E35D05-37C6-4D6E-BE8E-841D28F8CA25}"/>
    <cellStyle name="1_DIVISION_Products_20100614_Segmentreporting_v68_20100806 Management Reporting - Business Review v100413a TESTVERSION" xfId="620" xr:uid="{6718DAF5-7CC9-41BB-A916-F047F37D1AD3}"/>
    <cellStyle name="1_DIVISION_Products_20100614_Segmentreporting_v68_20101119_Segmentreporting_v78_Testversion" xfId="621" xr:uid="{7E067D2C-C184-4488-B696-FB9818682C8C}"/>
    <cellStyle name="1_DIVISION_Products_20100614_Segmentreporting_v68_20101206 KPIs 2011" xfId="622" xr:uid="{8F3944DE-E462-453C-A6C8-85E70B999682}"/>
    <cellStyle name="1_DIVISION_Products_20100614_Segmentreporting_v68_20110103 Management Reporting Details Business Review" xfId="623" xr:uid="{0D889440-738A-4F6F-BCF2-1FED0E38566F}"/>
    <cellStyle name="1_DIVISION_Products_20100614_Segmentreporting_v70_Testversion" xfId="624" xr:uid="{19587065-5E8B-42AC-9F29-B8AB6FFC2EC1}"/>
    <cellStyle name="1_DIVISION_Products_20100615_Erfassungstemplate_Ertragsplanung_Retail_v05_kuen" xfId="625" xr:uid="{5DADEAC5-428F-432E-9826-6E91ECD2F21A}"/>
    <cellStyle name="1_DIVISION_Products_20100615_Erfassungstemplate_Ertragsplanung_Retail_v05_kuen 2" xfId="626" xr:uid="{93B7F2FF-1DA9-4F95-9D66-B00C46AEF77A}"/>
    <cellStyle name="1_DIVISION_Products_20100615_Erfassungstemplate_Ertragsplanung_Retail_v08" xfId="627" xr:uid="{F945B195-61DD-41D0-B1E7-018E4D24A650}"/>
    <cellStyle name="1_DIVISION_Products_20100615_Erfassungstemplate_Ertragsplanung_Retail_v08 2" xfId="628" xr:uid="{18684C5E-C100-478C-BA14-7CCC26A28003}"/>
    <cellStyle name="1_DIVISION_Products_20100623 Management Reporting - Business Review v100413a" xfId="629" xr:uid="{FE6870D1-B666-428D-BBFC-6F652DD4B01C}"/>
    <cellStyle name="1_DIVISION_Products_20100630_Erfassungstemplate_Financial_Markets_v04" xfId="630" xr:uid="{ED88813F-0370-40D1-AB60-22D17F3A245D}"/>
    <cellStyle name="1_DIVISION_Products_20100630_Erfassungstemplate_Financial_Markets_v04 2" xfId="631" xr:uid="{F4DBBC69-B637-440C-A114-6655D9D1895A}"/>
    <cellStyle name="1_DIVISION_Products_20100701_Erfassungstemplate_Ertragsplanung_Retail_v11" xfId="632" xr:uid="{5215AB83-4CE6-4BFE-9113-A84CA374AE09}"/>
    <cellStyle name="1_DIVISION_Products_20100701_Erfassungstemplate_Ertragsplanung_Retail_v11 2" xfId="633" xr:uid="{9E21E2FE-299F-4615-BF30-B380EEC28FAE}"/>
    <cellStyle name="1_DIVISION_Products_20100702_Erfassungstemplate_Ertragsplanung_Retail_v15" xfId="634" xr:uid="{6D3319A2-EE91-491A-B74B-E9CBD111D432}"/>
    <cellStyle name="1_DIVISION_Products_20100702_Erfassungstemplate_Ertragsplanung_Retail_v15 2" xfId="635" xr:uid="{3B53C860-918B-451D-8BC9-BBA5651052EF}"/>
    <cellStyle name="1_DIVISION_Products_20100702_Erfassungstemplate_Ertragsplanung_Retail_v16" xfId="636" xr:uid="{7146FE1E-FAAA-41A7-829B-8A66AB7E45C7}"/>
    <cellStyle name="1_DIVISION_Products_20100702_Erfassungstemplate_Ertragsplanung_Retail_v16 2" xfId="637" xr:uid="{ABE50938-6CAF-4A60-B661-250BF2CA7CAF}"/>
    <cellStyle name="1_DIVISION_Products_20100702_Erfassungstemplate_Ertragsplanung_Retail_v22" xfId="638" xr:uid="{B5EC0511-13BE-4FDF-AE07-CCE5B94DF26C}"/>
    <cellStyle name="1_DIVISION_Products_20100702_Erfassungstemplate_Ertragsplanung_Retail_v22 2" xfId="639" xr:uid="{D1CD8EA8-04F2-4CA8-A851-987B5FD6B7D3}"/>
    <cellStyle name="1_DIVISION_Products_20100702_Erfassungstemplate_Ertragsplanung_Retail_v23" xfId="640" xr:uid="{2AAE4965-F858-4D48-91C7-041B86188243}"/>
    <cellStyle name="1_DIVISION_Products_20100702_Erfassungstemplate_Ertragsplanung_Retail_v23 2" xfId="641" xr:uid="{C9D76E87-9355-477E-8A49-7E1EC5778BAF}"/>
    <cellStyle name="1_DIVISION_Products_20100713_Erfassungstemplate_Ertragsplanung_Retail_v26" xfId="642" xr:uid="{DD3E443E-5F94-4ABB-ABCD-394654744C25}"/>
    <cellStyle name="1_DIVISION_Products_20100713_Erfassungstemplate_Ertragsplanung_Retail_v26 2" xfId="643" xr:uid="{3AAD24F4-EFEA-4F8D-83D3-4065A88A8AAF}"/>
    <cellStyle name="1_DIVISION_Products_20100713_Segmentreporting_v72" xfId="644" xr:uid="{1F27A040-AB81-4F8D-83F1-75C62EA6E107}"/>
    <cellStyle name="1_DIVISION_Products_20100714_Segmentreporting_v73" xfId="645" xr:uid="{D0DEF0AE-5B2D-4F56-BEB8-E5A9FDC9E5BC}"/>
    <cellStyle name="1_DIVISION_Products_20100714_Segmentreporting_v74" xfId="646" xr:uid="{1A6FC34B-3B9F-4BA2-8B3C-47B5F419CE2E}"/>
    <cellStyle name="1_DIVISION_Products_20100718_Erfassungstemplate_Ertragsplanung_Retail_v29" xfId="647" xr:uid="{30084A98-DD48-4668-B9FF-49E45988412F}"/>
    <cellStyle name="1_DIVISION_Products_20100718_Erfassungstemplate_Ertragsplanung_Retail_v29 2" xfId="648" xr:uid="{FDAD0807-B2A0-4729-855B-32BC7117A5E6}"/>
    <cellStyle name="1_DIVISION_Products_20100719_Segmentreporting_v75" xfId="649" xr:uid="{F823DC70-758D-4F5F-AF95-65D35BC67990}"/>
    <cellStyle name="1_DIVISION_Products_20100719_Segmentreporting_v75_Testversion" xfId="650" xr:uid="{466C6857-606B-4C44-AD43-7AB52D29708B}"/>
    <cellStyle name="1_DIVISION_Products_20100720_Erfassungstemplate_LLP_00_draft" xfId="651" xr:uid="{14E74877-1C30-4837-BB36-DF4F8273D4AF}"/>
    <cellStyle name="1_DIVISION_Products_20100720_Segmentreporting_v76_Testversion" xfId="652" xr:uid="{20A9A076-7902-4767-ADF6-FFFB87435B29}"/>
    <cellStyle name="1_DIVISION_Products_20100726 Management Reporting - Business Review v100413a" xfId="653" xr:uid="{C68F7783-72BD-4A47-A572-9383003162ED}"/>
    <cellStyle name="1_DIVISION_Products_20100727 Management Reporting - Business Review v100413a" xfId="654" xr:uid="{6E86499C-313C-4374-9235-499B47417FAB}"/>
    <cellStyle name="1_DIVISION_Products_20100727 Management Reporting - Business Review v100413a TEST" xfId="655" xr:uid="{C9B81116-528D-4831-A38F-983D42AABA10}"/>
    <cellStyle name="1_DIVISION_Products_20100728_Erfassungstemplate_Ertragsplanung_Retail_v44" xfId="656" xr:uid="{C1533EBC-522B-427B-8656-4F188E20387C}"/>
    <cellStyle name="1_DIVISION_Products_20100728_Erfassungstemplate_Ertragsplanung_Retail_v44 2" xfId="657" xr:uid="{0D220B6C-880A-4EA9-B07E-1300B45B66C7}"/>
    <cellStyle name="1_DIVISION_Products_20100728_Erfassungstemplate_Financial_Markets_v05" xfId="658" xr:uid="{01124913-6AD2-4EAC-99B5-3B14DE165C91}"/>
    <cellStyle name="1_DIVISION_Products_20100728_Erfassungstemplate_Financial_Markets_v05 2" xfId="659" xr:uid="{E00261FF-FBE6-4AAC-8CA5-AFC04B9F0118}"/>
    <cellStyle name="1_DIVISION_Products_20100728_Erfassungstemplate_Financial_Markets_v07" xfId="660" xr:uid="{10CE3D75-9C70-4A8F-8C1B-199573A5C403}"/>
    <cellStyle name="1_DIVISION_Products_20100728_Erfassungstemplate_Financial_Markets_v07 2" xfId="661" xr:uid="{D6B7F6B9-41C2-4F02-A6E0-BBEFED9481F8}"/>
    <cellStyle name="1_DIVISION_Products_20100806 Management Reporting - Business Review v100413a TESTVERSION" xfId="662" xr:uid="{B7B366AF-4F21-4CF9-AF7D-7D91BCFE3928}"/>
    <cellStyle name="1_DIVISION_Products_20101012_Segmentreporting_v77_Testversion" xfId="663" xr:uid="{B2C4B2CC-32A4-47D6-9151-35A968763B56}"/>
    <cellStyle name="1_DIVISION_Products_20101119_Segmentreporting_v78_Testversion" xfId="664" xr:uid="{03998D64-EC1A-4DA7-B47F-14E490025DAF}"/>
    <cellStyle name="1_DIVISION_Products_20101206 KPIs 2011" xfId="665" xr:uid="{0C55447C-B802-470C-A172-B8600D360FEE}"/>
    <cellStyle name="1_DIVISION_Products_2010301 KPIs 2011" xfId="666" xr:uid="{CEB3CFFC-E3C9-48D3-B2D7-718CD573BE2B}"/>
    <cellStyle name="1_DIVISION_Products_2011_Segmentreporting_v79_Testversion" xfId="667" xr:uid="{42AC07E3-23E7-4F3B-BEA0-7E1803912E86}"/>
    <cellStyle name="1_DIVISION_Products_2011_Segmentreporting_v79_Testversion_01" xfId="668" xr:uid="{894EF7C8-11CE-4BEF-9D65-AC70A17E55FA}"/>
    <cellStyle name="1_DIVISION_Products_20110103 Management Reporting Details Business Review" xfId="669" xr:uid="{965B0DD8-C11E-43B7-90E6-35C4F3C6BF74}"/>
    <cellStyle name="1_DIVISION_Products_20110215_Segmentreporting_v79_Testversion_x" xfId="670" xr:uid="{48CE1836-5D15-448D-9D31-0B63315E3B6E}"/>
    <cellStyle name="1_DIVISION_Products_20110307 Master Management Reporting 1.0_v6 Excerpt Businesses" xfId="671" xr:uid="{0D68A6D7-BAA7-4E5C-8133-AC48F80DA782}"/>
    <cellStyle name="1_DIVISION_Products_20110419_Business_Performance_Report_v11_RSC" xfId="672" xr:uid="{451091E9-5395-4B70-869D-AD6066D30E70}"/>
    <cellStyle name="1_DIVISION_Products_20121227 BP_2013_Ertragsplanung_TOTAL_MON_v00_COMMERCIAL_für MH" xfId="673" xr:uid="{964EFE63-A5DC-4EBE-88C4-5EF822DEFDF0}"/>
    <cellStyle name="1_DIVISION_Products_BP_2011_Ertragsplanung_Total_v00" xfId="674" xr:uid="{79A45E34-596C-48DA-8C52-FCB3B175479D}"/>
    <cellStyle name="1_DIVISION_Products_BP_2011_Ertragsplanung_Total_v01" xfId="675" xr:uid="{6BCF378C-BE9C-4A1F-98E4-94E3CDAED103}"/>
    <cellStyle name="1_DIVISION_Products_BP_2011_Investment Books_CR" xfId="676" xr:uid="{931B05B8-4DEB-47B0-8751-87470CB47C11}"/>
    <cellStyle name="1_DIVISION_Products_BP_2011_Investment Books_CR 2" xfId="677" xr:uid="{BDAB579E-B3A2-40F9-B29B-5B88C39FC902}"/>
    <cellStyle name="1_DIVISION_Products_BP_2011_Investment Books_CR_2 libor" xfId="678" xr:uid="{DF29AD58-2AE2-40EE-89EF-28B556648926}"/>
    <cellStyle name="1_DIVISION_Products_BP_2011_Investment Books_CR_2 libor 2" xfId="679" xr:uid="{9148D1F1-2287-4E69-B2C4-18860713666F}"/>
    <cellStyle name="1_DIVISION_Products_BP_2011_Investment Books_CR_3 equity" xfId="680" xr:uid="{81E6A801-FA2E-4603-8880-19936815FB84}"/>
    <cellStyle name="1_DIVISION_Products_BP_2011_Investment Books_CR_3 equity 2" xfId="681" xr:uid="{342BCDAC-E839-4441-8FCA-189668C8D33F}"/>
    <cellStyle name="1_DIVISION_Products_BP_2011_Investment Books_CR_4 mismatch sov" xfId="682" xr:uid="{F6C73020-BC07-45D9-A2A2-BB9FA76FF5D1}"/>
    <cellStyle name="1_DIVISION_Products_BP_2011_Investment Books_CR_4 mismatch sov 2" xfId="683" xr:uid="{B373D588-0BA3-4B68-A536-6E1E0B823B1A}"/>
    <cellStyle name="1_DIVISION_Products_BP_2011_Investment Books_CR_5_b" xfId="684" xr:uid="{3DFD5103-5066-49CE-A1D4-F80F82EE3625}"/>
    <cellStyle name="1_DIVISION_Products_BP_2011_Investment Books_CR_5_b 2" xfId="685" xr:uid="{527669C0-9512-47CF-967B-B280DB5670BF}"/>
    <cellStyle name="1_DIVISION_Products_BP_2011_Investment Books_CR_6" xfId="686" xr:uid="{A228AB26-18FF-47F6-9FE1-252666187566}"/>
    <cellStyle name="1_DIVISION_Products_BP_2011_Investment Books_CR_6 2" xfId="687" xr:uid="{6FFB90E0-37B4-4005-8586-DC8F0581FD3F}"/>
    <cellStyle name="1_DIVISION_Products_BP_2011_Investment Books_CR_7" xfId="688" xr:uid="{F0AA54E7-310C-41D2-87C0-F50264142AF4}"/>
    <cellStyle name="1_DIVISION_Products_BP_2011_Investment Books_CR_7 2" xfId="689" xr:uid="{73E9E915-0D6E-4E2F-806D-43B84BEBD6E7}"/>
    <cellStyle name="1_DIVISION_Products_BP_2011_Investment Books_CR_8" xfId="690" xr:uid="{48BB6E5A-AE2B-4ECA-9943-8318328C4427}"/>
    <cellStyle name="1_DIVISION_Products_BP_2011_Investment Books_CR_8 2" xfId="691" xr:uid="{A219E33C-0B04-4CF1-A7BA-CDC0CAE068EE}"/>
    <cellStyle name="1_DIVISION_Products_BP_2012_Ertragsplanung_Total_v00" xfId="692" xr:uid="{4405B5B3-E901-4F89-89BE-02C1C3C4DAA3}"/>
    <cellStyle name="1_DIVISION_Products_BP_2012_Ertragsplanung_Total_v03" xfId="693" xr:uid="{B818302E-247A-4B1A-BD92-BEB597080032}"/>
    <cellStyle name="1_DIVISION_Products_BP_2012_Ertragsplanung_Total_v07" xfId="694" xr:uid="{E7C02C9B-AAA0-4B90-87A7-71E7D9E90556}"/>
    <cellStyle name="1_DIVISION_Products_BP_2012_Ertragsplanung_Total_v10" xfId="695" xr:uid="{007FB1D8-037F-4712-81E5-8A70051ABD85}"/>
    <cellStyle name="1_DIVISION_Products_BP_2012_LLP_KR" xfId="696" xr:uid="{7AB7B3FB-76ED-49B3-9293-80983685BDAA}"/>
    <cellStyle name="1_DIVISION_Products_BP_2013_Ertragsplanung_TOTAL_MON_v00_COMMERCIAL" xfId="697" xr:uid="{0298F3E3-43DD-4E57-AE34-292F1E343881}"/>
    <cellStyle name="1_DIVISION_Products_BP_2013_Ertragsplanung_TOTAL_MON_v00_COMMERCIAL_für MH" xfId="698" xr:uid="{611D2630-4651-4653-9514-CFCB6DDF8B4A}"/>
    <cellStyle name="1_DIVISION_Products_BP_2013_Ertragsplanung_TOTAL_MON_v00_INT_COMMERCIAL_für AW" xfId="699" xr:uid="{03BEB8F3-6237-44FF-B4D3-92A557B7E232}"/>
    <cellStyle name="1_DIVISION_Products_Division Summary  PCR" xfId="700" xr:uid="{308264DD-EF3C-4F15-A584-C53190E2D51A}"/>
    <cellStyle name="1_DIVISION_Products_Key-P-FM" xfId="701" xr:uid="{9F7EE6D2-5E9A-4797-874F-106904482926}"/>
    <cellStyle name="1_DIVISION_Products_Key-P-Retail" xfId="702" xr:uid="{008C8448-2D07-44B7-BFBC-6DCEAB1E7059}"/>
    <cellStyle name="1_DIVISION_Products_Kopie von 20100608_Segmentreporting_v65" xfId="703" xr:uid="{267A0545-33DE-4D26-AA3D-FA11CE412750}"/>
    <cellStyle name="1_DIVISION_Products_Kopie von 20100608_Segmentreporting_v65_20100623 Management Reporting - Business Review v100413a" xfId="704" xr:uid="{8C3A48F7-AD73-4CC6-BCFE-C633111B7EDE}"/>
    <cellStyle name="1_DIVISION_Products_Kopie von 20100608_Segmentreporting_v65_20100726 Management Reporting - Business Review v100413a" xfId="705" xr:uid="{0D1A64DD-E12A-460C-B8B3-C254274A5F17}"/>
    <cellStyle name="1_DIVISION_Products_Kopie von 20100608_Segmentreporting_v65_20100727 Management Reporting - Business Review v100413a" xfId="706" xr:uid="{EC13011B-E95D-4FC7-9689-10E1EF0B911C}"/>
    <cellStyle name="1_DIVISION_Products_Kopie von 20100608_Segmentreporting_v65_20100727 Management Reporting - Business Review v100413a TEST" xfId="707" xr:uid="{43D917C7-3E09-4E78-A8F5-8F61A7E9D436}"/>
    <cellStyle name="1_DIVISION_Products_Kopie von 20100608_Segmentreporting_v65_20100806 Management Reporting - Business Review v100413a TESTVERSION" xfId="708" xr:uid="{DF5793B3-7EC0-41F7-92BD-4F9663D09D53}"/>
    <cellStyle name="1_DIVISION_Products_Kopie von 20100608_Segmentreporting_v65_20101119_Segmentreporting_v78_Testversion" xfId="709" xr:uid="{F0311CB6-818A-4A61-9DA4-3F75C50B25A0}"/>
    <cellStyle name="1_DIVISION_Products_Kopie von 20100608_Segmentreporting_v65_20101206 KPIs 2011" xfId="710" xr:uid="{0066C5CE-D719-42E0-9FC3-8F697E75F087}"/>
    <cellStyle name="1_DIVISION_Products_Kopie von 20100608_Segmentreporting_v65_20110103 Management Reporting Details Business Review" xfId="711" xr:uid="{E6BAB4C0-8167-42EB-8629-71F9F7271B9C}"/>
    <cellStyle name="1_DIVISION_Products_LLP_KR" xfId="712" xr:uid="{FF93568A-B68E-4BED-8272-BD68FFB60E2C}"/>
    <cellStyle name="1_DIVISION_Products_New Network Strategy" xfId="713" xr:uid="{57C1FB47-0ACD-492A-A56F-A465C61F7B88}"/>
    <cellStyle name="1_DIVISION_Products_Sales Funnel" xfId="714" xr:uid="{65A54A1E-9D0E-4A30-A79B-1AAC6003CD96}"/>
    <cellStyle name="1_DIVISION_Products_Testversion von 2011_Segmentreporting_v79_Testversion" xfId="715" xr:uid="{D283995F-2674-4BE7-806F-41C28F82AFE3}"/>
    <cellStyle name="1_Excel Basistabellen und Graphiken_IFRS_102010 2.0" xfId="716" xr:uid="{7E578880-EB27-482E-8E42-026BDFA594F7}"/>
    <cellStyle name="1_Excel Basistabellen und Graphiken_IFRS_102010 2.0_~3174756" xfId="717" xr:uid="{577935C9-1F8A-44C5-956C-290CE832F6EF}"/>
    <cellStyle name="1_Excel Basistabellen und Graphiken_IFRS_102010 2.0_03 2011 Business Development" xfId="718" xr:uid="{30D696BE-9C8C-4519-B73A-5EDF2AACC2DE}"/>
    <cellStyle name="1_Excel Basistabellen und Graphiken_IFRS_102010 2.0_03 2011 Business Development_Derivatives" xfId="719" xr:uid="{782C690F-AB86-4BD4-BD69-5D832410D6DA}"/>
    <cellStyle name="1_Excel Basistabellen und Graphiken_IFRS_102010 2.0_2011_Segmentreporting_v79_Testversion" xfId="720" xr:uid="{EB6081EC-169F-47C7-AC55-3FEDC1F1ED79}"/>
    <cellStyle name="1_Excel Basistabellen und Graphiken_IFRS_102010 2.0_20110419_Business_Performance_Report_v11" xfId="721" xr:uid="{60A11268-9950-4867-95F5-26AC49BDD207}"/>
    <cellStyle name="1_Excel Basistabellen und Graphiken_IFRS_102010 2.0_Derivatives" xfId="722" xr:uid="{8F1A00C2-169E-4B72-BD68-829FB352A001}"/>
    <cellStyle name="1_KONZERN_121203" xfId="723" xr:uid="{061E776A-5938-4562-B38F-73BA18E04735}"/>
    <cellStyle name="1_KONZERN_121203_BOLERO_2012-12-03_V2" xfId="724" xr:uid="{BDB9FE28-327D-4FB2-A629-F33E4C1F1723}"/>
    <cellStyle name="1_LLP_KR" xfId="725" xr:uid="{0500D232-D046-4D80-AE56-1120074230A8}"/>
    <cellStyle name="1_Mappe6" xfId="726" xr:uid="{B3780BD7-3DF8-4187-9947-CC00F572C40E}"/>
    <cellStyle name="1_Mappe6_BOLERO_2012-12-03_V2" xfId="727" xr:uid="{BAD7294E-081D-4A84-B8B1-EF94163719C4}"/>
    <cellStyle name="1_Restructuring File _ 3-07-13_scorecard" xfId="728" xr:uid="{8C9E7BBA-7C2F-4392-B1B4-550CCDEAA413}"/>
    <cellStyle name="1_STAT-Nominations_121212" xfId="729" xr:uid="{CC644173-3ACC-4291-B5D9-4E4F954E5929}"/>
    <cellStyle name="1_Wincor SB-Install" xfId="730" xr:uid="{97DA6DBF-38FD-4F72-BAD6-213248DC8554}"/>
    <cellStyle name="1Normal" xfId="731" xr:uid="{DEB94945-26D3-45FD-842C-A013DF0AB1D0}"/>
    <cellStyle name="2" xfId="732" xr:uid="{A922B01A-D6EE-455E-A017-29209375C954}"/>
    <cellStyle name="2_20100616 overview " xfId="733" xr:uid="{6347E2AB-C697-48AE-864A-77D7DE9F534A}"/>
    <cellStyle name="2_20100623 Management Reporting - Business Review v100413a" xfId="734" xr:uid="{D49368CC-8179-4C2B-B367-2B050906132E}"/>
    <cellStyle name="2_20100726 Management Reporting - Business Review v100413a" xfId="735" xr:uid="{EBD14A76-2AE3-463D-A5B3-3A7980C64221}"/>
    <cellStyle name="2_20100727 Management Reporting - Business Review v100413a" xfId="736" xr:uid="{B08E293C-B143-4096-80C9-6FA8A427DDA2}"/>
    <cellStyle name="2_20100727 Management Reporting - Business Review v100413a TEST" xfId="737" xr:uid="{63FC8FAE-8C34-4165-B165-A73A90ED8D5B}"/>
    <cellStyle name="2_20100806 Management Reporting - Business Review v100413a TESTVERSION" xfId="738" xr:uid="{F4E03D2B-5732-4A2D-BF39-C98C74F54614}"/>
    <cellStyle name="2_20101119_Segmentreporting_v78_Testversion" xfId="739" xr:uid="{F3B2C8A9-264E-4DAF-9F55-45BC0263B5D8}"/>
    <cellStyle name="2_20101206 KPIs 2011" xfId="740" xr:uid="{8F6F90B0-B476-4908-9702-FBBA53F6880D}"/>
    <cellStyle name="2_20110103 Management Reporting Details Business Review" xfId="741" xr:uid="{24FF7536-5093-473B-A86C-595E3B66E939}"/>
    <cellStyle name="2_20110204 Finance Calendar 2011" xfId="742" xr:uid="{510E7D0F-D649-452E-AB1C-5F05636386C5}"/>
    <cellStyle name="2_20110204 Finance Calendar 2011_~3174756" xfId="743" xr:uid="{D6604E9D-E940-4681-9ABB-E6AD1C1EF77F}"/>
    <cellStyle name="2_20110204 Finance Calendar 2011_03 2011 Business Development" xfId="744" xr:uid="{E6EB1D56-1F35-4A7F-99C7-9437CB89E527}"/>
    <cellStyle name="2_20110204 Finance Calendar 2011_03 2011 Business Development_Derivatives" xfId="745" xr:uid="{61D9D430-B75C-4374-8EBD-77B8C61F4B95}"/>
    <cellStyle name="2_20110204 Finance Calendar 2011_2011_Segmentreporting_v79_Testversion" xfId="746" xr:uid="{81BDB924-BCF1-4483-A0FB-76453F437BB1}"/>
    <cellStyle name="2_20110204 Finance Calendar 2011_20110419_Business_Performance_Report_v11" xfId="747" xr:uid="{DE0AE464-516D-4799-9925-28882D920CC0}"/>
    <cellStyle name="2_20110204 Finance Calendar 2011_Derivatives" xfId="748" xr:uid="{A716BAB8-DCC2-4A8C-BDEB-3F8AEA676D6B}"/>
    <cellStyle name="2_20110215 Finance Calendar 2011" xfId="749" xr:uid="{D58DA2C6-4040-4162-9261-D21A4E153BB9}"/>
    <cellStyle name="2_20110215 Finance Calendar 2011_03 2011 Business Development" xfId="750" xr:uid="{A0A968CD-68AE-4A7B-B050-C2648AE98F6E}"/>
    <cellStyle name="2_20110215 Finance Calendar 2011_03 2011 Business Development_Derivatives" xfId="751" xr:uid="{1439D828-1B2D-4CC5-898B-E171167B1F43}"/>
    <cellStyle name="2_20110215 Finance Calendar 2011_2011_Segmentreporting_v79_Testversion" xfId="752" xr:uid="{FEE217FB-3625-4951-87D5-2E6D5D2F9F67}"/>
    <cellStyle name="2_20110215 Finance Calendar 2011_20110419_Business_Performance_Report_v11" xfId="753" xr:uid="{2B991006-55CE-4886-AB1F-6BBEEB7D0A2A}"/>
    <cellStyle name="2_20110215 Finance Calendar 2011_Derivatives" xfId="754" xr:uid="{63E50C50-E4B0-4A1E-946A-A84B04120164}"/>
    <cellStyle name="2_2011203 Overview Reports" xfId="755" xr:uid="{D44EA42F-1291-4DED-9807-D11FD80196AC}"/>
    <cellStyle name="2_2011203 Overview Reports 2" xfId="756" xr:uid="{E7E69F71-5823-43CA-B51A-8C5E465D777C}"/>
    <cellStyle name="2_2011203 Overview Reports 3" xfId="757" xr:uid="{BD195278-62C8-4207-87A0-BFF675335D66}"/>
    <cellStyle name="2_2011203 Overview Reports 4" xfId="758" xr:uid="{3928FD9C-208C-470B-B26F-E976E8870EAB}"/>
    <cellStyle name="2_2011203 Overview Reports_~3174756" xfId="759" xr:uid="{3C7F396E-7351-49BE-BBA0-B41A29D52BE7}"/>
    <cellStyle name="2_2011203 Overview Reports_03 2011 Business Development" xfId="760" xr:uid="{7C4407B9-3F97-4DFF-A45E-D375966EFE58}"/>
    <cellStyle name="2_2011203 Overview Reports_03 2011 Business Development_Derivatives" xfId="761" xr:uid="{58A42900-18A2-4929-92F1-EBB782BD858B}"/>
    <cellStyle name="2_2011203 Overview Reports_2011_Segmentreporting_v79_Testversion" xfId="762" xr:uid="{0B83C2D1-C570-4377-A92D-8924C4D4FF07}"/>
    <cellStyle name="2_2011203 Overview Reports_20110419_Business_Performance_Report_v11" xfId="763" xr:uid="{1C30D045-090E-48EE-915A-5E811CB66274}"/>
    <cellStyle name="2_2011203 Overview Reports_20110419_Business_Performance_Report_v11_RSC" xfId="764" xr:uid="{E2531312-4FB6-4764-AA0D-2007CB43C64C}"/>
    <cellStyle name="2_2011203 Overview Reports_Derivatives" xfId="765" xr:uid="{4F47AAE7-E7BE-4641-ADDF-8865150ADD2A}"/>
    <cellStyle name="2_2011203 Overview Reports_Division Summary  PCR" xfId="766" xr:uid="{9D2D20C4-CBC0-44F3-8755-78D8BF47B3C6}"/>
    <cellStyle name="2_2011203 Overview Reports_Key-P-FM" xfId="767" xr:uid="{A0CF98C6-DE66-4B18-B4D1-8CCCDCBF209C}"/>
    <cellStyle name="2_2011203 Overview Reports_Key-P-Retail" xfId="768" xr:uid="{DEDF36F1-37CB-4B29-B132-2F66C3F8C523}"/>
    <cellStyle name="2_2011203 Overview Reports_New Network Strategy" xfId="769" xr:uid="{696CDF54-45A0-4F96-B6FC-894382E43D9B}"/>
    <cellStyle name="2_2011203 Overview Reports_Sales Funnel" xfId="770" xr:uid="{F93F6941-A380-46E0-935A-255686525350}"/>
    <cellStyle name="2_BOLERO_2012-08-06" xfId="771" xr:uid="{82FED8E3-0C1C-4D4B-A278-414C916321F3}"/>
    <cellStyle name="2_BOLERO_2012-08-06_BOLERO_2012-12-03_V2" xfId="772" xr:uid="{F033D5BB-8837-41EE-9FBE-79E107806492}"/>
    <cellStyle name="2_BOLERO_2012-12-03_V3" xfId="773" xr:uid="{6D364731-E7EB-49FF-86F3-1222DE8883BC}"/>
    <cellStyle name="2_consolidated own funds 11_2010" xfId="774" xr:uid="{81D8FB69-244E-40C9-BE89-543A20F71F9F}"/>
    <cellStyle name="2_consolidated own funds 11_2010_~3174756" xfId="775" xr:uid="{8FA0BB13-58BD-4E7B-8B77-FF118A9C5148}"/>
    <cellStyle name="2_consolidated own funds 11_2010_03 2011 Business Development" xfId="776" xr:uid="{3F60FCA0-221C-4036-B725-B19479E99E14}"/>
    <cellStyle name="2_consolidated own funds 11_2010_03 2011 Business Development_Derivatives" xfId="777" xr:uid="{986BA700-872D-4555-8910-8F41683C723A}"/>
    <cellStyle name="2_consolidated own funds 11_2010_2011_Segmentreporting_v79_Testversion" xfId="778" xr:uid="{250324D8-207C-485A-B837-BA8680FE9AD4}"/>
    <cellStyle name="2_consolidated own funds 11_2010_20110419_Business_Performance_Report_v11" xfId="779" xr:uid="{D879A848-32DC-4E20-AFB1-AE7CF3C5D5BD}"/>
    <cellStyle name="2_consolidated own funds 11_2010_Derivatives" xfId="780" xr:uid="{92275456-B179-461A-8B90-151629DB3E4E}"/>
    <cellStyle name="2_Daten_MonRep_2012_08" xfId="781" xr:uid="{0E9E29E5-CC1A-4FD4-98F7-D21B60AD95C6}"/>
    <cellStyle name="2_Daten_MonRep_2012_08_BOLERO_2012-12-03_V2" xfId="782" xr:uid="{13F53FF0-1773-4BD8-8B1F-97B1D971FA8B}"/>
    <cellStyle name="2_Daten_MonRep_2012_10" xfId="783" xr:uid="{8C6589C4-C39A-4826-84FB-9138E3BD75D2}"/>
    <cellStyle name="2_Daten_MonRep_2012_10_BOLERO_2012-12-03_V2" xfId="784" xr:uid="{86C7C4F7-C9F7-40BB-8F41-512DF3791B9F}"/>
    <cellStyle name="2_DIVISION_Products" xfId="785" xr:uid="{9E8CD268-46DF-421A-9A33-5A40D6ED8B54}"/>
    <cellStyle name="2_DIVISION_Products 2" xfId="786" xr:uid="{31047CD4-F0CC-44EE-8FF7-E7578CDF46AF}"/>
    <cellStyle name="2_DIVISION_Products 3" xfId="787" xr:uid="{9D282E61-439F-466E-8C4C-0EF1775F8F4D}"/>
    <cellStyle name="2_DIVISION_Products 4" xfId="788" xr:uid="{2E7BCA92-F42D-4031-92F9-D9E4A20E9E15}"/>
    <cellStyle name="2_DIVISION_Products_20100505_Segmentreporting_v57_Testversion" xfId="789" xr:uid="{1FC9CB50-73A5-427B-ADBE-3BD0147BD2FE}"/>
    <cellStyle name="2_DIVISION_Products_20100505_Segmentreporting_v57_Testversion_20100623 Management Reporting - Business Review v100413a" xfId="790" xr:uid="{AB145A14-7682-4F7D-9E47-74FE73B3DC49}"/>
    <cellStyle name="2_DIVISION_Products_20100505_Segmentreporting_v57_Testversion_20100726 Management Reporting - Business Review v100413a" xfId="791" xr:uid="{1DF085DD-DDA3-48F0-85B4-CAB024D7D8C3}"/>
    <cellStyle name="2_DIVISION_Products_20100505_Segmentreporting_v57_Testversion_20100727 Management Reporting - Business Review v100413a" xfId="792" xr:uid="{245A479A-2973-4A83-8B00-9E4D7AFCF9F7}"/>
    <cellStyle name="2_DIVISION_Products_20100505_Segmentreporting_v57_Testversion_20100727 Management Reporting - Business Review v100413a TEST" xfId="793" xr:uid="{BD6AC5D5-4116-46A0-A83A-772E40EC8BD3}"/>
    <cellStyle name="2_DIVISION_Products_20100505_Segmentreporting_v57_Testversion_20100806 Management Reporting - Business Review v100413a TESTVERSION" xfId="794" xr:uid="{F4AE606E-AD99-446C-92D7-3B8B6CDE4C12}"/>
    <cellStyle name="2_DIVISION_Products_20100505_Segmentreporting_v57_Testversion_20101119_Segmentreporting_v78_Testversion" xfId="795" xr:uid="{A34048D7-B8E6-4337-8CB4-C71675CEF3C7}"/>
    <cellStyle name="2_DIVISION_Products_20100505_Segmentreporting_v57_Testversion_20101206 KPIs 2011" xfId="796" xr:uid="{952D513A-7892-48A3-A812-207EF73F6DA9}"/>
    <cellStyle name="2_DIVISION_Products_20100505_Segmentreporting_v57_Testversion_20110103 Management Reporting Details Business Review" xfId="797" xr:uid="{C23D049B-3C81-408E-84A7-29582ED68AD7}"/>
    <cellStyle name="2_DIVISION_Products_20100505_Segmentreporting_v57d" xfId="798" xr:uid="{1F6DA19F-665D-40A7-88F5-BAADC1A5A1B6}"/>
    <cellStyle name="2_DIVISION_Products_20100505_Segmentreporting_v57d_20100623 Management Reporting - Business Review v100413a" xfId="799" xr:uid="{5853C6A8-045E-4BBF-B199-758381C85966}"/>
    <cellStyle name="2_DIVISION_Products_20100505_Segmentreporting_v57d_20100726 Management Reporting - Business Review v100413a" xfId="800" xr:uid="{1129D8AB-6D1B-45A2-B8C5-0F1FF3908151}"/>
    <cellStyle name="2_DIVISION_Products_20100505_Segmentreporting_v57d_20100727 Management Reporting - Business Review v100413a" xfId="801" xr:uid="{2A5FF86A-3A98-40FD-AC3D-9D9BB27FF600}"/>
    <cellStyle name="2_DIVISION_Products_20100505_Segmentreporting_v57d_20100727 Management Reporting - Business Review v100413a TEST" xfId="802" xr:uid="{73FE100A-8633-40E7-A281-9758425AEEAA}"/>
    <cellStyle name="2_DIVISION_Products_20100505_Segmentreporting_v57d_20100806 Management Reporting - Business Review v100413a TESTVERSION" xfId="803" xr:uid="{F8E96528-16EA-4F0D-A77F-ECA5924F0EBB}"/>
    <cellStyle name="2_DIVISION_Products_20100505_Segmentreporting_v57d_20101119_Segmentreporting_v78_Testversion" xfId="804" xr:uid="{E1AB1026-6F54-46FF-985B-498E5EFF6F63}"/>
    <cellStyle name="2_DIVISION_Products_20100505_Segmentreporting_v57d_20101206 KPIs 2011" xfId="805" xr:uid="{FC62FB80-E9AD-4662-8057-974DD570B2A4}"/>
    <cellStyle name="2_DIVISION_Products_20100505_Segmentreporting_v57d_20110103 Management Reporting Details Business Review" xfId="806" xr:uid="{EEB18122-83AA-4671-999D-119505F10FDE}"/>
    <cellStyle name="2_DIVISION_Products_20100602_Segmentreporting_v61" xfId="807" xr:uid="{D673D9FC-D4D0-48FF-888A-9132C2CEA495}"/>
    <cellStyle name="2_DIVISION_Products_20100602_Segmentreporting_v61_20100623 Management Reporting - Business Review v100413a" xfId="808" xr:uid="{4DC46CA6-B546-4481-A73D-FE01898EADF5}"/>
    <cellStyle name="2_DIVISION_Products_20100602_Segmentreporting_v61_20100726 Management Reporting - Business Review v100413a" xfId="809" xr:uid="{3CE09AC3-62D6-4A87-BD06-7A009EB314CA}"/>
    <cellStyle name="2_DIVISION_Products_20100602_Segmentreporting_v61_20100727 Management Reporting - Business Review v100413a" xfId="810" xr:uid="{A28C07FF-F88E-4078-8D35-41801272F440}"/>
    <cellStyle name="2_DIVISION_Products_20100602_Segmentreporting_v61_20100727 Management Reporting - Business Review v100413a TEST" xfId="811" xr:uid="{1CBCDBAD-9962-4CEA-A8BA-817417E886E9}"/>
    <cellStyle name="2_DIVISION_Products_20100602_Segmentreporting_v61_20100806 Management Reporting - Business Review v100413a TESTVERSION" xfId="812" xr:uid="{02DBDFEC-B8A6-4083-ACBD-2AB44896562F}"/>
    <cellStyle name="2_DIVISION_Products_20100602_Segmentreporting_v61_20101119_Segmentreporting_v78_Testversion" xfId="813" xr:uid="{CDDA5CAE-6E65-453C-8B0D-7428543F780A}"/>
    <cellStyle name="2_DIVISION_Products_20100602_Segmentreporting_v61_20101206 KPIs 2011" xfId="814" xr:uid="{BCEB1D4C-08F6-4CD2-B7F6-F16060CDC2E2}"/>
    <cellStyle name="2_DIVISION_Products_20100602_Segmentreporting_v61_20110103 Management Reporting Details Business Review" xfId="815" xr:uid="{B0104C8F-9591-4C8C-BCF6-DD0427364C54}"/>
    <cellStyle name="2_DIVISION_Products_20100607_Segmentreporting_v62" xfId="816" xr:uid="{DDDD8416-BAB9-4230-9118-E33B4D2F987B}"/>
    <cellStyle name="2_DIVISION_Products_20100607_Segmentreporting_v62_20100623 Management Reporting - Business Review v100413a" xfId="817" xr:uid="{FD118BFE-7667-4C77-B362-6CD2259BBD86}"/>
    <cellStyle name="2_DIVISION_Products_20100607_Segmentreporting_v62_20100726 Management Reporting - Business Review v100413a" xfId="818" xr:uid="{0B6CE7AD-EF44-4037-BFCD-3C786E041319}"/>
    <cellStyle name="2_DIVISION_Products_20100607_Segmentreporting_v62_20100727 Management Reporting - Business Review v100413a" xfId="819" xr:uid="{88C1B602-DF35-40A6-A98D-9297FB8471F7}"/>
    <cellStyle name="2_DIVISION_Products_20100607_Segmentreporting_v62_20100727 Management Reporting - Business Review v100413a TEST" xfId="820" xr:uid="{AA408454-6CA9-49C1-A19F-8A393076E477}"/>
    <cellStyle name="2_DIVISION_Products_20100607_Segmentreporting_v62_20100806 Management Reporting - Business Review v100413a TESTVERSION" xfId="821" xr:uid="{8D34574B-DA65-4E90-9AA5-22E54110D61C}"/>
    <cellStyle name="2_DIVISION_Products_20100607_Segmentreporting_v62_20101119_Segmentreporting_v78_Testversion" xfId="822" xr:uid="{5173F755-587A-43F6-BBC3-A9500505B785}"/>
    <cellStyle name="2_DIVISION_Products_20100607_Segmentreporting_v62_20101206 KPIs 2011" xfId="823" xr:uid="{9DEFE5A7-153F-4B54-92C6-A19836675111}"/>
    <cellStyle name="2_DIVISION_Products_20100607_Segmentreporting_v62_20110103 Management Reporting Details Business Review" xfId="824" xr:uid="{9C102B18-928C-4741-9752-AA6438B7D262}"/>
    <cellStyle name="2_DIVISION_Products_20100614_Segmentreporting_v68" xfId="825" xr:uid="{AB4A68B4-0F13-4C1C-A0CC-D3A85FA8F80D}"/>
    <cellStyle name="2_DIVISION_Products_20100614_Segmentreporting_v68_20100623 Management Reporting - Business Review v100413a" xfId="826" xr:uid="{F6826634-B126-4336-8A7D-3B2CB93E2F34}"/>
    <cellStyle name="2_DIVISION_Products_20100614_Segmentreporting_v68_20100726 Management Reporting - Business Review v100413a" xfId="827" xr:uid="{D944589A-D872-4C41-8967-488A395A888D}"/>
    <cellStyle name="2_DIVISION_Products_20100614_Segmentreporting_v68_20100727 Management Reporting - Business Review v100413a" xfId="828" xr:uid="{FC0C8A5C-EDEF-4BA2-9B9D-7D395768C984}"/>
    <cellStyle name="2_DIVISION_Products_20100614_Segmentreporting_v68_20100727 Management Reporting - Business Review v100413a TEST" xfId="829" xr:uid="{24586833-F945-47AB-995D-F9ED556538C1}"/>
    <cellStyle name="2_DIVISION_Products_20100614_Segmentreporting_v68_20100806 Management Reporting - Business Review v100413a TESTVERSION" xfId="830" xr:uid="{CF8F4030-51CC-4F2F-A924-CCC771E18ADA}"/>
    <cellStyle name="2_DIVISION_Products_20100614_Segmentreporting_v68_20101119_Segmentreporting_v78_Testversion" xfId="831" xr:uid="{72063729-7ADA-4B78-8782-04D1AC5402EA}"/>
    <cellStyle name="2_DIVISION_Products_20100614_Segmentreporting_v68_20101206 KPIs 2011" xfId="832" xr:uid="{0B5A3AB4-2F8B-4903-83ED-E3530ECA5916}"/>
    <cellStyle name="2_DIVISION_Products_20100614_Segmentreporting_v68_20110103 Management Reporting Details Business Review" xfId="833" xr:uid="{F6DB43FC-3832-4B78-BD97-6BF7DB260924}"/>
    <cellStyle name="2_DIVISION_Products_20100614_Segmentreporting_v70_Testversion" xfId="834" xr:uid="{A737D4F1-AD2B-4A02-9BB2-46655F8FF373}"/>
    <cellStyle name="2_DIVISION_Products_20100623 Management Reporting - Business Review v100413a" xfId="835" xr:uid="{934DEFFB-AC73-405B-B721-829344718FE9}"/>
    <cellStyle name="2_DIVISION_Products_20100713_Segmentreporting_v72" xfId="836" xr:uid="{8C1333C8-6BF2-4E9B-80D6-D51905DA9620}"/>
    <cellStyle name="2_DIVISION_Products_20100714_Segmentreporting_v73" xfId="837" xr:uid="{48C65F80-5199-4052-A4C2-009E89EB7A9C}"/>
    <cellStyle name="2_DIVISION_Products_20100714_Segmentreporting_v74" xfId="838" xr:uid="{77E3175D-8FF4-4647-89B4-B312E886FBE9}"/>
    <cellStyle name="2_DIVISION_Products_20100719_Segmentreporting_v75" xfId="839" xr:uid="{0365F8DD-8EC6-4D70-9A36-8AF52CE8FBB0}"/>
    <cellStyle name="2_DIVISION_Products_20100719_Segmentreporting_v75_Testversion" xfId="840" xr:uid="{A3E52135-01C0-48D7-AE23-336002114BB4}"/>
    <cellStyle name="2_DIVISION_Products_20100720_Segmentreporting_v76_Testversion" xfId="841" xr:uid="{31AA4D80-AECA-4997-8885-A2F680E8653D}"/>
    <cellStyle name="2_DIVISION_Products_20100726 Management Reporting - Business Review v100413a" xfId="842" xr:uid="{A4A653E7-EFE3-44ED-9F3C-8B6CB8657328}"/>
    <cellStyle name="2_DIVISION_Products_20100727 Management Reporting - Business Review v100413a" xfId="843" xr:uid="{929B09B9-6D61-4E66-93FD-CFF6EB4FD521}"/>
    <cellStyle name="2_DIVISION_Products_20100727 Management Reporting - Business Review v100413a TEST" xfId="844" xr:uid="{4AF6F631-6086-4756-A6CB-D9AD7B06FA54}"/>
    <cellStyle name="2_DIVISION_Products_20100806 Management Reporting - Business Review v100413a TESTVERSION" xfId="845" xr:uid="{F7E637FD-718D-4B7B-8E59-0F98E7EC61CA}"/>
    <cellStyle name="2_DIVISION_Products_20101012_Segmentreporting_v77_Testversion" xfId="846" xr:uid="{1EF2B784-8627-4AAE-B815-CD5473BD8B32}"/>
    <cellStyle name="2_DIVISION_Products_20101119_Segmentreporting_v78_Testversion" xfId="847" xr:uid="{3629BD72-6449-4970-900C-0CF944D30753}"/>
    <cellStyle name="2_DIVISION_Products_20101206 KPIs 2011" xfId="848" xr:uid="{BFEA33DC-C8D1-4446-8D6A-6FB4795F89C7}"/>
    <cellStyle name="2_DIVISION_Products_2010301 KPIs 2011" xfId="849" xr:uid="{6978E6FA-8940-48C2-8E3B-766341149EFD}"/>
    <cellStyle name="2_DIVISION_Products_2011_Segmentreporting_v79_Testversion" xfId="850" xr:uid="{7083BB39-418D-4C71-AC10-D7F72FDB37D5}"/>
    <cellStyle name="2_DIVISION_Products_2011_Segmentreporting_v79_Testversion_01" xfId="851" xr:uid="{9BD19FC5-F0FD-4BAC-BFBF-0899DFD93730}"/>
    <cellStyle name="2_DIVISION_Products_20110103 Management Reporting Details Business Review" xfId="852" xr:uid="{AD8379F4-F060-4DC7-BAE6-884621EBA538}"/>
    <cellStyle name="2_DIVISION_Products_20110215_Segmentreporting_v79_Testversion_x" xfId="853" xr:uid="{AE940204-0115-4A66-8FCC-49B71EC54D78}"/>
    <cellStyle name="2_DIVISION_Products_20110307 Master Management Reporting 1.0_v6 Excerpt Businesses" xfId="854" xr:uid="{1FEAAD12-8B4D-4BBF-B8AD-D1F90B7F7B2E}"/>
    <cellStyle name="2_DIVISION_Products_20110419_Business_Performance_Report_v11_RSC" xfId="855" xr:uid="{C33F29D6-0FBC-4BB8-BA1A-75BACC15C384}"/>
    <cellStyle name="2_DIVISION_Products_Division Summary  PCR" xfId="856" xr:uid="{A0575AFD-41F7-49DF-87E8-DCEEED09F746}"/>
    <cellStyle name="2_DIVISION_Products_Key-P-FM" xfId="857" xr:uid="{037F6650-E7F4-440B-BF34-811C09BD8E70}"/>
    <cellStyle name="2_DIVISION_Products_Key-P-Retail" xfId="858" xr:uid="{DF492A95-136F-4B26-9040-9232F9DBF2FB}"/>
    <cellStyle name="2_DIVISION_Products_Kopie von 20100608_Segmentreporting_v65" xfId="859" xr:uid="{2DC1038F-7520-4364-8F1F-E4D1794466DD}"/>
    <cellStyle name="2_DIVISION_Products_Kopie von 20100608_Segmentreporting_v65_20100623 Management Reporting - Business Review v100413a" xfId="860" xr:uid="{6AE8E8EC-BF19-445F-A219-8C9C89A4E559}"/>
    <cellStyle name="2_DIVISION_Products_Kopie von 20100608_Segmentreporting_v65_20100726 Management Reporting - Business Review v100413a" xfId="861" xr:uid="{21E9EEB6-C94F-43A1-BE4B-98B881B9A27F}"/>
    <cellStyle name="2_DIVISION_Products_Kopie von 20100608_Segmentreporting_v65_20100727 Management Reporting - Business Review v100413a" xfId="862" xr:uid="{7FA723F5-CD81-4BF2-82E6-08D76A4F32D0}"/>
    <cellStyle name="2_DIVISION_Products_Kopie von 20100608_Segmentreporting_v65_20100727 Management Reporting - Business Review v100413a TEST" xfId="863" xr:uid="{4625CAFE-58EE-405C-83F6-934FA50FF292}"/>
    <cellStyle name="2_DIVISION_Products_Kopie von 20100608_Segmentreporting_v65_20100806 Management Reporting - Business Review v100413a TESTVERSION" xfId="864" xr:uid="{861A3333-5B15-41DF-893D-D0050A9D1721}"/>
    <cellStyle name="2_DIVISION_Products_Kopie von 20100608_Segmentreporting_v65_20101119_Segmentreporting_v78_Testversion" xfId="865" xr:uid="{364DFD46-6B77-44B7-9DBF-813F6A9E1133}"/>
    <cellStyle name="2_DIVISION_Products_Kopie von 20100608_Segmentreporting_v65_20101206 KPIs 2011" xfId="866" xr:uid="{3EE5B4CD-D194-42EC-8AFF-7356FDF0D943}"/>
    <cellStyle name="2_DIVISION_Products_Kopie von 20100608_Segmentreporting_v65_20110103 Management Reporting Details Business Review" xfId="867" xr:uid="{F5E7955A-02A6-42C0-AFD3-342472E3F8E3}"/>
    <cellStyle name="2_DIVISION_Products_New Network Strategy" xfId="868" xr:uid="{52657F77-AAFA-499B-A6C9-2399E3A6178D}"/>
    <cellStyle name="2_DIVISION_Products_Sales Funnel" xfId="869" xr:uid="{6BE4D4BE-8CC1-4EC1-A1DA-243FA1412E70}"/>
    <cellStyle name="2_DIVISION_Products_Testversion von 2011_Segmentreporting_v79_Testversion" xfId="870" xr:uid="{F9227ADD-2798-438D-B263-7A9685894FED}"/>
    <cellStyle name="2_Excel Basistabellen und Graphiken_IFRS_102010 2.0" xfId="871" xr:uid="{FB312FF5-399A-4080-8D71-11C4156A361B}"/>
    <cellStyle name="2_Excel Basistabellen und Graphiken_IFRS_102010 2.0_~3174756" xfId="872" xr:uid="{AE5DE700-A970-4EA3-BB4B-962A8BEDF851}"/>
    <cellStyle name="2_Excel Basistabellen und Graphiken_IFRS_102010 2.0_03 2011 Business Development" xfId="873" xr:uid="{D65E9A52-C214-4A06-9C5A-3CFB6FFE0A31}"/>
    <cellStyle name="2_Excel Basistabellen und Graphiken_IFRS_102010 2.0_03 2011 Business Development_Derivatives" xfId="874" xr:uid="{E193898F-8461-45CE-B969-CC59DCD50FA2}"/>
    <cellStyle name="2_Excel Basistabellen und Graphiken_IFRS_102010 2.0_2011_Segmentreporting_v79_Testversion" xfId="875" xr:uid="{25DA2A0A-805B-440C-A43F-584F95AE289F}"/>
    <cellStyle name="2_Excel Basistabellen und Graphiken_IFRS_102010 2.0_20110419_Business_Performance_Report_v11" xfId="876" xr:uid="{95BAE8F9-AC04-4827-BA2F-71E45B5AD6F3}"/>
    <cellStyle name="2_Excel Basistabellen und Graphiken_IFRS_102010 2.0_Derivatives" xfId="877" xr:uid="{33601854-8EF1-4578-A5B2-8DD5FBBA1934}"/>
    <cellStyle name="2_KONZERN_121203" xfId="878" xr:uid="{3672E746-2DA8-436E-8FAB-8E7F86FDDD3B}"/>
    <cellStyle name="2_KONZERN_121203_BOLERO_2012-12-03_V2" xfId="879" xr:uid="{90D029C9-7979-4D72-A8D4-8FABCC0458EC}"/>
    <cellStyle name="2_Mappe6" xfId="880" xr:uid="{396C5B4C-39D7-4EC1-8BCA-536CB0680A0B}"/>
    <cellStyle name="2_Mappe6_BOLERO_2012-12-03_V2" xfId="881" xr:uid="{5B66F4D4-CDCA-41E4-A210-9B320FD8ACB9}"/>
    <cellStyle name="2_Restructuring File _ 3-07-13_scorecard" xfId="882" xr:uid="{F1042243-DF76-4388-AD4B-E7098FDA2937}"/>
    <cellStyle name="2_STAT-Nominations_121212" xfId="883" xr:uid="{6F3D4098-4D33-4C4F-BC5B-CCEDCBEEE8CE}"/>
    <cellStyle name="2_Wincor SB-Install" xfId="884" xr:uid="{78958BA4-42E1-4956-9D13-EB30FF443E27}"/>
    <cellStyle name="2_Wincor SB-Install_BOLERO_2012-12-03_V2" xfId="885" xr:uid="{EB9846BA-E855-4939-A3A7-CC8D80434880}"/>
    <cellStyle name="2_Wincor SB-Install_KONZERN_121203" xfId="886" xr:uid="{8C1669A4-240B-42E0-884A-180134DDD304}"/>
    <cellStyle name="2_Wincor SB-Install_Mappe6" xfId="887" xr:uid="{3BB89E73-726C-44DC-9C82-081D17C12983}"/>
    <cellStyle name="2_Wincor SB-Install_STAT-Nominations_121212" xfId="888" xr:uid="{EC1049A6-0DEE-4EBC-86E0-4126ECE8459B}"/>
    <cellStyle name="20% - Accent1 2" xfId="890" xr:uid="{495ED09C-2BC3-4163-82CC-9315E167F2FF}"/>
    <cellStyle name="20% - Accent1 3" xfId="889" xr:uid="{C10C9531-7F4F-4640-B5B0-AB8E4D95B9BD}"/>
    <cellStyle name="20% - Accent2 2" xfId="892" xr:uid="{6798470E-846D-44C6-B49C-8D5357A3C35B}"/>
    <cellStyle name="20% - Accent2 3" xfId="891" xr:uid="{9C749008-933A-446D-8656-9B7D399E9F0C}"/>
    <cellStyle name="20% - Accent3 2" xfId="894" xr:uid="{429BC4DB-F732-40E7-BB5E-CBE8D6A5E066}"/>
    <cellStyle name="20% - Accent3 3" xfId="893" xr:uid="{34D3BAA5-2381-42BF-A87B-03C29C3CEB49}"/>
    <cellStyle name="20% - Accent4 2" xfId="896" xr:uid="{FDD2F4AA-71CE-421F-82E1-3BA764ED486A}"/>
    <cellStyle name="20% - Accent4 3" xfId="895" xr:uid="{997BD544-9CA7-406C-A00B-3FC7E2B3E3DD}"/>
    <cellStyle name="20% - Accent5 2" xfId="898" xr:uid="{CD75A385-B762-4A5A-8076-21895E35F686}"/>
    <cellStyle name="20% - Accent5 3" xfId="897" xr:uid="{38C25DF9-0E5F-4D2E-8C1C-5A6D78F868B7}"/>
    <cellStyle name="20% - Accent6 2" xfId="900" xr:uid="{72087276-3D07-4FED-8BD0-DE2906B76EFA}"/>
    <cellStyle name="20% - Accent6 3" xfId="899" xr:uid="{058E193C-7A01-4072-AA3D-31EB2BF28730}"/>
    <cellStyle name="20% - Akzent1 2" xfId="901" xr:uid="{452404A0-5140-4365-A36E-5392DDAE52BC}"/>
    <cellStyle name="20% - Akzent1 3" xfId="902" xr:uid="{33F07B56-B34C-4A5E-99B6-859DBE335663}"/>
    <cellStyle name="20% - Akzent1 3 2" xfId="903" xr:uid="{31314D05-A328-4CD3-8C37-F1BB09BEBD45}"/>
    <cellStyle name="20% - Akzent1 4" xfId="904" xr:uid="{74C36A7B-5E30-471B-B3F8-C372FE1B6B48}"/>
    <cellStyle name="20% - Akzent2 2" xfId="905" xr:uid="{63D83E05-54A8-42AE-AC03-B349E8B9411C}"/>
    <cellStyle name="20% - Akzent2 3" xfId="906" xr:uid="{D1291815-6116-4E3B-8492-2A0B8659E1FC}"/>
    <cellStyle name="20% - Akzent2 3 2" xfId="907" xr:uid="{75CD70E7-2D93-46DB-8677-ED227FA923CC}"/>
    <cellStyle name="20% - Akzent2 4" xfId="908" xr:uid="{756B7D5B-37B9-438D-88B6-23F656961778}"/>
    <cellStyle name="20% - Akzent3 2" xfId="909" xr:uid="{FA2640AF-F62E-4C5F-8092-F4EB14BFFD30}"/>
    <cellStyle name="20% - Akzent3 3" xfId="910" xr:uid="{83126B55-CFC8-4675-92B8-59C4CD64A223}"/>
    <cellStyle name="20% - Akzent3 3 2" xfId="911" xr:uid="{CF21E6B2-6942-4450-9B04-DB607522E1E9}"/>
    <cellStyle name="20% - Akzent3 4" xfId="912" xr:uid="{E5E2D6AE-EAC2-41DB-BC91-3395FE8164B7}"/>
    <cellStyle name="20% - Akzent4 2" xfId="913" xr:uid="{BE7E90A7-CF20-43EF-8D10-7EB040B82C01}"/>
    <cellStyle name="20% - Akzent4 3" xfId="914" xr:uid="{4F122FF0-21AD-460E-B5A1-E07C97C0B161}"/>
    <cellStyle name="20% - Akzent4 3 2" xfId="915" xr:uid="{C6DFEF9E-639E-43A0-9790-9380C1924330}"/>
    <cellStyle name="20% - Akzent4 4" xfId="916" xr:uid="{04280138-341E-4BAD-BB23-3862ADE6F9C9}"/>
    <cellStyle name="20% - Akzent5 2" xfId="917" xr:uid="{EDC3669F-AF4D-4351-A3B4-B7A66D842DD1}"/>
    <cellStyle name="20% - Akzent5 3" xfId="918" xr:uid="{4A720401-736C-4C4D-8800-F4FF90EF321F}"/>
    <cellStyle name="20% - Akzent5 3 2" xfId="919" xr:uid="{4DA1DFB3-6361-4C3F-B6AF-D215EDDB3D6D}"/>
    <cellStyle name="20% - Akzent5 4" xfId="920" xr:uid="{4EBF58EE-49D5-4AC9-B980-F284C7913E8B}"/>
    <cellStyle name="20% - Akzent6 2" xfId="921" xr:uid="{5BC8BBBF-4566-444F-8886-DE461078C3F4}"/>
    <cellStyle name="20% - Akzent6 3" xfId="922" xr:uid="{28B38704-3845-4B14-9A94-850097D92188}"/>
    <cellStyle name="20% - Akzent6 3 2" xfId="923" xr:uid="{783B5400-2505-403D-A496-7E298DBACFEC}"/>
    <cellStyle name="20% - Akzent6 4" xfId="924" xr:uid="{B919B7DA-8529-43B8-8448-7E43ECF21C2E}"/>
    <cellStyle name="20% - Colore 7" xfId="925" xr:uid="{ED4052FF-6E64-48BB-A86F-E98D5F0FC1EF}"/>
    <cellStyle name="20% - Énfasis1" xfId="926" xr:uid="{922773EF-46C9-4AE6-B8BD-A258E9FD1599}"/>
    <cellStyle name="20% - Énfasis1 2" xfId="927" xr:uid="{2DAE1460-5E6F-4074-983E-6EDBF2F2906C}"/>
    <cellStyle name="20% - Énfasis2" xfId="928" xr:uid="{CFC68311-30C7-4C09-AD96-D59647F8F7F6}"/>
    <cellStyle name="20% - Énfasis2 2" xfId="929" xr:uid="{CE1C97D5-EA0E-473D-B538-ADCB976B577A}"/>
    <cellStyle name="20% - Énfasis3" xfId="930" xr:uid="{CE70E6D2-A7FF-4EBB-ACCB-43738926F930}"/>
    <cellStyle name="20% - Énfasis3 2" xfId="931" xr:uid="{D28C2401-F49C-4AB5-AD9E-A13B45D796C6}"/>
    <cellStyle name="20% - Énfasis4" xfId="932" xr:uid="{C413C0D0-65BE-4FD3-A561-76B686858B61}"/>
    <cellStyle name="20% - Énfasis4 2" xfId="933" xr:uid="{DAA827CC-1736-4550-8A60-E233259152A4}"/>
    <cellStyle name="20% - Énfasis5" xfId="934" xr:uid="{F7B121AC-27E4-4153-970C-3971993148B0}"/>
    <cellStyle name="20% - Énfasis5 2" xfId="935" xr:uid="{236D40E7-B030-4A3A-B083-F31AA8361629}"/>
    <cellStyle name="20% - Énfasis6" xfId="936" xr:uid="{3E36DBAA-6842-4320-AB87-BD99CDF88B6E}"/>
    <cellStyle name="20% - Énfasis6 2" xfId="937" xr:uid="{ADB2A434-CAB2-4B80-BB3F-60D48D03D5C3}"/>
    <cellStyle name="40% - Accent1 2" xfId="939" xr:uid="{BFA225FC-C5A1-47B2-A766-8608AB8BABA0}"/>
    <cellStyle name="40% - Accent1 3" xfId="938" xr:uid="{0F5176EC-DD19-4075-98C7-AE041A626062}"/>
    <cellStyle name="40% - Accent2 2" xfId="941" xr:uid="{A771781C-A7E8-474B-8D2A-2B4E6D3313BD}"/>
    <cellStyle name="40% - Accent2 3" xfId="940" xr:uid="{256DB1D4-5D9F-46C4-B3BE-4619B1838CB0}"/>
    <cellStyle name="40% - Accent3 2" xfId="943" xr:uid="{531EA74D-51EB-48D4-A3A9-EE2C5BE05A29}"/>
    <cellStyle name="40% - Accent3 3" xfId="942" xr:uid="{8AB1FE27-2D1D-4B15-BE0B-FA266D102131}"/>
    <cellStyle name="40% - Accent4 2" xfId="945" xr:uid="{284B7B60-5E00-48E1-855C-7C8705AF88FF}"/>
    <cellStyle name="40% - Accent4 3" xfId="944" xr:uid="{36B11EF6-EAB7-45B9-A67E-AD4083DFF08C}"/>
    <cellStyle name="40% - Accent5 2" xfId="947" xr:uid="{96193F7C-1A73-4F17-A07E-9F03EF58936F}"/>
    <cellStyle name="40% - Accent5 3" xfId="946" xr:uid="{F1F31BDD-C378-47A6-8687-6F8014E5F40A}"/>
    <cellStyle name="40% - Accent6 2" xfId="949" xr:uid="{64BF7546-D42F-43A5-BC84-4046EFFC6DB4}"/>
    <cellStyle name="40% - Accent6 3" xfId="948" xr:uid="{77BE259A-CB18-4B9A-A82F-7B40EDE709E0}"/>
    <cellStyle name="40% - Akzent1 2" xfId="950" xr:uid="{B441D51C-65D8-48DE-B4E5-D39BED600707}"/>
    <cellStyle name="40% - Akzent1 3" xfId="951" xr:uid="{AE0E5533-2A1F-4EA7-B920-3AC5D193AC04}"/>
    <cellStyle name="40% - Akzent1 3 2" xfId="952" xr:uid="{D5CBD03E-3CFB-4AFD-84EF-62B2459E9C94}"/>
    <cellStyle name="40% - Akzent1 4" xfId="953" xr:uid="{2A9ADD6D-FDF5-4707-9F19-127B6C31F982}"/>
    <cellStyle name="40% - Akzent2 2" xfId="954" xr:uid="{4955C737-49DE-4BEB-93FD-7BF8B00FD479}"/>
    <cellStyle name="40% - Akzent2 3" xfId="955" xr:uid="{9F19C74D-D8EF-4412-A1AD-AFFCC971F59C}"/>
    <cellStyle name="40% - Akzent2 3 2" xfId="956" xr:uid="{1B4509DC-B1BD-4B76-AE91-4E5FC3ED74B9}"/>
    <cellStyle name="40% - Akzent2 4" xfId="957" xr:uid="{65AED69E-984E-4FC0-B9F6-84BB2842EEF5}"/>
    <cellStyle name="40% - Akzent3 2" xfId="958" xr:uid="{E18755C8-FB59-456E-BAEA-A09A9DC643F9}"/>
    <cellStyle name="40% - Akzent3 3" xfId="959" xr:uid="{060F37C8-0AF3-43F2-91B8-64496688324F}"/>
    <cellStyle name="40% - Akzent3 3 2" xfId="960" xr:uid="{678D1B52-2244-4ED7-B9BB-17B0DD4D03F4}"/>
    <cellStyle name="40% - Akzent3 4" xfId="961" xr:uid="{931F39AD-052D-4714-8671-ACF76048335A}"/>
    <cellStyle name="40% - Akzent4 2" xfId="962" xr:uid="{7F78BFBC-574E-4F1D-83F4-E4460B5D7BCE}"/>
    <cellStyle name="40% - Akzent4 3" xfId="963" xr:uid="{39068880-37B4-4F47-AFDF-76496423606F}"/>
    <cellStyle name="40% - Akzent4 3 2" xfId="964" xr:uid="{AE6A8C52-ABBA-4968-A5CB-991769EE56AC}"/>
    <cellStyle name="40% - Akzent4 4" xfId="965" xr:uid="{2EB9F169-8638-4705-9DA7-3DF78E811D33}"/>
    <cellStyle name="40% - Akzent5 2" xfId="966" xr:uid="{DC04D5C5-A7DB-4138-A024-3CF9663D7D82}"/>
    <cellStyle name="40% - Akzent5 3" xfId="967" xr:uid="{F8870C7F-F281-43A8-BBE3-07DCC8E69B25}"/>
    <cellStyle name="40% - Akzent5 3 2" xfId="968" xr:uid="{7E38BBB2-65A8-45D4-9007-A994A72CFD19}"/>
    <cellStyle name="40% - Akzent5 4" xfId="969" xr:uid="{4F15CC51-1310-4AB8-B425-CD0C5838A028}"/>
    <cellStyle name="40% - Akzent6 2" xfId="970" xr:uid="{0D574EDB-F608-4EBF-AFCD-BBD26CAF79EB}"/>
    <cellStyle name="40% - Akzent6 3" xfId="971" xr:uid="{6606098E-46DB-4961-97B9-4919AAE877E5}"/>
    <cellStyle name="40% - Akzent6 3 2" xfId="972" xr:uid="{27AE3697-83B9-4B80-976B-963DD384E053}"/>
    <cellStyle name="40% - Akzent6 4" xfId="973" xr:uid="{92DDC498-C96B-4EC1-9261-D5068F638CCD}"/>
    <cellStyle name="40% - Énfasis1" xfId="974" xr:uid="{63EB0586-1CB8-4BDF-940F-006BD6349D13}"/>
    <cellStyle name="40% - Énfasis1 2" xfId="975" xr:uid="{F1048E2A-0287-445D-825C-E9B888BE2F69}"/>
    <cellStyle name="40% - Énfasis2" xfId="976" xr:uid="{3651BC8E-3E44-4A3E-84BF-0DE01CA38B41}"/>
    <cellStyle name="40% - Énfasis2 2" xfId="977" xr:uid="{A2E96E03-53F7-4A74-A85F-9B9D8DEB7660}"/>
    <cellStyle name="40% - Énfasis3" xfId="978" xr:uid="{6CFC93D0-0490-4E28-9D36-6B3D851CE6E0}"/>
    <cellStyle name="40% - Énfasis3 2" xfId="979" xr:uid="{1FE2DE1F-51D2-48E4-99D9-5B1DAF2DC440}"/>
    <cellStyle name="40% - Énfasis4" xfId="980" xr:uid="{52195ECF-709F-4BED-8F8D-754F49A83D7E}"/>
    <cellStyle name="40% - Énfasis4 2" xfId="981" xr:uid="{CF219C89-ED01-4F58-A767-114B4CCD6EE3}"/>
    <cellStyle name="40% - Énfasis5" xfId="982" xr:uid="{FA3640F4-64E8-4534-9916-701BE5281CAA}"/>
    <cellStyle name="40% - Énfasis5 2" xfId="983" xr:uid="{F3A105B8-28C5-4C26-B0E7-49D44B9BE508}"/>
    <cellStyle name="40% - Énfasis6" xfId="984" xr:uid="{E117D36D-184A-48DF-BDF4-C0A21B2BC1E6}"/>
    <cellStyle name="40% - Énfasis6 2" xfId="985" xr:uid="{5A13D179-22D0-477A-A01F-BCE22F1296DC}"/>
    <cellStyle name="60% - Accent1 2" xfId="987" xr:uid="{6831DD00-1F07-46B4-86A7-4A6992BB55D5}"/>
    <cellStyle name="60% - Accent1 3" xfId="986" xr:uid="{80057E6F-097F-4DFA-914B-0BADE41A6FF4}"/>
    <cellStyle name="60% - Accent2 2" xfId="989" xr:uid="{E2FC580F-3A4C-4DC8-8D19-9561B7D526EF}"/>
    <cellStyle name="60% - Accent2 3" xfId="988" xr:uid="{1EC2AACD-655B-42A1-B12D-07589A558369}"/>
    <cellStyle name="60% - Accent3 2" xfId="991" xr:uid="{1AF065D5-9063-4E07-AC4D-845355D6EAD1}"/>
    <cellStyle name="60% - Accent3 3" xfId="990" xr:uid="{C82A66FB-ABE2-48E6-B503-64D61D0F6329}"/>
    <cellStyle name="60% - Accent4 2" xfId="993" xr:uid="{8121CEF6-3493-49CE-B2F9-8AAA0EB87BDD}"/>
    <cellStyle name="60% - Accent4 3" xfId="992" xr:uid="{6B569F76-AD07-4A99-B7EC-10297FDF8481}"/>
    <cellStyle name="60% - Accent5 2" xfId="995" xr:uid="{A755CF6E-92CA-49EF-9369-F5AE9D3BB719}"/>
    <cellStyle name="60% - Accent5 3" xfId="994" xr:uid="{D0048251-9027-4C8F-9149-505642616772}"/>
    <cellStyle name="60% - Accent6 2" xfId="997" xr:uid="{95628037-A914-4CFC-9C97-C9027687C4A1}"/>
    <cellStyle name="60% - Accent6 3" xfId="996" xr:uid="{8CF97A37-4B6C-443C-870A-4F7F5BBD5AFC}"/>
    <cellStyle name="60% - Akzent1 2" xfId="998" xr:uid="{D5FCE6CF-CF3C-43F6-93E1-FA762E041DDA}"/>
    <cellStyle name="60% - Akzent1 3" xfId="999" xr:uid="{170BDA9A-C60F-4C55-BB9D-0F0EA8EAED94}"/>
    <cellStyle name="60% - Akzent1 4" xfId="1000" xr:uid="{FC281A24-7CDA-4A12-8477-8F08591C856A}"/>
    <cellStyle name="60% - Akzent2 2" xfId="1001" xr:uid="{7320BC4E-F2CE-46FD-8C04-84E0FA9349C3}"/>
    <cellStyle name="60% - Akzent2 3" xfId="1002" xr:uid="{638ED6F7-5D7F-45E3-A2D6-6F8048DB9E73}"/>
    <cellStyle name="60% - Akzent2 4" xfId="1003" xr:uid="{C3928E5F-8976-49A6-87E8-D2643E8BC178}"/>
    <cellStyle name="60% - Akzent3 2" xfId="1004" xr:uid="{D344AE76-F5E8-4B9E-8A21-D7C0AD155F4D}"/>
    <cellStyle name="60% - Akzent3 3" xfId="1005" xr:uid="{3E73C84A-2110-4954-8691-FEF28BFDF8A9}"/>
    <cellStyle name="60% - Akzent3 4" xfId="1006" xr:uid="{67A2BE51-C9C2-41C8-9574-3B7733403967}"/>
    <cellStyle name="60% - Akzent4 2" xfId="1007" xr:uid="{AD126708-AFCA-476A-9BFC-EBBA4D57872D}"/>
    <cellStyle name="60% - Akzent4 3" xfId="1008" xr:uid="{E53C7EE3-7024-49E5-8CAD-4EDD4271807C}"/>
    <cellStyle name="60% - Akzent4 4" xfId="1009" xr:uid="{B32DFD82-A8C6-4DF4-82F6-F62BE2B52168}"/>
    <cellStyle name="60% - Akzent5 2" xfId="1010" xr:uid="{2E8C769F-2C14-41A1-A0ED-D915CFAC7F95}"/>
    <cellStyle name="60% - Akzent5 3" xfId="1011" xr:uid="{C0DD60E0-3BB3-4759-9E63-A08E263BCEC6}"/>
    <cellStyle name="60% - Akzent5 4" xfId="1012" xr:uid="{E622E95C-0A06-4373-AA6A-5C998089FE53}"/>
    <cellStyle name="60% - Akzent6 2" xfId="1013" xr:uid="{176AA8F8-0CAA-4CD4-AB00-A9AEFD4D363C}"/>
    <cellStyle name="60% - Akzent6 3" xfId="1014" xr:uid="{1754C42F-B89D-41C9-89C1-6EB32A839D0A}"/>
    <cellStyle name="60% - Akzent6 4" xfId="1015" xr:uid="{BFAD2917-5A51-4A65-9ADB-55984B7C70E5}"/>
    <cellStyle name="60% - Énfasis1" xfId="1016" xr:uid="{6284E1DD-0F18-43A5-996D-1098E53234D5}"/>
    <cellStyle name="60% - Énfasis2" xfId="1017" xr:uid="{E098C61B-CD95-4D01-8B54-CB6A0E9AC5B1}"/>
    <cellStyle name="60% - Énfasis3" xfId="1018" xr:uid="{283EEE22-69AB-43F6-8A78-661C52A0E4AC}"/>
    <cellStyle name="60% - Énfasis4" xfId="1019" xr:uid="{4173E0FD-513C-4F91-8086-2941535C91F9}"/>
    <cellStyle name="60% - Énfasis5" xfId="1020" xr:uid="{883E427A-E078-4C81-AD86-2155FF8F95AE}"/>
    <cellStyle name="60% - Énfasis6" xfId="1021" xr:uid="{9BD62ACB-DAAF-4FB3-8812-CF7DFCF8F0B3}"/>
    <cellStyle name="Accent1 2" xfId="1023" xr:uid="{89146079-56CF-4A92-AFA7-48516562C73F}"/>
    <cellStyle name="Accent1 3" xfId="1022" xr:uid="{F289D571-974F-47D4-A3EF-AFD4DD837A00}"/>
    <cellStyle name="Accent2 2" xfId="1025" xr:uid="{7B04EC89-C8A3-46F8-8AED-CD8948801CE6}"/>
    <cellStyle name="Accent2 3" xfId="1024" xr:uid="{2D6CC9E8-8F72-435C-ADD6-C70AC89546BA}"/>
    <cellStyle name="Accent3 2" xfId="1027" xr:uid="{E86201F5-A292-4E9F-ACAC-B4B377C7825A}"/>
    <cellStyle name="Accent3 3" xfId="1026" xr:uid="{1D250D8E-FE8F-4C61-8A7D-72CEB9D7E986}"/>
    <cellStyle name="Accent4 2" xfId="1029" xr:uid="{C8727078-C8DE-419C-9028-828553CD2289}"/>
    <cellStyle name="Accent4 3" xfId="1028" xr:uid="{16EE3184-1094-43A4-95A0-1F8AD6E65095}"/>
    <cellStyle name="Accent5 2" xfId="1031" xr:uid="{CC28622D-9DFA-4B88-B269-8AB1FE35480A}"/>
    <cellStyle name="Accent5 3" xfId="1030" xr:uid="{2BF29769-24F1-4222-983A-708D31BA7C5F}"/>
    <cellStyle name="Accent6 2" xfId="1033" xr:uid="{9C49E16D-F170-4AE2-B063-1A18A1052C3A}"/>
    <cellStyle name="Accent6 3" xfId="1032" xr:uid="{F0371B59-F785-438D-A7A0-CA299EDBCB8C}"/>
    <cellStyle name="ACT" xfId="1034" xr:uid="{5387B314-5554-412A-8685-72BC5824326C}"/>
    <cellStyle name="AFE 2" xfId="1035" xr:uid="{3D2E00C8-9FD2-4519-8B4A-F376DC6D91F9}"/>
    <cellStyle name="Akzent1 2" xfId="1036" xr:uid="{BFAA111F-678B-432D-B71E-690F078C2BAA}"/>
    <cellStyle name="Akzent1 3" xfId="1037" xr:uid="{70C8B671-F218-4A47-A144-1650661BA38B}"/>
    <cellStyle name="Akzent1 4" xfId="1038" xr:uid="{FC2EBD63-7CE0-419E-A397-100B1D5DE6AD}"/>
    <cellStyle name="Akzent2 2" xfId="1039" xr:uid="{481D1BC6-E457-4288-BDE1-C35D65251B94}"/>
    <cellStyle name="Akzent2 3" xfId="1040" xr:uid="{F2FEEA74-682C-4492-BC8A-3201074E8C22}"/>
    <cellStyle name="Akzent2 4" xfId="1041" xr:uid="{F6345675-5D22-4BC4-AB52-5721E6434CE2}"/>
    <cellStyle name="Akzent3 2" xfId="1042" xr:uid="{9F2BCA62-676C-4A4B-937C-1912DE51DCFF}"/>
    <cellStyle name="Akzent3 3" xfId="1043" xr:uid="{7D3E74C3-C1E0-4E32-8BC7-D148AC860F3B}"/>
    <cellStyle name="Akzent3 4" xfId="1044" xr:uid="{BFA8C420-2F86-4D17-A01A-35D89A176F7F}"/>
    <cellStyle name="Akzent4 2" xfId="1045" xr:uid="{7E22D49E-2010-4EFA-9F8C-CBEDCA90DA5C}"/>
    <cellStyle name="Akzent4 3" xfId="1046" xr:uid="{24B4E583-F9FF-42B6-B30D-1DF2C766851F}"/>
    <cellStyle name="Akzent4 4" xfId="1047" xr:uid="{9DFAC1CB-901B-41A9-99AA-E1FAF53142D5}"/>
    <cellStyle name="Akzent5 2" xfId="1048" xr:uid="{BEF9862B-2AE9-4D08-94E6-572DDC46E93C}"/>
    <cellStyle name="Akzent5 3" xfId="1049" xr:uid="{EF7095F6-6562-4822-BA19-F0CDCD50DE94}"/>
    <cellStyle name="Akzent5 4" xfId="1050" xr:uid="{D3F9569C-8D92-4EB8-983B-4047758A79E1}"/>
    <cellStyle name="Akzent6 2" xfId="1051" xr:uid="{DEDBC308-9CC9-4783-8FF4-66C9D8771E0C}"/>
    <cellStyle name="Akzent6 3" xfId="1052" xr:uid="{DFDF66F2-A75F-41F3-B866-9F8EB8B33D9D}"/>
    <cellStyle name="Akzent6 4" xfId="1053" xr:uid="{E84FBB6B-480A-4771-81B7-742D83B4A067}"/>
    <cellStyle name="Amounts left nolocked" xfId="1054" xr:uid="{3969046D-39F0-40C4-909D-0147FA4D4AB6}"/>
    <cellStyle name="Amounts_Board" xfId="1055" xr:uid="{C260BFEE-1F3C-4B06-8235-9BCB9FB4C20C}"/>
    <cellStyle name="Amounts-1000" xfId="1056" xr:uid="{399C5A3F-6C30-46E0-950F-778CD5D07C5C}"/>
    <cellStyle name="Anzeige %" xfId="1057" xr:uid="{659FF7AC-DFB6-43DA-A5B5-82988C476FF5}"/>
    <cellStyle name="Anzeige % 2" xfId="1058" xr:uid="{4D7DEFFA-5690-4A53-A6DB-285D54572E42}"/>
    <cellStyle name="Anzeige Company" xfId="1059" xr:uid="{0107FA32-8DEA-4D6A-B916-E61CEA4BF946}"/>
    <cellStyle name="Anzeige Currency" xfId="1060" xr:uid="{4C5F587D-02E4-4A3F-8621-AA1F4514A014}"/>
    <cellStyle name="Anzeige Dezimal" xfId="1061" xr:uid="{6A928018-03C4-4BB4-8BDA-5D5667416E83}"/>
    <cellStyle name="Anzeige Monat" xfId="1062" xr:uid="{B3A9C7B6-5CD1-4FD4-B3C6-B353611C4F9A}"/>
    <cellStyle name="Anzeige Text" xfId="1063" xr:uid="{9A3B9638-D0F7-4BCE-B5DF-F530BA59EFB0}"/>
    <cellStyle name="Anzeige Text 2" xfId="1064" xr:uid="{5345DDD0-B92E-4B86-866A-FB6938A4A33A}"/>
    <cellStyle name="Anzeige Zahl" xfId="1065" xr:uid="{3AF04CBA-1422-4853-9169-E8B86CE0104F}"/>
    <cellStyle name="Anzeige Zahl 2" xfId="1066" xr:uid="{A538D0EE-63BE-444E-A780-03436D6E1874}"/>
    <cellStyle name="Ausgabe 2" xfId="1067" xr:uid="{6C93EFCB-5633-4CB8-A450-EBA836EA5168}"/>
    <cellStyle name="Ausgabe 3" xfId="1068" xr:uid="{F6A52609-549A-4EC8-B590-01FE922C82E3}"/>
    <cellStyle name="Ausgabe 4" xfId="1069" xr:uid="{0F0788EF-CD1C-4387-8A46-47CD290B675D}"/>
    <cellStyle name="Bad 2" xfId="1071" xr:uid="{D709E54B-D321-4892-A057-F38C3BABD189}"/>
    <cellStyle name="Bad 3" xfId="1070" xr:uid="{3831930D-7DD5-4B87-BE17-9EA5C61EF990}"/>
    <cellStyle name="BDG" xfId="1072" xr:uid="{14565479-D9B9-4C52-BB56-33D33B9819D0}"/>
    <cellStyle name="Berechnung 2" xfId="1073" xr:uid="{8696945B-5F10-4FB7-869C-5E46020962DB}"/>
    <cellStyle name="Berechnung 3" xfId="1074" xr:uid="{0EDF9D2A-FBBF-4956-BB18-74259C2CD2D2}"/>
    <cellStyle name="Berechnung 4" xfId="1075" xr:uid="{0A53A571-2056-4A9B-ACBF-423DC3BF7F7F}"/>
    <cellStyle name="Blank" xfId="1076" xr:uid="{06624B8B-11F6-49D3-A44D-479324AB978F}"/>
    <cellStyle name="Body" xfId="1077" xr:uid="{A6FF532E-7C46-4F0D-9E48-601E32D8620C}"/>
    <cellStyle name="Bold" xfId="1078" xr:uid="{5AB3B905-7A54-4E58-B571-30B5133200F9}"/>
    <cellStyle name="Border_total" xfId="1079" xr:uid="{0345E489-2B69-409B-86CC-B9F215500EFD}"/>
    <cellStyle name="Buena" xfId="1080" xr:uid="{EEB673E4-B9C8-4C39-8EC2-4FE8C832710B}"/>
    <cellStyle name="C_Amount_ACT" xfId="1081" xr:uid="{59C32BDD-201A-4B0F-A4FA-49CC2E7E5591}"/>
    <cellStyle name="C_Head" xfId="1082" xr:uid="{E8165794-5D28-41A4-83A8-F11B4F678774}"/>
    <cellStyle name="Calculation 2" xfId="1084" xr:uid="{EEE00AED-DFD1-4C27-A10A-4B034E2E1193}"/>
    <cellStyle name="Calculation 2 2" xfId="1085" xr:uid="{7EF340A6-CC16-48F6-9B5F-AE3C90E8C708}"/>
    <cellStyle name="Calculation 3" xfId="1086" xr:uid="{7005655C-5E0B-4677-B959-999E02D8C69C}"/>
    <cellStyle name="Calculation 4" xfId="1083" xr:uid="{98939580-7F0C-4D51-BF55-9619E41524B5}"/>
    <cellStyle name="Cálculo" xfId="1087" xr:uid="{7DDA1FA5-A1F3-46A0-88C2-B13AA0A78075}"/>
    <cellStyle name="Cálculo 2" xfId="1088" xr:uid="{E272DC6D-81F3-4E08-A352-8BBBB0474FB2}"/>
    <cellStyle name="Celda de comprobación" xfId="1089" xr:uid="{626E1A65-D4D7-4889-AFA2-13612604E9CD}"/>
    <cellStyle name="Celda vinculada" xfId="1090" xr:uid="{F146877C-C28F-4200-AB0E-EE2A8616EC49}"/>
    <cellStyle name="Check Cell 2" xfId="1092" xr:uid="{0652D47B-F54E-41DA-A065-BFED69D489B8}"/>
    <cellStyle name="Check Cell 3" xfId="1091" xr:uid="{82A074E5-DF5F-4B2A-8CB6-9BB44A2E320D}"/>
    <cellStyle name="čiarky [0]_Hárok1" xfId="1093" xr:uid="{BAADEA26-2F59-4FF0-B996-C20CC04E7FDB}"/>
    <cellStyle name="čiarky_Hárok1" xfId="1094" xr:uid="{36DAA171-26CB-4DAD-A92B-534CEA66A70A}"/>
    <cellStyle name="Comma  - Style1" xfId="1095" xr:uid="{70DDA863-277E-403A-BC0D-C683FEEEF554}"/>
    <cellStyle name="Comma  - Style2" xfId="1096" xr:uid="{191D48A6-21E0-4CBE-8AE9-8D09301AB013}"/>
    <cellStyle name="Comma  - Style3" xfId="1097" xr:uid="{77A055D7-E2A4-42A2-9D6B-142E05675B5E}"/>
    <cellStyle name="Comma  - Style4" xfId="1098" xr:uid="{6634A8EF-4794-4080-A888-3EB5D938A56C}"/>
    <cellStyle name="Comma  - Style5" xfId="1099" xr:uid="{8AED0AAD-0492-42BE-83EB-1E1594A50712}"/>
    <cellStyle name="Comma  - Style6" xfId="1100" xr:uid="{86246B54-F8E8-49A9-A7E4-953B54447F3E}"/>
    <cellStyle name="Comma  - Style7" xfId="1101" xr:uid="{D2875B19-96E4-4C65-A8A8-2FA61973B6DE}"/>
    <cellStyle name="Comma  - Style8" xfId="1102" xr:uid="{376144DD-B02E-4864-ADD4-14BFB6F7C389}"/>
    <cellStyle name="Comma 10" xfId="1103" xr:uid="{BBADC848-A869-4A60-9F85-6C86E1A216B5}"/>
    <cellStyle name="Comma 10 2" xfId="1679" xr:uid="{8BED565B-6A1B-4B81-8837-96CA928828B6}"/>
    <cellStyle name="Comma 10 2 2" xfId="1775" xr:uid="{A68B4FA2-EF70-4F0A-A1CC-B92574BA54BB}"/>
    <cellStyle name="Comma 10 2 3" xfId="1727" xr:uid="{89BD6EED-886E-41D8-87B9-CEE75B1FFDBF}"/>
    <cellStyle name="Comma 11" xfId="1104" xr:uid="{9CC93AE7-7B4D-4E22-B5AE-94665C835404}"/>
    <cellStyle name="Comma 11 2" xfId="1680" xr:uid="{2C5E8EB4-5F9C-43DC-B134-E8A400B8A493}"/>
    <cellStyle name="Comma 11 2 2" xfId="1776" xr:uid="{B5D4592F-510C-4A9C-A408-8C8B4D891C94}"/>
    <cellStyle name="Comma 11 2 3" xfId="1728" xr:uid="{27E22A4B-C616-4ED8-B002-EB06ED59C70C}"/>
    <cellStyle name="Comma 12" xfId="1105" xr:uid="{5E25D2F0-7C00-4C15-B14E-10F8DB44F883}"/>
    <cellStyle name="Comma 12 2" xfId="1681" xr:uid="{B7D70A49-D438-4C29-A92B-F5170676517A}"/>
    <cellStyle name="Comma 12 2 2" xfId="1777" xr:uid="{64C65AF5-CB12-4442-8397-1D971963BEBE}"/>
    <cellStyle name="Comma 12 2 3" xfId="1729" xr:uid="{80921297-BC1C-4B4D-934C-CF1967E05C4C}"/>
    <cellStyle name="Comma 13" xfId="1106" xr:uid="{6A04793B-9B1D-4F40-B7F1-15DECD94B967}"/>
    <cellStyle name="Comma 13 2" xfId="1682" xr:uid="{7D3BF2E8-31C0-428B-A4C1-C83D707DADB3}"/>
    <cellStyle name="Comma 13 2 2" xfId="1778" xr:uid="{A601E13F-FE52-47BA-B861-306CE81BC509}"/>
    <cellStyle name="Comma 13 2 3" xfId="1730" xr:uid="{45A826B7-AC6D-4762-97BE-6A3234619014}"/>
    <cellStyle name="Comma 14" xfId="1107" xr:uid="{D500AD86-B476-4991-AF2E-21FF221267BA}"/>
    <cellStyle name="Comma 14 2" xfId="1683" xr:uid="{BD5CE318-CB99-467D-8D1C-8F29C4ABB4AA}"/>
    <cellStyle name="Comma 14 2 2" xfId="1779" xr:uid="{BA077EA8-A615-4CE4-B9A3-270E5C97B675}"/>
    <cellStyle name="Comma 14 2 3" xfId="1731" xr:uid="{5A795CE1-90EF-4CFF-9EC0-4F6FAC24EB6A}"/>
    <cellStyle name="Comma 15" xfId="1108" xr:uid="{2A11837A-6C1D-42DC-A444-BD84C1DCADD1}"/>
    <cellStyle name="Comma 15 2" xfId="1684" xr:uid="{F85AB946-0481-488D-BC9E-5E5155E6322D}"/>
    <cellStyle name="Comma 15 2 2" xfId="1780" xr:uid="{0CE746FC-34AB-4C66-967E-D621EA253649}"/>
    <cellStyle name="Comma 15 2 3" xfId="1732" xr:uid="{55E93E01-C66D-4AB5-A2E3-7090AA65FC1F}"/>
    <cellStyle name="Comma 16" xfId="5" xr:uid="{2FAA6D35-549A-4338-B112-1804D9B7341E}"/>
    <cellStyle name="Comma 17" xfId="1820" xr:uid="{DAA356BF-D075-4C27-AF05-25AA9B4FFCBF}"/>
    <cellStyle name="Comma 18" xfId="1823" xr:uid="{1C0429DE-B3E6-4903-BABA-8AF7BB172F90}"/>
    <cellStyle name="Comma 2" xfId="1109" xr:uid="{A42C29AD-890E-4A1B-86F7-F5243EE23D07}"/>
    <cellStyle name="Comma 3" xfId="1110" xr:uid="{4F2732F7-BC4E-495F-BDFF-47CE30877A89}"/>
    <cellStyle name="Comma 4" xfId="1111" xr:uid="{4C5EE749-5888-49E6-BEE3-3AECD68A78F5}"/>
    <cellStyle name="Comma 4 2" xfId="1685" xr:uid="{52651DB8-0981-4D79-A66C-A5CCFF5CBE32}"/>
    <cellStyle name="Comma 4 2 2" xfId="1781" xr:uid="{CAD398AB-FE88-4693-9D05-2AED24709BD2}"/>
    <cellStyle name="Comma 4 2 3" xfId="1733" xr:uid="{C514C499-12FF-4A91-A718-465D6A15592E}"/>
    <cellStyle name="Comma 5" xfId="1112" xr:uid="{3CDBF28B-A520-48A4-8CFE-09D9CAEEA2EF}"/>
    <cellStyle name="Comma 5 2" xfId="1686" xr:uid="{8C6EE2D2-C749-4C4A-A6DB-E13C75388F70}"/>
    <cellStyle name="Comma 5 2 2" xfId="1782" xr:uid="{02D50267-6ED5-4081-989B-5C8CA562991D}"/>
    <cellStyle name="Comma 5 2 3" xfId="1734" xr:uid="{B761AAA8-C0E6-476E-99AD-6350AC00131D}"/>
    <cellStyle name="Comma 6" xfId="1113" xr:uid="{053D4FD9-04C0-49C1-B5F6-F55963C5972B}"/>
    <cellStyle name="Comma 6 2" xfId="1687" xr:uid="{7860E7A0-3DDA-4AB0-8BBE-488C66F5A93C}"/>
    <cellStyle name="Comma 6 2 2" xfId="1783" xr:uid="{722B3E51-B50F-443A-B4E7-27992003260C}"/>
    <cellStyle name="Comma 6 2 3" xfId="1735" xr:uid="{6E76A9DB-2ADA-4B6C-9727-5D8C06C89ABC}"/>
    <cellStyle name="Comma 7" xfId="1114" xr:uid="{0393F521-6745-4D79-B7CC-A6D9DF5E60D2}"/>
    <cellStyle name="Comma 7 2" xfId="1688" xr:uid="{92F7780D-9596-4292-947F-95CF75B04772}"/>
    <cellStyle name="Comma 7 2 2" xfId="1784" xr:uid="{C31B6F14-A6FC-43A0-A161-7878A0A3ADB0}"/>
    <cellStyle name="Comma 7 2 3" xfId="1736" xr:uid="{C39A6D9E-CEC5-47D2-8B5D-8EFE0E7BE4B4}"/>
    <cellStyle name="Comma 8" xfId="1115" xr:uid="{EB3D71B9-0333-49A0-8DF5-A445AD6B7E52}"/>
    <cellStyle name="Comma 8 2" xfId="1689" xr:uid="{4CA358AD-726D-43E0-934F-40FB3CA9EB2F}"/>
    <cellStyle name="Comma 8 2 2" xfId="1785" xr:uid="{22875ADC-5EE4-43AD-A740-EB98B0660BC8}"/>
    <cellStyle name="Comma 8 2 3" xfId="1737" xr:uid="{193BB9B3-28B7-4E7C-8970-2F0002C7F2B5}"/>
    <cellStyle name="Comma 9" xfId="1116" xr:uid="{FD52C35B-E07D-4C66-B744-4A4D0B73E337}"/>
    <cellStyle name="Comma 9 2" xfId="1690" xr:uid="{D1533597-C8CF-4EAA-AD5F-D9187F55D07A}"/>
    <cellStyle name="Comma 9 2 2" xfId="1786" xr:uid="{755967AB-04E9-4894-AB49-6ABCE5ECF8AC}"/>
    <cellStyle name="Comma 9 2 3" xfId="1738" xr:uid="{B602092E-374C-46B7-9992-9FD10C45B97F}"/>
    <cellStyle name="Currency 2" xfId="1117" xr:uid="{CCFD19EA-99E8-4C62-B6D4-7ED56CC54FD0}"/>
    <cellStyle name="Data(USA)" xfId="1118" xr:uid="{D5B8A608-081F-412C-875A-F92AA086F1D6}"/>
    <cellStyle name="Data4" xfId="1119" xr:uid="{BCB456C0-6D40-46B2-B3B1-753A4C208485}"/>
    <cellStyle name="Date" xfId="1120" xr:uid="{C5399E24-586F-43FD-8B19-B8D753A47E25}"/>
    <cellStyle name="Datenpilot Ecke" xfId="1121" xr:uid="{DAF01213-681D-44BE-95F6-0D5257FB5FF5}"/>
    <cellStyle name="Datenpilot Ergebnis" xfId="1122" xr:uid="{CCED8B06-E8EB-4A61-A84A-A25D317AAB03}"/>
    <cellStyle name="Datenpilot Feld" xfId="1123" xr:uid="{F68C5005-7919-430E-938F-96D85739323F}"/>
    <cellStyle name="Datenpilot Kategorie" xfId="1124" xr:uid="{1EF825B4-66B5-4684-B194-E319846EF777}"/>
    <cellStyle name="Datenpilot Titel" xfId="1125" xr:uid="{FF9732CB-F2C8-4FB3-A030-FA660C312F56}"/>
    <cellStyle name="Datenpilot Wert" xfId="1126" xr:uid="{DC7D5EBF-2D58-419D-BBF5-38A158184D10}"/>
    <cellStyle name="Datum" xfId="1127" xr:uid="{92F2C090-C1EC-4C31-B08F-097BDD172255}"/>
    <cellStyle name="Datum 2" xfId="1128" xr:uid="{176785F8-C2DE-48E7-8B64-6A59668D9661}"/>
    <cellStyle name="Datum 2 2" xfId="1129" xr:uid="{DDDA5A58-1E7D-4A19-B271-D25019C73079}"/>
    <cellStyle name="Datum 3" xfId="1130" xr:uid="{172A69C2-7398-4A03-9D30-704BBD396FE9}"/>
    <cellStyle name="Datum 3 2" xfId="1131" xr:uid="{A561F9E2-CC15-406C-830C-B5815C84AC29}"/>
    <cellStyle name="Datum 4" xfId="1132" xr:uid="{E003CF1B-10E5-4394-9AF0-7AD97709A855}"/>
    <cellStyle name="Datum 5" xfId="1133" xr:uid="{80748467-CA49-4150-8FD3-297C950586B2}"/>
    <cellStyle name="Decimal2" xfId="1134" xr:uid="{EACA48E5-A0C6-4ED8-B9B0-5B1049268DED}"/>
    <cellStyle name="Decimal3" xfId="1135" xr:uid="{B1422970-F565-40D5-858B-FEB788B38E41}"/>
    <cellStyle name="Dezimal 10" xfId="1136" xr:uid="{C00C51D1-4BE6-4F2E-98D9-F38CEBF67C96}"/>
    <cellStyle name="Dezimal 10 2" xfId="1691" xr:uid="{3D5A08A8-B7E8-46CF-A17C-C7516046C664}"/>
    <cellStyle name="Dezimal 10 2 2" xfId="1787" xr:uid="{909999B1-8716-4B09-BEA8-6DCE5471C7D6}"/>
    <cellStyle name="Dezimal 10 2 3" xfId="1739" xr:uid="{17705755-1C66-4D86-AC51-44C5BDCFC3D8}"/>
    <cellStyle name="Dezimal 11" xfId="1137" xr:uid="{5DB65FFA-6B0B-4BBB-9149-1A2FFDD84399}"/>
    <cellStyle name="Dezimal 11 2" xfId="1692" xr:uid="{FDF68776-63D9-4836-8607-123CC829AD17}"/>
    <cellStyle name="Dezimal 11 2 2" xfId="1788" xr:uid="{45D6F96E-861D-4CD0-86C3-A038EF04EDBF}"/>
    <cellStyle name="Dezimal 11 2 3" xfId="1740" xr:uid="{F30B80E3-C393-4DA6-87AB-2BA3BEE3B328}"/>
    <cellStyle name="Dezimal 2" xfId="1138" xr:uid="{DFEA4314-DC91-481A-AD3E-885BBECB6CF5}"/>
    <cellStyle name="Dezimal 2 2" xfId="1139" xr:uid="{B7F629C9-B7A7-4564-ADDB-DA3C44C3AADF}"/>
    <cellStyle name="Dezimal 2 2 2" xfId="1140" xr:uid="{7AB1B11F-7B5E-48BF-97A8-F30FC072C4E5}"/>
    <cellStyle name="Dezimal 2 2 2 2" xfId="1695" xr:uid="{761186AD-C845-4316-8464-C10F99CF0E36}"/>
    <cellStyle name="Dezimal 2 2 2 2 2" xfId="1791" xr:uid="{64D7BEC5-BF65-4279-B8EB-AE61AD1E6D86}"/>
    <cellStyle name="Dezimal 2 2 2 2 3" xfId="1743" xr:uid="{E20F0630-1A71-4005-8E65-4BED23FA52B6}"/>
    <cellStyle name="Dezimal 2 2 3" xfId="1694" xr:uid="{929FF921-9F03-40EA-955C-355B5C43F4B7}"/>
    <cellStyle name="Dezimal 2 2 3 2" xfId="1790" xr:uid="{802A5D19-246A-42FE-8618-EA30B2898FCE}"/>
    <cellStyle name="Dezimal 2 2 3 3" xfId="1742" xr:uid="{8E53380E-70BA-49A6-BD4E-94D37BD3753B}"/>
    <cellStyle name="Dezimal 2 3" xfId="1141" xr:uid="{2EFD1BD8-7F66-4993-A610-6392995DDC15}"/>
    <cellStyle name="Dezimal 2 3 2" xfId="1696" xr:uid="{B8BB3EBF-549C-44AC-8351-6B0F4514E62C}"/>
    <cellStyle name="Dezimal 2 3 2 2" xfId="1792" xr:uid="{7EBB7A7C-80D7-4487-92BA-CF07A6B32BE8}"/>
    <cellStyle name="Dezimal 2 3 2 3" xfId="1744" xr:uid="{9B55EF83-79D9-441F-90F8-C1C6D3A093F2}"/>
    <cellStyle name="Dezimal 2 4" xfId="1693" xr:uid="{9D8564B4-F529-4BD3-BEA3-35D374B893D3}"/>
    <cellStyle name="Dezimal 2 4 2" xfId="1789" xr:uid="{11196A94-DC22-4336-9006-53DEB41EA945}"/>
    <cellStyle name="Dezimal 2 4 3" xfId="1741" xr:uid="{01FDFDB2-4E98-47BF-95A0-F4455395231D}"/>
    <cellStyle name="Dezimal 3" xfId="1142" xr:uid="{0CF4E905-5201-4EE3-AB6B-FECA4281F9BC}"/>
    <cellStyle name="Dezimal 3 2" xfId="1143" xr:uid="{4C3429B8-62E3-4196-ADFB-9378FFA23A1C}"/>
    <cellStyle name="Dezimal 3 2 2" xfId="1144" xr:uid="{B7D59D01-11F2-40F8-8425-BFE68F899867}"/>
    <cellStyle name="Dezimal 3 2 2 2" xfId="1699" xr:uid="{EDB10C29-66DE-4EE2-BD43-E25522C95B3D}"/>
    <cellStyle name="Dezimal 3 2 2 2 2" xfId="1795" xr:uid="{AC599B2C-8C27-489F-B600-B19B2134034F}"/>
    <cellStyle name="Dezimal 3 2 2 2 3" xfId="1747" xr:uid="{E1953B2A-6B45-426E-88FE-6B4A4C42D3C6}"/>
    <cellStyle name="Dezimal 3 2 3" xfId="1698" xr:uid="{2303124C-23F3-459B-B014-2F5BB7E39953}"/>
    <cellStyle name="Dezimal 3 2 3 2" xfId="1794" xr:uid="{016E1926-01DB-4EBF-8F29-41C8F8629B3F}"/>
    <cellStyle name="Dezimal 3 2 3 3" xfId="1746" xr:uid="{A9C598F0-506B-4D01-A7F1-ACF3E49A2D1B}"/>
    <cellStyle name="Dezimal 3 3" xfId="1145" xr:uid="{8F672603-4EDD-4FE3-8D52-E4A031CB9525}"/>
    <cellStyle name="Dezimal 3 3 2" xfId="1700" xr:uid="{B8EDFB0C-E597-410E-8128-CA3174BFC575}"/>
    <cellStyle name="Dezimal 3 3 2 2" xfId="1796" xr:uid="{36DF2446-3CE4-40D9-AA7E-2AB64DA94A57}"/>
    <cellStyle name="Dezimal 3 3 2 3" xfId="1748" xr:uid="{66A9E097-BCE4-40DD-8B53-3D9191B6B8A1}"/>
    <cellStyle name="Dezimal 3 4" xfId="1146" xr:uid="{92B9B9A3-E70E-4C9D-9EF0-EB4558C1A27B}"/>
    <cellStyle name="Dezimal 3 4 2" xfId="1701" xr:uid="{10E5D65C-FD75-4185-BF36-DE0F787070D8}"/>
    <cellStyle name="Dezimal 3 4 2 2" xfId="1797" xr:uid="{7B08A8CC-16FB-49A4-BA62-19BA6B0D5493}"/>
    <cellStyle name="Dezimal 3 4 2 3" xfId="1749" xr:uid="{3B456045-9F79-46D4-A278-1714E76F751D}"/>
    <cellStyle name="Dezimal 3 5" xfId="1147" xr:uid="{C63BE08B-21A0-4DB2-AD29-1FDCB39E4C81}"/>
    <cellStyle name="Dezimal 3 5 2" xfId="1702" xr:uid="{58CB9CBC-C61D-456E-A341-503EA27FF44A}"/>
    <cellStyle name="Dezimal 3 5 2 2" xfId="1798" xr:uid="{1F55F108-5107-42D6-8D0B-C223D1A24687}"/>
    <cellStyle name="Dezimal 3 5 2 3" xfId="1750" xr:uid="{AC88B8CB-998E-429F-BE93-5D589C4487CC}"/>
    <cellStyle name="Dezimal 3 6" xfId="1697" xr:uid="{B07887FD-BADC-4142-9D44-92895EB416AB}"/>
    <cellStyle name="Dezimal 3 6 2" xfId="1793" xr:uid="{E534DCFA-52AD-46C4-B4D0-6DB78D979E0D}"/>
    <cellStyle name="Dezimal 3 6 3" xfId="1745" xr:uid="{F3E46C9F-6E88-4D31-8E9B-B94C8A882354}"/>
    <cellStyle name="Dezimal 3_Division Summary  PCR" xfId="1148" xr:uid="{D3D70C27-B871-43C3-AB12-FC83DAA7F386}"/>
    <cellStyle name="Dezimal 4" xfId="1149" xr:uid="{D61C2CCD-A203-4177-BDF0-3EE3A157B34A}"/>
    <cellStyle name="Dezimal 4 2" xfId="1150" xr:uid="{C06C7027-1298-40A1-8F76-D75AE3B50D79}"/>
    <cellStyle name="Dezimal 4 2 2" xfId="1704" xr:uid="{13FF4753-BA07-41ED-A4B5-8532FB90CB5C}"/>
    <cellStyle name="Dezimal 4 2 2 2" xfId="1800" xr:uid="{D0ED7B66-D32C-4432-9151-CA4E7F4ADC0B}"/>
    <cellStyle name="Dezimal 4 2 2 3" xfId="1752" xr:uid="{D2A70A2A-D8FD-4FC4-855D-08C4E8ADA434}"/>
    <cellStyle name="Dezimal 4 3" xfId="1151" xr:uid="{9557DFDD-285A-4985-A986-EF32896A97AA}"/>
    <cellStyle name="Dezimal 4 3 2" xfId="1705" xr:uid="{FE3A5319-5EB9-4E55-AC51-C4A8F664DC3B}"/>
    <cellStyle name="Dezimal 4 3 2 2" xfId="1801" xr:uid="{5A807B7E-733E-4087-A476-0352F06C76F9}"/>
    <cellStyle name="Dezimal 4 3 2 3" xfId="1753" xr:uid="{57D4F968-8327-426A-8B4E-7BD5B3EE26A4}"/>
    <cellStyle name="Dezimal 4 4" xfId="1152" xr:uid="{CC2677B5-7A1E-4440-9AE6-6AFC4A3590FA}"/>
    <cellStyle name="Dezimal 4 4 2" xfId="1706" xr:uid="{5ECA6B7C-D1DC-49E7-AA0B-45CD6D744B44}"/>
    <cellStyle name="Dezimal 4 4 2 2" xfId="1802" xr:uid="{234F9659-5267-4DE9-942B-A84973059599}"/>
    <cellStyle name="Dezimal 4 4 2 3" xfId="1754" xr:uid="{A3C49C55-B7F4-41E5-BC65-3D4E671F875D}"/>
    <cellStyle name="Dezimal 4 5" xfId="1703" xr:uid="{B0916FA9-9361-47FF-B5EE-E2B21423EC89}"/>
    <cellStyle name="Dezimal 4 5 2" xfId="1799" xr:uid="{B03FBD13-EA97-4E26-92A4-1803AA541381}"/>
    <cellStyle name="Dezimal 4 5 3" xfId="1751" xr:uid="{FC7D42EC-C883-4A00-922D-38B72037CECC}"/>
    <cellStyle name="Dezimal 5" xfId="1153" xr:uid="{A0D5B79A-B9DE-45E5-B769-73B5B308BD38}"/>
    <cellStyle name="Dezimal 5 2" xfId="1154" xr:uid="{CEE7A32D-5DB6-4042-80FC-3FE181191EFA}"/>
    <cellStyle name="Dezimal 5 2 2" xfId="1708" xr:uid="{9F9D3F37-B5C5-4162-8F75-5BBCA9D389F0}"/>
    <cellStyle name="Dezimal 5 2 2 2" xfId="1804" xr:uid="{BC4122C8-1B9B-466A-89F0-3E1E665DD552}"/>
    <cellStyle name="Dezimal 5 2 2 3" xfId="1756" xr:uid="{05F2F567-F153-4DAB-9B54-7BED5B2A79F6}"/>
    <cellStyle name="Dezimal 5 3" xfId="1155" xr:uid="{A544227E-904D-44FB-9B72-DD8F740E80AD}"/>
    <cellStyle name="Dezimal 5 3 2" xfId="1709" xr:uid="{50C4111A-A8A9-47C8-8D5C-14CA8D5AC5C2}"/>
    <cellStyle name="Dezimal 5 3 2 2" xfId="1805" xr:uid="{6A194FA5-E01B-4FD2-A236-426196F0A4B5}"/>
    <cellStyle name="Dezimal 5 3 2 3" xfId="1757" xr:uid="{E4FB7865-316F-47CC-8DE4-0C8DD06F61FF}"/>
    <cellStyle name="Dezimal 5 4" xfId="1707" xr:uid="{0CBCBC99-416E-42CB-94D8-566766C878C8}"/>
    <cellStyle name="Dezimal 5 4 2" xfId="1803" xr:uid="{A99CE41A-3D8E-4034-A755-C61F514FDDCA}"/>
    <cellStyle name="Dezimal 5 4 3" xfId="1755" xr:uid="{5F5C5612-9443-4409-A0A1-663E46DF0E3F}"/>
    <cellStyle name="Dezimal 6" xfId="1156" xr:uid="{97C2EFA9-5F12-4150-89F3-981DB741C7B8}"/>
    <cellStyle name="Dezimal 6 2" xfId="1157" xr:uid="{7CF62D9D-D02F-4437-8AC1-B180381E32B7}"/>
    <cellStyle name="Dezimal 6 2 2" xfId="1711" xr:uid="{9FFF5E0B-D1FF-4C47-853C-724F79DBF7D5}"/>
    <cellStyle name="Dezimal 6 2 2 2" xfId="1807" xr:uid="{DFB4D6B8-090B-4D7C-BA9D-8D563F7A8E5B}"/>
    <cellStyle name="Dezimal 6 2 2 3" xfId="1759" xr:uid="{AC36C68B-A26A-434F-A7B6-825B611F85A6}"/>
    <cellStyle name="Dezimal 6 3" xfId="1158" xr:uid="{AF762796-B304-436B-AAD1-C9C21063B002}"/>
    <cellStyle name="Dezimal 6 3 2" xfId="1712" xr:uid="{23FCC193-0FCE-4D21-952D-BDEA9339F96F}"/>
    <cellStyle name="Dezimal 6 3 2 2" xfId="1808" xr:uid="{BE99F38D-582B-4964-BF83-423E0506D786}"/>
    <cellStyle name="Dezimal 6 3 2 3" xfId="1760" xr:uid="{B94B25C0-B8A0-4CD1-9C0E-9377760B56EF}"/>
    <cellStyle name="Dezimal 6 4" xfId="1710" xr:uid="{C74532FF-F61A-4937-84FC-3D8E1CAA4697}"/>
    <cellStyle name="Dezimal 6 4 2" xfId="1806" xr:uid="{CE45F6D9-06B1-455D-8300-937F051DCBF7}"/>
    <cellStyle name="Dezimal 6 4 3" xfId="1758" xr:uid="{80A393B6-F64A-42AD-BBF5-ED97AA6C63CC}"/>
    <cellStyle name="Dezimal 7" xfId="1159" xr:uid="{67920C2E-BA35-47A4-A7DF-88F82C69BA9F}"/>
    <cellStyle name="Dezimal 7 2" xfId="1713" xr:uid="{020B14D8-2237-4449-B61F-B71256EADD94}"/>
    <cellStyle name="Dezimal 7 2 2" xfId="1809" xr:uid="{8A2CBE49-2EB2-46EC-A70D-9F344D156420}"/>
    <cellStyle name="Dezimal 7 2 3" xfId="1761" xr:uid="{468524F9-3A2E-4D2D-AB75-E610B69B8625}"/>
    <cellStyle name="Dezimal 8" xfId="1160" xr:uid="{7CC567F9-7117-4283-9A1F-3F993123321B}"/>
    <cellStyle name="Dezimal 8 2" xfId="1161" xr:uid="{735E4291-FF7C-4A2F-8B4A-A70BF35272E8}"/>
    <cellStyle name="Dezimal 8 2 2" xfId="1715" xr:uid="{31643B91-D2AA-4B0C-9CBC-5FEB8B73800D}"/>
    <cellStyle name="Dezimal 8 2 2 2" xfId="1811" xr:uid="{01E2FA0E-6744-46F2-A34A-D82A61156C3C}"/>
    <cellStyle name="Dezimal 8 2 2 3" xfId="1763" xr:uid="{CD36C913-D5B1-4E0E-B51A-8E704345B514}"/>
    <cellStyle name="Dezimal 8 3" xfId="1714" xr:uid="{01C6A896-D698-466F-BA6A-F8B30890102B}"/>
    <cellStyle name="Dezimal 8 3 2" xfId="1810" xr:uid="{BCCB053C-F4B3-4D1B-88AF-1CD379587A82}"/>
    <cellStyle name="Dezimal 8 3 3" xfId="1762" xr:uid="{90581A20-C868-4555-992F-7AB577CFE6CE}"/>
    <cellStyle name="Dezimal 9" xfId="1162" xr:uid="{0F89B5D5-C919-41C1-9790-FEB2B8199644}"/>
    <cellStyle name="Dezimal 9 2" xfId="1163" xr:uid="{13C13EA4-370F-456E-B6AC-703CE6A4379F}"/>
    <cellStyle name="Dezimal 9 2 2" xfId="1717" xr:uid="{DCB3E924-456F-4CD6-9FEC-F323278ECCD9}"/>
    <cellStyle name="Dezimal 9 2 2 2" xfId="1813" xr:uid="{92D16A2B-C9B8-43CA-8F09-C0A1385E533C}"/>
    <cellStyle name="Dezimal 9 2 2 3" xfId="1765" xr:uid="{84B6F361-F9D2-4F42-B88D-069B4B7B00C6}"/>
    <cellStyle name="Dezimal 9 3" xfId="1164" xr:uid="{7EFF0052-F234-4B46-A6FB-E98BEB90FAA9}"/>
    <cellStyle name="Dezimal 9 3 2" xfId="1718" xr:uid="{3A84E90E-0AD7-404F-A35C-6F171FDD8A21}"/>
    <cellStyle name="Dezimal 9 3 2 2" xfId="1814" xr:uid="{A42C7E57-310C-47A2-B89F-5DF31BBBFF0F}"/>
    <cellStyle name="Dezimal 9 3 2 3" xfId="1766" xr:uid="{B44A7740-6EE6-451B-9305-423C676DE7AB}"/>
    <cellStyle name="Dezimal 9 4" xfId="1716" xr:uid="{97EF526C-E258-4CF9-A30A-9E817A63A006}"/>
    <cellStyle name="Dezimal 9 4 2" xfId="1812" xr:uid="{956E29F9-AB28-4E97-9912-66863410849C}"/>
    <cellStyle name="Dezimal 9 4 3" xfId="1764" xr:uid="{96C5F15D-78F7-445A-A39D-C4760F121293}"/>
    <cellStyle name="Eingabe %" xfId="1165" xr:uid="{BBE4EE8A-5344-4FB8-BBAA-9D4FA27A6EC6}"/>
    <cellStyle name="Eingabe 10" xfId="1166" xr:uid="{D3446B9E-CFCC-499D-B766-C8F9076BB22E}"/>
    <cellStyle name="Eingabe 11" xfId="1167" xr:uid="{E6FDBB64-D5BF-4E49-8F04-76CABA60ACC1}"/>
    <cellStyle name="Eingabe 12" xfId="1168" xr:uid="{4EDB0F44-30AE-4CA8-B9AA-85B2CFAA1C8C}"/>
    <cellStyle name="Eingabe 13" xfId="1169" xr:uid="{0AF43BC2-F03A-4E89-85DC-D4E56E114E17}"/>
    <cellStyle name="Eingabe 14" xfId="1170" xr:uid="{794332D0-74BE-49F9-85C9-2BA31AEF7FA2}"/>
    <cellStyle name="Eingabe 15" xfId="1171" xr:uid="{C38CA102-A081-4DE9-9F66-BD677AEFCA0D}"/>
    <cellStyle name="Eingabe 16" xfId="1172" xr:uid="{BCE59B42-AB55-4672-B83C-E38CB2EC9B0F}"/>
    <cellStyle name="Eingabe 17" xfId="1173" xr:uid="{5A254CE2-7429-48D2-8237-733201ABF932}"/>
    <cellStyle name="Eingabe 18" xfId="1174" xr:uid="{C6686E8C-B73E-4BE2-9D12-8F33D1B38C38}"/>
    <cellStyle name="Eingabe 19" xfId="1175" xr:uid="{396CB765-0367-4C03-9457-01877E722E9F}"/>
    <cellStyle name="Eingabe 2" xfId="1176" xr:uid="{856CD530-1F27-4630-954D-1121D0BECAF1}"/>
    <cellStyle name="Eingabe 20" xfId="1177" xr:uid="{F22B985F-7CF3-49BA-ACC0-7CDB508A9C88}"/>
    <cellStyle name="Eingabe 21" xfId="1178" xr:uid="{04E9B942-2679-470F-BDCB-E4DC5217C9F4}"/>
    <cellStyle name="Eingabe 22" xfId="1179" xr:uid="{D5D69B0F-2DEE-4FED-93C2-B98B225CCC21}"/>
    <cellStyle name="Eingabe 23" xfId="1180" xr:uid="{D4FAF887-32C4-44CC-8600-4871EBE3B2A6}"/>
    <cellStyle name="Eingabe 24" xfId="1181" xr:uid="{3EF2F38B-7960-481F-9127-5FAD315AD145}"/>
    <cellStyle name="Eingabe 25" xfId="1182" xr:uid="{A6374E1E-3B82-4D6C-B6F1-373A0DA6BB73}"/>
    <cellStyle name="Eingabe 26" xfId="1183" xr:uid="{FF738D3F-EF2C-4D42-9F4C-E155DB37DBC1}"/>
    <cellStyle name="Eingabe 27" xfId="1184" xr:uid="{CC6F8AE3-F497-4D71-86F0-E734CC0C0C9D}"/>
    <cellStyle name="Eingabe 28" xfId="1185" xr:uid="{E793CDF1-F9D7-49D1-A6EC-AF690B39EF0B}"/>
    <cellStyle name="Eingabe 29" xfId="1186" xr:uid="{C1718611-6A0C-4AAD-8ADC-07E01CD58E24}"/>
    <cellStyle name="Eingabe 3" xfId="1187" xr:uid="{29A9FDCB-E87B-4DE7-B95F-95A395D0EBCE}"/>
    <cellStyle name="Eingabe 4" xfId="1188" xr:uid="{785B9C05-0FBE-40E2-862A-7DAB5FC96800}"/>
    <cellStyle name="Eingabe 5" xfId="1189" xr:uid="{E80FFF28-FBF5-48D5-B079-99E793F2953B}"/>
    <cellStyle name="Eingabe 6" xfId="1190" xr:uid="{92464A83-B38C-4C87-8DA1-B5F4FA1D0C90}"/>
    <cellStyle name="Eingabe 7" xfId="1191" xr:uid="{9E7A4D62-9F3D-4DEB-93F8-B634738256AB}"/>
    <cellStyle name="Eingabe 8" xfId="1192" xr:uid="{AA3AC404-B882-42D5-8AA3-37F2AA4F204F}"/>
    <cellStyle name="Eingabe 9" xfId="1193" xr:uid="{DF63F344-5E6A-40D3-91E7-4C5CEADB7B21}"/>
    <cellStyle name="Eingabe Company" xfId="1194" xr:uid="{4CCDA874-C851-4FA7-BDD0-D68763C55A8F}"/>
    <cellStyle name="Eingabe Currency" xfId="1195" xr:uid="{CCEC31C0-47D6-42D6-8415-097F5E8C1D76}"/>
    <cellStyle name="Eingabe Dezimal" xfId="1196" xr:uid="{69A994BA-1C01-4C79-8125-E7626796CBEE}"/>
    <cellStyle name="Eingabe Monat" xfId="1197" xr:uid="{BF63196E-D498-41D5-887A-AE918BD8E4AA}"/>
    <cellStyle name="Eingabe Text" xfId="1198" xr:uid="{9E811B6E-C610-4167-8C7F-79CA2120425D}"/>
    <cellStyle name="Eingabe Text 2" xfId="1199" xr:uid="{59BC7C25-65C0-48F4-BCCF-B1C26368DAD1}"/>
    <cellStyle name="Eingabe Zahl" xfId="1200" xr:uid="{BB892EF3-AFC2-434D-935E-8D78FBCE5E2B}"/>
    <cellStyle name="Encabezado 4" xfId="1201" xr:uid="{CDBFB05B-E181-49AC-A2D7-C45E87764751}"/>
    <cellStyle name="Énfasis1" xfId="1202" xr:uid="{FF7AAF06-50C4-4AB4-8623-237FDB9A3536}"/>
    <cellStyle name="Énfasis2" xfId="1203" xr:uid="{3FE6BDDD-1818-43C6-AD14-E5166124D83A}"/>
    <cellStyle name="Énfasis3" xfId="1204" xr:uid="{6DF06EAF-443D-4533-9CC3-5E02E320372F}"/>
    <cellStyle name="Énfasis4" xfId="1205" xr:uid="{578ADF73-6B51-4744-82E7-13E6C6A63619}"/>
    <cellStyle name="Énfasis5" xfId="1206" xr:uid="{C3875851-F1FB-4C83-AD98-0699446C8F11}"/>
    <cellStyle name="Énfasis6" xfId="1207" xr:uid="{3AC7C9ED-A38F-4EBD-AD87-A0E9C9EB34FC}"/>
    <cellStyle name="Entrada" xfId="1208" xr:uid="{EC5AFA16-B77D-44FB-B8F4-ADD9A7B38A45}"/>
    <cellStyle name="Entrada 2" xfId="1209" xr:uid="{55A3D2B0-3CE9-418A-9E8C-F9CEAB8BF404}"/>
    <cellStyle name="Ergebnis 2" xfId="1210" xr:uid="{2041C143-D055-417B-B402-BD7C125D526D}"/>
    <cellStyle name="Ergebnis 3" xfId="1211" xr:uid="{8AA1E60B-B2DF-4AE4-9269-12C81D16C0A2}"/>
    <cellStyle name="Ergebnis 4" xfId="1212" xr:uid="{D5C765DC-11B9-4BAF-83A2-C6A7B5B634DD}"/>
    <cellStyle name="Erklärender Text 2" xfId="1213" xr:uid="{9164502B-15E0-4F11-AB16-55FC5E5587CA}"/>
    <cellStyle name="Erklärender Text 3" xfId="1214" xr:uid="{0D9848B2-6FF4-4569-B175-A9901F9CCBD9}"/>
    <cellStyle name="Erklärender Text 4" xfId="1215" xr:uid="{BB235B66-368A-4277-8856-FE3B1CBCC5BF}"/>
    <cellStyle name="EUR-Format" xfId="1216" xr:uid="{9A784CD6-7648-4C0A-A7B5-FF8CC10C4A17}"/>
    <cellStyle name="Euro" xfId="1217" xr:uid="{A9BE4108-69E8-4948-A84D-E133A6D90997}"/>
    <cellStyle name="Euro 2" xfId="1218" xr:uid="{DE99DCD3-C285-4EF0-9F5D-522B65729539}"/>
    <cellStyle name="Euro 2 2" xfId="1219" xr:uid="{E4106F5D-B76E-4091-927A-B46053453A68}"/>
    <cellStyle name="Euro 2 3" xfId="1220" xr:uid="{A6E36DF1-EEB1-49A4-952C-C41BA4C0DFF3}"/>
    <cellStyle name="Euro 3" xfId="1221" xr:uid="{E16C78BC-55A0-4A7A-AEB0-88BB50DADAEA}"/>
    <cellStyle name="Euro 3 2" xfId="1222" xr:uid="{C09A44F2-F2D5-4999-8E7E-ABA7B99F22B5}"/>
    <cellStyle name="Euro 4" xfId="1223" xr:uid="{C01F62B1-6343-4445-9B7D-F91A1C0F6A01}"/>
    <cellStyle name="Euro 4 2" xfId="1224" xr:uid="{91422DC1-E647-4219-A78D-FC4B8E02D83B}"/>
    <cellStyle name="Euro 5" xfId="1225" xr:uid="{35A065A1-CE25-4DD3-A875-E5EEE2C537AE}"/>
    <cellStyle name="Euro 6" xfId="1226" xr:uid="{154D6C4F-B8A1-48D5-BEB7-A2A17D5BD4BD}"/>
    <cellStyle name="Euro 7" xfId="1227" xr:uid="{2A84FC72-28FF-4B87-8B5B-53C297DF32EE}"/>
    <cellStyle name="Euro_Restructuring File _ 3-07-13_scorecard" xfId="1228" xr:uid="{69DD7F36-9D1D-4770-A4D7-36CDDB5495E1}"/>
    <cellStyle name="Excel Built-in Normal" xfId="1229" xr:uid="{6CE2E892-CB9C-4F41-A867-D7AD2CBAEEEF}"/>
    <cellStyle name="Explanatory Text 2" xfId="1231" xr:uid="{EB1A15DA-AC2B-4A54-9FB5-964126243CFB}"/>
    <cellStyle name="Explanatory Text 3" xfId="1230" xr:uid="{A3F096A8-F004-4A82-A488-D6189BF26BCC}"/>
    <cellStyle name="Farbtext" xfId="1232" xr:uid="{1D093F3D-0924-4564-8FA6-8710C5FC57BA}"/>
    <cellStyle name="Fett" xfId="1233" xr:uid="{2DD47D29-ECBF-4EA2-9126-E03391BD3597}"/>
    <cellStyle name="Font_big" xfId="1234" xr:uid="{ED6BB6AC-F1C5-4F2D-A8EC-1F7E77887A17}"/>
    <cellStyle name="Formula" xfId="1235" xr:uid="{F59D6985-C62B-40D8-A16F-3A3E27B8F526}"/>
    <cellStyle name="formula2_fond" xfId="1236" xr:uid="{ADAFAE2D-F063-4ECA-9249-BA384D9DAA3C}"/>
    <cellStyle name="Formula3" xfId="1237" xr:uid="{2012D376-DC43-40CF-80B1-847DA5A8989A}"/>
    <cellStyle name="FST description blank" xfId="1238" xr:uid="{2E13750A-DA8B-4B23-A61D-11DCD99CEF8D}"/>
    <cellStyle name="Good 2" xfId="1240" xr:uid="{3AA3C3D5-50B9-4EA7-9461-2BCC6FDA5A34}"/>
    <cellStyle name="Good 3" xfId="1239" xr:uid="{88AC718E-2A3A-4E35-AC78-466959865A64}"/>
    <cellStyle name="gou" xfId="1241" xr:uid="{C3348811-08C1-45B1-A1ED-4B698FC6AAFA}"/>
    <cellStyle name="Grey" xfId="1242" xr:uid="{C639E021-43A5-4748-AC2F-94FB32E17636}"/>
    <cellStyle name="Group_Color" xfId="1243" xr:uid="{23CC7B6D-FAFC-4561-9E8F-0286B22EAFED}"/>
    <cellStyle name="Gut 2" xfId="1244" xr:uid="{2B1AD1FC-D70D-4764-B9F4-6C069387B996}"/>
    <cellStyle name="Gut 3" xfId="1245" xr:uid="{6F4CD958-1319-4525-BD07-3DEC45A693CB}"/>
    <cellStyle name="Gut 4" xfId="1246" xr:uid="{86429FB4-1F6C-42AE-B633-C4D411F3B17C}"/>
    <cellStyle name="Head_left" xfId="1247" xr:uid="{3525FBA0-9C7F-4C04-AE46-ACC23FE5E21E}"/>
    <cellStyle name="Header" xfId="1248" xr:uid="{F954EB8C-BA49-4A66-A688-2168C79E8449}"/>
    <cellStyle name="Header1" xfId="1249" xr:uid="{1BA48FBD-2CF7-4FF7-A8D6-13C8AC9DCD4C}"/>
    <cellStyle name="Header2" xfId="1250" xr:uid="{7DBDBC98-4B5F-445E-8A22-5AE51CB877CE}"/>
    <cellStyle name="Heading 1 2" xfId="1252" xr:uid="{0F127498-02F2-4BF2-A66D-7B69BB24BE8F}"/>
    <cellStyle name="Heading 1 3" xfId="1251" xr:uid="{83F5E0FB-035F-41D9-A3F1-75BDB4918839}"/>
    <cellStyle name="Heading 2 2" xfId="1254" xr:uid="{1E0047B7-77BA-4B3F-BD78-F0A30220980B}"/>
    <cellStyle name="Heading 2 3" xfId="1253" xr:uid="{FFA8A516-4D1D-4A9D-B61A-46A990A6581B}"/>
    <cellStyle name="Heading 3 2" xfId="1256" xr:uid="{16A00AE0-E62F-4763-A12A-3193ECFF60AD}"/>
    <cellStyle name="Heading 3 3" xfId="1255" xr:uid="{CFCE4F8A-3C82-4EF3-A532-87D4372DCB77}"/>
    <cellStyle name="Heading 4 2" xfId="1258" xr:uid="{CAF527E3-DF02-40D1-ABAE-A2CD6C0DE0CF}"/>
    <cellStyle name="Heading 4 3" xfId="1257" xr:uid="{BA96204F-BDB5-4C77-B383-FC36B8CCF572}"/>
    <cellStyle name="Hyperlink 2" xfId="1259" xr:uid="{CF1E3723-8A7D-489D-A0DF-9CC0A5D412BF}"/>
    <cellStyle name="Hyperlink 3" xfId="1260" xr:uid="{4C854647-4FCF-4035-8AE7-E7867BCF686F}"/>
    <cellStyle name="Hyperlink for amounts" xfId="1261" xr:uid="{5B7E8F6B-92DA-4E89-8D4C-689875287B54}"/>
    <cellStyle name="Hyperlnk row header underlined bold" xfId="1262" xr:uid="{42D09CC6-549D-48AD-B325-B54B97136724}"/>
    <cellStyle name="Incorrecto" xfId="1263" xr:uid="{644321D7-EEC8-4E1B-B3B1-4A08C8DE7A17}"/>
    <cellStyle name="Indent" xfId="1264" xr:uid="{0BE20BFF-E282-415A-9B9D-618728E8A3DD}"/>
    <cellStyle name="Input [yellow]" xfId="1266" xr:uid="{36DF2AAC-E7B7-481A-9463-4379E0DF0337}"/>
    <cellStyle name="Input 2" xfId="1267" xr:uid="{B9344FEF-0EAE-454D-881B-5575AB4F560E}"/>
    <cellStyle name="Input 2 2" xfId="1268" xr:uid="{175420D2-6B2D-4939-8C59-88133DE65A9D}"/>
    <cellStyle name="Input 3" xfId="1269" xr:uid="{352FD09D-5138-4748-8308-B660E4BE461E}"/>
    <cellStyle name="Input 4" xfId="1265" xr:uid="{409A2379-A711-40E0-9EAC-6728E9CFACCF}"/>
    <cellStyle name="Input 5" xfId="1822" xr:uid="{EBC9A4E7-B1D1-4508-91D2-16BEA8A9A616}"/>
    <cellStyle name="Input 6" xfId="1821" xr:uid="{17B95672-7A4C-4E06-BC22-08042CB5DCD6}"/>
    <cellStyle name="INPUT DATA" xfId="1270" xr:uid="{E475E5FB-3281-4C8A-BCA4-D0F838BD7F00}"/>
    <cellStyle name="Italic" xfId="1271" xr:uid="{CDC7E618-680D-4E6A-BF5D-9A8D03E5E80B}"/>
    <cellStyle name="KA-Konto" xfId="1272" xr:uid="{0F1576E7-F1C2-4CA1-AC8A-1D4E42A4FF5E}"/>
    <cellStyle name="KA-Konto 2" xfId="1273" xr:uid="{8DE893CB-88CA-458F-A999-8CB7038D8236}"/>
    <cellStyle name="KA-Konto 3" xfId="1274" xr:uid="{A3571400-A7B8-45CB-9700-3B301924D5CF}"/>
    <cellStyle name="KA-Konto 4" xfId="1275" xr:uid="{BA0E27D9-36D7-4A01-8625-3245E88E8ABE}"/>
    <cellStyle name="KA-Konto_Division Summary  PCR" xfId="1276" xr:uid="{C33691B2-2580-4DE5-AD23-D0EF1CEF65F6}"/>
    <cellStyle name="KNR" xfId="1277" xr:uid="{E98C9CA7-E06A-4F44-ADD6-15C4739D10C9}"/>
    <cellStyle name="KNR 2" xfId="1278" xr:uid="{AB95049C-AE4D-4F4C-B3B8-1BC95600893C}"/>
    <cellStyle name="KNR 3" xfId="1279" xr:uid="{89D5C16E-A155-44CA-B0E5-88D7B8BBFB92}"/>
    <cellStyle name="KNR 4" xfId="1280" xr:uid="{0617D024-DF05-4B2D-A73A-88E57B554437}"/>
    <cellStyle name="Komma 2" xfId="1281" xr:uid="{035DBC3E-1FAC-4E1C-B519-E9E249EA89AE}"/>
    <cellStyle name="Komma 2 2" xfId="1719" xr:uid="{D592E5A0-7667-4BAC-8CC5-422BD6286236}"/>
    <cellStyle name="Komma 2 2 2" xfId="1815" xr:uid="{1B6F2AE3-D31A-4BE0-AED5-F6F1FACC42A0}"/>
    <cellStyle name="Komma 2 2 3" xfId="1767" xr:uid="{937578FD-9DB6-4165-B18C-0A7ECF69FEE7}"/>
    <cellStyle name="Komma 3" xfId="1282" xr:uid="{DA64AD54-1113-4F61-B710-BFC2A379471E}"/>
    <cellStyle name="Komma 4" xfId="1283" xr:uid="{7B87F39B-D477-479F-891E-AAB7AF62769E}"/>
    <cellStyle name="Komma 4 2" xfId="1720" xr:uid="{C318889E-5148-4134-BA48-E4AF4D879FF4}"/>
    <cellStyle name="Komma 4 2 2" xfId="1816" xr:uid="{8414C871-1613-4339-BFD4-6F288595EA26}"/>
    <cellStyle name="Komma 4 2 3" xfId="1768" xr:uid="{9FE2B946-9C1C-438F-B17C-EE9E7ABD0E04}"/>
    <cellStyle name="Komma 5" xfId="1284" xr:uid="{13DA543D-24E7-4A80-9234-F0A330D3F1D4}"/>
    <cellStyle name="Komma 5 2" xfId="1721" xr:uid="{7D402A71-D1AF-4AA7-892F-B87BFF835692}"/>
    <cellStyle name="Komma 5 2 2" xfId="1817" xr:uid="{94F53146-8B33-4BBD-B851-83E434EF1AAA}"/>
    <cellStyle name="Komma 5 2 3" xfId="1769" xr:uid="{1EF204E4-7F42-413E-AE04-E314ECE80304}"/>
    <cellStyle name="Komma 5 3" xfId="1773" xr:uid="{82DA842E-42A0-4631-98E4-3AF3BF04D6F6}"/>
    <cellStyle name="Komma 5 4" xfId="1725" xr:uid="{70816A1B-F305-492C-9073-E375F90297F3}"/>
    <cellStyle name="Komma 6" xfId="1678" xr:uid="{15A94A73-0ABD-4B80-BF4E-54140FCBE56F}"/>
    <cellStyle name="Komma 6 2" xfId="1774" xr:uid="{5FCB51D8-C981-4510-84FC-5178A1DFB43F}"/>
    <cellStyle name="Komma 6 3" xfId="1726" xr:uid="{F6C7AD9D-830C-4451-A8EE-42C978FA9EE3}"/>
    <cellStyle name="Komma 7" xfId="1772" xr:uid="{CCC4B0CD-C1E2-4065-822D-E8AB36AA02DA}"/>
    <cellStyle name="Komma 8" xfId="1724" xr:uid="{D1476081-DAB7-4073-9D1B-5407BED9FFA0}"/>
    <cellStyle name="Kopf einzelne" xfId="1285" xr:uid="{8288CAE9-B7E7-453D-A7B0-FDD8509BB7AE}"/>
    <cellStyle name="Kopf erste" xfId="1286" xr:uid="{21E1A2CA-97B7-44CD-9681-05C33DC40ABB}"/>
    <cellStyle name="Kopf letzte" xfId="1287" xr:uid="{1109C1AE-C1F8-49B4-82EF-83B2A9C595E9}"/>
    <cellStyle name="Kopf mittlere" xfId="1288" xr:uid="{FECD8F07-BB0C-4EE2-A253-023D619E5BF4}"/>
    <cellStyle name="Kosten" xfId="1289" xr:uid="{8FBE65A8-C614-4675-A06B-A5075464E628}"/>
    <cellStyle name="KPMG Heading 1" xfId="1290" xr:uid="{B832A177-1D1C-4D22-B676-DD92FC6C2677}"/>
    <cellStyle name="KPMG Heading 2" xfId="1291" xr:uid="{B60FF4BE-E2A3-402F-A21B-DF15423C5529}"/>
    <cellStyle name="KPMG Heading 3" xfId="1292" xr:uid="{21DA9C45-290C-456A-83CD-EB5770177750}"/>
    <cellStyle name="KPMG Heading 4" xfId="1293" xr:uid="{075E93DF-26D4-4C2E-BB1D-31983C30EF87}"/>
    <cellStyle name="KPMG Normal" xfId="1294" xr:uid="{620B3A11-5F5B-476D-B65B-485978052110}"/>
    <cellStyle name="KPMG Normal Text" xfId="1295" xr:uid="{3293376D-E2EC-449D-A508-DE3BAFA59B00}"/>
    <cellStyle name="Leerzeile" xfId="1296" xr:uid="{6B260A7F-B9D2-41D5-A75A-54A2EE34C6E3}"/>
    <cellStyle name="Linked Cell 2" xfId="1298" xr:uid="{DC5E9FF7-9F6E-4ED5-B5F8-E3D6BE132F13}"/>
    <cellStyle name="Linked Cell 3" xfId="1297" xr:uid="{2C978D6B-4C6F-4A8E-BCB4-F22C15CB7D5E}"/>
    <cellStyle name="MainData" xfId="1299" xr:uid="{9A760D82-1ED0-4189-A9C0-6E3F879F98AF}"/>
    <cellStyle name="MajorTotal" xfId="1300" xr:uid="{297888A3-BCCD-4B6B-AFF0-EF8AFE83F17E}"/>
    <cellStyle name="Matrix_Title" xfId="1301" xr:uid="{DECC7D43-8F5A-4D5F-94DD-94C2AF9D3F4B}"/>
    <cellStyle name="meny_Hárok1" xfId="1302" xr:uid="{F16F9132-E447-4104-A0FD-2746616299B9}"/>
    <cellStyle name="Middle Headers Centered" xfId="1303" xr:uid="{3E8EE854-3019-4A05-9963-CEC14E548987}"/>
    <cellStyle name="Migliaia" xfId="1304" xr:uid="{8BDF8E36-2D02-4564-95EA-A6AA9D92A2BC}"/>
    <cellStyle name="Millares 2" xfId="1305" xr:uid="{6976093E-C9FF-4BF1-8F2E-582689BD7971}"/>
    <cellStyle name="Millares 2 2" xfId="1306" xr:uid="{37350307-EE83-4210-90B4-34456ED3770A}"/>
    <cellStyle name="Millares 3" xfId="1307" xr:uid="{FBCDF514-5F10-4AF9-B0C1-7384732A4E16}"/>
    <cellStyle name="Millares 3 2" xfId="1308" xr:uid="{7D1EFF6C-9519-4497-8364-9E573C597C24}"/>
    <cellStyle name="Millares 3 2 2" xfId="1723" xr:uid="{5197C6A6-E621-4537-800A-21B147C84C00}"/>
    <cellStyle name="Millares 3 2 2 2" xfId="1819" xr:uid="{209A6A5C-28FF-4070-BE58-3FB1EC6D8329}"/>
    <cellStyle name="Millares 3 2 2 3" xfId="1771" xr:uid="{EF8DD6EF-ACE0-4554-AFBB-246FD6D1EB05}"/>
    <cellStyle name="Millares 3 3" xfId="1722" xr:uid="{296DBAD2-DC14-411E-88CA-B6C340AA802A}"/>
    <cellStyle name="Millares 3 3 2" xfId="1818" xr:uid="{1A787865-0B42-4DBD-AE0D-AB8D9E603772}"/>
    <cellStyle name="Millares 3 3 3" xfId="1770" xr:uid="{3960FF4E-541B-490F-ADB6-DE5A88493076}"/>
    <cellStyle name="Milliers [0]_3A_NumeratorReport_Option1_040611" xfId="1309" xr:uid="{0889B931-01E7-48D1-8B84-BA834C6D616C}"/>
    <cellStyle name="Milliers_3A_NumeratorReport_Option1_040611" xfId="1310" xr:uid="{4E6BDB38-9AAC-4214-B13D-75E3E44DE8BA}"/>
    <cellStyle name="MioS-Format" xfId="1311" xr:uid="{171EF6BB-3C87-40F3-A48C-085D8FBFB5F4}"/>
    <cellStyle name="Monétaire [0]_3A_NumeratorReport_Option1_040611" xfId="1312" xr:uid="{0A50B8AB-9390-4D42-8832-BBB54D29992A}"/>
    <cellStyle name="Monétaire_3A_NumeratorReport_Option1_040611" xfId="1313" xr:uid="{E48D25DD-90D4-44A3-A7DF-AE53E30BA33D}"/>
    <cellStyle name="Neutral 2" xfId="1314" xr:uid="{031AD2DB-F215-47A4-8708-DE127C715755}"/>
    <cellStyle name="Neutral 3" xfId="1315" xr:uid="{0051B825-112F-4BC1-9C90-DAF392786E4C}"/>
    <cellStyle name="Neutral 4" xfId="1316" xr:uid="{4883CC9D-1E3B-42FD-AD6C-9A479F7F18CD}"/>
    <cellStyle name="norma" xfId="1317" xr:uid="{677137A9-34CD-4C37-A1DF-BEB87AE2B90E}"/>
    <cellStyle name="Normal" xfId="0" builtinId="0"/>
    <cellStyle name="Normal - Style1" xfId="1318" xr:uid="{99516154-3BB4-493A-97D8-4F6DF00DDAEE}"/>
    <cellStyle name="Normal 10" xfId="1319" xr:uid="{AE6223A4-43B3-476C-B912-A05E06401016}"/>
    <cellStyle name="Normal 11" xfId="1320" xr:uid="{1F733194-F83C-4837-B5F1-B1ACC57E66B1}"/>
    <cellStyle name="Normal 12" xfId="1321" xr:uid="{383C3D1E-3857-47B1-A2A3-7D6A27BC7452}"/>
    <cellStyle name="Normal 13" xfId="1322" xr:uid="{461202F1-9DE5-41E9-AD96-8CB7B5A6BF71}"/>
    <cellStyle name="Normal 14" xfId="1323" xr:uid="{CE4E40C9-3F93-4A2F-AA27-3C17791728AF}"/>
    <cellStyle name="Normal 15" xfId="1324" xr:uid="{EC3022EB-A16C-4FE6-95F9-7FC72CF911E4}"/>
    <cellStyle name="Normal 16" xfId="1325" xr:uid="{4D2AFB5D-DAE6-4A0A-B1B6-F1D912E675FA}"/>
    <cellStyle name="Normal 17" xfId="1326" xr:uid="{A69C62AB-BEFD-4060-933F-0FB17A973DA5}"/>
    <cellStyle name="Normal 18" xfId="3" xr:uid="{1A3680E7-8982-47CE-A253-E72143FC2473}"/>
    <cellStyle name="Normal 19" xfId="1327" xr:uid="{C65AA115-C91B-4D4A-BFD8-DEE969CE0312}"/>
    <cellStyle name="Normal 2" xfId="1328" xr:uid="{98514525-54CA-457C-879E-22097510B704}"/>
    <cellStyle name="Normal 2 2" xfId="1329" xr:uid="{B717801C-CBBD-4450-BEB6-3B9C1A403964}"/>
    <cellStyle name="Normal 2 2 2" xfId="1330" xr:uid="{F3B94FD5-865A-41C5-A16A-07A63949AA78}"/>
    <cellStyle name="Normal 2 3" xfId="1331" xr:uid="{5C61035F-FB34-4D95-9982-3DECCCCBDF72}"/>
    <cellStyle name="Normal 2 4" xfId="1332" xr:uid="{51758035-AD78-4D2A-A467-0E6B0281A486}"/>
    <cellStyle name="Normal 2_~0149226" xfId="1333" xr:uid="{A73537E0-6A1D-417C-84F4-C7E3F151C1B2}"/>
    <cellStyle name="Normal 20" xfId="1334" xr:uid="{F7AA3ACE-D09A-4340-A8FF-520ABF89CF16}"/>
    <cellStyle name="Normal 21" xfId="1335" xr:uid="{80139756-B8F5-4A08-8E15-BCCA07810A1C}"/>
    <cellStyle name="Normal 22" xfId="1336" xr:uid="{CB6CCFDC-4720-4F0A-91F1-E6198A9EB6D5}"/>
    <cellStyle name="Normal 23" xfId="1337" xr:uid="{B4AB2626-49AC-4CC5-A1D1-ABFB0D33A550}"/>
    <cellStyle name="Normal 24" xfId="1338" xr:uid="{5104FB44-66DF-41AF-A65C-079E40E3EF00}"/>
    <cellStyle name="Normal 25" xfId="1339" xr:uid="{ABB70FF6-F458-4B91-ABBD-172C091D6CFB}"/>
    <cellStyle name="Normal 26" xfId="1340" xr:uid="{929D3B49-EF12-4049-A64D-99282FB26694}"/>
    <cellStyle name="Normal 3" xfId="1341" xr:uid="{2343C1CF-D771-4C61-A2AD-4CD3E418D3AA}"/>
    <cellStyle name="Normal 3 2" xfId="1342" xr:uid="{910E372D-C30A-4C5E-811C-BB13FA605AD9}"/>
    <cellStyle name="Normal 3 3" xfId="1343" xr:uid="{8FC13174-FA55-4596-B5EB-6CC8BDDDB240}"/>
    <cellStyle name="Normal 3_annex8corep" xfId="1344" xr:uid="{91BDE4AB-E80D-4AD6-B32A-31C12392014F}"/>
    <cellStyle name="Normal 4" xfId="1345" xr:uid="{6C433060-5651-4A93-8E53-C5EF8B0089EE}"/>
    <cellStyle name="Normal 5" xfId="1346" xr:uid="{DB4342F0-A433-400F-A8F5-321D1FC05A8F}"/>
    <cellStyle name="Normal 5 2" xfId="1347" xr:uid="{17BBA6B2-6ABB-48FE-89F0-DB722433780C}"/>
    <cellStyle name="Normal 6" xfId="1348" xr:uid="{C9A213FC-39EE-4701-91DC-F80F8159C7A2}"/>
    <cellStyle name="Normal 7" xfId="1349" xr:uid="{32A8DCB6-BEA1-4B8D-8444-62A67B4224C4}"/>
    <cellStyle name="Normal 7 2" xfId="1350" xr:uid="{3240F1F4-6DCF-4B3D-A2DE-3ECF05212B49}"/>
    <cellStyle name="Normal 7 2 2" xfId="1351" xr:uid="{4775CE1F-F9F6-4878-B5F4-BA6D216FBCF2}"/>
    <cellStyle name="Normal 7 2 2 2" xfId="1352" xr:uid="{5369F6A0-6C50-41ED-BA6A-2475D5BC0A4D}"/>
    <cellStyle name="Normal 7 2 3" xfId="1353" xr:uid="{ABA05B29-9312-4FF1-8F8A-C3CD2C4B328E}"/>
    <cellStyle name="Normal 7 3" xfId="1354" xr:uid="{D8F756C0-286E-435B-ADD7-719AEB585027}"/>
    <cellStyle name="Normal 7 3 2" xfId="1355" xr:uid="{2FC593E2-CA35-4F15-B410-0082F8729DEF}"/>
    <cellStyle name="Normal 7 4" xfId="1356" xr:uid="{5BE74AAF-82F5-496A-B60D-0A56AA2C7E3F}"/>
    <cellStyle name="Normal 7 5" xfId="1357" xr:uid="{E9B5CEB1-3375-4CF5-95F7-059B1563442D}"/>
    <cellStyle name="Normal 8" xfId="1358" xr:uid="{A1D1DA01-A406-4504-AC4F-0E67DAB391D8}"/>
    <cellStyle name="Normal 9" xfId="1359" xr:uid="{A37C5F57-0B88-455A-9DAA-258F4FEBFE48}"/>
    <cellStyle name="Normal Bew" xfId="1360" xr:uid="{C8E2A93A-FE06-46C4-8065-B38E7DB957C5}"/>
    <cellStyle name="Normal Bew blau T" xfId="1361" xr:uid="{5431191B-9F68-4A9C-98CF-12F6C18CC965}"/>
    <cellStyle name="Normal Bew du.blau T" xfId="1362" xr:uid="{81E348D1-E233-49D1-A615-4B762D995DD0}"/>
    <cellStyle name="Normal Bew du.blau T 2" xfId="1363" xr:uid="{94399F96-7D4C-45EE-9E79-D6DB059F7BFA}"/>
    <cellStyle name="Normal Bew T" xfId="1364" xr:uid="{7B7EBF54-719B-4587-ADF2-0CF3CA352712}"/>
    <cellStyle name="Normal Bew_20100616 overview " xfId="1365" xr:uid="{F4577FCF-8B45-4A70-BF5E-BB703F40E739}"/>
    <cellStyle name="Normale_2011 04 14 Templates for stress test_bcl" xfId="1366" xr:uid="{822E0D4B-2990-4376-93E3-566E47AA7815}"/>
    <cellStyle name="normálne_Hárok1" xfId="1367" xr:uid="{070AE80F-2A3C-4053-97AF-581AD9388A2F}"/>
    <cellStyle name="normální_CP_" xfId="1368" xr:uid="{A30485A3-7CCD-475D-BD3D-82A3A0A517E7}"/>
    <cellStyle name="Normalny_Costs 00" xfId="1369" xr:uid="{E0B34384-490E-4DD9-BEBA-6D27D125E04F}"/>
    <cellStyle name="Notas" xfId="1370" xr:uid="{0ED8EF2A-7541-4F35-9A40-F4F192AE6769}"/>
    <cellStyle name="Notas 2" xfId="1371" xr:uid="{25A3974C-DE92-42DA-BEDE-7027A559F9C4}"/>
    <cellStyle name="Note 2" xfId="1373" xr:uid="{8A54F7F1-B262-47D3-A822-09CB6551E8A9}"/>
    <cellStyle name="Note 2 2" xfId="1374" xr:uid="{1F47427C-7F28-47E6-88F6-0531262D3E41}"/>
    <cellStyle name="Note 3" xfId="1375" xr:uid="{C00E51B5-8C02-4F42-A903-4AB0C24312B9}"/>
    <cellStyle name="Note 4" xfId="1376" xr:uid="{69730EAC-AF32-4F0D-BB83-7D6FCDF811C4}"/>
    <cellStyle name="Note 5" xfId="1377" xr:uid="{27C8FEC2-24F1-4CC3-B20C-91E9EBC09AAA}"/>
    <cellStyle name="Note 6" xfId="1372" xr:uid="{73A8AAF1-E11E-4EFA-8DF2-A4B502ED7B66}"/>
    <cellStyle name="Notiz 2" xfId="1378" xr:uid="{4FD079A2-7A91-47D7-AA44-BCD4A33F7A6D}"/>
    <cellStyle name="Notiz 2 2" xfId="1379" xr:uid="{503736FC-9436-4F34-A4DF-D9FCA1A3E68F}"/>
    <cellStyle name="Notiz 2 2 2" xfId="1380" xr:uid="{53F4467D-2A48-4139-931C-503AC8CBED98}"/>
    <cellStyle name="Notiz 2 3" xfId="1381" xr:uid="{EC15B85A-5F68-478A-8943-588272B42DC6}"/>
    <cellStyle name="Notiz 2 4" xfId="1382" xr:uid="{1BE19FDF-9801-4179-A995-73556D23E04B}"/>
    <cellStyle name="Notiz 3" xfId="1383" xr:uid="{56045196-D211-4D9F-8BBE-60AEB2765BE5}"/>
    <cellStyle name="Notiz 3 2" xfId="1384" xr:uid="{5E3643BB-3BF5-4933-9B40-FEA4848340ED}"/>
    <cellStyle name="Output 2" xfId="1386" xr:uid="{9B0382F2-8297-40EB-B105-EB1A8C1971F1}"/>
    <cellStyle name="Output 2 2" xfId="1387" xr:uid="{6A1424CC-B423-471B-AE3E-43C45F2A7F27}"/>
    <cellStyle name="Output 3" xfId="1388" xr:uid="{43CB262A-3641-4A6D-95E9-24088F4CE8CA}"/>
    <cellStyle name="Output 4" xfId="1385" xr:uid="{45BFAA3D-7D3E-46B0-A99B-DB0ECF9F2DB0}"/>
    <cellStyle name="pb_page_heading_LS" xfId="1389" xr:uid="{694C2371-31C8-4D86-8F64-72C3FD9384A8}"/>
    <cellStyle name="Perc 1 decimal" xfId="1390" xr:uid="{C643FE1F-39DB-42EC-AC97-8A09486553DB}"/>
    <cellStyle name="Perc 2 decimal" xfId="1391" xr:uid="{108EE9B4-C1AE-4025-B726-C8AFECAF08BD}"/>
    <cellStyle name="Percent" xfId="1" builtinId="5"/>
    <cellStyle name="Percent [2]" xfId="1392" xr:uid="{8EE1D8CC-BF30-491D-9FB0-7B1B078D9ADA}"/>
    <cellStyle name="Percent 18" xfId="1393" xr:uid="{531A7E6C-D91C-4211-B405-22195F23377C}"/>
    <cellStyle name="Percent 2" xfId="1394" xr:uid="{E62DA42E-AE57-4326-B4E7-02B9C1AB7C4C}"/>
    <cellStyle name="Percent 2 2" xfId="1395" xr:uid="{D5A05E37-0EB3-4B17-9B23-751DB6BF3673}"/>
    <cellStyle name="Percent 3" xfId="1396" xr:uid="{8CC14994-F36D-4D18-AAE4-A4FB7BA3AD3E}"/>
    <cellStyle name="Percent 4" xfId="1397" xr:uid="{5849E4E1-7FD1-4292-AE2E-D12E2D8C5CB0}"/>
    <cellStyle name="Percent 5" xfId="1398" xr:uid="{76B73B13-180F-4B0D-A148-72D0B0B87129}"/>
    <cellStyle name="Percent 6" xfId="1399" xr:uid="{463ABC29-5C9E-46AC-96E8-0A0C884055C0}"/>
    <cellStyle name="Percent 7" xfId="1400" xr:uid="{DB244D92-30DB-499E-9D5C-6D37E44AEA77}"/>
    <cellStyle name="Percent(2)" xfId="1401" xr:uid="{90FD0D3E-CD88-4055-BEBF-B97C5511A0CA}"/>
    <cellStyle name="Percent(2) 2" xfId="1402" xr:uid="{DA6822CB-57E8-4E3F-80EF-E5E8F0A43625}"/>
    <cellStyle name="Percent(2) 2 2" xfId="1403" xr:uid="{9569D9C9-7A86-4AA5-98C2-D70035F6488C}"/>
    <cellStyle name="Percent(2) 3" xfId="1404" xr:uid="{5E047DC6-8A4E-4E50-8465-13623C8C2B28}"/>
    <cellStyle name="Percent(2) 3 2" xfId="1405" xr:uid="{675688E4-44C9-4CB1-B5D0-5594B1572160}"/>
    <cellStyle name="Percent(2) 4" xfId="1406" xr:uid="{497F50EE-D82F-4B62-85D1-09B233F84006}"/>
    <cellStyle name="Percent(2) 5" xfId="1407" xr:uid="{024F5F5B-D699-48A9-8605-5621EDD56485}"/>
    <cellStyle name="Percentage" xfId="1408" xr:uid="{7AF47E7C-B975-4D91-8810-A746DCBC63D5}"/>
    <cellStyle name="Place_header" xfId="1409" xr:uid="{516D7EFC-3BEB-464A-A318-25734689F469}"/>
    <cellStyle name="Placeholder" xfId="1410" xr:uid="{8CEB7A0A-30F7-49D6-B599-F28443F8B96C}"/>
    <cellStyle name="Placeholder Header Underlined bold" xfId="1411" xr:uid="{6B324399-CCA7-4AF9-B0C9-003A1DA310AC}"/>
    <cellStyle name="Placeholder_column_blank" xfId="1412" xr:uid="{CA67B695-10A9-4053-A171-CED6D4B4A4F1}"/>
    <cellStyle name="prova colore" xfId="1413" xr:uid="{543A8EF8-41A2-4108-90C5-03D1C492E5C6}"/>
    <cellStyle name="provaaa" xfId="1414" xr:uid="{7382985C-9DCE-4E75-B0AE-90E14CC4096F}"/>
    <cellStyle name="Prozent 10" xfId="1415" xr:uid="{EAEEE666-CA8A-4142-9F45-A89F38427887}"/>
    <cellStyle name="Prozent 2" xfId="1416" xr:uid="{BADD9A02-574E-42DB-A1E2-7EB5DB1F3675}"/>
    <cellStyle name="Prozent 2 2" xfId="1417" xr:uid="{3B34F935-2943-4EC0-B3E1-69BEF5B828EF}"/>
    <cellStyle name="Prozent 2 3" xfId="1418" xr:uid="{F45A22FD-B234-431A-BBC5-F47D787D64D5}"/>
    <cellStyle name="Prozent 2 4" xfId="1419" xr:uid="{8FC64D2F-6717-4E76-9BDE-7B959B311634}"/>
    <cellStyle name="Prozent 3" xfId="1420" xr:uid="{3B79CCA3-B91E-4847-8DD3-ECFBB1A02EB6}"/>
    <cellStyle name="Prozent 3 2" xfId="1421" xr:uid="{B9939A36-1CA7-4D8D-999E-6D1D46AE0BD8}"/>
    <cellStyle name="Prozent 3 3" xfId="1422" xr:uid="{6E33B6D3-86C8-4597-829B-6DE0F897E1ED}"/>
    <cellStyle name="Prozent 3 4" xfId="1423" xr:uid="{158EE278-E8EF-4ACE-8CAA-2DA39D6AFDE0}"/>
    <cellStyle name="Prozent 3 5" xfId="1424" xr:uid="{665CD793-3890-4403-ACD9-D529AAD60AF4}"/>
    <cellStyle name="Prozent 4" xfId="1425" xr:uid="{24DF68A3-B71B-40E5-BD33-AEF75F63C621}"/>
    <cellStyle name="Prozent 4 2" xfId="1426" xr:uid="{50459088-F8A5-42F5-BD51-0D4B0209A332}"/>
    <cellStyle name="Prozent 4 3" xfId="1427" xr:uid="{3A442444-D91B-4F85-A39C-F4511DE9E9F1}"/>
    <cellStyle name="Prozent 5" xfId="1428" xr:uid="{29235B2C-2362-4F1D-ADFF-41A19A920182}"/>
    <cellStyle name="Prozent 5 2" xfId="1429" xr:uid="{68A9C335-DA9D-4A1C-B620-C508FD53C1DF}"/>
    <cellStyle name="Prozent 6" xfId="1430" xr:uid="{A3BDFA60-DBC1-4E77-BC99-63A68960BCC3}"/>
    <cellStyle name="Prozent 7" xfId="1431" xr:uid="{C976028C-2684-4FCB-9B4E-5C607DEDA108}"/>
    <cellStyle name="Prozent 8" xfId="1432" xr:uid="{322ABD44-D95B-4E6C-86B2-1F2A1D2FBBC2}"/>
    <cellStyle name="Prozent 9" xfId="1433" xr:uid="{4198E3DC-7378-4B29-A78A-31AE889A37E5}"/>
    <cellStyle name="R_Area_font" xfId="1434" xr:uid="{20A70290-C93A-4EF0-96BF-AC3CA62C03D5}"/>
    <cellStyle name="R_formula" xfId="1435" xr:uid="{5968387B-5EF0-4530-B457-EE8A4433DA71}"/>
    <cellStyle name="R_head_font" xfId="1436" xr:uid="{A8FB6D02-AC1C-4B44-B29C-1FF0BA2AD242}"/>
    <cellStyle name="Row Header" xfId="1437" xr:uid="{D1B8512D-94FB-427D-B4EE-1FB051666393}"/>
    <cellStyle name="Salida" xfId="1438" xr:uid="{A5087890-618A-4903-A2D4-37FC6DECE797}"/>
    <cellStyle name="Salida 2" xfId="1439" xr:uid="{90B847C8-3F17-448C-8FF4-E640605C88CD}"/>
    <cellStyle name="SAPBEXaggData" xfId="1440" xr:uid="{DC1EB197-6B23-4BC8-85BD-E9E30CF3060A}"/>
    <cellStyle name="SAPBEXaggDataEmph" xfId="1441" xr:uid="{0727FC41-FD54-447E-8B2B-3D261BBBF5AA}"/>
    <cellStyle name="SAPBEXaggItem" xfId="1442" xr:uid="{BE7240CD-B383-45DC-BFDE-FAAD606F9371}"/>
    <cellStyle name="SAPBEXaggItemX" xfId="1443" xr:uid="{033155DA-B0AC-431B-84D5-37F10A8D86A8}"/>
    <cellStyle name="SAPBEXchaText" xfId="1444" xr:uid="{1235FF09-84B1-4108-BADC-4902C11B9977}"/>
    <cellStyle name="SAPBEXexcBad7" xfId="1445" xr:uid="{D2CDD325-A7EF-4C5F-BB64-D6A235783F51}"/>
    <cellStyle name="SAPBEXexcBad8" xfId="1446" xr:uid="{E56AF712-27C1-4DAD-9536-56D9E8221CE6}"/>
    <cellStyle name="SAPBEXexcBad9" xfId="1447" xr:uid="{826D57A0-3E6C-4B41-A203-D7988B173BDC}"/>
    <cellStyle name="SAPBEXexcCritical4" xfId="1448" xr:uid="{6BF088F8-B206-4F02-A88A-B5553AE6E1BE}"/>
    <cellStyle name="SAPBEXexcCritical5" xfId="1449" xr:uid="{EF78F1DE-04B4-48CA-A94C-5438A47BCEE2}"/>
    <cellStyle name="SAPBEXexcCritical6" xfId="1450" xr:uid="{68D4FA36-370B-4945-A0B1-38DB44A252A5}"/>
    <cellStyle name="SAPBEXexcGood1" xfId="1451" xr:uid="{071C62A1-8F67-4F69-927D-61546E7934A9}"/>
    <cellStyle name="SAPBEXexcGood2" xfId="1452" xr:uid="{45BD9021-94A2-4B13-B93D-2A1A364B66CC}"/>
    <cellStyle name="SAPBEXexcGood3" xfId="1453" xr:uid="{8C555C7B-9B56-46A0-A057-F36013526546}"/>
    <cellStyle name="SAPBEXfilterDrill" xfId="1454" xr:uid="{E3A45B5A-8A6F-41F3-8D75-7BB51AA6751A}"/>
    <cellStyle name="SAPBEXfilterItem" xfId="1455" xr:uid="{11977E42-081B-4494-BD14-587B6FD0028D}"/>
    <cellStyle name="SAPBEXfilterText" xfId="1456" xr:uid="{D93AC772-AAD0-419E-9AE6-B2D5BC272AC7}"/>
    <cellStyle name="SAPBEXformats" xfId="1457" xr:uid="{5D132868-0F71-4A44-8135-E1C32A8A8C32}"/>
    <cellStyle name="SAPBEXheaderItem" xfId="1458" xr:uid="{941CBEFF-3C4F-41BA-88A7-B191A10A8470}"/>
    <cellStyle name="SAPBEXheaderText" xfId="1459" xr:uid="{926121C7-BB8D-4F12-8590-81E5E87C4F27}"/>
    <cellStyle name="SAPBEXHLevel0" xfId="1460" xr:uid="{734779CD-0995-4FDF-94B1-B817524A453D}"/>
    <cellStyle name="SAPBEXHLevel0X" xfId="1461" xr:uid="{634608C4-D87D-4DE4-AEE3-BD3F3350B278}"/>
    <cellStyle name="SAPBEXHLevel1" xfId="1462" xr:uid="{AB6FBBB4-4CD3-4E4F-8100-357E5B435ED5}"/>
    <cellStyle name="SAPBEXHLevel1X" xfId="1463" xr:uid="{BDBFF3F5-23DA-48C1-883D-D528349D4CFF}"/>
    <cellStyle name="SAPBEXHLevel2" xfId="1464" xr:uid="{05C626C9-863F-467D-8A05-A6BA71421219}"/>
    <cellStyle name="SAPBEXHLevel2X" xfId="1465" xr:uid="{48C5DD3A-53BA-4882-A796-C800CDD5298A}"/>
    <cellStyle name="SAPBEXHLevel3" xfId="1466" xr:uid="{1072BF6A-E69A-40CD-9FD4-31AD7FC095E2}"/>
    <cellStyle name="SAPBEXHLevel3X" xfId="1467" xr:uid="{76DBB7E6-4A92-44B1-866E-FA761AABD6D2}"/>
    <cellStyle name="SAPBEXresData" xfId="1468" xr:uid="{01565F6E-F3A8-4049-8E40-1B8978D35735}"/>
    <cellStyle name="SAPBEXresDataEmph" xfId="1469" xr:uid="{75071F05-8CD4-44D6-AB9E-CC3B8AE4562C}"/>
    <cellStyle name="SAPBEXresItem" xfId="1470" xr:uid="{B7CB03AC-41CF-41B9-94EB-B323155C9973}"/>
    <cellStyle name="SAPBEXresItemX" xfId="1471" xr:uid="{F64671EA-2D1D-43E6-BD2D-FD0B936E2F76}"/>
    <cellStyle name="SAPBEXstdData" xfId="1472" xr:uid="{263DAD81-8B31-4DDD-BD3A-AC2BBC351A27}"/>
    <cellStyle name="SAPBEXstdDataEmph" xfId="1473" xr:uid="{AD9CE703-D3AE-4D61-80D7-2F3EB4FFA3B4}"/>
    <cellStyle name="SAPBEXstdItem" xfId="1474" xr:uid="{9B6D24F9-3802-43CF-9BED-CFA856618B43}"/>
    <cellStyle name="SAPBEXstdItemX" xfId="1475" xr:uid="{BD0CE8A8-BDB2-474B-B92A-654FEBA52872}"/>
    <cellStyle name="SAPBEXtitle" xfId="1476" xr:uid="{6B3AC6DA-A819-49DE-BA2F-1B1FD681DAC2}"/>
    <cellStyle name="SAPBEXundefined" xfId="1477" xr:uid="{AE90F77C-BDE8-498C-AD54-3031D75560ED}"/>
    <cellStyle name="SAPError" xfId="1478" xr:uid="{1B30BE99-1AC8-4801-84EF-6A30C9D0C3C8}"/>
    <cellStyle name="SAPError 2" xfId="1479" xr:uid="{D71BD1F5-DEFA-4EB8-BC37-958E5FFE0A9D}"/>
    <cellStyle name="SAPError 2 2" xfId="1480" xr:uid="{894671C8-6408-41DD-A1FE-90FB46497190}"/>
    <cellStyle name="SAPError 3" xfId="1481" xr:uid="{98126A22-2C9C-457F-B3BF-7548050AD27B}"/>
    <cellStyle name="SAPError 3 2" xfId="1482" xr:uid="{B7E03DF5-FEA4-4E1A-96BE-F22988A3E855}"/>
    <cellStyle name="SAPError 4" xfId="1483" xr:uid="{29507BA7-8989-48B5-9E29-B864D9AAEFD3}"/>
    <cellStyle name="SAPError 5" xfId="1484" xr:uid="{D41AF99A-9CE5-45D0-B84B-A229C88BFC34}"/>
    <cellStyle name="SAPKey" xfId="1485" xr:uid="{C1BA1FAC-0A32-453C-BCB9-116B808929F3}"/>
    <cellStyle name="SAPKey 2" xfId="1486" xr:uid="{05E202D5-41D7-4331-8621-99C4432C1296}"/>
    <cellStyle name="SAPKey 2 2" xfId="1487" xr:uid="{7DEDD32D-50D3-4417-B7AB-4120A215E001}"/>
    <cellStyle name="SAPKey 3" xfId="1488" xr:uid="{D03CD4FC-BA9E-4677-9804-18D34CFC435F}"/>
    <cellStyle name="SAPKey 3 2" xfId="1489" xr:uid="{5D29BF97-7315-4603-8847-EA3EE0184299}"/>
    <cellStyle name="SAPKey 4" xfId="1490" xr:uid="{4DBCEE90-14AF-40AB-87EC-D5628BF0FD06}"/>
    <cellStyle name="SAPKey 5" xfId="1491" xr:uid="{1A8216DD-E058-4387-ACD0-54B3FAE34109}"/>
    <cellStyle name="SAPLocked" xfId="1492" xr:uid="{A1FBF43B-E8C6-449B-B901-EAF5DF2DA586}"/>
    <cellStyle name="SAPLocked 2" xfId="1493" xr:uid="{238D77A9-AFD3-4BF7-B939-1C250076081E}"/>
    <cellStyle name="SAPLocked 2 2" xfId="1494" xr:uid="{14EE699E-38CE-43E4-8461-79E1E3490613}"/>
    <cellStyle name="SAPLocked 3" xfId="1495" xr:uid="{426A19CB-2F13-474C-A681-9DE67D916F16}"/>
    <cellStyle name="SAPLocked 3 2" xfId="1496" xr:uid="{FA76D7E6-C02E-4E6F-85A7-145E404B2E8B}"/>
    <cellStyle name="SAPLocked 4" xfId="1497" xr:uid="{570E353D-5E69-44D6-B5D0-F9F030C78986}"/>
    <cellStyle name="SAPLocked 5" xfId="1498" xr:uid="{2CDE0487-4A74-4CA2-9F3A-C43C521EEC3B}"/>
    <cellStyle name="SAPOutput" xfId="1499" xr:uid="{B58683B5-9104-4DFE-AC43-F5A0722BD88E}"/>
    <cellStyle name="SAPOutput 2" xfId="1500" xr:uid="{1553E3DE-5456-4892-9D14-D69A9B9E9892}"/>
    <cellStyle name="SAPOutput 2 2" xfId="1501" xr:uid="{B0FE1735-FA50-4903-8BF9-295484B65A2F}"/>
    <cellStyle name="SAPOutput 3" xfId="1502" xr:uid="{1E22B665-B465-4029-B3EE-A9A7698A4DFA}"/>
    <cellStyle name="SAPOutput 3 2" xfId="1503" xr:uid="{21C5ADAB-BB86-4BAF-B778-440F75FFD7A8}"/>
    <cellStyle name="SAPOutput 3 3" xfId="1504" xr:uid="{46B459E2-8F49-47CD-B4EC-3A16AD3BB67D}"/>
    <cellStyle name="SAPOutput 4" xfId="1505" xr:uid="{03A10471-8403-4725-91FE-3DE6C3A23A1F}"/>
    <cellStyle name="SAPOutput 5" xfId="1506" xr:uid="{0C2BB7D8-2267-4961-972E-C37FDD64B248}"/>
    <cellStyle name="SAPSpace" xfId="1507" xr:uid="{95B8B32C-1489-46D9-AC01-A2A52494A042}"/>
    <cellStyle name="SAPSpace 2" xfId="1508" xr:uid="{E75F38DF-FB49-49FB-AB34-238CFF448909}"/>
    <cellStyle name="SAPSpace 2 2" xfId="1509" xr:uid="{D233F21F-6AB7-4BA3-AF38-6283C26336E4}"/>
    <cellStyle name="SAPSpace 3" xfId="1510" xr:uid="{76407FB3-C0EF-4D48-A3EE-C45E36A9C3DB}"/>
    <cellStyle name="SAPSpace 3 2" xfId="1511" xr:uid="{4BA1F02A-869F-4FE4-98C1-65764E148FDB}"/>
    <cellStyle name="SAPSpace 4" xfId="1512" xr:uid="{4999BAC9-AA7E-4AAC-91DF-D22CB1213E4F}"/>
    <cellStyle name="SAPSpace 5" xfId="1513" xr:uid="{A308391E-8880-4761-B692-DAA3918EC964}"/>
    <cellStyle name="SAPText" xfId="1514" xr:uid="{B1BD6069-1BE8-4700-B3A6-72049B33CDFA}"/>
    <cellStyle name="SAPText 2" xfId="1515" xr:uid="{9C3784AF-BA24-498E-8856-CA163FC1345A}"/>
    <cellStyle name="SAPText 2 2" xfId="1516" xr:uid="{5E00EF53-0F6B-4271-AFEE-59AD471D9804}"/>
    <cellStyle name="SAPText 3" xfId="1517" xr:uid="{99019656-D5F7-485B-953D-575FF9380428}"/>
    <cellStyle name="SAPText 3 2" xfId="1518" xr:uid="{ACDE34F5-313D-4FB9-85DF-F7DD374C2AF7}"/>
    <cellStyle name="SAPText 4" xfId="1519" xr:uid="{5350C5AC-E40D-446A-826C-CCF9FC133F66}"/>
    <cellStyle name="SAPText 5" xfId="1520" xr:uid="{59BFEE28-519B-4401-A564-539936F31E2A}"/>
    <cellStyle name="SAPUnLocked" xfId="1521" xr:uid="{C40DD355-5839-4E31-96B7-6434E5C08487}"/>
    <cellStyle name="SAPUnLocked 2" xfId="1522" xr:uid="{5606DED1-A8CA-4284-AABC-3966CCD7F531}"/>
    <cellStyle name="SAPUnLocked 2 2" xfId="1523" xr:uid="{71C66730-40C0-4C9A-8D54-B7C398EC4D63}"/>
    <cellStyle name="SAPUnLocked 3" xfId="1524" xr:uid="{3B330182-83EF-4361-B910-6D868F7ED8EE}"/>
    <cellStyle name="SAPUnLocked 3 2" xfId="1525" xr:uid="{467F748C-43F2-45CD-84B1-46542FECFEBC}"/>
    <cellStyle name="SAPUnLocked 4" xfId="1526" xr:uid="{AE44952C-5E3B-4422-9053-45A9945DFBB8}"/>
    <cellStyle name="SAPUnLocked 5" xfId="1527" xr:uid="{853F3CCE-A07A-4049-8073-E85DEB5D5CDD}"/>
    <cellStyle name="Schlecht 2" xfId="1528" xr:uid="{1451783B-CC0E-42D4-A993-E9E4E5A93DF2}"/>
    <cellStyle name="Schlecht 3" xfId="1529" xr:uid="{714D2318-B313-47FA-958B-1DD530B94847}"/>
    <cellStyle name="Schlecht 4" xfId="1530" xr:uid="{23D15C92-9AFE-4C97-9148-4625EBB76DB6}"/>
    <cellStyle name="S-Format" xfId="1531" xr:uid="{A25E2E18-CD59-4FE8-BD30-AA1F97FE01E3}"/>
    <cellStyle name="Standard 10" xfId="1532" xr:uid="{F295B959-0DC0-4883-B630-F8897CD376C0}"/>
    <cellStyle name="Standard 11" xfId="1533" xr:uid="{B37CAD7B-10D0-4B5A-A2C5-C3515852F8C7}"/>
    <cellStyle name="Standard 12" xfId="1534" xr:uid="{C6F33CB6-6F12-4BE5-B0C6-E2B781BC2FB7}"/>
    <cellStyle name="Standard 13" xfId="1535" xr:uid="{A891EC63-2DE5-412F-AFEB-679E7D764989}"/>
    <cellStyle name="Standard 14" xfId="1536" xr:uid="{CC3216B0-5A58-48C7-BBAA-ABA80E8FF07E}"/>
    <cellStyle name="Standard 15" xfId="1537" xr:uid="{03AFEEEA-051E-418A-8C70-7EE10FE5B09E}"/>
    <cellStyle name="Standard 16" xfId="1538" xr:uid="{FD3F1140-6153-4301-81CA-0DCD3FE2B9A9}"/>
    <cellStyle name="Standard 16 2" xfId="1539" xr:uid="{7BEC5220-C800-4870-8082-58E5D84D8123}"/>
    <cellStyle name="Standard 17" xfId="1540" xr:uid="{AF3EA186-CAEA-49CD-B387-0B4ED44C83A5}"/>
    <cellStyle name="Standard 17 2" xfId="1541" xr:uid="{87AD0526-D064-439C-BEEC-1EF3715CB3C9}"/>
    <cellStyle name="Standard 17 2 2" xfId="1542" xr:uid="{43952412-D897-4618-9831-E9BF38207EB2}"/>
    <cellStyle name="Standard 17 3" xfId="1543" xr:uid="{4C524EA1-86F3-4C19-9041-74F121A77274}"/>
    <cellStyle name="Standard 18" xfId="1544" xr:uid="{B320863A-2F11-49C7-8979-623188E33650}"/>
    <cellStyle name="Standard 18 2" xfId="1545" xr:uid="{EF5AA706-41E8-489E-863C-1FF2355D9125}"/>
    <cellStyle name="Standard 19" xfId="1546" xr:uid="{C793DEAF-99EB-4825-8915-4A2C65317FE6}"/>
    <cellStyle name="Standard 2" xfId="2" xr:uid="{04BA50F9-6AE1-45EB-9401-DA5E2F0E0F5E}"/>
    <cellStyle name="Standard 2 2" xfId="1548" xr:uid="{3B5B867F-08AC-4147-9114-E568A77D36EB}"/>
    <cellStyle name="Standard 2 2 2" xfId="1549" xr:uid="{C4399156-2CE1-4CEB-AB48-E4AAC8B17BF6}"/>
    <cellStyle name="Standard 2 2 2 2" xfId="1550" xr:uid="{20644BEE-1CDA-4BC9-AB3B-4CF9B08B5E70}"/>
    <cellStyle name="Standard 2 2 3" xfId="1551" xr:uid="{F26C445A-5065-4F53-83FA-15EC4EF7513E}"/>
    <cellStyle name="Standard 2 3" xfId="1552" xr:uid="{4667B90E-0E5B-4CE4-A22B-6687B44B27E3}"/>
    <cellStyle name="Standard 2 3 2" xfId="1553" xr:uid="{C2210296-90D4-426B-8431-81CFC46C0E9C}"/>
    <cellStyle name="Standard 2 4" xfId="1554" xr:uid="{7D4EE129-7B64-49CD-A18B-AC4E231118B1}"/>
    <cellStyle name="Standard 2_BG T05 (Segments)" xfId="1547" xr:uid="{F1877A19-820D-4780-B808-AD3A20F20F18}"/>
    <cellStyle name="Standard 20" xfId="1555" xr:uid="{47B79BDA-F41B-40BB-801C-C3E7BA9E2EDF}"/>
    <cellStyle name="Standard 3" xfId="1556" xr:uid="{6E7C9A40-718E-455D-A04A-12B4F3A37064}"/>
    <cellStyle name="Standard 3 2" xfId="1557" xr:uid="{118EBFB6-49EB-4580-B57A-FEFBCB7CF254}"/>
    <cellStyle name="Standard 3 2 2" xfId="1558" xr:uid="{A9107616-E3D8-4B23-A136-0A3A7136DD17}"/>
    <cellStyle name="Standard 3 3" xfId="1559" xr:uid="{F70B8BBF-F862-46B3-B0D3-F037E77E29B5}"/>
    <cellStyle name="Standard 38 2" xfId="4" xr:uid="{B684E678-F78C-457F-831D-B411DC85BA07}"/>
    <cellStyle name="Standard 4" xfId="1560" xr:uid="{8149A7B2-3317-4DBF-B9E9-E7A049C798EE}"/>
    <cellStyle name="Standard 4 2" xfId="1561" xr:uid="{39A00D1B-C16A-4525-B6F4-4C3E0BE68B02}"/>
    <cellStyle name="Standard 4 3" xfId="1562" xr:uid="{816357B4-DF91-414B-90BF-9C61DAE56DBC}"/>
    <cellStyle name="Standard 4 4" xfId="1563" xr:uid="{15248DC0-31B3-4D1C-893A-3340EEA321F7}"/>
    <cellStyle name="Standard 4 4 2" xfId="1564" xr:uid="{9F89ED48-1F13-41D7-A652-4EB9681E6B68}"/>
    <cellStyle name="Standard 4 4 2 2" xfId="1565" xr:uid="{76EBB7A6-D02D-4CBA-B4D1-B20F0CA25387}"/>
    <cellStyle name="Standard 4 4 3" xfId="1566" xr:uid="{C666110D-9692-4A48-B11C-4B88D0DEEF85}"/>
    <cellStyle name="Standard 4 5" xfId="1567" xr:uid="{F31C7129-1609-49A1-8B9E-8A8B27BA163A}"/>
    <cellStyle name="Standard 4_Kopie von 2013_Business_Performance_Report_Segment Reporting February_work in progress_Knauer" xfId="1568" xr:uid="{B37C791F-8DC2-4CF8-AC27-60C68E8DB96F}"/>
    <cellStyle name="Standard 5" xfId="1569" xr:uid="{63FC5D83-DA17-41BA-A3AB-4B4496C26434}"/>
    <cellStyle name="Standard 5 2" xfId="1570" xr:uid="{0168946E-8409-4EF7-82D6-74E7444BBD5E}"/>
    <cellStyle name="Standard 6" xfId="1571" xr:uid="{2A6C0331-4811-405B-AD95-663FB40201BF}"/>
    <cellStyle name="Standard 7" xfId="1572" xr:uid="{4B8A6767-3DD9-4AF5-8638-D8D33C87FF40}"/>
    <cellStyle name="Standard 8" xfId="1573" xr:uid="{ED589C60-DE28-49EF-B868-B54D18EC534F}"/>
    <cellStyle name="Standard 9" xfId="1574" xr:uid="{E79D0A85-AD1B-40C3-BA60-34294531658D}"/>
    <cellStyle name="Standard 9 2" xfId="1575" xr:uid="{9EFF8126-DC8B-455F-98BA-C6B6EE7BC2F9}"/>
    <cellStyle name="Standard2" xfId="1576" xr:uid="{A9ACE1A8-9B19-4C8D-81DB-55586B7E2858}"/>
    <cellStyle name="Standard3" xfId="1577" xr:uid="{FA31FDC5-4129-402D-8CCE-7EE6F9756C6A}"/>
    <cellStyle name="Standard3 2" xfId="1578" xr:uid="{4DD3D3AD-0442-4E09-9D44-D5FC876BA4A7}"/>
    <cellStyle name="Standard3 2 2" xfId="1579" xr:uid="{F0FE70B7-BC71-4787-88F1-02CE22B96012}"/>
    <cellStyle name="Standard3 3" xfId="1580" xr:uid="{453FFAB5-89FC-4B8E-BF3E-357B9CE3F258}"/>
    <cellStyle name="Standard3 3 2" xfId="1581" xr:uid="{794EE182-492C-41BD-A1F8-03E14044AF39}"/>
    <cellStyle name="Standard3 4" xfId="1582" xr:uid="{67A21021-04CD-45B0-A0D4-12CBEA42BB55}"/>
    <cellStyle name="Standard3 5" xfId="1583" xr:uid="{C095B33C-2314-418C-BBBC-B6C10425AE92}"/>
    <cellStyle name="Standard3_Kopie von 2013_Business_Performance_Report_Segment Reporting February_work in progress_Knauer" xfId="1584" xr:uid="{84FB3E45-73E9-4B36-BA96-BDACE3888107}"/>
    <cellStyle name="Standard4" xfId="1585" xr:uid="{EC88505D-54CB-41D4-8A4D-DF37B463B100}"/>
    <cellStyle name="Status Check" xfId="1586" xr:uid="{D574109D-DC86-44D5-B0D7-4653E9B25240}"/>
    <cellStyle name="Stil 1" xfId="1587" xr:uid="{13C0F908-A0DE-4407-924C-882B7DCFB7CF}"/>
    <cellStyle name="Stil 1 2" xfId="1588" xr:uid="{C933400C-59E6-4209-A192-A6D3B90277D0}"/>
    <cellStyle name="Stil 1 2 2" xfId="1589" xr:uid="{EDB8610B-5D14-4435-9E98-C693568E9367}"/>
    <cellStyle name="Stil 1 3" xfId="1590" xr:uid="{24CBC153-16E4-4D6A-914D-255864C38288}"/>
    <cellStyle name="Stil 1 3 2" xfId="1591" xr:uid="{AAF111D6-BE94-4B47-8D81-BBD62D173078}"/>
    <cellStyle name="Stil 1 4" xfId="1592" xr:uid="{89001B25-7B0C-4EB0-9AB5-0028C6D3CC37}"/>
    <cellStyle name="Stil 1 5" xfId="1593" xr:uid="{0DBFF986-0E0D-4563-834F-2CCF5DA6A751}"/>
    <cellStyle name="Stil 1_Kopie von 2013_Business_Performance_Report_Segment Reporting February_work in progress_Knauer" xfId="1594" xr:uid="{98BDF689-AFF3-4A67-BF68-F5D635A78DAE}"/>
    <cellStyle name="Style 1" xfId="1595" xr:uid="{1277ECC1-57C4-4644-BD1B-1A8FBB06DA6C}"/>
    <cellStyle name="Style 2" xfId="1596" xr:uid="{67D301A2-0BFE-4DA4-945B-4E961A58FABD}"/>
    <cellStyle name="STYLE1" xfId="1597" xr:uid="{DAE92AC2-A478-4A35-BC0E-B863CA53FEB1}"/>
    <cellStyle name="STYLE2" xfId="1598" xr:uid="{18F27C77-D0BF-4706-BFEB-2DD69D391566}"/>
    <cellStyle name="SubTotal" xfId="1599" xr:uid="{C1E916A7-5C57-4160-B3F8-0C0926CCF3E0}"/>
    <cellStyle name="Subtotal Amounts row fill" xfId="1600" xr:uid="{1E6BC691-C700-44BE-B891-DA024BC33056}"/>
    <cellStyle name="Subtotal Amounts row fill 2" xfId="1601" xr:uid="{5DB6EAB6-C9AA-45AC-9914-92994C1292DF}"/>
    <cellStyle name="Subtotal head row fill" xfId="1602" xr:uid="{ED0109FA-5F64-40FD-9222-F80237C7C6D9}"/>
    <cellStyle name="Subtotal_amounts" xfId="1603" xr:uid="{AE0C7A21-B160-4CD3-9BBE-43402FF32DFD}"/>
    <cellStyle name="Summe" xfId="1604" xr:uid="{19FCEA20-7928-4571-B5CA-B8C4CCFC8F5E}"/>
    <cellStyle name="test" xfId="1605" xr:uid="{24FAB742-2D9E-43E0-8AF6-BF3D13853409}"/>
    <cellStyle name="test a style" xfId="1606" xr:uid="{3DF2FAF0-70C6-423C-808F-917064966A19}"/>
    <cellStyle name="TEUR-FORMAT" xfId="1607" xr:uid="{9ACB5C41-2D7A-4270-9884-D4564FD69E0E}"/>
    <cellStyle name="TEUR-Format (gerundet)" xfId="1608" xr:uid="{3C099DC7-D200-4BF8-A6E1-84EDE0BC6D45}"/>
    <cellStyle name="TEUR-FORMAT_Anlage RS Steuergruppe 2007" xfId="1609" xr:uid="{978DDF31-4FC3-4374-842B-6A26A11713CD}"/>
    <cellStyle name="Text" xfId="1610" xr:uid="{742D7CBC-705F-4ED9-AE97-9C9184108E94}"/>
    <cellStyle name="Texto de advertencia" xfId="1611" xr:uid="{6F139847-70ED-4FEE-9710-DBF4614C5165}"/>
    <cellStyle name="Texto explicativo" xfId="1612" xr:uid="{34B3F55B-85BA-4908-BAD1-74AB467856FE}"/>
    <cellStyle name="TGK_TOC_PAGE_COLUMN" xfId="1613" xr:uid="{1A491F58-2A2D-48F8-9250-F321BCFBE00B}"/>
    <cellStyle name="Titel" xfId="1614" xr:uid="{240F99CE-461C-4DF7-A0AF-CED8CF18139F}"/>
    <cellStyle name="Title 2" xfId="1616" xr:uid="{58F2B30E-9335-4278-A2F5-BB6D5C8C9514}"/>
    <cellStyle name="Title 3" xfId="1615" xr:uid="{D25D3F3C-0B79-4FE9-B7B3-CC26B6EA9515}"/>
    <cellStyle name="Título" xfId="1617" xr:uid="{5D598F25-258F-403D-A677-ED9B74F9DB78}"/>
    <cellStyle name="Título 1" xfId="1618" xr:uid="{0D38FA90-348B-4334-8513-5804F29FA353}"/>
    <cellStyle name="Título 2" xfId="1619" xr:uid="{004E0E92-990E-44C6-B0B7-1B007A79FCA7}"/>
    <cellStyle name="Título 3" xfId="1620" xr:uid="{C462A986-323C-417A-AB59-75DE76C67036}"/>
    <cellStyle name="Total 2" xfId="1622" xr:uid="{7CCD4846-E3E8-4B81-903C-E575E1346844}"/>
    <cellStyle name="Total 2 2" xfId="1623" xr:uid="{1B6BFDFC-D522-4362-9CDB-5DA4404C0F34}"/>
    <cellStyle name="Total 3" xfId="1621" xr:uid="{9D157A81-991C-4207-9977-1CC59410612B}"/>
    <cellStyle name="TS-Format" xfId="1624" xr:uid="{7DFB0D66-4014-47B9-A133-CB48C0AAB508}"/>
    <cellStyle name="TS-Format (gerundet)" xfId="1625" xr:uid="{DCA11F35-8407-4B4D-8003-4E0D3564638A}"/>
    <cellStyle name="Überschrift 1 2" xfId="1626" xr:uid="{5650E29A-2A82-48A3-BABD-411F7D98A3FE}"/>
    <cellStyle name="Überschrift 1 3" xfId="1627" xr:uid="{F228DD49-7B42-441E-A7C5-3E064E25A29F}"/>
    <cellStyle name="Überschrift 1 4" xfId="1628" xr:uid="{1BDC869B-B25A-4CB2-B210-8DA4E130F588}"/>
    <cellStyle name="Überschrift 10" xfId="1629" xr:uid="{4012C127-4171-434C-A051-1D9FF5CB4F91}"/>
    <cellStyle name="Überschrift 11" xfId="1630" xr:uid="{2663D19B-9D60-43BA-A635-96DF3DBB2CA1}"/>
    <cellStyle name="Überschrift 2 2" xfId="1631" xr:uid="{880547E5-12F2-48D5-A66E-FFF2FF61FD1B}"/>
    <cellStyle name="Überschrift 2 3" xfId="1632" xr:uid="{BBA14C8A-9400-44C7-AF96-91486B6CC76D}"/>
    <cellStyle name="Überschrift 2 4" xfId="1633" xr:uid="{CC73DCD4-028D-48E7-8900-B2DF892DB3D4}"/>
    <cellStyle name="Überschrift 3 2" xfId="1634" xr:uid="{E92EF5FD-FDC6-4C95-B9E7-338B70E0BFA3}"/>
    <cellStyle name="Überschrift 3 3" xfId="1635" xr:uid="{B2296CC9-9BF4-41B1-AA53-BB34FF4C50F5}"/>
    <cellStyle name="Überschrift 3 4" xfId="1636" xr:uid="{F1740E9D-C181-4C83-BABA-49DF06F7D27C}"/>
    <cellStyle name="Überschrift 4 2" xfId="1637" xr:uid="{39E460A1-CF2D-4B42-A969-20071D793982}"/>
    <cellStyle name="Überschrift 4 3" xfId="1638" xr:uid="{09C42CD6-1DBB-4B4C-8B2F-1E94CC03FF2A}"/>
    <cellStyle name="Überschrift 4 4" xfId="1639" xr:uid="{675C15C9-6FC2-46D5-AC7B-53E426F1E52D}"/>
    <cellStyle name="Überschrift 5" xfId="1640" xr:uid="{115F1B61-DB5D-4AA2-8CBB-F66357657DF5}"/>
    <cellStyle name="Überschrift 6" xfId="1641" xr:uid="{DEABDE4A-8403-4D5D-BA74-E027D02BC12C}"/>
    <cellStyle name="Überschrift 7" xfId="1642" xr:uid="{6B8F6194-E02F-4A05-8D4E-FF620ECBCA65}"/>
    <cellStyle name="Überschrift 8" xfId="1643" xr:uid="{C0E2DE22-34AC-4F23-B4B3-4F602DD9B2C2}"/>
    <cellStyle name="Überschrift 9" xfId="1644" xr:uid="{2923D597-028E-417A-906F-65214B1FB3E7}"/>
    <cellStyle name="Udm" xfId="1645" xr:uid="{05FB6BC8-EB21-4044-B5E5-847CAF7DE713}"/>
    <cellStyle name="Verknüpfte Zelle 2" xfId="1646" xr:uid="{53546BAF-1578-47FF-AE14-070B1BB3FDD9}"/>
    <cellStyle name="Verknüpfte Zelle 3" xfId="1647" xr:uid="{9383517D-F5A0-45A2-88B0-FB107CF518D5}"/>
    <cellStyle name="Verknüpfte Zelle 4" xfId="1648" xr:uid="{02C0B37D-64DE-41AA-B76E-F0660ED01BBC}"/>
    <cellStyle name="Verknüpfung %" xfId="1649" xr:uid="{4273BEFE-1352-4151-BFDA-E3A16782383B}"/>
    <cellStyle name="Verknüpfung Zahl" xfId="1650" xr:uid="{4A166958-E4ED-4475-9EED-9B2E9A5D013C}"/>
    <cellStyle name="Warnender Text 2" xfId="1651" xr:uid="{C6DAF367-B85A-4F32-87B5-680C7B7E8F75}"/>
    <cellStyle name="Warnender Text 3" xfId="1652" xr:uid="{51D42586-DBD3-4329-A9CA-42107BA215FC}"/>
    <cellStyle name="Warnender Text 4" xfId="1653" xr:uid="{3A2D4FAE-B5B1-45A0-919F-BD61178883E9}"/>
    <cellStyle name="Warning Text 2" xfId="1655" xr:uid="{C41AC8C0-C90F-4342-97C5-10B977FCD57B}"/>
    <cellStyle name="Warning Text 3" xfId="1654" xr:uid="{614796DE-FD34-4E84-A428-C9495B8F3DF9}"/>
    <cellStyle name="White" xfId="1656" xr:uid="{C0B1A2B3-1A3E-4CF8-BCA9-BC5DBD7EDFCD}"/>
    <cellStyle name="Work new book placeholder header underlined" xfId="1657" xr:uid="{10B67B6D-1B26-4910-BE81-935920291505}"/>
    <cellStyle name="WPK" xfId="1658" xr:uid="{FD9E1A42-096B-4308-8CA4-3FAFB30758C6}"/>
    <cellStyle name="Wrap_text" xfId="1659" xr:uid="{966FFD0F-619E-4DD9-A0DA-419D2C15A9E1}"/>
    <cellStyle name="Zelle überprüfen 2" xfId="1660" xr:uid="{1017A96E-493F-478B-8928-1EA477C3AFD1}"/>
    <cellStyle name="Zelle überprüfen 3" xfId="1661" xr:uid="{1E99F8A7-D896-4510-9C96-C4683C1725B6}"/>
    <cellStyle name="Zelle überprüfen 4" xfId="1662" xr:uid="{480D0A7B-2E7F-441E-9A36-F5F6A84DADCE}"/>
    <cellStyle name="Zwischensumme" xfId="1663" xr:uid="{F73292A7-9922-48EF-AE51-A6A4E75AEFF7}"/>
    <cellStyle name="Zwischenüberschrift" xfId="1664" xr:uid="{565BF840-3D43-4300-930A-B984DA6341A4}"/>
    <cellStyle name="ハイパーリンク_Executive Summary 2004.05 (JAPAN) Draft" xfId="1665" xr:uid="{DC203AA2-366E-48A7-B074-F6E504971E32}"/>
    <cellStyle name="쉼표 [0]_Closing Listing - Inventory" xfId="1666" xr:uid="{E8F3651A-6925-460B-9902-93B23BD40B8B}"/>
    <cellStyle name="쉼표_Closing Listing - Inventory" xfId="1667" xr:uid="{A71B7834-E108-477F-AC40-6AD0EBE54356}"/>
    <cellStyle name="콤마 [0]_04.30계좌별" xfId="1668" xr:uid="{063274AF-DC88-4861-8315-E973DAA4B585}"/>
    <cellStyle name="콤마_04.30계좌별" xfId="1669" xr:uid="{37DB94AF-C7D6-4074-85EF-DA32297848CF}"/>
    <cellStyle name="표준_04.30계좌별" xfId="1670" xr:uid="{A849558E-532E-47DC-B7BE-B6F556987600}"/>
    <cellStyle name="未定義" xfId="1671" xr:uid="{12FD8B15-AFFE-4724-83D0-0EDF6C3CD9B7}"/>
    <cellStyle name="桁区切り_Prepayment Analysis" xfId="1672" xr:uid="{325D3D81-72B4-499B-AD1F-B0440D71F217}"/>
    <cellStyle name="桁蟻唇Ｆ [0.00]_Sheet1" xfId="1673" xr:uid="{640DBD68-D570-49EC-A9C5-119F26368DBC}"/>
    <cellStyle name="桁蟻唇Ｆ_Sheet1" xfId="1674" xr:uid="{960FF00C-0B6F-401E-A2A9-8AF6F3C71F5F}"/>
    <cellStyle name="標準_AFJ Sheet" xfId="1675" xr:uid="{23AEBD71-A834-4EB9-B7EC-A99B6C06EDA8}"/>
    <cellStyle name="脱浦 [0.00]_Sheet1" xfId="1676" xr:uid="{9871948E-159F-45D3-8B9A-D5425D7F96C8}"/>
    <cellStyle name="脱浦_Sheet1" xfId="1677" xr:uid="{2C34DA9C-18B8-4C33-B88E-380A67B4A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27</xdr:col>
      <xdr:colOff>6569</xdr:colOff>
      <xdr:row>17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266006-86E6-3F66-E36C-67784FE9A571}"/>
            </a:ext>
          </a:extLst>
        </xdr:cNvPr>
        <xdr:cNvCxnSpPr/>
      </xdr:nvCxnSpPr>
      <xdr:spPr>
        <a:xfrm flipH="1">
          <a:off x="17420897" y="328448"/>
          <a:ext cx="6569" cy="24962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FFE6-278B-4258-B68E-9DAF910C2424}">
  <dimension ref="B1:EL34"/>
  <sheetViews>
    <sheetView tabSelected="1" zoomScale="145" zoomScaleNormal="145" workbookViewId="0">
      <pane xSplit="2" ySplit="1" topLeftCell="Z2" activePane="bottomRight" state="frozen"/>
      <selection pane="topRight" activeCell="C1" sqref="C1"/>
      <selection pane="bottomLeft" activeCell="A2" sqref="A2"/>
      <selection pane="bottomRight" activeCell="Z9" sqref="Z9"/>
    </sheetView>
  </sheetViews>
  <sheetFormatPr defaultRowHeight="12.75"/>
  <cols>
    <col min="1" max="1" width="3.5703125" style="1" customWidth="1"/>
    <col min="2" max="2" width="28.7109375" style="1" bestFit="1" customWidth="1"/>
    <col min="3" max="16384" width="9.140625" style="1"/>
  </cols>
  <sheetData>
    <row r="1" spans="2:142" s="10" customFormat="1"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27</v>
      </c>
      <c r="X1" s="10">
        <v>2019</v>
      </c>
      <c r="Y1" s="10">
        <f>+X1+1</f>
        <v>2020</v>
      </c>
      <c r="Z1" s="10">
        <f t="shared" ref="Z1:AI1" si="0">+Y1+1</f>
        <v>2021</v>
      </c>
      <c r="AA1" s="10">
        <f t="shared" si="0"/>
        <v>2022</v>
      </c>
      <c r="AB1" s="10">
        <f t="shared" si="0"/>
        <v>2023</v>
      </c>
      <c r="AC1" s="10">
        <f t="shared" si="0"/>
        <v>2024</v>
      </c>
      <c r="AD1" s="10">
        <f t="shared" si="0"/>
        <v>2025</v>
      </c>
      <c r="AE1" s="10">
        <f t="shared" si="0"/>
        <v>2026</v>
      </c>
      <c r="AF1" s="10">
        <f t="shared" si="0"/>
        <v>2027</v>
      </c>
      <c r="AG1" s="10">
        <f t="shared" si="0"/>
        <v>2028</v>
      </c>
      <c r="AH1" s="10">
        <f t="shared" si="0"/>
        <v>2029</v>
      </c>
      <c r="AI1" s="10">
        <f t="shared" si="0"/>
        <v>2030</v>
      </c>
    </row>
    <row r="3" spans="2:142">
      <c r="B3" s="2" t="s">
        <v>0</v>
      </c>
      <c r="C3" s="3">
        <v>214.5</v>
      </c>
      <c r="D3" s="3">
        <v>220.6</v>
      </c>
      <c r="E3" s="3">
        <v>220</v>
      </c>
      <c r="F3" s="3">
        <v>223.9</v>
      </c>
      <c r="G3" s="3">
        <v>219.8</v>
      </c>
      <c r="H3" s="3">
        <v>227.5</v>
      </c>
      <c r="I3" s="3">
        <v>234.6</v>
      </c>
      <c r="J3" s="3">
        <v>233.6</v>
      </c>
      <c r="K3" s="3">
        <v>229.6</v>
      </c>
      <c r="L3" s="3">
        <v>231.6</v>
      </c>
      <c r="M3" s="3">
        <v>233.8</v>
      </c>
      <c r="N3" s="3">
        <v>243.3</v>
      </c>
      <c r="O3" s="3">
        <v>242</v>
      </c>
      <c r="P3" s="3">
        <v>249.5</v>
      </c>
      <c r="Q3" s="3">
        <v>260</v>
      </c>
      <c r="R3" s="3">
        <v>269.7</v>
      </c>
      <c r="W3" s="3"/>
      <c r="X3" s="3">
        <v>879</v>
      </c>
      <c r="Y3" s="3">
        <v>915.4</v>
      </c>
      <c r="Z3" s="3">
        <v>938.3</v>
      </c>
      <c r="AA3" s="3">
        <v>1021.1</v>
      </c>
      <c r="AB3" s="1">
        <f>300*4</f>
        <v>1200</v>
      </c>
      <c r="AC3" s="1">
        <f>+AB3*0.98</f>
        <v>1176</v>
      </c>
      <c r="AD3" s="1">
        <f>+AC3*0.98</f>
        <v>1152.48</v>
      </c>
      <c r="AE3" s="1">
        <f t="shared" ref="AE3:AI3" si="1">+AD3*0.98</f>
        <v>1129.4304</v>
      </c>
      <c r="AF3" s="1">
        <f t="shared" si="1"/>
        <v>1106.8417919999999</v>
      </c>
      <c r="AG3" s="1">
        <f t="shared" si="1"/>
        <v>1084.7049561599999</v>
      </c>
      <c r="AH3" s="1">
        <f t="shared" si="1"/>
        <v>1063.0108570368</v>
      </c>
      <c r="AI3" s="1">
        <f t="shared" si="1"/>
        <v>1041.7506398960638</v>
      </c>
    </row>
    <row r="4" spans="2:142">
      <c r="B4" s="2" t="s">
        <v>1</v>
      </c>
      <c r="C4" s="3">
        <v>72.5</v>
      </c>
      <c r="D4" s="3">
        <v>70</v>
      </c>
      <c r="E4" s="3">
        <v>70.8</v>
      </c>
      <c r="F4" s="3">
        <v>70</v>
      </c>
      <c r="G4" s="3">
        <v>71.900000000000006</v>
      </c>
      <c r="H4" s="3">
        <v>55.8</v>
      </c>
      <c r="I4" s="3">
        <v>62.8</v>
      </c>
      <c r="J4" s="3">
        <v>64.3</v>
      </c>
      <c r="K4" s="3">
        <v>67.7</v>
      </c>
      <c r="L4" s="3">
        <v>70.099999999999994</v>
      </c>
      <c r="M4" s="3">
        <v>71.7</v>
      </c>
      <c r="N4" s="3">
        <v>72.5</v>
      </c>
      <c r="O4" s="3">
        <v>81.400000000000006</v>
      </c>
      <c r="P4" s="3">
        <v>77.8</v>
      </c>
      <c r="Q4" s="3">
        <v>75</v>
      </c>
      <c r="R4" s="3">
        <v>75</v>
      </c>
      <c r="W4" s="3"/>
      <c r="X4" s="3">
        <v>283.5</v>
      </c>
      <c r="Y4" s="3">
        <v>254.8</v>
      </c>
      <c r="Z4" s="3">
        <v>282.10000000000002</v>
      </c>
      <c r="AA4" s="3">
        <v>309.3</v>
      </c>
      <c r="AB4" s="1">
        <f>+AA4*1.05</f>
        <v>324.76500000000004</v>
      </c>
      <c r="AC4" s="1">
        <f>+AB4*1.02</f>
        <v>331.26030000000003</v>
      </c>
      <c r="AD4" s="1">
        <f t="shared" ref="AD4:AI4" si="2">+AC4*1.02</f>
        <v>337.88550600000002</v>
      </c>
      <c r="AE4" s="1">
        <f t="shared" si="2"/>
        <v>344.64321612000003</v>
      </c>
      <c r="AF4" s="1">
        <f t="shared" si="2"/>
        <v>351.53608044240002</v>
      </c>
      <c r="AG4" s="1">
        <f t="shared" si="2"/>
        <v>358.56680205124803</v>
      </c>
      <c r="AH4" s="1">
        <f t="shared" si="2"/>
        <v>365.738138092273</v>
      </c>
      <c r="AI4" s="1">
        <f t="shared" si="2"/>
        <v>373.05290085411849</v>
      </c>
    </row>
    <row r="5" spans="2:142" s="6" customFormat="1">
      <c r="B5" s="4" t="s">
        <v>2</v>
      </c>
      <c r="C5" s="5">
        <v>287.10000000000002</v>
      </c>
      <c r="D5" s="5">
        <v>290.59999999999997</v>
      </c>
      <c r="E5" s="5">
        <v>290.8</v>
      </c>
      <c r="F5" s="5">
        <v>293.89999999999998</v>
      </c>
      <c r="G5" s="5">
        <v>291.7</v>
      </c>
      <c r="H5" s="5">
        <v>283.3</v>
      </c>
      <c r="I5" s="5">
        <v>297.3</v>
      </c>
      <c r="J5" s="5">
        <v>297.89999999999998</v>
      </c>
      <c r="K5" s="5">
        <v>297.3</v>
      </c>
      <c r="L5" s="5">
        <v>301.7</v>
      </c>
      <c r="M5" s="5">
        <v>305.5</v>
      </c>
      <c r="N5" s="5">
        <v>315.8</v>
      </c>
      <c r="O5" s="5">
        <v>323.39999999999998</v>
      </c>
      <c r="P5" s="5">
        <v>327.3</v>
      </c>
      <c r="Q5" s="5">
        <v>335</v>
      </c>
      <c r="R5" s="5">
        <v>344.7</v>
      </c>
      <c r="W5" s="5"/>
      <c r="X5" s="5">
        <v>1162.5</v>
      </c>
      <c r="Y5" s="5">
        <v>1170.3</v>
      </c>
      <c r="Z5" s="5">
        <v>1220.3999999999999</v>
      </c>
      <c r="AA5" s="5">
        <v>1330.3999999999999</v>
      </c>
      <c r="AB5" s="6">
        <f>+AB3+AB4</f>
        <v>1524.7650000000001</v>
      </c>
      <c r="AC5" s="6">
        <f t="shared" ref="AC5:AI5" si="3">+AC3+AC4</f>
        <v>1507.2602999999999</v>
      </c>
      <c r="AD5" s="6">
        <f t="shared" si="3"/>
        <v>1490.3655060000001</v>
      </c>
      <c r="AE5" s="6">
        <f t="shared" si="3"/>
        <v>1474.07361612</v>
      </c>
      <c r="AF5" s="6">
        <f t="shared" si="3"/>
        <v>1458.3778724424001</v>
      </c>
      <c r="AG5" s="6">
        <f t="shared" si="3"/>
        <v>1443.271758211248</v>
      </c>
      <c r="AH5" s="6">
        <f t="shared" si="3"/>
        <v>1428.7489951290729</v>
      </c>
      <c r="AI5" s="6">
        <f t="shared" si="3"/>
        <v>1414.8035407501823</v>
      </c>
    </row>
    <row r="6" spans="2:142" ht="15.75" customHeight="1">
      <c r="B6" s="7" t="s">
        <v>11</v>
      </c>
      <c r="C6" s="3">
        <v>11.2</v>
      </c>
      <c r="D6" s="3">
        <v>22.4</v>
      </c>
      <c r="E6" s="3">
        <v>24.1</v>
      </c>
      <c r="F6" s="3">
        <v>20.399999999999999</v>
      </c>
      <c r="G6" s="3">
        <v>5.2</v>
      </c>
      <c r="H6" s="3">
        <v>1.1000000000000001</v>
      </c>
      <c r="I6" s="3">
        <v>-7.4</v>
      </c>
      <c r="J6" s="3">
        <v>4.4000000000000004</v>
      </c>
      <c r="K6" s="3">
        <v>3.8</v>
      </c>
      <c r="L6" s="3">
        <v>0.8</v>
      </c>
      <c r="M6" s="3">
        <v>1.7</v>
      </c>
      <c r="N6" s="3">
        <v>1.9</v>
      </c>
      <c r="O6" s="3">
        <v>2.1</v>
      </c>
      <c r="P6" s="3">
        <v>4.0999999999999996</v>
      </c>
      <c r="Q6" s="3">
        <v>1.3</v>
      </c>
      <c r="R6" s="3">
        <v>-13.8</v>
      </c>
      <c r="W6" s="3"/>
      <c r="X6" s="3">
        <v>78</v>
      </c>
      <c r="Y6" s="3">
        <v>3.4</v>
      </c>
      <c r="Z6" s="3">
        <v>8.1</v>
      </c>
      <c r="AA6" s="3">
        <v>-6.4</v>
      </c>
      <c r="AB6" s="1">
        <v>-5</v>
      </c>
      <c r="AC6" s="1">
        <v>-5</v>
      </c>
      <c r="AD6" s="1">
        <v>-5</v>
      </c>
      <c r="AE6" s="1">
        <v>-5</v>
      </c>
      <c r="AF6" s="1">
        <v>-5</v>
      </c>
      <c r="AG6" s="1">
        <v>-5</v>
      </c>
      <c r="AH6" s="1">
        <v>-5</v>
      </c>
      <c r="AI6" s="1">
        <v>-5</v>
      </c>
    </row>
    <row r="7" spans="2:142" s="6" customFormat="1">
      <c r="B7" s="4" t="s">
        <v>3</v>
      </c>
      <c r="C7" s="5">
        <v>298.3</v>
      </c>
      <c r="D7" s="5">
        <v>313</v>
      </c>
      <c r="E7" s="5">
        <v>314.89999999999998</v>
      </c>
      <c r="F7" s="5">
        <v>314.3</v>
      </c>
      <c r="G7" s="5">
        <v>296.89999999999998</v>
      </c>
      <c r="H7" s="5">
        <v>284.39999999999998</v>
      </c>
      <c r="I7" s="5">
        <v>290</v>
      </c>
      <c r="J7" s="5">
        <v>302.3</v>
      </c>
      <c r="K7" s="5">
        <v>301.10000000000002</v>
      </c>
      <c r="L7" s="5">
        <v>302.5</v>
      </c>
      <c r="M7" s="5">
        <v>307.2</v>
      </c>
      <c r="N7" s="5">
        <v>317.7</v>
      </c>
      <c r="O7" s="5">
        <v>325.39999999999998</v>
      </c>
      <c r="P7" s="5">
        <v>331.4</v>
      </c>
      <c r="Q7" s="5">
        <v>336.3</v>
      </c>
      <c r="R7" s="5">
        <v>330.9</v>
      </c>
      <c r="W7" s="5"/>
      <c r="X7" s="5">
        <v>1240.5</v>
      </c>
      <c r="Y7" s="5">
        <v>1173.6999999999998</v>
      </c>
      <c r="Z7" s="5">
        <v>1228.5</v>
      </c>
      <c r="AA7" s="5">
        <v>1324</v>
      </c>
      <c r="AB7" s="6">
        <f>+AB5+AB6</f>
        <v>1519.7650000000001</v>
      </c>
      <c r="AC7" s="6">
        <f t="shared" ref="AC7:AI7" si="4">+AC5+AC6</f>
        <v>1502.2602999999999</v>
      </c>
      <c r="AD7" s="6">
        <f t="shared" si="4"/>
        <v>1485.3655060000001</v>
      </c>
      <c r="AE7" s="6">
        <f t="shared" si="4"/>
        <v>1469.07361612</v>
      </c>
      <c r="AF7" s="6">
        <f t="shared" si="4"/>
        <v>1453.3778724424001</v>
      </c>
      <c r="AG7" s="6">
        <f t="shared" si="4"/>
        <v>1438.271758211248</v>
      </c>
      <c r="AH7" s="6">
        <f t="shared" si="4"/>
        <v>1423.7489951290729</v>
      </c>
      <c r="AI7" s="6">
        <f t="shared" si="4"/>
        <v>1409.8035407501823</v>
      </c>
    </row>
    <row r="8" spans="2:142" s="6" customFormat="1">
      <c r="B8" s="4" t="s">
        <v>4</v>
      </c>
      <c r="C8" s="5">
        <v>-126.4</v>
      </c>
      <c r="D8" s="5">
        <v>-136</v>
      </c>
      <c r="E8" s="5">
        <v>-133.4</v>
      </c>
      <c r="F8" s="5">
        <v>-133.9</v>
      </c>
      <c r="G8" s="5">
        <v>-125</v>
      </c>
      <c r="H8" s="5">
        <v>-124.7</v>
      </c>
      <c r="I8" s="5">
        <v>-125.3</v>
      </c>
      <c r="J8" s="5">
        <v>-144.69999999999999</v>
      </c>
      <c r="K8" s="5">
        <v>-121.8</v>
      </c>
      <c r="L8" s="5">
        <v>-121.2</v>
      </c>
      <c r="M8" s="5">
        <v>-120.4</v>
      </c>
      <c r="N8" s="5">
        <v>-121.8</v>
      </c>
      <c r="O8" s="5">
        <v>-120.4</v>
      </c>
      <c r="P8" s="5">
        <v>-118.2</v>
      </c>
      <c r="Q8" s="5">
        <v>-118</v>
      </c>
      <c r="R8" s="5">
        <v>-118.1</v>
      </c>
      <c r="W8" s="5"/>
      <c r="X8" s="5">
        <v>-529.70000000000005</v>
      </c>
      <c r="Y8" s="5">
        <v>-519.70000000000005</v>
      </c>
      <c r="Z8" s="5">
        <v>-485.3</v>
      </c>
      <c r="AA8" s="5">
        <v>-474.8</v>
      </c>
      <c r="AB8" s="6">
        <f>-125*4</f>
        <v>-500</v>
      </c>
      <c r="AC8" s="6">
        <f>+AB8*1.01</f>
        <v>-505</v>
      </c>
      <c r="AD8" s="6">
        <f t="shared" ref="AD8:AI8" si="5">+AC8*1.01</f>
        <v>-510.05</v>
      </c>
      <c r="AE8" s="6">
        <f t="shared" si="5"/>
        <v>-515.15049999999997</v>
      </c>
      <c r="AF8" s="6">
        <f t="shared" si="5"/>
        <v>-520.30200500000001</v>
      </c>
      <c r="AG8" s="6">
        <f t="shared" si="5"/>
        <v>-525.50502504999997</v>
      </c>
      <c r="AH8" s="6">
        <f t="shared" si="5"/>
        <v>-530.76007530049992</v>
      </c>
      <c r="AI8" s="6">
        <f t="shared" si="5"/>
        <v>-536.0676760535049</v>
      </c>
    </row>
    <row r="9" spans="2:142" s="6" customFormat="1">
      <c r="B9" s="4" t="s">
        <v>5</v>
      </c>
      <c r="C9" s="5">
        <v>171.9</v>
      </c>
      <c r="D9" s="5">
        <v>177</v>
      </c>
      <c r="E9" s="5">
        <v>181.49999999999997</v>
      </c>
      <c r="F9" s="5">
        <v>180.4</v>
      </c>
      <c r="G9" s="5">
        <v>171.9</v>
      </c>
      <c r="H9" s="5">
        <v>159.69999999999999</v>
      </c>
      <c r="I9" s="5">
        <v>164.6</v>
      </c>
      <c r="J9" s="5">
        <v>157.6</v>
      </c>
      <c r="K9" s="5">
        <v>179.2</v>
      </c>
      <c r="L9" s="5">
        <v>181.3</v>
      </c>
      <c r="M9" s="5">
        <v>186.8</v>
      </c>
      <c r="N9" s="5">
        <v>195.9</v>
      </c>
      <c r="O9" s="5">
        <v>204.99999999999997</v>
      </c>
      <c r="P9" s="5">
        <v>213.2</v>
      </c>
      <c r="Q9" s="5">
        <v>218.3</v>
      </c>
      <c r="R9" s="5">
        <v>212.79999999999998</v>
      </c>
      <c r="W9" s="5"/>
      <c r="X9" s="5">
        <v>710.8</v>
      </c>
      <c r="Y9" s="5">
        <v>653.9</v>
      </c>
      <c r="Z9" s="5">
        <v>743.2</v>
      </c>
      <c r="AA9" s="5">
        <v>849.2</v>
      </c>
      <c r="AB9" s="6">
        <f>+AB7+AB8</f>
        <v>1019.7650000000001</v>
      </c>
      <c r="AC9" s="6">
        <f t="shared" ref="AC9:AI9" si="6">+AC7+AC8</f>
        <v>997.26029999999992</v>
      </c>
      <c r="AD9" s="6">
        <f t="shared" si="6"/>
        <v>975.31550600000014</v>
      </c>
      <c r="AE9" s="6">
        <f t="shared" si="6"/>
        <v>953.92311612000003</v>
      </c>
      <c r="AF9" s="6">
        <f t="shared" si="6"/>
        <v>933.07586744240007</v>
      </c>
      <c r="AG9" s="6">
        <f t="shared" si="6"/>
        <v>912.766733161248</v>
      </c>
      <c r="AH9" s="6">
        <f t="shared" si="6"/>
        <v>892.98891982857299</v>
      </c>
      <c r="AI9" s="6">
        <f t="shared" si="6"/>
        <v>873.73586469667737</v>
      </c>
    </row>
    <row r="10" spans="2:142">
      <c r="B10" s="2" t="s">
        <v>6</v>
      </c>
      <c r="C10" s="3">
        <v>-34.200000000000003</v>
      </c>
      <c r="D10" s="3">
        <v>-2.9</v>
      </c>
      <c r="E10" s="3">
        <v>-2.1</v>
      </c>
      <c r="F10" s="3">
        <v>-3.2</v>
      </c>
      <c r="G10" s="3">
        <v>-36.4</v>
      </c>
      <c r="H10" s="3">
        <v>-2.5</v>
      </c>
      <c r="I10" s="3">
        <v>-14.2</v>
      </c>
      <c r="J10" s="3">
        <v>-6.1</v>
      </c>
      <c r="K10" s="3">
        <v>-54.2</v>
      </c>
      <c r="L10" s="3">
        <v>-2</v>
      </c>
      <c r="M10" s="3">
        <v>-4.3</v>
      </c>
      <c r="N10" s="3">
        <v>8.9</v>
      </c>
      <c r="O10" s="3">
        <v>-38.4</v>
      </c>
      <c r="P10" s="3">
        <v>-7.3</v>
      </c>
      <c r="Q10" s="3">
        <v>-3.4</v>
      </c>
      <c r="R10" s="3">
        <v>0.1</v>
      </c>
      <c r="W10" s="3"/>
      <c r="X10" s="3">
        <v>-42.4</v>
      </c>
      <c r="Y10" s="3">
        <v>-59.2</v>
      </c>
      <c r="Z10" s="3">
        <v>-51.6</v>
      </c>
      <c r="AA10" s="3">
        <v>-48.8</v>
      </c>
      <c r="AB10" s="1">
        <v>-50</v>
      </c>
      <c r="AC10" s="1">
        <f>+AB10*1.02</f>
        <v>-51</v>
      </c>
      <c r="AD10" s="1">
        <f t="shared" ref="AD10:AH10" si="7">+AC10*1.02</f>
        <v>-52.02</v>
      </c>
      <c r="AE10" s="1">
        <f t="shared" si="7"/>
        <v>-53.060400000000001</v>
      </c>
      <c r="AF10" s="1">
        <f t="shared" si="7"/>
        <v>-54.121608000000002</v>
      </c>
      <c r="AG10" s="1">
        <f t="shared" si="7"/>
        <v>-55.204040160000005</v>
      </c>
      <c r="AH10" s="1">
        <f t="shared" si="7"/>
        <v>-56.308120963200004</v>
      </c>
      <c r="AI10" s="1">
        <f t="shared" ref="AI10" si="8">+AH10*1.02</f>
        <v>-57.434283382464002</v>
      </c>
    </row>
    <row r="11" spans="2:142">
      <c r="B11" s="2" t="s">
        <v>7</v>
      </c>
      <c r="C11" s="3">
        <v>-11.9</v>
      </c>
      <c r="D11" s="3">
        <v>-15.3</v>
      </c>
      <c r="E11" s="3">
        <v>-17.099999999999998</v>
      </c>
      <c r="F11" s="3">
        <v>-25</v>
      </c>
      <c r="G11" s="3">
        <v>-55</v>
      </c>
      <c r="H11" s="3">
        <v>-74.599999999999994</v>
      </c>
      <c r="I11" s="3">
        <v>-49.699999999999996</v>
      </c>
      <c r="J11" s="3">
        <v>-45.3</v>
      </c>
      <c r="K11" s="3">
        <v>-29.299999999999997</v>
      </c>
      <c r="L11" s="3">
        <v>-23.8</v>
      </c>
      <c r="M11" s="3">
        <v>-21.499999999999996</v>
      </c>
      <c r="N11" s="3">
        <v>-20.3</v>
      </c>
      <c r="O11" s="3">
        <v>-20.3</v>
      </c>
      <c r="P11" s="3">
        <v>-30.3</v>
      </c>
      <c r="Q11" s="3">
        <v>-289.5</v>
      </c>
      <c r="R11" s="3">
        <v>-36.200000000000003</v>
      </c>
      <c r="W11" s="5"/>
      <c r="X11" s="3">
        <v>-69.3</v>
      </c>
      <c r="Y11" s="3">
        <v>-224.6</v>
      </c>
      <c r="Z11" s="3">
        <v>-95.000000000000014</v>
      </c>
      <c r="AA11" s="3">
        <v>-376.3</v>
      </c>
      <c r="AB11" s="1">
        <f>+Z11*1.2</f>
        <v>-114.00000000000001</v>
      </c>
      <c r="AC11" s="1">
        <v>-400</v>
      </c>
      <c r="AD11" s="1">
        <f t="shared" ref="AC11:AI11" si="9">+AB11*1.2</f>
        <v>-136.80000000000001</v>
      </c>
      <c r="AE11" s="1">
        <v>-400</v>
      </c>
      <c r="AF11" s="1">
        <f t="shared" si="9"/>
        <v>-164.16</v>
      </c>
      <c r="AG11" s="1">
        <v>-400</v>
      </c>
      <c r="AH11" s="1">
        <f t="shared" si="9"/>
        <v>-196.99199999999999</v>
      </c>
      <c r="AI11" s="1">
        <v>-400</v>
      </c>
    </row>
    <row r="12" spans="2:142" s="6" customFormat="1">
      <c r="B12" s="4" t="s">
        <v>8</v>
      </c>
      <c r="C12" s="5">
        <v>127</v>
      </c>
      <c r="D12" s="5">
        <v>160</v>
      </c>
      <c r="E12" s="5">
        <v>163.5</v>
      </c>
      <c r="F12" s="5">
        <v>153.80000000000001</v>
      </c>
      <c r="G12" s="5">
        <v>81.8</v>
      </c>
      <c r="H12" s="5">
        <v>81</v>
      </c>
      <c r="I12" s="5">
        <v>101.1</v>
      </c>
      <c r="J12" s="5">
        <v>107.30000000000001</v>
      </c>
      <c r="K12" s="5">
        <v>96.5</v>
      </c>
      <c r="L12" s="5">
        <v>156.19999999999999</v>
      </c>
      <c r="M12" s="5">
        <v>161.6</v>
      </c>
      <c r="N12" s="5">
        <v>186.2</v>
      </c>
      <c r="O12" s="5">
        <v>146.30000000000001</v>
      </c>
      <c r="P12" s="5">
        <v>176.5</v>
      </c>
      <c r="Q12" s="5">
        <v>-73.400000000000006</v>
      </c>
      <c r="R12" s="5">
        <v>177.3</v>
      </c>
      <c r="W12" s="5"/>
      <c r="X12" s="5">
        <v>604.29999999999995</v>
      </c>
      <c r="Y12" s="5">
        <v>371.2</v>
      </c>
      <c r="Z12" s="5">
        <v>600.4</v>
      </c>
      <c r="AA12" s="5">
        <v>426.8</v>
      </c>
      <c r="AB12" s="6">
        <f>+AB9+AB10+AB11</f>
        <v>855.7650000000001</v>
      </c>
      <c r="AC12" s="6">
        <f t="shared" ref="AC12:AI12" si="10">+AC9+AC10+AC11</f>
        <v>546.26029999999992</v>
      </c>
      <c r="AD12" s="6">
        <f t="shared" si="10"/>
        <v>786.4955060000002</v>
      </c>
      <c r="AE12" s="6">
        <f t="shared" si="10"/>
        <v>500.86271612000007</v>
      </c>
      <c r="AF12" s="6">
        <f t="shared" si="10"/>
        <v>714.79425944240006</v>
      </c>
      <c r="AG12" s="6">
        <f t="shared" si="10"/>
        <v>457.56269300124802</v>
      </c>
      <c r="AH12" s="6">
        <f t="shared" si="10"/>
        <v>639.68879886537297</v>
      </c>
      <c r="AI12" s="6">
        <f t="shared" si="10"/>
        <v>416.30158131421331</v>
      </c>
    </row>
    <row r="13" spans="2:142">
      <c r="B13" s="2" t="s">
        <v>9</v>
      </c>
      <c r="C13" s="3">
        <v>-30.2</v>
      </c>
      <c r="D13" s="3">
        <v>-38.299999999999997</v>
      </c>
      <c r="E13" s="3">
        <v>-39.1</v>
      </c>
      <c r="F13" s="3">
        <v>-37.4</v>
      </c>
      <c r="G13" s="3">
        <v>-19.7</v>
      </c>
      <c r="H13" s="3">
        <v>-19.399999999999999</v>
      </c>
      <c r="I13" s="3">
        <v>-22.2</v>
      </c>
      <c r="J13" s="3">
        <v>-24.5</v>
      </c>
      <c r="K13" s="3">
        <v>-23</v>
      </c>
      <c r="L13" s="3">
        <v>-37</v>
      </c>
      <c r="M13" s="3">
        <v>-38.1</v>
      </c>
      <c r="N13" s="3">
        <v>-22.3</v>
      </c>
      <c r="O13" s="3">
        <v>-35.299999999999997</v>
      </c>
      <c r="P13" s="3">
        <v>-42.8</v>
      </c>
      <c r="Q13" s="3">
        <v>15.3</v>
      </c>
      <c r="R13" s="3">
        <v>-45.4</v>
      </c>
      <c r="W13" s="5"/>
      <c r="X13" s="3">
        <v>-145</v>
      </c>
      <c r="Y13" s="3">
        <v>-85.7</v>
      </c>
      <c r="Z13" s="3">
        <v>-120.4</v>
      </c>
      <c r="AA13" s="3">
        <v>-108.2</v>
      </c>
      <c r="AB13" s="1">
        <f>-AB12*0.25</f>
        <v>-213.94125000000003</v>
      </c>
      <c r="AC13" s="1">
        <f t="shared" ref="AC13:AI13" si="11">-AC12*0.25</f>
        <v>-136.56507499999998</v>
      </c>
      <c r="AD13" s="1">
        <f t="shared" si="11"/>
        <v>-196.62387650000005</v>
      </c>
      <c r="AE13" s="1">
        <f t="shared" si="11"/>
        <v>-125.21567903000002</v>
      </c>
      <c r="AF13" s="1">
        <f t="shared" si="11"/>
        <v>-178.69856486060002</v>
      </c>
      <c r="AG13" s="1">
        <f t="shared" si="11"/>
        <v>-114.39067325031201</v>
      </c>
      <c r="AH13" s="1">
        <f t="shared" si="11"/>
        <v>-159.92219971634324</v>
      </c>
      <c r="AI13" s="1">
        <f t="shared" si="11"/>
        <v>-104.07539532855333</v>
      </c>
    </row>
    <row r="14" spans="2:142" s="6" customFormat="1">
      <c r="B14" s="4" t="s">
        <v>10</v>
      </c>
      <c r="C14" s="5">
        <v>96.8</v>
      </c>
      <c r="D14" s="5">
        <v>121.7</v>
      </c>
      <c r="E14" s="5">
        <v>124.4</v>
      </c>
      <c r="F14" s="5">
        <v>116.1</v>
      </c>
      <c r="G14" s="5">
        <v>62.2</v>
      </c>
      <c r="H14" s="5">
        <v>61.3</v>
      </c>
      <c r="I14" s="5">
        <v>78.599999999999994</v>
      </c>
      <c r="J14" s="5">
        <v>83.1</v>
      </c>
      <c r="K14" s="5">
        <v>73.7</v>
      </c>
      <c r="L14" s="5">
        <v>119.1</v>
      </c>
      <c r="M14" s="5">
        <v>123.2</v>
      </c>
      <c r="N14" s="5">
        <v>163.9</v>
      </c>
      <c r="O14" s="5">
        <v>110.9</v>
      </c>
      <c r="P14" s="5">
        <v>133.69999999999999</v>
      </c>
      <c r="Q14" s="5">
        <v>-58.2</v>
      </c>
      <c r="R14" s="5">
        <v>131.9</v>
      </c>
      <c r="W14" s="8"/>
      <c r="X14" s="5">
        <v>459.1</v>
      </c>
      <c r="Y14" s="5">
        <v>285.2</v>
      </c>
      <c r="Z14" s="5">
        <v>479.9</v>
      </c>
      <c r="AA14" s="5">
        <v>318.3</v>
      </c>
      <c r="AB14" s="6">
        <f>+AB12+AB13</f>
        <v>641.82375000000002</v>
      </c>
      <c r="AC14" s="6">
        <f t="shared" ref="AC14:AI14" si="12">+AC12+AC13</f>
        <v>409.69522499999994</v>
      </c>
      <c r="AD14" s="6">
        <f t="shared" si="12"/>
        <v>589.87162950000015</v>
      </c>
      <c r="AE14" s="6">
        <f t="shared" si="12"/>
        <v>375.64703709000003</v>
      </c>
      <c r="AF14" s="6">
        <f t="shared" si="12"/>
        <v>536.09569458179999</v>
      </c>
      <c r="AG14" s="6">
        <f t="shared" si="12"/>
        <v>343.17201975093599</v>
      </c>
      <c r="AH14" s="6">
        <f t="shared" si="12"/>
        <v>479.76659914902973</v>
      </c>
      <c r="AI14" s="6">
        <f t="shared" si="12"/>
        <v>312.22618598565998</v>
      </c>
      <c r="AJ14" s="6">
        <f t="shared" ref="AJ14:BO14" si="13">+AH14*(1+TR)</f>
        <v>474.96893315753942</v>
      </c>
      <c r="AK14" s="6">
        <f t="shared" si="13"/>
        <v>309.10392412580336</v>
      </c>
      <c r="AL14" s="6">
        <f t="shared" si="13"/>
        <v>470.21924382596404</v>
      </c>
      <c r="AM14" s="6">
        <f t="shared" si="13"/>
        <v>306.01288488454531</v>
      </c>
      <c r="AN14" s="6">
        <f t="shared" si="13"/>
        <v>465.51705138770438</v>
      </c>
      <c r="AO14" s="6">
        <f t="shared" si="13"/>
        <v>302.95275603569985</v>
      </c>
      <c r="AP14" s="6">
        <f t="shared" si="13"/>
        <v>460.86188087382732</v>
      </c>
      <c r="AQ14" s="6">
        <f t="shared" si="13"/>
        <v>299.92322847534285</v>
      </c>
      <c r="AR14" s="6">
        <f t="shared" si="13"/>
        <v>456.25326206508902</v>
      </c>
      <c r="AS14" s="6">
        <f t="shared" si="13"/>
        <v>296.92399619058943</v>
      </c>
      <c r="AT14" s="6">
        <f t="shared" si="13"/>
        <v>451.69072944443815</v>
      </c>
      <c r="AU14" s="6">
        <f t="shared" si="13"/>
        <v>293.95475622868355</v>
      </c>
      <c r="AV14" s="6">
        <f t="shared" si="13"/>
        <v>447.17382214999378</v>
      </c>
      <c r="AW14" s="6">
        <f t="shared" si="13"/>
        <v>291.01520866639669</v>
      </c>
      <c r="AX14" s="6">
        <f t="shared" si="13"/>
        <v>442.70208392849383</v>
      </c>
      <c r="AY14" s="6">
        <f t="shared" si="13"/>
        <v>288.10505657973272</v>
      </c>
      <c r="AZ14" s="6">
        <f t="shared" si="13"/>
        <v>438.27506308920891</v>
      </c>
      <c r="BA14" s="6">
        <f t="shared" si="13"/>
        <v>285.22400601393537</v>
      </c>
      <c r="BB14" s="6">
        <f t="shared" si="13"/>
        <v>433.89231245831684</v>
      </c>
      <c r="BC14" s="6">
        <f t="shared" si="13"/>
        <v>282.371765953796</v>
      </c>
      <c r="BD14" s="6">
        <f t="shared" si="13"/>
        <v>429.55338933373366</v>
      </c>
      <c r="BE14" s="6">
        <f t="shared" si="13"/>
        <v>279.54804829425802</v>
      </c>
      <c r="BF14" s="6">
        <f t="shared" si="13"/>
        <v>425.25785544039633</v>
      </c>
      <c r="BG14" s="6">
        <f t="shared" si="13"/>
        <v>276.75256781131543</v>
      </c>
      <c r="BH14" s="6">
        <f t="shared" si="13"/>
        <v>421.00527688599237</v>
      </c>
      <c r="BI14" s="6">
        <f t="shared" si="13"/>
        <v>273.98504213320228</v>
      </c>
      <c r="BJ14" s="6">
        <f t="shared" si="13"/>
        <v>416.79522411713242</v>
      </c>
      <c r="BK14" s="6">
        <f t="shared" si="13"/>
        <v>271.24519171187023</v>
      </c>
      <c r="BL14" s="6">
        <f t="shared" si="13"/>
        <v>412.62727187596107</v>
      </c>
      <c r="BM14" s="6">
        <f t="shared" si="13"/>
        <v>268.53273979475154</v>
      </c>
      <c r="BN14" s="6">
        <f t="shared" si="13"/>
        <v>408.50099915720148</v>
      </c>
      <c r="BO14" s="6">
        <f t="shared" si="13"/>
        <v>265.84741239680403</v>
      </c>
      <c r="BP14" s="6">
        <f t="shared" ref="BP14:CU14" si="14">+BN14*(1+TR)</f>
        <v>404.41598916562947</v>
      </c>
      <c r="BQ14" s="6">
        <f t="shared" si="14"/>
        <v>263.18893827283597</v>
      </c>
      <c r="BR14" s="6">
        <f t="shared" si="14"/>
        <v>400.37182927397316</v>
      </c>
      <c r="BS14" s="6">
        <f t="shared" si="14"/>
        <v>260.55704889010758</v>
      </c>
      <c r="BT14" s="6">
        <f t="shared" si="14"/>
        <v>396.36811098123343</v>
      </c>
      <c r="BU14" s="6">
        <f t="shared" si="14"/>
        <v>257.95147840120649</v>
      </c>
      <c r="BV14" s="6">
        <f t="shared" si="14"/>
        <v>392.40442987142109</v>
      </c>
      <c r="BW14" s="6">
        <f t="shared" si="14"/>
        <v>255.37196361719441</v>
      </c>
      <c r="BX14" s="6">
        <f t="shared" si="14"/>
        <v>388.48038557270689</v>
      </c>
      <c r="BY14" s="6">
        <f t="shared" si="14"/>
        <v>252.81824398102248</v>
      </c>
      <c r="BZ14" s="6">
        <f t="shared" si="14"/>
        <v>384.59558171697984</v>
      </c>
      <c r="CA14" s="6">
        <f t="shared" si="14"/>
        <v>250.29006154121225</v>
      </c>
      <c r="CB14" s="6">
        <f t="shared" si="14"/>
        <v>380.74962589981004</v>
      </c>
      <c r="CC14" s="6">
        <f t="shared" si="14"/>
        <v>247.78716092580012</v>
      </c>
      <c r="CD14" s="6">
        <f t="shared" si="14"/>
        <v>376.94212964081191</v>
      </c>
      <c r="CE14" s="6">
        <f t="shared" si="14"/>
        <v>245.30928931654211</v>
      </c>
      <c r="CF14" s="6">
        <f t="shared" si="14"/>
        <v>373.17270834440382</v>
      </c>
      <c r="CG14" s="6">
        <f t="shared" si="14"/>
        <v>242.85619642337667</v>
      </c>
      <c r="CH14" s="6">
        <f t="shared" si="14"/>
        <v>369.4409812609598</v>
      </c>
      <c r="CI14" s="6">
        <f t="shared" si="14"/>
        <v>240.42763445914289</v>
      </c>
      <c r="CJ14" s="6">
        <f t="shared" si="14"/>
        <v>365.74657144835021</v>
      </c>
      <c r="CK14" s="6">
        <f t="shared" si="14"/>
        <v>238.02335811455146</v>
      </c>
      <c r="CL14" s="6">
        <f t="shared" si="14"/>
        <v>362.08910573386669</v>
      </c>
      <c r="CM14" s="6">
        <f t="shared" si="14"/>
        <v>235.64312453340594</v>
      </c>
      <c r="CN14" s="6">
        <f t="shared" si="14"/>
        <v>358.46821467652802</v>
      </c>
      <c r="CO14" s="6">
        <f t="shared" si="14"/>
        <v>233.28669328807189</v>
      </c>
      <c r="CP14" s="6">
        <f t="shared" si="14"/>
        <v>354.88353252976276</v>
      </c>
      <c r="CQ14" s="6">
        <f t="shared" si="14"/>
        <v>230.95382635519115</v>
      </c>
      <c r="CR14" s="6">
        <f t="shared" si="14"/>
        <v>351.33469720446516</v>
      </c>
      <c r="CS14" s="6">
        <f t="shared" si="14"/>
        <v>228.64428809163925</v>
      </c>
      <c r="CT14" s="6">
        <f t="shared" si="14"/>
        <v>347.82135023242051</v>
      </c>
      <c r="CU14" s="6">
        <f t="shared" si="14"/>
        <v>226.35784521072287</v>
      </c>
      <c r="CV14" s="6">
        <f t="shared" ref="CV14:EA14" si="15">+CT14*(1+TR)</f>
        <v>344.34313673009632</v>
      </c>
      <c r="CW14" s="6">
        <f t="shared" si="15"/>
        <v>224.09426675861565</v>
      </c>
      <c r="CX14" s="6">
        <f t="shared" si="15"/>
        <v>340.89970536279537</v>
      </c>
      <c r="CY14" s="6">
        <f t="shared" si="15"/>
        <v>221.85332409102949</v>
      </c>
      <c r="CZ14" s="6">
        <f t="shared" si="15"/>
        <v>337.49070830916742</v>
      </c>
      <c r="DA14" s="6">
        <f t="shared" si="15"/>
        <v>219.6347908501192</v>
      </c>
      <c r="DB14" s="6">
        <f t="shared" si="15"/>
        <v>334.11580122607575</v>
      </c>
      <c r="DC14" s="6">
        <f t="shared" si="15"/>
        <v>217.43844294161801</v>
      </c>
      <c r="DD14" s="6">
        <f t="shared" si="15"/>
        <v>330.77464321381501</v>
      </c>
      <c r="DE14" s="6">
        <f t="shared" si="15"/>
        <v>215.26405851220181</v>
      </c>
      <c r="DF14" s="6">
        <f t="shared" si="15"/>
        <v>327.46689678167684</v>
      </c>
      <c r="DG14" s="6">
        <f t="shared" si="15"/>
        <v>213.1114179270798</v>
      </c>
      <c r="DH14" s="6">
        <f t="shared" si="15"/>
        <v>324.19222781386009</v>
      </c>
      <c r="DI14" s="6">
        <f t="shared" si="15"/>
        <v>210.98030374780899</v>
      </c>
      <c r="DJ14" s="6">
        <f t="shared" si="15"/>
        <v>320.9503055357215</v>
      </c>
      <c r="DK14" s="6">
        <f t="shared" si="15"/>
        <v>208.8705007103309</v>
      </c>
      <c r="DL14" s="6">
        <f t="shared" si="15"/>
        <v>317.74080248036427</v>
      </c>
      <c r="DM14" s="6">
        <f t="shared" si="15"/>
        <v>206.7817957032276</v>
      </c>
      <c r="DN14" s="6">
        <f t="shared" si="15"/>
        <v>314.56339445556063</v>
      </c>
      <c r="DO14" s="6">
        <f t="shared" si="15"/>
        <v>204.71397774619533</v>
      </c>
      <c r="DP14" s="6">
        <f t="shared" si="15"/>
        <v>311.41776051100504</v>
      </c>
      <c r="DQ14" s="6">
        <f t="shared" si="15"/>
        <v>202.66683796873338</v>
      </c>
      <c r="DR14" s="6">
        <f t="shared" si="15"/>
        <v>308.30358290589498</v>
      </c>
      <c r="DS14" s="6">
        <f t="shared" si="15"/>
        <v>200.64016958904605</v>
      </c>
      <c r="DT14" s="6">
        <f t="shared" si="15"/>
        <v>305.22054707683606</v>
      </c>
      <c r="DU14" s="6">
        <f t="shared" si="15"/>
        <v>198.63376789315558</v>
      </c>
      <c r="DV14" s="6">
        <f t="shared" si="15"/>
        <v>302.16834160606771</v>
      </c>
      <c r="DW14" s="6">
        <f t="shared" si="15"/>
        <v>196.64743021422402</v>
      </c>
      <c r="DX14" s="6">
        <f t="shared" si="15"/>
        <v>299.14665819000703</v>
      </c>
      <c r="DY14" s="6">
        <f t="shared" si="15"/>
        <v>194.68095591208177</v>
      </c>
      <c r="DZ14" s="6">
        <f t="shared" si="15"/>
        <v>296.15519160810697</v>
      </c>
      <c r="EA14" s="6">
        <f t="shared" si="15"/>
        <v>192.73414635296095</v>
      </c>
      <c r="EB14" s="6">
        <f t="shared" ref="EB14:FG14" si="16">+DZ14*(1+TR)</f>
        <v>293.1936396920259</v>
      </c>
      <c r="EC14" s="6">
        <f t="shared" si="16"/>
        <v>190.80680488943133</v>
      </c>
      <c r="ED14" s="6">
        <f t="shared" si="16"/>
        <v>290.26170329510563</v>
      </c>
      <c r="EE14" s="6">
        <f t="shared" si="16"/>
        <v>188.89873684053703</v>
      </c>
      <c r="EF14" s="6">
        <f t="shared" si="16"/>
        <v>287.35908626215456</v>
      </c>
      <c r="EG14" s="6">
        <f t="shared" si="16"/>
        <v>187.00974947213166</v>
      </c>
      <c r="EH14" s="6">
        <f t="shared" si="16"/>
        <v>284.48549539953302</v>
      </c>
      <c r="EI14" s="6">
        <f t="shared" si="16"/>
        <v>185.13965197741035</v>
      </c>
      <c r="EJ14" s="6">
        <f t="shared" si="16"/>
        <v>281.64064044553771</v>
      </c>
      <c r="EK14" s="6">
        <f t="shared" si="16"/>
        <v>183.28825545763624</v>
      </c>
      <c r="EL14" s="6">
        <f t="shared" si="16"/>
        <v>278.82423404108232</v>
      </c>
    </row>
    <row r="15" spans="2:142">
      <c r="X15" s="12"/>
      <c r="Y15" s="12"/>
      <c r="Z15" s="12"/>
      <c r="AA15" s="12"/>
    </row>
    <row r="16" spans="2:142" s="12" customFormat="1">
      <c r="B16" s="12" t="s">
        <v>28</v>
      </c>
      <c r="C16" s="12">
        <f>+C14/C5</f>
        <v>0.33716475095785436</v>
      </c>
      <c r="D16" s="12">
        <f t="shared" ref="D16:R16" si="17">+D14/D5</f>
        <v>0.41878871300757059</v>
      </c>
      <c r="E16" s="12">
        <f t="shared" si="17"/>
        <v>0.42778541953232463</v>
      </c>
      <c r="F16" s="12">
        <f t="shared" si="17"/>
        <v>0.39503232391970061</v>
      </c>
      <c r="G16" s="12">
        <f t="shared" si="17"/>
        <v>0.21323277339732605</v>
      </c>
      <c r="H16" s="12">
        <f t="shared" si="17"/>
        <v>0.21637839745852452</v>
      </c>
      <c r="I16" s="12">
        <f t="shared" si="17"/>
        <v>0.2643794147325933</v>
      </c>
      <c r="J16" s="12">
        <f t="shared" si="17"/>
        <v>0.27895266868076535</v>
      </c>
      <c r="K16" s="12">
        <f t="shared" si="17"/>
        <v>0.24789774638412379</v>
      </c>
      <c r="L16" s="12">
        <f t="shared" si="17"/>
        <v>0.39476300961219757</v>
      </c>
      <c r="M16" s="12">
        <f t="shared" si="17"/>
        <v>0.40327332242225861</v>
      </c>
      <c r="N16" s="12">
        <f t="shared" si="17"/>
        <v>0.51899936668777702</v>
      </c>
      <c r="O16" s="12">
        <f t="shared" si="17"/>
        <v>0.34291898577612867</v>
      </c>
      <c r="P16" s="12">
        <f t="shared" si="17"/>
        <v>0.40849373663305832</v>
      </c>
      <c r="Q16" s="12">
        <f t="shared" si="17"/>
        <v>-0.17373134328358208</v>
      </c>
      <c r="R16" s="12">
        <f t="shared" si="17"/>
        <v>0.38265158108500147</v>
      </c>
      <c r="X16" s="12">
        <f t="shared" ref="X16:AA16" si="18">+X14/X5</f>
        <v>0.3949247311827957</v>
      </c>
      <c r="Y16" s="12">
        <f t="shared" si="18"/>
        <v>0.24369819704349313</v>
      </c>
      <c r="Z16" s="12">
        <f t="shared" si="18"/>
        <v>0.39323172730252381</v>
      </c>
      <c r="AA16" s="12">
        <f t="shared" si="18"/>
        <v>0.23925135297654843</v>
      </c>
      <c r="AK16" s="12" t="s">
        <v>45</v>
      </c>
      <c r="AL16" s="12">
        <v>7.2700000000000001E-2</v>
      </c>
    </row>
    <row r="17" spans="2:38" s="12" customFormat="1">
      <c r="B17" s="12" t="s">
        <v>44</v>
      </c>
      <c r="G17" s="12">
        <f t="shared" ref="G17:Q17" si="19">+G3/C3 -1</f>
        <v>2.4708624708624782E-2</v>
      </c>
      <c r="H17" s="12">
        <f t="shared" si="19"/>
        <v>3.1278331822302885E-2</v>
      </c>
      <c r="I17" s="12">
        <f t="shared" si="19"/>
        <v>6.6363636363636402E-2</v>
      </c>
      <c r="J17" s="12">
        <f t="shared" si="19"/>
        <v>4.3322912014291948E-2</v>
      </c>
      <c r="K17" s="12">
        <f t="shared" si="19"/>
        <v>4.4585987261146487E-2</v>
      </c>
      <c r="L17" s="12">
        <f t="shared" si="19"/>
        <v>1.8021978021977914E-2</v>
      </c>
      <c r="M17" s="12">
        <f t="shared" si="19"/>
        <v>-3.4100596760442414E-3</v>
      </c>
      <c r="N17" s="12">
        <f t="shared" si="19"/>
        <v>4.1523972602739878E-2</v>
      </c>
      <c r="O17" s="12">
        <f t="shared" si="19"/>
        <v>5.4006968641115094E-2</v>
      </c>
      <c r="P17" s="12">
        <f t="shared" si="19"/>
        <v>7.7288428324697733E-2</v>
      </c>
      <c r="Q17" s="12">
        <f t="shared" si="19"/>
        <v>0.11206159110350722</v>
      </c>
      <c r="R17" s="12">
        <f>+R3/N3 -1</f>
        <v>0.10850801479654737</v>
      </c>
      <c r="Y17" s="12">
        <f t="shared" ref="Y17:Z17" si="20">+Y3/X3 -1</f>
        <v>4.1410693970420853E-2</v>
      </c>
      <c r="Z17" s="12">
        <f t="shared" si="20"/>
        <v>2.5016386279222091E-2</v>
      </c>
      <c r="AA17" s="12">
        <f>+AA3/Z3 -1</f>
        <v>8.8244697857827958E-2</v>
      </c>
      <c r="AB17" s="12">
        <f>+AB3/AA3 -1</f>
        <v>0.17520321222211344</v>
      </c>
      <c r="AC17" s="12">
        <f t="shared" ref="AC17:AI17" si="21">+AC3/AB3 -1</f>
        <v>-2.0000000000000018E-2</v>
      </c>
      <c r="AD17" s="12">
        <f t="shared" si="21"/>
        <v>-2.0000000000000018E-2</v>
      </c>
      <c r="AE17" s="12">
        <f t="shared" si="21"/>
        <v>-2.0000000000000018E-2</v>
      </c>
      <c r="AF17" s="12">
        <f t="shared" si="21"/>
        <v>-2.0000000000000018E-2</v>
      </c>
      <c r="AG17" s="12">
        <f t="shared" si="21"/>
        <v>-2.0000000000000018E-2</v>
      </c>
      <c r="AH17" s="12">
        <f t="shared" si="21"/>
        <v>-2.0000000000000018E-2</v>
      </c>
      <c r="AI17" s="12">
        <f t="shared" si="21"/>
        <v>-2.0000000000000129E-2</v>
      </c>
      <c r="AK17" s="12" t="s">
        <v>46</v>
      </c>
      <c r="AL17" s="12">
        <v>-0.01</v>
      </c>
    </row>
    <row r="18" spans="2:38">
      <c r="B18" s="1" t="s">
        <v>51</v>
      </c>
      <c r="Y18" s="12">
        <f>+Y14/X14 -1</f>
        <v>-0.37878457852319758</v>
      </c>
      <c r="Z18" s="12">
        <f>+Z14/Y14 -1</f>
        <v>0.68267882187938289</v>
      </c>
      <c r="AA18" s="12">
        <f>+AA14/Y14 -1</f>
        <v>0.11605890603085567</v>
      </c>
      <c r="AB18" s="12">
        <f t="shared" ref="AB18:AI18" si="22">+AB14/Z14 -1</f>
        <v>0.33741143988330902</v>
      </c>
      <c r="AC18" s="12">
        <f t="shared" si="22"/>
        <v>0.28713548539114009</v>
      </c>
      <c r="AD18" s="12">
        <f t="shared" si="22"/>
        <v>-8.0944527995419069E-2</v>
      </c>
      <c r="AE18" s="12">
        <f t="shared" si="22"/>
        <v>-8.3106138007832286E-2</v>
      </c>
      <c r="AF18" s="12">
        <f t="shared" si="22"/>
        <v>-9.1165487927912237E-2</v>
      </c>
      <c r="AG18" s="12">
        <f t="shared" si="22"/>
        <v>-8.6450881100077592E-2</v>
      </c>
      <c r="AH18" s="12">
        <f t="shared" si="22"/>
        <v>-0.10507283681267343</v>
      </c>
      <c r="AI18" s="12">
        <f t="shared" si="22"/>
        <v>-9.0175865117836707E-2</v>
      </c>
      <c r="AK18" s="1" t="s">
        <v>47</v>
      </c>
      <c r="AL18" s="1">
        <f>NPV(AL16,AB14:EW14)</f>
        <v>5695.2011970162712</v>
      </c>
    </row>
    <row r="19" spans="2:38">
      <c r="AK19" s="1" t="s">
        <v>48</v>
      </c>
      <c r="AL19" s="1">
        <v>0</v>
      </c>
    </row>
    <row r="20" spans="2:38">
      <c r="AA20" s="11"/>
      <c r="AK20" s="1" t="s">
        <v>49</v>
      </c>
      <c r="AL20" s="1">
        <f>+AL18+AL19</f>
        <v>5695.2011970162712</v>
      </c>
    </row>
    <row r="21" spans="2:38">
      <c r="B21" s="2" t="s">
        <v>29</v>
      </c>
      <c r="C21" s="3">
        <v>46588</v>
      </c>
      <c r="D21" s="3">
        <v>44463</v>
      </c>
      <c r="E21" s="3">
        <v>45970</v>
      </c>
      <c r="F21" s="3">
        <v>45648</v>
      </c>
      <c r="G21" s="3">
        <v>46498</v>
      </c>
      <c r="H21" s="3">
        <v>51271</v>
      </c>
      <c r="I21" s="3">
        <v>51231</v>
      </c>
      <c r="J21" s="3">
        <v>53122</v>
      </c>
      <c r="K21" s="3">
        <v>52970</v>
      </c>
      <c r="L21" s="3">
        <v>54132</v>
      </c>
      <c r="M21" s="3">
        <v>54370</v>
      </c>
      <c r="N21" s="3">
        <v>56325</v>
      </c>
      <c r="O21" s="3">
        <v>54475</v>
      </c>
      <c r="P21" s="3">
        <v>55029</v>
      </c>
      <c r="Q21" s="3">
        <v>55997</v>
      </c>
      <c r="R21" s="3">
        <v>56523</v>
      </c>
      <c r="AK21" s="1" t="s">
        <v>50</v>
      </c>
      <c r="AL21" s="1">
        <f>+AL20/82.5</f>
        <v>69.032741782015407</v>
      </c>
    </row>
    <row r="22" spans="2:38">
      <c r="B22" s="2" t="s">
        <v>30</v>
      </c>
      <c r="C22" s="3">
        <v>37983</v>
      </c>
      <c r="D22" s="3">
        <v>38392</v>
      </c>
      <c r="E22" s="3">
        <v>38610</v>
      </c>
      <c r="F22" s="3">
        <v>37621</v>
      </c>
      <c r="G22" s="3">
        <v>38095</v>
      </c>
      <c r="H22" s="3">
        <v>40414</v>
      </c>
      <c r="I22" s="3">
        <v>40366.870846060046</v>
      </c>
      <c r="J22" s="3">
        <v>40850</v>
      </c>
      <c r="K22" s="3">
        <v>40824</v>
      </c>
      <c r="L22" s="3">
        <v>40700.799474213338</v>
      </c>
      <c r="M22" s="3">
        <v>41336.793742426664</v>
      </c>
      <c r="N22" s="3">
        <v>42629</v>
      </c>
      <c r="O22" s="3">
        <v>42098.9</v>
      </c>
      <c r="P22" s="3">
        <v>44530</v>
      </c>
      <c r="Q22" s="3">
        <v>44732.5</v>
      </c>
      <c r="R22" s="3">
        <v>44046.2</v>
      </c>
    </row>
    <row r="23" spans="2:38">
      <c r="B23" s="2" t="s">
        <v>31</v>
      </c>
      <c r="C23" s="3">
        <v>30279</v>
      </c>
      <c r="D23" s="3">
        <v>31152</v>
      </c>
      <c r="E23" s="3">
        <v>30830</v>
      </c>
      <c r="F23" s="3">
        <v>30568</v>
      </c>
      <c r="G23" s="3">
        <v>31204</v>
      </c>
      <c r="H23" s="3">
        <v>31497</v>
      </c>
      <c r="I23" s="3">
        <v>31657</v>
      </c>
      <c r="J23" s="3">
        <v>32129</v>
      </c>
      <c r="K23" s="3">
        <v>33124</v>
      </c>
      <c r="L23" s="3">
        <v>32487</v>
      </c>
      <c r="M23" s="3">
        <v>34004</v>
      </c>
      <c r="N23" s="3">
        <v>34963</v>
      </c>
      <c r="O23" s="3">
        <v>35132</v>
      </c>
      <c r="P23" s="3">
        <v>37176</v>
      </c>
      <c r="Q23" s="3">
        <v>36705</v>
      </c>
      <c r="R23" s="3">
        <v>35763</v>
      </c>
    </row>
    <row r="24" spans="2:38">
      <c r="B24" s="2" t="s">
        <v>32</v>
      </c>
      <c r="C24" s="3">
        <v>30470</v>
      </c>
      <c r="D24" s="3">
        <v>31124</v>
      </c>
      <c r="E24" s="3">
        <v>30789</v>
      </c>
      <c r="F24" s="3">
        <v>30948</v>
      </c>
      <c r="G24" s="3">
        <v>31008</v>
      </c>
      <c r="H24" s="3">
        <v>31467</v>
      </c>
      <c r="I24" s="3">
        <v>31529</v>
      </c>
      <c r="J24" s="3">
        <v>32257</v>
      </c>
      <c r="K24" s="3">
        <v>32494</v>
      </c>
      <c r="L24" s="3">
        <v>32480</v>
      </c>
      <c r="M24" s="3">
        <v>33652</v>
      </c>
      <c r="N24" s="3">
        <v>35019.333333333336</v>
      </c>
      <c r="O24" s="3">
        <v>34981.9</v>
      </c>
      <c r="P24" s="3">
        <v>36763.5</v>
      </c>
      <c r="Q24" s="3">
        <v>36804.300000000003</v>
      </c>
      <c r="R24" s="3">
        <v>36417.1</v>
      </c>
    </row>
    <row r="25" spans="2:38">
      <c r="B25" s="2" t="s">
        <v>33</v>
      </c>
      <c r="C25" s="3">
        <v>35282</v>
      </c>
      <c r="D25" s="3">
        <v>35286</v>
      </c>
      <c r="E25" s="3">
        <v>35408</v>
      </c>
      <c r="F25" s="3">
        <v>35828</v>
      </c>
      <c r="G25" s="3">
        <v>35383</v>
      </c>
      <c r="H25" s="3">
        <v>35857</v>
      </c>
      <c r="I25" s="3">
        <v>36960</v>
      </c>
      <c r="J25" s="3">
        <v>38890</v>
      </c>
      <c r="K25" s="3">
        <v>38760</v>
      </c>
      <c r="L25" s="3">
        <v>40183</v>
      </c>
      <c r="M25" s="3">
        <v>40298</v>
      </c>
      <c r="N25" s="3">
        <v>42539</v>
      </c>
      <c r="O25" s="3">
        <v>40948</v>
      </c>
      <c r="P25" s="3">
        <v>41482</v>
      </c>
      <c r="Q25" s="3">
        <v>42809</v>
      </c>
      <c r="R25" s="3">
        <v>44529</v>
      </c>
    </row>
    <row r="26" spans="2:38">
      <c r="B26" s="2" t="s">
        <v>34</v>
      </c>
      <c r="C26" s="3">
        <v>30485</v>
      </c>
      <c r="D26" s="3">
        <v>29916</v>
      </c>
      <c r="E26" s="3">
        <v>30349</v>
      </c>
      <c r="F26" s="3">
        <v>30188</v>
      </c>
      <c r="G26" s="3">
        <v>29882</v>
      </c>
      <c r="H26" s="3">
        <v>30520</v>
      </c>
      <c r="I26" s="3">
        <v>30807</v>
      </c>
      <c r="J26" s="3">
        <v>31744</v>
      </c>
      <c r="K26" s="3">
        <v>31979</v>
      </c>
      <c r="L26" s="3">
        <v>32505</v>
      </c>
      <c r="M26" s="3">
        <v>33093</v>
      </c>
      <c r="N26" s="3">
        <v>33925</v>
      </c>
      <c r="O26" s="3">
        <v>34150</v>
      </c>
      <c r="P26" s="3">
        <v>33558.1</v>
      </c>
      <c r="Q26" s="3">
        <v>34219</v>
      </c>
      <c r="R26" s="3">
        <v>33496</v>
      </c>
    </row>
    <row r="27" spans="2:38" ht="15">
      <c r="B27" s="2" t="s">
        <v>41</v>
      </c>
      <c r="C27" s="3">
        <v>3542.4</v>
      </c>
      <c r="D27" s="3">
        <v>3579.1</v>
      </c>
      <c r="E27" s="3">
        <v>3631.7</v>
      </c>
      <c r="F27" s="3">
        <v>3285.5</v>
      </c>
      <c r="G27" s="3">
        <v>3230.7</v>
      </c>
      <c r="H27" s="3">
        <v>3361.2</v>
      </c>
      <c r="I27" s="3">
        <v>3430.1</v>
      </c>
      <c r="J27" s="3">
        <v>3419</v>
      </c>
      <c r="K27" s="3">
        <v>3434.7</v>
      </c>
      <c r="L27" s="3">
        <v>3503.5</v>
      </c>
      <c r="M27" s="3">
        <v>3595.2</v>
      </c>
      <c r="N27" s="3">
        <v>3635.7</v>
      </c>
      <c r="O27" s="3">
        <v>3340</v>
      </c>
      <c r="P27" s="3">
        <v>3351</v>
      </c>
      <c r="Q27" s="3">
        <v>3206.5</v>
      </c>
      <c r="R27" s="3">
        <v>3215.3</v>
      </c>
    </row>
    <row r="28" spans="2:38" ht="15">
      <c r="B28" s="2" t="s">
        <v>42</v>
      </c>
      <c r="C28" s="3">
        <v>3002.6</v>
      </c>
      <c r="D28" s="3">
        <v>3008.7</v>
      </c>
      <c r="E28" s="3">
        <v>3075.7</v>
      </c>
      <c r="F28" s="3">
        <v>2716.6</v>
      </c>
      <c r="G28" s="3">
        <v>2665.3</v>
      </c>
      <c r="H28" s="3">
        <v>2805.9</v>
      </c>
      <c r="I28" s="3">
        <v>2877.2</v>
      </c>
      <c r="J28" s="3">
        <v>2866.9</v>
      </c>
      <c r="K28" s="3">
        <v>2894.8</v>
      </c>
      <c r="L28" s="3">
        <v>2965.6</v>
      </c>
      <c r="M28" s="3">
        <v>3059.4</v>
      </c>
      <c r="N28" s="3">
        <v>3100.8</v>
      </c>
      <c r="O28" s="3">
        <v>2808</v>
      </c>
      <c r="P28" s="3">
        <v>2820</v>
      </c>
      <c r="Q28" s="3">
        <v>2677.7</v>
      </c>
      <c r="R28" s="3">
        <v>2693</v>
      </c>
    </row>
    <row r="29" spans="2:38" ht="15">
      <c r="B29" s="2" t="s">
        <v>43</v>
      </c>
      <c r="C29" s="3">
        <v>3542.4</v>
      </c>
      <c r="D29" s="3">
        <v>3579.1</v>
      </c>
      <c r="E29" s="3">
        <v>3631.7</v>
      </c>
      <c r="F29" s="3">
        <v>2694</v>
      </c>
      <c r="G29" s="3">
        <v>2639</v>
      </c>
      <c r="H29" s="3">
        <v>2772</v>
      </c>
      <c r="I29" s="3">
        <v>2827</v>
      </c>
      <c r="J29" s="3">
        <v>2802</v>
      </c>
      <c r="K29" s="3">
        <v>2835</v>
      </c>
      <c r="L29" s="3">
        <v>2903</v>
      </c>
      <c r="M29" s="3">
        <v>2979</v>
      </c>
      <c r="N29" s="3">
        <v>3012</v>
      </c>
      <c r="O29" s="3">
        <v>2695</v>
      </c>
      <c r="P29" s="3">
        <v>2699</v>
      </c>
      <c r="Q29" s="3">
        <v>2764</v>
      </c>
      <c r="R29" s="3">
        <v>2793</v>
      </c>
    </row>
    <row r="30" spans="2:38">
      <c r="B30" s="2" t="s">
        <v>35</v>
      </c>
      <c r="C30" s="3">
        <v>3823</v>
      </c>
      <c r="D30" s="3">
        <v>3915</v>
      </c>
      <c r="E30" s="3">
        <v>4015</v>
      </c>
      <c r="F30" s="3">
        <v>3456</v>
      </c>
      <c r="G30" s="3">
        <v>3399</v>
      </c>
      <c r="H30" s="3">
        <v>3523</v>
      </c>
      <c r="I30" s="3">
        <v>3966</v>
      </c>
      <c r="J30" s="3">
        <v>3928</v>
      </c>
      <c r="K30" s="3">
        <v>3965</v>
      </c>
      <c r="L30" s="3">
        <v>4019</v>
      </c>
      <c r="M30" s="3">
        <v>4097</v>
      </c>
      <c r="N30" s="3">
        <v>4110</v>
      </c>
      <c r="O30" s="3">
        <v>4101</v>
      </c>
      <c r="P30" s="3">
        <v>4103</v>
      </c>
      <c r="Q30" s="3">
        <v>3993</v>
      </c>
      <c r="R30" s="3">
        <v>3819</v>
      </c>
    </row>
    <row r="31" spans="2:38">
      <c r="B31" s="9" t="s">
        <v>36</v>
      </c>
      <c r="C31" s="3">
        <v>18560.094783000008</v>
      </c>
      <c r="D31" s="3">
        <v>18795.794383090004</v>
      </c>
      <c r="E31" s="3">
        <v>18734.431370999999</v>
      </c>
      <c r="F31" s="3">
        <v>18401.989950000003</v>
      </c>
      <c r="G31" s="3">
        <v>18856.826134999901</v>
      </c>
      <c r="H31" s="3">
        <v>18726.099136000012</v>
      </c>
      <c r="I31" s="3">
        <v>18222.087503000028</v>
      </c>
      <c r="J31" s="3">
        <v>18048</v>
      </c>
      <c r="K31" s="3">
        <v>18035</v>
      </c>
      <c r="L31" s="3">
        <v>18124</v>
      </c>
      <c r="M31" s="3">
        <v>18297</v>
      </c>
      <c r="N31" s="3">
        <v>18117</v>
      </c>
      <c r="O31" s="3">
        <v>18505</v>
      </c>
      <c r="P31" s="3">
        <v>19304</v>
      </c>
      <c r="Q31" s="3">
        <v>19321</v>
      </c>
      <c r="R31" s="3">
        <v>18642</v>
      </c>
    </row>
    <row r="32" spans="2:38">
      <c r="B32" s="9" t="s">
        <v>37</v>
      </c>
      <c r="C32" s="3">
        <v>48.136237999999999</v>
      </c>
      <c r="D32" s="3">
        <v>53.114600000000003</v>
      </c>
      <c r="E32" s="3">
        <v>1.722E-3</v>
      </c>
      <c r="F32" s="3" t="s">
        <v>38</v>
      </c>
      <c r="G32" s="3" t="s">
        <v>38</v>
      </c>
      <c r="H32" s="3" t="s">
        <v>38</v>
      </c>
      <c r="I32" s="3" t="s">
        <v>38</v>
      </c>
      <c r="J32" s="3" t="s">
        <v>38</v>
      </c>
      <c r="K32" s="3" t="s">
        <v>38</v>
      </c>
      <c r="L32" s="3" t="s">
        <v>38</v>
      </c>
      <c r="M32" s="3" t="s">
        <v>38</v>
      </c>
      <c r="N32" s="3" t="s">
        <v>38</v>
      </c>
      <c r="O32" s="3" t="s">
        <v>38</v>
      </c>
      <c r="P32" s="3" t="s">
        <v>38</v>
      </c>
      <c r="Q32" s="3" t="s">
        <v>38</v>
      </c>
      <c r="R32" s="3" t="s">
        <v>38</v>
      </c>
    </row>
    <row r="33" spans="2:18">
      <c r="B33" s="9" t="s">
        <v>39</v>
      </c>
      <c r="C33" s="3">
        <v>1849.3014776299999</v>
      </c>
      <c r="D33" s="3">
        <v>1877.74985462</v>
      </c>
      <c r="E33" s="3">
        <v>1877.74985462</v>
      </c>
      <c r="F33" s="3">
        <v>1982.5352146199998</v>
      </c>
      <c r="G33" s="3">
        <v>2023.7716796</v>
      </c>
      <c r="H33" s="3">
        <v>2023.7031224299999</v>
      </c>
      <c r="I33" s="3">
        <v>2023.7031224300001</v>
      </c>
      <c r="J33" s="3">
        <v>2023.7031224300003</v>
      </c>
      <c r="K33" s="3">
        <v>2018</v>
      </c>
      <c r="L33" s="3">
        <v>2018</v>
      </c>
      <c r="M33" s="3">
        <v>2018</v>
      </c>
      <c r="N33" s="3">
        <v>2018</v>
      </c>
      <c r="O33" s="3">
        <v>2022</v>
      </c>
      <c r="P33" s="3">
        <v>2022</v>
      </c>
      <c r="Q33" s="3">
        <v>2022</v>
      </c>
      <c r="R33" s="3">
        <v>2022</v>
      </c>
    </row>
    <row r="34" spans="2:18">
      <c r="B34" s="4" t="s">
        <v>40</v>
      </c>
      <c r="C34" s="5">
        <v>20458</v>
      </c>
      <c r="D34" s="5">
        <v>20727</v>
      </c>
      <c r="E34" s="5">
        <v>20612</v>
      </c>
      <c r="F34" s="5">
        <v>20391</v>
      </c>
      <c r="G34" s="5">
        <v>20881</v>
      </c>
      <c r="H34" s="5">
        <v>20751</v>
      </c>
      <c r="I34" s="5">
        <v>20247</v>
      </c>
      <c r="J34" s="5">
        <v>20073</v>
      </c>
      <c r="K34" s="5">
        <v>20054</v>
      </c>
      <c r="L34" s="5">
        <v>20142</v>
      </c>
      <c r="M34" s="5">
        <v>20297</v>
      </c>
      <c r="N34" s="5">
        <v>20135</v>
      </c>
      <c r="O34" s="5">
        <v>20527</v>
      </c>
      <c r="P34" s="5">
        <v>21326</v>
      </c>
      <c r="Q34" s="5">
        <v>21343</v>
      </c>
      <c r="R34" s="5">
        <v>20664</v>
      </c>
    </row>
  </sheetData>
  <phoneticPr fontId="1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2023-03-30T20:05:41Z</dcterms:created>
  <dcterms:modified xsi:type="dcterms:W3CDTF">2024-09-08T23:19:15Z</dcterms:modified>
</cp:coreProperties>
</file>