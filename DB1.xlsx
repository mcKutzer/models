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9EFAB982-3C85-438E-8F02-5F3251832B22}" xr6:coauthVersionLast="47" xr6:coauthVersionMax="47" xr10:uidLastSave="{00000000-0000-0000-0000-000000000000}"/>
  <bookViews>
    <workbookView xWindow="28680" yWindow="-120" windowWidth="29040" windowHeight="15840" xr2:uid="{98264FE7-54DF-46F0-A350-5E028AD041BF}"/>
  </bookViews>
  <sheets>
    <sheet name="Model" sheetId="1" r:id="rId1"/>
    <sheet name="M&amp;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5" i="1" l="1"/>
  <c r="AA73" i="1" l="1"/>
  <c r="O58" i="1"/>
  <c r="P58" i="1" s="1"/>
  <c r="Q58" i="1" s="1"/>
  <c r="R58" i="1" s="1"/>
  <c r="S58" i="1" s="1"/>
  <c r="T58" i="1" s="1"/>
  <c r="U58" i="1" s="1"/>
  <c r="V58" i="1" s="1"/>
  <c r="W58" i="1" s="1"/>
  <c r="X58" i="1" s="1"/>
  <c r="N203" i="1"/>
  <c r="M203" i="1"/>
  <c r="L203" i="1"/>
  <c r="K203" i="1"/>
  <c r="J203" i="1"/>
  <c r="I203" i="1"/>
  <c r="M9" i="1"/>
  <c r="O50" i="1"/>
  <c r="M72" i="1"/>
  <c r="N72" i="1"/>
  <c r="O45" i="1"/>
  <c r="P45" i="1" s="1"/>
  <c r="Q45" i="1" s="1"/>
  <c r="Q51" i="1" s="1"/>
  <c r="K3" i="2"/>
  <c r="K5" i="2" s="1"/>
  <c r="N199" i="1"/>
  <c r="M187" i="1"/>
  <c r="M192" i="1" s="1"/>
  <c r="N187" i="1"/>
  <c r="N192" i="1" s="1"/>
  <c r="N180" i="1"/>
  <c r="N185" i="1" s="1"/>
  <c r="M180" i="1"/>
  <c r="M185" i="1" s="1"/>
  <c r="N173" i="1"/>
  <c r="M173" i="1"/>
  <c r="N169" i="1"/>
  <c r="M169" i="1"/>
  <c r="M165" i="1"/>
  <c r="N165" i="1"/>
  <c r="N154" i="1"/>
  <c r="M154" i="1"/>
  <c r="N158" i="1"/>
  <c r="M158" i="1"/>
  <c r="P50" i="1" l="1"/>
  <c r="Q50" i="1" s="1"/>
  <c r="R50" i="1" s="1"/>
  <c r="S50" i="1" s="1"/>
  <c r="T50" i="1" s="1"/>
  <c r="U50" i="1" s="1"/>
  <c r="V50" i="1" s="1"/>
  <c r="W50" i="1" s="1"/>
  <c r="X50" i="1" s="1"/>
  <c r="N163" i="1"/>
  <c r="M178" i="1"/>
  <c r="N178" i="1"/>
  <c r="N194" i="1" s="1"/>
  <c r="N195" i="1" s="1"/>
  <c r="M163" i="1"/>
  <c r="M194" i="1" l="1"/>
  <c r="M195" i="1" s="1"/>
  <c r="N196" i="1" s="1"/>
  <c r="L120" i="1" l="1"/>
  <c r="L121" i="1"/>
  <c r="L122" i="1"/>
  <c r="L124" i="1"/>
  <c r="L125" i="1"/>
  <c r="L126" i="1"/>
  <c r="L130" i="1"/>
  <c r="L131" i="1"/>
  <c r="L132" i="1"/>
  <c r="L133" i="1"/>
  <c r="L135" i="1"/>
  <c r="L136" i="1"/>
  <c r="L137" i="1"/>
  <c r="L139" i="1"/>
  <c r="L140" i="1"/>
  <c r="L141" i="1"/>
  <c r="L145" i="1"/>
  <c r="L146" i="1"/>
  <c r="L147" i="1"/>
  <c r="L149" i="1"/>
  <c r="L150" i="1"/>
  <c r="L151" i="1"/>
  <c r="M120" i="1"/>
  <c r="M121" i="1"/>
  <c r="M122" i="1"/>
  <c r="M124" i="1"/>
  <c r="M125" i="1"/>
  <c r="M126" i="1"/>
  <c r="M130" i="1"/>
  <c r="M131" i="1"/>
  <c r="M132" i="1"/>
  <c r="M133" i="1"/>
  <c r="M134" i="1"/>
  <c r="M135" i="1"/>
  <c r="M136" i="1"/>
  <c r="M137" i="1"/>
  <c r="M139" i="1"/>
  <c r="M140" i="1"/>
  <c r="M141" i="1"/>
  <c r="M145" i="1"/>
  <c r="M146" i="1"/>
  <c r="M147" i="1"/>
  <c r="M149" i="1"/>
  <c r="M150" i="1"/>
  <c r="M151" i="1"/>
  <c r="M119" i="1"/>
  <c r="L113" i="1"/>
  <c r="M113" i="1"/>
  <c r="L109" i="1"/>
  <c r="M109" i="1"/>
  <c r="L103" i="1"/>
  <c r="M103" i="1"/>
  <c r="L99" i="1"/>
  <c r="M99" i="1"/>
  <c r="L94" i="1"/>
  <c r="M94" i="1"/>
  <c r="M129" i="1" s="1"/>
  <c r="M92" i="1"/>
  <c r="L88" i="1"/>
  <c r="L92" i="1" s="1"/>
  <c r="M88" i="1"/>
  <c r="L84" i="1"/>
  <c r="M84" i="1"/>
  <c r="L39" i="1"/>
  <c r="M39" i="1"/>
  <c r="L34" i="1"/>
  <c r="M34" i="1"/>
  <c r="L30" i="1"/>
  <c r="M30" i="1"/>
  <c r="L15" i="1"/>
  <c r="L20" i="1"/>
  <c r="L24" i="1"/>
  <c r="L28" i="1" s="1"/>
  <c r="M24" i="1"/>
  <c r="M20" i="1"/>
  <c r="M15" i="1"/>
  <c r="L4" i="1"/>
  <c r="L8" i="1"/>
  <c r="M8" i="1"/>
  <c r="M4" i="1"/>
  <c r="E71" i="1"/>
  <c r="F71" i="1"/>
  <c r="G71" i="1"/>
  <c r="H71" i="1"/>
  <c r="I71" i="1"/>
  <c r="J71" i="1"/>
  <c r="K71" i="1"/>
  <c r="L71" i="1"/>
  <c r="K2" i="1"/>
  <c r="J2" i="1" s="1"/>
  <c r="I2" i="1" s="1"/>
  <c r="H2" i="1" s="1"/>
  <c r="G2" i="1" s="1"/>
  <c r="F2" i="1" s="1"/>
  <c r="E2" i="1" s="1"/>
  <c r="D2" i="1" s="1"/>
  <c r="L129" i="1" l="1"/>
  <c r="L119" i="1"/>
  <c r="L134" i="1"/>
  <c r="L138" i="1"/>
  <c r="M144" i="1"/>
  <c r="L144" i="1"/>
  <c r="M148" i="1"/>
  <c r="M107" i="1"/>
  <c r="M138" i="1"/>
  <c r="M123" i="1"/>
  <c r="L148" i="1"/>
  <c r="L13" i="1"/>
  <c r="L127" i="1" s="1"/>
  <c r="L107" i="1"/>
  <c r="L142" i="1" s="1"/>
  <c r="L123" i="1"/>
  <c r="M13" i="1"/>
  <c r="M127" i="1" s="1"/>
  <c r="M28" i="1"/>
  <c r="M70" i="1"/>
  <c r="L70" i="1"/>
  <c r="O65" i="1"/>
  <c r="P65" i="1" s="1"/>
  <c r="Q65" i="1" s="1"/>
  <c r="R65" i="1" s="1"/>
  <c r="S65" i="1" s="1"/>
  <c r="T65" i="1" s="1"/>
  <c r="U65" i="1" s="1"/>
  <c r="V65" i="1" s="1"/>
  <c r="W65" i="1" s="1"/>
  <c r="X65" i="1" s="1"/>
  <c r="N204" i="1" s="1"/>
  <c r="M71" i="1"/>
  <c r="O55" i="1"/>
  <c r="P55" i="1" s="1"/>
  <c r="Q55" i="1" s="1"/>
  <c r="R55" i="1" s="1"/>
  <c r="S55" i="1" s="1"/>
  <c r="T55" i="1" s="1"/>
  <c r="U55" i="1" s="1"/>
  <c r="V55" i="1" s="1"/>
  <c r="W55" i="1" s="1"/>
  <c r="X55" i="1" s="1"/>
  <c r="M67" i="1"/>
  <c r="L67" i="1"/>
  <c r="M81" i="1"/>
  <c r="L75" i="1"/>
  <c r="L76" i="1" s="1"/>
  <c r="M75" i="1"/>
  <c r="M76" i="1" s="1"/>
  <c r="M49" i="1"/>
  <c r="M52" i="1" s="1"/>
  <c r="M54" i="1" s="1"/>
  <c r="M56" i="1" s="1"/>
  <c r="M59" i="1" s="1"/>
  <c r="M61" i="1" s="1"/>
  <c r="M69" i="1" s="1"/>
  <c r="L49" i="1"/>
  <c r="L52" i="1" s="1"/>
  <c r="L54" i="1" s="1"/>
  <c r="L56" i="1" s="1"/>
  <c r="L59" i="1" s="1"/>
  <c r="L61" i="1" s="1"/>
  <c r="L69" i="1" s="1"/>
  <c r="M2" i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M142" i="1" l="1"/>
  <c r="N70" i="1"/>
  <c r="O70" i="1"/>
  <c r="N71" i="1"/>
  <c r="L63" i="1"/>
  <c r="L65" i="1" s="1"/>
  <c r="M63" i="1"/>
  <c r="M65" i="1" s="1"/>
  <c r="N67" i="1"/>
  <c r="M68" i="1"/>
  <c r="L68" i="1"/>
  <c r="N49" i="1"/>
  <c r="N52" i="1" s="1"/>
  <c r="N54" i="1" s="1"/>
  <c r="O51" i="1" l="1"/>
  <c r="O72" i="1" s="1"/>
  <c r="O47" i="1"/>
  <c r="O67" i="1" s="1"/>
  <c r="O71" i="1"/>
  <c r="N56" i="1"/>
  <c r="N59" i="1" s="1"/>
  <c r="N61" i="1" s="1"/>
  <c r="K23" i="2" s="1"/>
  <c r="N68" i="1"/>
  <c r="P71" i="1" l="1"/>
  <c r="P51" i="1"/>
  <c r="P47" i="1"/>
  <c r="P67" i="1" s="1"/>
  <c r="P70" i="1"/>
  <c r="O49" i="1"/>
  <c r="O52" i="1" s="1"/>
  <c r="O54" i="1" s="1"/>
  <c r="N69" i="1"/>
  <c r="N63" i="1"/>
  <c r="N64" i="1" s="1"/>
  <c r="P72" i="1" l="1"/>
  <c r="Q72" i="1"/>
  <c r="O68" i="1"/>
  <c r="O56" i="1"/>
  <c r="O59" i="1" s="1"/>
  <c r="O60" i="1" s="1"/>
  <c r="O61" i="1" s="1"/>
  <c r="P49" i="1"/>
  <c r="P52" i="1" s="1"/>
  <c r="P54" i="1" s="1"/>
  <c r="R45" i="1"/>
  <c r="R51" i="1" s="1"/>
  <c r="R72" i="1" s="1"/>
  <c r="Q70" i="1"/>
  <c r="Q47" i="1"/>
  <c r="Q49" i="1" s="1"/>
  <c r="Q52" i="1" s="1"/>
  <c r="Q54" i="1" s="1"/>
  <c r="Q71" i="1"/>
  <c r="Q67" i="1" l="1"/>
  <c r="P56" i="1"/>
  <c r="P59" i="1" s="1"/>
  <c r="P60" i="1" s="1"/>
  <c r="P61" i="1" s="1"/>
  <c r="P68" i="1"/>
  <c r="Q68" i="1"/>
  <c r="Q56" i="1"/>
  <c r="Q59" i="1" s="1"/>
  <c r="Q60" i="1" s="1"/>
  <c r="Q61" i="1" s="1"/>
  <c r="O63" i="1"/>
  <c r="O64" i="1" s="1"/>
  <c r="O69" i="1"/>
  <c r="S45" i="1"/>
  <c r="S51" i="1" s="1"/>
  <c r="S72" i="1" s="1"/>
  <c r="R47" i="1"/>
  <c r="R67" i="1" s="1"/>
  <c r="R70" i="1"/>
  <c r="R71" i="1"/>
  <c r="T45" i="1" l="1"/>
  <c r="T51" i="1" s="1"/>
  <c r="T72" i="1" s="1"/>
  <c r="S70" i="1"/>
  <c r="S47" i="1"/>
  <c r="S49" i="1" s="1"/>
  <c r="S71" i="1"/>
  <c r="S67" i="1"/>
  <c r="Q69" i="1"/>
  <c r="Q63" i="1"/>
  <c r="Q64" i="1" s="1"/>
  <c r="R49" i="1"/>
  <c r="R52" i="1" s="1"/>
  <c r="R54" i="1" s="1"/>
  <c r="P63" i="1"/>
  <c r="P64" i="1" s="1"/>
  <c r="P69" i="1"/>
  <c r="S52" i="1" l="1"/>
  <c r="S54" i="1" s="1"/>
  <c r="S56" i="1" s="1"/>
  <c r="S59" i="1" s="1"/>
  <c r="S60" i="1" s="1"/>
  <c r="S61" i="1" s="1"/>
  <c r="R68" i="1"/>
  <c r="R56" i="1"/>
  <c r="R59" i="1" s="1"/>
  <c r="R60" i="1" s="1"/>
  <c r="R61" i="1" s="1"/>
  <c r="U45" i="1"/>
  <c r="U51" i="1" s="1"/>
  <c r="U72" i="1" s="1"/>
  <c r="T70" i="1"/>
  <c r="T71" i="1"/>
  <c r="T47" i="1"/>
  <c r="T67" i="1" s="1"/>
  <c r="T49" i="1" l="1"/>
  <c r="T52" i="1"/>
  <c r="T54" i="1" s="1"/>
  <c r="T56" i="1" s="1"/>
  <c r="T59" i="1" s="1"/>
  <c r="T60" i="1" s="1"/>
  <c r="T61" i="1" s="1"/>
  <c r="S68" i="1"/>
  <c r="V45" i="1"/>
  <c r="V51" i="1" s="1"/>
  <c r="V72" i="1" s="1"/>
  <c r="U71" i="1"/>
  <c r="U70" i="1"/>
  <c r="U47" i="1"/>
  <c r="U67" i="1" s="1"/>
  <c r="R63" i="1"/>
  <c r="R64" i="1" s="1"/>
  <c r="R69" i="1"/>
  <c r="S63" i="1"/>
  <c r="S64" i="1" s="1"/>
  <c r="S69" i="1"/>
  <c r="T68" i="1" l="1"/>
  <c r="U49" i="1"/>
  <c r="U52" i="1" s="1"/>
  <c r="U54" i="1" s="1"/>
  <c r="U56" i="1" s="1"/>
  <c r="U59" i="1" s="1"/>
  <c r="U60" i="1" s="1"/>
  <c r="U61" i="1" s="1"/>
  <c r="W45" i="1"/>
  <c r="W51" i="1" s="1"/>
  <c r="W72" i="1" s="1"/>
  <c r="V70" i="1"/>
  <c r="V47" i="1"/>
  <c r="V67" i="1" s="1"/>
  <c r="V71" i="1"/>
  <c r="V49" i="1"/>
  <c r="V52" i="1" s="1"/>
  <c r="V54" i="1" s="1"/>
  <c r="T63" i="1"/>
  <c r="T64" i="1" s="1"/>
  <c r="T69" i="1"/>
  <c r="U68" i="1" l="1"/>
  <c r="V68" i="1"/>
  <c r="V56" i="1"/>
  <c r="V59" i="1" s="1"/>
  <c r="V60" i="1" s="1"/>
  <c r="V61" i="1" s="1"/>
  <c r="X45" i="1"/>
  <c r="X51" i="1" s="1"/>
  <c r="X72" i="1" s="1"/>
  <c r="W47" i="1"/>
  <c r="W71" i="1"/>
  <c r="W70" i="1"/>
  <c r="W67" i="1"/>
  <c r="W49" i="1"/>
  <c r="W52" i="1" s="1"/>
  <c r="W54" i="1" s="1"/>
  <c r="U63" i="1"/>
  <c r="U64" i="1" s="1"/>
  <c r="U69" i="1"/>
  <c r="W68" i="1" l="1"/>
  <c r="W56" i="1"/>
  <c r="W59" i="1" s="1"/>
  <c r="W60" i="1" s="1"/>
  <c r="W61" i="1" s="1"/>
  <c r="X70" i="1"/>
  <c r="X71" i="1"/>
  <c r="X47" i="1"/>
  <c r="X67" i="1" s="1"/>
  <c r="V63" i="1"/>
  <c r="V64" i="1" s="1"/>
  <c r="V69" i="1"/>
  <c r="X49" i="1" l="1"/>
  <c r="X52" i="1" s="1"/>
  <c r="X54" i="1" s="1"/>
  <c r="X56" i="1" s="1"/>
  <c r="X59" i="1" s="1"/>
  <c r="X60" i="1" s="1"/>
  <c r="X61" i="1" s="1"/>
  <c r="W69" i="1"/>
  <c r="W63" i="1"/>
  <c r="X68" i="1" l="1"/>
  <c r="W64" i="1"/>
  <c r="X63" i="1"/>
  <c r="X69" i="1"/>
  <c r="X64" i="1" l="1"/>
  <c r="Y63" i="1"/>
  <c r="Z63" i="1" l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CV63" i="1" s="1"/>
  <c r="CW63" i="1" s="1"/>
  <c r="CX63" i="1" s="1"/>
  <c r="CY63" i="1" s="1"/>
  <c r="CZ63" i="1" s="1"/>
  <c r="AA70" i="1" l="1"/>
  <c r="AA71" i="1" s="1"/>
</calcChain>
</file>

<file path=xl/sharedStrings.xml><?xml version="1.0" encoding="utf-8"?>
<sst xmlns="http://schemas.openxmlformats.org/spreadsheetml/2006/main" count="195" uniqueCount="90">
  <si>
    <t>Revenue</t>
  </si>
  <si>
    <t>Other Revenue</t>
  </si>
  <si>
    <t>Cost</t>
  </si>
  <si>
    <t>Treasury Results</t>
  </si>
  <si>
    <t>Staff Cost</t>
  </si>
  <si>
    <t>Other Expenses</t>
  </si>
  <si>
    <t>Operating Income</t>
  </si>
  <si>
    <t>Investments</t>
  </si>
  <si>
    <t>EBITDA</t>
  </si>
  <si>
    <t>D&amp;A</t>
  </si>
  <si>
    <t xml:space="preserve">EBIT </t>
  </si>
  <si>
    <t>Finance Income</t>
  </si>
  <si>
    <t>Finance Expense</t>
  </si>
  <si>
    <t>EBT</t>
  </si>
  <si>
    <t>Taxes</t>
  </si>
  <si>
    <t>net Income</t>
  </si>
  <si>
    <t>EBITDA Margin</t>
  </si>
  <si>
    <t>Net Margin</t>
  </si>
  <si>
    <t>CFFO</t>
  </si>
  <si>
    <t>CapEx</t>
  </si>
  <si>
    <t>FCF</t>
  </si>
  <si>
    <t>PP&amp;E</t>
  </si>
  <si>
    <t>Cash &amp; Equal.</t>
  </si>
  <si>
    <t>Debt</t>
  </si>
  <si>
    <t xml:space="preserve">Net </t>
  </si>
  <si>
    <t>Profit Margin</t>
  </si>
  <si>
    <t>Shares</t>
  </si>
  <si>
    <t>EPS</t>
  </si>
  <si>
    <t>minority</t>
  </si>
  <si>
    <t>Company Income</t>
  </si>
  <si>
    <t>Net Revenue</t>
  </si>
  <si>
    <t>Revenue Y/Y</t>
  </si>
  <si>
    <t>Staff Eff.</t>
  </si>
  <si>
    <t>Discount</t>
  </si>
  <si>
    <t>Terminal</t>
  </si>
  <si>
    <t>NPV</t>
  </si>
  <si>
    <t>Price</t>
  </si>
  <si>
    <t>Upside</t>
  </si>
  <si>
    <t>Current</t>
  </si>
  <si>
    <t>ESG &amp; Index</t>
  </si>
  <si>
    <t>Index</t>
  </si>
  <si>
    <t xml:space="preserve">ESG  </t>
  </si>
  <si>
    <t>Software</t>
  </si>
  <si>
    <t>On-premise</t>
  </si>
  <si>
    <t>SaaS (inkl. Analytik)</t>
  </si>
  <si>
    <t>Investment Managment</t>
  </si>
  <si>
    <t>Finanzderivate</t>
  </si>
  <si>
    <t>Aktienderivate</t>
  </si>
  <si>
    <t>Zinsderivate</t>
  </si>
  <si>
    <t>Entgeld für Sicherheit</t>
  </si>
  <si>
    <t>Sonstige</t>
  </si>
  <si>
    <t>Sonstige Lösungen</t>
  </si>
  <si>
    <t>Commodities</t>
  </si>
  <si>
    <t>Strom</t>
  </si>
  <si>
    <t>Gas</t>
  </si>
  <si>
    <t>Wertpapiere</t>
  </si>
  <si>
    <t>Handel</t>
  </si>
  <si>
    <t>Devisen &amp; Vermögen</t>
  </si>
  <si>
    <t>Trading &amp; Clearing</t>
  </si>
  <si>
    <t>Fund Service</t>
  </si>
  <si>
    <t>Fondsabwicklung</t>
  </si>
  <si>
    <t>Fondsdistribution</t>
  </si>
  <si>
    <t>Securities Services</t>
  </si>
  <si>
    <t>Verwahrung</t>
  </si>
  <si>
    <t>Abwicklung</t>
  </si>
  <si>
    <t>Konsolidierung</t>
  </si>
  <si>
    <t>Investment Management</t>
  </si>
  <si>
    <t>Kosten (COGS)</t>
  </si>
  <si>
    <t>Margins</t>
  </si>
  <si>
    <t>Nettoerlöse</t>
  </si>
  <si>
    <t>Operative Kosten</t>
  </si>
  <si>
    <t>EBITDA w/o Treasury</t>
  </si>
  <si>
    <t xml:space="preserve">EBITDA  </t>
  </si>
  <si>
    <t>Y/Y</t>
  </si>
  <si>
    <t>Dividend pS</t>
  </si>
  <si>
    <t>Yield</t>
  </si>
  <si>
    <t>allFunds</t>
  </si>
  <si>
    <t>OpEx</t>
  </si>
  <si>
    <t>Savings</t>
  </si>
  <si>
    <t>Cost:</t>
  </si>
  <si>
    <t>ISS Stoxx 20% minority share</t>
  </si>
  <si>
    <t xml:space="preserve">Cost: </t>
  </si>
  <si>
    <t>Income:</t>
  </si>
  <si>
    <t>OpEx Y/Y</t>
  </si>
  <si>
    <t>Software ARR</t>
  </si>
  <si>
    <t>Dividend Payed</t>
  </si>
  <si>
    <t>Share Buyback</t>
  </si>
  <si>
    <t>Shareholder Value</t>
  </si>
  <si>
    <t>SV Yield</t>
  </si>
  <si>
    <t>P/EBITDA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</si>
</sst>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\-&quot;€&quot;\ #,##0.00"/>
    <numFmt numFmtId="164" formatCode="#,##0.0"/>
    <numFmt numFmtId="165" formatCode="#,##0.000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3" fontId="2" fillId="0" borderId="0" xfId="0" applyNumberFormat="1" applyFont="1"/>
    <xf numFmtId="166" fontId="0" fillId="0" borderId="0" xfId="1" applyNumberFormat="1" applyFont="1"/>
    <xf numFmtId="8" fontId="0" fillId="0" borderId="0" xfId="1" applyNumberFormat="1" applyFont="1"/>
    <xf numFmtId="3" fontId="3" fillId="0" borderId="0" xfId="0" applyNumberFormat="1" applyFont="1"/>
    <xf numFmtId="9" fontId="2" fillId="0" borderId="0" xfId="1" applyFont="1"/>
    <xf numFmtId="166" fontId="2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43543</xdr:colOff>
      <xdr:row>12</xdr:row>
      <xdr:rowOff>119742</xdr:rowOff>
    </xdr:from>
    <xdr:to>
      <xdr:col>14</xdr:col>
      <xdr:colOff>48986</xdr:colOff>
      <xdr:row>65</xdr:row>
      <xdr:rowOff>152399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5FB0FAD-F6D7-44AD-0999-D35FB1D93125}"/>
            </a:ext>
          </a:extLst>
        </xdr:cNvPr>
        <xdr:cNvCxnSpPr/>
      </xdr:nvCxnSpPr>
      <xdr:spPr>
        <a:xfrm>
          <a:off x="9067800" y="2405742"/>
          <a:ext cx="5443" cy="101291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8</xdr:col>
      <xdr:colOff>351719</xdr:colOff>
      <xdr:row>19</xdr:row>
      <xdr:rowOff>163286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B7998-BFC2-47B5-8998-3C3422704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4009319" cy="3211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8</xdr:col>
      <xdr:colOff>549729</xdr:colOff>
      <xdr:row>39</xdr:row>
      <xdr:rowOff>38298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EA8B05-4FE2-6494-0D6D-B81F9520C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191000"/>
          <a:ext cx="4207329" cy="327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B9FB-A980-439E-8B14-88A1591FAFC4}">
  <dimension ref="B2:CZ204"/>
  <sheetViews>
    <sheetView tabSelected="1" zoomScale="175" zoomScaleNormal="175" workbookViewId="0">
      <pane xSplit="2" ySplit="2" topLeftCell="P58" activePane="bottomRight" state="frozen"/>
      <selection pane="topRight" activeCell="C1" sqref="C1"/>
      <selection pane="bottomLeft" activeCell="A3" sqref="A3"/>
      <selection pane="bottomRight" activeCell="AA76" sqref="AA76"/>
    </sheetView>
  </sheetViews>
  <sheetFormatPr defaultRowHeight="15" x14ac:dyDescent="0.25"/>
  <cols>
    <col min="1" max="1" width="3" customWidth="1"/>
    <col min="2" max="2" width="22.5703125" bestFit="1" customWidth="1"/>
    <col min="27" max="27" width="10.85546875" bestFit="1" customWidth="1"/>
  </cols>
  <sheetData>
    <row r="2" spans="2:24" x14ac:dyDescent="0.25">
      <c r="D2">
        <f t="shared" ref="D2:J2" si="0">+E2-1</f>
        <v>2015</v>
      </c>
      <c r="E2">
        <f t="shared" si="0"/>
        <v>2016</v>
      </c>
      <c r="F2">
        <f t="shared" si="0"/>
        <v>2017</v>
      </c>
      <c r="G2">
        <f t="shared" si="0"/>
        <v>2018</v>
      </c>
      <c r="H2">
        <f t="shared" si="0"/>
        <v>2019</v>
      </c>
      <c r="I2">
        <f t="shared" si="0"/>
        <v>2020</v>
      </c>
      <c r="J2">
        <f t="shared" si="0"/>
        <v>2021</v>
      </c>
      <c r="K2">
        <f>+L2-1</f>
        <v>2022</v>
      </c>
      <c r="L2">
        <v>2023</v>
      </c>
      <c r="M2">
        <f>+L2+1</f>
        <v>2024</v>
      </c>
      <c r="N2">
        <f>+M2+1</f>
        <v>2025</v>
      </c>
      <c r="O2">
        <f>+N2+1</f>
        <v>2026</v>
      </c>
      <c r="P2">
        <f t="shared" ref="P2:X2" si="1">+O2+1</f>
        <v>2027</v>
      </c>
      <c r="Q2">
        <f t="shared" si="1"/>
        <v>2028</v>
      </c>
      <c r="R2">
        <f t="shared" si="1"/>
        <v>2029</v>
      </c>
      <c r="S2">
        <f t="shared" si="1"/>
        <v>2030</v>
      </c>
      <c r="T2">
        <f t="shared" si="1"/>
        <v>2031</v>
      </c>
      <c r="U2">
        <f t="shared" si="1"/>
        <v>2032</v>
      </c>
      <c r="V2">
        <f t="shared" si="1"/>
        <v>2033</v>
      </c>
      <c r="W2">
        <f t="shared" si="1"/>
        <v>2034</v>
      </c>
      <c r="X2">
        <f t="shared" si="1"/>
        <v>2035</v>
      </c>
    </row>
    <row r="3" spans="2:24" s="1" customFormat="1" x14ac:dyDescent="0.25"/>
    <row r="4" spans="2:24" s="5" customFormat="1" x14ac:dyDescent="0.25">
      <c r="B4" s="5" t="s">
        <v>39</v>
      </c>
      <c r="L4" s="5">
        <f>+L5+L6+L7</f>
        <v>613.20000000000005</v>
      </c>
      <c r="M4" s="5">
        <f>+M5+M6+M7</f>
        <v>629.1</v>
      </c>
    </row>
    <row r="5" spans="2:24" s="1" customFormat="1" x14ac:dyDescent="0.25">
      <c r="B5" s="1" t="s">
        <v>40</v>
      </c>
      <c r="L5" s="1">
        <v>230.7</v>
      </c>
      <c r="M5" s="1">
        <v>235</v>
      </c>
    </row>
    <row r="6" spans="2:24" s="1" customFormat="1" x14ac:dyDescent="0.25">
      <c r="B6" s="1" t="s">
        <v>41</v>
      </c>
      <c r="L6" s="1">
        <v>254.4</v>
      </c>
      <c r="M6" s="1">
        <v>272.7</v>
      </c>
    </row>
    <row r="7" spans="2:24" s="1" customFormat="1" x14ac:dyDescent="0.25">
      <c r="B7" s="1" t="s">
        <v>50</v>
      </c>
      <c r="L7" s="1">
        <v>128.1</v>
      </c>
      <c r="M7" s="1">
        <v>121.4</v>
      </c>
    </row>
    <row r="8" spans="2:24" s="5" customFormat="1" x14ac:dyDescent="0.25">
      <c r="B8" s="5" t="s">
        <v>42</v>
      </c>
      <c r="L8" s="5">
        <f>+L10+L11+L12</f>
        <v>330.3</v>
      </c>
      <c r="M8" s="5">
        <f>+M10+M11+M12</f>
        <v>758.8</v>
      </c>
    </row>
    <row r="9" spans="2:24" s="5" customFormat="1" x14ac:dyDescent="0.25">
      <c r="B9" s="5" t="s">
        <v>84</v>
      </c>
      <c r="M9" s="5">
        <f>+N9*(0.82)</f>
        <v>557.6</v>
      </c>
      <c r="N9" s="5">
        <v>680</v>
      </c>
    </row>
    <row r="10" spans="2:24" s="1" customFormat="1" x14ac:dyDescent="0.25">
      <c r="B10" s="1" t="s">
        <v>43</v>
      </c>
      <c r="L10" s="1">
        <v>126.7</v>
      </c>
      <c r="M10" s="1">
        <v>283.8</v>
      </c>
    </row>
    <row r="11" spans="2:24" s="1" customFormat="1" x14ac:dyDescent="0.25">
      <c r="B11" s="1" t="s">
        <v>44</v>
      </c>
      <c r="L11" s="1">
        <v>157.9</v>
      </c>
      <c r="M11" s="1">
        <v>314.3</v>
      </c>
    </row>
    <row r="12" spans="2:24" s="1" customFormat="1" x14ac:dyDescent="0.25">
      <c r="B12" s="1" t="s">
        <v>51</v>
      </c>
      <c r="L12" s="1">
        <v>45.7</v>
      </c>
      <c r="M12" s="1">
        <v>160.69999999999999</v>
      </c>
    </row>
    <row r="13" spans="2:24" s="5" customFormat="1" x14ac:dyDescent="0.25">
      <c r="B13" s="5" t="s">
        <v>45</v>
      </c>
      <c r="L13" s="5">
        <f>+L8+L4</f>
        <v>943.5</v>
      </c>
      <c r="M13" s="5">
        <f>+M8+M4</f>
        <v>1387.9</v>
      </c>
    </row>
    <row r="14" spans="2:24" s="1" customFormat="1" x14ac:dyDescent="0.25"/>
    <row r="15" spans="2:24" s="5" customFormat="1" x14ac:dyDescent="0.25">
      <c r="B15" s="5" t="s">
        <v>46</v>
      </c>
      <c r="L15" s="5">
        <f>+SUM(L16:L19)</f>
        <v>1247.5</v>
      </c>
      <c r="M15" s="5">
        <f>+SUM(M16:M19)</f>
        <v>1299.5</v>
      </c>
    </row>
    <row r="16" spans="2:24" s="1" customFormat="1" x14ac:dyDescent="0.25">
      <c r="B16" s="1" t="s">
        <v>47</v>
      </c>
      <c r="L16" s="1">
        <v>571.4</v>
      </c>
      <c r="M16" s="1">
        <v>531.6</v>
      </c>
    </row>
    <row r="17" spans="2:13" s="1" customFormat="1" x14ac:dyDescent="0.25">
      <c r="B17" s="1" t="s">
        <v>48</v>
      </c>
      <c r="L17" s="1">
        <v>429</v>
      </c>
      <c r="M17" s="1">
        <v>489.7</v>
      </c>
    </row>
    <row r="18" spans="2:13" s="1" customFormat="1" x14ac:dyDescent="0.25">
      <c r="B18" s="1" t="s">
        <v>49</v>
      </c>
      <c r="L18" s="1">
        <v>38.200000000000003</v>
      </c>
      <c r="M18" s="1">
        <v>39</v>
      </c>
    </row>
    <row r="19" spans="2:13" s="1" customFormat="1" x14ac:dyDescent="0.25">
      <c r="B19" s="1" t="s">
        <v>50</v>
      </c>
      <c r="L19" s="1">
        <v>208.9</v>
      </c>
      <c r="M19" s="1">
        <v>239.2</v>
      </c>
    </row>
    <row r="20" spans="2:13" s="5" customFormat="1" x14ac:dyDescent="0.25">
      <c r="B20" s="5" t="s">
        <v>52</v>
      </c>
      <c r="L20" s="5">
        <f>+SUM(L21:L23)</f>
        <v>465.5</v>
      </c>
      <c r="M20" s="5">
        <f>+SUM(M21:M23)</f>
        <v>567</v>
      </c>
    </row>
    <row r="21" spans="2:13" s="1" customFormat="1" x14ac:dyDescent="0.25">
      <c r="B21" s="1" t="s">
        <v>53</v>
      </c>
      <c r="L21" s="1">
        <v>250</v>
      </c>
      <c r="M21" s="1">
        <v>340.2</v>
      </c>
    </row>
    <row r="22" spans="2:13" s="1" customFormat="1" x14ac:dyDescent="0.25">
      <c r="B22" s="1" t="s">
        <v>54</v>
      </c>
      <c r="L22" s="1">
        <v>103.9</v>
      </c>
      <c r="M22" s="1">
        <v>100.5</v>
      </c>
    </row>
    <row r="23" spans="2:13" s="1" customFormat="1" x14ac:dyDescent="0.25">
      <c r="B23" s="1" t="s">
        <v>50</v>
      </c>
      <c r="L23" s="1">
        <v>111.6</v>
      </c>
      <c r="M23" s="1">
        <v>126.3</v>
      </c>
    </row>
    <row r="24" spans="2:13" s="5" customFormat="1" x14ac:dyDescent="0.25">
      <c r="B24" s="5" t="s">
        <v>55</v>
      </c>
      <c r="L24" s="5">
        <f>+L25+L26</f>
        <v>346.4</v>
      </c>
      <c r="M24" s="5">
        <f>+M25+M26</f>
        <v>355.1</v>
      </c>
    </row>
    <row r="25" spans="2:13" s="1" customFormat="1" x14ac:dyDescent="0.25">
      <c r="B25" s="1" t="s">
        <v>56</v>
      </c>
      <c r="L25" s="1">
        <v>151.69999999999999</v>
      </c>
      <c r="M25" s="1">
        <v>162.4</v>
      </c>
    </row>
    <row r="26" spans="2:13" s="1" customFormat="1" x14ac:dyDescent="0.25">
      <c r="B26" s="1" t="s">
        <v>50</v>
      </c>
      <c r="L26" s="1">
        <v>194.7</v>
      </c>
      <c r="M26" s="1">
        <v>192.7</v>
      </c>
    </row>
    <row r="27" spans="2:13" s="5" customFormat="1" x14ac:dyDescent="0.25">
      <c r="B27" s="5" t="s">
        <v>57</v>
      </c>
      <c r="L27" s="5">
        <v>148.6</v>
      </c>
      <c r="M27" s="5">
        <v>166.7</v>
      </c>
    </row>
    <row r="28" spans="2:13" s="5" customFormat="1" x14ac:dyDescent="0.25">
      <c r="B28" s="5" t="s">
        <v>58</v>
      </c>
      <c r="L28" s="5">
        <f>+L27+L24+L20+L15</f>
        <v>2208</v>
      </c>
      <c r="M28" s="5">
        <f>+M27+M24+M20+M15</f>
        <v>2388.3000000000002</v>
      </c>
    </row>
    <row r="29" spans="2:13" s="1" customFormat="1" x14ac:dyDescent="0.25"/>
    <row r="30" spans="2:13" s="5" customFormat="1" x14ac:dyDescent="0.25">
      <c r="B30" s="5" t="s">
        <v>59</v>
      </c>
      <c r="L30" s="5">
        <f>+SUM(L31:L33)</f>
        <v>908.09999999999991</v>
      </c>
      <c r="M30" s="5">
        <f>+SUM(M31:M33)</f>
        <v>1079</v>
      </c>
    </row>
    <row r="31" spans="2:13" s="1" customFormat="1" x14ac:dyDescent="0.25">
      <c r="B31" s="1" t="s">
        <v>60</v>
      </c>
      <c r="L31" s="1">
        <v>231.3</v>
      </c>
      <c r="M31" s="1">
        <v>281.7</v>
      </c>
    </row>
    <row r="32" spans="2:13" s="1" customFormat="1" x14ac:dyDescent="0.25">
      <c r="B32" s="1" t="s">
        <v>61</v>
      </c>
      <c r="L32" s="1">
        <v>580.79999999999995</v>
      </c>
      <c r="M32" s="1">
        <v>701.2</v>
      </c>
    </row>
    <row r="33" spans="2:24" s="1" customFormat="1" x14ac:dyDescent="0.25">
      <c r="B33" s="1" t="s">
        <v>50</v>
      </c>
      <c r="L33" s="1">
        <v>96</v>
      </c>
      <c r="M33" s="1">
        <v>96.1</v>
      </c>
    </row>
    <row r="34" spans="2:24" s="5" customFormat="1" x14ac:dyDescent="0.25">
      <c r="B34" s="5" t="s">
        <v>62</v>
      </c>
      <c r="L34" s="5">
        <f>+SUM(L35:L37)</f>
        <v>1163.2</v>
      </c>
      <c r="M34" s="5">
        <f>+SUM(M35:M37)</f>
        <v>1216.3999999999999</v>
      </c>
    </row>
    <row r="35" spans="2:24" s="1" customFormat="1" x14ac:dyDescent="0.25">
      <c r="B35" s="1" t="s">
        <v>63</v>
      </c>
      <c r="L35" s="1">
        <v>816.7</v>
      </c>
      <c r="M35" s="1">
        <v>828.2</v>
      </c>
    </row>
    <row r="36" spans="2:24" s="1" customFormat="1" x14ac:dyDescent="0.25">
      <c r="B36" s="1" t="s">
        <v>64</v>
      </c>
      <c r="L36" s="1">
        <v>179.6</v>
      </c>
      <c r="M36" s="1">
        <v>202.6</v>
      </c>
    </row>
    <row r="37" spans="2:24" s="1" customFormat="1" x14ac:dyDescent="0.25">
      <c r="B37" s="1" t="s">
        <v>50</v>
      </c>
      <c r="L37" s="1">
        <v>166.9</v>
      </c>
      <c r="M37" s="1">
        <v>185.6</v>
      </c>
    </row>
    <row r="38" spans="2:24" s="1" customFormat="1" x14ac:dyDescent="0.25"/>
    <row r="39" spans="2:24" s="5" customFormat="1" x14ac:dyDescent="0.25">
      <c r="B39" s="5" t="s">
        <v>65</v>
      </c>
      <c r="L39" s="5">
        <f>+L40+L41+L42+L43</f>
        <v>88.97</v>
      </c>
      <c r="M39" s="5">
        <f>+M40+M41+M42+M43</f>
        <v>99.7</v>
      </c>
    </row>
    <row r="40" spans="2:24" s="1" customFormat="1" x14ac:dyDescent="0.25">
      <c r="B40" s="1" t="s">
        <v>66</v>
      </c>
      <c r="L40" s="1">
        <v>70.2</v>
      </c>
      <c r="M40" s="1">
        <v>70.900000000000006</v>
      </c>
    </row>
    <row r="41" spans="2:24" s="1" customFormat="1" x14ac:dyDescent="0.25">
      <c r="B41" s="1" t="s">
        <v>58</v>
      </c>
      <c r="L41" s="1">
        <v>6.4</v>
      </c>
      <c r="M41" s="1">
        <v>13.9</v>
      </c>
    </row>
    <row r="42" spans="2:24" s="1" customFormat="1" x14ac:dyDescent="0.25">
      <c r="B42" s="1" t="s">
        <v>59</v>
      </c>
      <c r="L42" s="1">
        <v>0.3</v>
      </c>
      <c r="M42" s="1">
        <v>5.6</v>
      </c>
    </row>
    <row r="43" spans="2:24" s="1" customFormat="1" x14ac:dyDescent="0.25">
      <c r="B43" s="1" t="s">
        <v>62</v>
      </c>
      <c r="L43" s="1">
        <v>12.07</v>
      </c>
      <c r="M43" s="1">
        <v>9.3000000000000007</v>
      </c>
    </row>
    <row r="44" spans="2:24" s="1" customFormat="1" x14ac:dyDescent="0.25"/>
    <row r="45" spans="2:24" s="5" customFormat="1" x14ac:dyDescent="0.25">
      <c r="B45" s="5" t="s">
        <v>0</v>
      </c>
      <c r="D45" s="5">
        <v>2419.9</v>
      </c>
      <c r="E45" s="5">
        <v>2557.3000000000002</v>
      </c>
      <c r="F45" s="5">
        <v>2643.6</v>
      </c>
      <c r="G45" s="5">
        <v>2899.2</v>
      </c>
      <c r="H45" s="5">
        <v>3054.2</v>
      </c>
      <c r="I45" s="5">
        <v>3519.3</v>
      </c>
      <c r="J45" s="5">
        <v>4218.8</v>
      </c>
      <c r="K45" s="5">
        <v>4692.3</v>
      </c>
      <c r="L45" s="5">
        <v>5133.2</v>
      </c>
      <c r="M45" s="5">
        <v>5971.9</v>
      </c>
      <c r="N45" s="5">
        <v>6543</v>
      </c>
      <c r="O45" s="5">
        <f>+N45*1.08</f>
        <v>7066.4400000000005</v>
      </c>
      <c r="P45" s="5">
        <f>+O45*(1+0.08+0.03)</f>
        <v>7843.7484000000013</v>
      </c>
      <c r="Q45" s="5">
        <f>+P45*1.08+670</f>
        <v>9141.2482720000025</v>
      </c>
      <c r="R45" s="5">
        <f t="shared" ref="R45:X45" si="2">+Q45*1.06</f>
        <v>9689.7231683200025</v>
      </c>
      <c r="S45" s="5">
        <f t="shared" si="2"/>
        <v>10271.106558419204</v>
      </c>
      <c r="T45" s="5">
        <f t="shared" si="2"/>
        <v>10887.372951924357</v>
      </c>
      <c r="U45" s="5">
        <f t="shared" si="2"/>
        <v>11540.61532903982</v>
      </c>
      <c r="V45" s="5">
        <f t="shared" si="2"/>
        <v>12233.052248782209</v>
      </c>
      <c r="W45" s="5">
        <f t="shared" si="2"/>
        <v>12967.035383709142</v>
      </c>
      <c r="X45" s="5">
        <f t="shared" si="2"/>
        <v>13745.057506731691</v>
      </c>
    </row>
    <row r="46" spans="2:24" s="1" customFormat="1" x14ac:dyDescent="0.25">
      <c r="B46" s="1" t="s">
        <v>1</v>
      </c>
      <c r="L46" s="1">
        <v>39.799999999999997</v>
      </c>
      <c r="M46" s="1">
        <v>25.7</v>
      </c>
      <c r="N46" s="1">
        <v>35</v>
      </c>
      <c r="O46" s="1">
        <v>40</v>
      </c>
      <c r="P46" s="1">
        <v>40</v>
      </c>
      <c r="Q46" s="1">
        <v>40</v>
      </c>
      <c r="R46" s="1">
        <v>40</v>
      </c>
      <c r="S46" s="1">
        <v>40</v>
      </c>
      <c r="T46" s="1">
        <v>40</v>
      </c>
      <c r="U46" s="1">
        <v>40</v>
      </c>
      <c r="V46" s="1">
        <v>40</v>
      </c>
      <c r="W46" s="1">
        <v>40</v>
      </c>
      <c r="X46" s="1">
        <v>40</v>
      </c>
    </row>
    <row r="47" spans="2:24" s="1" customFormat="1" x14ac:dyDescent="0.25">
      <c r="B47" s="1" t="s">
        <v>2</v>
      </c>
      <c r="L47" s="1">
        <v>1057.9000000000001</v>
      </c>
      <c r="M47" s="1">
        <v>1219.0999999999999</v>
      </c>
      <c r="N47" s="1">
        <v>1390</v>
      </c>
      <c r="O47" s="1">
        <f>+O45*0.2</f>
        <v>1413.2880000000002</v>
      </c>
      <c r="P47" s="1">
        <f t="shared" ref="P47:X47" si="3">+P45*0.2</f>
        <v>1568.7496800000004</v>
      </c>
      <c r="Q47" s="1">
        <f t="shared" si="3"/>
        <v>1828.2496544000005</v>
      </c>
      <c r="R47" s="1">
        <f t="shared" si="3"/>
        <v>1937.9446336640005</v>
      </c>
      <c r="S47" s="1">
        <f t="shared" si="3"/>
        <v>2054.2213116838407</v>
      </c>
      <c r="T47" s="1">
        <f t="shared" si="3"/>
        <v>2177.4745903848716</v>
      </c>
      <c r="U47" s="1">
        <f t="shared" si="3"/>
        <v>2308.1230658079639</v>
      </c>
      <c r="V47" s="1">
        <f t="shared" si="3"/>
        <v>2446.610449756442</v>
      </c>
      <c r="W47" s="1">
        <f t="shared" si="3"/>
        <v>2593.4070767418289</v>
      </c>
      <c r="X47" s="1">
        <f t="shared" si="3"/>
        <v>2749.0115013463383</v>
      </c>
    </row>
    <row r="48" spans="2:24" s="1" customFormat="1" x14ac:dyDescent="0.25">
      <c r="B48" s="1" t="s">
        <v>3</v>
      </c>
      <c r="L48" s="1">
        <v>961.5</v>
      </c>
      <c r="M48" s="1">
        <v>1050</v>
      </c>
      <c r="N48" s="1">
        <v>837</v>
      </c>
      <c r="O48" s="1">
        <v>700</v>
      </c>
      <c r="P48" s="1">
        <v>700</v>
      </c>
      <c r="Q48" s="1">
        <v>700</v>
      </c>
      <c r="R48" s="1">
        <v>700</v>
      </c>
      <c r="S48" s="1">
        <v>700</v>
      </c>
      <c r="T48" s="1">
        <v>700</v>
      </c>
      <c r="U48" s="1">
        <v>700</v>
      </c>
      <c r="V48" s="1">
        <v>700</v>
      </c>
      <c r="W48" s="1">
        <v>700</v>
      </c>
      <c r="X48" s="1">
        <v>700</v>
      </c>
    </row>
    <row r="49" spans="2:104" s="5" customFormat="1" x14ac:dyDescent="0.25">
      <c r="B49" s="5" t="s">
        <v>30</v>
      </c>
      <c r="L49" s="5">
        <f>+L45+L46-L47+L48</f>
        <v>5076.6000000000004</v>
      </c>
      <c r="M49" s="5">
        <f t="shared" ref="M49:N49" si="4">+M45+M46-M47+M48</f>
        <v>5828.5</v>
      </c>
      <c r="N49" s="5">
        <f t="shared" si="4"/>
        <v>6025</v>
      </c>
      <c r="O49" s="5">
        <f t="shared" ref="O49" si="5">+O45+O46-O47+O48</f>
        <v>6393.152</v>
      </c>
      <c r="P49" s="5">
        <f t="shared" ref="P49" si="6">+P45+P46-P47+P48</f>
        <v>7014.9987200000014</v>
      </c>
      <c r="Q49" s="5">
        <f t="shared" ref="Q49" si="7">+Q45+Q46-Q47+Q48</f>
        <v>8052.998617600002</v>
      </c>
      <c r="R49" s="5">
        <f t="shared" ref="R49" si="8">+R45+R46-R47+R48</f>
        <v>8491.7785346560013</v>
      </c>
      <c r="S49" s="5">
        <f t="shared" ref="S49" si="9">+S45+S46-S47+S48</f>
        <v>8956.8852467353627</v>
      </c>
      <c r="T49" s="5">
        <f t="shared" ref="T49" si="10">+T45+T46-T47+T48</f>
        <v>9449.8983615394864</v>
      </c>
      <c r="U49" s="5">
        <f t="shared" ref="U49" si="11">+U45+U46-U47+U48</f>
        <v>9972.4922632318558</v>
      </c>
      <c r="V49" s="5">
        <f t="shared" ref="V49" si="12">+V45+V46-V47+V48</f>
        <v>10526.441799025768</v>
      </c>
      <c r="W49" s="5">
        <f t="shared" ref="W49" si="13">+W45+W46-W47+W48</f>
        <v>11113.628306967314</v>
      </c>
      <c r="X49" s="5">
        <f t="shared" ref="X49" si="14">+X45+X46-X47+X48</f>
        <v>11736.046005385353</v>
      </c>
    </row>
    <row r="50" spans="2:104" s="1" customFormat="1" x14ac:dyDescent="0.25">
      <c r="B50" s="1" t="s">
        <v>4</v>
      </c>
      <c r="L50" s="1">
        <v>1422.5</v>
      </c>
      <c r="M50" s="1">
        <v>1681.4</v>
      </c>
      <c r="N50" s="1">
        <v>1722</v>
      </c>
      <c r="O50" s="1">
        <f>+N50*1.03</f>
        <v>1773.66</v>
      </c>
      <c r="P50" s="1">
        <f>+O50*1.03</f>
        <v>1826.8698000000002</v>
      </c>
      <c r="Q50" s="1">
        <f>+P50*1.03+100</f>
        <v>1981.6758940000002</v>
      </c>
      <c r="R50" s="1">
        <f>+Q50*1.03</f>
        <v>2041.1261708200002</v>
      </c>
      <c r="S50" s="1">
        <f t="shared" ref="S50:X50" si="15">+R50*1.03</f>
        <v>2102.3599559446002</v>
      </c>
      <c r="T50" s="1">
        <f t="shared" si="15"/>
        <v>2165.4307546229384</v>
      </c>
      <c r="U50" s="1">
        <f t="shared" si="15"/>
        <v>2230.3936772616266</v>
      </c>
      <c r="V50" s="1">
        <f t="shared" si="15"/>
        <v>2297.3054875794755</v>
      </c>
      <c r="W50" s="1">
        <f t="shared" si="15"/>
        <v>2366.2246522068599</v>
      </c>
      <c r="X50" s="1">
        <f t="shared" si="15"/>
        <v>2437.2113917730658</v>
      </c>
    </row>
    <row r="51" spans="2:104" s="1" customFormat="1" x14ac:dyDescent="0.25">
      <c r="B51" s="1" t="s">
        <v>5</v>
      </c>
      <c r="L51" s="1">
        <v>695.8</v>
      </c>
      <c r="M51" s="1">
        <v>787.8</v>
      </c>
      <c r="N51" s="1">
        <v>812</v>
      </c>
      <c r="O51" s="1">
        <f>+O45*0.12</f>
        <v>847.97280000000001</v>
      </c>
      <c r="P51" s="1">
        <f t="shared" ref="P51" si="16">+P45*0.12</f>
        <v>941.24980800000014</v>
      </c>
      <c r="Q51" s="1">
        <f>+Q45*0.12-60</f>
        <v>1036.9497926400002</v>
      </c>
      <c r="R51" s="1">
        <f t="shared" ref="R51:X51" si="17">+R45*0.12-60</f>
        <v>1102.7667801984003</v>
      </c>
      <c r="S51" s="1">
        <f t="shared" si="17"/>
        <v>1172.5327870103044</v>
      </c>
      <c r="T51" s="1">
        <f t="shared" si="17"/>
        <v>1246.4847542309228</v>
      </c>
      <c r="U51" s="1">
        <f t="shared" si="17"/>
        <v>1324.8738394847783</v>
      </c>
      <c r="V51" s="1">
        <f t="shared" si="17"/>
        <v>1407.966269853865</v>
      </c>
      <c r="W51" s="1">
        <f t="shared" si="17"/>
        <v>1496.044246045097</v>
      </c>
      <c r="X51" s="1">
        <f t="shared" si="17"/>
        <v>1589.4069008078029</v>
      </c>
    </row>
    <row r="52" spans="2:104" s="1" customFormat="1" x14ac:dyDescent="0.25">
      <c r="B52" s="1" t="s">
        <v>6</v>
      </c>
      <c r="L52" s="1">
        <f>+L49-L50-L51</f>
        <v>2958.3</v>
      </c>
      <c r="M52" s="1">
        <f t="shared" ref="M52:N52" si="18">+M49-M50-M51</f>
        <v>3359.3</v>
      </c>
      <c r="N52" s="1">
        <f t="shared" si="18"/>
        <v>3491</v>
      </c>
      <c r="O52" s="1">
        <f t="shared" ref="O52" si="19">+O49-O50-O51</f>
        <v>3771.5192000000002</v>
      </c>
      <c r="P52" s="1">
        <f t="shared" ref="P52" si="20">+P49-P50-P51</f>
        <v>4246.8791120000005</v>
      </c>
      <c r="Q52" s="1">
        <f t="shared" ref="Q52" si="21">+Q49-Q50-Q51</f>
        <v>5034.3729309600021</v>
      </c>
      <c r="R52" s="1">
        <f t="shared" ref="R52" si="22">+R49-R50-R51</f>
        <v>5347.8855836376006</v>
      </c>
      <c r="S52" s="1">
        <f t="shared" ref="S52" si="23">+S49-S50-S51</f>
        <v>5681.9925037804578</v>
      </c>
      <c r="T52" s="1">
        <f t="shared" ref="T52" si="24">+T49-T50-T51</f>
        <v>6037.9828526856254</v>
      </c>
      <c r="U52" s="1">
        <f t="shared" ref="U52" si="25">+U49-U50-U51</f>
        <v>6417.2247464854499</v>
      </c>
      <c r="V52" s="1">
        <f t="shared" ref="V52" si="26">+V49-V50-V51</f>
        <v>6821.1700415924279</v>
      </c>
      <c r="W52" s="1">
        <f t="shared" ref="W52" si="27">+W49-W50-W51</f>
        <v>7251.3594087153569</v>
      </c>
      <c r="X52" s="1">
        <f t="shared" ref="X52" si="28">+X49-X50-X51</f>
        <v>7709.4277128044841</v>
      </c>
    </row>
    <row r="53" spans="2:104" s="1" customFormat="1" x14ac:dyDescent="0.25">
      <c r="B53" s="1" t="s">
        <v>7</v>
      </c>
      <c r="L53" s="1">
        <v>-14</v>
      </c>
      <c r="M53" s="1">
        <v>36.299999999999997</v>
      </c>
      <c r="N53" s="1">
        <v>20</v>
      </c>
      <c r="O53" s="1">
        <v>20</v>
      </c>
      <c r="P53" s="1">
        <v>20</v>
      </c>
      <c r="Q53" s="1">
        <v>20</v>
      </c>
      <c r="R53" s="1">
        <v>20</v>
      </c>
      <c r="S53" s="1">
        <v>20</v>
      </c>
      <c r="T53" s="1">
        <v>20</v>
      </c>
      <c r="U53" s="1">
        <v>20</v>
      </c>
      <c r="V53" s="1">
        <v>20</v>
      </c>
      <c r="W53" s="1">
        <v>20</v>
      </c>
      <c r="X53" s="1">
        <v>20</v>
      </c>
    </row>
    <row r="54" spans="2:104" s="1" customFormat="1" x14ac:dyDescent="0.25">
      <c r="B54" s="1" t="s">
        <v>8</v>
      </c>
      <c r="L54" s="1">
        <f>+L52+L53</f>
        <v>2944.3</v>
      </c>
      <c r="M54" s="1">
        <f t="shared" ref="M54" si="29">+M52+M53</f>
        <v>3395.6000000000004</v>
      </c>
      <c r="N54" s="1">
        <f>+N52+N53</f>
        <v>3511</v>
      </c>
      <c r="O54" s="1">
        <f t="shared" ref="O54" si="30">+O52+O53</f>
        <v>3791.5192000000002</v>
      </c>
      <c r="P54" s="1">
        <f t="shared" ref="P54" si="31">+P52+P53</f>
        <v>4266.8791120000005</v>
      </c>
      <c r="Q54" s="1">
        <f t="shared" ref="Q54" si="32">+Q52+Q53</f>
        <v>5054.3729309600021</v>
      </c>
      <c r="R54" s="1">
        <f t="shared" ref="R54" si="33">+R52+R53</f>
        <v>5367.8855836376006</v>
      </c>
      <c r="S54" s="1">
        <f t="shared" ref="S54" si="34">+S52+S53</f>
        <v>5701.9925037804578</v>
      </c>
      <c r="T54" s="1">
        <f t="shared" ref="T54" si="35">+T52+T53</f>
        <v>6057.9828526856254</v>
      </c>
      <c r="U54" s="1">
        <f t="shared" ref="U54" si="36">+U52+U53</f>
        <v>6437.2247464854499</v>
      </c>
      <c r="V54" s="1">
        <f t="shared" ref="V54" si="37">+V52+V53</f>
        <v>6841.1700415924279</v>
      </c>
      <c r="W54" s="1">
        <f>+W52+W53</f>
        <v>7271.3594087153569</v>
      </c>
      <c r="X54" s="1">
        <f t="shared" ref="X54" si="38">+X52+X53</f>
        <v>7729.4277128044841</v>
      </c>
    </row>
    <row r="55" spans="2:104" s="1" customFormat="1" x14ac:dyDescent="0.25">
      <c r="B55" s="1" t="s">
        <v>9</v>
      </c>
      <c r="L55" s="1">
        <v>418.5</v>
      </c>
      <c r="M55" s="1">
        <v>495.8</v>
      </c>
      <c r="N55" s="1">
        <v>502</v>
      </c>
      <c r="O55" s="1">
        <f>+N55*1.02</f>
        <v>512.04</v>
      </c>
      <c r="P55" s="1">
        <f t="shared" ref="P55:X55" si="39">+O55*1.02</f>
        <v>522.2808</v>
      </c>
      <c r="Q55" s="1">
        <f t="shared" si="39"/>
        <v>532.72641599999997</v>
      </c>
      <c r="R55" s="1">
        <f t="shared" si="39"/>
        <v>543.38094432000003</v>
      </c>
      <c r="S55" s="1">
        <f t="shared" si="39"/>
        <v>554.24856320640004</v>
      </c>
      <c r="T55" s="1">
        <f t="shared" si="39"/>
        <v>565.33353447052809</v>
      </c>
      <c r="U55" s="1">
        <f t="shared" si="39"/>
        <v>576.64020515993866</v>
      </c>
      <c r="V55" s="1">
        <f t="shared" si="39"/>
        <v>588.17300926313749</v>
      </c>
      <c r="W55" s="1">
        <f t="shared" si="39"/>
        <v>599.9364694484002</v>
      </c>
      <c r="X55" s="1">
        <f t="shared" si="39"/>
        <v>611.93519883736826</v>
      </c>
    </row>
    <row r="56" spans="2:104" s="1" customFormat="1" x14ac:dyDescent="0.25">
      <c r="B56" s="1" t="s">
        <v>10</v>
      </c>
      <c r="L56" s="1">
        <f>+L54-L55</f>
        <v>2525.8000000000002</v>
      </c>
      <c r="M56" s="1">
        <f t="shared" ref="M56:N56" si="40">+M54-M55</f>
        <v>2899.8</v>
      </c>
      <c r="N56" s="1">
        <f t="shared" si="40"/>
        <v>3009</v>
      </c>
      <c r="O56" s="1">
        <f t="shared" ref="O56" si="41">+O54-O55</f>
        <v>3279.4792000000002</v>
      </c>
      <c r="P56" s="1">
        <f t="shared" ref="P56" si="42">+P54-P55</f>
        <v>3744.5983120000005</v>
      </c>
      <c r="Q56" s="1">
        <f t="shared" ref="Q56" si="43">+Q54-Q55</f>
        <v>4521.6465149600026</v>
      </c>
      <c r="R56" s="1">
        <f t="shared" ref="R56" si="44">+R54-R55</f>
        <v>4824.5046393176008</v>
      </c>
      <c r="S56" s="1">
        <f t="shared" ref="S56" si="45">+S54-S55</f>
        <v>5147.7439405740579</v>
      </c>
      <c r="T56" s="1">
        <f t="shared" ref="T56" si="46">+T54-T55</f>
        <v>5492.6493182150971</v>
      </c>
      <c r="U56" s="1">
        <f t="shared" ref="U56" si="47">+U54-U55</f>
        <v>5860.5845413255111</v>
      </c>
      <c r="V56" s="1">
        <f t="shared" ref="V56" si="48">+V54-V55</f>
        <v>6252.9970323292901</v>
      </c>
      <c r="W56" s="1">
        <f t="shared" ref="W56" si="49">+W54-W55</f>
        <v>6671.4229392669567</v>
      </c>
      <c r="X56" s="1">
        <f t="shared" ref="X56" si="50">+X54-X55</f>
        <v>7117.4925139671159</v>
      </c>
    </row>
    <row r="57" spans="2:104" s="1" customFormat="1" x14ac:dyDescent="0.25">
      <c r="B57" s="1" t="s">
        <v>11</v>
      </c>
      <c r="L57" s="1">
        <v>46.6</v>
      </c>
      <c r="M57" s="1">
        <v>50.5</v>
      </c>
    </row>
    <row r="58" spans="2:104" s="1" customFormat="1" x14ac:dyDescent="0.25">
      <c r="B58" s="1" t="s">
        <v>12</v>
      </c>
      <c r="L58" s="1">
        <v>120.6</v>
      </c>
      <c r="M58" s="1">
        <v>205.1</v>
      </c>
      <c r="N58" s="1">
        <v>154</v>
      </c>
      <c r="O58" s="1">
        <f>+N58*1.02</f>
        <v>157.08000000000001</v>
      </c>
      <c r="P58" s="1">
        <f t="shared" ref="P58:X58" si="51">+O58*1.02</f>
        <v>160.22160000000002</v>
      </c>
      <c r="Q58" s="1">
        <f t="shared" si="51"/>
        <v>163.42603200000002</v>
      </c>
      <c r="R58" s="1">
        <f t="shared" si="51"/>
        <v>166.69455264000001</v>
      </c>
      <c r="S58" s="1">
        <f t="shared" si="51"/>
        <v>170.02844369280001</v>
      </c>
      <c r="T58" s="1">
        <f t="shared" si="51"/>
        <v>173.42901256665601</v>
      </c>
      <c r="U58" s="1">
        <f t="shared" si="51"/>
        <v>176.89759281798914</v>
      </c>
      <c r="V58" s="1">
        <f t="shared" si="51"/>
        <v>180.43554467434893</v>
      </c>
      <c r="W58" s="1">
        <f t="shared" si="51"/>
        <v>184.0442555678359</v>
      </c>
      <c r="X58" s="1">
        <f t="shared" si="51"/>
        <v>187.72514067919263</v>
      </c>
    </row>
    <row r="59" spans="2:104" s="1" customFormat="1" x14ac:dyDescent="0.25">
      <c r="B59" s="1" t="s">
        <v>13</v>
      </c>
      <c r="L59" s="1">
        <f>+L56+L57-L58</f>
        <v>2451.8000000000002</v>
      </c>
      <c r="M59" s="1">
        <f>+M56+M57-M58</f>
        <v>2745.2000000000003</v>
      </c>
      <c r="N59" s="1">
        <f>+N56+N57-N58</f>
        <v>2855</v>
      </c>
      <c r="O59" s="1">
        <f t="shared" ref="O59:X59" si="52">+O56+O57-O58</f>
        <v>3122.3992000000003</v>
      </c>
      <c r="P59" s="1">
        <f t="shared" si="52"/>
        <v>3584.3767120000007</v>
      </c>
      <c r="Q59" s="1">
        <f t="shared" si="52"/>
        <v>4358.2204829600023</v>
      </c>
      <c r="R59" s="1">
        <f t="shared" si="52"/>
        <v>4657.8100866776003</v>
      </c>
      <c r="S59" s="1">
        <f t="shared" si="52"/>
        <v>4977.7154968812574</v>
      </c>
      <c r="T59" s="1">
        <f t="shared" si="52"/>
        <v>5319.2203056484414</v>
      </c>
      <c r="U59" s="1">
        <f t="shared" si="52"/>
        <v>5683.6869485075222</v>
      </c>
      <c r="V59" s="1">
        <f t="shared" si="52"/>
        <v>6072.5614876549407</v>
      </c>
      <c r="W59" s="1">
        <f t="shared" si="52"/>
        <v>6487.3786836991212</v>
      </c>
      <c r="X59" s="1">
        <f t="shared" si="52"/>
        <v>6929.767373287923</v>
      </c>
    </row>
    <row r="60" spans="2:104" s="1" customFormat="1" x14ac:dyDescent="0.25">
      <c r="B60" s="1" t="s">
        <v>14</v>
      </c>
      <c r="L60" s="1">
        <v>654.9</v>
      </c>
      <c r="M60" s="1">
        <v>698.9</v>
      </c>
      <c r="N60" s="1">
        <v>753</v>
      </c>
      <c r="O60" s="1">
        <f>+O59*0.25</f>
        <v>780.59980000000007</v>
      </c>
      <c r="P60" s="1">
        <f t="shared" ref="P60:X60" si="53">+P59*0.25</f>
        <v>896.09417800000017</v>
      </c>
      <c r="Q60" s="1">
        <f t="shared" si="53"/>
        <v>1089.5551207400006</v>
      </c>
      <c r="R60" s="1">
        <f t="shared" si="53"/>
        <v>1164.4525216694001</v>
      </c>
      <c r="S60" s="1">
        <f t="shared" si="53"/>
        <v>1244.4288742203144</v>
      </c>
      <c r="T60" s="1">
        <f t="shared" si="53"/>
        <v>1329.8050764121103</v>
      </c>
      <c r="U60" s="1">
        <f t="shared" si="53"/>
        <v>1420.9217371268805</v>
      </c>
      <c r="V60" s="1">
        <f t="shared" si="53"/>
        <v>1518.1403719137352</v>
      </c>
      <c r="W60" s="1">
        <f t="shared" si="53"/>
        <v>1621.8446709247803</v>
      </c>
      <c r="X60" s="1">
        <f t="shared" si="53"/>
        <v>1732.4418433219807</v>
      </c>
    </row>
    <row r="61" spans="2:104" s="5" customFormat="1" x14ac:dyDescent="0.25">
      <c r="B61" s="5" t="s">
        <v>15</v>
      </c>
      <c r="L61" s="5">
        <f>+L59-L60</f>
        <v>1796.9</v>
      </c>
      <c r="M61" s="5">
        <f>+M59-M60</f>
        <v>2046.3000000000002</v>
      </c>
      <c r="N61" s="5">
        <f>+N59-N60</f>
        <v>2102</v>
      </c>
      <c r="O61" s="5">
        <f t="shared" ref="O61:X61" si="54">+O59-O60</f>
        <v>2341.7994000000003</v>
      </c>
      <c r="P61" s="5">
        <f t="shared" si="54"/>
        <v>2688.2825340000004</v>
      </c>
      <c r="Q61" s="5">
        <f t="shared" si="54"/>
        <v>3268.665362220002</v>
      </c>
      <c r="R61" s="5">
        <f t="shared" si="54"/>
        <v>3493.3575650082003</v>
      </c>
      <c r="S61" s="5">
        <f t="shared" si="54"/>
        <v>3733.2866226609431</v>
      </c>
      <c r="T61" s="5">
        <f t="shared" si="54"/>
        <v>3989.415229236331</v>
      </c>
      <c r="U61" s="5">
        <f t="shared" si="54"/>
        <v>4262.7652113806416</v>
      </c>
      <c r="V61" s="5">
        <f t="shared" si="54"/>
        <v>4554.4211157412055</v>
      </c>
      <c r="W61" s="5">
        <f t="shared" si="54"/>
        <v>4865.5340127743411</v>
      </c>
      <c r="X61" s="5">
        <f t="shared" si="54"/>
        <v>5197.3255299659422</v>
      </c>
    </row>
    <row r="62" spans="2:104" s="1" customFormat="1" x14ac:dyDescent="0.25">
      <c r="B62" s="1" t="s">
        <v>28</v>
      </c>
      <c r="L62" s="1">
        <v>72.8</v>
      </c>
      <c r="M62" s="1">
        <v>97.9</v>
      </c>
      <c r="N62" s="1">
        <v>109</v>
      </c>
      <c r="O62" s="1">
        <v>100</v>
      </c>
      <c r="P62" s="1">
        <v>100</v>
      </c>
      <c r="Q62" s="1">
        <v>100</v>
      </c>
      <c r="R62" s="1">
        <v>100</v>
      </c>
      <c r="S62" s="1">
        <v>100</v>
      </c>
      <c r="T62" s="1">
        <v>100</v>
      </c>
      <c r="U62" s="1">
        <v>100</v>
      </c>
      <c r="V62" s="1">
        <v>100</v>
      </c>
      <c r="W62" s="1">
        <v>100</v>
      </c>
      <c r="X62" s="1">
        <v>100</v>
      </c>
    </row>
    <row r="63" spans="2:104" s="1" customFormat="1" x14ac:dyDescent="0.25">
      <c r="B63" s="1" t="s">
        <v>29</v>
      </c>
      <c r="L63" s="1">
        <f>+L61-L62</f>
        <v>1724.1000000000001</v>
      </c>
      <c r="M63" s="1">
        <f>+M61-M62</f>
        <v>1948.4</v>
      </c>
      <c r="N63" s="1">
        <f>+N61-N62</f>
        <v>1993</v>
      </c>
      <c r="O63" s="1">
        <f t="shared" ref="O63:X63" si="55">+O61-O62</f>
        <v>2241.7994000000003</v>
      </c>
      <c r="P63" s="1">
        <f t="shared" si="55"/>
        <v>2588.2825340000004</v>
      </c>
      <c r="Q63" s="1">
        <f t="shared" si="55"/>
        <v>3168.665362220002</v>
      </c>
      <c r="R63" s="1">
        <f t="shared" si="55"/>
        <v>3393.3575650082003</v>
      </c>
      <c r="S63" s="1">
        <f t="shared" si="55"/>
        <v>3633.2866226609431</v>
      </c>
      <c r="T63" s="1">
        <f t="shared" si="55"/>
        <v>3889.415229236331</v>
      </c>
      <c r="U63" s="1">
        <f t="shared" si="55"/>
        <v>4162.7652113806416</v>
      </c>
      <c r="V63" s="1">
        <f t="shared" si="55"/>
        <v>4454.4211157412055</v>
      </c>
      <c r="W63" s="1">
        <f t="shared" si="55"/>
        <v>4765.5340127743411</v>
      </c>
      <c r="X63" s="1">
        <f t="shared" si="55"/>
        <v>5097.3255299659422</v>
      </c>
      <c r="Y63" s="1">
        <f>+X63*(1+$AA69)</f>
        <v>5224.7586682150904</v>
      </c>
      <c r="Z63" s="1">
        <f t="shared" ref="Z63:CK63" si="56">+Y63*(1+$AA69)</f>
        <v>5355.3776349204672</v>
      </c>
      <c r="AA63" s="1">
        <f t="shared" si="56"/>
        <v>5489.2620757934783</v>
      </c>
      <c r="AB63" s="1">
        <f t="shared" si="56"/>
        <v>5626.4936276883145</v>
      </c>
      <c r="AC63" s="1">
        <f t="shared" si="56"/>
        <v>5767.1559683805217</v>
      </c>
      <c r="AD63" s="1">
        <f t="shared" si="56"/>
        <v>5911.3348675900343</v>
      </c>
      <c r="AE63" s="1">
        <f t="shared" si="56"/>
        <v>6059.1182392797846</v>
      </c>
      <c r="AF63" s="1">
        <f t="shared" si="56"/>
        <v>6210.596195261779</v>
      </c>
      <c r="AG63" s="1">
        <f t="shared" si="56"/>
        <v>6365.8611001433228</v>
      </c>
      <c r="AH63" s="1">
        <f t="shared" si="56"/>
        <v>6525.0076276469053</v>
      </c>
      <c r="AI63" s="1">
        <f t="shared" si="56"/>
        <v>6688.1328183380774</v>
      </c>
      <c r="AJ63" s="1">
        <f t="shared" si="56"/>
        <v>6855.3361387965288</v>
      </c>
      <c r="AK63" s="1">
        <f t="shared" si="56"/>
        <v>7026.7195422664417</v>
      </c>
      <c r="AL63" s="1">
        <f t="shared" si="56"/>
        <v>7202.3875308231018</v>
      </c>
      <c r="AM63" s="1">
        <f t="shared" si="56"/>
        <v>7382.4472190936785</v>
      </c>
      <c r="AN63" s="1">
        <f t="shared" si="56"/>
        <v>7567.0083995710202</v>
      </c>
      <c r="AO63" s="1">
        <f t="shared" si="56"/>
        <v>7756.1836095602948</v>
      </c>
      <c r="AP63" s="1">
        <f t="shared" si="56"/>
        <v>7950.0881997993019</v>
      </c>
      <c r="AQ63" s="1">
        <f t="shared" si="56"/>
        <v>8148.840404794284</v>
      </c>
      <c r="AR63" s="1">
        <f t="shared" si="56"/>
        <v>8352.5614149141402</v>
      </c>
      <c r="AS63" s="1">
        <f t="shared" si="56"/>
        <v>8561.3754502869924</v>
      </c>
      <c r="AT63" s="1">
        <f t="shared" si="56"/>
        <v>8775.409836544166</v>
      </c>
      <c r="AU63" s="1">
        <f t="shared" si="56"/>
        <v>8994.7950824577692</v>
      </c>
      <c r="AV63" s="1">
        <f t="shared" si="56"/>
        <v>9219.6649595192121</v>
      </c>
      <c r="AW63" s="1">
        <f t="shared" si="56"/>
        <v>9450.1565835071924</v>
      </c>
      <c r="AX63" s="1">
        <f t="shared" si="56"/>
        <v>9686.4104980948705</v>
      </c>
      <c r="AY63" s="1">
        <f t="shared" si="56"/>
        <v>9928.5707605472417</v>
      </c>
      <c r="AZ63" s="1">
        <f t="shared" si="56"/>
        <v>10176.785029560922</v>
      </c>
      <c r="BA63" s="1">
        <f t="shared" si="56"/>
        <v>10431.204655299944</v>
      </c>
      <c r="BB63" s="1">
        <f t="shared" si="56"/>
        <v>10691.984771682441</v>
      </c>
      <c r="BC63" s="1">
        <f t="shared" si="56"/>
        <v>10959.284390974501</v>
      </c>
      <c r="BD63" s="1">
        <f t="shared" si="56"/>
        <v>11233.266500748861</v>
      </c>
      <c r="BE63" s="1">
        <f t="shared" si="56"/>
        <v>11514.098163267581</v>
      </c>
      <c r="BF63" s="1">
        <f t="shared" si="56"/>
        <v>11801.95061734927</v>
      </c>
      <c r="BG63" s="1">
        <f t="shared" si="56"/>
        <v>12096.999382783</v>
      </c>
      <c r="BH63" s="1">
        <f t="shared" si="56"/>
        <v>12399.424367352574</v>
      </c>
      <c r="BI63" s="1">
        <f t="shared" si="56"/>
        <v>12709.409976536388</v>
      </c>
      <c r="BJ63" s="1">
        <f t="shared" si="56"/>
        <v>13027.145225949796</v>
      </c>
      <c r="BK63" s="1">
        <f t="shared" si="56"/>
        <v>13352.823856598539</v>
      </c>
      <c r="BL63" s="1">
        <f t="shared" si="56"/>
        <v>13686.644453013501</v>
      </c>
      <c r="BM63" s="1">
        <f>+BL63*(1+$AA69)</f>
        <v>14028.810564338837</v>
      </c>
      <c r="BN63" s="1">
        <f t="shared" si="56"/>
        <v>14379.530828447307</v>
      </c>
      <c r="BO63" s="1">
        <f t="shared" si="56"/>
        <v>14739.019099158488</v>
      </c>
      <c r="BP63" s="1">
        <f t="shared" si="56"/>
        <v>15107.494576637449</v>
      </c>
      <c r="BQ63" s="1">
        <f t="shared" si="56"/>
        <v>15485.181941053384</v>
      </c>
      <c r="BR63" s="1">
        <f t="shared" si="56"/>
        <v>15872.311489579717</v>
      </c>
      <c r="BS63" s="1">
        <f t="shared" si="56"/>
        <v>16269.119276819209</v>
      </c>
      <c r="BT63" s="1">
        <f t="shared" si="56"/>
        <v>16675.847258739686</v>
      </c>
      <c r="BU63" s="1">
        <f t="shared" si="56"/>
        <v>17092.743440208178</v>
      </c>
      <c r="BV63" s="1">
        <f t="shared" si="56"/>
        <v>17520.062026213382</v>
      </c>
      <c r="BW63" s="1">
        <f t="shared" si="56"/>
        <v>17958.063576868713</v>
      </c>
      <c r="BX63" s="1">
        <f t="shared" si="56"/>
        <v>18407.015166290428</v>
      </c>
      <c r="BY63" s="1">
        <f t="shared" si="56"/>
        <v>18867.190545447687</v>
      </c>
      <c r="BZ63" s="1">
        <f t="shared" si="56"/>
        <v>19338.870309083879</v>
      </c>
      <c r="CA63" s="1">
        <f t="shared" si="56"/>
        <v>19822.342066810976</v>
      </c>
      <c r="CB63" s="1">
        <f t="shared" si="56"/>
        <v>20317.90061848125</v>
      </c>
      <c r="CC63" s="1">
        <f t="shared" si="56"/>
        <v>20825.84813394328</v>
      </c>
      <c r="CD63" s="1">
        <f t="shared" si="56"/>
        <v>21346.494337291861</v>
      </c>
      <c r="CE63" s="1">
        <f t="shared" si="56"/>
        <v>21880.156695724156</v>
      </c>
      <c r="CF63" s="1">
        <f t="shared" si="56"/>
        <v>22427.160613117259</v>
      </c>
      <c r="CG63" s="1">
        <f t="shared" si="56"/>
        <v>22987.839628445188</v>
      </c>
      <c r="CH63" s="1">
        <f t="shared" si="56"/>
        <v>23562.535619156315</v>
      </c>
      <c r="CI63" s="1">
        <f t="shared" si="56"/>
        <v>24151.599009635222</v>
      </c>
      <c r="CJ63" s="1">
        <f t="shared" si="56"/>
        <v>24755.388984876099</v>
      </c>
      <c r="CK63" s="1">
        <f t="shared" si="56"/>
        <v>25374.273709498</v>
      </c>
      <c r="CL63" s="1">
        <f t="shared" ref="CL63:CZ63" si="57">+CK63*(1+$AA69)</f>
        <v>26008.630552235449</v>
      </c>
      <c r="CM63" s="1">
        <f t="shared" si="57"/>
        <v>26658.846316041334</v>
      </c>
      <c r="CN63" s="1">
        <f t="shared" si="57"/>
        <v>27325.317473942367</v>
      </c>
      <c r="CO63" s="1">
        <f t="shared" si="57"/>
        <v>28008.450410790923</v>
      </c>
      <c r="CP63" s="1">
        <f t="shared" si="57"/>
        <v>28708.661671060694</v>
      </c>
      <c r="CQ63" s="1">
        <f t="shared" si="57"/>
        <v>29426.378212837208</v>
      </c>
      <c r="CR63" s="1">
        <f t="shared" si="57"/>
        <v>30162.037668158137</v>
      </c>
      <c r="CS63" s="1">
        <f t="shared" si="57"/>
        <v>30916.088609862087</v>
      </c>
      <c r="CT63" s="1">
        <f t="shared" si="57"/>
        <v>31688.990825108634</v>
      </c>
      <c r="CU63" s="1">
        <f t="shared" si="57"/>
        <v>32481.215595736347</v>
      </c>
      <c r="CV63" s="1">
        <f t="shared" si="57"/>
        <v>33293.24598562975</v>
      </c>
      <c r="CW63" s="1">
        <f t="shared" si="57"/>
        <v>34125.577135270491</v>
      </c>
      <c r="CX63" s="1">
        <f t="shared" si="57"/>
        <v>34978.716563652248</v>
      </c>
      <c r="CY63" s="1">
        <f t="shared" si="57"/>
        <v>35853.184477743547</v>
      </c>
      <c r="CZ63" s="1">
        <f t="shared" si="57"/>
        <v>36749.514089687131</v>
      </c>
    </row>
    <row r="64" spans="2:104" s="3" customFormat="1" x14ac:dyDescent="0.25">
      <c r="B64" s="3" t="s">
        <v>27</v>
      </c>
      <c r="L64" s="3">
        <v>9.35</v>
      </c>
      <c r="M64" s="3">
        <v>10.6</v>
      </c>
      <c r="N64" s="3">
        <f>+N63/N65</f>
        <v>10.896664844177145</v>
      </c>
      <c r="O64" s="3">
        <f t="shared" ref="O64:X64" si="58">+O63/O65</f>
        <v>12.256967741935485</v>
      </c>
      <c r="P64" s="3">
        <f t="shared" si="58"/>
        <v>14.151353384363041</v>
      </c>
      <c r="Q64" s="3">
        <f t="shared" si="58"/>
        <v>17.324578251612913</v>
      </c>
      <c r="R64" s="3">
        <f t="shared" si="58"/>
        <v>18.553075806496448</v>
      </c>
      <c r="S64" s="3">
        <f t="shared" si="58"/>
        <v>19.864880386336484</v>
      </c>
      <c r="T64" s="3">
        <f t="shared" si="58"/>
        <v>21.265255490630569</v>
      </c>
      <c r="U64" s="3">
        <f t="shared" si="58"/>
        <v>22.759787924443092</v>
      </c>
      <c r="V64" s="3">
        <f t="shared" si="58"/>
        <v>24.354407412472419</v>
      </c>
      <c r="W64" s="3">
        <f t="shared" si="58"/>
        <v>26.05540739625118</v>
      </c>
      <c r="X64" s="3">
        <f t="shared" si="58"/>
        <v>27.869467085653046</v>
      </c>
    </row>
    <row r="65" spans="2:27" s="3" customFormat="1" x14ac:dyDescent="0.25">
      <c r="B65" s="3" t="s">
        <v>26</v>
      </c>
      <c r="L65" s="3">
        <f>+L63/L64</f>
        <v>184.3957219251337</v>
      </c>
      <c r="M65" s="3">
        <f>+M63/M64</f>
        <v>183.811320754717</v>
      </c>
      <c r="N65" s="3">
        <v>182.9</v>
      </c>
      <c r="O65" s="3">
        <f>+N65+0</f>
        <v>182.9</v>
      </c>
      <c r="P65" s="3">
        <f t="shared" ref="P65:X65" si="59">+O65+0</f>
        <v>182.9</v>
      </c>
      <c r="Q65" s="3">
        <f t="shared" si="59"/>
        <v>182.9</v>
      </c>
      <c r="R65" s="3">
        <f t="shared" si="59"/>
        <v>182.9</v>
      </c>
      <c r="S65" s="3">
        <f t="shared" si="59"/>
        <v>182.9</v>
      </c>
      <c r="T65" s="3">
        <f t="shared" si="59"/>
        <v>182.9</v>
      </c>
      <c r="U65" s="3">
        <f t="shared" si="59"/>
        <v>182.9</v>
      </c>
      <c r="V65" s="3">
        <f t="shared" si="59"/>
        <v>182.9</v>
      </c>
      <c r="W65" s="3">
        <f t="shared" si="59"/>
        <v>182.9</v>
      </c>
      <c r="X65" s="3">
        <f t="shared" si="59"/>
        <v>182.9</v>
      </c>
    </row>
    <row r="66" spans="2:27" s="1" customFormat="1" x14ac:dyDescent="0.25">
      <c r="M66" s="4"/>
    </row>
    <row r="67" spans="2:27" s="2" customFormat="1" x14ac:dyDescent="0.25">
      <c r="B67" s="2" t="s">
        <v>25</v>
      </c>
      <c r="L67" s="2">
        <f>+(L45-L47)/L45</f>
        <v>0.79391023143458272</v>
      </c>
      <c r="M67" s="2">
        <f t="shared" ref="M67:N67" si="60">+(M45-M47)/M45</f>
        <v>0.79586061387498108</v>
      </c>
      <c r="N67" s="2">
        <f t="shared" si="60"/>
        <v>0.787559223597738</v>
      </c>
      <c r="O67" s="2">
        <f t="shared" ref="O67:X67" si="61">+(O45-O47)/O45</f>
        <v>0.79999999999999993</v>
      </c>
      <c r="P67" s="2">
        <f t="shared" si="61"/>
        <v>0.8</v>
      </c>
      <c r="Q67" s="2">
        <f t="shared" si="61"/>
        <v>0.8</v>
      </c>
      <c r="R67" s="2">
        <f t="shared" si="61"/>
        <v>0.8</v>
      </c>
      <c r="S67" s="2">
        <f t="shared" si="61"/>
        <v>0.79999999999999993</v>
      </c>
      <c r="T67" s="2">
        <f t="shared" si="61"/>
        <v>0.8</v>
      </c>
      <c r="U67" s="2">
        <f t="shared" si="61"/>
        <v>0.8</v>
      </c>
      <c r="V67" s="2">
        <f t="shared" si="61"/>
        <v>0.8</v>
      </c>
      <c r="W67" s="2">
        <f t="shared" si="61"/>
        <v>0.79999999999999993</v>
      </c>
      <c r="X67" s="2">
        <f t="shared" si="61"/>
        <v>0.8</v>
      </c>
    </row>
    <row r="68" spans="2:27" s="2" customFormat="1" x14ac:dyDescent="0.25">
      <c r="B68" s="2" t="s">
        <v>16</v>
      </c>
      <c r="L68" s="2">
        <f>+L54/L45</f>
        <v>0.5735798332424219</v>
      </c>
      <c r="M68" s="2">
        <f>+M54/M45</f>
        <v>0.56859625914700529</v>
      </c>
      <c r="N68" s="2">
        <f>+N54/N45</f>
        <v>0.5366040042793826</v>
      </c>
      <c r="O68" s="2">
        <f t="shared" ref="O68:X68" si="62">+O54/O45</f>
        <v>0.53655294603789172</v>
      </c>
      <c r="P68" s="2">
        <f t="shared" si="62"/>
        <v>0.54398469894827328</v>
      </c>
      <c r="Q68" s="2">
        <f t="shared" si="62"/>
        <v>0.55291933667765503</v>
      </c>
      <c r="R68" s="2">
        <f t="shared" si="62"/>
        <v>0.55397718700443332</v>
      </c>
      <c r="S68" s="2">
        <f t="shared" si="62"/>
        <v>0.55514880225894914</v>
      </c>
      <c r="T68" s="2">
        <f t="shared" si="62"/>
        <v>0.55642282848544</v>
      </c>
      <c r="U68" s="2">
        <f t="shared" si="62"/>
        <v>0.55778869349257032</v>
      </c>
      <c r="V68" s="2">
        <f t="shared" si="62"/>
        <v>0.55923655866617106</v>
      </c>
      <c r="W68" s="2">
        <f t="shared" si="62"/>
        <v>0.56075727362096761</v>
      </c>
      <c r="X68" s="2">
        <f t="shared" si="62"/>
        <v>0.56234233352744933</v>
      </c>
      <c r="Z68" s="2" t="s">
        <v>33</v>
      </c>
      <c r="AA68" s="2">
        <v>0.1</v>
      </c>
    </row>
    <row r="69" spans="2:27" s="2" customFormat="1" x14ac:dyDescent="0.25">
      <c r="B69" s="2" t="s">
        <v>17</v>
      </c>
      <c r="L69" s="2">
        <f>+L61/L45</f>
        <v>0.35005454687134735</v>
      </c>
      <c r="M69" s="2">
        <f>+M61/M45</f>
        <v>0.34265476648972693</v>
      </c>
      <c r="N69" s="2">
        <f>+N61/N45</f>
        <v>0.32125936114931991</v>
      </c>
      <c r="O69" s="2">
        <f t="shared" ref="O69:X69" si="63">+O61/O45</f>
        <v>0.33139733727308235</v>
      </c>
      <c r="P69" s="2">
        <f t="shared" si="63"/>
        <v>0.34272931727386868</v>
      </c>
      <c r="Q69" s="2">
        <f t="shared" si="63"/>
        <v>0.35757319623754785</v>
      </c>
      <c r="R69" s="2">
        <f t="shared" si="63"/>
        <v>0.36052191629473312</v>
      </c>
      <c r="S69" s="2">
        <f t="shared" si="63"/>
        <v>0.3634746267529253</v>
      </c>
      <c r="T69" s="2">
        <f t="shared" si="63"/>
        <v>0.36642588132623827</v>
      </c>
      <c r="U69" s="2">
        <f t="shared" si="63"/>
        <v>0.36937070423395735</v>
      </c>
      <c r="V69" s="2">
        <f t="shared" si="63"/>
        <v>0.37230455843059074</v>
      </c>
      <c r="W69" s="2">
        <f t="shared" si="63"/>
        <v>0.37522331580023688</v>
      </c>
      <c r="X69" s="2">
        <f t="shared" si="63"/>
        <v>0.37812322919860708</v>
      </c>
      <c r="Z69" s="2" t="s">
        <v>34</v>
      </c>
      <c r="AA69" s="2">
        <v>2.5000000000000001E-2</v>
      </c>
    </row>
    <row r="70" spans="2:27" s="6" customFormat="1" x14ac:dyDescent="0.25">
      <c r="B70" s="6" t="s">
        <v>32</v>
      </c>
      <c r="L70" s="6">
        <f>+L50/L45</f>
        <v>0.27711758746980442</v>
      </c>
      <c r="M70" s="6">
        <f t="shared" ref="M70:X70" si="64">+M50/M45</f>
        <v>0.28155193489509206</v>
      </c>
      <c r="N70" s="6">
        <f t="shared" si="64"/>
        <v>0.26318202659330581</v>
      </c>
      <c r="O70" s="6">
        <f t="shared" si="64"/>
        <v>0.2509976735102824</v>
      </c>
      <c r="P70" s="6">
        <f t="shared" si="64"/>
        <v>0.2329077510951269</v>
      </c>
      <c r="Q70" s="6">
        <f t="shared" si="64"/>
        <v>0.2167839484318515</v>
      </c>
      <c r="R70" s="6">
        <f t="shared" si="64"/>
        <v>0.21064855366491231</v>
      </c>
      <c r="S70" s="6">
        <f t="shared" si="64"/>
        <v>0.20468680214609403</v>
      </c>
      <c r="T70" s="6">
        <f t="shared" si="64"/>
        <v>0.19889377944384606</v>
      </c>
      <c r="U70" s="6">
        <f t="shared" si="64"/>
        <v>0.19326471021430325</v>
      </c>
      <c r="V70" s="6">
        <f t="shared" si="64"/>
        <v>0.18779495426484183</v>
      </c>
      <c r="W70" s="6">
        <f t="shared" si="64"/>
        <v>0.18248000272904441</v>
      </c>
      <c r="X70" s="6">
        <f t="shared" si="64"/>
        <v>0.17731547434992054</v>
      </c>
      <c r="Z70" s="6" t="s">
        <v>35</v>
      </c>
      <c r="AA70" s="7">
        <f>NPV(AA68,N63:CZ63)</f>
        <v>45712.837827778574</v>
      </c>
    </row>
    <row r="71" spans="2:27" s="2" customFormat="1" x14ac:dyDescent="0.25">
      <c r="B71" s="2" t="s">
        <v>31</v>
      </c>
      <c r="E71" s="2">
        <f t="shared" ref="E71:L71" si="65">+E45/D45 -1</f>
        <v>5.6779205752303774E-2</v>
      </c>
      <c r="F71" s="2">
        <f t="shared" si="65"/>
        <v>3.3746529542877157E-2</v>
      </c>
      <c r="G71" s="2">
        <f t="shared" si="65"/>
        <v>9.6686336813436302E-2</v>
      </c>
      <c r="H71" s="2">
        <f t="shared" si="65"/>
        <v>5.3463024282560667E-2</v>
      </c>
      <c r="I71" s="2">
        <f t="shared" si="65"/>
        <v>0.1522821033331152</v>
      </c>
      <c r="J71" s="2">
        <f t="shared" si="65"/>
        <v>0.19876111726763845</v>
      </c>
      <c r="K71" s="2">
        <f t="shared" si="65"/>
        <v>0.1122357068360671</v>
      </c>
      <c r="L71" s="2">
        <f t="shared" si="65"/>
        <v>9.3962449118768943E-2</v>
      </c>
      <c r="M71" s="2">
        <f>+M45/L45 -1</f>
        <v>0.16338736071066773</v>
      </c>
      <c r="N71" s="2">
        <f>+N45/M45 -1</f>
        <v>9.5631206148796943E-2</v>
      </c>
      <c r="O71" s="2">
        <f t="shared" ref="O71:X71" si="66">+O45/N45 -1</f>
        <v>8.0000000000000071E-2</v>
      </c>
      <c r="P71" s="2">
        <f t="shared" si="66"/>
        <v>0.1100000000000001</v>
      </c>
      <c r="Q71" s="2">
        <f t="shared" si="66"/>
        <v>0.16541834411720813</v>
      </c>
      <c r="R71" s="2">
        <f t="shared" si="66"/>
        <v>6.0000000000000053E-2</v>
      </c>
      <c r="S71" s="2">
        <f t="shared" si="66"/>
        <v>6.0000000000000053E-2</v>
      </c>
      <c r="T71" s="2">
        <f t="shared" si="66"/>
        <v>6.0000000000000053E-2</v>
      </c>
      <c r="U71" s="2">
        <f t="shared" si="66"/>
        <v>6.0000000000000053E-2</v>
      </c>
      <c r="V71" s="2">
        <f t="shared" si="66"/>
        <v>6.0000000000000053E-2</v>
      </c>
      <c r="W71" s="2">
        <f t="shared" si="66"/>
        <v>6.0000000000000053E-2</v>
      </c>
      <c r="X71" s="2">
        <f t="shared" si="66"/>
        <v>6.0000000000000053E-2</v>
      </c>
      <c r="Z71" s="1" t="s">
        <v>36</v>
      </c>
      <c r="AA71" s="1">
        <f>+AA70/X65</f>
        <v>249.93350370573305</v>
      </c>
    </row>
    <row r="72" spans="2:27" s="2" customFormat="1" x14ac:dyDescent="0.25">
      <c r="B72" s="2" t="s">
        <v>83</v>
      </c>
      <c r="M72" s="2">
        <f>+SUM(M50:M51)/SUM(L50:L51) -1</f>
        <v>0.16565170183637812</v>
      </c>
      <c r="N72" s="2">
        <f>+SUM(N50:N51)/SUM(M50:M51) -1</f>
        <v>2.6243317673740663E-2</v>
      </c>
      <c r="O72" s="2">
        <f>+SUM(O50:O51)/SUM(N50:N51) -1</f>
        <v>3.4582794001578598E-2</v>
      </c>
      <c r="P72" s="2">
        <f>+SUM(P50:P51)/SUM(O50:O51) -1</f>
        <v>5.5876173047575639E-2</v>
      </c>
      <c r="Q72" s="2">
        <f>+SUM(Q50:Q51)/SUM(P50:P51) -1</f>
        <v>9.049684049635176E-2</v>
      </c>
      <c r="R72" s="2">
        <f>+SUM(R50:R51)/SUM(Q50:Q51) -1</f>
        <v>4.1498111187755038E-2</v>
      </c>
      <c r="S72" s="2">
        <f>+SUM(S50:S51)/SUM(R50:R51) -1</f>
        <v>4.1668019228857434E-2</v>
      </c>
      <c r="T72" s="2">
        <f>+SUM(T50:T51)/SUM(S50:S51) -1</f>
        <v>4.1840382770924611E-2</v>
      </c>
      <c r="U72" s="2">
        <f>+SUM(U50:U51)/SUM(T50:T51) -1</f>
        <v>4.2015110726085769E-2</v>
      </c>
      <c r="V72" s="2">
        <f>+SUM(V50:V51)/SUM(U50:U51) -1</f>
        <v>4.2192110714698527E-2</v>
      </c>
      <c r="W72" s="2">
        <f>+SUM(W50:W51)/SUM(V50:V51) -1</f>
        <v>4.2371289097393738E-2</v>
      </c>
      <c r="X72" s="2">
        <f>+SUM(X50:X51)/SUM(W50:W51) -1</f>
        <v>4.2552551015620832E-2</v>
      </c>
      <c r="Z72" s="1" t="s">
        <v>38</v>
      </c>
      <c r="AA72" s="1">
        <v>211</v>
      </c>
    </row>
    <row r="73" spans="2:27" s="1" customFormat="1" x14ac:dyDescent="0.25">
      <c r="U73" s="2"/>
      <c r="V73" s="2"/>
      <c r="W73" s="2"/>
      <c r="X73" s="2"/>
      <c r="Z73" s="1" t="s">
        <v>37</v>
      </c>
      <c r="AA73" s="2">
        <f>+AA71/AA72 -1</f>
        <v>0.18451897490868752</v>
      </c>
    </row>
    <row r="74" spans="2:27" s="1" customFormat="1" x14ac:dyDescent="0.25">
      <c r="B74" s="1" t="s">
        <v>18</v>
      </c>
      <c r="L74" s="1">
        <v>2549.1</v>
      </c>
      <c r="M74" s="1">
        <v>2410.6999999999998</v>
      </c>
    </row>
    <row r="75" spans="2:27" s="1" customFormat="1" x14ac:dyDescent="0.25">
      <c r="B75" s="1" t="s">
        <v>19</v>
      </c>
      <c r="L75" s="1">
        <f>218.4+49.5</f>
        <v>267.89999999999998</v>
      </c>
      <c r="M75" s="1">
        <f>302.5+58.1</f>
        <v>360.6</v>
      </c>
      <c r="Z75" s="1" t="s">
        <v>89</v>
      </c>
      <c r="AA75" s="1">
        <f>+AA72*X65/O54</f>
        <v>10.178479381035443</v>
      </c>
    </row>
    <row r="76" spans="2:27" s="1" customFormat="1" x14ac:dyDescent="0.25">
      <c r="B76" s="1" t="s">
        <v>20</v>
      </c>
      <c r="L76" s="1">
        <f>+L74-L75</f>
        <v>2281.1999999999998</v>
      </c>
      <c r="M76" s="1">
        <f>+M74-M75</f>
        <v>2050.1</v>
      </c>
    </row>
    <row r="77" spans="2:27" s="1" customFormat="1" x14ac:dyDescent="0.25"/>
    <row r="78" spans="2:27" s="1" customFormat="1" x14ac:dyDescent="0.25">
      <c r="B78" s="1" t="s">
        <v>21</v>
      </c>
      <c r="L78" s="1">
        <v>605.6</v>
      </c>
      <c r="M78" s="1">
        <v>685.1</v>
      </c>
    </row>
    <row r="79" spans="2:27" s="1" customFormat="1" x14ac:dyDescent="0.25">
      <c r="B79" s="1" t="s">
        <v>22</v>
      </c>
      <c r="M79" s="1">
        <v>20800</v>
      </c>
    </row>
    <row r="80" spans="2:27" s="1" customFormat="1" x14ac:dyDescent="0.25">
      <c r="B80" s="1" t="s">
        <v>23</v>
      </c>
      <c r="M80" s="1">
        <v>24400</v>
      </c>
    </row>
    <row r="81" spans="2:13" s="1" customFormat="1" x14ac:dyDescent="0.25">
      <c r="B81" s="1" t="s">
        <v>24</v>
      </c>
      <c r="M81" s="1">
        <f>+M79-M80</f>
        <v>-3600</v>
      </c>
    </row>
    <row r="82" spans="2:13" s="1" customFormat="1" x14ac:dyDescent="0.25"/>
    <row r="83" spans="2:13" s="1" customFormat="1" x14ac:dyDescent="0.25">
      <c r="B83" s="8" t="s">
        <v>67</v>
      </c>
    </row>
    <row r="84" spans="2:13" s="5" customFormat="1" x14ac:dyDescent="0.25">
      <c r="B84" s="5" t="s">
        <v>39</v>
      </c>
      <c r="L84" s="5">
        <f>+SUM(L85:L87)</f>
        <v>47.2</v>
      </c>
      <c r="M84" s="5">
        <f>+SUM(M85:M87)</f>
        <v>47.9</v>
      </c>
    </row>
    <row r="85" spans="2:13" s="1" customFormat="1" x14ac:dyDescent="0.25">
      <c r="B85" s="1" t="s">
        <v>40</v>
      </c>
      <c r="L85" s="1">
        <v>25.4</v>
      </c>
      <c r="M85" s="1">
        <v>25.5</v>
      </c>
    </row>
    <row r="86" spans="2:13" s="1" customFormat="1" x14ac:dyDescent="0.25">
      <c r="B86" s="1" t="s">
        <v>41</v>
      </c>
      <c r="L86" s="1">
        <v>12.3</v>
      </c>
      <c r="M86" s="1">
        <v>12.9</v>
      </c>
    </row>
    <row r="87" spans="2:13" s="1" customFormat="1" x14ac:dyDescent="0.25">
      <c r="B87" s="1" t="s">
        <v>50</v>
      </c>
      <c r="L87" s="1">
        <v>9.5</v>
      </c>
      <c r="M87" s="1">
        <v>9.5</v>
      </c>
    </row>
    <row r="88" spans="2:13" s="1" customFormat="1" x14ac:dyDescent="0.25">
      <c r="B88" s="5" t="s">
        <v>42</v>
      </c>
      <c r="L88" s="5">
        <f>+SUM(L89:L91)</f>
        <v>34.199999999999996</v>
      </c>
      <c r="M88" s="5">
        <f>+SUM(M89:M91)</f>
        <v>66.5</v>
      </c>
    </row>
    <row r="89" spans="2:13" s="1" customFormat="1" x14ac:dyDescent="0.25">
      <c r="B89" s="1" t="s">
        <v>43</v>
      </c>
      <c r="L89" s="1">
        <v>1.8</v>
      </c>
      <c r="M89" s="1">
        <v>7.1</v>
      </c>
    </row>
    <row r="90" spans="2:13" s="1" customFormat="1" x14ac:dyDescent="0.25">
      <c r="B90" s="1" t="s">
        <v>44</v>
      </c>
      <c r="L90" s="1">
        <v>32.4</v>
      </c>
      <c r="M90" s="1">
        <v>59.4</v>
      </c>
    </row>
    <row r="91" spans="2:13" s="1" customFormat="1" x14ac:dyDescent="0.25">
      <c r="B91" s="1" t="s">
        <v>51</v>
      </c>
    </row>
    <row r="92" spans="2:13" s="5" customFormat="1" x14ac:dyDescent="0.25">
      <c r="B92" s="5" t="s">
        <v>45</v>
      </c>
      <c r="L92" s="5">
        <f>+L88+L84</f>
        <v>81.400000000000006</v>
      </c>
      <c r="M92" s="5">
        <f>+M88+M84</f>
        <v>114.4</v>
      </c>
    </row>
    <row r="93" spans="2:13" s="1" customFormat="1" x14ac:dyDescent="0.25"/>
    <row r="94" spans="2:13" s="5" customFormat="1" x14ac:dyDescent="0.25">
      <c r="B94" s="5" t="s">
        <v>46</v>
      </c>
      <c r="L94" s="5">
        <f>+SUM(L95:L98)</f>
        <v>148.30000000000001</v>
      </c>
      <c r="M94" s="5">
        <f>+SUM(M95:M98)</f>
        <v>154</v>
      </c>
    </row>
    <row r="95" spans="2:13" s="1" customFormat="1" x14ac:dyDescent="0.25">
      <c r="B95" s="1" t="s">
        <v>47</v>
      </c>
      <c r="L95" s="1">
        <v>101.1</v>
      </c>
      <c r="M95" s="1">
        <v>81.599999999999994</v>
      </c>
    </row>
    <row r="96" spans="2:13" s="1" customFormat="1" x14ac:dyDescent="0.25">
      <c r="B96" s="1" t="s">
        <v>48</v>
      </c>
      <c r="L96" s="1">
        <v>31.3</v>
      </c>
      <c r="M96" s="1">
        <v>54.9</v>
      </c>
    </row>
    <row r="97" spans="2:13" s="1" customFormat="1" x14ac:dyDescent="0.25">
      <c r="B97" s="1" t="s">
        <v>49</v>
      </c>
      <c r="M97" s="1">
        <v>0.1</v>
      </c>
    </row>
    <row r="98" spans="2:13" s="1" customFormat="1" x14ac:dyDescent="0.25">
      <c r="B98" s="1" t="s">
        <v>50</v>
      </c>
      <c r="L98" s="1">
        <v>15.9</v>
      </c>
      <c r="M98" s="1">
        <v>17.399999999999999</v>
      </c>
    </row>
    <row r="99" spans="2:13" s="5" customFormat="1" x14ac:dyDescent="0.25">
      <c r="B99" s="5" t="s">
        <v>52</v>
      </c>
      <c r="L99" s="5">
        <f>+SUM(L100:L102)</f>
        <v>20.100000000000001</v>
      </c>
      <c r="M99" s="5">
        <f>+SUM(M100:M102)</f>
        <v>38.4</v>
      </c>
    </row>
    <row r="100" spans="2:13" s="1" customFormat="1" x14ac:dyDescent="0.25">
      <c r="B100" s="1" t="s">
        <v>53</v>
      </c>
      <c r="L100" s="1">
        <v>8.5</v>
      </c>
      <c r="M100" s="1">
        <v>24.4</v>
      </c>
    </row>
    <row r="101" spans="2:13" s="1" customFormat="1" x14ac:dyDescent="0.25">
      <c r="B101" s="1" t="s">
        <v>54</v>
      </c>
      <c r="L101" s="1">
        <v>2.2000000000000002</v>
      </c>
      <c r="M101" s="1">
        <v>2.6</v>
      </c>
    </row>
    <row r="102" spans="2:13" s="1" customFormat="1" x14ac:dyDescent="0.25">
      <c r="B102" s="1" t="s">
        <v>50</v>
      </c>
      <c r="L102" s="1">
        <v>9.4</v>
      </c>
      <c r="M102" s="1">
        <v>11.4</v>
      </c>
    </row>
    <row r="103" spans="2:13" s="5" customFormat="1" x14ac:dyDescent="0.25">
      <c r="B103" s="5" t="s">
        <v>55</v>
      </c>
      <c r="L103" s="5">
        <f>+L104+L105</f>
        <v>66.7</v>
      </c>
      <c r="M103" s="5">
        <f>+M104+M105</f>
        <v>65.2</v>
      </c>
    </row>
    <row r="104" spans="2:13" s="1" customFormat="1" x14ac:dyDescent="0.25">
      <c r="B104" s="1" t="s">
        <v>56</v>
      </c>
      <c r="L104" s="1">
        <v>33.5</v>
      </c>
      <c r="M104" s="1">
        <v>31.8</v>
      </c>
    </row>
    <row r="105" spans="2:13" s="1" customFormat="1" x14ac:dyDescent="0.25">
      <c r="B105" s="1" t="s">
        <v>50</v>
      </c>
      <c r="L105" s="1">
        <v>33.200000000000003</v>
      </c>
      <c r="M105" s="1">
        <v>33.4</v>
      </c>
    </row>
    <row r="106" spans="2:13" s="5" customFormat="1" x14ac:dyDescent="0.25">
      <c r="B106" s="5" t="s">
        <v>57</v>
      </c>
      <c r="L106" s="5">
        <v>6.4</v>
      </c>
      <c r="M106" s="5">
        <v>5.8</v>
      </c>
    </row>
    <row r="107" spans="2:13" s="5" customFormat="1" x14ac:dyDescent="0.25">
      <c r="B107" s="5" t="s">
        <v>58</v>
      </c>
      <c r="L107" s="5">
        <f>+L106+L103+L99+L94</f>
        <v>241.50000000000003</v>
      </c>
      <c r="M107" s="5">
        <f>+M106+M103+M99+M94</f>
        <v>263.39999999999998</v>
      </c>
    </row>
    <row r="108" spans="2:13" s="1" customFormat="1" x14ac:dyDescent="0.25"/>
    <row r="109" spans="2:13" s="5" customFormat="1" x14ac:dyDescent="0.25">
      <c r="B109" s="5" t="s">
        <v>59</v>
      </c>
      <c r="L109" s="5">
        <f>+L110+L111+L112</f>
        <v>530.79999999999995</v>
      </c>
      <c r="M109" s="5">
        <f>+M110+M111+M112</f>
        <v>652.70000000000005</v>
      </c>
    </row>
    <row r="110" spans="2:13" s="1" customFormat="1" x14ac:dyDescent="0.25">
      <c r="B110" s="1" t="s">
        <v>60</v>
      </c>
      <c r="L110" s="1">
        <v>17.399999999999999</v>
      </c>
      <c r="M110" s="1">
        <v>20.7</v>
      </c>
    </row>
    <row r="111" spans="2:13" s="1" customFormat="1" x14ac:dyDescent="0.25">
      <c r="B111" s="1" t="s">
        <v>61</v>
      </c>
      <c r="L111" s="1">
        <v>495.9</v>
      </c>
      <c r="M111" s="1">
        <v>609.79999999999995</v>
      </c>
    </row>
    <row r="112" spans="2:13" s="1" customFormat="1" x14ac:dyDescent="0.25">
      <c r="B112" s="1" t="s">
        <v>50</v>
      </c>
      <c r="L112" s="1">
        <v>17.5</v>
      </c>
      <c r="M112" s="1">
        <v>22.2</v>
      </c>
    </row>
    <row r="113" spans="2:13" s="5" customFormat="1" x14ac:dyDescent="0.25">
      <c r="B113" s="5" t="s">
        <v>62</v>
      </c>
      <c r="L113" s="5">
        <f>+L114+L115+L116</f>
        <v>299.89999999999998</v>
      </c>
      <c r="M113" s="5">
        <f>+M114+M115+M116</f>
        <v>288.3</v>
      </c>
    </row>
    <row r="114" spans="2:13" s="1" customFormat="1" x14ac:dyDescent="0.25">
      <c r="B114" s="1" t="s">
        <v>63</v>
      </c>
      <c r="L114" s="1">
        <v>202.5</v>
      </c>
      <c r="M114" s="1">
        <v>172.5</v>
      </c>
    </row>
    <row r="115" spans="2:13" s="1" customFormat="1" x14ac:dyDescent="0.25">
      <c r="B115" s="1" t="s">
        <v>64</v>
      </c>
      <c r="L115" s="1">
        <v>65.2</v>
      </c>
      <c r="M115" s="1">
        <v>73.8</v>
      </c>
    </row>
    <row r="116" spans="2:13" s="1" customFormat="1" x14ac:dyDescent="0.25">
      <c r="B116" s="1" t="s">
        <v>50</v>
      </c>
      <c r="L116" s="1">
        <v>32.200000000000003</v>
      </c>
      <c r="M116" s="1">
        <v>42</v>
      </c>
    </row>
    <row r="117" spans="2:13" s="1" customFormat="1" x14ac:dyDescent="0.25"/>
    <row r="118" spans="2:13" s="1" customFormat="1" x14ac:dyDescent="0.25">
      <c r="B118" s="8" t="s">
        <v>68</v>
      </c>
    </row>
    <row r="119" spans="2:13" s="5" customFormat="1" x14ac:dyDescent="0.25">
      <c r="B119" s="5" t="s">
        <v>39</v>
      </c>
      <c r="L119" s="9">
        <f>+L84/L4</f>
        <v>7.6973255055446832E-2</v>
      </c>
      <c r="M119" s="9">
        <f>+M84/M4</f>
        <v>7.6140518200604038E-2</v>
      </c>
    </row>
    <row r="120" spans="2:13" s="1" customFormat="1" x14ac:dyDescent="0.25">
      <c r="B120" s="1" t="s">
        <v>40</v>
      </c>
      <c r="L120" s="2">
        <f>+L85/L5</f>
        <v>0.11009969657563935</v>
      </c>
      <c r="M120" s="2">
        <f>+M85/M5</f>
        <v>0.10851063829787234</v>
      </c>
    </row>
    <row r="121" spans="2:13" s="1" customFormat="1" x14ac:dyDescent="0.25">
      <c r="B121" s="1" t="s">
        <v>41</v>
      </c>
      <c r="L121" s="2">
        <f>+L86/L6</f>
        <v>4.8349056603773588E-2</v>
      </c>
      <c r="M121" s="2">
        <f>+M86/M6</f>
        <v>4.7304730473047306E-2</v>
      </c>
    </row>
    <row r="122" spans="2:13" s="1" customFormat="1" x14ac:dyDescent="0.25">
      <c r="B122" s="1" t="s">
        <v>50</v>
      </c>
      <c r="L122" s="2">
        <f>+L87/L7</f>
        <v>7.4160811865729898E-2</v>
      </c>
      <c r="M122" s="2">
        <f>+M87/M7</f>
        <v>7.8253706754530472E-2</v>
      </c>
    </row>
    <row r="123" spans="2:13" s="5" customFormat="1" x14ac:dyDescent="0.25">
      <c r="B123" s="5" t="s">
        <v>42</v>
      </c>
      <c r="L123" s="9">
        <f>+L88/L8</f>
        <v>0.10354223433242506</v>
      </c>
      <c r="M123" s="9">
        <f>+M88/M8</f>
        <v>8.7638376383763844E-2</v>
      </c>
    </row>
    <row r="124" spans="2:13" s="1" customFormat="1" x14ac:dyDescent="0.25">
      <c r="B124" s="1" t="s">
        <v>43</v>
      </c>
      <c r="L124" s="2">
        <f>+L89/L10</f>
        <v>1.4206787687450671E-2</v>
      </c>
      <c r="M124" s="2">
        <f>+M89/M10</f>
        <v>2.5017618040873851E-2</v>
      </c>
    </row>
    <row r="125" spans="2:13" s="1" customFormat="1" x14ac:dyDescent="0.25">
      <c r="B125" s="1" t="s">
        <v>44</v>
      </c>
      <c r="L125" s="2">
        <f>+L90/L11</f>
        <v>0.20519316022799239</v>
      </c>
      <c r="M125" s="2">
        <f>+M90/M11</f>
        <v>0.18899140948138721</v>
      </c>
    </row>
    <row r="126" spans="2:13" s="1" customFormat="1" x14ac:dyDescent="0.25">
      <c r="B126" s="1" t="s">
        <v>51</v>
      </c>
      <c r="L126" s="2">
        <f>+L91/L12</f>
        <v>0</v>
      </c>
      <c r="M126" s="2">
        <f>+M91/M12</f>
        <v>0</v>
      </c>
    </row>
    <row r="127" spans="2:13" s="5" customFormat="1" x14ac:dyDescent="0.25">
      <c r="B127" s="5" t="s">
        <v>45</v>
      </c>
      <c r="L127" s="9">
        <f>+L92/L13</f>
        <v>8.6274509803921581E-2</v>
      </c>
      <c r="M127" s="9">
        <f>+M92/M13</f>
        <v>8.2426687801714818E-2</v>
      </c>
    </row>
    <row r="128" spans="2:13" s="1" customFormat="1" x14ac:dyDescent="0.25">
      <c r="L128" s="2"/>
      <c r="M128" s="2"/>
    </row>
    <row r="129" spans="2:13" s="5" customFormat="1" x14ac:dyDescent="0.25">
      <c r="B129" s="5" t="s">
        <v>46</v>
      </c>
      <c r="L129" s="9">
        <f>+L94/L15</f>
        <v>0.11887775551102206</v>
      </c>
      <c r="M129" s="9">
        <f>+M94/M15</f>
        <v>0.11850711812235475</v>
      </c>
    </row>
    <row r="130" spans="2:13" s="1" customFormat="1" x14ac:dyDescent="0.25">
      <c r="B130" s="1" t="s">
        <v>47</v>
      </c>
      <c r="L130" s="2">
        <f>+L95/L16</f>
        <v>0.17693384669233461</v>
      </c>
      <c r="M130" s="2">
        <f>+M95/M16</f>
        <v>0.15349887133182843</v>
      </c>
    </row>
    <row r="131" spans="2:13" s="1" customFormat="1" x14ac:dyDescent="0.25">
      <c r="B131" s="1" t="s">
        <v>48</v>
      </c>
      <c r="L131" s="2">
        <f>+L96/L17</f>
        <v>7.2960372960372957E-2</v>
      </c>
      <c r="M131" s="2">
        <f>+M96/M17</f>
        <v>0.11210945476822544</v>
      </c>
    </row>
    <row r="132" spans="2:13" s="1" customFormat="1" x14ac:dyDescent="0.25">
      <c r="B132" s="1" t="s">
        <v>49</v>
      </c>
      <c r="L132" s="2">
        <f>+L97/L18</f>
        <v>0</v>
      </c>
      <c r="M132" s="2">
        <f>+M97/M18</f>
        <v>2.5641025641025641E-3</v>
      </c>
    </row>
    <row r="133" spans="2:13" s="1" customFormat="1" x14ac:dyDescent="0.25">
      <c r="B133" s="1" t="s">
        <v>50</v>
      </c>
      <c r="L133" s="2">
        <f>+L98/L19</f>
        <v>7.6112972714217325E-2</v>
      </c>
      <c r="M133" s="2">
        <f>+M98/M19</f>
        <v>7.2742474916387953E-2</v>
      </c>
    </row>
    <row r="134" spans="2:13" s="5" customFormat="1" x14ac:dyDescent="0.25">
      <c r="B134" s="5" t="s">
        <v>52</v>
      </c>
      <c r="L134" s="9">
        <f>+L99/L20</f>
        <v>4.3179377013963481E-2</v>
      </c>
      <c r="M134" s="9">
        <f>+M99/M20</f>
        <v>6.7724867724867716E-2</v>
      </c>
    </row>
    <row r="135" spans="2:13" s="1" customFormat="1" x14ac:dyDescent="0.25">
      <c r="B135" s="1" t="s">
        <v>53</v>
      </c>
      <c r="L135" s="2">
        <f>+L100/L21</f>
        <v>3.4000000000000002E-2</v>
      </c>
      <c r="M135" s="2">
        <f>+M100/M21</f>
        <v>7.1722516166960612E-2</v>
      </c>
    </row>
    <row r="136" spans="2:13" s="1" customFormat="1" x14ac:dyDescent="0.25">
      <c r="B136" s="1" t="s">
        <v>54</v>
      </c>
      <c r="L136" s="2">
        <f>+L101/L22</f>
        <v>2.1174205967276229E-2</v>
      </c>
      <c r="M136" s="2">
        <f>+M101/M22</f>
        <v>2.5870646766169157E-2</v>
      </c>
    </row>
    <row r="137" spans="2:13" s="1" customFormat="1" x14ac:dyDescent="0.25">
      <c r="B137" s="1" t="s">
        <v>50</v>
      </c>
      <c r="L137" s="2">
        <f>+L102/L23</f>
        <v>8.4229390681003588E-2</v>
      </c>
      <c r="M137" s="2">
        <f>+M102/M23</f>
        <v>9.0261282660332551E-2</v>
      </c>
    </row>
    <row r="138" spans="2:13" s="5" customFormat="1" x14ac:dyDescent="0.25">
      <c r="B138" s="5" t="s">
        <v>55</v>
      </c>
      <c r="L138" s="9">
        <f>+L103/L24</f>
        <v>0.19255196304849886</v>
      </c>
      <c r="M138" s="9">
        <f>+M103/M24</f>
        <v>0.18361025063362432</v>
      </c>
    </row>
    <row r="139" spans="2:13" s="1" customFormat="1" x14ac:dyDescent="0.25">
      <c r="B139" s="1" t="s">
        <v>56</v>
      </c>
      <c r="L139" s="2">
        <f>+L104/L25</f>
        <v>0.22083058668424524</v>
      </c>
      <c r="M139" s="2">
        <f>+M104/M25</f>
        <v>0.19581280788177341</v>
      </c>
    </row>
    <row r="140" spans="2:13" s="1" customFormat="1" x14ac:dyDescent="0.25">
      <c r="B140" s="1" t="s">
        <v>50</v>
      </c>
      <c r="L140" s="2">
        <f>+L105/L26</f>
        <v>0.17051874678993326</v>
      </c>
      <c r="M140" s="2">
        <f>+M105/M26</f>
        <v>0.173326414115205</v>
      </c>
    </row>
    <row r="141" spans="2:13" s="5" customFormat="1" x14ac:dyDescent="0.25">
      <c r="B141" s="5" t="s">
        <v>57</v>
      </c>
      <c r="L141" s="9">
        <f>+L106/L27</f>
        <v>4.3068640646029617E-2</v>
      </c>
      <c r="M141" s="9">
        <f>+M106/M27</f>
        <v>3.4793041391721659E-2</v>
      </c>
    </row>
    <row r="142" spans="2:13" s="5" customFormat="1" x14ac:dyDescent="0.25">
      <c r="B142" s="5" t="s">
        <v>58</v>
      </c>
      <c r="L142" s="9">
        <f>+L107/L28</f>
        <v>0.10937500000000001</v>
      </c>
      <c r="M142" s="9">
        <f>+M107/M28</f>
        <v>0.1102876523049868</v>
      </c>
    </row>
    <row r="143" spans="2:13" s="1" customFormat="1" x14ac:dyDescent="0.25">
      <c r="L143" s="2"/>
      <c r="M143" s="2"/>
    </row>
    <row r="144" spans="2:13" s="5" customFormat="1" x14ac:dyDescent="0.25">
      <c r="B144" s="5" t="s">
        <v>59</v>
      </c>
      <c r="L144" s="9">
        <f>+L109/L30</f>
        <v>0.58451712366479458</v>
      </c>
      <c r="M144" s="9">
        <f>+M109/M30</f>
        <v>0.60491195551436516</v>
      </c>
    </row>
    <row r="145" spans="2:16" s="1" customFormat="1" x14ac:dyDescent="0.25">
      <c r="B145" s="1" t="s">
        <v>60</v>
      </c>
      <c r="L145" s="2">
        <f>+L110/L31</f>
        <v>7.5226977950713356E-2</v>
      </c>
      <c r="M145" s="2">
        <f>+M110/M31</f>
        <v>7.3482428115015971E-2</v>
      </c>
    </row>
    <row r="146" spans="2:16" s="1" customFormat="1" x14ac:dyDescent="0.25">
      <c r="B146" s="1" t="s">
        <v>61</v>
      </c>
      <c r="L146" s="2">
        <f>+L111/L32</f>
        <v>0.85382231404958675</v>
      </c>
      <c r="M146" s="2">
        <f>+M111/M32</f>
        <v>0.86965202509982875</v>
      </c>
    </row>
    <row r="147" spans="2:16" s="1" customFormat="1" x14ac:dyDescent="0.25">
      <c r="B147" s="1" t="s">
        <v>50</v>
      </c>
      <c r="L147" s="2">
        <f>+L112/L33</f>
        <v>0.18229166666666666</v>
      </c>
      <c r="M147" s="2">
        <f>+M112/M33</f>
        <v>0.23100936524453694</v>
      </c>
    </row>
    <row r="148" spans="2:16" s="5" customFormat="1" x14ac:dyDescent="0.25">
      <c r="B148" s="5" t="s">
        <v>62</v>
      </c>
      <c r="L148" s="9">
        <f>+L113/L34</f>
        <v>0.25782324621733149</v>
      </c>
      <c r="M148" s="9">
        <f>+M113/M34</f>
        <v>0.2370108516935219</v>
      </c>
    </row>
    <row r="149" spans="2:16" s="1" customFormat="1" x14ac:dyDescent="0.25">
      <c r="B149" s="1" t="s">
        <v>63</v>
      </c>
      <c r="L149" s="2">
        <f>+L114/L35</f>
        <v>0.24794906330353861</v>
      </c>
      <c r="M149" s="2">
        <f>+M114/M35</f>
        <v>0.20828302342429364</v>
      </c>
    </row>
    <row r="150" spans="2:16" s="1" customFormat="1" x14ac:dyDescent="0.25">
      <c r="B150" s="1" t="s">
        <v>64</v>
      </c>
      <c r="L150" s="2">
        <f>+L115/L36</f>
        <v>0.36302895322939871</v>
      </c>
      <c r="M150" s="2">
        <f>+M115/M36</f>
        <v>0.36426456071076013</v>
      </c>
    </row>
    <row r="151" spans="2:16" s="1" customFormat="1" x14ac:dyDescent="0.25">
      <c r="B151" s="1" t="s">
        <v>50</v>
      </c>
      <c r="L151" s="2">
        <f>+L116/L37</f>
        <v>0.19292989814260036</v>
      </c>
      <c r="M151" s="2">
        <f>+M116/M37</f>
        <v>0.22629310344827586</v>
      </c>
    </row>
    <row r="152" spans="2:16" s="1" customFormat="1" x14ac:dyDescent="0.25"/>
    <row r="153" spans="2:16" s="1" customFormat="1" x14ac:dyDescent="0.25">
      <c r="B153" s="8" t="s">
        <v>69</v>
      </c>
    </row>
    <row r="154" spans="2:16" s="1" customFormat="1" x14ac:dyDescent="0.25">
      <c r="B154" s="5" t="s">
        <v>39</v>
      </c>
      <c r="M154" s="5">
        <f>+SUM(M155:M157)</f>
        <v>582</v>
      </c>
      <c r="N154" s="5">
        <f>+SUM(N155:N157)</f>
        <v>585</v>
      </c>
    </row>
    <row r="155" spans="2:16" s="1" customFormat="1" x14ac:dyDescent="0.25">
      <c r="B155" s="1" t="s">
        <v>40</v>
      </c>
      <c r="M155" s="1">
        <v>210</v>
      </c>
      <c r="N155" s="1">
        <v>221</v>
      </c>
    </row>
    <row r="156" spans="2:16" s="1" customFormat="1" x14ac:dyDescent="0.25">
      <c r="B156" s="1" t="s">
        <v>41</v>
      </c>
      <c r="M156" s="1">
        <v>260</v>
      </c>
      <c r="N156" s="1">
        <v>260</v>
      </c>
    </row>
    <row r="157" spans="2:16" s="1" customFormat="1" x14ac:dyDescent="0.25">
      <c r="B157" s="1" t="s">
        <v>50</v>
      </c>
      <c r="M157" s="1">
        <v>112</v>
      </c>
      <c r="N157" s="1">
        <v>104</v>
      </c>
    </row>
    <row r="158" spans="2:16" s="5" customFormat="1" x14ac:dyDescent="0.25">
      <c r="B158" s="5" t="s">
        <v>42</v>
      </c>
      <c r="M158" s="5">
        <f>+SUM(M159:M161)</f>
        <v>694</v>
      </c>
      <c r="N158" s="5">
        <f>+SUM(N159:N161)</f>
        <v>745</v>
      </c>
      <c r="P158" s="10"/>
    </row>
    <row r="159" spans="2:16" s="1" customFormat="1" x14ac:dyDescent="0.25">
      <c r="B159" s="1" t="s">
        <v>43</v>
      </c>
      <c r="M159" s="1">
        <v>278</v>
      </c>
      <c r="N159" s="1">
        <v>243</v>
      </c>
    </row>
    <row r="160" spans="2:16" s="1" customFormat="1" x14ac:dyDescent="0.25">
      <c r="B160" s="1" t="s">
        <v>44</v>
      </c>
      <c r="M160" s="1">
        <v>255</v>
      </c>
      <c r="N160" s="1">
        <v>331</v>
      </c>
    </row>
    <row r="161" spans="2:14" s="1" customFormat="1" x14ac:dyDescent="0.25">
      <c r="B161" s="1" t="s">
        <v>51</v>
      </c>
      <c r="M161" s="1">
        <v>161</v>
      </c>
      <c r="N161" s="1">
        <v>171</v>
      </c>
    </row>
    <row r="162" spans="2:14" s="5" customFormat="1" x14ac:dyDescent="0.25">
      <c r="B162" s="5" t="s">
        <v>70</v>
      </c>
      <c r="M162" s="5">
        <v>835</v>
      </c>
      <c r="N162" s="5">
        <v>854</v>
      </c>
    </row>
    <row r="163" spans="2:14" s="5" customFormat="1" x14ac:dyDescent="0.25">
      <c r="B163" s="5" t="s">
        <v>45</v>
      </c>
      <c r="M163" s="5">
        <f>+M158+M154-M162</f>
        <v>441</v>
      </c>
      <c r="N163" s="5">
        <f>+N158+N154-N162</f>
        <v>476</v>
      </c>
    </row>
    <row r="164" spans="2:14" s="1" customFormat="1" x14ac:dyDescent="0.25"/>
    <row r="165" spans="2:14" s="1" customFormat="1" x14ac:dyDescent="0.25">
      <c r="B165" s="5" t="s">
        <v>46</v>
      </c>
      <c r="M165" s="5">
        <f>+SUM(M166:M168)</f>
        <v>1158</v>
      </c>
      <c r="N165" s="5">
        <f>+SUM(N166:N168)</f>
        <v>1193</v>
      </c>
    </row>
    <row r="166" spans="2:14" s="1" customFormat="1" x14ac:dyDescent="0.25">
      <c r="B166" s="1" t="s">
        <v>47</v>
      </c>
      <c r="M166" s="1">
        <v>465</v>
      </c>
      <c r="N166" s="1">
        <v>447</v>
      </c>
    </row>
    <row r="167" spans="2:14" s="1" customFormat="1" x14ac:dyDescent="0.25">
      <c r="B167" s="1" t="s">
        <v>48</v>
      </c>
      <c r="M167" s="1">
        <v>463</v>
      </c>
      <c r="N167" s="1">
        <v>509</v>
      </c>
    </row>
    <row r="168" spans="2:14" s="1" customFormat="1" x14ac:dyDescent="0.25">
      <c r="B168" s="1" t="s">
        <v>50</v>
      </c>
      <c r="M168" s="1">
        <v>230</v>
      </c>
      <c r="N168" s="1">
        <v>237</v>
      </c>
    </row>
    <row r="169" spans="2:14" s="1" customFormat="1" x14ac:dyDescent="0.25">
      <c r="B169" s="5" t="s">
        <v>52</v>
      </c>
      <c r="M169" s="5">
        <f>+SUM(M170:M172)</f>
        <v>530</v>
      </c>
      <c r="N169" s="5">
        <f>+SUM(N170:N172)</f>
        <v>612</v>
      </c>
    </row>
    <row r="170" spans="2:14" s="1" customFormat="1" x14ac:dyDescent="0.25">
      <c r="B170" s="1" t="s">
        <v>53</v>
      </c>
      <c r="M170" s="1">
        <v>311</v>
      </c>
      <c r="N170" s="1">
        <v>334</v>
      </c>
    </row>
    <row r="171" spans="2:14" s="1" customFormat="1" x14ac:dyDescent="0.25">
      <c r="B171" s="1" t="s">
        <v>54</v>
      </c>
      <c r="M171" s="1">
        <v>98</v>
      </c>
      <c r="N171" s="1">
        <v>123</v>
      </c>
    </row>
    <row r="172" spans="2:14" s="1" customFormat="1" x14ac:dyDescent="0.25">
      <c r="B172" s="1" t="s">
        <v>50</v>
      </c>
      <c r="M172" s="1">
        <v>121</v>
      </c>
      <c r="N172" s="1">
        <v>155</v>
      </c>
    </row>
    <row r="173" spans="2:14" s="1" customFormat="1" x14ac:dyDescent="0.25">
      <c r="B173" s="5" t="s">
        <v>55</v>
      </c>
      <c r="M173" s="5">
        <f>+SUM(M174:M175)</f>
        <v>296</v>
      </c>
      <c r="N173" s="5">
        <f>+SUM(N174:N175)</f>
        <v>343</v>
      </c>
    </row>
    <row r="174" spans="2:14" s="1" customFormat="1" x14ac:dyDescent="0.25">
      <c r="B174" s="1" t="s">
        <v>56</v>
      </c>
      <c r="M174" s="1">
        <v>135</v>
      </c>
      <c r="N174" s="1">
        <v>170</v>
      </c>
    </row>
    <row r="175" spans="2:14" s="1" customFormat="1" x14ac:dyDescent="0.25">
      <c r="B175" s="1" t="s">
        <v>50</v>
      </c>
      <c r="M175" s="1">
        <v>161</v>
      </c>
      <c r="N175" s="1">
        <v>173</v>
      </c>
    </row>
    <row r="176" spans="2:14" s="1" customFormat="1" x14ac:dyDescent="0.25">
      <c r="B176" s="5" t="s">
        <v>57</v>
      </c>
      <c r="M176" s="1">
        <v>163</v>
      </c>
      <c r="N176" s="1">
        <v>182</v>
      </c>
    </row>
    <row r="177" spans="2:14" s="5" customFormat="1" x14ac:dyDescent="0.25">
      <c r="B177" s="5" t="s">
        <v>70</v>
      </c>
      <c r="M177" s="5">
        <v>975</v>
      </c>
      <c r="N177" s="5">
        <v>998</v>
      </c>
    </row>
    <row r="178" spans="2:14" s="5" customFormat="1" x14ac:dyDescent="0.25">
      <c r="B178" s="5" t="s">
        <v>58</v>
      </c>
      <c r="M178" s="5">
        <f>+M173+M169+M165+M176-M177</f>
        <v>1172</v>
      </c>
      <c r="N178" s="5">
        <f>+N173+N169+N165+N176-N177</f>
        <v>1332</v>
      </c>
    </row>
    <row r="179" spans="2:14" s="1" customFormat="1" x14ac:dyDescent="0.25"/>
    <row r="180" spans="2:14" s="1" customFormat="1" x14ac:dyDescent="0.25">
      <c r="B180" s="5" t="s">
        <v>59</v>
      </c>
      <c r="M180" s="5">
        <f>+SUM(M181:M183)</f>
        <v>426</v>
      </c>
      <c r="N180" s="5">
        <f>+SUM(N181:N183)</f>
        <v>481</v>
      </c>
    </row>
    <row r="181" spans="2:14" s="1" customFormat="1" x14ac:dyDescent="0.25">
      <c r="B181" s="1" t="s">
        <v>60</v>
      </c>
      <c r="M181" s="1">
        <v>261</v>
      </c>
      <c r="N181" s="1">
        <v>304</v>
      </c>
    </row>
    <row r="182" spans="2:14" s="1" customFormat="1" x14ac:dyDescent="0.25">
      <c r="B182" s="1" t="s">
        <v>61</v>
      </c>
      <c r="M182" s="1">
        <v>91</v>
      </c>
      <c r="N182" s="1">
        <v>107</v>
      </c>
    </row>
    <row r="183" spans="2:14" s="1" customFormat="1" x14ac:dyDescent="0.25">
      <c r="B183" s="1" t="s">
        <v>50</v>
      </c>
      <c r="M183" s="1">
        <v>74</v>
      </c>
      <c r="N183" s="1">
        <v>70</v>
      </c>
    </row>
    <row r="184" spans="2:14" s="5" customFormat="1" x14ac:dyDescent="0.25">
      <c r="B184" s="5" t="s">
        <v>70</v>
      </c>
      <c r="M184" s="5">
        <v>215</v>
      </c>
      <c r="N184" s="5">
        <v>219</v>
      </c>
    </row>
    <row r="185" spans="2:14" s="5" customFormat="1" x14ac:dyDescent="0.25">
      <c r="B185" s="5" t="s">
        <v>59</v>
      </c>
      <c r="M185" s="5">
        <f>+M180-M184</f>
        <v>211</v>
      </c>
      <c r="N185" s="5">
        <f>+N180-N184</f>
        <v>262</v>
      </c>
    </row>
    <row r="186" spans="2:14" s="5" customFormat="1" x14ac:dyDescent="0.25"/>
    <row r="187" spans="2:14" s="5" customFormat="1" x14ac:dyDescent="0.25">
      <c r="B187" s="5" t="s">
        <v>62</v>
      </c>
      <c r="M187" s="5">
        <f>+SUM(M188:M190)</f>
        <v>931</v>
      </c>
      <c r="N187" s="5">
        <f>+SUM(N188:N190)</f>
        <v>1046</v>
      </c>
    </row>
    <row r="188" spans="2:14" s="1" customFormat="1" x14ac:dyDescent="0.25">
      <c r="B188" s="1" t="s">
        <v>63</v>
      </c>
      <c r="M188" s="1">
        <v>656</v>
      </c>
      <c r="N188" s="1">
        <v>722</v>
      </c>
    </row>
    <row r="189" spans="2:14" s="1" customFormat="1" x14ac:dyDescent="0.25">
      <c r="B189" s="1" t="s">
        <v>64</v>
      </c>
      <c r="M189" s="1">
        <v>129</v>
      </c>
      <c r="N189" s="1">
        <v>154</v>
      </c>
    </row>
    <row r="190" spans="2:14" s="1" customFormat="1" x14ac:dyDescent="0.25">
      <c r="B190" s="1" t="s">
        <v>50</v>
      </c>
      <c r="M190" s="1">
        <v>146</v>
      </c>
      <c r="N190" s="1">
        <v>170</v>
      </c>
    </row>
    <row r="191" spans="2:14" s="5" customFormat="1" x14ac:dyDescent="0.25">
      <c r="B191" s="5" t="s">
        <v>70</v>
      </c>
      <c r="M191" s="5">
        <v>444</v>
      </c>
      <c r="N191" s="5">
        <v>464</v>
      </c>
    </row>
    <row r="192" spans="2:14" s="5" customFormat="1" x14ac:dyDescent="0.25">
      <c r="B192" s="5" t="s">
        <v>62</v>
      </c>
      <c r="M192" s="5">
        <f>+M187-M191</f>
        <v>487</v>
      </c>
      <c r="N192" s="5">
        <f>+N187-N191</f>
        <v>582</v>
      </c>
    </row>
    <row r="193" spans="2:14" s="1" customFormat="1" x14ac:dyDescent="0.25"/>
    <row r="194" spans="2:14" s="5" customFormat="1" x14ac:dyDescent="0.25">
      <c r="B194" s="5" t="s">
        <v>71</v>
      </c>
      <c r="M194" s="5">
        <f>+M192+M185+M178+M163</f>
        <v>2311</v>
      </c>
      <c r="N194" s="5">
        <f>+N192+N185+N178+N163</f>
        <v>2652</v>
      </c>
    </row>
    <row r="195" spans="2:14" x14ac:dyDescent="0.25">
      <c r="B195" s="5" t="s">
        <v>72</v>
      </c>
      <c r="M195" s="5">
        <f>+M194+M48</f>
        <v>3361</v>
      </c>
      <c r="N195" s="5">
        <f>+N194+N48</f>
        <v>3489</v>
      </c>
    </row>
    <row r="196" spans="2:14" x14ac:dyDescent="0.25">
      <c r="B196" s="5" t="s">
        <v>73</v>
      </c>
      <c r="N196" s="6">
        <f>+N195/M195 -1</f>
        <v>3.808390360011904E-2</v>
      </c>
    </row>
    <row r="198" spans="2:14" x14ac:dyDescent="0.25">
      <c r="B198" s="5" t="s">
        <v>74</v>
      </c>
      <c r="N198">
        <v>4.2</v>
      </c>
    </row>
    <row r="199" spans="2:14" s="6" customFormat="1" x14ac:dyDescent="0.25">
      <c r="B199" s="10" t="s">
        <v>75</v>
      </c>
      <c r="N199" s="6">
        <f>+N198/$AA$72</f>
        <v>1.9905213270142181E-2</v>
      </c>
    </row>
    <row r="201" spans="2:14" x14ac:dyDescent="0.25">
      <c r="B201" t="s">
        <v>85</v>
      </c>
      <c r="I201">
        <v>551</v>
      </c>
      <c r="J201">
        <v>588</v>
      </c>
      <c r="K201">
        <v>661</v>
      </c>
      <c r="L201">
        <v>700</v>
      </c>
      <c r="M201">
        <v>735</v>
      </c>
      <c r="N201">
        <v>765</v>
      </c>
    </row>
    <row r="202" spans="2:14" x14ac:dyDescent="0.25">
      <c r="B202" t="s">
        <v>86</v>
      </c>
      <c r="L202">
        <v>300</v>
      </c>
      <c r="M202">
        <v>500</v>
      </c>
      <c r="N202">
        <v>500</v>
      </c>
    </row>
    <row r="203" spans="2:14" x14ac:dyDescent="0.25">
      <c r="B203" t="s">
        <v>87</v>
      </c>
      <c r="I203">
        <f>+I201+I202</f>
        <v>551</v>
      </c>
      <c r="J203">
        <f>+J201+J202</f>
        <v>588</v>
      </c>
      <c r="K203">
        <f>+K201+K202</f>
        <v>661</v>
      </c>
      <c r="L203">
        <f>+L201+L202</f>
        <v>1000</v>
      </c>
      <c r="M203">
        <f>+M201+M202</f>
        <v>1235</v>
      </c>
      <c r="N203">
        <f>+N201+N202</f>
        <v>1265</v>
      </c>
    </row>
    <row r="204" spans="2:14" x14ac:dyDescent="0.25">
      <c r="B204" t="s">
        <v>88</v>
      </c>
      <c r="N204" s="6">
        <f>+N203/(AA72*X65)</f>
        <v>3.2778899199054724E-2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53A8-67EF-422A-ADFD-38A794E031D7}">
  <dimension ref="C3:K23"/>
  <sheetViews>
    <sheetView zoomScale="175" zoomScaleNormal="175" workbookViewId="0">
      <selection activeCell="K8" sqref="K8"/>
    </sheetView>
  </sheetViews>
  <sheetFormatPr defaultRowHeight="15" x14ac:dyDescent="0.25"/>
  <sheetData>
    <row r="3" spans="3:11" x14ac:dyDescent="0.25">
      <c r="C3" t="s">
        <v>76</v>
      </c>
      <c r="J3" t="s">
        <v>77</v>
      </c>
      <c r="K3" s="1">
        <f>+SUM(Model!N50:N51)</f>
        <v>2534</v>
      </c>
    </row>
    <row r="4" spans="3:11" x14ac:dyDescent="0.25">
      <c r="J4" t="s">
        <v>78</v>
      </c>
      <c r="K4">
        <v>60</v>
      </c>
    </row>
    <row r="5" spans="3:11" x14ac:dyDescent="0.25">
      <c r="K5" s="6">
        <f>+K4/K3</f>
        <v>2.3677979479084451E-2</v>
      </c>
    </row>
    <row r="7" spans="3:11" x14ac:dyDescent="0.25">
      <c r="J7" t="s">
        <v>79</v>
      </c>
      <c r="K7">
        <v>5300</v>
      </c>
    </row>
    <row r="22" spans="3:11" x14ac:dyDescent="0.25">
      <c r="C22" t="s">
        <v>80</v>
      </c>
      <c r="J22" t="s">
        <v>81</v>
      </c>
      <c r="K22">
        <v>1100</v>
      </c>
    </row>
    <row r="23" spans="3:11" x14ac:dyDescent="0.25">
      <c r="J23" t="s">
        <v>82</v>
      </c>
      <c r="K23" s="11">
        <f>0.03*Model!N61</f>
        <v>63.059999999999995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M&amp;A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2025-12-15T19:27:35Z</dcterms:created>
  <dcterms:modified xsi:type="dcterms:W3CDTF">2026-02-12T15:26:31Z</dcterms:modified>
</cp:coreProperties>
</file>