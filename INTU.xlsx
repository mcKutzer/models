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E7ED7232-C0BD-4E77-9B0D-26FE25B9279B}" xr6:coauthVersionLast="47" xr6:coauthVersionMax="47" xr10:uidLastSave="{00000000-0000-0000-0000-000000000000}"/>
  <bookViews>
    <workbookView xWindow="-28920" yWindow="-120" windowWidth="29040" windowHeight="15840" activeTab="1" xr2:uid="{AACD8A98-6E3E-451B-8527-8CF140E4C4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7" i="2" l="1"/>
  <c r="U47" i="2"/>
  <c r="V47" i="2"/>
  <c r="W47" i="2"/>
  <c r="X47" i="2"/>
  <c r="Y47" i="2"/>
  <c r="Z47" i="2"/>
  <c r="AA47" i="2"/>
  <c r="AB47" i="2"/>
  <c r="T48" i="2"/>
  <c r="U48" i="2"/>
  <c r="V48" i="2"/>
  <c r="W48" i="2"/>
  <c r="X48" i="2"/>
  <c r="Y48" i="2"/>
  <c r="Z48" i="2"/>
  <c r="AA48" i="2"/>
  <c r="AB48" i="2"/>
  <c r="T49" i="2"/>
  <c r="U49" i="2"/>
  <c r="V49" i="2"/>
  <c r="W49" i="2"/>
  <c r="X49" i="2"/>
  <c r="Y49" i="2"/>
  <c r="Z49" i="2"/>
  <c r="AA49" i="2"/>
  <c r="AB49" i="2"/>
  <c r="S49" i="2"/>
  <c r="S48" i="2"/>
  <c r="S47" i="2"/>
  <c r="G9" i="1"/>
  <c r="G7" i="1"/>
  <c r="G6" i="1"/>
  <c r="AE43" i="2"/>
  <c r="Q63" i="2"/>
  <c r="G5" i="1"/>
  <c r="G4" i="1"/>
  <c r="R56" i="2"/>
  <c r="Q56" i="2"/>
  <c r="P56" i="2"/>
  <c r="S39" i="2" l="1"/>
  <c r="T39" i="2" s="1"/>
  <c r="U39" i="2" s="1"/>
  <c r="V39" i="2" s="1"/>
  <c r="W39" i="2" s="1"/>
  <c r="X39" i="2" s="1"/>
  <c r="Y39" i="2" s="1"/>
  <c r="Z39" i="2" s="1"/>
  <c r="AA39" i="2" s="1"/>
  <c r="AB39" i="2" s="1"/>
  <c r="R62" i="2" l="1"/>
  <c r="Q62" i="2"/>
  <c r="S33" i="2"/>
  <c r="T33" i="2" s="1"/>
  <c r="U33" i="2" s="1"/>
  <c r="V33" i="2" s="1"/>
  <c r="W33" i="2" s="1"/>
  <c r="X33" i="2" s="1"/>
  <c r="Y33" i="2" s="1"/>
  <c r="Z33" i="2" s="1"/>
  <c r="AA33" i="2" s="1"/>
  <c r="AB33" i="2" s="1"/>
  <c r="S30" i="2"/>
  <c r="T30" i="2" s="1"/>
  <c r="U30" i="2" s="1"/>
  <c r="V30" i="2" s="1"/>
  <c r="W30" i="2" s="1"/>
  <c r="X30" i="2" s="1"/>
  <c r="Y30" i="2" s="1"/>
  <c r="Z30" i="2" s="1"/>
  <c r="AA30" i="2" s="1"/>
  <c r="AB30" i="2" s="1"/>
  <c r="P17" i="2"/>
  <c r="Q17" i="2"/>
  <c r="R17" i="2"/>
  <c r="S28" i="2"/>
  <c r="S24" i="2"/>
  <c r="T24" i="2" s="1"/>
  <c r="U24" i="2" s="1"/>
  <c r="V24" i="2" s="1"/>
  <c r="S20" i="2"/>
  <c r="T20" i="2" s="1"/>
  <c r="R6" i="2"/>
  <c r="S6" i="2" s="1"/>
  <c r="T6" i="2" s="1"/>
  <c r="U6" i="2" s="1"/>
  <c r="V6" i="2" s="1"/>
  <c r="W6" i="2" s="1"/>
  <c r="X6" i="2" s="1"/>
  <c r="Y6" i="2" s="1"/>
  <c r="Z6" i="2" s="1"/>
  <c r="AA6" i="2" s="1"/>
  <c r="AB6" i="2" s="1"/>
  <c r="R14" i="2"/>
  <c r="R13" i="2"/>
  <c r="S19" i="2"/>
  <c r="T19" i="2" s="1"/>
  <c r="U19" i="2" s="1"/>
  <c r="V19" i="2" s="1"/>
  <c r="W19" i="2" s="1"/>
  <c r="X19" i="2" s="1"/>
  <c r="Y19" i="2" s="1"/>
  <c r="Z19" i="2" s="1"/>
  <c r="AA19" i="2" s="1"/>
  <c r="AB19" i="2" s="1"/>
  <c r="AB22" i="2" s="1"/>
  <c r="R47" i="2"/>
  <c r="R53" i="2"/>
  <c r="R54" i="2" s="1"/>
  <c r="Q53" i="2"/>
  <c r="Q54" i="2" s="1"/>
  <c r="P53" i="2"/>
  <c r="P54" i="2" s="1"/>
  <c r="O53" i="2"/>
  <c r="O54" i="2" s="1"/>
  <c r="P48" i="2"/>
  <c r="Q48" i="2"/>
  <c r="R48" i="2"/>
  <c r="Q47" i="2"/>
  <c r="P47" i="2"/>
  <c r="N25" i="2"/>
  <c r="O25" i="2"/>
  <c r="P25" i="2"/>
  <c r="N21" i="2"/>
  <c r="O21" i="2"/>
  <c r="N31" i="2"/>
  <c r="O31" i="2"/>
  <c r="Q25" i="2"/>
  <c r="R25" i="2"/>
  <c r="Q21" i="2"/>
  <c r="R21" i="2"/>
  <c r="Q31" i="2"/>
  <c r="R31" i="2"/>
  <c r="P31" i="2"/>
  <c r="P21" i="2"/>
  <c r="P2" i="2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Q18" i="2" l="1"/>
  <c r="Q44" i="2"/>
  <c r="Q45" i="2"/>
  <c r="Q43" i="2"/>
  <c r="T28" i="2"/>
  <c r="O45" i="2"/>
  <c r="O43" i="2"/>
  <c r="O44" i="2"/>
  <c r="R45" i="2"/>
  <c r="R44" i="2"/>
  <c r="R43" i="2"/>
  <c r="P18" i="2"/>
  <c r="P45" i="2"/>
  <c r="P44" i="2"/>
  <c r="P43" i="2"/>
  <c r="S34" i="2"/>
  <c r="R49" i="2"/>
  <c r="S23" i="2"/>
  <c r="R18" i="2"/>
  <c r="S22" i="2"/>
  <c r="S25" i="2" s="1"/>
  <c r="S26" i="2" s="1"/>
  <c r="S41" i="2" s="1"/>
  <c r="Z22" i="2"/>
  <c r="Y22" i="2"/>
  <c r="W22" i="2"/>
  <c r="T23" i="2"/>
  <c r="U20" i="2"/>
  <c r="T21" i="2"/>
  <c r="X22" i="2"/>
  <c r="V22" i="2"/>
  <c r="S21" i="2"/>
  <c r="S44" i="2" s="1"/>
  <c r="U22" i="2"/>
  <c r="T22" i="2"/>
  <c r="R7" i="2"/>
  <c r="AA22" i="2"/>
  <c r="W24" i="2"/>
  <c r="P49" i="2"/>
  <c r="Q49" i="2"/>
  <c r="R26" i="2"/>
  <c r="R41" i="2" s="1"/>
  <c r="O26" i="2"/>
  <c r="N26" i="2"/>
  <c r="N32" i="2" s="1"/>
  <c r="N35" i="2" s="1"/>
  <c r="N37" i="2" s="1"/>
  <c r="Q26" i="2"/>
  <c r="P26" i="2"/>
  <c r="U28" i="2" l="1"/>
  <c r="T44" i="2"/>
  <c r="R32" i="2"/>
  <c r="R35" i="2" s="1"/>
  <c r="R37" i="2" s="1"/>
  <c r="R38" i="2" s="1"/>
  <c r="S27" i="2"/>
  <c r="S43" i="2" s="1"/>
  <c r="S29" i="2"/>
  <c r="S45" i="2" s="1"/>
  <c r="T7" i="2"/>
  <c r="T27" i="2"/>
  <c r="T43" i="2" s="1"/>
  <c r="T29" i="2"/>
  <c r="T45" i="2" s="1"/>
  <c r="V20" i="2"/>
  <c r="U23" i="2"/>
  <c r="U25" i="2" s="1"/>
  <c r="U21" i="2"/>
  <c r="S7" i="2"/>
  <c r="T25" i="2"/>
  <c r="T26" i="2" s="1"/>
  <c r="T41" i="2" s="1"/>
  <c r="X24" i="2"/>
  <c r="P32" i="2"/>
  <c r="P41" i="2"/>
  <c r="Q32" i="2"/>
  <c r="Q41" i="2"/>
  <c r="O32" i="2"/>
  <c r="O41" i="2"/>
  <c r="U44" i="2" l="1"/>
  <c r="V28" i="2"/>
  <c r="R42" i="2"/>
  <c r="U26" i="2"/>
  <c r="U41" i="2" s="1"/>
  <c r="S31" i="2"/>
  <c r="S32" i="2" s="1"/>
  <c r="U7" i="2"/>
  <c r="U29" i="2"/>
  <c r="U45" i="2" s="1"/>
  <c r="U27" i="2"/>
  <c r="T31" i="2"/>
  <c r="T32" i="2" s="1"/>
  <c r="T42" i="2" s="1"/>
  <c r="W20" i="2"/>
  <c r="V23" i="2"/>
  <c r="V25" i="2" s="1"/>
  <c r="V21" i="2"/>
  <c r="Y24" i="2"/>
  <c r="O35" i="2"/>
  <c r="O37" i="2" s="1"/>
  <c r="O42" i="2"/>
  <c r="Q35" i="2"/>
  <c r="Q37" i="2" s="1"/>
  <c r="Q42" i="2"/>
  <c r="P35" i="2"/>
  <c r="P37" i="2" s="1"/>
  <c r="P42" i="2"/>
  <c r="U31" i="2" l="1"/>
  <c r="U32" i="2" s="1"/>
  <c r="U42" i="2" s="1"/>
  <c r="U43" i="2"/>
  <c r="S35" i="2"/>
  <c r="S36" i="2" s="1"/>
  <c r="S37" i="2" s="1"/>
  <c r="S42" i="2"/>
  <c r="V44" i="2"/>
  <c r="W28" i="2"/>
  <c r="S62" i="2"/>
  <c r="T34" i="2" s="1"/>
  <c r="T35" i="2" s="1"/>
  <c r="S38" i="2"/>
  <c r="S50" i="2" s="1"/>
  <c r="V7" i="2"/>
  <c r="V29" i="2"/>
  <c r="V45" i="2" s="1"/>
  <c r="V27" i="2"/>
  <c r="V26" i="2"/>
  <c r="V41" i="2" s="1"/>
  <c r="X20" i="2"/>
  <c r="W21" i="2"/>
  <c r="W23" i="2"/>
  <c r="W25" i="2" s="1"/>
  <c r="Z24" i="2"/>
  <c r="W44" i="2" l="1"/>
  <c r="X28" i="2"/>
  <c r="V31" i="2"/>
  <c r="V43" i="2"/>
  <c r="W29" i="2"/>
  <c r="W45" i="2" s="1"/>
  <c r="W7" i="2"/>
  <c r="W27" i="2"/>
  <c r="Y20" i="2"/>
  <c r="X23" i="2"/>
  <c r="X25" i="2" s="1"/>
  <c r="X21" i="2"/>
  <c r="W26" i="2"/>
  <c r="W41" i="2" s="1"/>
  <c r="V32" i="2"/>
  <c r="V42" i="2" s="1"/>
  <c r="T36" i="2"/>
  <c r="T37" i="2" s="1"/>
  <c r="AA24" i="2"/>
  <c r="W31" i="2" l="1"/>
  <c r="W43" i="2"/>
  <c r="X44" i="2"/>
  <c r="Y28" i="2"/>
  <c r="T62" i="2"/>
  <c r="U34" i="2" s="1"/>
  <c r="U35" i="2" s="1"/>
  <c r="U36" i="2" s="1"/>
  <c r="U37" i="2" s="1"/>
  <c r="T38" i="2"/>
  <c r="T50" i="2" s="1"/>
  <c r="X26" i="2"/>
  <c r="X41" i="2" s="1"/>
  <c r="W32" i="2"/>
  <c r="W42" i="2" s="1"/>
  <c r="X29" i="2"/>
  <c r="X45" i="2" s="1"/>
  <c r="X7" i="2"/>
  <c r="X27" i="2"/>
  <c r="Z20" i="2"/>
  <c r="Y23" i="2"/>
  <c r="Y25" i="2" s="1"/>
  <c r="Y21" i="2"/>
  <c r="AB24" i="2"/>
  <c r="Y44" i="2" l="1"/>
  <c r="Z28" i="2"/>
  <c r="X31" i="2"/>
  <c r="X32" i="2" s="1"/>
  <c r="X42" i="2" s="1"/>
  <c r="X43" i="2"/>
  <c r="U62" i="2"/>
  <c r="V34" i="2" s="1"/>
  <c r="V35" i="2" s="1"/>
  <c r="V36" i="2" s="1"/>
  <c r="V37" i="2" s="1"/>
  <c r="U38" i="2"/>
  <c r="U50" i="2" s="1"/>
  <c r="Y29" i="2"/>
  <c r="Y45" i="2" s="1"/>
  <c r="Y7" i="2"/>
  <c r="Y27" i="2"/>
  <c r="Y43" i="2" s="1"/>
  <c r="AA20" i="2"/>
  <c r="Z23" i="2"/>
  <c r="Z25" i="2" s="1"/>
  <c r="Z21" i="2"/>
  <c r="Y26" i="2"/>
  <c r="Y41" i="2" s="1"/>
  <c r="Z44" i="2" l="1"/>
  <c r="AA28" i="2"/>
  <c r="Z26" i="2"/>
  <c r="Z41" i="2" s="1"/>
  <c r="V62" i="2"/>
  <c r="W34" i="2" s="1"/>
  <c r="W35" i="2" s="1"/>
  <c r="W36" i="2" s="1"/>
  <c r="W37" i="2" s="1"/>
  <c r="V38" i="2"/>
  <c r="V50" i="2" s="1"/>
  <c r="AB20" i="2"/>
  <c r="AA23" i="2"/>
  <c r="AA25" i="2" s="1"/>
  <c r="AA21" i="2"/>
  <c r="Y31" i="2"/>
  <c r="Y32" i="2" s="1"/>
  <c r="Y42" i="2" s="1"/>
  <c r="Z29" i="2"/>
  <c r="Z45" i="2" s="1"/>
  <c r="Z7" i="2"/>
  <c r="Z27" i="2"/>
  <c r="Z31" i="2" l="1"/>
  <c r="Z32" i="2" s="1"/>
  <c r="Z42" i="2" s="1"/>
  <c r="Z43" i="2"/>
  <c r="AA44" i="2"/>
  <c r="AB28" i="2"/>
  <c r="W62" i="2"/>
  <c r="X34" i="2" s="1"/>
  <c r="X35" i="2" s="1"/>
  <c r="X36" i="2" s="1"/>
  <c r="X37" i="2" s="1"/>
  <c r="W38" i="2"/>
  <c r="W50" i="2" s="1"/>
  <c r="AA26" i="2"/>
  <c r="AA41" i="2" s="1"/>
  <c r="AA27" i="2"/>
  <c r="AA43" i="2" s="1"/>
  <c r="AA29" i="2"/>
  <c r="AA45" i="2" s="1"/>
  <c r="AA7" i="2"/>
  <c r="AB23" i="2"/>
  <c r="AB25" i="2" s="1"/>
  <c r="AB21" i="2"/>
  <c r="AB44" i="2" l="1"/>
  <c r="X62" i="2"/>
  <c r="Y34" i="2" s="1"/>
  <c r="Y35" i="2" s="1"/>
  <c r="Y36" i="2" s="1"/>
  <c r="Y37" i="2" s="1"/>
  <c r="X38" i="2"/>
  <c r="X50" i="2" s="1"/>
  <c r="AA31" i="2"/>
  <c r="AA32" i="2" s="1"/>
  <c r="AA42" i="2" s="1"/>
  <c r="AB29" i="2"/>
  <c r="AB45" i="2" s="1"/>
  <c r="AB7" i="2"/>
  <c r="AB27" i="2"/>
  <c r="AB26" i="2"/>
  <c r="AB41" i="2" s="1"/>
  <c r="AB31" i="2" l="1"/>
  <c r="AB32" i="2" s="1"/>
  <c r="AB42" i="2" s="1"/>
  <c r="AB43" i="2"/>
  <c r="Y62" i="2"/>
  <c r="Z34" i="2" s="1"/>
  <c r="Z35" i="2" s="1"/>
  <c r="Z36" i="2" s="1"/>
  <c r="Z37" i="2" s="1"/>
  <c r="Y38" i="2"/>
  <c r="Y50" i="2" s="1"/>
  <c r="Z62" i="2" l="1"/>
  <c r="AA34" i="2" s="1"/>
  <c r="AA35" i="2" s="1"/>
  <c r="AA36" i="2" s="1"/>
  <c r="AA37" i="2" s="1"/>
  <c r="Z38" i="2"/>
  <c r="Z50" i="2" s="1"/>
  <c r="AA62" i="2" l="1"/>
  <c r="AB34" i="2" s="1"/>
  <c r="AB35" i="2" s="1"/>
  <c r="AB36" i="2" s="1"/>
  <c r="AB37" i="2" s="1"/>
  <c r="AA38" i="2"/>
  <c r="AA50" i="2" s="1"/>
  <c r="AB62" i="2" l="1"/>
  <c r="AC37" i="2"/>
  <c r="AD37" i="2" s="1"/>
  <c r="AE37" i="2" s="1"/>
  <c r="AF37" i="2" s="1"/>
  <c r="AG37" i="2" s="1"/>
  <c r="AH37" i="2" s="1"/>
  <c r="AI37" i="2" s="1"/>
  <c r="AJ37" i="2" s="1"/>
  <c r="AK37" i="2" s="1"/>
  <c r="AL37" i="2" s="1"/>
  <c r="AM37" i="2" s="1"/>
  <c r="AN37" i="2" s="1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Y37" i="2" s="1"/>
  <c r="AZ37" i="2" s="1"/>
  <c r="BA37" i="2" s="1"/>
  <c r="BB37" i="2" s="1"/>
  <c r="BC37" i="2" s="1"/>
  <c r="BD37" i="2" s="1"/>
  <c r="BE37" i="2" s="1"/>
  <c r="BF37" i="2" s="1"/>
  <c r="BG37" i="2" s="1"/>
  <c r="BH37" i="2" s="1"/>
  <c r="BI37" i="2" s="1"/>
  <c r="BJ37" i="2" s="1"/>
  <c r="BK37" i="2" s="1"/>
  <c r="BL37" i="2" s="1"/>
  <c r="BM37" i="2" s="1"/>
  <c r="BN37" i="2" s="1"/>
  <c r="BO37" i="2" s="1"/>
  <c r="BP37" i="2" s="1"/>
  <c r="BQ37" i="2" s="1"/>
  <c r="BR37" i="2" s="1"/>
  <c r="BS37" i="2" s="1"/>
  <c r="BT37" i="2" s="1"/>
  <c r="BU37" i="2" s="1"/>
  <c r="BV37" i="2" s="1"/>
  <c r="BW37" i="2" s="1"/>
  <c r="BX37" i="2" s="1"/>
  <c r="BY37" i="2" s="1"/>
  <c r="BZ37" i="2" s="1"/>
  <c r="CA37" i="2" s="1"/>
  <c r="CB37" i="2" s="1"/>
  <c r="CC37" i="2" s="1"/>
  <c r="CD37" i="2" s="1"/>
  <c r="CE37" i="2" s="1"/>
  <c r="CF37" i="2" s="1"/>
  <c r="CG37" i="2" s="1"/>
  <c r="CH37" i="2" s="1"/>
  <c r="CI37" i="2" s="1"/>
  <c r="CJ37" i="2" s="1"/>
  <c r="CK37" i="2" s="1"/>
  <c r="CL37" i="2" s="1"/>
  <c r="CM37" i="2" s="1"/>
  <c r="CN37" i="2" s="1"/>
  <c r="CO37" i="2" s="1"/>
  <c r="CP37" i="2" s="1"/>
  <c r="CQ37" i="2" s="1"/>
  <c r="CR37" i="2" s="1"/>
  <c r="CS37" i="2" s="1"/>
  <c r="CT37" i="2" s="1"/>
  <c r="CU37" i="2" s="1"/>
  <c r="CV37" i="2" s="1"/>
  <c r="CW37" i="2" s="1"/>
  <c r="CX37" i="2" s="1"/>
  <c r="CY37" i="2" s="1"/>
  <c r="CZ37" i="2" s="1"/>
  <c r="DA37" i="2" s="1"/>
  <c r="DB37" i="2" s="1"/>
  <c r="DC37" i="2" s="1"/>
  <c r="DD37" i="2" s="1"/>
  <c r="DE37" i="2" s="1"/>
  <c r="DF37" i="2" s="1"/>
  <c r="DG37" i="2" s="1"/>
  <c r="DH37" i="2" s="1"/>
  <c r="DI37" i="2" s="1"/>
  <c r="DJ37" i="2" s="1"/>
  <c r="DK37" i="2" s="1"/>
  <c r="DL37" i="2" s="1"/>
  <c r="DM37" i="2" s="1"/>
  <c r="DN37" i="2" s="1"/>
  <c r="DO37" i="2" s="1"/>
  <c r="DP37" i="2" s="1"/>
  <c r="DQ37" i="2" s="1"/>
  <c r="DR37" i="2" s="1"/>
  <c r="DS37" i="2" s="1"/>
  <c r="DT37" i="2" s="1"/>
  <c r="DU37" i="2" s="1"/>
  <c r="DV37" i="2" s="1"/>
  <c r="DW37" i="2" s="1"/>
  <c r="DX37" i="2" s="1"/>
  <c r="DY37" i="2" s="1"/>
  <c r="DZ37" i="2" s="1"/>
  <c r="EA37" i="2" s="1"/>
  <c r="EB37" i="2" s="1"/>
  <c r="EC37" i="2" s="1"/>
  <c r="ED37" i="2" s="1"/>
  <c r="EE37" i="2" s="1"/>
  <c r="EF37" i="2" s="1"/>
  <c r="EG37" i="2" s="1"/>
  <c r="EH37" i="2" s="1"/>
  <c r="EI37" i="2" s="1"/>
  <c r="EJ37" i="2" s="1"/>
  <c r="EK37" i="2" s="1"/>
  <c r="EL37" i="2" s="1"/>
  <c r="EM37" i="2" s="1"/>
  <c r="EN37" i="2" s="1"/>
  <c r="EO37" i="2" s="1"/>
  <c r="EP37" i="2" s="1"/>
  <c r="EQ37" i="2" s="1"/>
  <c r="ER37" i="2" s="1"/>
  <c r="ES37" i="2" s="1"/>
  <c r="ET37" i="2" s="1"/>
  <c r="EU37" i="2" s="1"/>
  <c r="EV37" i="2" s="1"/>
  <c r="EW37" i="2" s="1"/>
  <c r="EX37" i="2" s="1"/>
  <c r="AE42" i="2" s="1"/>
  <c r="AE44" i="2" s="1"/>
  <c r="AE45" i="2" s="1"/>
  <c r="AE47" i="2" s="1"/>
  <c r="AB38" i="2"/>
  <c r="AB50" i="2" l="1"/>
</calcChain>
</file>

<file path=xl/sharedStrings.xml><?xml version="1.0" encoding="utf-8"?>
<sst xmlns="http://schemas.openxmlformats.org/spreadsheetml/2006/main" count="68" uniqueCount="62">
  <si>
    <t>Turbotax</t>
  </si>
  <si>
    <t>Credotkarma</t>
  </si>
  <si>
    <t>Products:</t>
  </si>
  <si>
    <t>Mailchimp</t>
  </si>
  <si>
    <t>Quickbooks</t>
  </si>
  <si>
    <t>Service</t>
  </si>
  <si>
    <t>Product</t>
  </si>
  <si>
    <t>Revenue</t>
  </si>
  <si>
    <t>Service COGS</t>
  </si>
  <si>
    <t>Product COGS</t>
  </si>
  <si>
    <t>Amortization</t>
  </si>
  <si>
    <t>COGS</t>
  </si>
  <si>
    <t>S&amp;M</t>
  </si>
  <si>
    <t>R&amp;D</t>
  </si>
  <si>
    <t>G&amp;A</t>
  </si>
  <si>
    <t>Operating Expenses</t>
  </si>
  <si>
    <t>Operating Income</t>
  </si>
  <si>
    <t>Interest Expenses</t>
  </si>
  <si>
    <t>Interest Income</t>
  </si>
  <si>
    <t>Pretax</t>
  </si>
  <si>
    <t>Taxes</t>
  </si>
  <si>
    <t>Net Income</t>
  </si>
  <si>
    <t>Gross Profit</t>
  </si>
  <si>
    <t>Gross Margin</t>
  </si>
  <si>
    <t>Operating Margin</t>
  </si>
  <si>
    <t>Product Rev. Y/Y</t>
  </si>
  <si>
    <t>Service Rev. Y/Y</t>
  </si>
  <si>
    <t>Revenue Y/Y</t>
  </si>
  <si>
    <t>CFFO</t>
  </si>
  <si>
    <t>CapEx</t>
  </si>
  <si>
    <t>FCF</t>
  </si>
  <si>
    <t>M&amp;A</t>
  </si>
  <si>
    <t>TAM Business $</t>
  </si>
  <si>
    <t>TAM Consumer $</t>
  </si>
  <si>
    <t xml:space="preserve">TAM Business </t>
  </si>
  <si>
    <t xml:space="preserve">TAM Consumer </t>
  </si>
  <si>
    <t xml:space="preserve">Business </t>
  </si>
  <si>
    <t xml:space="preserve">Consumer </t>
  </si>
  <si>
    <t>Business Penet.</t>
  </si>
  <si>
    <t>Consumer Penet.</t>
  </si>
  <si>
    <t>TAM Combined</t>
  </si>
  <si>
    <t>Cash</t>
  </si>
  <si>
    <t>Investments</t>
  </si>
  <si>
    <t>Total Cash</t>
  </si>
  <si>
    <t>Discount</t>
  </si>
  <si>
    <t>Terminal</t>
  </si>
  <si>
    <t>NPV</t>
  </si>
  <si>
    <t>Net Cash</t>
  </si>
  <si>
    <t>Value</t>
  </si>
  <si>
    <t>Price</t>
  </si>
  <si>
    <t>Shares</t>
  </si>
  <si>
    <t>EPS</t>
  </si>
  <si>
    <t>EPS Y/Y</t>
  </si>
  <si>
    <t>SBC</t>
  </si>
  <si>
    <t>Adj. FCF</t>
  </si>
  <si>
    <t>MC</t>
  </si>
  <si>
    <t>Net cash</t>
  </si>
  <si>
    <t>EV</t>
  </si>
  <si>
    <t>FCF Yield</t>
  </si>
  <si>
    <t>Debt</t>
  </si>
  <si>
    <t>Current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</si>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</sst>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165" fontId="0" fillId="0" borderId="0" xfId="0" applyNumberFormat="1"/>
    <xf numFmtId="4" fontId="0" fillId="0" borderId="0" xfId="0" applyNumberFormat="1"/>
    <xf numFmtId="3" fontId="0" fillId="0" borderId="0" xfId="1" applyNumberFormat="1" applyFon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604157</xdr:colOff>
      <xdr:row>2</xdr:row>
      <xdr:rowOff>185057</xdr:rowOff>
    </xdr:from>
    <xdr:to>
      <xdr:col>18</xdr:col>
      <xdr:colOff>5443</xdr:colOff>
      <xdr:row>51</xdr:row>
      <xdr:rowOff>130629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D1FBC3-84B2-9587-BA90-1127D74C6DEC}"/>
            </a:ext>
          </a:extLst>
        </xdr:cNvPr>
        <xdr:cNvCxnSpPr/>
      </xdr:nvCxnSpPr>
      <xdr:spPr>
        <a:xfrm flipH="1">
          <a:off x="11195957" y="566057"/>
          <a:ext cx="10886" cy="54700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66CC-384D-4220-95BC-1C281E607BF3}">
  <dimension ref="B3:G9"/>
  <sheetViews>
    <sheetView zoomScale="175" zoomScaleNormal="175" workbookViewId="0">
      <selection activeCell="G9" sqref="G9"/>
    </sheetView>
  </sheetViews>
  <sheetFormatPr defaultRowHeight="15" x14ac:dyDescent="0.25"/>
  <cols>
    <col min="2" max="2" width="12.42578125" bestFit="1" customWidth="1"/>
  </cols>
  <sheetData>
    <row r="3" spans="2:7" x14ac:dyDescent="0.25">
      <c r="B3" s="1" t="s">
        <v>2</v>
      </c>
      <c r="F3" t="s">
        <v>49</v>
      </c>
      <c r="G3">
        <v>536.70000000000005</v>
      </c>
    </row>
    <row r="4" spans="2:7" x14ac:dyDescent="0.25">
      <c r="B4" t="s">
        <v>0</v>
      </c>
      <c r="F4" t="s">
        <v>50</v>
      </c>
      <c r="G4" s="2">
        <f>+Sheet2!R39</f>
        <v>278.80500000000001</v>
      </c>
    </row>
    <row r="5" spans="2:7" x14ac:dyDescent="0.25">
      <c r="B5" t="s">
        <v>1</v>
      </c>
      <c r="F5" t="s">
        <v>55</v>
      </c>
      <c r="G5" s="2">
        <f>+G3*G4</f>
        <v>149634.64350000001</v>
      </c>
    </row>
    <row r="6" spans="2:7" x14ac:dyDescent="0.25">
      <c r="B6" t="s">
        <v>4</v>
      </c>
      <c r="F6" t="s">
        <v>56</v>
      </c>
      <c r="G6" s="2">
        <f>+Sheet2!AE43</f>
        <v>-1421</v>
      </c>
    </row>
    <row r="7" spans="2:7" x14ac:dyDescent="0.25">
      <c r="B7" t="s">
        <v>3</v>
      </c>
      <c r="F7" t="s">
        <v>57</v>
      </c>
      <c r="G7" s="2">
        <f>+G5-G6</f>
        <v>151055.64350000001</v>
      </c>
    </row>
    <row r="9" spans="2:7" x14ac:dyDescent="0.25">
      <c r="F9" t="s">
        <v>58</v>
      </c>
      <c r="G9" s="5">
        <f>+Sheet2!R56/Sheet1!G7</f>
        <v>2.653326884804539E-2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EBD5-2004-44D6-BED3-E894706610F7}">
  <dimension ref="B2:EX194"/>
  <sheetViews>
    <sheetView tabSelected="1" zoomScale="175" zoomScaleNormal="175" workbookViewId="0">
      <pane xSplit="2" ySplit="2" topLeftCell="T37" activePane="bottomRight" state="frozen"/>
      <selection pane="topRight" activeCell="C1" sqref="C1"/>
      <selection pane="bottomLeft" activeCell="A3" sqref="A3"/>
      <selection pane="bottomRight" activeCell="AE41" sqref="AE41"/>
    </sheetView>
  </sheetViews>
  <sheetFormatPr defaultRowHeight="15" x14ac:dyDescent="0.25"/>
  <cols>
    <col min="1" max="1" width="2.85546875" customWidth="1"/>
    <col min="2" max="2" width="18.85546875" bestFit="1" customWidth="1"/>
    <col min="31" max="31" width="9.85546875" customWidth="1"/>
  </cols>
  <sheetData>
    <row r="2" spans="2:28" x14ac:dyDescent="0.25">
      <c r="O2">
        <v>2022</v>
      </c>
      <c r="P2">
        <f>+O2+1</f>
        <v>2023</v>
      </c>
      <c r="Q2">
        <f>+P2+1</f>
        <v>2024</v>
      </c>
      <c r="R2">
        <f>+Q2+1</f>
        <v>2025</v>
      </c>
      <c r="S2">
        <f t="shared" ref="S2:AB2" si="0">+R2+1</f>
        <v>2026</v>
      </c>
      <c r="T2">
        <f t="shared" si="0"/>
        <v>2027</v>
      </c>
      <c r="U2">
        <f t="shared" si="0"/>
        <v>2028</v>
      </c>
      <c r="V2">
        <f t="shared" si="0"/>
        <v>2029</v>
      </c>
      <c r="W2">
        <f t="shared" si="0"/>
        <v>2030</v>
      </c>
      <c r="X2">
        <f t="shared" si="0"/>
        <v>2031</v>
      </c>
      <c r="Y2">
        <f t="shared" si="0"/>
        <v>2032</v>
      </c>
      <c r="Z2">
        <f t="shared" si="0"/>
        <v>2033</v>
      </c>
      <c r="AA2">
        <f t="shared" si="0"/>
        <v>2034</v>
      </c>
      <c r="AB2">
        <f t="shared" si="0"/>
        <v>2035</v>
      </c>
    </row>
    <row r="3" spans="2:28" s="2" customFormat="1" x14ac:dyDescent="0.25"/>
    <row r="4" spans="2:28" s="2" customFormat="1" x14ac:dyDescent="0.25">
      <c r="B4" s="2" t="s">
        <v>32</v>
      </c>
      <c r="R4" s="2">
        <v>186000</v>
      </c>
    </row>
    <row r="5" spans="2:28" s="2" customFormat="1" x14ac:dyDescent="0.25">
      <c r="B5" s="2" t="s">
        <v>33</v>
      </c>
      <c r="R5" s="2">
        <v>142000</v>
      </c>
    </row>
    <row r="6" spans="2:28" s="2" customFormat="1" x14ac:dyDescent="0.25">
      <c r="B6" s="2" t="s">
        <v>40</v>
      </c>
      <c r="R6" s="2">
        <f>+R5+R4</f>
        <v>328000</v>
      </c>
      <c r="S6" s="2">
        <f>+R6*1.005</f>
        <v>329639.99999999994</v>
      </c>
      <c r="T6" s="2">
        <f t="shared" ref="T6:AB6" si="1">+S6*1.005</f>
        <v>331288.1999999999</v>
      </c>
      <c r="U6" s="2">
        <f t="shared" si="1"/>
        <v>332944.64099999989</v>
      </c>
      <c r="V6" s="2">
        <f t="shared" si="1"/>
        <v>334609.36420499987</v>
      </c>
      <c r="W6" s="2">
        <f t="shared" si="1"/>
        <v>336282.41102602484</v>
      </c>
      <c r="X6" s="2">
        <f t="shared" si="1"/>
        <v>337963.82308115496</v>
      </c>
      <c r="Y6" s="2">
        <f t="shared" si="1"/>
        <v>339653.64219656069</v>
      </c>
      <c r="Z6" s="2">
        <f t="shared" si="1"/>
        <v>341351.91040754347</v>
      </c>
      <c r="AA6" s="2">
        <f t="shared" si="1"/>
        <v>343058.66995958117</v>
      </c>
      <c r="AB6" s="2">
        <f t="shared" si="1"/>
        <v>344773.96330937906</v>
      </c>
    </row>
    <row r="7" spans="2:28" s="5" customFormat="1" x14ac:dyDescent="0.25">
      <c r="R7" s="5">
        <f>+R21/R6</f>
        <v>5.7411585365853661E-2</v>
      </c>
      <c r="S7" s="5">
        <f>+S21/S6</f>
        <v>6.4625515714112375E-2</v>
      </c>
      <c r="T7" s="5">
        <f t="shared" ref="T7:AB7" si="2">+T21/T6</f>
        <v>7.1172383365903188E-2</v>
      </c>
      <c r="U7" s="5">
        <f t="shared" si="2"/>
        <v>7.8468395077351649E-2</v>
      </c>
      <c r="V7" s="5">
        <f t="shared" si="2"/>
        <v>8.5185207935652471E-2</v>
      </c>
      <c r="W7" s="5">
        <f t="shared" si="2"/>
        <v>9.253694340244939E-2</v>
      </c>
      <c r="X7" s="5">
        <f t="shared" si="2"/>
        <v>0.10058361903774948</v>
      </c>
      <c r="Y7" s="5">
        <f t="shared" si="2"/>
        <v>0.10939092570325208</v>
      </c>
      <c r="Z7" s="5">
        <f t="shared" si="2"/>
        <v>0.11903076384459825</v>
      </c>
      <c r="AA7" s="5">
        <f t="shared" si="2"/>
        <v>0.12958183046696714</v>
      </c>
      <c r="AB7" s="5">
        <f t="shared" si="2"/>
        <v>0.14113026159592815</v>
      </c>
    </row>
    <row r="8" spans="2:28" s="2" customFormat="1" x14ac:dyDescent="0.25"/>
    <row r="9" spans="2:28" s="2" customFormat="1" x14ac:dyDescent="0.25">
      <c r="B9" s="2" t="s">
        <v>34</v>
      </c>
      <c r="R9" s="2">
        <v>49</v>
      </c>
    </row>
    <row r="10" spans="2:28" s="2" customFormat="1" x14ac:dyDescent="0.25">
      <c r="B10" s="2" t="s">
        <v>35</v>
      </c>
      <c r="R10" s="2">
        <v>242</v>
      </c>
    </row>
    <row r="11" spans="2:28" s="2" customFormat="1" x14ac:dyDescent="0.25">
      <c r="B11" s="2" t="s">
        <v>36</v>
      </c>
      <c r="R11" s="2">
        <v>10</v>
      </c>
    </row>
    <row r="12" spans="2:28" s="2" customFormat="1" x14ac:dyDescent="0.25">
      <c r="B12" s="2" t="s">
        <v>37</v>
      </c>
      <c r="R12" s="2">
        <v>86</v>
      </c>
    </row>
    <row r="13" spans="2:28" s="4" customFormat="1" x14ac:dyDescent="0.25">
      <c r="B13" s="4" t="s">
        <v>38</v>
      </c>
      <c r="R13" s="4">
        <f>+R11/R9</f>
        <v>0.20408163265306123</v>
      </c>
    </row>
    <row r="14" spans="2:28" s="4" customFormat="1" x14ac:dyDescent="0.25">
      <c r="B14" s="4" t="s">
        <v>39</v>
      </c>
      <c r="R14" s="4">
        <f>+R12/R10</f>
        <v>0.35537190082644626</v>
      </c>
    </row>
    <row r="15" spans="2:28" s="2" customFormat="1" x14ac:dyDescent="0.25"/>
    <row r="16" spans="2:28" s="2" customFormat="1" x14ac:dyDescent="0.25"/>
    <row r="17" spans="2:28" s="2" customFormat="1" x14ac:dyDescent="0.25">
      <c r="O17" s="5"/>
      <c r="P17" s="5">
        <f>+P29/O29 -1</f>
        <v>-0.1095890410958904</v>
      </c>
      <c r="Q17" s="5">
        <f>+Q29/P29 -1</f>
        <v>9.0769230769230713E-2</v>
      </c>
      <c r="R17" s="5">
        <f>+R29/Q29 -1</f>
        <v>0.12905500705218609</v>
      </c>
    </row>
    <row r="18" spans="2:28" s="2" customFormat="1" x14ac:dyDescent="0.25">
      <c r="O18" s="5"/>
      <c r="P18" s="5">
        <f>+P29/P21</f>
        <v>9.0478841870824056E-2</v>
      </c>
      <c r="Q18" s="5">
        <f>+Q29/Q21</f>
        <v>8.7073994473441815E-2</v>
      </c>
      <c r="R18" s="5">
        <f>+R29/R21</f>
        <v>8.5019382932398704E-2</v>
      </c>
    </row>
    <row r="19" spans="2:28" s="2" customFormat="1" x14ac:dyDescent="0.25">
      <c r="B19" s="2" t="s">
        <v>5</v>
      </c>
      <c r="O19" s="2">
        <v>10979</v>
      </c>
      <c r="P19" s="2">
        <v>12398</v>
      </c>
      <c r="Q19" s="2">
        <v>13861</v>
      </c>
      <c r="R19" s="2">
        <v>16400</v>
      </c>
      <c r="S19" s="2">
        <f>+R19*1.15</f>
        <v>18860</v>
      </c>
      <c r="T19" s="2">
        <f>+S19*1.12</f>
        <v>21123.200000000001</v>
      </c>
      <c r="U19" s="2">
        <f>+T19*1.12</f>
        <v>23657.984000000004</v>
      </c>
      <c r="V19" s="2">
        <f>+U19*1.1</f>
        <v>26023.782400000007</v>
      </c>
      <c r="W19" s="2">
        <f t="shared" ref="W19:AB19" si="3">+V19*1.1</f>
        <v>28626.160640000009</v>
      </c>
      <c r="X19" s="2">
        <f t="shared" si="3"/>
        <v>31488.776704000011</v>
      </c>
      <c r="Y19" s="2">
        <f t="shared" si="3"/>
        <v>34637.654374400016</v>
      </c>
      <c r="Z19" s="2">
        <f t="shared" si="3"/>
        <v>38101.419811840024</v>
      </c>
      <c r="AA19" s="2">
        <f t="shared" si="3"/>
        <v>41911.561793024026</v>
      </c>
      <c r="AB19" s="2">
        <f t="shared" si="3"/>
        <v>46102.717972326434</v>
      </c>
    </row>
    <row r="20" spans="2:28" s="2" customFormat="1" x14ac:dyDescent="0.25">
      <c r="B20" s="2" t="s">
        <v>6</v>
      </c>
      <c r="O20" s="2">
        <v>1747</v>
      </c>
      <c r="P20" s="2">
        <v>1970</v>
      </c>
      <c r="Q20" s="2">
        <v>2424</v>
      </c>
      <c r="R20" s="2">
        <v>2431</v>
      </c>
      <c r="S20" s="2">
        <f>+R20*1.005</f>
        <v>2443.1549999999997</v>
      </c>
      <c r="T20" s="2">
        <f t="shared" ref="T20:AB20" si="4">+S20*1.005</f>
        <v>2455.3707749999994</v>
      </c>
      <c r="U20" s="2">
        <f t="shared" si="4"/>
        <v>2467.6476288749991</v>
      </c>
      <c r="V20" s="2">
        <f t="shared" si="4"/>
        <v>2479.9858670193739</v>
      </c>
      <c r="W20" s="2">
        <f t="shared" si="4"/>
        <v>2492.3857963544706</v>
      </c>
      <c r="X20" s="2">
        <f t="shared" si="4"/>
        <v>2504.8477253362425</v>
      </c>
      <c r="Y20" s="2">
        <f t="shared" si="4"/>
        <v>2517.3719639629235</v>
      </c>
      <c r="Z20" s="2">
        <f t="shared" si="4"/>
        <v>2529.9588237827379</v>
      </c>
      <c r="AA20" s="2">
        <f t="shared" si="4"/>
        <v>2542.6086179016515</v>
      </c>
      <c r="AB20" s="2">
        <f t="shared" si="4"/>
        <v>2555.3216609911597</v>
      </c>
    </row>
    <row r="21" spans="2:28" s="3" customFormat="1" x14ac:dyDescent="0.25">
      <c r="B21" s="3" t="s">
        <v>7</v>
      </c>
      <c r="N21" s="3">
        <f t="shared" ref="N21:O21" si="5">+N19+N20</f>
        <v>0</v>
      </c>
      <c r="O21" s="3">
        <f t="shared" si="5"/>
        <v>12726</v>
      </c>
      <c r="P21" s="3">
        <f>+P19+P20</f>
        <v>14368</v>
      </c>
      <c r="Q21" s="3">
        <f t="shared" ref="Q21:S21" si="6">+Q19+Q20</f>
        <v>16285</v>
      </c>
      <c r="R21" s="3">
        <f t="shared" si="6"/>
        <v>18831</v>
      </c>
      <c r="S21" s="3">
        <f t="shared" si="6"/>
        <v>21303.154999999999</v>
      </c>
      <c r="T21" s="3">
        <f t="shared" ref="T21" si="7">+T19+T20</f>
        <v>23578.570775</v>
      </c>
      <c r="U21" s="3">
        <f t="shared" ref="U21" si="8">+U19+U20</f>
        <v>26125.631628875002</v>
      </c>
      <c r="V21" s="3">
        <f t="shared" ref="V21" si="9">+V19+V20</f>
        <v>28503.768267019383</v>
      </c>
      <c r="W21" s="3">
        <f t="shared" ref="W21" si="10">+W19+W20</f>
        <v>31118.546436354482</v>
      </c>
      <c r="X21" s="3">
        <f t="shared" ref="X21" si="11">+X19+X20</f>
        <v>33993.624429336254</v>
      </c>
      <c r="Y21" s="3">
        <f t="shared" ref="Y21" si="12">+Y19+Y20</f>
        <v>37155.026338362935</v>
      </c>
      <c r="Z21" s="3">
        <f t="shared" ref="Z21" si="13">+Z19+Z20</f>
        <v>40631.378635622765</v>
      </c>
      <c r="AA21" s="3">
        <f t="shared" ref="AA21" si="14">+AA19+AA20</f>
        <v>44454.170410925675</v>
      </c>
      <c r="AB21" s="3">
        <f t="shared" ref="AB21" si="15">+AB19+AB20</f>
        <v>48658.039633317596</v>
      </c>
    </row>
    <row r="22" spans="2:28" s="2" customFormat="1" x14ac:dyDescent="0.25">
      <c r="B22" s="2" t="s">
        <v>8</v>
      </c>
      <c r="O22" s="2">
        <v>2197</v>
      </c>
      <c r="P22" s="2">
        <v>2909</v>
      </c>
      <c r="Q22" s="2">
        <v>3250</v>
      </c>
      <c r="R22" s="2">
        <v>3624</v>
      </c>
      <c r="S22" s="2">
        <f>+S19*0.22</f>
        <v>4149.2</v>
      </c>
      <c r="T22" s="2">
        <f t="shared" ref="T22:AA22" si="16">+T19*0.22</f>
        <v>4647.1040000000003</v>
      </c>
      <c r="U22" s="2">
        <f t="shared" si="16"/>
        <v>5204.7564800000009</v>
      </c>
      <c r="V22" s="2">
        <f t="shared" si="16"/>
        <v>5725.2321280000015</v>
      </c>
      <c r="W22" s="2">
        <f t="shared" si="16"/>
        <v>6297.7553408000022</v>
      </c>
      <c r="X22" s="2">
        <f t="shared" si="16"/>
        <v>6927.5308748800026</v>
      </c>
      <c r="Y22" s="2">
        <f t="shared" si="16"/>
        <v>7620.2839623680038</v>
      </c>
      <c r="Z22" s="2">
        <f t="shared" si="16"/>
        <v>8382.3123586048059</v>
      </c>
      <c r="AA22" s="2">
        <f t="shared" si="16"/>
        <v>9220.5435944652854</v>
      </c>
      <c r="AB22" s="2">
        <f t="shared" ref="AB22" si="17">+AB19*0.22</f>
        <v>10142.597953911816</v>
      </c>
    </row>
    <row r="23" spans="2:28" s="2" customFormat="1" x14ac:dyDescent="0.25">
      <c r="B23" s="2" t="s">
        <v>9</v>
      </c>
      <c r="O23" s="2">
        <v>69</v>
      </c>
      <c r="P23" s="2">
        <v>71</v>
      </c>
      <c r="Q23" s="2">
        <v>69</v>
      </c>
      <c r="R23" s="2">
        <v>68</v>
      </c>
      <c r="S23" s="2">
        <f>+S20*0.028</f>
        <v>68.408339999999995</v>
      </c>
      <c r="T23" s="2">
        <f t="shared" ref="T23:AA23" si="18">+T20*0.028</f>
        <v>68.750381699999991</v>
      </c>
      <c r="U23" s="2">
        <f t="shared" si="18"/>
        <v>69.094133608499973</v>
      </c>
      <c r="V23" s="2">
        <f t="shared" si="18"/>
        <v>69.439604276542468</v>
      </c>
      <c r="W23" s="2">
        <f t="shared" si="18"/>
        <v>69.786802297925178</v>
      </c>
      <c r="X23" s="2">
        <f t="shared" si="18"/>
        <v>70.135736309414796</v>
      </c>
      <c r="Y23" s="2">
        <f t="shared" si="18"/>
        <v>70.486414990961862</v>
      </c>
      <c r="Z23" s="2">
        <f t="shared" si="18"/>
        <v>70.838847065916667</v>
      </c>
      <c r="AA23" s="2">
        <f t="shared" si="18"/>
        <v>71.19304130124624</v>
      </c>
      <c r="AB23" s="2">
        <f t="shared" ref="AB23" si="19">+AB20*0.028</f>
        <v>71.549006507752466</v>
      </c>
    </row>
    <row r="24" spans="2:28" s="2" customFormat="1" x14ac:dyDescent="0.25">
      <c r="B24" s="2" t="s">
        <v>10</v>
      </c>
      <c r="O24" s="2">
        <v>140</v>
      </c>
      <c r="P24" s="2">
        <v>163</v>
      </c>
      <c r="Q24" s="2">
        <v>146</v>
      </c>
      <c r="R24" s="2">
        <v>156</v>
      </c>
      <c r="S24" s="2">
        <f>+R24+10</f>
        <v>166</v>
      </c>
      <c r="T24" s="2">
        <f t="shared" ref="T24:AB24" si="20">+S24+10</f>
        <v>176</v>
      </c>
      <c r="U24" s="2">
        <f t="shared" si="20"/>
        <v>186</v>
      </c>
      <c r="V24" s="2">
        <f t="shared" si="20"/>
        <v>196</v>
      </c>
      <c r="W24" s="2">
        <f t="shared" si="20"/>
        <v>206</v>
      </c>
      <c r="X24" s="2">
        <f t="shared" si="20"/>
        <v>216</v>
      </c>
      <c r="Y24" s="2">
        <f t="shared" si="20"/>
        <v>226</v>
      </c>
      <c r="Z24" s="2">
        <f t="shared" si="20"/>
        <v>236</v>
      </c>
      <c r="AA24" s="2">
        <f t="shared" si="20"/>
        <v>246</v>
      </c>
      <c r="AB24" s="2">
        <f t="shared" si="20"/>
        <v>256</v>
      </c>
    </row>
    <row r="25" spans="2:28" s="2" customFormat="1" x14ac:dyDescent="0.25">
      <c r="B25" s="2" t="s">
        <v>11</v>
      </c>
      <c r="N25" s="2">
        <f t="shared" ref="N25:S25" si="21">+N22+N23+N24</f>
        <v>0</v>
      </c>
      <c r="O25" s="2">
        <f t="shared" si="21"/>
        <v>2406</v>
      </c>
      <c r="P25" s="2">
        <f t="shared" si="21"/>
        <v>3143</v>
      </c>
      <c r="Q25" s="2">
        <f t="shared" si="21"/>
        <v>3465</v>
      </c>
      <c r="R25" s="2">
        <f t="shared" si="21"/>
        <v>3848</v>
      </c>
      <c r="S25" s="2">
        <f t="shared" si="21"/>
        <v>4383.6083399999998</v>
      </c>
      <c r="T25" s="2">
        <f t="shared" ref="T25:AB25" si="22">+T22+T23+T24</f>
        <v>4891.8543817</v>
      </c>
      <c r="U25" s="2">
        <f t="shared" si="22"/>
        <v>5459.8506136085007</v>
      </c>
      <c r="V25" s="2">
        <f t="shared" si="22"/>
        <v>5990.6717322765435</v>
      </c>
      <c r="W25" s="2">
        <f t="shared" si="22"/>
        <v>6573.5421430979277</v>
      </c>
      <c r="X25" s="2">
        <f t="shared" si="22"/>
        <v>7213.6666111894174</v>
      </c>
      <c r="Y25" s="2">
        <f t="shared" si="22"/>
        <v>7916.7703773589656</v>
      </c>
      <c r="Z25" s="2">
        <f t="shared" si="22"/>
        <v>8689.1512056707234</v>
      </c>
      <c r="AA25" s="2">
        <f t="shared" si="22"/>
        <v>9537.7366357665323</v>
      </c>
      <c r="AB25" s="2">
        <f t="shared" si="22"/>
        <v>10470.146960419568</v>
      </c>
    </row>
    <row r="26" spans="2:28" s="2" customFormat="1" x14ac:dyDescent="0.25">
      <c r="B26" s="2" t="s">
        <v>22</v>
      </c>
      <c r="N26" s="2">
        <f t="shared" ref="N26:O26" si="23">+N21-N25</f>
        <v>0</v>
      </c>
      <c r="O26" s="2">
        <f t="shared" si="23"/>
        <v>10320</v>
      </c>
      <c r="P26" s="2">
        <f>+P21-P25</f>
        <v>11225</v>
      </c>
      <c r="Q26" s="2">
        <f t="shared" ref="Q26:S26" si="24">+Q21-Q25</f>
        <v>12820</v>
      </c>
      <c r="R26" s="2">
        <f t="shared" si="24"/>
        <v>14983</v>
      </c>
      <c r="S26" s="2">
        <f t="shared" si="24"/>
        <v>16919.54666</v>
      </c>
      <c r="T26" s="2">
        <f t="shared" ref="T26" si="25">+T21-T25</f>
        <v>18686.716393300001</v>
      </c>
      <c r="U26" s="2">
        <f t="shared" ref="U26" si="26">+U21-U25</f>
        <v>20665.781015266501</v>
      </c>
      <c r="V26" s="2">
        <f t="shared" ref="V26" si="27">+V21-V25</f>
        <v>22513.096534742839</v>
      </c>
      <c r="W26" s="2">
        <f t="shared" ref="W26" si="28">+W21-W25</f>
        <v>24545.004293256556</v>
      </c>
      <c r="X26" s="2">
        <f t="shared" ref="X26" si="29">+X21-X25</f>
        <v>26779.957818146839</v>
      </c>
      <c r="Y26" s="2">
        <f t="shared" ref="Y26" si="30">+Y21-Y25</f>
        <v>29238.255961003968</v>
      </c>
      <c r="Z26" s="2">
        <f t="shared" ref="Z26" si="31">+Z21-Z25</f>
        <v>31942.227429952043</v>
      </c>
      <c r="AA26" s="2">
        <f t="shared" ref="AA26" si="32">+AA21-AA25</f>
        <v>34916.433775159145</v>
      </c>
      <c r="AB26" s="2">
        <f t="shared" ref="AB26" si="33">+AB21-AB25</f>
        <v>38187.89267289803</v>
      </c>
    </row>
    <row r="27" spans="2:28" s="2" customFormat="1" x14ac:dyDescent="0.25">
      <c r="B27" s="2" t="s">
        <v>12</v>
      </c>
      <c r="O27" s="2">
        <v>3526</v>
      </c>
      <c r="P27" s="2">
        <v>3762</v>
      </c>
      <c r="Q27" s="2">
        <v>4312</v>
      </c>
      <c r="R27" s="2">
        <v>5035</v>
      </c>
      <c r="S27" s="2">
        <f>+S21*0.265</f>
        <v>5645.3360750000002</v>
      </c>
      <c r="T27" s="2">
        <f t="shared" ref="T27:AB27" si="34">+T21*0.265</f>
        <v>6248.321255375</v>
      </c>
      <c r="U27" s="2">
        <f t="shared" si="34"/>
        <v>6923.292381651876</v>
      </c>
      <c r="V27" s="2">
        <f t="shared" si="34"/>
        <v>7553.4985907601367</v>
      </c>
      <c r="W27" s="2">
        <f t="shared" si="34"/>
        <v>8246.4148056339382</v>
      </c>
      <c r="X27" s="2">
        <f t="shared" si="34"/>
        <v>9008.3104737741087</v>
      </c>
      <c r="Y27" s="2">
        <f t="shared" si="34"/>
        <v>9846.0819796661781</v>
      </c>
      <c r="Z27" s="2">
        <f t="shared" si="34"/>
        <v>10767.315338440034</v>
      </c>
      <c r="AA27" s="2">
        <f t="shared" si="34"/>
        <v>11780.355158895305</v>
      </c>
      <c r="AB27" s="2">
        <f t="shared" si="34"/>
        <v>12894.380502829163</v>
      </c>
    </row>
    <row r="28" spans="2:28" s="2" customFormat="1" x14ac:dyDescent="0.25">
      <c r="B28" s="2" t="s">
        <v>13</v>
      </c>
      <c r="O28" s="2">
        <v>2347</v>
      </c>
      <c r="P28" s="2">
        <v>2539</v>
      </c>
      <c r="Q28" s="2">
        <v>2754</v>
      </c>
      <c r="R28" s="2">
        <v>2928</v>
      </c>
      <c r="S28" s="2">
        <f>+R28*1.05</f>
        <v>3074.4</v>
      </c>
      <c r="T28" s="2">
        <f t="shared" ref="T28:AB28" si="35">+S28*1.05</f>
        <v>3228.1200000000003</v>
      </c>
      <c r="U28" s="2">
        <f t="shared" si="35"/>
        <v>3389.5260000000003</v>
      </c>
      <c r="V28" s="2">
        <f t="shared" si="35"/>
        <v>3559.0023000000006</v>
      </c>
      <c r="W28" s="2">
        <f t="shared" si="35"/>
        <v>3736.9524150000007</v>
      </c>
      <c r="X28" s="2">
        <f t="shared" si="35"/>
        <v>3923.8000357500009</v>
      </c>
      <c r="Y28" s="2">
        <f t="shared" si="35"/>
        <v>4119.9900375375009</v>
      </c>
      <c r="Z28" s="2">
        <f t="shared" si="35"/>
        <v>4325.9895394143759</v>
      </c>
      <c r="AA28" s="2">
        <f t="shared" si="35"/>
        <v>4542.2890163850952</v>
      </c>
      <c r="AB28" s="2">
        <f t="shared" si="35"/>
        <v>4769.4034672043499</v>
      </c>
    </row>
    <row r="29" spans="2:28" s="2" customFormat="1" x14ac:dyDescent="0.25">
      <c r="B29" s="2" t="s">
        <v>14</v>
      </c>
      <c r="O29" s="2">
        <v>1460</v>
      </c>
      <c r="P29" s="2">
        <v>1300</v>
      </c>
      <c r="Q29" s="2">
        <v>1418</v>
      </c>
      <c r="R29" s="2">
        <v>1601</v>
      </c>
      <c r="S29" s="2">
        <f>+S21*0.085</f>
        <v>1810.7681749999999</v>
      </c>
      <c r="T29" s="2">
        <f t="shared" ref="T29:AB29" si="36">+T21*0.085</f>
        <v>2004.1785158750001</v>
      </c>
      <c r="U29" s="2">
        <f t="shared" si="36"/>
        <v>2220.6786884543753</v>
      </c>
      <c r="V29" s="2">
        <f t="shared" si="36"/>
        <v>2422.8203026966476</v>
      </c>
      <c r="W29" s="2">
        <f t="shared" si="36"/>
        <v>2645.0764470901313</v>
      </c>
      <c r="X29" s="2">
        <f t="shared" si="36"/>
        <v>2889.4580764935818</v>
      </c>
      <c r="Y29" s="2">
        <f t="shared" si="36"/>
        <v>3158.1772387608498</v>
      </c>
      <c r="Z29" s="2">
        <f t="shared" si="36"/>
        <v>3453.667184027935</v>
      </c>
      <c r="AA29" s="2">
        <f t="shared" si="36"/>
        <v>3778.6044849286827</v>
      </c>
      <c r="AB29" s="2">
        <f t="shared" si="36"/>
        <v>4135.9333688319957</v>
      </c>
    </row>
    <row r="30" spans="2:28" s="2" customFormat="1" x14ac:dyDescent="0.25">
      <c r="B30" s="2" t="s">
        <v>10</v>
      </c>
      <c r="O30" s="2">
        <v>416</v>
      </c>
      <c r="P30" s="2">
        <v>483</v>
      </c>
      <c r="Q30" s="2">
        <v>483</v>
      </c>
      <c r="R30" s="2">
        <v>481</v>
      </c>
      <c r="S30" s="2">
        <f>+R30-1</f>
        <v>480</v>
      </c>
      <c r="T30" s="2">
        <f t="shared" ref="T30:AB30" si="37">+S30-1</f>
        <v>479</v>
      </c>
      <c r="U30" s="2">
        <f t="shared" si="37"/>
        <v>478</v>
      </c>
      <c r="V30" s="2">
        <f t="shared" si="37"/>
        <v>477</v>
      </c>
      <c r="W30" s="2">
        <f t="shared" si="37"/>
        <v>476</v>
      </c>
      <c r="X30" s="2">
        <f t="shared" si="37"/>
        <v>475</v>
      </c>
      <c r="Y30" s="2">
        <f t="shared" si="37"/>
        <v>474</v>
      </c>
      <c r="Z30" s="2">
        <f t="shared" si="37"/>
        <v>473</v>
      </c>
      <c r="AA30" s="2">
        <f t="shared" si="37"/>
        <v>472</v>
      </c>
      <c r="AB30" s="2">
        <f t="shared" si="37"/>
        <v>471</v>
      </c>
    </row>
    <row r="31" spans="2:28" s="2" customFormat="1" x14ac:dyDescent="0.25">
      <c r="B31" s="2" t="s">
        <v>15</v>
      </c>
      <c r="N31" s="2">
        <f t="shared" ref="N31:O31" si="38">+N27+N28+N29+N30</f>
        <v>0</v>
      </c>
      <c r="O31" s="2">
        <f t="shared" si="38"/>
        <v>7749</v>
      </c>
      <c r="P31" s="2">
        <f>+P27+P28+P29+P30</f>
        <v>8084</v>
      </c>
      <c r="Q31" s="2">
        <f t="shared" ref="Q31:S31" si="39">+Q27+Q28+Q29+Q30</f>
        <v>8967</v>
      </c>
      <c r="R31" s="2">
        <f t="shared" si="39"/>
        <v>10045</v>
      </c>
      <c r="S31" s="2">
        <f t="shared" si="39"/>
        <v>11010.50425</v>
      </c>
      <c r="T31" s="2">
        <f t="shared" ref="T31" si="40">+T27+T28+T29+T30</f>
        <v>11959.619771250002</v>
      </c>
      <c r="U31" s="2">
        <f t="shared" ref="U31" si="41">+U27+U28+U29+U30</f>
        <v>13011.497070106252</v>
      </c>
      <c r="V31" s="2">
        <f t="shared" ref="V31" si="42">+V27+V28+V29+V30</f>
        <v>14012.321193456784</v>
      </c>
      <c r="W31" s="2">
        <f t="shared" ref="W31" si="43">+W27+W28+W29+W30</f>
        <v>15104.44366772407</v>
      </c>
      <c r="X31" s="2">
        <f t="shared" ref="X31" si="44">+X27+X28+X29+X30</f>
        <v>16296.568586017691</v>
      </c>
      <c r="Y31" s="2">
        <f t="shared" ref="Y31" si="45">+Y27+Y28+Y29+Y30</f>
        <v>17598.249255964529</v>
      </c>
      <c r="Z31" s="2">
        <f t="shared" ref="Z31" si="46">+Z27+Z28+Z29+Z30</f>
        <v>19019.972061882345</v>
      </c>
      <c r="AA31" s="2">
        <f t="shared" ref="AA31" si="47">+AA27+AA28+AA29+AA30</f>
        <v>20573.248660209083</v>
      </c>
      <c r="AB31" s="2">
        <f t="shared" ref="AB31" si="48">+AB27+AB28+AB29+AB30</f>
        <v>22270.71733886551</v>
      </c>
    </row>
    <row r="32" spans="2:28" s="2" customFormat="1" x14ac:dyDescent="0.25">
      <c r="B32" s="2" t="s">
        <v>16</v>
      </c>
      <c r="N32" s="2">
        <f t="shared" ref="N32:O32" si="49">+N26-N31</f>
        <v>0</v>
      </c>
      <c r="O32" s="2">
        <f t="shared" si="49"/>
        <v>2571</v>
      </c>
      <c r="P32" s="2">
        <f>+P26-P31</f>
        <v>3141</v>
      </c>
      <c r="Q32" s="2">
        <f t="shared" ref="Q32:S32" si="50">+Q26-Q31</f>
        <v>3853</v>
      </c>
      <c r="R32" s="2">
        <f t="shared" si="50"/>
        <v>4938</v>
      </c>
      <c r="S32" s="2">
        <f t="shared" si="50"/>
        <v>5909.04241</v>
      </c>
      <c r="T32" s="2">
        <f t="shared" ref="T32" si="51">+T26-T31</f>
        <v>6727.0966220499995</v>
      </c>
      <c r="U32" s="2">
        <f t="shared" ref="U32" si="52">+U26-U31</f>
        <v>7654.2839451602485</v>
      </c>
      <c r="V32" s="2">
        <f t="shared" ref="V32" si="53">+V26-V31</f>
        <v>8500.7753412860548</v>
      </c>
      <c r="W32" s="2">
        <f t="shared" ref="W32" si="54">+W26-W31</f>
        <v>9440.5606255324856</v>
      </c>
      <c r="X32" s="2">
        <f t="shared" ref="X32" si="55">+X26-X31</f>
        <v>10483.389232129148</v>
      </c>
      <c r="Y32" s="2">
        <f t="shared" ref="Y32" si="56">+Y26-Y31</f>
        <v>11640.006705039439</v>
      </c>
      <c r="Z32" s="2">
        <f t="shared" ref="Z32" si="57">+Z26-Z31</f>
        <v>12922.255368069698</v>
      </c>
      <c r="AA32" s="2">
        <f t="shared" ref="AA32" si="58">+AA26-AA31</f>
        <v>14343.185114950062</v>
      </c>
      <c r="AB32" s="2">
        <f t="shared" ref="AB32" si="59">+AB26-AB31</f>
        <v>15917.175334032519</v>
      </c>
    </row>
    <row r="33" spans="2:154" s="2" customFormat="1" x14ac:dyDescent="0.25">
      <c r="B33" s="2" t="s">
        <v>17</v>
      </c>
      <c r="O33" s="2">
        <v>81</v>
      </c>
      <c r="P33" s="2">
        <v>248</v>
      </c>
      <c r="Q33" s="2">
        <v>242</v>
      </c>
      <c r="R33" s="2">
        <v>247</v>
      </c>
      <c r="S33" s="2">
        <f>+R33*0.99</f>
        <v>244.53</v>
      </c>
      <c r="T33" s="2">
        <f t="shared" ref="T33:AB33" si="60">+S33*0.99</f>
        <v>242.0847</v>
      </c>
      <c r="U33" s="2">
        <f t="shared" si="60"/>
        <v>239.66385299999999</v>
      </c>
      <c r="V33" s="2">
        <f t="shared" si="60"/>
        <v>237.26721447</v>
      </c>
      <c r="W33" s="2">
        <f t="shared" si="60"/>
        <v>234.89454232529999</v>
      </c>
      <c r="X33" s="2">
        <f t="shared" si="60"/>
        <v>232.54559690204698</v>
      </c>
      <c r="Y33" s="2">
        <f t="shared" si="60"/>
        <v>230.2201409330265</v>
      </c>
      <c r="Z33" s="2">
        <f t="shared" si="60"/>
        <v>227.91793952369622</v>
      </c>
      <c r="AA33" s="2">
        <f t="shared" si="60"/>
        <v>225.63876012845927</v>
      </c>
      <c r="AB33" s="2">
        <f t="shared" si="60"/>
        <v>223.38237252717468</v>
      </c>
    </row>
    <row r="34" spans="2:154" s="2" customFormat="1" x14ac:dyDescent="0.25">
      <c r="B34" s="2" t="s">
        <v>18</v>
      </c>
      <c r="O34" s="2">
        <v>52</v>
      </c>
      <c r="P34" s="2">
        <v>96</v>
      </c>
      <c r="Q34" s="2">
        <v>162</v>
      </c>
      <c r="R34" s="2">
        <v>158</v>
      </c>
      <c r="S34" s="2">
        <f>+R62*0.04</f>
        <v>182.08</v>
      </c>
      <c r="T34" s="2">
        <f t="shared" ref="T34:AB34" si="61">+S62*0.04</f>
        <v>369.17095712000003</v>
      </c>
      <c r="U34" s="2">
        <f t="shared" si="61"/>
        <v>588.50480925344004</v>
      </c>
      <c r="V34" s="2">
        <f t="shared" si="61"/>
        <v>844.60480609867807</v>
      </c>
      <c r="W34" s="2">
        <f t="shared" si="61"/>
        <v>1136.0644199519495</v>
      </c>
      <c r="X34" s="2">
        <f t="shared" si="61"/>
        <v>1466.999796053042</v>
      </c>
      <c r="Y34" s="2">
        <f t="shared" si="61"/>
        <v>1841.9707858540066</v>
      </c>
      <c r="Z34" s="2">
        <f t="shared" si="61"/>
        <v>2266.0270210527401</v>
      </c>
      <c r="AA34" s="2">
        <f t="shared" si="61"/>
        <v>2744.7586834398994</v>
      </c>
      <c r="AB34" s="2">
        <f t="shared" si="61"/>
        <v>3284.3524446642678</v>
      </c>
    </row>
    <row r="35" spans="2:154" s="2" customFormat="1" x14ac:dyDescent="0.25">
      <c r="B35" s="2" t="s">
        <v>19</v>
      </c>
      <c r="N35" s="2">
        <f t="shared" ref="N35:O35" si="62">+N32-N33+N34</f>
        <v>0</v>
      </c>
      <c r="O35" s="2">
        <f t="shared" si="62"/>
        <v>2542</v>
      </c>
      <c r="P35" s="2">
        <f>+P32-P33+P34</f>
        <v>2989</v>
      </c>
      <c r="Q35" s="2">
        <f t="shared" ref="Q35:S35" si="63">+Q32-Q33+Q34</f>
        <v>3773</v>
      </c>
      <c r="R35" s="2">
        <f t="shared" si="63"/>
        <v>4849</v>
      </c>
      <c r="S35" s="2">
        <f t="shared" si="63"/>
        <v>5846.5924100000002</v>
      </c>
      <c r="T35" s="2">
        <f t="shared" ref="T35" si="64">+T32-T33+T34</f>
        <v>6854.1828791699991</v>
      </c>
      <c r="U35" s="2">
        <f t="shared" ref="U35" si="65">+U32-U33+U34</f>
        <v>8003.1249014136883</v>
      </c>
      <c r="V35" s="2">
        <f t="shared" ref="V35" si="66">+V32-V33+V34</f>
        <v>9108.1129329147316</v>
      </c>
      <c r="W35" s="2">
        <f t="shared" ref="W35" si="67">+W32-W33+W34</f>
        <v>10341.730503159135</v>
      </c>
      <c r="X35" s="2">
        <f t="shared" ref="X35" si="68">+X32-X33+X34</f>
        <v>11717.843431280142</v>
      </c>
      <c r="Y35" s="2">
        <f t="shared" ref="Y35" si="69">+Y32-Y33+Y34</f>
        <v>13251.757349960419</v>
      </c>
      <c r="Z35" s="2">
        <f t="shared" ref="Z35" si="70">+Z32-Z33+Z34</f>
        <v>14960.364449598741</v>
      </c>
      <c r="AA35" s="2">
        <f t="shared" ref="AA35" si="71">+AA32-AA33+AA34</f>
        <v>16862.305038261504</v>
      </c>
      <c r="AB35" s="2">
        <f t="shared" ref="AB35" si="72">+AB32-AB33+AB34</f>
        <v>18978.145406169613</v>
      </c>
    </row>
    <row r="36" spans="2:154" s="2" customFormat="1" x14ac:dyDescent="0.25">
      <c r="B36" s="2" t="s">
        <v>20</v>
      </c>
      <c r="O36" s="2">
        <v>476</v>
      </c>
      <c r="P36" s="2">
        <v>605</v>
      </c>
      <c r="Q36" s="2">
        <v>587</v>
      </c>
      <c r="R36" s="2">
        <v>965</v>
      </c>
      <c r="S36" s="2">
        <f>+S35*0.2</f>
        <v>1169.3184820000001</v>
      </c>
      <c r="T36" s="2">
        <f t="shared" ref="T36:AB36" si="73">+T35*0.2</f>
        <v>1370.8365758339999</v>
      </c>
      <c r="U36" s="2">
        <f t="shared" si="73"/>
        <v>1600.6249802827379</v>
      </c>
      <c r="V36" s="2">
        <f t="shared" si="73"/>
        <v>1821.6225865829465</v>
      </c>
      <c r="W36" s="2">
        <f t="shared" si="73"/>
        <v>2068.3461006318271</v>
      </c>
      <c r="X36" s="2">
        <f t="shared" si="73"/>
        <v>2343.5686862560283</v>
      </c>
      <c r="Y36" s="2">
        <f t="shared" si="73"/>
        <v>2650.3514699920838</v>
      </c>
      <c r="Z36" s="2">
        <f t="shared" si="73"/>
        <v>2992.0728899197484</v>
      </c>
      <c r="AA36" s="2">
        <f t="shared" si="73"/>
        <v>3372.4610076523009</v>
      </c>
      <c r="AB36" s="2">
        <f t="shared" si="73"/>
        <v>3795.629081233923</v>
      </c>
    </row>
    <row r="37" spans="2:154" s="3" customFormat="1" x14ac:dyDescent="0.25">
      <c r="B37" s="3" t="s">
        <v>21</v>
      </c>
      <c r="N37" s="3">
        <f t="shared" ref="N37:O37" si="74">+N35-N36</f>
        <v>0</v>
      </c>
      <c r="O37" s="3">
        <f t="shared" si="74"/>
        <v>2066</v>
      </c>
      <c r="P37" s="3">
        <f>+P35-P36</f>
        <v>2384</v>
      </c>
      <c r="Q37" s="3">
        <f t="shared" ref="Q37:S37" si="75">+Q35-Q36</f>
        <v>3186</v>
      </c>
      <c r="R37" s="3">
        <f t="shared" si="75"/>
        <v>3884</v>
      </c>
      <c r="S37" s="3">
        <f t="shared" si="75"/>
        <v>4677.2739280000005</v>
      </c>
      <c r="T37" s="3">
        <f t="shared" ref="T37" si="76">+T35-T36</f>
        <v>5483.3463033359994</v>
      </c>
      <c r="U37" s="3">
        <f t="shared" ref="U37" si="77">+U35-U36</f>
        <v>6402.4999211309505</v>
      </c>
      <c r="V37" s="3">
        <f t="shared" ref="V37" si="78">+V35-V36</f>
        <v>7286.4903463317851</v>
      </c>
      <c r="W37" s="3">
        <f t="shared" ref="W37" si="79">+W35-W36</f>
        <v>8273.3844025273083</v>
      </c>
      <c r="X37" s="3">
        <f t="shared" ref="X37" si="80">+X35-X36</f>
        <v>9374.2747450241131</v>
      </c>
      <c r="Y37" s="3">
        <f t="shared" ref="Y37" si="81">+Y35-Y36</f>
        <v>10601.405879968335</v>
      </c>
      <c r="Z37" s="3">
        <f t="shared" ref="Z37" si="82">+Z35-Z36</f>
        <v>11968.291559678994</v>
      </c>
      <c r="AA37" s="3">
        <f t="shared" ref="AA37" si="83">+AA35-AA36</f>
        <v>13489.844030609203</v>
      </c>
      <c r="AB37" s="3">
        <f t="shared" ref="AB37" si="84">+AB35-AB36</f>
        <v>15182.51632493569</v>
      </c>
      <c r="AC37" s="3">
        <f t="shared" ref="AC37:BH37" si="85">+AB37*(1+$AE41)</f>
        <v>15637.991814683761</v>
      </c>
      <c r="AD37" s="3">
        <f t="shared" si="85"/>
        <v>16107.131569124274</v>
      </c>
      <c r="AE37" s="3">
        <f t="shared" si="85"/>
        <v>16590.345516198002</v>
      </c>
      <c r="AF37" s="3">
        <f t="shared" si="85"/>
        <v>17088.055881683944</v>
      </c>
      <c r="AG37" s="3">
        <f t="shared" si="85"/>
        <v>17600.697558134463</v>
      </c>
      <c r="AH37" s="3">
        <f t="shared" si="85"/>
        <v>18128.718484878496</v>
      </c>
      <c r="AI37" s="3">
        <f t="shared" si="85"/>
        <v>18672.580039424851</v>
      </c>
      <c r="AJ37" s="3">
        <f t="shared" si="85"/>
        <v>19232.757440607598</v>
      </c>
      <c r="AK37" s="3">
        <f t="shared" si="85"/>
        <v>19809.740163825827</v>
      </c>
      <c r="AL37" s="3">
        <f t="shared" si="85"/>
        <v>20404.032368740602</v>
      </c>
      <c r="AM37" s="3">
        <f t="shared" si="85"/>
        <v>21016.153339802819</v>
      </c>
      <c r="AN37" s="3">
        <f t="shared" si="85"/>
        <v>21646.637939996905</v>
      </c>
      <c r="AO37" s="3">
        <f t="shared" si="85"/>
        <v>22296.037078196812</v>
      </c>
      <c r="AP37" s="3">
        <f t="shared" si="85"/>
        <v>22964.918190542718</v>
      </c>
      <c r="AQ37" s="3">
        <f t="shared" si="85"/>
        <v>23653.865736258998</v>
      </c>
      <c r="AR37" s="3">
        <f t="shared" si="85"/>
        <v>24363.481708346768</v>
      </c>
      <c r="AS37" s="3">
        <f t="shared" si="85"/>
        <v>25094.386159597172</v>
      </c>
      <c r="AT37" s="3">
        <f t="shared" si="85"/>
        <v>25847.217744385089</v>
      </c>
      <c r="AU37" s="3">
        <f t="shared" si="85"/>
        <v>26622.634276716642</v>
      </c>
      <c r="AV37" s="3">
        <f t="shared" si="85"/>
        <v>27421.313305018142</v>
      </c>
      <c r="AW37" s="3">
        <f t="shared" si="85"/>
        <v>28243.952704168689</v>
      </c>
      <c r="AX37" s="3">
        <f t="shared" si="85"/>
        <v>29091.271285293751</v>
      </c>
      <c r="AY37" s="3">
        <f t="shared" si="85"/>
        <v>29964.009423852563</v>
      </c>
      <c r="AZ37" s="3">
        <f t="shared" si="85"/>
        <v>30862.929706568142</v>
      </c>
      <c r="BA37" s="3">
        <f t="shared" si="85"/>
        <v>31788.817597765188</v>
      </c>
      <c r="BB37" s="3">
        <f t="shared" si="85"/>
        <v>32742.482125698145</v>
      </c>
      <c r="BC37" s="3">
        <f t="shared" si="85"/>
        <v>33724.756589469092</v>
      </c>
      <c r="BD37" s="3">
        <f t="shared" si="85"/>
        <v>34736.499287153165</v>
      </c>
      <c r="BE37" s="3">
        <f t="shared" si="85"/>
        <v>35778.594265767759</v>
      </c>
      <c r="BF37" s="3">
        <f t="shared" si="85"/>
        <v>36851.952093740794</v>
      </c>
      <c r="BG37" s="3">
        <f t="shared" si="85"/>
        <v>37957.510656553022</v>
      </c>
      <c r="BH37" s="3">
        <f t="shared" si="85"/>
        <v>39096.235976249613</v>
      </c>
      <c r="BI37" s="3">
        <f t="shared" ref="BI37:CN37" si="86">+BH37*(1+$AE41)</f>
        <v>40269.1230555371</v>
      </c>
      <c r="BJ37" s="3">
        <f t="shared" si="86"/>
        <v>41477.196747203212</v>
      </c>
      <c r="BK37" s="3">
        <f t="shared" si="86"/>
        <v>42721.512649619312</v>
      </c>
      <c r="BL37" s="3">
        <f t="shared" si="86"/>
        <v>44003.158029107894</v>
      </c>
      <c r="BM37" s="3">
        <f t="shared" si="86"/>
        <v>45323.252769981133</v>
      </c>
      <c r="BN37" s="3">
        <f t="shared" si="86"/>
        <v>46682.950353080567</v>
      </c>
      <c r="BO37" s="3">
        <f t="shared" si="86"/>
        <v>48083.438863672985</v>
      </c>
      <c r="BP37" s="3">
        <f t="shared" si="86"/>
        <v>49525.942029583173</v>
      </c>
      <c r="BQ37" s="3">
        <f t="shared" si="86"/>
        <v>51011.720290470672</v>
      </c>
      <c r="BR37" s="3">
        <f t="shared" si="86"/>
        <v>52542.07189918479</v>
      </c>
      <c r="BS37" s="3">
        <f t="shared" si="86"/>
        <v>54118.334056160333</v>
      </c>
      <c r="BT37" s="3">
        <f t="shared" si="86"/>
        <v>55741.884077845141</v>
      </c>
      <c r="BU37" s="3">
        <f t="shared" si="86"/>
        <v>57414.140600180493</v>
      </c>
      <c r="BV37" s="3">
        <f t="shared" si="86"/>
        <v>59136.564818185907</v>
      </c>
      <c r="BW37" s="3">
        <f t="shared" si="86"/>
        <v>60910.661762731484</v>
      </c>
      <c r="BX37" s="3">
        <f t="shared" si="86"/>
        <v>62737.981615613433</v>
      </c>
      <c r="BY37" s="3">
        <f t="shared" si="86"/>
        <v>64620.121064081839</v>
      </c>
      <c r="BZ37" s="3">
        <f t="shared" si="86"/>
        <v>66558.724696004298</v>
      </c>
      <c r="CA37" s="3">
        <f t="shared" si="86"/>
        <v>68555.486436884428</v>
      </c>
      <c r="CB37" s="3">
        <f t="shared" si="86"/>
        <v>70612.151029990957</v>
      </c>
      <c r="CC37" s="3">
        <f t="shared" si="86"/>
        <v>72730.515560890693</v>
      </c>
      <c r="CD37" s="3">
        <f t="shared" si="86"/>
        <v>74912.431027717423</v>
      </c>
      <c r="CE37" s="3">
        <f t="shared" si="86"/>
        <v>77159.803958548946</v>
      </c>
      <c r="CF37" s="3">
        <f t="shared" si="86"/>
        <v>79474.598077305418</v>
      </c>
      <c r="CG37" s="3">
        <f t="shared" si="86"/>
        <v>81858.836019624578</v>
      </c>
      <c r="CH37" s="3">
        <f t="shared" si="86"/>
        <v>84314.601100213316</v>
      </c>
      <c r="CI37" s="3">
        <f t="shared" si="86"/>
        <v>86844.039133219718</v>
      </c>
      <c r="CJ37" s="3">
        <f t="shared" si="86"/>
        <v>89449.36030721631</v>
      </c>
      <c r="CK37" s="3">
        <f t="shared" si="86"/>
        <v>92132.841116432799</v>
      </c>
      <c r="CL37" s="3">
        <f t="shared" si="86"/>
        <v>94896.826349925788</v>
      </c>
      <c r="CM37" s="3">
        <f t="shared" si="86"/>
        <v>97743.731140423566</v>
      </c>
      <c r="CN37" s="3">
        <f t="shared" si="86"/>
        <v>100676.04307463627</v>
      </c>
      <c r="CO37" s="3">
        <f t="shared" ref="CO37:DT37" si="87">+CN37*(1+$AE41)</f>
        <v>103696.32436687536</v>
      </c>
      <c r="CP37" s="3">
        <f t="shared" si="87"/>
        <v>106807.21409788162</v>
      </c>
      <c r="CQ37" s="3">
        <f t="shared" si="87"/>
        <v>110011.43052081807</v>
      </c>
      <c r="CR37" s="3">
        <f t="shared" si="87"/>
        <v>113311.77343644261</v>
      </c>
      <c r="CS37" s="3">
        <f t="shared" si="87"/>
        <v>116711.1266395359</v>
      </c>
      <c r="CT37" s="3">
        <f t="shared" si="87"/>
        <v>120212.46043872197</v>
      </c>
      <c r="CU37" s="3">
        <f t="shared" si="87"/>
        <v>123818.83425188363</v>
      </c>
      <c r="CV37" s="3">
        <f t="shared" si="87"/>
        <v>127533.39927944014</v>
      </c>
      <c r="CW37" s="3">
        <f t="shared" si="87"/>
        <v>131359.40125782334</v>
      </c>
      <c r="CX37" s="3">
        <f t="shared" si="87"/>
        <v>135300.18329555803</v>
      </c>
      <c r="CY37" s="3">
        <f t="shared" si="87"/>
        <v>139359.18879442479</v>
      </c>
      <c r="CZ37" s="3">
        <f t="shared" si="87"/>
        <v>143539.96445825754</v>
      </c>
      <c r="DA37" s="3">
        <f t="shared" si="87"/>
        <v>147846.16339200528</v>
      </c>
      <c r="DB37" s="3">
        <f t="shared" si="87"/>
        <v>152281.54829376546</v>
      </c>
      <c r="DC37" s="3">
        <f t="shared" si="87"/>
        <v>156849.99474257842</v>
      </c>
      <c r="DD37" s="3">
        <f t="shared" si="87"/>
        <v>161555.49458485577</v>
      </c>
      <c r="DE37" s="3">
        <f t="shared" si="87"/>
        <v>166402.15942240146</v>
      </c>
      <c r="DF37" s="3">
        <f t="shared" si="87"/>
        <v>171394.22420507349</v>
      </c>
      <c r="DG37" s="3">
        <f t="shared" si="87"/>
        <v>176536.05093122571</v>
      </c>
      <c r="DH37" s="3">
        <f t="shared" si="87"/>
        <v>181832.13245916247</v>
      </c>
      <c r="DI37" s="3">
        <f t="shared" si="87"/>
        <v>187287.09643293734</v>
      </c>
      <c r="DJ37" s="3">
        <f t="shared" si="87"/>
        <v>192905.70932592548</v>
      </c>
      <c r="DK37" s="3">
        <f t="shared" si="87"/>
        <v>198692.88060570325</v>
      </c>
      <c r="DL37" s="3">
        <f t="shared" si="87"/>
        <v>204653.66702387435</v>
      </c>
      <c r="DM37" s="3">
        <f t="shared" si="87"/>
        <v>210793.2770345906</v>
      </c>
      <c r="DN37" s="3">
        <f t="shared" si="87"/>
        <v>217117.07534562831</v>
      </c>
      <c r="DO37" s="3">
        <f t="shared" si="87"/>
        <v>223630.58760599716</v>
      </c>
      <c r="DP37" s="3">
        <f t="shared" si="87"/>
        <v>230339.50523417708</v>
      </c>
      <c r="DQ37" s="3">
        <f t="shared" si="87"/>
        <v>237249.6903912024</v>
      </c>
      <c r="DR37" s="3">
        <f t="shared" si="87"/>
        <v>244367.18110293848</v>
      </c>
      <c r="DS37" s="3">
        <f t="shared" si="87"/>
        <v>251698.19653602663</v>
      </c>
      <c r="DT37" s="3">
        <f t="shared" si="87"/>
        <v>259249.14243210744</v>
      </c>
      <c r="DU37" s="3">
        <f t="shared" ref="DU37:EX37" si="88">+DT37*(1+$AE41)</f>
        <v>267026.61670507066</v>
      </c>
      <c r="DV37" s="3">
        <f t="shared" si="88"/>
        <v>275037.41520622279</v>
      </c>
      <c r="DW37" s="3">
        <f t="shared" si="88"/>
        <v>283288.53766240948</v>
      </c>
      <c r="DX37" s="3">
        <f t="shared" si="88"/>
        <v>291787.19379228179</v>
      </c>
      <c r="DY37" s="3">
        <f t="shared" si="88"/>
        <v>300540.80960605026</v>
      </c>
      <c r="DZ37" s="3">
        <f t="shared" si="88"/>
        <v>309557.03389423178</v>
      </c>
      <c r="EA37" s="3">
        <f t="shared" si="88"/>
        <v>318843.74491105875</v>
      </c>
      <c r="EB37" s="3">
        <f t="shared" si="88"/>
        <v>328409.05725839053</v>
      </c>
      <c r="EC37" s="3">
        <f t="shared" si="88"/>
        <v>338261.32897614228</v>
      </c>
      <c r="ED37" s="3">
        <f t="shared" si="88"/>
        <v>348409.16884542658</v>
      </c>
      <c r="EE37" s="3">
        <f t="shared" si="88"/>
        <v>358861.44391078938</v>
      </c>
      <c r="EF37" s="3">
        <f t="shared" si="88"/>
        <v>369627.2872281131</v>
      </c>
      <c r="EG37" s="3">
        <f t="shared" si="88"/>
        <v>380716.10584495647</v>
      </c>
      <c r="EH37" s="3">
        <f t="shared" si="88"/>
        <v>392137.5890203052</v>
      </c>
      <c r="EI37" s="3">
        <f t="shared" si="88"/>
        <v>403901.71669091436</v>
      </c>
      <c r="EJ37" s="3">
        <f t="shared" si="88"/>
        <v>416018.76819164178</v>
      </c>
      <c r="EK37" s="3">
        <f t="shared" si="88"/>
        <v>428499.33123739104</v>
      </c>
      <c r="EL37" s="3">
        <f t="shared" si="88"/>
        <v>441354.31117451278</v>
      </c>
      <c r="EM37" s="3">
        <f t="shared" si="88"/>
        <v>454594.94050974818</v>
      </c>
      <c r="EN37" s="3">
        <f t="shared" si="88"/>
        <v>468232.78872504062</v>
      </c>
      <c r="EO37" s="3">
        <f t="shared" si="88"/>
        <v>482279.77238679182</v>
      </c>
      <c r="EP37" s="3">
        <f t="shared" si="88"/>
        <v>496748.16555839562</v>
      </c>
      <c r="EQ37" s="3">
        <f t="shared" si="88"/>
        <v>511650.61052514752</v>
      </c>
      <c r="ER37" s="3">
        <f t="shared" si="88"/>
        <v>527000.12884090201</v>
      </c>
      <c r="ES37" s="3">
        <f t="shared" si="88"/>
        <v>542810.13270612911</v>
      </c>
      <c r="ET37" s="3">
        <f t="shared" si="88"/>
        <v>559094.43668731302</v>
      </c>
      <c r="EU37" s="3">
        <f t="shared" si="88"/>
        <v>575867.2697879324</v>
      </c>
      <c r="EV37" s="3">
        <f t="shared" si="88"/>
        <v>593143.2878815704</v>
      </c>
      <c r="EW37" s="3">
        <f t="shared" si="88"/>
        <v>610937.58651801758</v>
      </c>
      <c r="EX37" s="3">
        <f t="shared" si="88"/>
        <v>629265.71411355818</v>
      </c>
    </row>
    <row r="38" spans="2:154" s="6" customFormat="1" x14ac:dyDescent="0.25">
      <c r="B38" s="6" t="s">
        <v>51</v>
      </c>
      <c r="R38" s="6">
        <f>+R37/R39</f>
        <v>13.930883592475027</v>
      </c>
      <c r="S38" s="6">
        <f>+S37/S39</f>
        <v>16.776147945696813</v>
      </c>
      <c r="T38" s="6">
        <f t="shared" ref="T38:AB38" si="89">+T37/T39</f>
        <v>19.667316953914025</v>
      </c>
      <c r="U38" s="6">
        <f t="shared" si="89"/>
        <v>22.964078553580283</v>
      </c>
      <c r="V38" s="6">
        <f t="shared" si="89"/>
        <v>26.13471905572635</v>
      </c>
      <c r="W38" s="6">
        <f t="shared" si="89"/>
        <v>29.674447741350793</v>
      </c>
      <c r="X38" s="6">
        <f t="shared" si="89"/>
        <v>33.623051039343316</v>
      </c>
      <c r="Y38" s="6">
        <f t="shared" si="89"/>
        <v>38.024446763753645</v>
      </c>
      <c r="Z38" s="6">
        <f t="shared" si="89"/>
        <v>42.927105179889146</v>
      </c>
      <c r="AA38" s="6">
        <f t="shared" si="89"/>
        <v>48.384512582662445</v>
      </c>
      <c r="AB38" s="6">
        <f t="shared" si="89"/>
        <v>54.455681658993527</v>
      </c>
    </row>
    <row r="39" spans="2:154" s="2" customFormat="1" x14ac:dyDescent="0.25">
      <c r="B39" s="2" t="s">
        <v>50</v>
      </c>
      <c r="R39" s="2">
        <v>278.80500000000001</v>
      </c>
      <c r="S39" s="2">
        <f>+R39+0</f>
        <v>278.80500000000001</v>
      </c>
      <c r="T39" s="2">
        <f t="shared" ref="T39:AB39" si="90">+S39+0</f>
        <v>278.80500000000001</v>
      </c>
      <c r="U39" s="2">
        <f t="shared" si="90"/>
        <v>278.80500000000001</v>
      </c>
      <c r="V39" s="2">
        <f t="shared" si="90"/>
        <v>278.80500000000001</v>
      </c>
      <c r="W39" s="2">
        <f t="shared" si="90"/>
        <v>278.80500000000001</v>
      </c>
      <c r="X39" s="2">
        <f t="shared" si="90"/>
        <v>278.80500000000001</v>
      </c>
      <c r="Y39" s="2">
        <f t="shared" si="90"/>
        <v>278.80500000000001</v>
      </c>
      <c r="Z39" s="2">
        <f t="shared" si="90"/>
        <v>278.80500000000001</v>
      </c>
      <c r="AA39" s="2">
        <f t="shared" si="90"/>
        <v>278.80500000000001</v>
      </c>
      <c r="AB39" s="2">
        <f t="shared" si="90"/>
        <v>278.80500000000001</v>
      </c>
    </row>
    <row r="40" spans="2:154" s="2" customFormat="1" x14ac:dyDescent="0.25">
      <c r="P40" s="7"/>
      <c r="Q40" s="7"/>
      <c r="R40" s="7"/>
      <c r="AD40" s="4" t="s">
        <v>44</v>
      </c>
      <c r="AE40" s="4">
        <v>0.1</v>
      </c>
    </row>
    <row r="41" spans="2:154" s="4" customFormat="1" x14ac:dyDescent="0.25">
      <c r="B41" s="4" t="s">
        <v>23</v>
      </c>
      <c r="O41" s="4">
        <f>+O26/O21</f>
        <v>0.81093823668081089</v>
      </c>
      <c r="P41" s="4">
        <f t="shared" ref="P41:R41" si="91">+P26/P21</f>
        <v>0.78125</v>
      </c>
      <c r="Q41" s="4">
        <f t="shared" si="91"/>
        <v>0.78722750997850788</v>
      </c>
      <c r="R41" s="4">
        <f t="shared" si="91"/>
        <v>0.7956560989857151</v>
      </c>
      <c r="S41" s="4">
        <f t="shared" ref="S41:AB41" si="92">+S26/S21</f>
        <v>0.79422727103098112</v>
      </c>
      <c r="T41" s="4">
        <f t="shared" si="92"/>
        <v>0.79252964785775915</v>
      </c>
      <c r="U41" s="4">
        <f t="shared" si="92"/>
        <v>0.79101555548329494</v>
      </c>
      <c r="V41" s="4">
        <f t="shared" si="92"/>
        <v>0.78982878066658579</v>
      </c>
      <c r="W41" s="4">
        <f t="shared" si="92"/>
        <v>0.78875805923189479</v>
      </c>
      <c r="X41" s="4">
        <f t="shared" si="92"/>
        <v>0.78779354269255053</v>
      </c>
      <c r="Y41" s="4">
        <f t="shared" si="92"/>
        <v>0.78692599205117986</v>
      </c>
      <c r="Z41" s="4">
        <f t="shared" si="92"/>
        <v>0.78614677873487959</v>
      </c>
      <c r="AA41" s="4">
        <f t="shared" si="92"/>
        <v>0.78544787704727015</v>
      </c>
      <c r="AB41" s="4">
        <f t="shared" si="92"/>
        <v>0.78482184980485015</v>
      </c>
      <c r="AD41" s="4" t="s">
        <v>45</v>
      </c>
      <c r="AE41" s="4">
        <v>0.03</v>
      </c>
    </row>
    <row r="42" spans="2:154" s="4" customFormat="1" x14ac:dyDescent="0.25">
      <c r="B42" s="4" t="s">
        <v>24</v>
      </c>
      <c r="O42" s="4">
        <f>+O32/O21</f>
        <v>0.20202734559170202</v>
      </c>
      <c r="P42" s="4">
        <f t="shared" ref="P42:R42" si="93">+P32/P21</f>
        <v>0.2186108017817372</v>
      </c>
      <c r="Q42" s="4">
        <f t="shared" si="93"/>
        <v>0.23659809640773719</v>
      </c>
      <c r="R42" s="4">
        <f t="shared" si="93"/>
        <v>0.2622271785884977</v>
      </c>
      <c r="S42" s="4">
        <f t="shared" ref="S42:AB42" si="94">+S32/S21</f>
        <v>0.27737874554262032</v>
      </c>
      <c r="T42" s="4">
        <f t="shared" si="94"/>
        <v>0.28530552959480637</v>
      </c>
      <c r="U42" s="4">
        <f t="shared" si="94"/>
        <v>0.29297986184190294</v>
      </c>
      <c r="V42" s="4">
        <f t="shared" si="94"/>
        <v>0.29823338660530635</v>
      </c>
      <c r="W42" s="4">
        <f t="shared" si="94"/>
        <v>0.3033740873739359</v>
      </c>
      <c r="X42" s="4">
        <f t="shared" si="94"/>
        <v>0.3083928062428688</v>
      </c>
      <c r="Y42" s="4">
        <f t="shared" si="94"/>
        <v>0.3132821545875481</v>
      </c>
      <c r="Z42" s="4">
        <f t="shared" si="94"/>
        <v>0.31803635027880556</v>
      </c>
      <c r="AA42" s="4">
        <f t="shared" si="94"/>
        <v>0.32265105798543664</v>
      </c>
      <c r="AB42" s="4">
        <f t="shared" si="94"/>
        <v>0.32712323500870266</v>
      </c>
      <c r="AD42" s="4" t="s">
        <v>46</v>
      </c>
      <c r="AE42" s="8">
        <f>NPV(AE40,S37:FF37)</f>
        <v>137706.08896399176</v>
      </c>
    </row>
    <row r="43" spans="2:154" s="4" customFormat="1" x14ac:dyDescent="0.25">
      <c r="B43" s="2" t="s">
        <v>12</v>
      </c>
      <c r="O43" s="4">
        <f>+O27/O$21</f>
        <v>0.27707056419927706</v>
      </c>
      <c r="P43" s="4">
        <f t="shared" ref="P43:R43" si="95">+P27/P$21</f>
        <v>0.26183184855233854</v>
      </c>
      <c r="Q43" s="4">
        <f t="shared" si="95"/>
        <v>0.2647835431378569</v>
      </c>
      <c r="R43" s="4">
        <f t="shared" si="95"/>
        <v>0.26737825925335884</v>
      </c>
      <c r="S43" s="4">
        <f t="shared" ref="S43:AB43" si="96">+S27/S$21</f>
        <v>0.26500000000000001</v>
      </c>
      <c r="T43" s="4">
        <f t="shared" si="96"/>
        <v>0.26500000000000001</v>
      </c>
      <c r="U43" s="4">
        <f t="shared" si="96"/>
        <v>0.26500000000000001</v>
      </c>
      <c r="V43" s="4">
        <f t="shared" si="96"/>
        <v>0.26500000000000001</v>
      </c>
      <c r="W43" s="4">
        <f t="shared" si="96"/>
        <v>0.26500000000000001</v>
      </c>
      <c r="X43" s="4">
        <f t="shared" si="96"/>
        <v>0.26500000000000001</v>
      </c>
      <c r="Y43" s="4">
        <f t="shared" si="96"/>
        <v>0.26500000000000001</v>
      </c>
      <c r="Z43" s="4">
        <f t="shared" si="96"/>
        <v>0.26500000000000001</v>
      </c>
      <c r="AA43" s="4">
        <f t="shared" si="96"/>
        <v>0.26500000000000001</v>
      </c>
      <c r="AB43" s="4">
        <f t="shared" si="96"/>
        <v>0.26500000000000001</v>
      </c>
      <c r="AD43" s="2" t="s">
        <v>47</v>
      </c>
      <c r="AE43" s="2">
        <f>+R62-R63</f>
        <v>-1421</v>
      </c>
    </row>
    <row r="44" spans="2:154" s="4" customFormat="1" x14ac:dyDescent="0.25">
      <c r="B44" s="2" t="s">
        <v>13</v>
      </c>
      <c r="O44" s="4">
        <f t="shared" ref="O44:R45" si="97">+O28/O$21</f>
        <v>0.18442558541568443</v>
      </c>
      <c r="P44" s="4">
        <f t="shared" si="97"/>
        <v>0.17671213808463251</v>
      </c>
      <c r="Q44" s="4">
        <f t="shared" si="97"/>
        <v>0.16911268038071844</v>
      </c>
      <c r="R44" s="4">
        <f t="shared" si="97"/>
        <v>0.1554882905846742</v>
      </c>
      <c r="S44" s="4">
        <f t="shared" ref="S44:AB44" si="98">+S28/S$21</f>
        <v>0.1443166516884471</v>
      </c>
      <c r="T44" s="4">
        <f t="shared" si="98"/>
        <v>0.13690906165621908</v>
      </c>
      <c r="U44" s="4">
        <f t="shared" si="98"/>
        <v>0.1297394852744449</v>
      </c>
      <c r="V44" s="4">
        <f t="shared" si="98"/>
        <v>0.12486076460697253</v>
      </c>
      <c r="W44" s="4">
        <f t="shared" si="98"/>
        <v>0.12008762757100624</v>
      </c>
      <c r="X44" s="4">
        <f t="shared" si="98"/>
        <v>0.11542752800327433</v>
      </c>
      <c r="Y44" s="4">
        <f t="shared" si="98"/>
        <v>0.11088647872343371</v>
      </c>
      <c r="Z44" s="4">
        <f t="shared" si="98"/>
        <v>0.10646917935542678</v>
      </c>
      <c r="AA44" s="4">
        <f t="shared" si="98"/>
        <v>0.10217914257306035</v>
      </c>
      <c r="AB44" s="4">
        <f t="shared" si="98"/>
        <v>9.8018816687768878E-2</v>
      </c>
      <c r="AD44" s="2" t="s">
        <v>48</v>
      </c>
      <c r="AE44" s="2">
        <f>+AE42+AE43</f>
        <v>136285.08896399176</v>
      </c>
    </row>
    <row r="45" spans="2:154" s="4" customFormat="1" x14ac:dyDescent="0.25">
      <c r="B45" s="2" t="s">
        <v>14</v>
      </c>
      <c r="O45" s="4">
        <f t="shared" si="97"/>
        <v>0.11472575829011472</v>
      </c>
      <c r="P45" s="4">
        <f t="shared" si="97"/>
        <v>9.0478841870824056E-2</v>
      </c>
      <c r="Q45" s="4">
        <f t="shared" si="97"/>
        <v>8.7073994473441815E-2</v>
      </c>
      <c r="R45" s="4">
        <f t="shared" si="97"/>
        <v>8.5019382932398704E-2</v>
      </c>
      <c r="S45" s="4">
        <f t="shared" ref="S45:AB45" si="99">+S29/S$21</f>
        <v>8.5000000000000006E-2</v>
      </c>
      <c r="T45" s="4">
        <f t="shared" si="99"/>
        <v>8.5000000000000006E-2</v>
      </c>
      <c r="U45" s="4">
        <f t="shared" si="99"/>
        <v>8.5000000000000006E-2</v>
      </c>
      <c r="V45" s="4">
        <f t="shared" si="99"/>
        <v>8.5000000000000006E-2</v>
      </c>
      <c r="W45" s="4">
        <f t="shared" si="99"/>
        <v>8.5000000000000006E-2</v>
      </c>
      <c r="X45" s="4">
        <f t="shared" si="99"/>
        <v>8.5000000000000006E-2</v>
      </c>
      <c r="Y45" s="4">
        <f t="shared" si="99"/>
        <v>8.5000000000000006E-2</v>
      </c>
      <c r="Z45" s="4">
        <f t="shared" si="99"/>
        <v>8.5000000000000006E-2</v>
      </c>
      <c r="AA45" s="4">
        <f t="shared" si="99"/>
        <v>8.5000000000000006E-2</v>
      </c>
      <c r="AB45" s="4">
        <f t="shared" si="99"/>
        <v>8.5000000000000006E-2</v>
      </c>
      <c r="AD45" s="2" t="s">
        <v>49</v>
      </c>
      <c r="AE45" s="2">
        <f>+AE44/AB39</f>
        <v>488.81866883302581</v>
      </c>
    </row>
    <row r="46" spans="2:154" s="4" customFormat="1" x14ac:dyDescent="0.25">
      <c r="AD46" s="4" t="s">
        <v>60</v>
      </c>
      <c r="AE46" s="9">
        <v>537</v>
      </c>
    </row>
    <row r="47" spans="2:154" s="4" customFormat="1" x14ac:dyDescent="0.25">
      <c r="B47" s="4" t="s">
        <v>26</v>
      </c>
      <c r="P47" s="4">
        <f t="shared" ref="P47:S49" si="100">+P19/O19 -1</f>
        <v>0.12924674378358691</v>
      </c>
      <c r="Q47" s="4">
        <f t="shared" si="100"/>
        <v>0.11800290369414412</v>
      </c>
      <c r="R47" s="4">
        <f t="shared" si="100"/>
        <v>0.18317581704061747</v>
      </c>
      <c r="S47" s="4">
        <f t="shared" si="100"/>
        <v>0.14999999999999991</v>
      </c>
      <c r="T47" s="4">
        <f t="shared" ref="T47:T49" si="101">+T19/S19 -1</f>
        <v>0.12000000000000011</v>
      </c>
      <c r="U47" s="4">
        <f t="shared" ref="U47:U49" si="102">+U19/T19 -1</f>
        <v>0.12000000000000011</v>
      </c>
      <c r="V47" s="4">
        <f t="shared" ref="V47:V49" si="103">+V19/U19 -1</f>
        <v>0.10000000000000009</v>
      </c>
      <c r="W47" s="4">
        <f t="shared" ref="W47:W49" si="104">+W19/V19 -1</f>
        <v>0.10000000000000009</v>
      </c>
      <c r="X47" s="4">
        <f t="shared" ref="X47:X49" si="105">+X19/W19 -1</f>
        <v>0.10000000000000009</v>
      </c>
      <c r="Y47" s="4">
        <f t="shared" ref="Y47:Y49" si="106">+Y19/X19 -1</f>
        <v>0.10000000000000009</v>
      </c>
      <c r="Z47" s="4">
        <f t="shared" ref="Z47:Z49" si="107">+Z19/Y19 -1</f>
        <v>0.10000000000000009</v>
      </c>
      <c r="AA47" s="4">
        <f t="shared" ref="AA47:AA49" si="108">+AA19/Z19 -1</f>
        <v>0.10000000000000009</v>
      </c>
      <c r="AB47" s="4">
        <f t="shared" ref="AB47:AB49" si="109">+AB19/AA19 -1</f>
        <v>0.10000000000000009</v>
      </c>
      <c r="AD47" s="4" t="s">
        <v>61</v>
      </c>
      <c r="AE47" s="4">
        <f>+AE45/AE46 -1</f>
        <v>-8.9723149286730308E-2</v>
      </c>
    </row>
    <row r="48" spans="2:154" s="4" customFormat="1" x14ac:dyDescent="0.25">
      <c r="B48" s="4" t="s">
        <v>25</v>
      </c>
      <c r="P48" s="4">
        <f t="shared" si="100"/>
        <v>0.1276473955352031</v>
      </c>
      <c r="Q48" s="4">
        <f t="shared" si="100"/>
        <v>0.23045685279187822</v>
      </c>
      <c r="R48" s="4">
        <f t="shared" si="100"/>
        <v>2.8877887788778533E-3</v>
      </c>
      <c r="S48" s="4">
        <f t="shared" si="100"/>
        <v>4.9999999999998934E-3</v>
      </c>
      <c r="T48" s="4">
        <f t="shared" si="101"/>
        <v>4.9999999999998934E-3</v>
      </c>
      <c r="U48" s="4">
        <f t="shared" si="102"/>
        <v>4.9999999999998934E-3</v>
      </c>
      <c r="V48" s="4">
        <f t="shared" si="103"/>
        <v>4.9999999999998934E-3</v>
      </c>
      <c r="W48" s="4">
        <f t="shared" si="104"/>
        <v>4.9999999999998934E-3</v>
      </c>
      <c r="X48" s="4">
        <f t="shared" si="105"/>
        <v>4.9999999999998934E-3</v>
      </c>
      <c r="Y48" s="4">
        <f t="shared" si="106"/>
        <v>4.9999999999998934E-3</v>
      </c>
      <c r="Z48" s="4">
        <f t="shared" si="107"/>
        <v>4.9999999999998934E-3</v>
      </c>
      <c r="AA48" s="4">
        <f t="shared" si="108"/>
        <v>4.9999999999998934E-3</v>
      </c>
      <c r="AB48" s="4">
        <f t="shared" si="109"/>
        <v>4.9999999999998934E-3</v>
      </c>
    </row>
    <row r="49" spans="2:28" s="4" customFormat="1" x14ac:dyDescent="0.25">
      <c r="B49" s="4" t="s">
        <v>27</v>
      </c>
      <c r="P49" s="4">
        <f t="shared" si="100"/>
        <v>0.1290271884331291</v>
      </c>
      <c r="Q49" s="4">
        <f t="shared" si="100"/>
        <v>0.13342149220489974</v>
      </c>
      <c r="R49" s="4">
        <f t="shared" si="100"/>
        <v>0.15634019035922631</v>
      </c>
      <c r="S49" s="4">
        <f t="shared" si="100"/>
        <v>0.13128113217566773</v>
      </c>
      <c r="T49" s="4">
        <f t="shared" si="101"/>
        <v>0.10681121059298504</v>
      </c>
      <c r="U49" s="4">
        <f t="shared" si="102"/>
        <v>0.10802439546402076</v>
      </c>
      <c r="V49" s="4">
        <f t="shared" si="103"/>
        <v>9.1026952837993003E-2</v>
      </c>
      <c r="W49" s="4">
        <f t="shared" si="104"/>
        <v>9.1734473310343345E-2</v>
      </c>
      <c r="X49" s="4">
        <f t="shared" si="105"/>
        <v>9.2391140404390448E-2</v>
      </c>
      <c r="Y49" s="4">
        <f t="shared" si="106"/>
        <v>9.299984812147355E-2</v>
      </c>
      <c r="Z49" s="4">
        <f t="shared" si="107"/>
        <v>9.3563445914461862E-2</v>
      </c>
      <c r="AA49" s="4">
        <f t="shared" si="108"/>
        <v>9.4084717370415571E-2</v>
      </c>
      <c r="AB49" s="4">
        <f t="shared" si="109"/>
        <v>9.4566363145058618E-2</v>
      </c>
    </row>
    <row r="50" spans="2:28" s="4" customFormat="1" x14ac:dyDescent="0.25">
      <c r="B50" s="4" t="s">
        <v>52</v>
      </c>
      <c r="S50" s="4">
        <f>+S38/R38 -1</f>
        <v>0.2042414850669414</v>
      </c>
      <c r="T50" s="4">
        <f t="shared" ref="T50:AB50" si="110">+T38/S38 -1</f>
        <v>0.17233807293400827</v>
      </c>
      <c r="U50" s="4">
        <f t="shared" si="110"/>
        <v>0.16762640310274568</v>
      </c>
      <c r="V50" s="4">
        <f t="shared" si="110"/>
        <v>0.13806957221245608</v>
      </c>
      <c r="W50" s="4">
        <f t="shared" si="110"/>
        <v>0.13544161994153359</v>
      </c>
      <c r="X50" s="4">
        <f t="shared" si="110"/>
        <v>0.13306408706943573</v>
      </c>
      <c r="Y50" s="4">
        <f t="shared" si="110"/>
        <v>0.13090411453916317</v>
      </c>
      <c r="Z50" s="4">
        <f t="shared" si="110"/>
        <v>0.12893437862740731</v>
      </c>
      <c r="AA50" s="4">
        <f t="shared" si="110"/>
        <v>0.1271319689483752</v>
      </c>
      <c r="AB50" s="4">
        <f t="shared" si="110"/>
        <v>0.12547752890883834</v>
      </c>
    </row>
    <row r="51" spans="2:28" s="2" customFormat="1" x14ac:dyDescent="0.25"/>
    <row r="52" spans="2:28" s="2" customFormat="1" x14ac:dyDescent="0.25">
      <c r="B52" s="2" t="s">
        <v>28</v>
      </c>
      <c r="O52" s="2">
        <v>3889</v>
      </c>
      <c r="P52" s="2">
        <v>5046</v>
      </c>
      <c r="Q52" s="2">
        <v>4884</v>
      </c>
      <c r="R52" s="2">
        <v>6207</v>
      </c>
    </row>
    <row r="53" spans="2:28" s="2" customFormat="1" x14ac:dyDescent="0.25">
      <c r="B53" s="2" t="s">
        <v>29</v>
      </c>
      <c r="O53" s="2">
        <f>229+24</f>
        <v>253</v>
      </c>
      <c r="P53" s="2">
        <f>260+47</f>
        <v>307</v>
      </c>
      <c r="Q53" s="2">
        <f>250+80</f>
        <v>330</v>
      </c>
      <c r="R53" s="2">
        <f>124+107</f>
        <v>231</v>
      </c>
    </row>
    <row r="54" spans="2:28" s="2" customFormat="1" x14ac:dyDescent="0.25">
      <c r="B54" s="2" t="s">
        <v>30</v>
      </c>
      <c r="O54" s="2">
        <f>+O52-O53</f>
        <v>3636</v>
      </c>
      <c r="P54" s="2">
        <f>+P52-P53</f>
        <v>4739</v>
      </c>
      <c r="Q54" s="2">
        <f>+Q52-Q53</f>
        <v>4554</v>
      </c>
      <c r="R54" s="2">
        <f>+R52-R53</f>
        <v>5976</v>
      </c>
    </row>
    <row r="55" spans="2:28" s="2" customFormat="1" x14ac:dyDescent="0.25">
      <c r="B55" s="2" t="s">
        <v>53</v>
      </c>
      <c r="P55" s="2">
        <v>1712</v>
      </c>
      <c r="Q55" s="2">
        <v>1940</v>
      </c>
      <c r="R55" s="2">
        <v>1968</v>
      </c>
    </row>
    <row r="56" spans="2:28" s="2" customFormat="1" x14ac:dyDescent="0.25">
      <c r="B56" s="2" t="s">
        <v>54</v>
      </c>
      <c r="P56" s="2">
        <f>+P54-P55</f>
        <v>3027</v>
      </c>
      <c r="Q56" s="2">
        <f>+Q54-Q55</f>
        <v>2614</v>
      </c>
      <c r="R56" s="2">
        <f>+R54-R55</f>
        <v>4008</v>
      </c>
    </row>
    <row r="57" spans="2:28" s="2" customFormat="1" x14ac:dyDescent="0.25"/>
    <row r="58" spans="2:28" s="2" customFormat="1" x14ac:dyDescent="0.25">
      <c r="B58" s="2" t="s">
        <v>31</v>
      </c>
      <c r="O58" s="2">
        <v>5682</v>
      </c>
      <c r="P58" s="2">
        <v>33</v>
      </c>
      <c r="Q58" s="2">
        <v>83</v>
      </c>
      <c r="R58" s="2">
        <v>184</v>
      </c>
    </row>
    <row r="59" spans="2:28" s="2" customFormat="1" x14ac:dyDescent="0.25"/>
    <row r="60" spans="2:28" s="2" customFormat="1" x14ac:dyDescent="0.25">
      <c r="B60" s="2" t="s">
        <v>41</v>
      </c>
      <c r="Q60" s="2">
        <v>3609</v>
      </c>
      <c r="R60" s="2">
        <v>2884</v>
      </c>
    </row>
    <row r="61" spans="2:28" s="2" customFormat="1" x14ac:dyDescent="0.25">
      <c r="B61" s="2" t="s">
        <v>42</v>
      </c>
      <c r="Q61" s="2">
        <v>465</v>
      </c>
      <c r="R61" s="2">
        <v>1668</v>
      </c>
    </row>
    <row r="62" spans="2:28" s="2" customFormat="1" x14ac:dyDescent="0.25">
      <c r="B62" s="2" t="s">
        <v>43</v>
      </c>
      <c r="Q62" s="2">
        <f>+Q60+Q61</f>
        <v>4074</v>
      </c>
      <c r="R62" s="2">
        <f>+R60+R61</f>
        <v>4552</v>
      </c>
      <c r="S62" s="2">
        <f>+R62+S37</f>
        <v>9229.2739280000005</v>
      </c>
      <c r="T62" s="2">
        <f t="shared" ref="T62:AB62" si="111">+S62+T37</f>
        <v>14712.620231336001</v>
      </c>
      <c r="U62" s="2">
        <f t="shared" si="111"/>
        <v>21115.120152466952</v>
      </c>
      <c r="V62" s="2">
        <f t="shared" si="111"/>
        <v>28401.610498798738</v>
      </c>
      <c r="W62" s="2">
        <f t="shared" si="111"/>
        <v>36674.994901326048</v>
      </c>
      <c r="X62" s="2">
        <f t="shared" si="111"/>
        <v>46049.269646350163</v>
      </c>
      <c r="Y62" s="2">
        <f t="shared" si="111"/>
        <v>56650.675526318497</v>
      </c>
      <c r="Z62" s="2">
        <f t="shared" si="111"/>
        <v>68618.967085997487</v>
      </c>
      <c r="AA62" s="2">
        <f t="shared" si="111"/>
        <v>82108.811116606696</v>
      </c>
      <c r="AB62" s="2">
        <f t="shared" si="111"/>
        <v>97291.32744154238</v>
      </c>
    </row>
    <row r="63" spans="2:28" s="2" customFormat="1" x14ac:dyDescent="0.25">
      <c r="B63" s="2" t="s">
        <v>59</v>
      </c>
      <c r="Q63" s="2">
        <f>499+5539</f>
        <v>6038</v>
      </c>
      <c r="R63" s="2">
        <v>5973</v>
      </c>
    </row>
    <row r="64" spans="2:28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2025-11-12T19:50:44Z</dcterms:created>
  <dcterms:modified xsi:type="dcterms:W3CDTF">2026-02-14T22:43:36Z</dcterms:modified>
</cp:coreProperties>
</file>