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6A265524-A08F-4B55-B876-0CBC44083F44}" xr6:coauthVersionLast="47" xr6:coauthVersionMax="47" xr10:uidLastSave="{00000000-0000-0000-0000-000000000000}"/>
  <bookViews>
    <workbookView xWindow="-28920" yWindow="-120" windowWidth="29040" windowHeight="15840" xr2:uid="{3433F68A-EEF4-43B4-AA0D-E01B25C6A92D}"/>
  </bookViews>
  <sheets>
    <sheet name="Sheet1" sheetId="1" r:id="rId1"/>
  </sheets>
  <definedNames>
    <definedName name="TR">Sheet1!$Z$25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" i="1" l="1"/>
  <c r="N34" i="1"/>
  <c r="O17" i="1"/>
  <c r="P17" i="1" s="1"/>
  <c r="Q17" i="1" s="1"/>
  <c r="R17" i="1" s="1"/>
  <c r="S17" i="1" s="1"/>
  <c r="T17" i="1" s="1"/>
  <c r="U17" i="1" s="1"/>
  <c r="V17" i="1" s="1"/>
  <c r="W17" i="1" s="1"/>
  <c r="O13" i="1"/>
  <c r="P13" i="1" s="1"/>
  <c r="Q13" i="1" s="1"/>
  <c r="R13" i="1" s="1"/>
  <c r="S13" i="1" s="1"/>
  <c r="T13" i="1" s="1"/>
  <c r="U13" i="1" s="1"/>
  <c r="V13" i="1" s="1"/>
  <c r="W13" i="1" s="1"/>
  <c r="O12" i="1"/>
  <c r="P12" i="1" s="1"/>
  <c r="Q12" i="1" s="1"/>
  <c r="R12" i="1" s="1"/>
  <c r="S12" i="1" s="1"/>
  <c r="T12" i="1" s="1"/>
  <c r="U12" i="1" s="1"/>
  <c r="V12" i="1" s="1"/>
  <c r="W12" i="1" s="1"/>
  <c r="O4" i="1"/>
  <c r="P4" i="1" s="1"/>
  <c r="Q4" i="1" s="1"/>
  <c r="R4" i="1" s="1"/>
  <c r="S4" i="1" s="1"/>
  <c r="T4" i="1" s="1"/>
  <c r="U4" i="1" s="1"/>
  <c r="V4" i="1" s="1"/>
  <c r="W4" i="1" s="1"/>
  <c r="O5" i="1"/>
  <c r="P5" i="1" s="1"/>
  <c r="Q5" i="1" s="1"/>
  <c r="R5" i="1" s="1"/>
  <c r="S5" i="1" s="1"/>
  <c r="T5" i="1" s="1"/>
  <c r="U5" i="1" s="1"/>
  <c r="V5" i="1" s="1"/>
  <c r="W5" i="1" s="1"/>
  <c r="O2" i="1"/>
  <c r="P2" i="1" s="1"/>
  <c r="Q2" i="1" s="1"/>
  <c r="R2" i="1" s="1"/>
  <c r="S2" i="1" s="1"/>
  <c r="T2" i="1" s="1"/>
  <c r="U2" i="1" s="1"/>
  <c r="V2" i="1" s="1"/>
  <c r="W2" i="1" s="1"/>
  <c r="M40" i="1"/>
  <c r="M41" i="1" s="1"/>
  <c r="N40" i="1"/>
  <c r="N41" i="1" s="1"/>
  <c r="M29" i="1"/>
  <c r="M35" i="1" s="1"/>
  <c r="N29" i="1"/>
  <c r="N35" i="1" s="1"/>
  <c r="K21" i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Z33" i="1" s="1"/>
  <c r="N15" i="1"/>
  <c r="O15" i="1" s="1"/>
  <c r="P15" i="1" s="1"/>
  <c r="Q15" i="1" s="1"/>
  <c r="R15" i="1" s="1"/>
  <c r="S15" i="1" s="1"/>
  <c r="T15" i="1" s="1"/>
  <c r="U15" i="1" s="1"/>
  <c r="V15" i="1" s="1"/>
  <c r="W15" i="1" s="1"/>
  <c r="M15" i="1"/>
  <c r="L15" i="1"/>
  <c r="K15" i="1"/>
  <c r="J15" i="1"/>
  <c r="N6" i="1"/>
  <c r="N8" i="1" s="1"/>
  <c r="N10" i="1" s="1"/>
  <c r="N14" i="1" s="1"/>
  <c r="M6" i="1"/>
  <c r="M8" i="1" s="1"/>
  <c r="M10" i="1" s="1"/>
  <c r="M14" i="1" s="1"/>
  <c r="M16" i="1" s="1"/>
  <c r="M18" i="1" s="1"/>
  <c r="M20" i="1" s="1"/>
  <c r="M25" i="1" s="1"/>
  <c r="J6" i="1"/>
  <c r="J8" i="1" s="1"/>
  <c r="J10" i="1" s="1"/>
  <c r="L6" i="1"/>
  <c r="L8" i="1" s="1"/>
  <c r="L10" i="1" s="1"/>
  <c r="L14" i="1" s="1"/>
  <c r="L16" i="1" s="1"/>
  <c r="L18" i="1" s="1"/>
  <c r="L20" i="1" s="1"/>
  <c r="L25" i="1" s="1"/>
  <c r="K6" i="1"/>
  <c r="K8" i="1" s="1"/>
  <c r="K10" i="1" s="1"/>
  <c r="K2" i="1"/>
  <c r="L2" i="1" s="1"/>
  <c r="M2" i="1" s="1"/>
  <c r="N2" i="1" s="1"/>
  <c r="O8" i="1" l="1"/>
  <c r="O9" i="1" s="1"/>
  <c r="W8" i="1"/>
  <c r="N30" i="1"/>
  <c r="M30" i="1"/>
  <c r="W9" i="1"/>
  <c r="W11" i="1"/>
  <c r="L22" i="1"/>
  <c r="O11" i="1"/>
  <c r="Z27" i="1"/>
  <c r="M22" i="1"/>
  <c r="O10" i="1"/>
  <c r="O24" i="1" s="1"/>
  <c r="W10" i="1"/>
  <c r="V8" i="1"/>
  <c r="U8" i="1"/>
  <c r="T8" i="1"/>
  <c r="S8" i="1"/>
  <c r="R8" i="1"/>
  <c r="Q8" i="1"/>
  <c r="P8" i="1"/>
  <c r="J14" i="1"/>
  <c r="J16" i="1" s="1"/>
  <c r="J18" i="1" s="1"/>
  <c r="J20" i="1" s="1"/>
  <c r="J24" i="1"/>
  <c r="K14" i="1"/>
  <c r="K16" i="1" s="1"/>
  <c r="K18" i="1" s="1"/>
  <c r="K20" i="1" s="1"/>
  <c r="K24" i="1"/>
  <c r="N24" i="1"/>
  <c r="M24" i="1"/>
  <c r="L24" i="1"/>
  <c r="N16" i="1"/>
  <c r="N18" i="1" s="1"/>
  <c r="N20" i="1" s="1"/>
  <c r="O14" i="1" l="1"/>
  <c r="O16" i="1" s="1"/>
  <c r="O18" i="1" s="1"/>
  <c r="T11" i="1"/>
  <c r="T9" i="1"/>
  <c r="T10" i="1" s="1"/>
  <c r="K25" i="1"/>
  <c r="K22" i="1"/>
  <c r="V9" i="1"/>
  <c r="V10" i="1" s="1"/>
  <c r="V11" i="1"/>
  <c r="O19" i="1"/>
  <c r="O20" i="1" s="1"/>
  <c r="P9" i="1"/>
  <c r="P10" i="1" s="1"/>
  <c r="P11" i="1"/>
  <c r="Q11" i="1"/>
  <c r="Q9" i="1"/>
  <c r="Q10" i="1" s="1"/>
  <c r="N25" i="1"/>
  <c r="N22" i="1"/>
  <c r="U11" i="1"/>
  <c r="U9" i="1"/>
  <c r="U10" i="1" s="1"/>
  <c r="J25" i="1"/>
  <c r="J22" i="1"/>
  <c r="R11" i="1"/>
  <c r="R9" i="1"/>
  <c r="R10" i="1" s="1"/>
  <c r="R14" i="1" s="1"/>
  <c r="R16" i="1" s="1"/>
  <c r="R18" i="1" s="1"/>
  <c r="S11" i="1"/>
  <c r="S9" i="1"/>
  <c r="S10" i="1" s="1"/>
  <c r="W14" i="1"/>
  <c r="W16" i="1" s="1"/>
  <c r="W18" i="1" s="1"/>
  <c r="W24" i="1"/>
  <c r="V14" i="1" l="1"/>
  <c r="V16" i="1" s="1"/>
  <c r="V18" i="1" s="1"/>
  <c r="V24" i="1"/>
  <c r="Q14" i="1"/>
  <c r="Q16" i="1" s="1"/>
  <c r="Q18" i="1" s="1"/>
  <c r="Q24" i="1"/>
  <c r="P14" i="1"/>
  <c r="P16" i="1" s="1"/>
  <c r="P18" i="1" s="1"/>
  <c r="P24" i="1"/>
  <c r="O25" i="1"/>
  <c r="O22" i="1"/>
  <c r="S24" i="1"/>
  <c r="S14" i="1"/>
  <c r="S16" i="1" s="1"/>
  <c r="S18" i="1" s="1"/>
  <c r="R19" i="1"/>
  <c r="R20" i="1" s="1"/>
  <c r="U14" i="1"/>
  <c r="U16" i="1" s="1"/>
  <c r="U18" i="1" s="1"/>
  <c r="U24" i="1"/>
  <c r="T14" i="1"/>
  <c r="T16" i="1" s="1"/>
  <c r="T18" i="1" s="1"/>
  <c r="T24" i="1"/>
  <c r="W19" i="1"/>
  <c r="W20" i="1" s="1"/>
  <c r="R24" i="1"/>
  <c r="V19" i="1"/>
  <c r="V20" i="1" s="1"/>
  <c r="W25" i="1" l="1"/>
  <c r="W22" i="1"/>
  <c r="X20" i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R25" i="1"/>
  <c r="R22" i="1"/>
  <c r="V25" i="1"/>
  <c r="V22" i="1"/>
  <c r="P19" i="1"/>
  <c r="P20" i="1" s="1"/>
  <c r="S19" i="1"/>
  <c r="S20" i="1" s="1"/>
  <c r="T19" i="1"/>
  <c r="T20" i="1" s="1"/>
  <c r="U19" i="1"/>
  <c r="U20" i="1" s="1"/>
  <c r="Q19" i="1"/>
  <c r="Q20" i="1" s="1"/>
  <c r="U25" i="1" l="1"/>
  <c r="U22" i="1"/>
  <c r="S25" i="1"/>
  <c r="S22" i="1"/>
  <c r="P25" i="1"/>
  <c r="P22" i="1"/>
  <c r="Z26" i="1"/>
  <c r="Z28" i="1" s="1"/>
  <c r="Z29" i="1" s="1"/>
  <c r="Z31" i="1" s="1"/>
  <c r="Q25" i="1"/>
  <c r="Q22" i="1"/>
  <c r="T25" i="1"/>
  <c r="T22" i="1"/>
</calcChain>
</file>

<file path=xl/sharedStrings.xml><?xml version="1.0" encoding="utf-8"?>
<sst xmlns="http://schemas.openxmlformats.org/spreadsheetml/2006/main" count="42" uniqueCount="42">
  <si>
    <t>Service</t>
  </si>
  <si>
    <t>Trade</t>
  </si>
  <si>
    <t>Other</t>
  </si>
  <si>
    <t>Change in contracts</t>
  </si>
  <si>
    <t>Total Revenue</t>
  </si>
  <si>
    <t>GOGS</t>
  </si>
  <si>
    <t>Gross Profit</t>
  </si>
  <si>
    <t>SG&amp;A</t>
  </si>
  <si>
    <t>Other Income</t>
  </si>
  <si>
    <t>Other Expense</t>
  </si>
  <si>
    <t>EBITDA</t>
  </si>
  <si>
    <t>D&amp;A</t>
  </si>
  <si>
    <t xml:space="preserve">EBIT </t>
  </si>
  <si>
    <t>Finance, net</t>
  </si>
  <si>
    <t>EBT</t>
  </si>
  <si>
    <t>Taxes</t>
  </si>
  <si>
    <t>Net Income</t>
  </si>
  <si>
    <t>Gross Margin</t>
  </si>
  <si>
    <t>Net Margin</t>
  </si>
  <si>
    <t>CFFO</t>
  </si>
  <si>
    <t>CapEx</t>
  </si>
  <si>
    <t>FCF</t>
  </si>
  <si>
    <t>Stocks</t>
  </si>
  <si>
    <t>EPS</t>
  </si>
  <si>
    <t>Investitionen</t>
  </si>
  <si>
    <t>Change in Cash</t>
  </si>
  <si>
    <t>PP&amp;E</t>
  </si>
  <si>
    <t>Intangible Assets</t>
  </si>
  <si>
    <t>Cash</t>
  </si>
  <si>
    <t>Debt</t>
  </si>
  <si>
    <t>NAV</t>
  </si>
  <si>
    <t>Discount</t>
  </si>
  <si>
    <t>Terminal</t>
  </si>
  <si>
    <t>NPV</t>
  </si>
  <si>
    <t>Net Cash</t>
  </si>
  <si>
    <t>Value</t>
  </si>
  <si>
    <t>Price</t>
  </si>
  <si>
    <t>Current</t>
  </si>
  <si>
    <t>MoS</t>
  </si>
  <si>
    <t>Mrkt Cap</t>
  </si>
  <si>
    <t>Dividend</t>
  </si>
  <si>
    <t>Dividend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</si>
</sst>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0" fillId="0" borderId="0" xfId="0" applyNumberFormat="1"/>
    <xf numFmtId="9" fontId="0" fillId="0" borderId="0" xfId="1" applyFont="1"/>
    <xf numFmtId="3" fontId="0" fillId="0" borderId="0" xfId="0" applyNumberFormat="1" applyFont="1"/>
    <xf numFmtId="4" fontId="0" fillId="0" borderId="0" xfId="0" applyNumberFormat="1" applyFont="1"/>
    <xf numFmtId="165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5953</xdr:colOff>
      <xdr:row>3</xdr:row>
      <xdr:rowOff>11906</xdr:rowOff>
    </xdr:from>
    <xdr:to>
      <xdr:col>14</xdr:col>
      <xdr:colOff>5953</xdr:colOff>
      <xdr:row>41</xdr:row>
      <xdr:rowOff>130969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94DFE5D-7888-6BA7-2501-5B86929B247A}"/>
            </a:ext>
          </a:extLst>
        </xdr:cNvPr>
        <xdr:cNvCxnSpPr/>
      </xdr:nvCxnSpPr>
      <xdr:spPr>
        <a:xfrm>
          <a:off x="8709422" y="636984"/>
          <a:ext cx="0" cy="732234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4F0B-D486-4A20-AA6C-2357E5945BAC}">
  <dimension ref="B2:CT41"/>
  <sheetViews>
    <sheetView tabSelected="1" zoomScale="160" zoomScaleNormal="16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Y13" sqref="X13:Y13"/>
    </sheetView>
  </sheetViews>
  <sheetFormatPr defaultRowHeight="16.5" x14ac:dyDescent="0.25"/>
  <cols>
    <col min="1" max="1" width="2.85546875" style="1" customWidth="1"/>
    <col min="2" max="2" width="18.42578125" style="1" bestFit="1" customWidth="1"/>
    <col min="3" max="16384" width="9.140625" style="1"/>
  </cols>
  <sheetData>
    <row r="2" spans="2:23" s="3" customFormat="1" x14ac:dyDescent="0.25">
      <c r="J2" s="3">
        <v>2019</v>
      </c>
      <c r="K2" s="3">
        <f>+J2+1</f>
        <v>2020</v>
      </c>
      <c r="L2" s="3">
        <f>+K2+1</f>
        <v>2021</v>
      </c>
      <c r="M2" s="3">
        <f>+L2+1</f>
        <v>2022</v>
      </c>
      <c r="N2" s="3">
        <f>+M2+1</f>
        <v>2023</v>
      </c>
      <c r="O2" s="3">
        <f t="shared" ref="O2:W2" si="0">+N2+1</f>
        <v>2024</v>
      </c>
      <c r="P2" s="3">
        <f t="shared" si="0"/>
        <v>2025</v>
      </c>
      <c r="Q2" s="3">
        <f t="shared" si="0"/>
        <v>2026</v>
      </c>
      <c r="R2" s="3">
        <f t="shared" si="0"/>
        <v>2027</v>
      </c>
      <c r="S2" s="3">
        <f t="shared" si="0"/>
        <v>2028</v>
      </c>
      <c r="T2" s="3">
        <f t="shared" si="0"/>
        <v>2029</v>
      </c>
      <c r="U2" s="3">
        <f t="shared" si="0"/>
        <v>2030</v>
      </c>
      <c r="V2" s="3">
        <f t="shared" si="0"/>
        <v>2031</v>
      </c>
      <c r="W2" s="3">
        <f t="shared" si="0"/>
        <v>2032</v>
      </c>
    </row>
    <row r="4" spans="2:23" x14ac:dyDescent="0.25">
      <c r="B4" s="1" t="s">
        <v>0</v>
      </c>
      <c r="J4" s="1">
        <v>304717</v>
      </c>
      <c r="K4" s="1">
        <v>375241</v>
      </c>
      <c r="L4" s="1">
        <v>402518</v>
      </c>
      <c r="M4" s="1">
        <v>405005</v>
      </c>
      <c r="N4" s="1">
        <v>430819</v>
      </c>
      <c r="O4" s="1">
        <f>+N4*1.05</f>
        <v>452359.95</v>
      </c>
      <c r="P4" s="1">
        <f t="shared" ref="P4:W4" si="1">+O4*1.05</f>
        <v>474977.94750000001</v>
      </c>
      <c r="Q4" s="1">
        <f t="shared" si="1"/>
        <v>498726.84487500001</v>
      </c>
      <c r="R4" s="1">
        <f t="shared" si="1"/>
        <v>523663.18711875001</v>
      </c>
      <c r="S4" s="1">
        <f t="shared" si="1"/>
        <v>549846.34647468757</v>
      </c>
      <c r="T4" s="1">
        <f t="shared" si="1"/>
        <v>577338.66379842197</v>
      </c>
      <c r="U4" s="1">
        <f t="shared" si="1"/>
        <v>606205.59698834305</v>
      </c>
      <c r="V4" s="1">
        <f t="shared" si="1"/>
        <v>636515.87683776021</v>
      </c>
      <c r="W4" s="1">
        <f t="shared" si="1"/>
        <v>668341.67067964829</v>
      </c>
    </row>
    <row r="5" spans="2:23" x14ac:dyDescent="0.25">
      <c r="B5" s="1" t="s">
        <v>1</v>
      </c>
      <c r="J5" s="1">
        <v>52899</v>
      </c>
      <c r="K5" s="1">
        <v>69027</v>
      </c>
      <c r="L5" s="1">
        <v>91171</v>
      </c>
      <c r="M5" s="1">
        <v>92637</v>
      </c>
      <c r="N5" s="1">
        <v>96082</v>
      </c>
      <c r="O5" s="1">
        <f>+N5*1.02</f>
        <v>98003.64</v>
      </c>
      <c r="P5" s="1">
        <f t="shared" ref="P5:W5" si="2">+O5*1.02</f>
        <v>99963.712799999994</v>
      </c>
      <c r="Q5" s="1">
        <f t="shared" si="2"/>
        <v>101962.987056</v>
      </c>
      <c r="R5" s="1">
        <f t="shared" si="2"/>
        <v>104002.24679711999</v>
      </c>
      <c r="S5" s="1">
        <f t="shared" si="2"/>
        <v>106082.29173306239</v>
      </c>
      <c r="T5" s="1">
        <f t="shared" si="2"/>
        <v>108203.93756772364</v>
      </c>
      <c r="U5" s="1">
        <f t="shared" si="2"/>
        <v>110368.01631907812</v>
      </c>
      <c r="V5" s="1">
        <f t="shared" si="2"/>
        <v>112575.37664545968</v>
      </c>
      <c r="W5" s="1">
        <f t="shared" si="2"/>
        <v>114826.88417836887</v>
      </c>
    </row>
    <row r="6" spans="2:23" x14ac:dyDescent="0.25">
      <c r="B6" s="1" t="s">
        <v>2</v>
      </c>
      <c r="J6" s="1">
        <f>595+1743</f>
        <v>2338</v>
      </c>
      <c r="K6" s="1">
        <f>440+1720</f>
        <v>2160</v>
      </c>
      <c r="L6" s="1">
        <f>262+1643</f>
        <v>1905</v>
      </c>
      <c r="M6" s="1">
        <f>154+2153</f>
        <v>2307</v>
      </c>
      <c r="N6" s="1">
        <f>658+6815</f>
        <v>7473</v>
      </c>
      <c r="O6" s="1">
        <v>5000</v>
      </c>
      <c r="P6" s="1">
        <v>5000</v>
      </c>
      <c r="Q6" s="1">
        <v>5000</v>
      </c>
      <c r="R6" s="1">
        <v>5000</v>
      </c>
      <c r="S6" s="1">
        <v>5000</v>
      </c>
      <c r="T6" s="1">
        <v>5000</v>
      </c>
      <c r="U6" s="1">
        <v>5000</v>
      </c>
      <c r="V6" s="1">
        <v>5000</v>
      </c>
      <c r="W6" s="1">
        <v>5000</v>
      </c>
    </row>
    <row r="7" spans="2:23" x14ac:dyDescent="0.25">
      <c r="B7" s="1" t="s">
        <v>3</v>
      </c>
      <c r="J7" s="1">
        <v>7274</v>
      </c>
      <c r="K7" s="1">
        <v>-1938</v>
      </c>
      <c r="L7" s="1">
        <v>-3580</v>
      </c>
      <c r="M7" s="1">
        <v>-4086</v>
      </c>
      <c r="N7" s="1">
        <v>-568</v>
      </c>
    </row>
    <row r="8" spans="2:23" s="2" customFormat="1" ht="15" x14ac:dyDescent="0.25">
      <c r="B8" s="2" t="s">
        <v>4</v>
      </c>
      <c r="J8" s="2">
        <f>+SUM(J4:J7)</f>
        <v>367228</v>
      </c>
      <c r="K8" s="2">
        <f>+SUM(K4:K7)</f>
        <v>444490</v>
      </c>
      <c r="L8" s="2">
        <f>+SUM(L4:L7)</f>
        <v>492014</v>
      </c>
      <c r="M8" s="2">
        <f>+SUM(M4:M7)</f>
        <v>495863</v>
      </c>
      <c r="N8" s="2">
        <f>+SUM(N4:N7)</f>
        <v>533806</v>
      </c>
      <c r="O8" s="2">
        <f>+SUM(O4:O7)</f>
        <v>555363.59</v>
      </c>
      <c r="P8" s="2">
        <f t="shared" ref="P8:W8" si="3">+SUM(P4:P7)</f>
        <v>579941.66029999999</v>
      </c>
      <c r="Q8" s="2">
        <f t="shared" si="3"/>
        <v>605689.83193099999</v>
      </c>
      <c r="R8" s="2">
        <f t="shared" si="3"/>
        <v>632665.43391587003</v>
      </c>
      <c r="S8" s="2">
        <f t="shared" si="3"/>
        <v>660928.63820774993</v>
      </c>
      <c r="T8" s="2">
        <f t="shared" si="3"/>
        <v>690542.60136614565</v>
      </c>
      <c r="U8" s="2">
        <f t="shared" si="3"/>
        <v>721573.61330742121</v>
      </c>
      <c r="V8" s="2">
        <f t="shared" si="3"/>
        <v>754091.25348321989</v>
      </c>
      <c r="W8" s="2">
        <f t="shared" si="3"/>
        <v>788168.55485801713</v>
      </c>
    </row>
    <row r="9" spans="2:23" x14ac:dyDescent="0.25">
      <c r="B9" s="1" t="s">
        <v>5</v>
      </c>
      <c r="J9" s="1">
        <v>119143</v>
      </c>
      <c r="K9" s="1">
        <v>149495</v>
      </c>
      <c r="L9" s="1">
        <v>162244</v>
      </c>
      <c r="M9" s="1">
        <v>154670</v>
      </c>
      <c r="N9" s="1">
        <v>161518</v>
      </c>
      <c r="O9" s="1">
        <f>+O8*0.3</f>
        <v>166609.07699999999</v>
      </c>
      <c r="P9" s="1">
        <f t="shared" ref="P9:W9" si="4">+P8*0.3</f>
        <v>173982.49808999998</v>
      </c>
      <c r="Q9" s="1">
        <f t="shared" si="4"/>
        <v>181706.94957929998</v>
      </c>
      <c r="R9" s="1">
        <f t="shared" si="4"/>
        <v>189799.630174761</v>
      </c>
      <c r="S9" s="1">
        <f t="shared" si="4"/>
        <v>198278.59146232498</v>
      </c>
      <c r="T9" s="1">
        <f t="shared" si="4"/>
        <v>207162.78040984369</v>
      </c>
      <c r="U9" s="1">
        <f t="shared" si="4"/>
        <v>216472.08399222637</v>
      </c>
      <c r="V9" s="1">
        <f t="shared" si="4"/>
        <v>226227.37604496596</v>
      </c>
      <c r="W9" s="1">
        <f t="shared" si="4"/>
        <v>236450.56645740513</v>
      </c>
    </row>
    <row r="10" spans="2:23" x14ac:dyDescent="0.25">
      <c r="B10" s="1" t="s">
        <v>6</v>
      </c>
      <c r="J10" s="1">
        <f>+J8-J9</f>
        <v>248085</v>
      </c>
      <c r="K10" s="1">
        <f>+K8-K9</f>
        <v>294995</v>
      </c>
      <c r="L10" s="1">
        <f>+L8-L9</f>
        <v>329770</v>
      </c>
      <c r="M10" s="1">
        <f>+M8-M9</f>
        <v>341193</v>
      </c>
      <c r="N10" s="1">
        <f>+N8-N9</f>
        <v>372288</v>
      </c>
      <c r="O10" s="1">
        <f>+O8-O9</f>
        <v>388754.51299999998</v>
      </c>
      <c r="P10" s="1">
        <f t="shared" ref="P10:W10" si="5">+P8-P9</f>
        <v>405959.16220999998</v>
      </c>
      <c r="Q10" s="1">
        <f t="shared" si="5"/>
        <v>423982.88235169998</v>
      </c>
      <c r="R10" s="1">
        <f t="shared" si="5"/>
        <v>442865.80374110903</v>
      </c>
      <c r="S10" s="1">
        <f t="shared" si="5"/>
        <v>462650.04674542497</v>
      </c>
      <c r="T10" s="1">
        <f t="shared" si="5"/>
        <v>483379.82095630199</v>
      </c>
      <c r="U10" s="1">
        <f t="shared" si="5"/>
        <v>505101.52931519481</v>
      </c>
      <c r="V10" s="1">
        <f t="shared" si="5"/>
        <v>527863.87743825396</v>
      </c>
      <c r="W10" s="1">
        <f t="shared" si="5"/>
        <v>551717.98840061203</v>
      </c>
    </row>
    <row r="11" spans="2:23" x14ac:dyDescent="0.25">
      <c r="B11" s="1" t="s">
        <v>7</v>
      </c>
      <c r="J11" s="1">
        <v>187991</v>
      </c>
      <c r="K11" s="1">
        <v>213038</v>
      </c>
      <c r="L11" s="1">
        <v>233440</v>
      </c>
      <c r="M11" s="1">
        <v>243640</v>
      </c>
      <c r="N11" s="1">
        <v>267710</v>
      </c>
      <c r="O11" s="1">
        <f>+O8*0.5</f>
        <v>277681.79499999998</v>
      </c>
      <c r="P11" s="1">
        <f t="shared" ref="P11:W11" si="6">+P8*0.5</f>
        <v>289970.83014999999</v>
      </c>
      <c r="Q11" s="1">
        <f t="shared" si="6"/>
        <v>302844.9159655</v>
      </c>
      <c r="R11" s="1">
        <f t="shared" si="6"/>
        <v>316332.71695793502</v>
      </c>
      <c r="S11" s="1">
        <f t="shared" si="6"/>
        <v>330464.31910387496</v>
      </c>
      <c r="T11" s="1">
        <f t="shared" si="6"/>
        <v>345271.30068307283</v>
      </c>
      <c r="U11" s="1">
        <f t="shared" si="6"/>
        <v>360786.80665371061</v>
      </c>
      <c r="V11" s="1">
        <f t="shared" si="6"/>
        <v>377045.62674160994</v>
      </c>
      <c r="W11" s="1">
        <f t="shared" si="6"/>
        <v>394084.27742900857</v>
      </c>
    </row>
    <row r="12" spans="2:23" x14ac:dyDescent="0.25">
      <c r="B12" s="1" t="s">
        <v>8</v>
      </c>
      <c r="J12" s="1">
        <v>19811</v>
      </c>
      <c r="K12" s="1">
        <v>12140</v>
      </c>
      <c r="L12" s="1">
        <v>13474</v>
      </c>
      <c r="M12" s="1">
        <v>16604</v>
      </c>
      <c r="N12" s="1">
        <v>12920</v>
      </c>
      <c r="O12" s="1">
        <f>+N12*1.01</f>
        <v>13049.2</v>
      </c>
      <c r="P12" s="1">
        <f t="shared" ref="P12:W13" si="7">+O12*1.01</f>
        <v>13179.692000000001</v>
      </c>
      <c r="Q12" s="1">
        <f t="shared" si="7"/>
        <v>13311.488920000002</v>
      </c>
      <c r="R12" s="1">
        <f t="shared" si="7"/>
        <v>13444.603809200002</v>
      </c>
      <c r="S12" s="1">
        <f t="shared" si="7"/>
        <v>13579.049847292003</v>
      </c>
      <c r="T12" s="1">
        <f t="shared" si="7"/>
        <v>13714.840345764922</v>
      </c>
      <c r="U12" s="1">
        <f t="shared" si="7"/>
        <v>13851.988749222572</v>
      </c>
      <c r="V12" s="1">
        <f t="shared" si="7"/>
        <v>13990.508636714798</v>
      </c>
      <c r="W12" s="1">
        <f t="shared" si="7"/>
        <v>14130.413723081945</v>
      </c>
    </row>
    <row r="13" spans="2:23" x14ac:dyDescent="0.25">
      <c r="B13" s="1" t="s">
        <v>9</v>
      </c>
      <c r="J13" s="1">
        <v>38098</v>
      </c>
      <c r="K13" s="1">
        <v>26811</v>
      </c>
      <c r="L13" s="1">
        <v>33344</v>
      </c>
      <c r="M13" s="1">
        <v>33928</v>
      </c>
      <c r="N13" s="1">
        <v>37098</v>
      </c>
      <c r="O13" s="1">
        <f>+N13*1.01</f>
        <v>37468.980000000003</v>
      </c>
      <c r="P13" s="1">
        <f t="shared" si="7"/>
        <v>37843.669800000003</v>
      </c>
      <c r="Q13" s="1">
        <f t="shared" si="7"/>
        <v>38222.106498000001</v>
      </c>
      <c r="R13" s="1">
        <f t="shared" si="7"/>
        <v>38604.327562980005</v>
      </c>
      <c r="S13" s="1">
        <f t="shared" si="7"/>
        <v>38990.370838609808</v>
      </c>
      <c r="T13" s="1">
        <f t="shared" si="7"/>
        <v>39380.274546995905</v>
      </c>
      <c r="U13" s="1">
        <f t="shared" si="7"/>
        <v>39774.077292465867</v>
      </c>
      <c r="V13" s="1">
        <f t="shared" si="7"/>
        <v>40171.818065390529</v>
      </c>
      <c r="W13" s="1">
        <f t="shared" si="7"/>
        <v>40573.536246044438</v>
      </c>
    </row>
    <row r="14" spans="2:23" x14ac:dyDescent="0.25">
      <c r="B14" s="1" t="s">
        <v>10</v>
      </c>
      <c r="J14" s="1">
        <f>+J10-J11+J12-J13</f>
        <v>41807</v>
      </c>
      <c r="K14" s="1">
        <f>+K10-K11+K12-K13</f>
        <v>67286</v>
      </c>
      <c r="L14" s="1">
        <f>+L10-L11+L12-L13</f>
        <v>76460</v>
      </c>
      <c r="M14" s="1">
        <f>+M10-M11+M12-M13</f>
        <v>80229</v>
      </c>
      <c r="N14" s="1">
        <f>+N10-N11+N12-N13</f>
        <v>80400</v>
      </c>
      <c r="O14" s="1">
        <f>+O10-O11+O12-O13</f>
        <v>86652.937999999995</v>
      </c>
      <c r="P14" s="1">
        <f t="shared" ref="P14:W14" si="8">+P10-P11+P12-P13</f>
        <v>91324.354259999978</v>
      </c>
      <c r="Q14" s="1">
        <f t="shared" si="8"/>
        <v>96227.348808199982</v>
      </c>
      <c r="R14" s="1">
        <f t="shared" si="8"/>
        <v>101373.36302939401</v>
      </c>
      <c r="S14" s="1">
        <f t="shared" si="8"/>
        <v>106774.40665023221</v>
      </c>
      <c r="T14" s="1">
        <f t="shared" si="8"/>
        <v>112443.08607199817</v>
      </c>
      <c r="U14" s="1">
        <f t="shared" si="8"/>
        <v>118392.63411824091</v>
      </c>
      <c r="V14" s="1">
        <f t="shared" si="8"/>
        <v>124636.94126796829</v>
      </c>
      <c r="W14" s="1">
        <f t="shared" si="8"/>
        <v>131190.58844864095</v>
      </c>
    </row>
    <row r="15" spans="2:23" x14ac:dyDescent="0.25">
      <c r="B15" s="1" t="s">
        <v>11</v>
      </c>
      <c r="J15" s="1">
        <f>28146+4673</f>
        <v>32819</v>
      </c>
      <c r="K15" s="1">
        <f>6033+32600</f>
        <v>38633</v>
      </c>
      <c r="L15" s="1">
        <f>27608+7399</f>
        <v>35007</v>
      </c>
      <c r="M15" s="1">
        <f>27252+7659</f>
        <v>34911</v>
      </c>
      <c r="N15" s="1">
        <f>25968+8627</f>
        <v>34595</v>
      </c>
      <c r="O15" s="1">
        <f>+N15*0.99</f>
        <v>34249.050000000003</v>
      </c>
      <c r="P15" s="1">
        <f t="shared" ref="P15:W15" si="9">+O15*0.99</f>
        <v>33906.559500000003</v>
      </c>
      <c r="Q15" s="1">
        <f t="shared" si="9"/>
        <v>33567.493905000003</v>
      </c>
      <c r="R15" s="1">
        <f t="shared" si="9"/>
        <v>33231.818965950006</v>
      </c>
      <c r="S15" s="1">
        <f t="shared" si="9"/>
        <v>32899.500776290508</v>
      </c>
      <c r="T15" s="1">
        <f t="shared" si="9"/>
        <v>32570.505768527604</v>
      </c>
      <c r="U15" s="1">
        <f t="shared" si="9"/>
        <v>32244.800710842326</v>
      </c>
      <c r="V15" s="1">
        <f t="shared" si="9"/>
        <v>31922.352703733904</v>
      </c>
      <c r="W15" s="1">
        <f t="shared" si="9"/>
        <v>31603.129176696566</v>
      </c>
    </row>
    <row r="16" spans="2:23" s="2" customFormat="1" ht="15" x14ac:dyDescent="0.25">
      <c r="B16" s="2" t="s">
        <v>12</v>
      </c>
      <c r="J16" s="2">
        <f>+J14-J15</f>
        <v>8988</v>
      </c>
      <c r="K16" s="2">
        <f>+K14-K15</f>
        <v>28653</v>
      </c>
      <c r="L16" s="2">
        <f>+L14-L15</f>
        <v>41453</v>
      </c>
      <c r="M16" s="2">
        <f>+M14-M15</f>
        <v>45318</v>
      </c>
      <c r="N16" s="2">
        <f>+N14-N15</f>
        <v>45805</v>
      </c>
      <c r="O16" s="2">
        <f>+O14-O15</f>
        <v>52403.887999999992</v>
      </c>
      <c r="P16" s="2">
        <f t="shared" ref="P16:W16" si="10">+P14-P15</f>
        <v>57417.794759999975</v>
      </c>
      <c r="Q16" s="2">
        <f t="shared" si="10"/>
        <v>62659.854903199979</v>
      </c>
      <c r="R16" s="2">
        <f t="shared" si="10"/>
        <v>68141.544063444002</v>
      </c>
      <c r="S16" s="2">
        <f t="shared" si="10"/>
        <v>73874.905873941694</v>
      </c>
      <c r="T16" s="2">
        <f t="shared" si="10"/>
        <v>79872.580303470575</v>
      </c>
      <c r="U16" s="2">
        <f t="shared" si="10"/>
        <v>86147.833407398575</v>
      </c>
      <c r="V16" s="2">
        <f t="shared" si="10"/>
        <v>92714.588564234378</v>
      </c>
      <c r="W16" s="2">
        <f t="shared" si="10"/>
        <v>99587.45927194439</v>
      </c>
    </row>
    <row r="17" spans="2:98" x14ac:dyDescent="0.25">
      <c r="B17" s="1" t="s">
        <v>13</v>
      </c>
      <c r="J17" s="1">
        <v>-2375</v>
      </c>
      <c r="K17" s="1">
        <v>-1927</v>
      </c>
      <c r="L17" s="1">
        <v>-4719</v>
      </c>
      <c r="M17" s="1">
        <v>-4077</v>
      </c>
      <c r="N17" s="1">
        <v>-6872</v>
      </c>
      <c r="O17" s="1">
        <f>+N17*1.05</f>
        <v>-7215.6</v>
      </c>
      <c r="P17" s="1">
        <f t="shared" ref="P17:W17" si="11">+O17*1.05</f>
        <v>-7576.380000000001</v>
      </c>
      <c r="Q17" s="1">
        <f t="shared" si="11"/>
        <v>-7955.1990000000014</v>
      </c>
      <c r="R17" s="1">
        <f t="shared" si="11"/>
        <v>-8352.958950000002</v>
      </c>
      <c r="S17" s="1">
        <f t="shared" si="11"/>
        <v>-8770.6068975000017</v>
      </c>
      <c r="T17" s="1">
        <f t="shared" si="11"/>
        <v>-9209.1372423750017</v>
      </c>
      <c r="U17" s="1">
        <f t="shared" si="11"/>
        <v>-9669.5941044937517</v>
      </c>
      <c r="V17" s="1">
        <f t="shared" si="11"/>
        <v>-10153.07380971844</v>
      </c>
      <c r="W17" s="1">
        <f t="shared" si="11"/>
        <v>-10660.727500204363</v>
      </c>
    </row>
    <row r="18" spans="2:98" x14ac:dyDescent="0.25">
      <c r="B18" s="1" t="s">
        <v>14</v>
      </c>
      <c r="J18" s="1">
        <f>+J16+J17</f>
        <v>6613</v>
      </c>
      <c r="K18" s="1">
        <f>+K16+K17</f>
        <v>26726</v>
      </c>
      <c r="L18" s="1">
        <f>+L16+L17</f>
        <v>36734</v>
      </c>
      <c r="M18" s="1">
        <f>+M16+M17</f>
        <v>41241</v>
      </c>
      <c r="N18" s="1">
        <f>+N16+N17</f>
        <v>38933</v>
      </c>
      <c r="O18" s="1">
        <f>+O16+O17</f>
        <v>45188.287999999993</v>
      </c>
      <c r="P18" s="1">
        <f t="shared" ref="P18:W18" si="12">+P16+P17</f>
        <v>49841.414759999971</v>
      </c>
      <c r="Q18" s="1">
        <f t="shared" si="12"/>
        <v>54704.655903199979</v>
      </c>
      <c r="R18" s="1">
        <f t="shared" si="12"/>
        <v>59788.585113444002</v>
      </c>
      <c r="S18" s="1">
        <f t="shared" si="12"/>
        <v>65104.298976441693</v>
      </c>
      <c r="T18" s="1">
        <f t="shared" si="12"/>
        <v>70663.443061095575</v>
      </c>
      <c r="U18" s="1">
        <f t="shared" si="12"/>
        <v>76478.239302904825</v>
      </c>
      <c r="V18" s="1">
        <f t="shared" si="12"/>
        <v>82561.514754515942</v>
      </c>
      <c r="W18" s="1">
        <f t="shared" si="12"/>
        <v>88926.731771740029</v>
      </c>
    </row>
    <row r="19" spans="2:98" x14ac:dyDescent="0.25">
      <c r="B19" s="1" t="s">
        <v>15</v>
      </c>
      <c r="J19" s="1">
        <v>6364</v>
      </c>
      <c r="K19" s="1">
        <v>5998</v>
      </c>
      <c r="L19" s="1">
        <v>14706</v>
      </c>
      <c r="M19" s="1">
        <v>12976</v>
      </c>
      <c r="N19" s="1">
        <v>12825</v>
      </c>
      <c r="O19" s="1">
        <f>+O18*0.3</f>
        <v>13556.486399999998</v>
      </c>
      <c r="P19" s="1">
        <f t="shared" ref="P19:W19" si="13">+P18*0.3</f>
        <v>14952.424427999991</v>
      </c>
      <c r="Q19" s="1">
        <f t="shared" si="13"/>
        <v>16411.396770959993</v>
      </c>
      <c r="R19" s="1">
        <f t="shared" si="13"/>
        <v>17936.5755340332</v>
      </c>
      <c r="S19" s="1">
        <f t="shared" si="13"/>
        <v>19531.289692932507</v>
      </c>
      <c r="T19" s="1">
        <f t="shared" si="13"/>
        <v>21199.03291832867</v>
      </c>
      <c r="U19" s="1">
        <f t="shared" si="13"/>
        <v>22943.471790871448</v>
      </c>
      <c r="V19" s="1">
        <f t="shared" si="13"/>
        <v>24768.454426354783</v>
      </c>
      <c r="W19" s="1">
        <f t="shared" si="13"/>
        <v>26678.019531522008</v>
      </c>
    </row>
    <row r="20" spans="2:98" s="2" customFormat="1" ht="15" x14ac:dyDescent="0.25">
      <c r="B20" s="2" t="s">
        <v>16</v>
      </c>
      <c r="J20" s="2">
        <f>+J18-J19</f>
        <v>249</v>
      </c>
      <c r="K20" s="2">
        <f>+K18-K19</f>
        <v>20728</v>
      </c>
      <c r="L20" s="2">
        <f>+L18-L19</f>
        <v>22028</v>
      </c>
      <c r="M20" s="2">
        <f>+M18-M19</f>
        <v>28265</v>
      </c>
      <c r="N20" s="2">
        <f>+N18-N19</f>
        <v>26108</v>
      </c>
      <c r="O20" s="2">
        <f>+O18-O19</f>
        <v>31631.801599999995</v>
      </c>
      <c r="P20" s="2">
        <f t="shared" ref="P20:W20" si="14">+P18-P19</f>
        <v>34888.990331999979</v>
      </c>
      <c r="Q20" s="2">
        <f t="shared" si="14"/>
        <v>38293.259132239982</v>
      </c>
      <c r="R20" s="2">
        <f t="shared" si="14"/>
        <v>41852.009579410806</v>
      </c>
      <c r="S20" s="2">
        <f t="shared" si="14"/>
        <v>45573.009283509185</v>
      </c>
      <c r="T20" s="2">
        <f t="shared" si="14"/>
        <v>49464.410142766908</v>
      </c>
      <c r="U20" s="2">
        <f t="shared" si="14"/>
        <v>53534.767512033373</v>
      </c>
      <c r="V20" s="2">
        <f t="shared" si="14"/>
        <v>57793.060328161155</v>
      </c>
      <c r="W20" s="2">
        <f t="shared" si="14"/>
        <v>62248.712240218025</v>
      </c>
      <c r="X20" s="2">
        <f>+W20*(1+TR)</f>
        <v>61626.225117815848</v>
      </c>
      <c r="Y20" s="2">
        <f>+X20*(1+TR)</f>
        <v>61009.962866637688</v>
      </c>
      <c r="Z20" s="2">
        <f>+Y20*(1+TR)</f>
        <v>60399.863237971309</v>
      </c>
      <c r="AA20" s="2">
        <f>+Z20*(1+TR)</f>
        <v>59795.864605591596</v>
      </c>
      <c r="AB20" s="2">
        <f>+AA20*(1+TR)</f>
        <v>59197.905959535681</v>
      </c>
      <c r="AC20" s="2">
        <f>+AB20*(1+TR)</f>
        <v>58605.926899940321</v>
      </c>
      <c r="AD20" s="2">
        <f>+AC20*(1+TR)</f>
        <v>58019.86763094092</v>
      </c>
      <c r="AE20" s="2">
        <f>+AD20*(1+TR)</f>
        <v>57439.66895463151</v>
      </c>
      <c r="AF20" s="2">
        <f>+AE20*(1+TR)</f>
        <v>56865.272265085194</v>
      </c>
      <c r="AG20" s="2">
        <f>+AF20*(1+TR)</f>
        <v>56296.619542434339</v>
      </c>
      <c r="AH20" s="2">
        <f>+AG20*(1+TR)</f>
        <v>55733.653347009997</v>
      </c>
      <c r="AI20" s="2">
        <f>+AH20*(1+TR)</f>
        <v>55176.316813539896</v>
      </c>
      <c r="AJ20" s="2">
        <f>+AI20*(1+TR)</f>
        <v>54624.5536454045</v>
      </c>
      <c r="AK20" s="2">
        <f>+AJ20*(1+TR)</f>
        <v>54078.308108950456</v>
      </c>
      <c r="AL20" s="2">
        <f>+AK20*(1+TR)</f>
        <v>53537.525027860953</v>
      </c>
      <c r="AM20" s="2">
        <f>+AL20*(1+TR)</f>
        <v>53002.149777582345</v>
      </c>
      <c r="AN20" s="2">
        <f>+AM20*(1+TR)</f>
        <v>52472.128279806522</v>
      </c>
      <c r="AO20" s="2">
        <f>+AN20*(1+TR)</f>
        <v>51947.406997008453</v>
      </c>
      <c r="AP20" s="2">
        <f>+AO20*(1+TR)</f>
        <v>51427.932927038368</v>
      </c>
      <c r="AQ20" s="2">
        <f>+AP20*(1+TR)</f>
        <v>50913.653597767981</v>
      </c>
      <c r="AR20" s="2">
        <f>+AQ20*(1+TR)</f>
        <v>50404.517061790299</v>
      </c>
      <c r="AS20" s="2">
        <f>+AR20*(1+TR)</f>
        <v>49900.471891172398</v>
      </c>
      <c r="AT20" s="2">
        <f>+AS20*(1+TR)</f>
        <v>49401.467172260673</v>
      </c>
      <c r="AU20" s="2">
        <f>+AT20*(1+TR)</f>
        <v>48907.452500538064</v>
      </c>
      <c r="AV20" s="2">
        <f>+AU20*(1+TR)</f>
        <v>48418.377975532683</v>
      </c>
      <c r="AW20" s="2">
        <f>+AV20*(1+TR)</f>
        <v>47934.194195777352</v>
      </c>
      <c r="AX20" s="2">
        <f>+AW20*(1+TR)</f>
        <v>47454.852253819576</v>
      </c>
      <c r="AY20" s="2">
        <f>+AX20*(1+TR)</f>
        <v>46980.303731281383</v>
      </c>
      <c r="AZ20" s="2">
        <f>+AY20*(1+TR)</f>
        <v>46510.50069396857</v>
      </c>
      <c r="BA20" s="2">
        <f>+AZ20*(1+TR)</f>
        <v>46045.395687028882</v>
      </c>
      <c r="BB20" s="2">
        <f>+BA20*(1+TR)</f>
        <v>45584.941730158593</v>
      </c>
      <c r="BC20" s="2">
        <f>+BB20*(1+TR)</f>
        <v>45129.092312857007</v>
      </c>
      <c r="BD20" s="2">
        <f>+BC20*(1+TR)</f>
        <v>44677.801389728433</v>
      </c>
      <c r="BE20" s="2">
        <f>+BD20*(1+TR)</f>
        <v>44231.023375831151</v>
      </c>
      <c r="BF20" s="2">
        <f>+BE20*(1+TR)</f>
        <v>43788.71314207284</v>
      </c>
      <c r="BG20" s="2">
        <f>+BF20*(1+TR)</f>
        <v>43350.826010652112</v>
      </c>
      <c r="BH20" s="2">
        <f>+BG20*(1+TR)</f>
        <v>42917.31775054559</v>
      </c>
      <c r="BI20" s="2">
        <f>+BH20*(1+TR)</f>
        <v>42488.144573040132</v>
      </c>
      <c r="BJ20" s="2">
        <f>+BI20*(1+TR)</f>
        <v>42063.263127309729</v>
      </c>
      <c r="BK20" s="2">
        <f>+BJ20*(1+TR)</f>
        <v>41642.630496036632</v>
      </c>
      <c r="BL20" s="2">
        <f>+BK20*(1+TR)</f>
        <v>41226.204191076264</v>
      </c>
      <c r="BM20" s="2">
        <f>+BL20*(1+TR)</f>
        <v>40813.942149165501</v>
      </c>
      <c r="BN20" s="2">
        <f>+BM20*(1+TR)</f>
        <v>40405.802727673843</v>
      </c>
      <c r="BO20" s="2">
        <f>+BN20*(1+TR)</f>
        <v>40001.744700397103</v>
      </c>
      <c r="BP20" s="2">
        <f>+BO20*(1+TR)</f>
        <v>39601.727253393132</v>
      </c>
      <c r="BQ20" s="2">
        <f>+BP20*(1+TR)</f>
        <v>39205.709980859203</v>
      </c>
      <c r="BR20" s="2">
        <f>+BQ20*(1+TR)</f>
        <v>38813.652881050613</v>
      </c>
      <c r="BS20" s="2">
        <f>+BR20*(1+TR)</f>
        <v>38425.516352240105</v>
      </c>
      <c r="BT20" s="2">
        <f>+BS20*(1+TR)</f>
        <v>38041.261188717704</v>
      </c>
      <c r="BU20" s="2">
        <f>+BT20*(1+TR)</f>
        <v>37660.848576830525</v>
      </c>
      <c r="BV20" s="2">
        <f>+BU20*(1+TR)</f>
        <v>37284.240091062216</v>
      </c>
      <c r="BW20" s="2">
        <f>+BV20*(1+TR)</f>
        <v>36911.397690151593</v>
      </c>
      <c r="BX20" s="2">
        <f>+BW20*(1+TR)</f>
        <v>36542.283713250079</v>
      </c>
      <c r="BY20" s="2">
        <f>+BX20*(1+TR)</f>
        <v>36176.860876117578</v>
      </c>
      <c r="BZ20" s="2">
        <f>+BY20*(1+TR)</f>
        <v>35815.092267356406</v>
      </c>
      <c r="CA20" s="2">
        <f>+BZ20*(1+TR)</f>
        <v>35456.94134468284</v>
      </c>
      <c r="CB20" s="2">
        <f>+CA20*(1+TR)</f>
        <v>35102.371931236012</v>
      </c>
      <c r="CC20" s="2">
        <f>+CB20*(1+TR)</f>
        <v>34751.348211923651</v>
      </c>
      <c r="CD20" s="2">
        <f>+CC20*(1+TR)</f>
        <v>34403.834729804417</v>
      </c>
      <c r="CE20" s="2">
        <f>+CD20*(1+TR)</f>
        <v>34059.796382506371</v>
      </c>
      <c r="CF20" s="2">
        <f>+CE20*(1+TR)</f>
        <v>33719.198418681306</v>
      </c>
      <c r="CG20" s="2">
        <f>+CF20*(1+TR)</f>
        <v>33382.006434494491</v>
      </c>
      <c r="CH20" s="2">
        <f>+CG20*(1+TR)</f>
        <v>33048.186370149546</v>
      </c>
      <c r="CI20" s="2">
        <f>+CH20*(1+TR)</f>
        <v>32717.704506448052</v>
      </c>
      <c r="CJ20" s="2">
        <f>+CI20*(1+TR)</f>
        <v>32390.527461383572</v>
      </c>
      <c r="CK20" s="2">
        <f>+CJ20*(1+TR)</f>
        <v>32066.622186769735</v>
      </c>
      <c r="CL20" s="2">
        <f>+CK20*(1+TR)</f>
        <v>31745.955964902038</v>
      </c>
      <c r="CM20" s="2">
        <f>+CL20*(1+TR)</f>
        <v>31428.496405253016</v>
      </c>
      <c r="CN20" s="2">
        <f>+CM20*(1+TR)</f>
        <v>31114.211441200485</v>
      </c>
      <c r="CO20" s="2">
        <f>+CN20*(1+TR)</f>
        <v>30803.069326788478</v>
      </c>
      <c r="CP20" s="2">
        <f>+CO20*(1+TR)</f>
        <v>30495.038633520591</v>
      </c>
      <c r="CQ20" s="2">
        <f>+CP20*(1+TR)</f>
        <v>30190.088247185384</v>
      </c>
      <c r="CR20" s="2">
        <f>+CQ20*(1+TR)</f>
        <v>29888.187364713529</v>
      </c>
      <c r="CS20" s="2">
        <f>+CR20*(1+TR)</f>
        <v>29589.305491066392</v>
      </c>
      <c r="CT20" s="2">
        <f>+CS20*(1+TR)</f>
        <v>29293.41243615573</v>
      </c>
    </row>
    <row r="21" spans="2:98" s="5" customFormat="1" ht="15" x14ac:dyDescent="0.25">
      <c r="B21" s="5" t="s">
        <v>22</v>
      </c>
      <c r="J21" s="5">
        <v>8331</v>
      </c>
      <c r="K21" s="5">
        <f>+J21+0</f>
        <v>8331</v>
      </c>
      <c r="L21" s="5">
        <f t="shared" ref="L21:N21" si="15">+K21+0</f>
        <v>8331</v>
      </c>
      <c r="M21" s="5">
        <f t="shared" si="15"/>
        <v>8331</v>
      </c>
      <c r="N21" s="5">
        <f t="shared" si="15"/>
        <v>8331</v>
      </c>
      <c r="O21" s="5">
        <f>+N21+0</f>
        <v>8331</v>
      </c>
      <c r="P21" s="5">
        <f t="shared" ref="P21:W21" si="16">+O21+0</f>
        <v>8331</v>
      </c>
      <c r="Q21" s="5">
        <f t="shared" si="16"/>
        <v>8331</v>
      </c>
      <c r="R21" s="5">
        <f t="shared" si="16"/>
        <v>8331</v>
      </c>
      <c r="S21" s="5">
        <f t="shared" si="16"/>
        <v>8331</v>
      </c>
      <c r="T21" s="5">
        <f t="shared" si="16"/>
        <v>8331</v>
      </c>
      <c r="U21" s="5">
        <f t="shared" si="16"/>
        <v>8331</v>
      </c>
      <c r="V21" s="5">
        <f t="shared" si="16"/>
        <v>8331</v>
      </c>
      <c r="W21" s="5">
        <f t="shared" si="16"/>
        <v>8331</v>
      </c>
    </row>
    <row r="22" spans="2:98" s="5" customFormat="1" ht="15" x14ac:dyDescent="0.25">
      <c r="B22" s="5" t="s">
        <v>23</v>
      </c>
      <c r="J22" s="6">
        <f>+J20/J21</f>
        <v>2.9888368743248111E-2</v>
      </c>
      <c r="K22" s="6">
        <f t="shared" ref="K22:O22" si="17">+K20/K21</f>
        <v>2.4880566558636419</v>
      </c>
      <c r="L22" s="6">
        <f t="shared" si="17"/>
        <v>2.6441003480974672</v>
      </c>
      <c r="M22" s="6">
        <f t="shared" si="17"/>
        <v>3.3927499699915975</v>
      </c>
      <c r="N22" s="6">
        <f t="shared" si="17"/>
        <v>3.1338374744928581</v>
      </c>
      <c r="O22" s="6">
        <f t="shared" si="17"/>
        <v>3.7968793182090979</v>
      </c>
      <c r="P22" s="6">
        <f t="shared" ref="P22" si="18">+P20/P21</f>
        <v>4.1878514382427054</v>
      </c>
      <c r="Q22" s="6">
        <f t="shared" ref="Q22" si="19">+Q20/Q21</f>
        <v>4.5964781097395253</v>
      </c>
      <c r="R22" s="6">
        <f t="shared" ref="R22" si="20">+R20/R21</f>
        <v>5.0236477709051499</v>
      </c>
      <c r="S22" s="6">
        <f t="shared" ref="S22" si="21">+S20/S21</f>
        <v>5.4702927960039833</v>
      </c>
      <c r="T22" s="6">
        <f t="shared" ref="T22" si="22">+T20/T21</f>
        <v>5.9373916868043342</v>
      </c>
      <c r="U22" s="6">
        <f t="shared" ref="U22" si="23">+U20/U21</f>
        <v>6.4259713734285651</v>
      </c>
      <c r="V22" s="6">
        <f t="shared" ref="V22" si="24">+V20/V21</f>
        <v>6.93710963007576</v>
      </c>
      <c r="W22" s="6">
        <f t="shared" ref="W22" si="25">+W20/W21</f>
        <v>7.471937611357343</v>
      </c>
    </row>
    <row r="23" spans="2:98" x14ac:dyDescent="0.25">
      <c r="J23" s="7"/>
      <c r="K23" s="7"/>
      <c r="L23" s="7"/>
      <c r="M23" s="7"/>
      <c r="N23" s="7"/>
    </row>
    <row r="24" spans="2:98" s="4" customFormat="1" x14ac:dyDescent="0.25">
      <c r="B24" s="4" t="s">
        <v>17</v>
      </c>
      <c r="J24" s="4">
        <f>+J10/J8</f>
        <v>0.67556123171435734</v>
      </c>
      <c r="K24" s="4">
        <f t="shared" ref="K24:N24" si="26">+K10/K8</f>
        <v>0.66367072375081559</v>
      </c>
      <c r="L24" s="4">
        <f t="shared" si="26"/>
        <v>0.6702451556256529</v>
      </c>
      <c r="M24" s="4">
        <f t="shared" si="26"/>
        <v>0.68807916702798955</v>
      </c>
      <c r="N24" s="4">
        <f t="shared" si="26"/>
        <v>0.69742190983241104</v>
      </c>
      <c r="O24" s="4">
        <f t="shared" ref="O24:W24" si="27">+O10/O8</f>
        <v>0.7</v>
      </c>
      <c r="P24" s="4">
        <f t="shared" si="27"/>
        <v>0.7</v>
      </c>
      <c r="Q24" s="4">
        <f t="shared" si="27"/>
        <v>0.7</v>
      </c>
      <c r="R24" s="4">
        <f t="shared" si="27"/>
        <v>0.70000000000000007</v>
      </c>
      <c r="S24" s="4">
        <f t="shared" si="27"/>
        <v>0.70000000000000007</v>
      </c>
      <c r="T24" s="4">
        <f t="shared" si="27"/>
        <v>0.70000000000000007</v>
      </c>
      <c r="U24" s="4">
        <f t="shared" si="27"/>
        <v>0.7</v>
      </c>
      <c r="V24" s="4">
        <f t="shared" si="27"/>
        <v>0.70000000000000007</v>
      </c>
      <c r="W24" s="4">
        <f t="shared" si="27"/>
        <v>0.70000000000000007</v>
      </c>
      <c r="Y24" s="4" t="s">
        <v>31</v>
      </c>
      <c r="Z24" s="4">
        <v>7.0000000000000007E-2</v>
      </c>
    </row>
    <row r="25" spans="2:98" s="4" customFormat="1" x14ac:dyDescent="0.25">
      <c r="B25" s="4" t="s">
        <v>18</v>
      </c>
      <c r="J25" s="8">
        <f>+J20/J8</f>
        <v>6.7805287178537583E-4</v>
      </c>
      <c r="K25" s="8">
        <f t="shared" ref="K25:N25" si="28">+K20/K8</f>
        <v>4.6633220094940267E-2</v>
      </c>
      <c r="L25" s="8">
        <f t="shared" si="28"/>
        <v>4.4771083749649401E-2</v>
      </c>
      <c r="M25" s="8">
        <f t="shared" si="28"/>
        <v>5.7001631499022917E-2</v>
      </c>
      <c r="N25" s="8">
        <f t="shared" si="28"/>
        <v>4.8909154262035272E-2</v>
      </c>
      <c r="O25" s="8">
        <f t="shared" ref="O25:W25" si="29">+O20/O8</f>
        <v>5.6956923661488135E-2</v>
      </c>
      <c r="P25" s="8">
        <f t="shared" si="29"/>
        <v>6.0159482789962242E-2</v>
      </c>
      <c r="Q25" s="8">
        <f t="shared" si="29"/>
        <v>6.3222555693492874E-2</v>
      </c>
      <c r="R25" s="8">
        <f t="shared" si="29"/>
        <v>6.6151882710532531E-2</v>
      </c>
      <c r="S25" s="8">
        <f t="shared" si="29"/>
        <v>6.8952995299296146E-2</v>
      </c>
      <c r="T25" s="8">
        <f t="shared" si="29"/>
        <v>7.1631221658024033E-2</v>
      </c>
      <c r="U25" s="8">
        <f t="shared" si="29"/>
        <v>7.4191692330114731E-2</v>
      </c>
      <c r="V25" s="8">
        <f t="shared" si="29"/>
        <v>7.6639345783695884E-2</v>
      </c>
      <c r="W25" s="8">
        <f t="shared" si="29"/>
        <v>7.8978933955861363E-2</v>
      </c>
      <c r="Y25" s="4" t="s">
        <v>32</v>
      </c>
      <c r="Z25" s="4">
        <v>-0.01</v>
      </c>
    </row>
    <row r="26" spans="2:98" x14ac:dyDescent="0.25">
      <c r="Y26" s="1" t="s">
        <v>33</v>
      </c>
      <c r="Z26" s="1">
        <f>NPV(Z24,O20:CT20)</f>
        <v>707284.3713729796</v>
      </c>
    </row>
    <row r="27" spans="2:98" x14ac:dyDescent="0.25">
      <c r="B27" s="1" t="s">
        <v>19</v>
      </c>
      <c r="M27" s="1">
        <v>46664.006880000001</v>
      </c>
      <c r="N27" s="1">
        <v>58894.002999999997</v>
      </c>
      <c r="Y27" s="1" t="s">
        <v>34</v>
      </c>
      <c r="Z27" s="1">
        <f>+N39-N40</f>
        <v>-166511.58875</v>
      </c>
    </row>
    <row r="28" spans="2:98" x14ac:dyDescent="0.25">
      <c r="B28" s="1" t="s">
        <v>20</v>
      </c>
      <c r="M28" s="1">
        <v>3800.8387899999998</v>
      </c>
      <c r="N28" s="1">
        <v>8981.7906199999998</v>
      </c>
      <c r="Y28" s="1" t="s">
        <v>35</v>
      </c>
      <c r="Z28" s="1">
        <f>+Z26+Z27</f>
        <v>540772.7826229796</v>
      </c>
    </row>
    <row r="29" spans="2:98" x14ac:dyDescent="0.25">
      <c r="B29" s="1" t="s">
        <v>21</v>
      </c>
      <c r="M29" s="1">
        <f>+M27-M28</f>
        <v>42863.168089999999</v>
      </c>
      <c r="N29" s="1">
        <f>+N27-N28</f>
        <v>49912.212379999997</v>
      </c>
      <c r="Y29" s="1" t="s">
        <v>36</v>
      </c>
      <c r="Z29" s="1">
        <f>+Z28/W21</f>
        <v>64.910908969268945</v>
      </c>
    </row>
    <row r="30" spans="2:98" x14ac:dyDescent="0.25">
      <c r="M30" s="4">
        <f>+M29/Z33</f>
        <v>0.11693229037766938</v>
      </c>
      <c r="N30" s="4">
        <f>+N29/Z33</f>
        <v>0.13616234103730862</v>
      </c>
      <c r="Y30" s="1" t="s">
        <v>37</v>
      </c>
      <c r="Z30" s="1">
        <v>44</v>
      </c>
    </row>
    <row r="31" spans="2:98" x14ac:dyDescent="0.25">
      <c r="Y31" s="1" t="s">
        <v>38</v>
      </c>
      <c r="Z31" s="4">
        <f>1-(Z30/Z29)</f>
        <v>0.32214783772584188</v>
      </c>
    </row>
    <row r="32" spans="2:98" x14ac:dyDescent="0.25">
      <c r="B32" s="1" t="s">
        <v>24</v>
      </c>
      <c r="M32" s="1">
        <v>50929.8799</v>
      </c>
      <c r="N32" s="1">
        <v>35442.256909999996</v>
      </c>
    </row>
    <row r="33" spans="2:26" x14ac:dyDescent="0.25">
      <c r="B33" s="1" t="s">
        <v>40</v>
      </c>
      <c r="M33" s="1">
        <v>9164.6049000000003</v>
      </c>
      <c r="N33" s="1">
        <v>12497.1885</v>
      </c>
      <c r="Y33" s="1" t="s">
        <v>39</v>
      </c>
      <c r="Z33" s="1">
        <f>+Z30*W21</f>
        <v>366564</v>
      </c>
    </row>
    <row r="34" spans="2:26" x14ac:dyDescent="0.25">
      <c r="B34" s="1" t="s">
        <v>41</v>
      </c>
      <c r="M34" s="4">
        <f>+M33/M20</f>
        <v>0.3242386308154962</v>
      </c>
      <c r="N34" s="4">
        <f>+N33/N20</f>
        <v>0.47867276313773555</v>
      </c>
    </row>
    <row r="35" spans="2:26" x14ac:dyDescent="0.25">
      <c r="B35" s="1" t="s">
        <v>25</v>
      </c>
      <c r="M35" s="1">
        <f>+M29-M32-M33</f>
        <v>-17231.316709999999</v>
      </c>
      <c r="N35" s="1">
        <f>+N29-N32-N33</f>
        <v>1972.7669700000006</v>
      </c>
    </row>
    <row r="37" spans="2:26" x14ac:dyDescent="0.25">
      <c r="B37" s="1" t="s">
        <v>26</v>
      </c>
      <c r="M37" s="1">
        <v>69803.960649999994</v>
      </c>
      <c r="N37" s="1">
        <v>72628.95925</v>
      </c>
    </row>
    <row r="38" spans="2:26" x14ac:dyDescent="0.25">
      <c r="B38" s="1" t="s">
        <v>27</v>
      </c>
      <c r="M38" s="1">
        <v>44116.068850000003</v>
      </c>
      <c r="N38" s="1">
        <v>50501.784319999999</v>
      </c>
    </row>
    <row r="39" spans="2:26" x14ac:dyDescent="0.25">
      <c r="B39" s="1" t="s">
        <v>28</v>
      </c>
      <c r="M39" s="1">
        <v>21878.85986</v>
      </c>
      <c r="N39" s="1">
        <v>36585.973919999997</v>
      </c>
    </row>
    <row r="40" spans="2:26" x14ac:dyDescent="0.25">
      <c r="B40" s="1" t="s">
        <v>29</v>
      </c>
      <c r="M40" s="1">
        <f>57122.54915+105337.32138</f>
        <v>162459.87052999999</v>
      </c>
      <c r="N40" s="1">
        <f>178864.49724+24233.06543</f>
        <v>203097.56266999998</v>
      </c>
    </row>
    <row r="41" spans="2:26" x14ac:dyDescent="0.25">
      <c r="B41" s="1" t="s">
        <v>30</v>
      </c>
      <c r="M41" s="1">
        <f>+M37+M38+M39-M40</f>
        <v>-26660.981169999985</v>
      </c>
      <c r="N41" s="1">
        <f>+N37+N38+N39-N40</f>
        <v>-43380.845180000004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2025-01-30T14:41:34Z</dcterms:created>
  <dcterms:modified xsi:type="dcterms:W3CDTF">2025-01-30T23:44:29Z</dcterms:modified>
</cp:coreProperties>
</file>