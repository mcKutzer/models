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3655DDD5-3668-4434-8805-7E1A4A2115B7}" xr6:coauthVersionLast="47" xr6:coauthVersionMax="47" xr10:uidLastSave="{00000000-0000-0000-0000-000000000000}"/>
  <bookViews>
    <workbookView xWindow="-120" yWindow="-120" windowWidth="29040" windowHeight="15840" activeTab="1" xr2:uid="{D9E37913-0AD9-42A8-8BF0-EC0A8F74B1C4}"/>
  </bookViews>
  <sheets>
    <sheet name="Main" sheetId="2" r:id="rId1"/>
    <sheet name="Mode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" i="2" l="1"/>
  <c r="Q44" i="1"/>
  <c r="AC28" i="1"/>
  <c r="S34" i="1"/>
  <c r="T34" i="1"/>
  <c r="U34" i="1"/>
  <c r="V34" i="1" s="1"/>
  <c r="W34" i="1" s="1"/>
  <c r="X34" i="1" s="1"/>
  <c r="Y34" i="1" s="1"/>
  <c r="Z34" i="1" s="1"/>
  <c r="R34" i="1"/>
  <c r="R16" i="1"/>
  <c r="S16" i="1" s="1"/>
  <c r="T16" i="1" s="1"/>
  <c r="U16" i="1" s="1"/>
  <c r="V16" i="1" s="1"/>
  <c r="W16" i="1" s="1"/>
  <c r="X16" i="1" s="1"/>
  <c r="Y16" i="1" s="1"/>
  <c r="Z16" i="1" s="1"/>
  <c r="Q16" i="1"/>
  <c r="Z33" i="1"/>
  <c r="Z35" i="1" s="1"/>
  <c r="Z38" i="1" s="1"/>
  <c r="Q31" i="1"/>
  <c r="P48" i="1"/>
  <c r="P45" i="1"/>
  <c r="P44" i="1"/>
  <c r="P42" i="1"/>
  <c r="P18" i="1"/>
  <c r="Q7" i="1" l="1"/>
  <c r="R7" i="1" s="1"/>
  <c r="S7" i="1" s="1"/>
  <c r="T7" i="1" s="1"/>
  <c r="U7" i="1" s="1"/>
  <c r="V7" i="1" s="1"/>
  <c r="W7" i="1" s="1"/>
  <c r="X7" i="1" s="1"/>
  <c r="Y7" i="1" s="1"/>
  <c r="Z7" i="1" s="1"/>
  <c r="O48" i="1"/>
  <c r="N48" i="1"/>
  <c r="R23" i="1"/>
  <c r="S23" i="1" s="1"/>
  <c r="T23" i="1" s="1"/>
  <c r="U23" i="1" s="1"/>
  <c r="V23" i="1" s="1"/>
  <c r="W23" i="1" s="1"/>
  <c r="X23" i="1" s="1"/>
  <c r="Y23" i="1" s="1"/>
  <c r="Z23" i="1" s="1"/>
  <c r="O28" i="1"/>
  <c r="O29" i="1"/>
  <c r="N29" i="1"/>
  <c r="N28" i="1"/>
  <c r="H28" i="1"/>
  <c r="I28" i="1"/>
  <c r="H29" i="1"/>
  <c r="I29" i="1"/>
  <c r="G29" i="1"/>
  <c r="G28" i="1"/>
  <c r="F20" i="1"/>
  <c r="F18" i="1"/>
  <c r="F17" i="1"/>
  <c r="F16" i="1"/>
  <c r="F14" i="1"/>
  <c r="F13" i="1"/>
  <c r="F12" i="1"/>
  <c r="F11" i="1"/>
  <c r="F10" i="1"/>
  <c r="F9" i="1"/>
  <c r="F7" i="1"/>
  <c r="F6" i="1"/>
  <c r="J6" i="1" s="1"/>
  <c r="F5" i="1"/>
  <c r="J5" i="1" s="1"/>
  <c r="H41" i="1"/>
  <c r="I41" i="1" s="1"/>
  <c r="H40" i="1"/>
  <c r="I40" i="1" s="1"/>
  <c r="D41" i="1"/>
  <c r="E41" i="1" s="1"/>
  <c r="D40" i="1"/>
  <c r="E40" i="1" s="1"/>
  <c r="I18" i="1"/>
  <c r="H36" i="1"/>
  <c r="I36" i="1" s="1"/>
  <c r="H34" i="1"/>
  <c r="I34" i="1" s="1"/>
  <c r="H33" i="1"/>
  <c r="I33" i="1" s="1"/>
  <c r="D36" i="1"/>
  <c r="E36" i="1" s="1"/>
  <c r="F36" i="1" s="1"/>
  <c r="D34" i="1"/>
  <c r="D33" i="1"/>
  <c r="E33" i="1" s="1"/>
  <c r="F33" i="1" s="1"/>
  <c r="G35" i="1"/>
  <c r="G37" i="1" s="1"/>
  <c r="C35" i="1"/>
  <c r="C37" i="1" s="1"/>
  <c r="C8" i="1"/>
  <c r="C15" i="1" s="1"/>
  <c r="C19" i="1" s="1"/>
  <c r="C21" i="1" s="1"/>
  <c r="C22" i="1" s="1"/>
  <c r="D8" i="1"/>
  <c r="D15" i="1" s="1"/>
  <c r="D19" i="1" s="1"/>
  <c r="D21" i="1" s="1"/>
  <c r="D22" i="1" s="1"/>
  <c r="E8" i="1"/>
  <c r="E15" i="1" s="1"/>
  <c r="E19" i="1" s="1"/>
  <c r="E21" i="1" s="1"/>
  <c r="E22" i="1" s="1"/>
  <c r="G8" i="1"/>
  <c r="G15" i="1" s="1"/>
  <c r="G19" i="1" s="1"/>
  <c r="G21" i="1" s="1"/>
  <c r="G22" i="1" s="1"/>
  <c r="H8" i="1"/>
  <c r="H15" i="1" s="1"/>
  <c r="H19" i="1" s="1"/>
  <c r="H21" i="1" s="1"/>
  <c r="H22" i="1" s="1"/>
  <c r="I8" i="1"/>
  <c r="I15" i="1" s="1"/>
  <c r="I25" i="1" s="1"/>
  <c r="D22" i="2"/>
  <c r="D24" i="2" s="1"/>
  <c r="N45" i="1"/>
  <c r="O45" i="1"/>
  <c r="N44" i="1"/>
  <c r="O44" i="1"/>
  <c r="M42" i="1"/>
  <c r="N42" i="1"/>
  <c r="O42" i="1"/>
  <c r="O35" i="1"/>
  <c r="O37" i="1" s="1"/>
  <c r="N35" i="1"/>
  <c r="N37" i="1" s="1"/>
  <c r="M35" i="1"/>
  <c r="M37" i="1" s="1"/>
  <c r="N8" i="1"/>
  <c r="N15" i="1" s="1"/>
  <c r="N19" i="1" s="1"/>
  <c r="N21" i="1" s="1"/>
  <c r="N26" i="1" s="1"/>
  <c r="O8" i="1"/>
  <c r="O15" i="1" s="1"/>
  <c r="O19" i="1" s="1"/>
  <c r="O21" i="1" s="1"/>
  <c r="O26" i="1" s="1"/>
  <c r="M8" i="1"/>
  <c r="M15" i="1" s="1"/>
  <c r="M19" i="1" s="1"/>
  <c r="M21" i="1" s="1"/>
  <c r="M26" i="1" s="1"/>
  <c r="N2" i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R31" i="1" l="1"/>
  <c r="J8" i="1"/>
  <c r="J15" i="1" s="1"/>
  <c r="J19" i="1" s="1"/>
  <c r="E26" i="1"/>
  <c r="O55" i="1"/>
  <c r="N55" i="1"/>
  <c r="O51" i="1"/>
  <c r="N51" i="1"/>
  <c r="J20" i="1"/>
  <c r="P29" i="1"/>
  <c r="Q6" i="1"/>
  <c r="M55" i="1"/>
  <c r="M51" i="1"/>
  <c r="G26" i="1"/>
  <c r="N27" i="1"/>
  <c r="O54" i="1"/>
  <c r="N54" i="1"/>
  <c r="D26" i="1"/>
  <c r="M54" i="1"/>
  <c r="D35" i="1"/>
  <c r="D37" i="1" s="1"/>
  <c r="I27" i="1"/>
  <c r="O53" i="1"/>
  <c r="N53" i="1"/>
  <c r="O27" i="1"/>
  <c r="M53" i="1"/>
  <c r="M50" i="1"/>
  <c r="O52" i="1"/>
  <c r="O50" i="1"/>
  <c r="N52" i="1"/>
  <c r="N50" i="1"/>
  <c r="M52" i="1"/>
  <c r="P8" i="1"/>
  <c r="P51" i="1" s="1"/>
  <c r="H25" i="1"/>
  <c r="G25" i="1"/>
  <c r="E34" i="1"/>
  <c r="F34" i="1" s="1"/>
  <c r="F35" i="1" s="1"/>
  <c r="F37" i="1" s="1"/>
  <c r="C25" i="1"/>
  <c r="E25" i="1"/>
  <c r="C26" i="1"/>
  <c r="D25" i="1"/>
  <c r="G27" i="1"/>
  <c r="H26" i="1"/>
  <c r="H27" i="1"/>
  <c r="I19" i="1"/>
  <c r="I21" i="1" s="1"/>
  <c r="H35" i="1"/>
  <c r="H37" i="1" s="1"/>
  <c r="F8" i="1"/>
  <c r="F15" i="1" s="1"/>
  <c r="I35" i="1"/>
  <c r="I37" i="1" s="1"/>
  <c r="O22" i="1"/>
  <c r="N22" i="1"/>
  <c r="M22" i="1"/>
  <c r="O25" i="1"/>
  <c r="N25" i="1"/>
  <c r="M25" i="1"/>
  <c r="S31" i="1" l="1"/>
  <c r="R6" i="1"/>
  <c r="Q29" i="1"/>
  <c r="E35" i="1"/>
  <c r="E37" i="1" s="1"/>
  <c r="P55" i="1"/>
  <c r="P15" i="1"/>
  <c r="P27" i="1"/>
  <c r="P52" i="1"/>
  <c r="P54" i="1"/>
  <c r="P53" i="1"/>
  <c r="P28" i="1"/>
  <c r="Q5" i="1"/>
  <c r="Q28" i="1" s="1"/>
  <c r="J21" i="1"/>
  <c r="J33" i="1" s="1"/>
  <c r="P50" i="1"/>
  <c r="I22" i="1"/>
  <c r="I26" i="1"/>
  <c r="F19" i="1"/>
  <c r="F21" i="1" s="1"/>
  <c r="F25" i="1"/>
  <c r="T31" i="1" l="1"/>
  <c r="J35" i="1"/>
  <c r="J37" i="1" s="1"/>
  <c r="P35" i="1"/>
  <c r="P37" i="1" s="1"/>
  <c r="S6" i="1"/>
  <c r="R29" i="1"/>
  <c r="R5" i="1"/>
  <c r="R28" i="1" s="1"/>
  <c r="Q8" i="1"/>
  <c r="Q27" i="1" s="1"/>
  <c r="P19" i="1"/>
  <c r="P21" i="1" s="1"/>
  <c r="P25" i="1"/>
  <c r="F22" i="1"/>
  <c r="F26" i="1"/>
  <c r="U31" i="1" l="1"/>
  <c r="T6" i="1"/>
  <c r="S29" i="1"/>
  <c r="P26" i="1"/>
  <c r="P22" i="1"/>
  <c r="Q13" i="1"/>
  <c r="Q54" i="1" s="1"/>
  <c r="Q9" i="1"/>
  <c r="Q50" i="1" s="1"/>
  <c r="Q10" i="1"/>
  <c r="Q51" i="1" s="1"/>
  <c r="Q12" i="1"/>
  <c r="Q53" i="1" s="1"/>
  <c r="Q11" i="1"/>
  <c r="Q52" i="1" s="1"/>
  <c r="Q55" i="1"/>
  <c r="S5" i="1"/>
  <c r="S28" i="1" s="1"/>
  <c r="R8" i="1"/>
  <c r="R27" i="1" s="1"/>
  <c r="V31" i="1" l="1"/>
  <c r="Q15" i="1"/>
  <c r="Q19" i="1" s="1"/>
  <c r="U6" i="1"/>
  <c r="T29" i="1"/>
  <c r="R11" i="1"/>
  <c r="R52" i="1" s="1"/>
  <c r="R12" i="1"/>
  <c r="R53" i="1" s="1"/>
  <c r="R13" i="1"/>
  <c r="R54" i="1" s="1"/>
  <c r="R9" i="1"/>
  <c r="R50" i="1" s="1"/>
  <c r="R10" i="1"/>
  <c r="R51" i="1" s="1"/>
  <c r="R55" i="1"/>
  <c r="T5" i="1"/>
  <c r="T28" i="1" s="1"/>
  <c r="S8" i="1"/>
  <c r="S27" i="1" s="1"/>
  <c r="W31" i="1" l="1"/>
  <c r="Q25" i="1"/>
  <c r="Q20" i="1"/>
  <c r="Q21" i="1" s="1"/>
  <c r="V6" i="1"/>
  <c r="U29" i="1"/>
  <c r="U5" i="1"/>
  <c r="U28" i="1" s="1"/>
  <c r="T8" i="1"/>
  <c r="T27" i="1" s="1"/>
  <c r="S11" i="1"/>
  <c r="S52" i="1" s="1"/>
  <c r="S12" i="1"/>
  <c r="S53" i="1" s="1"/>
  <c r="S13" i="1"/>
  <c r="S54" i="1" s="1"/>
  <c r="S9" i="1"/>
  <c r="S50" i="1" s="1"/>
  <c r="S10" i="1"/>
  <c r="S51" i="1" s="1"/>
  <c r="S55" i="1"/>
  <c r="R15" i="1"/>
  <c r="Q33" i="1" l="1"/>
  <c r="Q35" i="1" s="1"/>
  <c r="Q38" i="1" s="1"/>
  <c r="D28" i="2"/>
  <c r="X31" i="1"/>
  <c r="Q26" i="1"/>
  <c r="Q22" i="1"/>
  <c r="W6" i="1"/>
  <c r="V29" i="1"/>
  <c r="R19" i="1"/>
  <c r="R25" i="1"/>
  <c r="T10" i="1"/>
  <c r="T51" i="1" s="1"/>
  <c r="T11" i="1"/>
  <c r="T52" i="1" s="1"/>
  <c r="T12" i="1"/>
  <c r="T53" i="1" s="1"/>
  <c r="T13" i="1"/>
  <c r="T54" i="1" s="1"/>
  <c r="T9" i="1"/>
  <c r="T50" i="1" s="1"/>
  <c r="T55" i="1"/>
  <c r="S15" i="1"/>
  <c r="V5" i="1"/>
  <c r="V28" i="1" s="1"/>
  <c r="U8" i="1"/>
  <c r="U27" i="1" s="1"/>
  <c r="D27" i="2" l="1"/>
  <c r="Z31" i="1"/>
  <c r="Y31" i="1"/>
  <c r="R20" i="1"/>
  <c r="R21" i="1" s="1"/>
  <c r="R33" i="1" s="1"/>
  <c r="R35" i="1" s="1"/>
  <c r="R38" i="1" s="1"/>
  <c r="X6" i="1"/>
  <c r="W29" i="1"/>
  <c r="S19" i="1"/>
  <c r="S25" i="1"/>
  <c r="U10" i="1"/>
  <c r="U51" i="1" s="1"/>
  <c r="U11" i="1"/>
  <c r="U52" i="1" s="1"/>
  <c r="U12" i="1"/>
  <c r="U53" i="1" s="1"/>
  <c r="U9" i="1"/>
  <c r="U50" i="1" s="1"/>
  <c r="U13" i="1"/>
  <c r="U54" i="1" s="1"/>
  <c r="U55" i="1"/>
  <c r="W5" i="1"/>
  <c r="V8" i="1"/>
  <c r="V27" i="1" s="1"/>
  <c r="T15" i="1"/>
  <c r="W28" i="1" l="1"/>
  <c r="X5" i="1"/>
  <c r="Y5" i="1" s="1"/>
  <c r="Z5" i="1" s="1"/>
  <c r="R26" i="1"/>
  <c r="R22" i="1"/>
  <c r="Y6" i="1"/>
  <c r="X29" i="1"/>
  <c r="S20" i="1"/>
  <c r="S21" i="1" s="1"/>
  <c r="S33" i="1" s="1"/>
  <c r="S35" i="1" s="1"/>
  <c r="S38" i="1" s="1"/>
  <c r="T19" i="1"/>
  <c r="T25" i="1"/>
  <c r="V9" i="1"/>
  <c r="V50" i="1" s="1"/>
  <c r="V10" i="1"/>
  <c r="V51" i="1" s="1"/>
  <c r="V11" i="1"/>
  <c r="V52" i="1" s="1"/>
  <c r="V12" i="1"/>
  <c r="V53" i="1" s="1"/>
  <c r="V13" i="1"/>
  <c r="V54" i="1" s="1"/>
  <c r="V55" i="1"/>
  <c r="X28" i="1"/>
  <c r="W8" i="1"/>
  <c r="W27" i="1" s="1"/>
  <c r="U15" i="1"/>
  <c r="S26" i="1" l="1"/>
  <c r="S22" i="1"/>
  <c r="T20" i="1"/>
  <c r="T21" i="1" s="1"/>
  <c r="T33" i="1" s="1"/>
  <c r="T35" i="1" s="1"/>
  <c r="T38" i="1" s="1"/>
  <c r="Z6" i="1"/>
  <c r="Z29" i="1" s="1"/>
  <c r="Y29" i="1"/>
  <c r="U19" i="1"/>
  <c r="U25" i="1"/>
  <c r="W9" i="1"/>
  <c r="W50" i="1" s="1"/>
  <c r="W10" i="1"/>
  <c r="W51" i="1" s="1"/>
  <c r="W11" i="1"/>
  <c r="W52" i="1" s="1"/>
  <c r="W12" i="1"/>
  <c r="W53" i="1" s="1"/>
  <c r="W13" i="1"/>
  <c r="W54" i="1" s="1"/>
  <c r="W55" i="1"/>
  <c r="Y28" i="1"/>
  <c r="X8" i="1"/>
  <c r="X27" i="1" s="1"/>
  <c r="V15" i="1"/>
  <c r="T26" i="1" l="1"/>
  <c r="T22" i="1"/>
  <c r="V19" i="1"/>
  <c r="V25" i="1"/>
  <c r="U20" i="1"/>
  <c r="U21" i="1" s="1"/>
  <c r="U33" i="1" s="1"/>
  <c r="U35" i="1" s="1"/>
  <c r="U38" i="1" s="1"/>
  <c r="Y8" i="1"/>
  <c r="Y27" i="1" s="1"/>
  <c r="X9" i="1"/>
  <c r="X50" i="1" s="1"/>
  <c r="X10" i="1"/>
  <c r="X51" i="1" s="1"/>
  <c r="X11" i="1"/>
  <c r="X52" i="1" s="1"/>
  <c r="X12" i="1"/>
  <c r="X53" i="1" s="1"/>
  <c r="X13" i="1"/>
  <c r="X54" i="1" s="1"/>
  <c r="X55" i="1"/>
  <c r="W15" i="1"/>
  <c r="U26" i="1" l="1"/>
  <c r="U22" i="1"/>
  <c r="W19" i="1"/>
  <c r="W25" i="1"/>
  <c r="V20" i="1"/>
  <c r="V21" i="1" s="1"/>
  <c r="V33" i="1" s="1"/>
  <c r="V35" i="1" s="1"/>
  <c r="V38" i="1" s="1"/>
  <c r="Z8" i="1"/>
  <c r="Z27" i="1" s="1"/>
  <c r="Z28" i="1"/>
  <c r="X15" i="1"/>
  <c r="Y9" i="1"/>
  <c r="Y50" i="1" s="1"/>
  <c r="Y10" i="1"/>
  <c r="Y51" i="1" s="1"/>
  <c r="Y11" i="1"/>
  <c r="Y52" i="1" s="1"/>
  <c r="Y12" i="1"/>
  <c r="Y53" i="1" s="1"/>
  <c r="Y13" i="1"/>
  <c r="Y54" i="1" s="1"/>
  <c r="Y55" i="1"/>
  <c r="Z55" i="1" l="1"/>
  <c r="Z12" i="1"/>
  <c r="Z53" i="1" s="1"/>
  <c r="V26" i="1"/>
  <c r="V22" i="1"/>
  <c r="X19" i="1"/>
  <c r="X25" i="1"/>
  <c r="Z9" i="1"/>
  <c r="Z50" i="1" s="1"/>
  <c r="W20" i="1"/>
  <c r="W21" i="1" s="1"/>
  <c r="W33" i="1" s="1"/>
  <c r="W35" i="1" s="1"/>
  <c r="W38" i="1" s="1"/>
  <c r="Z10" i="1"/>
  <c r="Z51" i="1" s="1"/>
  <c r="Z13" i="1"/>
  <c r="Z54" i="1" s="1"/>
  <c r="Z11" i="1"/>
  <c r="Z52" i="1" s="1"/>
  <c r="Y15" i="1"/>
  <c r="Z15" i="1" l="1"/>
  <c r="W22" i="1"/>
  <c r="W26" i="1"/>
  <c r="Y19" i="1"/>
  <c r="Y25" i="1"/>
  <c r="X20" i="1"/>
  <c r="X21" i="1" s="1"/>
  <c r="X33" i="1" s="1"/>
  <c r="X35" i="1" s="1"/>
  <c r="X38" i="1" s="1"/>
  <c r="Z19" i="1"/>
  <c r="Z25" i="1"/>
  <c r="X22" i="1" l="1"/>
  <c r="X26" i="1"/>
  <c r="Y20" i="1"/>
  <c r="Y21" i="1" s="1"/>
  <c r="Y33" i="1" s="1"/>
  <c r="Y35" i="1" s="1"/>
  <c r="Y38" i="1" s="1"/>
  <c r="Z20" i="1"/>
  <c r="Z21" i="1" s="1"/>
  <c r="AA38" i="1" s="1"/>
  <c r="AB38" i="1" s="1"/>
  <c r="AC38" i="1" s="1"/>
  <c r="AD38" i="1" s="1"/>
  <c r="AE38" i="1" s="1"/>
  <c r="AF38" i="1" s="1"/>
  <c r="AG38" i="1" s="1"/>
  <c r="AH38" i="1" s="1"/>
  <c r="AI38" i="1" s="1"/>
  <c r="AJ38" i="1" s="1"/>
  <c r="AK38" i="1" s="1"/>
  <c r="AL38" i="1" s="1"/>
  <c r="AM38" i="1" s="1"/>
  <c r="AN38" i="1" s="1"/>
  <c r="AO38" i="1" s="1"/>
  <c r="AP38" i="1" s="1"/>
  <c r="AQ38" i="1" s="1"/>
  <c r="AR38" i="1" s="1"/>
  <c r="AS38" i="1" s="1"/>
  <c r="AT38" i="1" s="1"/>
  <c r="AU38" i="1" s="1"/>
  <c r="AV38" i="1" s="1"/>
  <c r="AW38" i="1" s="1"/>
  <c r="AX38" i="1" s="1"/>
  <c r="AY38" i="1" s="1"/>
  <c r="AZ38" i="1" s="1"/>
  <c r="BA38" i="1" s="1"/>
  <c r="BB38" i="1" s="1"/>
  <c r="BC38" i="1" s="1"/>
  <c r="BD38" i="1" s="1"/>
  <c r="BE38" i="1" s="1"/>
  <c r="BF38" i="1" s="1"/>
  <c r="BG38" i="1" s="1"/>
  <c r="BH38" i="1" s="1"/>
  <c r="BI38" i="1" s="1"/>
  <c r="BJ38" i="1" s="1"/>
  <c r="BK38" i="1" s="1"/>
  <c r="BL38" i="1" s="1"/>
  <c r="BM38" i="1" s="1"/>
  <c r="BN38" i="1" s="1"/>
  <c r="BO38" i="1" s="1"/>
  <c r="BP38" i="1" s="1"/>
  <c r="BQ38" i="1" s="1"/>
  <c r="BR38" i="1" s="1"/>
  <c r="BS38" i="1" s="1"/>
  <c r="BT38" i="1" s="1"/>
  <c r="BU38" i="1" s="1"/>
  <c r="BV38" i="1" s="1"/>
  <c r="BW38" i="1" s="1"/>
  <c r="BX38" i="1" s="1"/>
  <c r="BY38" i="1" s="1"/>
  <c r="BZ38" i="1" s="1"/>
  <c r="CA38" i="1" s="1"/>
  <c r="CB38" i="1" s="1"/>
  <c r="CC38" i="1" s="1"/>
  <c r="CD38" i="1" s="1"/>
  <c r="CE38" i="1" s="1"/>
  <c r="CF38" i="1" s="1"/>
  <c r="CG38" i="1" s="1"/>
  <c r="CH38" i="1" s="1"/>
  <c r="CI38" i="1" s="1"/>
  <c r="CJ38" i="1" s="1"/>
  <c r="CK38" i="1" s="1"/>
  <c r="CL38" i="1" s="1"/>
  <c r="CM38" i="1" s="1"/>
  <c r="CN38" i="1" s="1"/>
  <c r="CO38" i="1" s="1"/>
  <c r="CP38" i="1" s="1"/>
  <c r="CQ38" i="1" s="1"/>
  <c r="CR38" i="1" s="1"/>
  <c r="CS38" i="1" s="1"/>
  <c r="CT38" i="1" s="1"/>
  <c r="CU38" i="1" s="1"/>
  <c r="CV38" i="1" s="1"/>
  <c r="CW38" i="1" s="1"/>
  <c r="CX38" i="1" s="1"/>
  <c r="CY38" i="1" s="1"/>
  <c r="CZ38" i="1" s="1"/>
  <c r="DA38" i="1" s="1"/>
  <c r="DB38" i="1" s="1"/>
  <c r="DC38" i="1" s="1"/>
  <c r="DD38" i="1" s="1"/>
  <c r="DE38" i="1" s="1"/>
  <c r="DF38" i="1" s="1"/>
  <c r="DG38" i="1" s="1"/>
  <c r="DH38" i="1" s="1"/>
  <c r="DI38" i="1" s="1"/>
  <c r="DJ38" i="1" s="1"/>
  <c r="DK38" i="1" s="1"/>
  <c r="DL38" i="1" s="1"/>
  <c r="DM38" i="1" s="1"/>
  <c r="DN38" i="1" s="1"/>
  <c r="DO38" i="1" s="1"/>
  <c r="DP38" i="1" s="1"/>
  <c r="DQ38" i="1" s="1"/>
  <c r="DR38" i="1" s="1"/>
  <c r="DS38" i="1" s="1"/>
  <c r="DT38" i="1" s="1"/>
  <c r="DU38" i="1" s="1"/>
  <c r="DV38" i="1" s="1"/>
  <c r="DW38" i="1" s="1"/>
  <c r="DX38" i="1" s="1"/>
  <c r="DY38" i="1" s="1"/>
  <c r="DZ38" i="1" s="1"/>
  <c r="EA38" i="1" s="1"/>
  <c r="EB38" i="1" s="1"/>
  <c r="EC38" i="1" s="1"/>
  <c r="ED38" i="1" s="1"/>
  <c r="AC27" i="1" s="1"/>
  <c r="Z26" i="1" l="1"/>
  <c r="Z22" i="1"/>
  <c r="AA21" i="1"/>
  <c r="AB21" i="1" s="1"/>
  <c r="AC21" i="1" s="1"/>
  <c r="AD21" i="1" s="1"/>
  <c r="AE21" i="1" s="1"/>
  <c r="AF21" i="1" s="1"/>
  <c r="AG21" i="1" s="1"/>
  <c r="AH21" i="1" s="1"/>
  <c r="AI21" i="1" s="1"/>
  <c r="AJ21" i="1" s="1"/>
  <c r="AK21" i="1" s="1"/>
  <c r="AL21" i="1" s="1"/>
  <c r="AM21" i="1" s="1"/>
  <c r="AN21" i="1" s="1"/>
  <c r="AO21" i="1" s="1"/>
  <c r="AP21" i="1" s="1"/>
  <c r="AQ21" i="1" s="1"/>
  <c r="AR21" i="1" s="1"/>
  <c r="AS21" i="1" s="1"/>
  <c r="AT21" i="1" s="1"/>
  <c r="AU21" i="1" s="1"/>
  <c r="AV21" i="1" s="1"/>
  <c r="AW21" i="1" s="1"/>
  <c r="AX21" i="1" s="1"/>
  <c r="AY21" i="1" s="1"/>
  <c r="AZ21" i="1" s="1"/>
  <c r="BA21" i="1" s="1"/>
  <c r="BB21" i="1" s="1"/>
  <c r="BC21" i="1" s="1"/>
  <c r="BD21" i="1" s="1"/>
  <c r="BE21" i="1" s="1"/>
  <c r="BF21" i="1" s="1"/>
  <c r="BG21" i="1" s="1"/>
  <c r="BH21" i="1" s="1"/>
  <c r="BI21" i="1" s="1"/>
  <c r="BJ21" i="1" s="1"/>
  <c r="BK21" i="1" s="1"/>
  <c r="BL21" i="1" s="1"/>
  <c r="BM21" i="1" s="1"/>
  <c r="BN21" i="1" s="1"/>
  <c r="BO21" i="1" s="1"/>
  <c r="BP21" i="1" s="1"/>
  <c r="BQ21" i="1" s="1"/>
  <c r="BR21" i="1" s="1"/>
  <c r="BS21" i="1" s="1"/>
  <c r="BT21" i="1" s="1"/>
  <c r="BU21" i="1" s="1"/>
  <c r="BV21" i="1" s="1"/>
  <c r="BW21" i="1" s="1"/>
  <c r="Y22" i="1"/>
  <c r="Y26" i="1"/>
  <c r="BX21" i="1" l="1"/>
  <c r="BY21" i="1" s="1"/>
  <c r="BZ21" i="1" s="1"/>
  <c r="CA21" i="1" s="1"/>
  <c r="CB21" i="1" s="1"/>
  <c r="CC21" i="1" s="1"/>
  <c r="CD21" i="1" s="1"/>
  <c r="CE21" i="1" s="1"/>
  <c r="CF21" i="1" s="1"/>
  <c r="CG21" i="1" s="1"/>
  <c r="CH21" i="1" s="1"/>
  <c r="CI21" i="1" s="1"/>
  <c r="CJ21" i="1" s="1"/>
  <c r="CK21" i="1" s="1"/>
  <c r="CL21" i="1" s="1"/>
  <c r="CM21" i="1" s="1"/>
  <c r="CN21" i="1" s="1"/>
  <c r="CO21" i="1" s="1"/>
  <c r="CP21" i="1" s="1"/>
  <c r="CQ21" i="1" s="1"/>
  <c r="CR21" i="1" s="1"/>
  <c r="CS21" i="1" s="1"/>
  <c r="CT21" i="1" s="1"/>
  <c r="CU21" i="1" s="1"/>
  <c r="CV21" i="1" s="1"/>
  <c r="CW21" i="1" s="1"/>
  <c r="CX21" i="1" s="1"/>
  <c r="CY21" i="1" s="1"/>
  <c r="CZ21" i="1" s="1"/>
  <c r="DA21" i="1" s="1"/>
  <c r="DB21" i="1" s="1"/>
  <c r="DC21" i="1" s="1"/>
  <c r="DD21" i="1" s="1"/>
  <c r="DE21" i="1" s="1"/>
  <c r="DF21" i="1" s="1"/>
  <c r="DG21" i="1" s="1"/>
  <c r="DH21" i="1" s="1"/>
  <c r="DI21" i="1" s="1"/>
  <c r="DJ21" i="1" s="1"/>
  <c r="DK21" i="1" s="1"/>
  <c r="DL21" i="1" s="1"/>
  <c r="DM21" i="1" s="1"/>
  <c r="DN21" i="1" s="1"/>
  <c r="DO21" i="1" s="1"/>
  <c r="DP21" i="1" s="1"/>
  <c r="DQ21" i="1" s="1"/>
  <c r="DR21" i="1" s="1"/>
  <c r="DS21" i="1" s="1"/>
  <c r="DT21" i="1" s="1"/>
  <c r="DU21" i="1" s="1"/>
  <c r="DV21" i="1" s="1"/>
  <c r="DW21" i="1" s="1"/>
  <c r="DX21" i="1" s="1"/>
  <c r="DY21" i="1" s="1"/>
  <c r="DZ21" i="1" s="1"/>
  <c r="EA21" i="1" s="1"/>
  <c r="EB21" i="1" s="1"/>
  <c r="EC21" i="1" s="1"/>
  <c r="ED21" i="1" s="1"/>
  <c r="EE21" i="1" s="1"/>
  <c r="AC29" i="1" s="1"/>
  <c r="AC30" i="1" s="1"/>
  <c r="AC31" i="1" l="1"/>
  <c r="AC32" i="1"/>
</calcChain>
</file>

<file path=xl/sharedStrings.xml><?xml version="1.0" encoding="utf-8"?>
<sst xmlns="http://schemas.openxmlformats.org/spreadsheetml/2006/main" count="67" uniqueCount="57">
  <si>
    <t>Merchant Revenue</t>
  </si>
  <si>
    <t>Agency Revenue</t>
  </si>
  <si>
    <t>Ads and other</t>
  </si>
  <si>
    <t>Total Revenue</t>
  </si>
  <si>
    <t>Marketing</t>
  </si>
  <si>
    <t>Sales &amp; Other</t>
  </si>
  <si>
    <t xml:space="preserve">Personnel </t>
  </si>
  <si>
    <t>G&amp;A</t>
  </si>
  <si>
    <t>IT</t>
  </si>
  <si>
    <t>D&amp;A</t>
  </si>
  <si>
    <t>Operating Income</t>
  </si>
  <si>
    <t>Interest Expense</t>
  </si>
  <si>
    <t>Interest Income</t>
  </si>
  <si>
    <t>Other Income, net</t>
  </si>
  <si>
    <t>Pretax</t>
  </si>
  <si>
    <t>Taxes</t>
  </si>
  <si>
    <t>Net Income</t>
  </si>
  <si>
    <t>Operating Margin</t>
  </si>
  <si>
    <t>Net Margin</t>
  </si>
  <si>
    <t>CFFO</t>
  </si>
  <si>
    <t>CapEx</t>
  </si>
  <si>
    <t>FCF</t>
  </si>
  <si>
    <t>Stock Based Comps.</t>
  </si>
  <si>
    <t>Adj. FCF</t>
  </si>
  <si>
    <t>Stock Buybacks</t>
  </si>
  <si>
    <t>Dividends Paid</t>
  </si>
  <si>
    <t>Total</t>
  </si>
  <si>
    <t>Price</t>
  </si>
  <si>
    <t>Shares</t>
  </si>
  <si>
    <t>MC</t>
  </si>
  <si>
    <t>Net Cash</t>
  </si>
  <si>
    <t>EV</t>
  </si>
  <si>
    <t>EPS</t>
  </si>
  <si>
    <t>Shares Removed</t>
  </si>
  <si>
    <t>%</t>
  </si>
  <si>
    <t>Q124</t>
  </si>
  <si>
    <t>Q224</t>
  </si>
  <si>
    <t>Q324</t>
  </si>
  <si>
    <t>Q424</t>
  </si>
  <si>
    <t>Q125</t>
  </si>
  <si>
    <t>Q225</t>
  </si>
  <si>
    <t>Q325</t>
  </si>
  <si>
    <t>Q425</t>
  </si>
  <si>
    <t>Revenue Y/Y</t>
  </si>
  <si>
    <t>Merchant Y/Y</t>
  </si>
  <si>
    <t>Agency Y/Y</t>
  </si>
  <si>
    <t>Cash</t>
  </si>
  <si>
    <t>Debt</t>
  </si>
  <si>
    <t>FCF Yield</t>
  </si>
  <si>
    <t>EV/E</t>
  </si>
  <si>
    <t>Discount</t>
  </si>
  <si>
    <t>Terminal</t>
  </si>
  <si>
    <t>NPV</t>
  </si>
  <si>
    <t>Value</t>
  </si>
  <si>
    <t>Diff</t>
  </si>
  <si>
    <t>Credit Loss Prov.</t>
  </si>
  <si>
    <t>FCFF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</si>
</sst>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€&quot;\ #,##0.00;[Red]\-&quot;€&quot;\ #,##0.00"/>
    <numFmt numFmtId="164" formatCode="#,##0.000"/>
    <numFmt numFmtId="165" formatCode="0.0%"/>
    <numFmt numFmtId="166" formatCode="#,##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164" fontId="0" fillId="0" borderId="0" xfId="0" applyNumberFormat="1"/>
    <xf numFmtId="4" fontId="0" fillId="0" borderId="0" xfId="0" applyNumberFormat="1"/>
    <xf numFmtId="165" fontId="0" fillId="0" borderId="0" xfId="1" applyNumberFormat="1" applyFont="1"/>
    <xf numFmtId="3" fontId="0" fillId="0" borderId="0" xfId="1" applyNumberFormat="1" applyFont="1"/>
    <xf numFmtId="8" fontId="0" fillId="0" borderId="0" xfId="1" applyNumberFormat="1" applyFont="1"/>
    <xf numFmtId="2" fontId="0" fillId="0" borderId="0" xfId="1" applyNumberFormat="1" applyFont="1"/>
    <xf numFmtId="2" fontId="0" fillId="0" borderId="0" xfId="0" applyNumberFormat="1"/>
    <xf numFmtId="9" fontId="2" fillId="0" borderId="0" xfId="1" applyFont="1"/>
    <xf numFmtId="2" fontId="2" fillId="0" borderId="0" xfId="0" applyNumberFormat="1" applyFont="1"/>
    <xf numFmtId="3" fontId="0" fillId="0" borderId="0" xfId="0" applyNumberFormat="1" applyFont="1"/>
    <xf numFmtId="16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32658</xdr:colOff>
      <xdr:row>3</xdr:row>
      <xdr:rowOff>97971</xdr:rowOff>
    </xdr:from>
    <xdr:to>
      <xdr:col>16</xdr:col>
      <xdr:colOff>65315</xdr:colOff>
      <xdr:row>40</xdr:row>
      <xdr:rowOff>21771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98ED55E-7CE5-5BD4-2236-B1CDEB2B857E}"/>
            </a:ext>
          </a:extLst>
        </xdr:cNvPr>
        <xdr:cNvCxnSpPr/>
      </xdr:nvCxnSpPr>
      <xdr:spPr>
        <a:xfrm>
          <a:off x="9971315" y="669471"/>
          <a:ext cx="32657" cy="6781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A7D2C-9EFB-4AA6-8CAD-686B2DDCB925}">
  <dimension ref="C20:D28"/>
  <sheetViews>
    <sheetView topLeftCell="A17" zoomScale="160" zoomScaleNormal="160" workbookViewId="0">
      <selection activeCell="E28" sqref="E28"/>
    </sheetView>
  </sheetViews>
  <sheetFormatPr defaultRowHeight="15" x14ac:dyDescent="0.25"/>
  <cols>
    <col min="1" max="2" width="9.140625" style="1"/>
    <col min="3" max="3" width="8.85546875" style="1" bestFit="1" customWidth="1"/>
    <col min="4" max="5" width="9.28515625" style="1" customWidth="1"/>
    <col min="6" max="16384" width="9.140625" style="1"/>
  </cols>
  <sheetData>
    <row r="20" spans="3:4" x14ac:dyDescent="0.25">
      <c r="C20" s="1" t="s">
        <v>27</v>
      </c>
      <c r="D20" s="1">
        <v>4035</v>
      </c>
    </row>
    <row r="21" spans="3:4" x14ac:dyDescent="0.25">
      <c r="C21" s="1" t="s">
        <v>28</v>
      </c>
      <c r="D21" s="4">
        <v>32.233815</v>
      </c>
    </row>
    <row r="22" spans="3:4" x14ac:dyDescent="0.25">
      <c r="C22" s="1" t="s">
        <v>29</v>
      </c>
      <c r="D22" s="1">
        <f>+D20*D21</f>
        <v>130063.443525</v>
      </c>
    </row>
    <row r="23" spans="3:4" x14ac:dyDescent="0.25">
      <c r="C23" s="1" t="s">
        <v>30</v>
      </c>
      <c r="D23" s="1">
        <f>+Model!AC28</f>
        <v>-1533</v>
      </c>
    </row>
    <row r="24" spans="3:4" x14ac:dyDescent="0.25">
      <c r="C24" s="1" t="s">
        <v>31</v>
      </c>
      <c r="D24" s="1">
        <f>+D22-D23</f>
        <v>131596.44352500001</v>
      </c>
    </row>
    <row r="27" spans="3:4" x14ac:dyDescent="0.25">
      <c r="C27" s="1" t="s">
        <v>48</v>
      </c>
      <c r="D27" s="6">
        <f>+Model!Q35/Main!D24</f>
        <v>5.8003034090734547E-2</v>
      </c>
    </row>
    <row r="28" spans="3:4" x14ac:dyDescent="0.25">
      <c r="C28" s="1" t="s">
        <v>49</v>
      </c>
      <c r="D28" s="1">
        <f>+D24/Model!Q21</f>
        <v>18.764662038732965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D5D78-DD9B-40FF-B750-89A14E84AC14}">
  <dimension ref="B2:EE128"/>
  <sheetViews>
    <sheetView tabSelected="1" zoomScale="175" zoomScaleNormal="175" workbookViewId="0">
      <pane xSplit="2" ySplit="2" topLeftCell="R21" activePane="bottomRight" state="frozen"/>
      <selection pane="topRight" activeCell="C1" sqref="C1"/>
      <selection pane="bottomLeft" activeCell="A3" sqref="A3"/>
      <selection pane="bottomRight" activeCell="AD32" sqref="AD32"/>
    </sheetView>
  </sheetViews>
  <sheetFormatPr defaultRowHeight="15" x14ac:dyDescent="0.25"/>
  <cols>
    <col min="1" max="1" width="2.85546875" customWidth="1"/>
    <col min="2" max="2" width="18" bestFit="1" customWidth="1"/>
    <col min="3" max="3" width="9.28515625" customWidth="1"/>
    <col min="29" max="29" width="12" bestFit="1" customWidth="1"/>
  </cols>
  <sheetData>
    <row r="2" spans="2:26" x14ac:dyDescent="0.25"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M2">
        <v>2022</v>
      </c>
      <c r="N2">
        <f t="shared" ref="N2:Z2" si="0">+M2+1</f>
        <v>2023</v>
      </c>
      <c r="O2">
        <f t="shared" si="0"/>
        <v>2024</v>
      </c>
      <c r="P2">
        <f t="shared" si="0"/>
        <v>2025</v>
      </c>
      <c r="Q2">
        <f t="shared" si="0"/>
        <v>2026</v>
      </c>
      <c r="R2">
        <f t="shared" si="0"/>
        <v>2027</v>
      </c>
      <c r="S2">
        <f t="shared" si="0"/>
        <v>2028</v>
      </c>
      <c r="T2">
        <f t="shared" si="0"/>
        <v>2029</v>
      </c>
      <c r="U2">
        <f t="shared" si="0"/>
        <v>2030</v>
      </c>
      <c r="V2">
        <f t="shared" si="0"/>
        <v>2031</v>
      </c>
      <c r="W2">
        <f t="shared" si="0"/>
        <v>2032</v>
      </c>
      <c r="X2">
        <f t="shared" si="0"/>
        <v>2033</v>
      </c>
      <c r="Y2">
        <f t="shared" si="0"/>
        <v>2034</v>
      </c>
      <c r="Z2">
        <f t="shared" si="0"/>
        <v>2035</v>
      </c>
    </row>
    <row r="4" spans="2:26" s="1" customFormat="1" x14ac:dyDescent="0.25"/>
    <row r="5" spans="2:26" s="1" customFormat="1" x14ac:dyDescent="0.25">
      <c r="B5" s="1" t="s">
        <v>0</v>
      </c>
      <c r="C5" s="1">
        <v>2388</v>
      </c>
      <c r="D5" s="1">
        <v>3446</v>
      </c>
      <c r="E5" s="1">
        <v>4972</v>
      </c>
      <c r="F5" s="1">
        <f>+O5-E5-D5-C5</f>
        <v>3336</v>
      </c>
      <c r="G5" s="1">
        <v>2918</v>
      </c>
      <c r="H5" s="1">
        <v>4457</v>
      </c>
      <c r="I5" s="1">
        <v>6131</v>
      </c>
      <c r="J5" s="1">
        <f>+F5*1.2</f>
        <v>4003.2</v>
      </c>
      <c r="M5" s="1">
        <v>7193</v>
      </c>
      <c r="N5" s="1">
        <v>10936</v>
      </c>
      <c r="O5" s="1">
        <v>14142</v>
      </c>
      <c r="P5" s="1">
        <v>17755</v>
      </c>
      <c r="Q5" s="1">
        <f>+P5*1.15</f>
        <v>20418.25</v>
      </c>
      <c r="R5" s="1">
        <f>+Q5*1.12</f>
        <v>22868.440000000002</v>
      </c>
      <c r="S5" s="1">
        <f t="shared" ref="S5" si="1">+R5*1.12</f>
        <v>25612.652800000003</v>
      </c>
      <c r="T5" s="1">
        <f>+S5*1.1</f>
        <v>28173.918080000007</v>
      </c>
      <c r="U5" s="1">
        <f t="shared" ref="U5:W5" si="2">+T5*1.1</f>
        <v>30991.309888000011</v>
      </c>
      <c r="V5" s="1">
        <f t="shared" si="2"/>
        <v>34090.440876800014</v>
      </c>
      <c r="W5" s="1">
        <f t="shared" si="2"/>
        <v>37499.48496448002</v>
      </c>
      <c r="X5" s="1">
        <f t="shared" ref="X5" si="3">+W5*1.1</f>
        <v>41249.433460928027</v>
      </c>
      <c r="Y5" s="1">
        <f t="shared" ref="Y5" si="4">+X5*1.1</f>
        <v>45374.376807020832</v>
      </c>
      <c r="Z5" s="1">
        <f t="shared" ref="Z5" si="5">+Y5*1.1</f>
        <v>49911.814487722921</v>
      </c>
    </row>
    <row r="6" spans="2:26" s="1" customFormat="1" x14ac:dyDescent="0.25">
      <c r="B6" s="1" t="s">
        <v>1</v>
      </c>
      <c r="C6" s="1">
        <v>1763</v>
      </c>
      <c r="D6" s="1">
        <v>2144</v>
      </c>
      <c r="E6" s="1">
        <v>2753</v>
      </c>
      <c r="F6" s="1">
        <f>+O6-E6-D6-C6</f>
        <v>1864</v>
      </c>
      <c r="G6" s="1">
        <v>1564</v>
      </c>
      <c r="H6" s="1">
        <v>2044</v>
      </c>
      <c r="I6" s="1">
        <v>2569</v>
      </c>
      <c r="J6" s="1">
        <f>+F6*0.95</f>
        <v>1770.8</v>
      </c>
      <c r="M6" s="1">
        <v>9003</v>
      </c>
      <c r="N6" s="1">
        <v>9414</v>
      </c>
      <c r="O6" s="1">
        <v>8524</v>
      </c>
      <c r="P6" s="1">
        <v>7968</v>
      </c>
      <c r="Q6" s="1">
        <f>+P6*0.95</f>
        <v>7569.5999999999995</v>
      </c>
      <c r="R6" s="1">
        <f t="shared" ref="R6:Z6" si="6">+Q6*0.95</f>
        <v>7191.119999999999</v>
      </c>
      <c r="S6" s="1">
        <f t="shared" si="6"/>
        <v>6831.5639999999985</v>
      </c>
      <c r="T6" s="1">
        <f t="shared" si="6"/>
        <v>6489.9857999999986</v>
      </c>
      <c r="U6" s="1">
        <f t="shared" si="6"/>
        <v>6165.4865099999979</v>
      </c>
      <c r="V6" s="1">
        <f t="shared" si="6"/>
        <v>5857.2121844999974</v>
      </c>
      <c r="W6" s="1">
        <f t="shared" si="6"/>
        <v>5564.3515752749972</v>
      </c>
      <c r="X6" s="1">
        <f t="shared" si="6"/>
        <v>5286.1339965112475</v>
      </c>
      <c r="Y6" s="1">
        <f t="shared" si="6"/>
        <v>5021.8272966856848</v>
      </c>
      <c r="Z6" s="1">
        <f t="shared" si="6"/>
        <v>4770.7359318514</v>
      </c>
    </row>
    <row r="7" spans="2:26" s="1" customFormat="1" x14ac:dyDescent="0.25">
      <c r="B7" s="1" t="s">
        <v>2</v>
      </c>
      <c r="C7" s="1">
        <v>264</v>
      </c>
      <c r="D7" s="1">
        <v>269</v>
      </c>
      <c r="E7" s="1">
        <v>269</v>
      </c>
      <c r="F7" s="1">
        <f>+O7-E7-D7-C7</f>
        <v>271</v>
      </c>
      <c r="G7" s="1">
        <v>280</v>
      </c>
      <c r="H7" s="1">
        <v>297</v>
      </c>
      <c r="I7" s="1">
        <v>308</v>
      </c>
      <c r="J7" s="1">
        <v>300</v>
      </c>
      <c r="M7" s="1">
        <v>894</v>
      </c>
      <c r="N7" s="1">
        <v>1015</v>
      </c>
      <c r="O7" s="1">
        <v>1073</v>
      </c>
      <c r="P7" s="1">
        <v>1194</v>
      </c>
      <c r="Q7" s="1">
        <f>+P7*1.05</f>
        <v>1253.7</v>
      </c>
      <c r="R7" s="1">
        <f t="shared" ref="R7:Z7" si="7">+Q7*1.05</f>
        <v>1316.385</v>
      </c>
      <c r="S7" s="1">
        <f t="shared" si="7"/>
        <v>1382.20425</v>
      </c>
      <c r="T7" s="1">
        <f t="shared" si="7"/>
        <v>1451.3144625</v>
      </c>
      <c r="U7" s="1">
        <f t="shared" si="7"/>
        <v>1523.880185625</v>
      </c>
      <c r="V7" s="1">
        <f t="shared" si="7"/>
        <v>1600.0741949062501</v>
      </c>
      <c r="W7" s="1">
        <f t="shared" si="7"/>
        <v>1680.0779046515627</v>
      </c>
      <c r="X7" s="1">
        <f t="shared" si="7"/>
        <v>1764.081799884141</v>
      </c>
      <c r="Y7" s="1">
        <f t="shared" si="7"/>
        <v>1852.2858898783481</v>
      </c>
      <c r="Z7" s="1">
        <f t="shared" si="7"/>
        <v>1944.9001843722656</v>
      </c>
    </row>
    <row r="8" spans="2:26" s="2" customFormat="1" x14ac:dyDescent="0.25">
      <c r="B8" s="2" t="s">
        <v>3</v>
      </c>
      <c r="C8" s="2">
        <f t="shared" ref="C8" si="8">+SUM(C5:C7)</f>
        <v>4415</v>
      </c>
      <c r="D8" s="2">
        <f t="shared" ref="D8" si="9">+SUM(D5:D7)</f>
        <v>5859</v>
      </c>
      <c r="E8" s="2">
        <f t="shared" ref="E8" si="10">+SUM(E5:E7)</f>
        <v>7994</v>
      </c>
      <c r="F8" s="2">
        <f t="shared" ref="F8" si="11">+SUM(F5:F7)</f>
        <v>5471</v>
      </c>
      <c r="G8" s="2">
        <f t="shared" ref="G8" si="12">+SUM(G5:G7)</f>
        <v>4762</v>
      </c>
      <c r="H8" s="2">
        <f t="shared" ref="H8" si="13">+SUM(H5:H7)</f>
        <v>6798</v>
      </c>
      <c r="I8" s="2">
        <f t="shared" ref="I8" si="14">+SUM(I5:I7)</f>
        <v>9008</v>
      </c>
      <c r="J8" s="2">
        <f t="shared" ref="J8" si="15">+SUM(J5:J7)</f>
        <v>6074</v>
      </c>
      <c r="M8" s="2">
        <f>+SUM(M5:M7)</f>
        <v>17090</v>
      </c>
      <c r="N8" s="2">
        <f t="shared" ref="N8:Z8" si="16">+SUM(N5:N7)</f>
        <v>21365</v>
      </c>
      <c r="O8" s="2">
        <f t="shared" si="16"/>
        <v>23739</v>
      </c>
      <c r="P8" s="2">
        <f t="shared" si="16"/>
        <v>26917</v>
      </c>
      <c r="Q8" s="2">
        <f t="shared" si="16"/>
        <v>29241.55</v>
      </c>
      <c r="R8" s="2">
        <f t="shared" si="16"/>
        <v>31375.945</v>
      </c>
      <c r="S8" s="2">
        <f t="shared" si="16"/>
        <v>33826.421050000004</v>
      </c>
      <c r="T8" s="2">
        <f t="shared" si="16"/>
        <v>36115.218342500004</v>
      </c>
      <c r="U8" s="2">
        <f t="shared" si="16"/>
        <v>38680.676583625005</v>
      </c>
      <c r="V8" s="2">
        <f t="shared" si="16"/>
        <v>41547.727256206264</v>
      </c>
      <c r="W8" s="2">
        <f t="shared" si="16"/>
        <v>44743.914444406575</v>
      </c>
      <c r="X8" s="2">
        <f t="shared" si="16"/>
        <v>48299.649257323414</v>
      </c>
      <c r="Y8" s="2">
        <f t="shared" si="16"/>
        <v>52248.489993584859</v>
      </c>
      <c r="Z8" s="2">
        <f t="shared" si="16"/>
        <v>56627.450603946585</v>
      </c>
    </row>
    <row r="9" spans="2:26" s="1" customFormat="1" x14ac:dyDescent="0.25">
      <c r="B9" s="1" t="s">
        <v>4</v>
      </c>
      <c r="C9" s="1">
        <v>1610</v>
      </c>
      <c r="D9" s="1">
        <v>1939</v>
      </c>
      <c r="E9" s="1">
        <v>2151</v>
      </c>
      <c r="F9" s="1">
        <f t="shared" ref="F9:F14" si="17">+O9-E9-D9-C9</f>
        <v>1578</v>
      </c>
      <c r="G9" s="1">
        <v>1777</v>
      </c>
      <c r="H9" s="1">
        <v>2139</v>
      </c>
      <c r="I9" s="1">
        <v>2340</v>
      </c>
      <c r="J9" s="1">
        <v>1700</v>
      </c>
      <c r="M9" s="1">
        <v>5993</v>
      </c>
      <c r="N9" s="1">
        <v>6773</v>
      </c>
      <c r="O9" s="1">
        <v>7278</v>
      </c>
      <c r="P9" s="1">
        <v>8186</v>
      </c>
      <c r="Q9" s="1">
        <f>+Q8*0.3</f>
        <v>8772.4650000000001</v>
      </c>
      <c r="R9" s="1">
        <f t="shared" ref="R9:Z9" si="18">+R8*0.3</f>
        <v>9412.7834999999995</v>
      </c>
      <c r="S9" s="1">
        <f t="shared" si="18"/>
        <v>10147.926315000001</v>
      </c>
      <c r="T9" s="1">
        <f t="shared" si="18"/>
        <v>10834.565502750002</v>
      </c>
      <c r="U9" s="1">
        <f t="shared" si="18"/>
        <v>11604.202975087501</v>
      </c>
      <c r="V9" s="1">
        <f t="shared" si="18"/>
        <v>12464.31817686188</v>
      </c>
      <c r="W9" s="1">
        <f t="shared" si="18"/>
        <v>13423.174333321973</v>
      </c>
      <c r="X9" s="1">
        <f t="shared" si="18"/>
        <v>14489.894777197023</v>
      </c>
      <c r="Y9" s="1">
        <f t="shared" si="18"/>
        <v>15674.546998075457</v>
      </c>
      <c r="Z9" s="1">
        <f t="shared" si="18"/>
        <v>16988.235181183976</v>
      </c>
    </row>
    <row r="10" spans="2:26" s="1" customFormat="1" x14ac:dyDescent="0.25">
      <c r="B10" s="1" t="s">
        <v>5</v>
      </c>
      <c r="C10" s="1">
        <v>678</v>
      </c>
      <c r="D10" s="1">
        <v>820</v>
      </c>
      <c r="E10" s="1">
        <v>872</v>
      </c>
      <c r="F10" s="1">
        <f t="shared" si="17"/>
        <v>750</v>
      </c>
      <c r="G10" s="1">
        <v>702</v>
      </c>
      <c r="H10" s="1">
        <v>899</v>
      </c>
      <c r="I10" s="1">
        <v>1022</v>
      </c>
      <c r="J10" s="1">
        <v>900</v>
      </c>
      <c r="M10" s="1">
        <v>1986</v>
      </c>
      <c r="N10" s="1">
        <v>2744</v>
      </c>
      <c r="O10" s="1">
        <v>3120</v>
      </c>
      <c r="P10" s="1">
        <v>3453</v>
      </c>
      <c r="Q10" s="1">
        <f>+Q8*0.13</f>
        <v>3801.4014999999999</v>
      </c>
      <c r="R10" s="1">
        <f t="shared" ref="R10:Z10" si="19">+R8*0.13</f>
        <v>4078.8728500000002</v>
      </c>
      <c r="S10" s="1">
        <f t="shared" si="19"/>
        <v>4397.4347365000003</v>
      </c>
      <c r="T10" s="1">
        <f t="shared" si="19"/>
        <v>4694.9783845250004</v>
      </c>
      <c r="U10" s="1">
        <f t="shared" si="19"/>
        <v>5028.487955871251</v>
      </c>
      <c r="V10" s="1">
        <f t="shared" si="19"/>
        <v>5401.2045433068142</v>
      </c>
      <c r="W10" s="1">
        <f t="shared" si="19"/>
        <v>5816.708877772855</v>
      </c>
      <c r="X10" s="1">
        <f t="shared" si="19"/>
        <v>6278.9544034520441</v>
      </c>
      <c r="Y10" s="1">
        <f t="shared" si="19"/>
        <v>6792.3036991660319</v>
      </c>
      <c r="Z10" s="1">
        <f t="shared" si="19"/>
        <v>7361.5685785130563</v>
      </c>
    </row>
    <row r="11" spans="2:26" s="1" customFormat="1" x14ac:dyDescent="0.25">
      <c r="B11" s="1" t="s">
        <v>6</v>
      </c>
      <c r="C11" s="1">
        <v>826</v>
      </c>
      <c r="D11" s="1">
        <v>807</v>
      </c>
      <c r="E11" s="1">
        <v>868</v>
      </c>
      <c r="F11" s="1">
        <f t="shared" si="17"/>
        <v>853</v>
      </c>
      <c r="G11" s="1">
        <v>693</v>
      </c>
      <c r="H11" s="1">
        <v>896</v>
      </c>
      <c r="I11" s="1">
        <v>945</v>
      </c>
      <c r="J11" s="1">
        <v>950</v>
      </c>
      <c r="M11" s="1">
        <v>2465</v>
      </c>
      <c r="N11" s="1">
        <v>3294</v>
      </c>
      <c r="O11" s="1">
        <v>3354</v>
      </c>
      <c r="P11" s="1">
        <v>3403</v>
      </c>
      <c r="Q11" s="1">
        <f>+Q8*0.12</f>
        <v>3508.9859999999999</v>
      </c>
      <c r="R11" s="1">
        <f t="shared" ref="R11:Z11" si="20">+R8*0.12</f>
        <v>3765.1133999999997</v>
      </c>
      <c r="S11" s="1">
        <f t="shared" si="20"/>
        <v>4059.1705260000003</v>
      </c>
      <c r="T11" s="1">
        <f t="shared" si="20"/>
        <v>4333.8262011000006</v>
      </c>
      <c r="U11" s="1">
        <f t="shared" si="20"/>
        <v>4641.6811900350003</v>
      </c>
      <c r="V11" s="1">
        <f t="shared" si="20"/>
        <v>4985.7272707447519</v>
      </c>
      <c r="W11" s="1">
        <f t="shared" si="20"/>
        <v>5369.2697333287888</v>
      </c>
      <c r="X11" s="1">
        <f t="shared" si="20"/>
        <v>5795.9579108788093</v>
      </c>
      <c r="Y11" s="1">
        <f t="shared" si="20"/>
        <v>6269.8187992301828</v>
      </c>
      <c r="Z11" s="1">
        <f t="shared" si="20"/>
        <v>6795.2940724735899</v>
      </c>
    </row>
    <row r="12" spans="2:26" s="1" customFormat="1" x14ac:dyDescent="0.25">
      <c r="B12" s="1" t="s">
        <v>7</v>
      </c>
      <c r="C12" s="1">
        <v>186</v>
      </c>
      <c r="D12" s="1">
        <v>112</v>
      </c>
      <c r="E12" s="1">
        <v>575</v>
      </c>
      <c r="F12" s="1">
        <f t="shared" si="17"/>
        <v>163</v>
      </c>
      <c r="G12" s="1">
        <v>142</v>
      </c>
      <c r="H12" s="1">
        <v>199</v>
      </c>
      <c r="I12" s="1">
        <v>254</v>
      </c>
      <c r="J12" s="1">
        <v>250</v>
      </c>
      <c r="M12" s="1">
        <v>766</v>
      </c>
      <c r="N12" s="1">
        <v>1555</v>
      </c>
      <c r="O12" s="1">
        <v>1036</v>
      </c>
      <c r="P12" s="1">
        <v>857</v>
      </c>
      <c r="Q12" s="1">
        <f>+Q8*0.035</f>
        <v>1023.4542500000001</v>
      </c>
      <c r="R12" s="1">
        <f t="shared" ref="R12:Z12" si="21">+R8*0.035</f>
        <v>1098.1580750000001</v>
      </c>
      <c r="S12" s="1">
        <f t="shared" si="21"/>
        <v>1183.9247367500002</v>
      </c>
      <c r="T12" s="1">
        <f t="shared" si="21"/>
        <v>1264.0326419875003</v>
      </c>
      <c r="U12" s="1">
        <f t="shared" si="21"/>
        <v>1353.8236804268754</v>
      </c>
      <c r="V12" s="1">
        <f t="shared" si="21"/>
        <v>1454.1704539672194</v>
      </c>
      <c r="W12" s="1">
        <f t="shared" si="21"/>
        <v>1566.0370055542303</v>
      </c>
      <c r="X12" s="1">
        <f t="shared" si="21"/>
        <v>1690.4877240063197</v>
      </c>
      <c r="Y12" s="1">
        <f t="shared" si="21"/>
        <v>1828.6971497754703</v>
      </c>
      <c r="Z12" s="1">
        <f t="shared" si="21"/>
        <v>1981.9607711381307</v>
      </c>
    </row>
    <row r="13" spans="2:26" s="1" customFormat="1" x14ac:dyDescent="0.25">
      <c r="B13" s="1" t="s">
        <v>8</v>
      </c>
      <c r="C13" s="1">
        <v>187</v>
      </c>
      <c r="D13" s="1">
        <v>183</v>
      </c>
      <c r="E13" s="1">
        <v>194</v>
      </c>
      <c r="F13" s="1">
        <f t="shared" si="17"/>
        <v>207</v>
      </c>
      <c r="G13" s="1">
        <v>200</v>
      </c>
      <c r="H13" s="1">
        <v>219</v>
      </c>
      <c r="I13" s="1">
        <v>242</v>
      </c>
      <c r="J13" s="1">
        <v>250</v>
      </c>
      <c r="M13" s="1">
        <v>526</v>
      </c>
      <c r="N13" s="1">
        <v>655</v>
      </c>
      <c r="O13" s="1">
        <v>771</v>
      </c>
      <c r="P13" s="1">
        <v>908</v>
      </c>
      <c r="Q13" s="1">
        <f>+Q8*0.04</f>
        <v>1169.662</v>
      </c>
      <c r="R13" s="1">
        <f t="shared" ref="R13:Z13" si="22">+R8*0.04</f>
        <v>1255.0378000000001</v>
      </c>
      <c r="S13" s="1">
        <f t="shared" si="22"/>
        <v>1353.0568420000002</v>
      </c>
      <c r="T13" s="1">
        <f t="shared" si="22"/>
        <v>1444.6087337000001</v>
      </c>
      <c r="U13" s="1">
        <f t="shared" si="22"/>
        <v>1547.2270633450003</v>
      </c>
      <c r="V13" s="1">
        <f t="shared" si="22"/>
        <v>1661.9090902482505</v>
      </c>
      <c r="W13" s="1">
        <f t="shared" si="22"/>
        <v>1789.7565777762629</v>
      </c>
      <c r="X13" s="1">
        <f t="shared" si="22"/>
        <v>1931.9859702929366</v>
      </c>
      <c r="Y13" s="1">
        <f t="shared" si="22"/>
        <v>2089.9395997433944</v>
      </c>
      <c r="Z13" s="1">
        <f t="shared" si="22"/>
        <v>2265.0980241578636</v>
      </c>
    </row>
    <row r="14" spans="2:26" s="1" customFormat="1" x14ac:dyDescent="0.25">
      <c r="B14" s="1" t="s">
        <v>9</v>
      </c>
      <c r="C14" s="1">
        <v>137</v>
      </c>
      <c r="D14" s="1">
        <v>142</v>
      </c>
      <c r="E14" s="1">
        <v>155</v>
      </c>
      <c r="F14" s="1">
        <f t="shared" si="17"/>
        <v>157</v>
      </c>
      <c r="G14" s="1">
        <v>154</v>
      </c>
      <c r="H14" s="1">
        <v>158</v>
      </c>
      <c r="I14" s="1">
        <v>160</v>
      </c>
      <c r="J14" s="1">
        <v>162</v>
      </c>
      <c r="M14" s="1">
        <v>451</v>
      </c>
      <c r="N14" s="1">
        <v>504</v>
      </c>
      <c r="O14" s="1">
        <v>591</v>
      </c>
      <c r="P14" s="1">
        <v>623</v>
      </c>
      <c r="Q14" s="1">
        <v>650</v>
      </c>
      <c r="R14" s="1">
        <v>650</v>
      </c>
      <c r="S14" s="1">
        <v>650</v>
      </c>
      <c r="T14" s="1">
        <v>650</v>
      </c>
      <c r="U14" s="1">
        <v>650</v>
      </c>
      <c r="V14" s="1">
        <v>650</v>
      </c>
      <c r="W14" s="1">
        <v>650</v>
      </c>
      <c r="X14" s="1">
        <v>650</v>
      </c>
      <c r="Y14" s="1">
        <v>650</v>
      </c>
      <c r="Z14" s="1">
        <v>650</v>
      </c>
    </row>
    <row r="15" spans="2:26" s="2" customFormat="1" x14ac:dyDescent="0.25">
      <c r="B15" s="2" t="s">
        <v>10</v>
      </c>
      <c r="C15" s="2">
        <f t="shared" ref="C15" si="23">+C8-SUM(C9:C14)</f>
        <v>791</v>
      </c>
      <c r="D15" s="2">
        <f t="shared" ref="D15" si="24">+D8-SUM(D9:D14)</f>
        <v>1856</v>
      </c>
      <c r="E15" s="2">
        <f t="shared" ref="E15" si="25">+E8-SUM(E9:E14)</f>
        <v>3179</v>
      </c>
      <c r="F15" s="2">
        <f t="shared" ref="F15" si="26">+F8-SUM(F9:F14)</f>
        <v>1763</v>
      </c>
      <c r="G15" s="2">
        <f t="shared" ref="G15" si="27">+G8-SUM(G9:G14)</f>
        <v>1094</v>
      </c>
      <c r="H15" s="2">
        <f t="shared" ref="H15" si="28">+H8-SUM(H9:H14)</f>
        <v>2288</v>
      </c>
      <c r="I15" s="2">
        <f t="shared" ref="I15" si="29">+I8-SUM(I9:I14)</f>
        <v>4045</v>
      </c>
      <c r="J15" s="2">
        <f t="shared" ref="J15" si="30">+J8-SUM(J9:J14)</f>
        <v>1862</v>
      </c>
      <c r="M15" s="2">
        <f>+M8-SUM(M9:M14)</f>
        <v>4903</v>
      </c>
      <c r="N15" s="2">
        <f t="shared" ref="N15:Z15" si="31">+N8-SUM(N9:N14)</f>
        <v>5840</v>
      </c>
      <c r="O15" s="2">
        <f t="shared" si="31"/>
        <v>7589</v>
      </c>
      <c r="P15" s="2">
        <f t="shared" si="31"/>
        <v>9487</v>
      </c>
      <c r="Q15" s="2">
        <f t="shared" si="31"/>
        <v>10315.581249999999</v>
      </c>
      <c r="R15" s="2">
        <f t="shared" si="31"/>
        <v>11115.979375000003</v>
      </c>
      <c r="S15" s="2">
        <f t="shared" si="31"/>
        <v>12034.907893750002</v>
      </c>
      <c r="T15" s="2">
        <f t="shared" si="31"/>
        <v>12893.206878437501</v>
      </c>
      <c r="U15" s="2">
        <f t="shared" si="31"/>
        <v>13855.253718859381</v>
      </c>
      <c r="V15" s="2">
        <f t="shared" si="31"/>
        <v>14930.397721077348</v>
      </c>
      <c r="W15" s="2">
        <f t="shared" si="31"/>
        <v>16128.967916652466</v>
      </c>
      <c r="X15" s="2">
        <f t="shared" si="31"/>
        <v>17462.368471496284</v>
      </c>
      <c r="Y15" s="2">
        <f t="shared" si="31"/>
        <v>18943.183747594325</v>
      </c>
      <c r="Z15" s="2">
        <f t="shared" si="31"/>
        <v>20585.293976479967</v>
      </c>
    </row>
    <row r="16" spans="2:26" s="1" customFormat="1" x14ac:dyDescent="0.25">
      <c r="B16" s="1" t="s">
        <v>11</v>
      </c>
      <c r="C16" s="1">
        <v>219</v>
      </c>
      <c r="D16" s="1">
        <v>264</v>
      </c>
      <c r="E16" s="1">
        <v>305</v>
      </c>
      <c r="F16" s="1">
        <f>+O16-E16-D16-C16</f>
        <v>507</v>
      </c>
      <c r="G16" s="1">
        <v>649</v>
      </c>
      <c r="H16" s="1">
        <v>418</v>
      </c>
      <c r="I16" s="1">
        <v>301</v>
      </c>
      <c r="J16" s="1">
        <v>500</v>
      </c>
      <c r="M16" s="1">
        <v>391</v>
      </c>
      <c r="N16" s="1">
        <v>897</v>
      </c>
      <c r="O16" s="1">
        <v>1295</v>
      </c>
      <c r="P16" s="1">
        <v>1617</v>
      </c>
      <c r="Q16" s="1">
        <f>+P16*1.02</f>
        <v>1649.34</v>
      </c>
      <c r="R16" s="1">
        <f t="shared" ref="R16:Z16" si="32">+Q16*1.02</f>
        <v>1682.3268</v>
      </c>
      <c r="S16" s="1">
        <f t="shared" si="32"/>
        <v>1715.973336</v>
      </c>
      <c r="T16" s="1">
        <f t="shared" si="32"/>
        <v>1750.2928027200001</v>
      </c>
      <c r="U16" s="1">
        <f t="shared" si="32"/>
        <v>1785.2986587744001</v>
      </c>
      <c r="V16" s="1">
        <f t="shared" si="32"/>
        <v>1821.0046319498881</v>
      </c>
      <c r="W16" s="1">
        <f t="shared" si="32"/>
        <v>1857.424724588886</v>
      </c>
      <c r="X16" s="1">
        <f t="shared" si="32"/>
        <v>1894.5732190806636</v>
      </c>
      <c r="Y16" s="1">
        <f t="shared" si="32"/>
        <v>1932.464683462277</v>
      </c>
      <c r="Z16" s="1">
        <f t="shared" si="32"/>
        <v>1971.1139771315225</v>
      </c>
    </row>
    <row r="17" spans="2:135" s="1" customFormat="1" x14ac:dyDescent="0.25">
      <c r="B17" s="1" t="s">
        <v>12</v>
      </c>
      <c r="C17" s="1">
        <v>243</v>
      </c>
      <c r="D17" s="1">
        <v>293</v>
      </c>
      <c r="E17" s="1">
        <v>327</v>
      </c>
      <c r="F17" s="1">
        <f>+O17-E17-D17-C17</f>
        <v>251</v>
      </c>
      <c r="G17" s="1">
        <v>241</v>
      </c>
      <c r="H17" s="1">
        <v>234</v>
      </c>
      <c r="I17" s="1">
        <v>248</v>
      </c>
      <c r="J17" s="1">
        <v>250</v>
      </c>
      <c r="M17" s="1">
        <v>219</v>
      </c>
      <c r="N17" s="1">
        <v>1020</v>
      </c>
      <c r="O17" s="1">
        <v>1114</v>
      </c>
      <c r="P17" s="1">
        <v>921</v>
      </c>
      <c r="Q17" s="1">
        <v>900</v>
      </c>
      <c r="R17" s="1">
        <v>900</v>
      </c>
      <c r="S17" s="1">
        <v>900</v>
      </c>
      <c r="T17" s="1">
        <v>900</v>
      </c>
      <c r="U17" s="1">
        <v>900</v>
      </c>
      <c r="V17" s="1">
        <v>900</v>
      </c>
      <c r="W17" s="1">
        <v>900</v>
      </c>
      <c r="X17" s="1">
        <v>900</v>
      </c>
      <c r="Y17" s="1">
        <v>900</v>
      </c>
      <c r="Z17" s="1">
        <v>900</v>
      </c>
    </row>
    <row r="18" spans="2:135" s="1" customFormat="1" x14ac:dyDescent="0.25">
      <c r="B18" s="1" t="s">
        <v>13</v>
      </c>
      <c r="C18" s="1">
        <v>122</v>
      </c>
      <c r="D18" s="1">
        <v>37</v>
      </c>
      <c r="E18" s="1">
        <v>-332</v>
      </c>
      <c r="F18" s="1">
        <f>+O18-E18-D18-C18</f>
        <v>91</v>
      </c>
      <c r="G18" s="1">
        <v>-258</v>
      </c>
      <c r="H18" s="1">
        <v>-962</v>
      </c>
      <c r="I18" s="1">
        <f>39-457</f>
        <v>-418</v>
      </c>
      <c r="J18" s="1">
        <v>90</v>
      </c>
      <c r="M18" s="1">
        <v>-1007</v>
      </c>
      <c r="N18" s="1">
        <v>-477</v>
      </c>
      <c r="O18" s="1">
        <v>-82</v>
      </c>
      <c r="P18" s="1">
        <f>-1297-457-205</f>
        <v>-1959</v>
      </c>
      <c r="Q18" s="1">
        <v>-800</v>
      </c>
      <c r="R18" s="1">
        <v>-800</v>
      </c>
      <c r="S18" s="1">
        <v>-800</v>
      </c>
      <c r="T18" s="1">
        <v>-800</v>
      </c>
      <c r="U18" s="1">
        <v>-800</v>
      </c>
      <c r="V18" s="1">
        <v>-800</v>
      </c>
      <c r="W18" s="1">
        <v>-800</v>
      </c>
      <c r="X18" s="1">
        <v>-800</v>
      </c>
      <c r="Y18" s="1">
        <v>-800</v>
      </c>
      <c r="Z18" s="1">
        <v>-800</v>
      </c>
    </row>
    <row r="19" spans="2:135" s="1" customFormat="1" x14ac:dyDescent="0.25">
      <c r="B19" s="1" t="s">
        <v>14</v>
      </c>
      <c r="C19" s="1">
        <f t="shared" ref="C19" si="33">+C15-C16+C17+C18</f>
        <v>937</v>
      </c>
      <c r="D19" s="1">
        <f t="shared" ref="D19" si="34">+D15-D16+D17+D18</f>
        <v>1922</v>
      </c>
      <c r="E19" s="1">
        <f t="shared" ref="E19" si="35">+E15-E16+E17+E18</f>
        <v>2869</v>
      </c>
      <c r="F19" s="1">
        <f t="shared" ref="F19" si="36">+F15-F16+F17+F18</f>
        <v>1598</v>
      </c>
      <c r="G19" s="1">
        <f t="shared" ref="G19" si="37">+G15-G16+G17+G18</f>
        <v>428</v>
      </c>
      <c r="H19" s="1">
        <f t="shared" ref="H19" si="38">+H15-H16+H17+H18</f>
        <v>1142</v>
      </c>
      <c r="I19" s="1">
        <f t="shared" ref="I19" si="39">+I15-I16+I17+I18</f>
        <v>3574</v>
      </c>
      <c r="J19" s="1">
        <f t="shared" ref="J19" si="40">+J15-J16+J17+J18</f>
        <v>1702</v>
      </c>
      <c r="M19" s="1">
        <f>+M15-M16+M17+M18</f>
        <v>3724</v>
      </c>
      <c r="N19" s="1">
        <f t="shared" ref="N19:Z19" si="41">+N15-N16+N17+N18</f>
        <v>5486</v>
      </c>
      <c r="O19" s="1">
        <f t="shared" si="41"/>
        <v>7326</v>
      </c>
      <c r="P19" s="1">
        <f t="shared" si="41"/>
        <v>6832</v>
      </c>
      <c r="Q19" s="1">
        <f t="shared" si="41"/>
        <v>8766.2412499999991</v>
      </c>
      <c r="R19" s="1">
        <f t="shared" si="41"/>
        <v>9533.6525750000019</v>
      </c>
      <c r="S19" s="1">
        <f t="shared" si="41"/>
        <v>10418.934557750003</v>
      </c>
      <c r="T19" s="1">
        <f t="shared" si="41"/>
        <v>11242.914075717501</v>
      </c>
      <c r="U19" s="1">
        <f t="shared" si="41"/>
        <v>12169.955060084982</v>
      </c>
      <c r="V19" s="1">
        <f t="shared" si="41"/>
        <v>13209.393089127459</v>
      </c>
      <c r="W19" s="1">
        <f t="shared" si="41"/>
        <v>14371.54319206358</v>
      </c>
      <c r="X19" s="1">
        <f t="shared" si="41"/>
        <v>15667.795252415621</v>
      </c>
      <c r="Y19" s="1">
        <f t="shared" si="41"/>
        <v>17110.719064132049</v>
      </c>
      <c r="Z19" s="1">
        <f t="shared" si="41"/>
        <v>18714.179999348446</v>
      </c>
    </row>
    <row r="20" spans="2:135" s="1" customFormat="1" x14ac:dyDescent="0.25">
      <c r="B20" s="1" t="s">
        <v>15</v>
      </c>
      <c r="C20" s="1">
        <v>161</v>
      </c>
      <c r="D20" s="1">
        <v>401</v>
      </c>
      <c r="E20" s="1">
        <v>352</v>
      </c>
      <c r="F20" s="1">
        <f>+O20-E20-D20-C20</f>
        <v>496</v>
      </c>
      <c r="G20" s="1">
        <v>63</v>
      </c>
      <c r="H20" s="1">
        <v>209</v>
      </c>
      <c r="I20" s="1">
        <v>721</v>
      </c>
      <c r="J20" s="1">
        <f>+J19*0.2</f>
        <v>340.40000000000003</v>
      </c>
      <c r="M20" s="1">
        <v>865</v>
      </c>
      <c r="N20" s="1">
        <v>1192</v>
      </c>
      <c r="O20" s="1">
        <v>1410</v>
      </c>
      <c r="P20" s="1">
        <v>1428</v>
      </c>
      <c r="Q20" s="1">
        <f>+Q19*0.2</f>
        <v>1753.2482499999999</v>
      </c>
      <c r="R20" s="1">
        <f t="shared" ref="R20:Z20" si="42">+R19*0.2</f>
        <v>1906.7305150000004</v>
      </c>
      <c r="S20" s="1">
        <f t="shared" si="42"/>
        <v>2083.7869115500007</v>
      </c>
      <c r="T20" s="1">
        <f t="shared" si="42"/>
        <v>2248.5828151435003</v>
      </c>
      <c r="U20" s="1">
        <f t="shared" si="42"/>
        <v>2433.9910120169966</v>
      </c>
      <c r="V20" s="1">
        <f t="shared" si="42"/>
        <v>2641.8786178254923</v>
      </c>
      <c r="W20" s="1">
        <f t="shared" si="42"/>
        <v>2874.3086384127164</v>
      </c>
      <c r="X20" s="1">
        <f t="shared" si="42"/>
        <v>3133.5590504831243</v>
      </c>
      <c r="Y20" s="1">
        <f t="shared" si="42"/>
        <v>3422.1438128264099</v>
      </c>
      <c r="Z20" s="1">
        <f t="shared" si="42"/>
        <v>3742.8359998696892</v>
      </c>
    </row>
    <row r="21" spans="2:135" s="2" customFormat="1" x14ac:dyDescent="0.25">
      <c r="B21" s="2" t="s">
        <v>16</v>
      </c>
      <c r="C21" s="2">
        <f t="shared" ref="C21" si="43">+C19-C20</f>
        <v>776</v>
      </c>
      <c r="D21" s="2">
        <f t="shared" ref="D21" si="44">+D19-D20</f>
        <v>1521</v>
      </c>
      <c r="E21" s="2">
        <f t="shared" ref="E21" si="45">+E19-E20</f>
        <v>2517</v>
      </c>
      <c r="F21" s="2">
        <f t="shared" ref="F21" si="46">+F19-F20</f>
        <v>1102</v>
      </c>
      <c r="G21" s="2">
        <f t="shared" ref="G21" si="47">+G19-G20</f>
        <v>365</v>
      </c>
      <c r="H21" s="2">
        <f t="shared" ref="H21" si="48">+H19-H20</f>
        <v>933</v>
      </c>
      <c r="I21" s="2">
        <f t="shared" ref="I21" si="49">+I19-I20</f>
        <v>2853</v>
      </c>
      <c r="J21" s="2">
        <f t="shared" ref="J21" si="50">+J19-J20</f>
        <v>1361.6</v>
      </c>
      <c r="M21" s="2">
        <f>+M19-M20</f>
        <v>2859</v>
      </c>
      <c r="N21" s="2">
        <f t="shared" ref="N21:Z21" si="51">+N19-N20</f>
        <v>4294</v>
      </c>
      <c r="O21" s="2">
        <f t="shared" si="51"/>
        <v>5916</v>
      </c>
      <c r="P21" s="2">
        <f t="shared" si="51"/>
        <v>5404</v>
      </c>
      <c r="Q21" s="2">
        <f t="shared" si="51"/>
        <v>7012.9929999999995</v>
      </c>
      <c r="R21" s="2">
        <f t="shared" si="51"/>
        <v>7626.9220600000017</v>
      </c>
      <c r="S21" s="2">
        <f t="shared" si="51"/>
        <v>8335.1476462000028</v>
      </c>
      <c r="T21" s="2">
        <f t="shared" si="51"/>
        <v>8994.3312605740011</v>
      </c>
      <c r="U21" s="2">
        <f t="shared" si="51"/>
        <v>9735.9640480679845</v>
      </c>
      <c r="V21" s="2">
        <f t="shared" si="51"/>
        <v>10567.514471301967</v>
      </c>
      <c r="W21" s="2">
        <f t="shared" si="51"/>
        <v>11497.234553650864</v>
      </c>
      <c r="X21" s="2">
        <f t="shared" si="51"/>
        <v>12534.236201932497</v>
      </c>
      <c r="Y21" s="2">
        <f t="shared" si="51"/>
        <v>13688.57525130564</v>
      </c>
      <c r="Z21" s="2">
        <f t="shared" si="51"/>
        <v>14971.343999478757</v>
      </c>
      <c r="AA21" s="2">
        <f t="shared" ref="AA21:BF21" si="52">+Z21*(1+$AC26)</f>
        <v>15420.484319463119</v>
      </c>
      <c r="AB21" s="2">
        <f t="shared" si="52"/>
        <v>15883.098849047014</v>
      </c>
      <c r="AC21" s="2">
        <f t="shared" si="52"/>
        <v>16359.591814518424</v>
      </c>
      <c r="AD21" s="2">
        <f t="shared" si="52"/>
        <v>16850.379568953977</v>
      </c>
      <c r="AE21" s="2">
        <f t="shared" si="52"/>
        <v>17355.890956022595</v>
      </c>
      <c r="AF21" s="2">
        <f t="shared" si="52"/>
        <v>17876.567684703274</v>
      </c>
      <c r="AG21" s="2">
        <f t="shared" si="52"/>
        <v>18412.864715244374</v>
      </c>
      <c r="AH21" s="2">
        <f t="shared" si="52"/>
        <v>18965.250656701704</v>
      </c>
      <c r="AI21" s="2">
        <f t="shared" si="52"/>
        <v>19534.208176402757</v>
      </c>
      <c r="AJ21" s="2">
        <f t="shared" si="52"/>
        <v>20120.23442169484</v>
      </c>
      <c r="AK21" s="2">
        <f t="shared" si="52"/>
        <v>20723.841454345686</v>
      </c>
      <c r="AL21" s="2">
        <f t="shared" si="52"/>
        <v>21345.556697976055</v>
      </c>
      <c r="AM21" s="2">
        <f t="shared" si="52"/>
        <v>21985.923398915336</v>
      </c>
      <c r="AN21" s="2">
        <f t="shared" si="52"/>
        <v>22645.501100882797</v>
      </c>
      <c r="AO21" s="2">
        <f t="shared" si="52"/>
        <v>23324.86613390928</v>
      </c>
      <c r="AP21" s="2">
        <f t="shared" si="52"/>
        <v>24024.612117926557</v>
      </c>
      <c r="AQ21" s="2">
        <f t="shared" si="52"/>
        <v>24745.350481464357</v>
      </c>
      <c r="AR21" s="2">
        <f t="shared" si="52"/>
        <v>25487.710995908288</v>
      </c>
      <c r="AS21" s="2">
        <f t="shared" si="52"/>
        <v>26252.342325785539</v>
      </c>
      <c r="AT21" s="2">
        <f t="shared" si="52"/>
        <v>27039.912595559104</v>
      </c>
      <c r="AU21" s="2">
        <f t="shared" si="52"/>
        <v>27851.109973425879</v>
      </c>
      <c r="AV21" s="2">
        <f t="shared" si="52"/>
        <v>28686.643272628655</v>
      </c>
      <c r="AW21" s="2">
        <f t="shared" si="52"/>
        <v>29547.242570807517</v>
      </c>
      <c r="AX21" s="2">
        <f t="shared" si="52"/>
        <v>30433.659847931744</v>
      </c>
      <c r="AY21" s="2">
        <f t="shared" si="52"/>
        <v>31346.669643369696</v>
      </c>
      <c r="AZ21" s="2">
        <f t="shared" si="52"/>
        <v>32287.069732670789</v>
      </c>
      <c r="BA21" s="2">
        <f t="shared" si="52"/>
        <v>33255.681824650914</v>
      </c>
      <c r="BB21" s="2">
        <f t="shared" si="52"/>
        <v>34253.352279390441</v>
      </c>
      <c r="BC21" s="2">
        <f t="shared" si="52"/>
        <v>35280.952847772154</v>
      </c>
      <c r="BD21" s="2">
        <f t="shared" si="52"/>
        <v>36339.381433205323</v>
      </c>
      <c r="BE21" s="2">
        <f t="shared" si="52"/>
        <v>37429.562876201482</v>
      </c>
      <c r="BF21" s="2">
        <f t="shared" si="52"/>
        <v>38552.449762487529</v>
      </c>
      <c r="BG21" s="2">
        <f t="shared" ref="BG21:CL21" si="53">+BF21*(1+$AC26)</f>
        <v>39709.023255362154</v>
      </c>
      <c r="BH21" s="2">
        <f t="shared" si="53"/>
        <v>40900.293953023021</v>
      </c>
      <c r="BI21" s="2">
        <f t="shared" si="53"/>
        <v>42127.302771613715</v>
      </c>
      <c r="BJ21" s="2">
        <f t="shared" si="53"/>
        <v>43391.121854762125</v>
      </c>
      <c r="BK21" s="2">
        <f t="shared" si="53"/>
        <v>44692.855510404988</v>
      </c>
      <c r="BL21" s="2">
        <f t="shared" si="53"/>
        <v>46033.641175717137</v>
      </c>
      <c r="BM21" s="2">
        <f t="shared" si="53"/>
        <v>47414.650410988652</v>
      </c>
      <c r="BN21" s="2">
        <f t="shared" si="53"/>
        <v>48837.089923318315</v>
      </c>
      <c r="BO21" s="2">
        <f t="shared" si="53"/>
        <v>50302.202621017866</v>
      </c>
      <c r="BP21" s="2">
        <f t="shared" si="53"/>
        <v>51811.268699648404</v>
      </c>
      <c r="BQ21" s="2">
        <f t="shared" si="53"/>
        <v>53365.606760637856</v>
      </c>
      <c r="BR21" s="2">
        <f t="shared" si="53"/>
        <v>54966.574963456995</v>
      </c>
      <c r="BS21" s="2">
        <f t="shared" si="53"/>
        <v>56615.572212360705</v>
      </c>
      <c r="BT21" s="2">
        <f t="shared" si="53"/>
        <v>58314.039378731526</v>
      </c>
      <c r="BU21" s="2">
        <f t="shared" si="53"/>
        <v>60063.460560093474</v>
      </c>
      <c r="BV21" s="2">
        <f t="shared" si="53"/>
        <v>61865.364376896279</v>
      </c>
      <c r="BW21" s="2">
        <f t="shared" si="53"/>
        <v>63721.325308203166</v>
      </c>
      <c r="BX21" s="2">
        <f t="shared" si="53"/>
        <v>65632.965067449259</v>
      </c>
      <c r="BY21" s="2">
        <f t="shared" si="53"/>
        <v>67601.954019472745</v>
      </c>
      <c r="BZ21" s="2">
        <f t="shared" si="53"/>
        <v>69630.012640056928</v>
      </c>
      <c r="CA21" s="2">
        <f t="shared" si="53"/>
        <v>71718.913019258631</v>
      </c>
      <c r="CB21" s="2">
        <f t="shared" si="53"/>
        <v>73870.480409836397</v>
      </c>
      <c r="CC21" s="2">
        <f t="shared" si="53"/>
        <v>76086.59482213149</v>
      </c>
      <c r="CD21" s="2">
        <f t="shared" si="53"/>
        <v>78369.192666795439</v>
      </c>
      <c r="CE21" s="2">
        <f t="shared" si="53"/>
        <v>80720.268446799309</v>
      </c>
      <c r="CF21" s="2">
        <f t="shared" si="53"/>
        <v>83141.876500203289</v>
      </c>
      <c r="CG21" s="2">
        <f t="shared" si="53"/>
        <v>85636.132795209385</v>
      </c>
      <c r="CH21" s="2">
        <f t="shared" si="53"/>
        <v>88205.216779065668</v>
      </c>
      <c r="CI21" s="2">
        <f t="shared" si="53"/>
        <v>90851.373282437635</v>
      </c>
      <c r="CJ21" s="2">
        <f t="shared" si="53"/>
        <v>93576.914480910767</v>
      </c>
      <c r="CK21" s="2">
        <f t="shared" si="53"/>
        <v>96384.221915338087</v>
      </c>
      <c r="CL21" s="2">
        <f t="shared" si="53"/>
        <v>99275.748572798228</v>
      </c>
      <c r="CM21" s="2">
        <f t="shared" ref="CM21:DR21" si="54">+CL21*(1+$AC26)</f>
        <v>102254.02102998218</v>
      </c>
      <c r="CN21" s="2">
        <f t="shared" si="54"/>
        <v>105321.64166088165</v>
      </c>
      <c r="CO21" s="2">
        <f t="shared" si="54"/>
        <v>108481.29091070811</v>
      </c>
      <c r="CP21" s="2">
        <f t="shared" si="54"/>
        <v>111735.72963802936</v>
      </c>
      <c r="CQ21" s="2">
        <f t="shared" si="54"/>
        <v>115087.80152717025</v>
      </c>
      <c r="CR21" s="2">
        <f t="shared" si="54"/>
        <v>118540.43557298536</v>
      </c>
      <c r="CS21" s="2">
        <f t="shared" si="54"/>
        <v>122096.64864017491</v>
      </c>
      <c r="CT21" s="2">
        <f t="shared" si="54"/>
        <v>125759.54809938016</v>
      </c>
      <c r="CU21" s="2">
        <f t="shared" si="54"/>
        <v>129532.33454236157</v>
      </c>
      <c r="CV21" s="2">
        <f t="shared" si="54"/>
        <v>133418.30457863241</v>
      </c>
      <c r="CW21" s="2">
        <f t="shared" si="54"/>
        <v>137420.8537159914</v>
      </c>
      <c r="CX21" s="2">
        <f t="shared" si="54"/>
        <v>141543.47932747114</v>
      </c>
      <c r="CY21" s="2">
        <f t="shared" si="54"/>
        <v>145789.78370729528</v>
      </c>
      <c r="CZ21" s="2">
        <f t="shared" si="54"/>
        <v>150163.47721851413</v>
      </c>
      <c r="DA21" s="2">
        <f t="shared" si="54"/>
        <v>154668.38153506955</v>
      </c>
      <c r="DB21" s="2">
        <f t="shared" si="54"/>
        <v>159308.43298112164</v>
      </c>
      <c r="DC21" s="2">
        <f t="shared" si="54"/>
        <v>164087.68597055529</v>
      </c>
      <c r="DD21" s="2">
        <f t="shared" si="54"/>
        <v>169010.31654967196</v>
      </c>
      <c r="DE21" s="2">
        <f t="shared" si="54"/>
        <v>174080.62604616213</v>
      </c>
      <c r="DF21" s="2">
        <f t="shared" si="54"/>
        <v>179303.04482754698</v>
      </c>
      <c r="DG21" s="2">
        <f t="shared" si="54"/>
        <v>184682.1361723734</v>
      </c>
      <c r="DH21" s="2">
        <f t="shared" si="54"/>
        <v>190222.6002575446</v>
      </c>
      <c r="DI21" s="2">
        <f t="shared" si="54"/>
        <v>195929.27826527096</v>
      </c>
      <c r="DJ21" s="2">
        <f t="shared" si="54"/>
        <v>201807.1566132291</v>
      </c>
      <c r="DK21" s="2">
        <f t="shared" si="54"/>
        <v>207861.37131162599</v>
      </c>
      <c r="DL21" s="2">
        <f t="shared" si="54"/>
        <v>214097.21245097477</v>
      </c>
      <c r="DM21" s="2">
        <f t="shared" si="54"/>
        <v>220520.12882450401</v>
      </c>
      <c r="DN21" s="2">
        <f t="shared" si="54"/>
        <v>227135.73268923914</v>
      </c>
      <c r="DO21" s="2">
        <f t="shared" si="54"/>
        <v>233949.80466991631</v>
      </c>
      <c r="DP21" s="2">
        <f t="shared" si="54"/>
        <v>240968.2988100138</v>
      </c>
      <c r="DQ21" s="2">
        <f t="shared" si="54"/>
        <v>248197.34777431423</v>
      </c>
      <c r="DR21" s="2">
        <f t="shared" si="54"/>
        <v>255643.26820754368</v>
      </c>
      <c r="DS21" s="2">
        <f t="shared" ref="DS21:EE21" si="55">+DR21*(1+$AC26)</f>
        <v>263312.56625376997</v>
      </c>
      <c r="DT21" s="2">
        <f t="shared" si="55"/>
        <v>271211.94324138307</v>
      </c>
      <c r="DU21" s="2">
        <f t="shared" si="55"/>
        <v>279348.30153862457</v>
      </c>
      <c r="DV21" s="2">
        <f t="shared" si="55"/>
        <v>287728.75058478332</v>
      </c>
      <c r="DW21" s="2">
        <f t="shared" si="55"/>
        <v>296360.61310232681</v>
      </c>
      <c r="DX21" s="2">
        <f t="shared" si="55"/>
        <v>305251.43149539659</v>
      </c>
      <c r="DY21" s="2">
        <f t="shared" si="55"/>
        <v>314408.97444025852</v>
      </c>
      <c r="DZ21" s="2">
        <f t="shared" si="55"/>
        <v>323841.24367346626</v>
      </c>
      <c r="EA21" s="2">
        <f t="shared" si="55"/>
        <v>333556.48098367028</v>
      </c>
      <c r="EB21" s="2">
        <f t="shared" si="55"/>
        <v>343563.17541318038</v>
      </c>
      <c r="EC21" s="2">
        <f t="shared" si="55"/>
        <v>353870.07067557581</v>
      </c>
      <c r="ED21" s="2">
        <f t="shared" si="55"/>
        <v>364486.1727958431</v>
      </c>
      <c r="EE21" s="2">
        <f t="shared" si="55"/>
        <v>375420.75797971839</v>
      </c>
    </row>
    <row r="22" spans="2:135" s="1" customFormat="1" x14ac:dyDescent="0.25">
      <c r="B22" s="1" t="s">
        <v>32</v>
      </c>
      <c r="C22" s="1">
        <f>+C21/C23</f>
        <v>22.359246239843252</v>
      </c>
      <c r="D22" s="1">
        <f t="shared" ref="D22:F22" si="56">+D21/D23</f>
        <v>44.386727755566575</v>
      </c>
      <c r="E22" s="1">
        <f t="shared" si="56"/>
        <v>74.326718639262936</v>
      </c>
      <c r="F22" s="1">
        <f t="shared" si="56"/>
        <v>33.582203260703949</v>
      </c>
      <c r="G22" s="1">
        <f>+G21/G23</f>
        <v>11.029522859819297</v>
      </c>
      <c r="H22" s="1">
        <f t="shared" ref="H22" si="57">+H21/H23</f>
        <v>28.602961464177319</v>
      </c>
      <c r="I22" s="1">
        <f t="shared" ref="I22" si="58">+I21/I23</f>
        <v>87.628232692425826</v>
      </c>
      <c r="M22" s="1">
        <f>+M21/M23</f>
        <v>71.382203135923305</v>
      </c>
      <c r="N22" s="1">
        <f>+N21/N23</f>
        <v>117.5472214618122</v>
      </c>
      <c r="O22" s="1">
        <f>+O21/O23</f>
        <v>173.67308595584782</v>
      </c>
      <c r="P22" s="1">
        <f>+P21/P23</f>
        <v>165.56879806366615</v>
      </c>
      <c r="Q22" s="1">
        <f t="shared" ref="Q22:Z22" si="59">+Q21/Q23</f>
        <v>215.39999385711653</v>
      </c>
      <c r="R22" s="1">
        <f t="shared" si="59"/>
        <v>234.25646722771674</v>
      </c>
      <c r="S22" s="1">
        <f t="shared" si="59"/>
        <v>256.00920345844349</v>
      </c>
      <c r="T22" s="1">
        <f t="shared" si="59"/>
        <v>276.25564409896191</v>
      </c>
      <c r="U22" s="1">
        <f t="shared" si="59"/>
        <v>299.03446305264401</v>
      </c>
      <c r="V22" s="1">
        <f t="shared" si="59"/>
        <v>324.57504979734529</v>
      </c>
      <c r="W22" s="1">
        <f t="shared" si="59"/>
        <v>353.13086042296408</v>
      </c>
      <c r="X22" s="1">
        <f t="shared" si="59"/>
        <v>384.98176183833459</v>
      </c>
      <c r="Y22" s="1">
        <f t="shared" si="59"/>
        <v>420.43661316130107</v>
      </c>
      <c r="Z22" s="1">
        <f t="shared" si="59"/>
        <v>459.83610785302403</v>
      </c>
    </row>
    <row r="23" spans="2:135" s="4" customFormat="1" x14ac:dyDescent="0.25">
      <c r="B23" s="4" t="s">
        <v>28</v>
      </c>
      <c r="C23" s="4">
        <v>34.706000000000003</v>
      </c>
      <c r="D23" s="4">
        <v>34.267000000000003</v>
      </c>
      <c r="E23" s="4">
        <v>33.863999999999997</v>
      </c>
      <c r="F23" s="4">
        <v>32.814999999999998</v>
      </c>
      <c r="G23" s="4">
        <v>33.093000000000004</v>
      </c>
      <c r="H23" s="4">
        <v>32.619</v>
      </c>
      <c r="I23" s="4">
        <v>32.558</v>
      </c>
      <c r="M23" s="4">
        <v>40.052</v>
      </c>
      <c r="N23" s="4">
        <v>36.53</v>
      </c>
      <c r="O23" s="4">
        <v>34.064</v>
      </c>
      <c r="P23" s="4">
        <v>32.639000000000003</v>
      </c>
      <c r="Q23" s="4">
        <v>32.558</v>
      </c>
      <c r="R23" s="4">
        <f t="shared" ref="R23:Z23" si="60">+Q23+0</f>
        <v>32.558</v>
      </c>
      <c r="S23" s="4">
        <f t="shared" si="60"/>
        <v>32.558</v>
      </c>
      <c r="T23" s="4">
        <f t="shared" si="60"/>
        <v>32.558</v>
      </c>
      <c r="U23" s="4">
        <f t="shared" si="60"/>
        <v>32.558</v>
      </c>
      <c r="V23" s="4">
        <f t="shared" si="60"/>
        <v>32.558</v>
      </c>
      <c r="W23" s="4">
        <f t="shared" si="60"/>
        <v>32.558</v>
      </c>
      <c r="X23" s="4">
        <f t="shared" si="60"/>
        <v>32.558</v>
      </c>
      <c r="Y23" s="4">
        <f t="shared" si="60"/>
        <v>32.558</v>
      </c>
      <c r="Z23" s="4">
        <f t="shared" si="60"/>
        <v>32.558</v>
      </c>
    </row>
    <row r="24" spans="2:135" s="1" customFormat="1" x14ac:dyDescent="0.25">
      <c r="C24" s="5"/>
      <c r="D24" s="5"/>
      <c r="E24" s="5"/>
      <c r="F24" s="5"/>
      <c r="G24" s="5"/>
      <c r="H24" s="5"/>
      <c r="I24" s="5"/>
      <c r="M24" s="5"/>
      <c r="N24" s="5"/>
      <c r="O24" s="5"/>
      <c r="P24" s="5"/>
    </row>
    <row r="25" spans="2:135" s="3" customFormat="1" x14ac:dyDescent="0.25">
      <c r="B25" s="3" t="s">
        <v>17</v>
      </c>
      <c r="C25" s="3">
        <f t="shared" ref="C25:I25" si="61">+C15/C8</f>
        <v>0.17916194790486975</v>
      </c>
      <c r="D25" s="3">
        <f t="shared" si="61"/>
        <v>0.31677760710018776</v>
      </c>
      <c r="E25" s="3">
        <f t="shared" si="61"/>
        <v>0.39767325494120592</v>
      </c>
      <c r="F25" s="3">
        <f t="shared" si="61"/>
        <v>0.32224456223725095</v>
      </c>
      <c r="G25" s="3">
        <f t="shared" si="61"/>
        <v>0.22973540529189415</v>
      </c>
      <c r="H25" s="3">
        <f t="shared" si="61"/>
        <v>0.33656957928802589</v>
      </c>
      <c r="I25" s="3">
        <f t="shared" si="61"/>
        <v>0.44904529307282415</v>
      </c>
      <c r="M25" s="3">
        <f t="shared" ref="M25:Z25" si="62">+M15/M8</f>
        <v>0.2868929198361615</v>
      </c>
      <c r="N25" s="3">
        <f t="shared" si="62"/>
        <v>0.27334425462204542</v>
      </c>
      <c r="O25" s="3">
        <f t="shared" si="62"/>
        <v>0.31968490669362654</v>
      </c>
      <c r="P25" s="3">
        <f t="shared" si="62"/>
        <v>0.35245383958093396</v>
      </c>
      <c r="Q25" s="3">
        <f t="shared" si="62"/>
        <v>0.35277135616956007</v>
      </c>
      <c r="R25" s="3">
        <f t="shared" si="62"/>
        <v>0.3542834924971982</v>
      </c>
      <c r="S25" s="3">
        <f t="shared" si="62"/>
        <v>0.35578425148675313</v>
      </c>
      <c r="T25" s="3">
        <f t="shared" si="62"/>
        <v>0.35700204706404648</v>
      </c>
      <c r="U25" s="3">
        <f t="shared" si="62"/>
        <v>0.3581957437819181</v>
      </c>
      <c r="V25" s="3">
        <f t="shared" si="62"/>
        <v>0.35935534160528826</v>
      </c>
      <c r="W25" s="3">
        <f t="shared" si="62"/>
        <v>0.36047288479179418</v>
      </c>
      <c r="X25" s="3">
        <f t="shared" si="62"/>
        <v>0.36154234533801627</v>
      </c>
      <c r="Y25" s="3">
        <f t="shared" si="62"/>
        <v>0.36255944908494381</v>
      </c>
      <c r="Z25" s="3">
        <f t="shared" si="62"/>
        <v>0.36352146806773777</v>
      </c>
      <c r="AB25" s="3" t="s">
        <v>50</v>
      </c>
      <c r="AC25" s="3">
        <v>0.1</v>
      </c>
      <c r="AD25" s="9"/>
      <c r="AE25" s="9"/>
      <c r="AF25" s="9"/>
      <c r="AG25" s="9"/>
    </row>
    <row r="26" spans="2:135" s="3" customFormat="1" x14ac:dyDescent="0.25">
      <c r="B26" s="3" t="s">
        <v>18</v>
      </c>
      <c r="C26" s="3">
        <f t="shared" ref="C26:I26" si="63">+C21/C8</f>
        <v>0.17576443941109854</v>
      </c>
      <c r="D26" s="3">
        <f t="shared" si="63"/>
        <v>0.25960061443932414</v>
      </c>
      <c r="E26" s="3">
        <f t="shared" si="63"/>
        <v>0.31486114585939456</v>
      </c>
      <c r="F26" s="3">
        <f t="shared" si="63"/>
        <v>0.20142569914092487</v>
      </c>
      <c r="G26" s="3">
        <f t="shared" si="63"/>
        <v>7.664846703065939E-2</v>
      </c>
      <c r="H26" s="3">
        <f t="shared" si="63"/>
        <v>0.13724624889673434</v>
      </c>
      <c r="I26" s="3">
        <f t="shared" si="63"/>
        <v>0.31671847246891655</v>
      </c>
      <c r="M26" s="3">
        <f t="shared" ref="M26:Z26" si="64">+M21/M8</f>
        <v>0.16729081334113516</v>
      </c>
      <c r="N26" s="3">
        <f t="shared" si="64"/>
        <v>0.20098291598408613</v>
      </c>
      <c r="O26" s="3">
        <f t="shared" si="64"/>
        <v>0.24921016049538733</v>
      </c>
      <c r="P26" s="3">
        <f t="shared" si="64"/>
        <v>0.20076531559980682</v>
      </c>
      <c r="Q26" s="3">
        <f t="shared" si="64"/>
        <v>0.23982972858825882</v>
      </c>
      <c r="R26" s="3">
        <f t="shared" si="64"/>
        <v>0.24308182781426987</v>
      </c>
      <c r="S26" s="3">
        <f t="shared" si="64"/>
        <v>0.24640938613870891</v>
      </c>
      <c r="T26" s="3">
        <f t="shared" si="64"/>
        <v>0.2490454626433635</v>
      </c>
      <c r="U26" s="3">
        <f t="shared" si="64"/>
        <v>0.25170097599041447</v>
      </c>
      <c r="V26" s="3">
        <f t="shared" si="64"/>
        <v>0.25434639074567977</v>
      </c>
      <c r="W26" s="3">
        <f t="shared" si="64"/>
        <v>0.25695638605638649</v>
      </c>
      <c r="X26" s="3">
        <f t="shared" si="64"/>
        <v>0.25950988039591194</v>
      </c>
      <c r="Y26" s="3">
        <f t="shared" si="64"/>
        <v>0.26198987287453362</v>
      </c>
      <c r="Z26" s="3">
        <f t="shared" si="64"/>
        <v>0.26438315410292101</v>
      </c>
      <c r="AB26" s="3" t="s">
        <v>51</v>
      </c>
      <c r="AC26" s="3">
        <v>0.03</v>
      </c>
      <c r="AD26" s="9"/>
      <c r="AE26" s="9"/>
      <c r="AF26" s="9"/>
      <c r="AG26" s="9"/>
    </row>
    <row r="27" spans="2:135" s="3" customFormat="1" x14ac:dyDescent="0.25">
      <c r="B27" s="3" t="s">
        <v>43</v>
      </c>
      <c r="G27" s="3">
        <f>+G8/C8 -1</f>
        <v>7.859569648924114E-2</v>
      </c>
      <c r="H27" s="3">
        <f>+H8/D8 -1</f>
        <v>0.1602662570404505</v>
      </c>
      <c r="I27" s="3">
        <f>+I8/E8 -1</f>
        <v>0.12684513385038776</v>
      </c>
      <c r="N27" s="3">
        <f t="shared" ref="N27:Z27" si="65">+N8/M8 -1</f>
        <v>0.25014628437682851</v>
      </c>
      <c r="O27" s="3">
        <f t="shared" si="65"/>
        <v>0.11111631172478353</v>
      </c>
      <c r="P27" s="3">
        <f t="shared" si="65"/>
        <v>0.13387253043514891</v>
      </c>
      <c r="Q27" s="3">
        <f t="shared" si="65"/>
        <v>8.6359921239365534E-2</v>
      </c>
      <c r="R27" s="3">
        <f t="shared" si="65"/>
        <v>7.299185576687961E-2</v>
      </c>
      <c r="S27" s="3">
        <f t="shared" si="65"/>
        <v>7.8100469961940755E-2</v>
      </c>
      <c r="T27" s="3">
        <f t="shared" si="65"/>
        <v>6.7663004877662081E-2</v>
      </c>
      <c r="U27" s="3">
        <f t="shared" si="65"/>
        <v>7.1035379512187413E-2</v>
      </c>
      <c r="V27" s="3">
        <f t="shared" si="65"/>
        <v>7.4121006295815084E-2</v>
      </c>
      <c r="W27" s="3">
        <f t="shared" si="65"/>
        <v>7.6928087269150902E-2</v>
      </c>
      <c r="X27" s="3">
        <f t="shared" si="65"/>
        <v>7.9468568118570948E-2</v>
      </c>
      <c r="Y27" s="3">
        <f t="shared" si="65"/>
        <v>8.1757130682738932E-2</v>
      </c>
      <c r="Z27" s="3">
        <f t="shared" si="65"/>
        <v>8.3810280658816794E-2</v>
      </c>
      <c r="AB27" s="3" t="s">
        <v>52</v>
      </c>
      <c r="AC27" s="8">
        <f>NPV(AC25,Q38:EP38)</f>
        <v>161066.54751032064</v>
      </c>
      <c r="AD27" s="9"/>
      <c r="AE27" s="9"/>
      <c r="AF27" s="9"/>
      <c r="AG27" s="9"/>
    </row>
    <row r="28" spans="2:135" s="3" customFormat="1" x14ac:dyDescent="0.25">
      <c r="B28" s="1" t="s">
        <v>44</v>
      </c>
      <c r="G28" s="3">
        <f t="shared" ref="G28:I29" si="66">+G5/C5 -1</f>
        <v>0.22194304857621439</v>
      </c>
      <c r="H28" s="3">
        <f t="shared" si="66"/>
        <v>0.29338363319791072</v>
      </c>
      <c r="I28" s="3">
        <f t="shared" si="66"/>
        <v>0.23310539018503618</v>
      </c>
      <c r="N28" s="3">
        <f t="shared" ref="N28:Z28" si="67">+N5/M5 -1</f>
        <v>0.52036702349506458</v>
      </c>
      <c r="O28" s="3">
        <f t="shared" si="67"/>
        <v>0.2931602048280908</v>
      </c>
      <c r="P28" s="3">
        <f t="shared" si="67"/>
        <v>0.25548013010889559</v>
      </c>
      <c r="Q28" s="3">
        <f t="shared" si="67"/>
        <v>0.14999999999999991</v>
      </c>
      <c r="R28" s="3">
        <f t="shared" si="67"/>
        <v>0.12000000000000011</v>
      </c>
      <c r="S28" s="3">
        <f t="shared" si="67"/>
        <v>0.12000000000000011</v>
      </c>
      <c r="T28" s="3">
        <f t="shared" si="67"/>
        <v>0.10000000000000009</v>
      </c>
      <c r="U28" s="3">
        <f t="shared" si="67"/>
        <v>0.10000000000000009</v>
      </c>
      <c r="V28" s="3">
        <f t="shared" si="67"/>
        <v>0.10000000000000009</v>
      </c>
      <c r="W28" s="3">
        <f t="shared" si="67"/>
        <v>0.10000000000000009</v>
      </c>
      <c r="X28" s="3">
        <f t="shared" si="67"/>
        <v>0.10000000000000009</v>
      </c>
      <c r="Y28" s="3">
        <f t="shared" si="67"/>
        <v>0.10000000000000009</v>
      </c>
      <c r="Z28" s="3">
        <f t="shared" si="67"/>
        <v>0.10000000000000009</v>
      </c>
      <c r="AB28" s="3" t="s">
        <v>30</v>
      </c>
      <c r="AC28" s="7">
        <f>+P47-P48</f>
        <v>-1533</v>
      </c>
      <c r="AD28" s="9"/>
      <c r="AE28" s="9"/>
      <c r="AF28" s="9"/>
      <c r="AG28" s="9"/>
    </row>
    <row r="29" spans="2:135" s="3" customFormat="1" x14ac:dyDescent="0.25">
      <c r="B29" s="1" t="s">
        <v>45</v>
      </c>
      <c r="G29" s="3">
        <f t="shared" si="66"/>
        <v>-0.11287577992058995</v>
      </c>
      <c r="H29" s="3">
        <f t="shared" si="66"/>
        <v>-4.6641791044776171E-2</v>
      </c>
      <c r="I29" s="3">
        <f t="shared" si="66"/>
        <v>-6.6836178714130057E-2</v>
      </c>
      <c r="N29" s="3">
        <f t="shared" ref="N29:Z29" si="68">+N6/M6 -1</f>
        <v>4.5651449516827647E-2</v>
      </c>
      <c r="O29" s="3">
        <f t="shared" si="68"/>
        <v>-9.4540046738899486E-2</v>
      </c>
      <c r="P29" s="3">
        <f t="shared" si="68"/>
        <v>-6.5227592679493185E-2</v>
      </c>
      <c r="Q29" s="3">
        <f t="shared" si="68"/>
        <v>-5.0000000000000044E-2</v>
      </c>
      <c r="R29" s="3">
        <f t="shared" si="68"/>
        <v>-5.0000000000000044E-2</v>
      </c>
      <c r="S29" s="3">
        <f t="shared" si="68"/>
        <v>-5.0000000000000044E-2</v>
      </c>
      <c r="T29" s="3">
        <f t="shared" si="68"/>
        <v>-5.0000000000000044E-2</v>
      </c>
      <c r="U29" s="3">
        <f t="shared" si="68"/>
        <v>-5.0000000000000155E-2</v>
      </c>
      <c r="V29" s="3">
        <f t="shared" si="68"/>
        <v>-5.0000000000000044E-2</v>
      </c>
      <c r="W29" s="3">
        <f t="shared" si="68"/>
        <v>-5.0000000000000044E-2</v>
      </c>
      <c r="X29" s="3">
        <f t="shared" si="68"/>
        <v>-4.9999999999999933E-2</v>
      </c>
      <c r="Y29" s="3">
        <f t="shared" si="68"/>
        <v>-5.0000000000000044E-2</v>
      </c>
      <c r="Z29" s="3">
        <f t="shared" si="68"/>
        <v>-5.0000000000000155E-2</v>
      </c>
      <c r="AB29" s="3" t="s">
        <v>53</v>
      </c>
      <c r="AC29" s="7">
        <f>+AC27+AC28</f>
        <v>159533.54751032064</v>
      </c>
      <c r="AD29" s="9"/>
      <c r="AE29" s="9"/>
      <c r="AF29" s="9"/>
      <c r="AG29" s="9"/>
    </row>
    <row r="30" spans="2:135" s="1" customFormat="1" x14ac:dyDescent="0.25">
      <c r="AB30" s="1" t="s">
        <v>27</v>
      </c>
      <c r="AC30" s="10">
        <f>+AC29/Z23</f>
        <v>4899.9799591596729</v>
      </c>
      <c r="AD30" s="10"/>
      <c r="AE30" s="10"/>
      <c r="AF30" s="10"/>
      <c r="AG30" s="10"/>
    </row>
    <row r="31" spans="2:135" s="1" customFormat="1" x14ac:dyDescent="0.25">
      <c r="B31" s="1" t="s">
        <v>9</v>
      </c>
      <c r="O31" s="1">
        <v>591</v>
      </c>
      <c r="P31" s="1">
        <v>623</v>
      </c>
      <c r="Q31" s="1">
        <f>+Q14</f>
        <v>650</v>
      </c>
      <c r="R31" s="1">
        <f t="shared" ref="R31:Z31" si="69">+R14</f>
        <v>650</v>
      </c>
      <c r="S31" s="1">
        <f t="shared" si="69"/>
        <v>650</v>
      </c>
      <c r="T31" s="1">
        <f t="shared" si="69"/>
        <v>650</v>
      </c>
      <c r="U31" s="1">
        <f t="shared" si="69"/>
        <v>650</v>
      </c>
      <c r="V31" s="1">
        <f t="shared" si="69"/>
        <v>650</v>
      </c>
      <c r="W31" s="1">
        <f t="shared" si="69"/>
        <v>650</v>
      </c>
      <c r="X31" s="1">
        <f t="shared" si="69"/>
        <v>650</v>
      </c>
      <c r="Y31" s="1">
        <f t="shared" si="69"/>
        <v>650</v>
      </c>
      <c r="Z31" s="1">
        <f t="shared" si="69"/>
        <v>650</v>
      </c>
      <c r="AB31" s="2" t="s">
        <v>54</v>
      </c>
      <c r="AC31" s="11">
        <f>+AC30/Main!D20 -1</f>
        <v>0.2143692587756314</v>
      </c>
      <c r="AD31" s="10"/>
      <c r="AE31" s="10"/>
      <c r="AF31" s="10"/>
      <c r="AG31" s="10"/>
    </row>
    <row r="32" spans="2:135" s="1" customFormat="1" x14ac:dyDescent="0.25">
      <c r="B32" s="1" t="s">
        <v>55</v>
      </c>
      <c r="O32" s="1">
        <v>412</v>
      </c>
      <c r="P32" s="1">
        <v>416</v>
      </c>
      <c r="Q32" s="1">
        <v>420</v>
      </c>
      <c r="R32" s="1">
        <v>420</v>
      </c>
      <c r="S32" s="1">
        <v>420</v>
      </c>
      <c r="T32" s="1">
        <v>420</v>
      </c>
      <c r="U32" s="1">
        <v>420</v>
      </c>
      <c r="V32" s="1">
        <v>420</v>
      </c>
      <c r="W32" s="1">
        <v>420</v>
      </c>
      <c r="X32" s="1">
        <v>420</v>
      </c>
      <c r="Y32" s="1">
        <v>420</v>
      </c>
      <c r="Z32" s="1">
        <v>420</v>
      </c>
      <c r="AC32" s="1">
        <f>+AC30*0.7</f>
        <v>3429.9859714117711</v>
      </c>
      <c r="AD32" s="10"/>
      <c r="AE32" s="10"/>
      <c r="AF32" s="10"/>
      <c r="AG32" s="10"/>
    </row>
    <row r="33" spans="2:134" s="2" customFormat="1" x14ac:dyDescent="0.25">
      <c r="B33" s="2" t="s">
        <v>19</v>
      </c>
      <c r="C33" s="2">
        <v>2704</v>
      </c>
      <c r="D33" s="2">
        <f>5229-C33</f>
        <v>2525</v>
      </c>
      <c r="E33" s="2">
        <f>7602-D33-C33</f>
        <v>2373</v>
      </c>
      <c r="F33" s="2">
        <f>+O33-E33-D33-C33</f>
        <v>721</v>
      </c>
      <c r="G33" s="2">
        <v>3283</v>
      </c>
      <c r="H33" s="2">
        <f>6484-G33</f>
        <v>3201</v>
      </c>
      <c r="I33" s="2">
        <f>7919-H33-G33</f>
        <v>1435</v>
      </c>
      <c r="J33" s="2">
        <f>+J21+J14</f>
        <v>1523.6</v>
      </c>
      <c r="M33" s="2">
        <v>6554</v>
      </c>
      <c r="N33" s="2">
        <v>7344</v>
      </c>
      <c r="O33" s="2">
        <v>8323</v>
      </c>
      <c r="P33" s="2">
        <v>9409</v>
      </c>
      <c r="Q33" s="2">
        <f>+Q21+Q31+Q32</f>
        <v>8082.9929999999995</v>
      </c>
      <c r="R33" s="2">
        <f t="shared" ref="R33:Z33" si="70">+R21+R31+R32</f>
        <v>8696.9220600000008</v>
      </c>
      <c r="S33" s="2">
        <f t="shared" si="70"/>
        <v>9405.1476462000028</v>
      </c>
      <c r="T33" s="2">
        <f t="shared" si="70"/>
        <v>10064.331260574001</v>
      </c>
      <c r="U33" s="2">
        <f t="shared" si="70"/>
        <v>10805.964048067985</v>
      </c>
      <c r="V33" s="2">
        <f t="shared" si="70"/>
        <v>11637.514471301967</v>
      </c>
      <c r="W33" s="2">
        <f t="shared" si="70"/>
        <v>12567.234553650864</v>
      </c>
      <c r="X33" s="2">
        <f t="shared" si="70"/>
        <v>13604.236201932497</v>
      </c>
      <c r="Y33" s="2">
        <f t="shared" si="70"/>
        <v>14758.57525130564</v>
      </c>
      <c r="Z33" s="2">
        <f>+Z21+Z31+Z32</f>
        <v>16041.343999478757</v>
      </c>
      <c r="AD33" s="12"/>
      <c r="AE33" s="12"/>
      <c r="AF33" s="12"/>
      <c r="AG33" s="12"/>
    </row>
    <row r="34" spans="2:134" s="1" customFormat="1" x14ac:dyDescent="0.25">
      <c r="B34" s="1" t="s">
        <v>20</v>
      </c>
      <c r="C34" s="1">
        <v>130</v>
      </c>
      <c r="D34" s="1">
        <f>276-C34</f>
        <v>146</v>
      </c>
      <c r="E34" s="1">
        <f>353-D34-C34</f>
        <v>77</v>
      </c>
      <c r="F34" s="1">
        <f>+O34-E34-D34-C34</f>
        <v>76</v>
      </c>
      <c r="G34" s="1">
        <v>121</v>
      </c>
      <c r="H34" s="1">
        <f>185-G34</f>
        <v>64</v>
      </c>
      <c r="I34" s="1">
        <f>249-H34-G34</f>
        <v>64</v>
      </c>
      <c r="J34" s="1">
        <v>65</v>
      </c>
      <c r="M34" s="1">
        <v>368</v>
      </c>
      <c r="N34" s="1">
        <v>345</v>
      </c>
      <c r="O34" s="1">
        <v>429</v>
      </c>
      <c r="P34" s="1">
        <v>322</v>
      </c>
      <c r="Q34" s="1">
        <v>450</v>
      </c>
      <c r="R34" s="1">
        <f>+Q34*1.02</f>
        <v>459</v>
      </c>
      <c r="S34" s="1">
        <f t="shared" ref="S34:Z34" si="71">+R34*1.02</f>
        <v>468.18</v>
      </c>
      <c r="T34" s="1">
        <f t="shared" si="71"/>
        <v>477.54360000000003</v>
      </c>
      <c r="U34" s="1">
        <f t="shared" si="71"/>
        <v>487.09447200000005</v>
      </c>
      <c r="V34" s="1">
        <f t="shared" si="71"/>
        <v>496.83636144000008</v>
      </c>
      <c r="W34" s="1">
        <f t="shared" si="71"/>
        <v>506.77308866880009</v>
      </c>
      <c r="X34" s="1">
        <f t="shared" si="71"/>
        <v>516.90855044217608</v>
      </c>
      <c r="Y34" s="1">
        <f t="shared" si="71"/>
        <v>527.24672145101965</v>
      </c>
      <c r="Z34" s="1">
        <f t="shared" si="71"/>
        <v>537.79165588004003</v>
      </c>
      <c r="AD34" s="10"/>
      <c r="AE34" s="10"/>
      <c r="AF34" s="10"/>
      <c r="AG34" s="10"/>
    </row>
    <row r="35" spans="2:134" s="1" customFormat="1" x14ac:dyDescent="0.25">
      <c r="B35" s="1" t="s">
        <v>21</v>
      </c>
      <c r="C35" s="1">
        <f>+C33-C34</f>
        <v>2574</v>
      </c>
      <c r="D35" s="1">
        <f t="shared" ref="D35:J35" si="72">+D33-D34</f>
        <v>2379</v>
      </c>
      <c r="E35" s="1">
        <f t="shared" si="72"/>
        <v>2296</v>
      </c>
      <c r="F35" s="1">
        <f t="shared" si="72"/>
        <v>645</v>
      </c>
      <c r="G35" s="1">
        <f t="shared" si="72"/>
        <v>3162</v>
      </c>
      <c r="H35" s="1">
        <f t="shared" si="72"/>
        <v>3137</v>
      </c>
      <c r="I35" s="1">
        <f t="shared" si="72"/>
        <v>1371</v>
      </c>
      <c r="J35" s="1">
        <f t="shared" si="72"/>
        <v>1458.6</v>
      </c>
      <c r="M35" s="1">
        <f>+M33-M34</f>
        <v>6186</v>
      </c>
      <c r="N35" s="1">
        <f>+N33-N34</f>
        <v>6999</v>
      </c>
      <c r="O35" s="1">
        <f>+O33-O34</f>
        <v>7894</v>
      </c>
      <c r="P35" s="1">
        <f>+P33-P34</f>
        <v>9087</v>
      </c>
      <c r="Q35" s="1">
        <f>+Q33-Q34</f>
        <v>7632.9929999999995</v>
      </c>
      <c r="R35" s="1">
        <f t="shared" ref="R35:Z35" si="73">+R33-R34</f>
        <v>8237.9220600000008</v>
      </c>
      <c r="S35" s="1">
        <f t="shared" si="73"/>
        <v>8936.9676462000025</v>
      </c>
      <c r="T35" s="1">
        <f t="shared" si="73"/>
        <v>9586.7876605740003</v>
      </c>
      <c r="U35" s="1">
        <f t="shared" si="73"/>
        <v>10318.869576067984</v>
      </c>
      <c r="V35" s="1">
        <f t="shared" si="73"/>
        <v>11140.678109861967</v>
      </c>
      <c r="W35" s="1">
        <f t="shared" si="73"/>
        <v>12060.461464982063</v>
      </c>
      <c r="X35" s="1">
        <f t="shared" si="73"/>
        <v>13087.327651490321</v>
      </c>
      <c r="Y35" s="1">
        <f t="shared" si="73"/>
        <v>14231.32852985462</v>
      </c>
      <c r="Z35" s="1">
        <f>+Z33-Z34</f>
        <v>15503.552343598716</v>
      </c>
      <c r="AD35" s="10"/>
      <c r="AE35" s="10"/>
      <c r="AF35" s="10"/>
      <c r="AG35" s="10"/>
    </row>
    <row r="36" spans="2:134" s="1" customFormat="1" x14ac:dyDescent="0.25">
      <c r="B36" s="1" t="s">
        <v>22</v>
      </c>
      <c r="C36" s="1">
        <v>144</v>
      </c>
      <c r="D36" s="1">
        <f>284-C36</f>
        <v>140</v>
      </c>
      <c r="E36" s="1">
        <f>432-D36-C36</f>
        <v>148</v>
      </c>
      <c r="F36" s="1">
        <f>+O36-E36-D36-C36</f>
        <v>167</v>
      </c>
      <c r="G36" s="1">
        <v>143</v>
      </c>
      <c r="H36" s="1">
        <f>297-G36</f>
        <v>154</v>
      </c>
      <c r="I36" s="1">
        <f>450-H36-G36</f>
        <v>153</v>
      </c>
      <c r="J36" s="1">
        <v>155</v>
      </c>
      <c r="M36" s="1">
        <v>404</v>
      </c>
      <c r="N36" s="1">
        <v>530</v>
      </c>
      <c r="O36" s="1">
        <v>599</v>
      </c>
      <c r="P36" s="1">
        <v>617</v>
      </c>
    </row>
    <row r="37" spans="2:134" s="1" customFormat="1" x14ac:dyDescent="0.25">
      <c r="B37" s="1" t="s">
        <v>23</v>
      </c>
      <c r="C37" s="1">
        <f>+C35-C36</f>
        <v>2430</v>
      </c>
      <c r="D37" s="1">
        <f t="shared" ref="D37:J37" si="74">+D35-D36</f>
        <v>2239</v>
      </c>
      <c r="E37" s="1">
        <f t="shared" si="74"/>
        <v>2148</v>
      </c>
      <c r="F37" s="1">
        <f t="shared" si="74"/>
        <v>478</v>
      </c>
      <c r="G37" s="1">
        <f t="shared" si="74"/>
        <v>3019</v>
      </c>
      <c r="H37" s="1">
        <f t="shared" si="74"/>
        <v>2983</v>
      </c>
      <c r="I37" s="1">
        <f t="shared" si="74"/>
        <v>1218</v>
      </c>
      <c r="J37" s="1">
        <f t="shared" si="74"/>
        <v>1303.5999999999999</v>
      </c>
      <c r="M37" s="1">
        <f>+M35-M36</f>
        <v>5782</v>
      </c>
      <c r="N37" s="1">
        <f>+N35-N36</f>
        <v>6469</v>
      </c>
      <c r="O37" s="1">
        <f>+O35-O36</f>
        <v>7295</v>
      </c>
      <c r="P37" s="1">
        <f>+P35-P36</f>
        <v>8470</v>
      </c>
    </row>
    <row r="38" spans="2:134" s="1" customFormat="1" x14ac:dyDescent="0.25">
      <c r="B38" s="1" t="s">
        <v>56</v>
      </c>
      <c r="Q38" s="1">
        <f>+Q35+(Q16-Q17)*(1-0.2)</f>
        <v>8232.4650000000001</v>
      </c>
      <c r="R38" s="1">
        <f t="shared" ref="R38:Z38" si="75">+R35+(R16-R17)*(1-0.2)</f>
        <v>8863.7835000000014</v>
      </c>
      <c r="S38" s="1">
        <f t="shared" si="75"/>
        <v>9589.7463150000021</v>
      </c>
      <c r="T38" s="1">
        <f t="shared" si="75"/>
        <v>10267.021902750001</v>
      </c>
      <c r="U38" s="1">
        <f t="shared" si="75"/>
        <v>11027.108503087504</v>
      </c>
      <c r="V38" s="1">
        <f t="shared" si="75"/>
        <v>11877.481815421877</v>
      </c>
      <c r="W38" s="1">
        <f t="shared" si="75"/>
        <v>12826.401244653172</v>
      </c>
      <c r="X38" s="1">
        <f t="shared" si="75"/>
        <v>13882.986226754852</v>
      </c>
      <c r="Y38" s="1">
        <f t="shared" si="75"/>
        <v>15057.300276624441</v>
      </c>
      <c r="Z38" s="1">
        <f t="shared" si="75"/>
        <v>16360.443525303934</v>
      </c>
      <c r="AA38" s="13">
        <f>+Z38*(1+$AC26)</f>
        <v>16851.256831063052</v>
      </c>
      <c r="AB38" s="13">
        <f t="shared" ref="AB38:CM38" si="76">+AA38*(1+$AC26)</f>
        <v>17356.794535994944</v>
      </c>
      <c r="AC38" s="13">
        <f t="shared" si="76"/>
        <v>17877.498372074795</v>
      </c>
      <c r="AD38" s="13">
        <f t="shared" si="76"/>
        <v>18413.82332323704</v>
      </c>
      <c r="AE38" s="13">
        <f t="shared" si="76"/>
        <v>18966.238022934151</v>
      </c>
      <c r="AF38" s="13">
        <f t="shared" si="76"/>
        <v>19535.225163622177</v>
      </c>
      <c r="AG38" s="13">
        <f t="shared" si="76"/>
        <v>20121.281918530844</v>
      </c>
      <c r="AH38" s="13">
        <f t="shared" si="76"/>
        <v>20724.920376086768</v>
      </c>
      <c r="AI38" s="13">
        <f t="shared" si="76"/>
        <v>21346.667987369372</v>
      </c>
      <c r="AJ38" s="13">
        <f t="shared" si="76"/>
        <v>21987.068026990455</v>
      </c>
      <c r="AK38" s="13">
        <f t="shared" si="76"/>
        <v>22646.680067800171</v>
      </c>
      <c r="AL38" s="13">
        <f t="shared" si="76"/>
        <v>23326.080469834178</v>
      </c>
      <c r="AM38" s="13">
        <f t="shared" si="76"/>
        <v>24025.862883929203</v>
      </c>
      <c r="AN38" s="13">
        <f t="shared" si="76"/>
        <v>24746.63877044708</v>
      </c>
      <c r="AO38" s="13">
        <f t="shared" si="76"/>
        <v>25489.037933560492</v>
      </c>
      <c r="AP38" s="13">
        <f t="shared" si="76"/>
        <v>26253.709071567308</v>
      </c>
      <c r="AQ38" s="13">
        <f t="shared" si="76"/>
        <v>27041.320343714327</v>
      </c>
      <c r="AR38" s="13">
        <f t="shared" si="76"/>
        <v>27852.559954025757</v>
      </c>
      <c r="AS38" s="13">
        <f t="shared" si="76"/>
        <v>28688.136752646529</v>
      </c>
      <c r="AT38" s="13">
        <f t="shared" si="76"/>
        <v>29548.780855225927</v>
      </c>
      <c r="AU38" s="13">
        <f t="shared" si="76"/>
        <v>30435.244280882704</v>
      </c>
      <c r="AV38" s="13">
        <f t="shared" si="76"/>
        <v>31348.301609309186</v>
      </c>
      <c r="AW38" s="13">
        <f t="shared" si="76"/>
        <v>32288.750657588462</v>
      </c>
      <c r="AX38" s="13">
        <f t="shared" si="76"/>
        <v>33257.413177316113</v>
      </c>
      <c r="AY38" s="13">
        <f t="shared" si="76"/>
        <v>34255.135572635598</v>
      </c>
      <c r="AZ38" s="13">
        <f t="shared" si="76"/>
        <v>35282.789639814669</v>
      </c>
      <c r="BA38" s="13">
        <f t="shared" si="76"/>
        <v>36341.273329009113</v>
      </c>
      <c r="BB38" s="13">
        <f t="shared" si="76"/>
        <v>37431.51152887939</v>
      </c>
      <c r="BC38" s="13">
        <f t="shared" si="76"/>
        <v>38554.456874745774</v>
      </c>
      <c r="BD38" s="13">
        <f t="shared" si="76"/>
        <v>39711.090580988151</v>
      </c>
      <c r="BE38" s="13">
        <f t="shared" si="76"/>
        <v>40902.423298417794</v>
      </c>
      <c r="BF38" s="13">
        <f t="shared" si="76"/>
        <v>42129.49599737033</v>
      </c>
      <c r="BG38" s="13">
        <f t="shared" si="76"/>
        <v>43393.380877291442</v>
      </c>
      <c r="BH38" s="13">
        <f t="shared" si="76"/>
        <v>44695.182303610185</v>
      </c>
      <c r="BI38" s="13">
        <f t="shared" si="76"/>
        <v>46036.03777271849</v>
      </c>
      <c r="BJ38" s="13">
        <f t="shared" si="76"/>
        <v>47417.118905900046</v>
      </c>
      <c r="BK38" s="13">
        <f t="shared" si="76"/>
        <v>48839.63247307705</v>
      </c>
      <c r="BL38" s="13">
        <f t="shared" si="76"/>
        <v>50304.821447269365</v>
      </c>
      <c r="BM38" s="13">
        <f t="shared" si="76"/>
        <v>51813.966090687449</v>
      </c>
      <c r="BN38" s="13">
        <f t="shared" si="76"/>
        <v>53368.385073408077</v>
      </c>
      <c r="BO38" s="13">
        <f t="shared" si="76"/>
        <v>54969.436625610324</v>
      </c>
      <c r="BP38" s="13">
        <f t="shared" si="76"/>
        <v>56618.519724378639</v>
      </c>
      <c r="BQ38" s="13">
        <f t="shared" si="76"/>
        <v>58317.07531611</v>
      </c>
      <c r="BR38" s="13">
        <f t="shared" si="76"/>
        <v>60066.587575593301</v>
      </c>
      <c r="BS38" s="13">
        <f t="shared" si="76"/>
        <v>61868.585202861104</v>
      </c>
      <c r="BT38" s="13">
        <f t="shared" si="76"/>
        <v>63724.642758946939</v>
      </c>
      <c r="BU38" s="13">
        <f t="shared" si="76"/>
        <v>65636.382041715347</v>
      </c>
      <c r="BV38" s="13">
        <f t="shared" si="76"/>
        <v>67605.473502966808</v>
      </c>
      <c r="BW38" s="13">
        <f t="shared" si="76"/>
        <v>69633.637708055816</v>
      </c>
      <c r="BX38" s="13">
        <f t="shared" si="76"/>
        <v>71722.646839297493</v>
      </c>
      <c r="BY38" s="13">
        <f t="shared" si="76"/>
        <v>73874.326244476426</v>
      </c>
      <c r="BZ38" s="13">
        <f t="shared" si="76"/>
        <v>76090.556031810716</v>
      </c>
      <c r="CA38" s="13">
        <f t="shared" si="76"/>
        <v>78373.272712765043</v>
      </c>
      <c r="CB38" s="13">
        <f t="shared" si="76"/>
        <v>80724.470894147991</v>
      </c>
      <c r="CC38" s="13">
        <f t="shared" si="76"/>
        <v>83146.20502097244</v>
      </c>
      <c r="CD38" s="13">
        <f t="shared" si="76"/>
        <v>85640.591171601613</v>
      </c>
      <c r="CE38" s="13">
        <f t="shared" si="76"/>
        <v>88209.808906749662</v>
      </c>
      <c r="CF38" s="13">
        <f t="shared" si="76"/>
        <v>90856.103173952157</v>
      </c>
      <c r="CG38" s="13">
        <f t="shared" si="76"/>
        <v>93581.786269170727</v>
      </c>
      <c r="CH38" s="13">
        <f t="shared" si="76"/>
        <v>96389.239857245848</v>
      </c>
      <c r="CI38" s="13">
        <f t="shared" si="76"/>
        <v>99280.917052963225</v>
      </c>
      <c r="CJ38" s="13">
        <f t="shared" si="76"/>
        <v>102259.34456455213</v>
      </c>
      <c r="CK38" s="13">
        <f t="shared" si="76"/>
        <v>105327.1249014887</v>
      </c>
      <c r="CL38" s="13">
        <f t="shared" si="76"/>
        <v>108486.93864853337</v>
      </c>
      <c r="CM38" s="13">
        <f t="shared" si="76"/>
        <v>111741.54680798938</v>
      </c>
      <c r="CN38" s="13">
        <f t="shared" ref="CN38:ED38" si="77">+CM38*(1+$AC26)</f>
        <v>115093.79321222907</v>
      </c>
      <c r="CO38" s="13">
        <f t="shared" si="77"/>
        <v>118546.60700859594</v>
      </c>
      <c r="CP38" s="13">
        <f t="shared" si="77"/>
        <v>122103.00521885382</v>
      </c>
      <c r="CQ38" s="13">
        <f t="shared" si="77"/>
        <v>125766.09537541945</v>
      </c>
      <c r="CR38" s="13">
        <f t="shared" si="77"/>
        <v>129539.07823668203</v>
      </c>
      <c r="CS38" s="13">
        <f t="shared" si="77"/>
        <v>133425.2505837825</v>
      </c>
      <c r="CT38" s="13">
        <f t="shared" si="77"/>
        <v>137428.00810129597</v>
      </c>
      <c r="CU38" s="13">
        <f t="shared" si="77"/>
        <v>141550.84834433487</v>
      </c>
      <c r="CV38" s="13">
        <f t="shared" si="77"/>
        <v>145797.37379466492</v>
      </c>
      <c r="CW38" s="13">
        <f t="shared" si="77"/>
        <v>150171.29500850488</v>
      </c>
      <c r="CX38" s="13">
        <f t="shared" si="77"/>
        <v>154676.43385876002</v>
      </c>
      <c r="CY38" s="13">
        <f t="shared" si="77"/>
        <v>159316.72687452284</v>
      </c>
      <c r="CZ38" s="13">
        <f t="shared" si="77"/>
        <v>164096.22868075853</v>
      </c>
      <c r="DA38" s="13">
        <f t="shared" si="77"/>
        <v>169019.11554118129</v>
      </c>
      <c r="DB38" s="13">
        <f t="shared" si="77"/>
        <v>174089.68900741675</v>
      </c>
      <c r="DC38" s="13">
        <f t="shared" si="77"/>
        <v>179312.37967763926</v>
      </c>
      <c r="DD38" s="13">
        <f t="shared" si="77"/>
        <v>184691.75106796843</v>
      </c>
      <c r="DE38" s="13">
        <f t="shared" si="77"/>
        <v>190232.50360000751</v>
      </c>
      <c r="DF38" s="13">
        <f t="shared" si="77"/>
        <v>195939.47870800772</v>
      </c>
      <c r="DG38" s="13">
        <f t="shared" si="77"/>
        <v>201817.66306924797</v>
      </c>
      <c r="DH38" s="13">
        <f t="shared" si="77"/>
        <v>207872.1929613254</v>
      </c>
      <c r="DI38" s="13">
        <f t="shared" si="77"/>
        <v>214108.35875016518</v>
      </c>
      <c r="DJ38" s="13">
        <f t="shared" si="77"/>
        <v>220531.60951267014</v>
      </c>
      <c r="DK38" s="13">
        <f t="shared" si="77"/>
        <v>227147.55779805026</v>
      </c>
      <c r="DL38" s="13">
        <f t="shared" si="77"/>
        <v>233961.98453199177</v>
      </c>
      <c r="DM38" s="13">
        <f t="shared" si="77"/>
        <v>240980.84406795152</v>
      </c>
      <c r="DN38" s="13">
        <f t="shared" si="77"/>
        <v>248210.26938999008</v>
      </c>
      <c r="DO38" s="13">
        <f t="shared" si="77"/>
        <v>255656.57747168979</v>
      </c>
      <c r="DP38" s="13">
        <f t="shared" si="77"/>
        <v>263326.27479584049</v>
      </c>
      <c r="DQ38" s="13">
        <f t="shared" si="77"/>
        <v>271226.06303971569</v>
      </c>
      <c r="DR38" s="13">
        <f t="shared" si="77"/>
        <v>279362.84493090719</v>
      </c>
      <c r="DS38" s="13">
        <f t="shared" si="77"/>
        <v>287743.73027883441</v>
      </c>
      <c r="DT38" s="13">
        <f t="shared" si="77"/>
        <v>296376.04218719946</v>
      </c>
      <c r="DU38" s="13">
        <f t="shared" si="77"/>
        <v>305267.32345281547</v>
      </c>
      <c r="DV38" s="13">
        <f t="shared" si="77"/>
        <v>314425.34315639996</v>
      </c>
      <c r="DW38" s="13">
        <f t="shared" si="77"/>
        <v>323858.10345109197</v>
      </c>
      <c r="DX38" s="13">
        <f t="shared" si="77"/>
        <v>333573.84655462473</v>
      </c>
      <c r="DY38" s="13">
        <f t="shared" si="77"/>
        <v>343581.06195126346</v>
      </c>
      <c r="DZ38" s="13">
        <f t="shared" si="77"/>
        <v>353888.49380980135</v>
      </c>
      <c r="EA38" s="13">
        <f t="shared" si="77"/>
        <v>364505.14862409543</v>
      </c>
      <c r="EB38" s="13">
        <f t="shared" si="77"/>
        <v>375440.30308281828</v>
      </c>
      <c r="EC38" s="13">
        <f t="shared" si="77"/>
        <v>386703.51217530284</v>
      </c>
      <c r="ED38" s="13">
        <f t="shared" si="77"/>
        <v>398304.61754056194</v>
      </c>
    </row>
    <row r="39" spans="2:134" s="1" customFormat="1" x14ac:dyDescent="0.25"/>
    <row r="40" spans="2:134" s="1" customFormat="1" x14ac:dyDescent="0.25">
      <c r="B40" s="1" t="s">
        <v>24</v>
      </c>
      <c r="C40" s="1">
        <v>1856</v>
      </c>
      <c r="D40" s="1">
        <f>3518-C40</f>
        <v>1662</v>
      </c>
      <c r="E40" s="1">
        <f>5282-D40-C40</f>
        <v>1764</v>
      </c>
      <c r="G40" s="1">
        <v>2170</v>
      </c>
      <c r="H40" s="1">
        <f>3668-G40</f>
        <v>1498</v>
      </c>
      <c r="I40" s="1">
        <f>4321-H40-G40</f>
        <v>653</v>
      </c>
      <c r="M40" s="1">
        <v>6621</v>
      </c>
      <c r="N40" s="1">
        <v>10377</v>
      </c>
      <c r="O40" s="1">
        <v>6509</v>
      </c>
      <c r="P40" s="1">
        <v>6440</v>
      </c>
    </row>
    <row r="41" spans="2:134" s="1" customFormat="1" x14ac:dyDescent="0.25">
      <c r="B41" s="1" t="s">
        <v>25</v>
      </c>
      <c r="C41" s="1">
        <v>299</v>
      </c>
      <c r="D41" s="1">
        <f>594-C41</f>
        <v>295</v>
      </c>
      <c r="E41" s="1">
        <f>885-C41-D41</f>
        <v>291</v>
      </c>
      <c r="G41" s="1">
        <v>319</v>
      </c>
      <c r="H41" s="1">
        <f>631-G41</f>
        <v>312</v>
      </c>
      <c r="I41" s="1">
        <f>941-H41-G41</f>
        <v>310</v>
      </c>
      <c r="O41" s="1">
        <v>1174</v>
      </c>
      <c r="P41" s="1">
        <v>1248</v>
      </c>
    </row>
    <row r="42" spans="2:134" s="1" customFormat="1" x14ac:dyDescent="0.25">
      <c r="B42" s="1" t="s">
        <v>26</v>
      </c>
      <c r="M42" s="1">
        <f>+M40+M41</f>
        <v>6621</v>
      </c>
      <c r="N42" s="1">
        <f>+N40+N41</f>
        <v>10377</v>
      </c>
      <c r="O42" s="1">
        <f>+O40+O41</f>
        <v>7683</v>
      </c>
      <c r="P42" s="1">
        <f>+P40+P41</f>
        <v>7688</v>
      </c>
    </row>
    <row r="43" spans="2:134" s="1" customFormat="1" x14ac:dyDescent="0.25"/>
    <row r="44" spans="2:134" s="1" customFormat="1" x14ac:dyDescent="0.25">
      <c r="B44" s="1" t="s">
        <v>33</v>
      </c>
      <c r="N44" s="14">
        <f>+M23-N23</f>
        <v>3.5219999999999985</v>
      </c>
      <c r="O44" s="14">
        <f>+N23-O23</f>
        <v>2.4660000000000011</v>
      </c>
      <c r="P44" s="14">
        <f>+O23-P23</f>
        <v>1.4249999999999972</v>
      </c>
      <c r="Q44" s="14">
        <f>+P40/Main!D22 *Q23</f>
        <v>1.6120864888503268</v>
      </c>
    </row>
    <row r="45" spans="2:134" s="3" customFormat="1" x14ac:dyDescent="0.25">
      <c r="B45" s="3" t="s">
        <v>34</v>
      </c>
      <c r="N45" s="3">
        <f>+N23/M23 -1</f>
        <v>-8.7935683611305215E-2</v>
      </c>
      <c r="O45" s="3">
        <f>+O23/N23 -1</f>
        <v>-6.750615932110593E-2</v>
      </c>
      <c r="P45" s="3">
        <f>+P23/O23 -1</f>
        <v>-4.1833020197275639E-2</v>
      </c>
    </row>
    <row r="46" spans="2:134" s="1" customFormat="1" x14ac:dyDescent="0.25"/>
    <row r="47" spans="2:134" s="1" customFormat="1" x14ac:dyDescent="0.25">
      <c r="B47" s="1" t="s">
        <v>46</v>
      </c>
      <c r="N47" s="1">
        <v>12107</v>
      </c>
      <c r="O47" s="1">
        <v>16164</v>
      </c>
      <c r="P47" s="1">
        <v>17203</v>
      </c>
    </row>
    <row r="48" spans="2:134" s="1" customFormat="1" x14ac:dyDescent="0.25">
      <c r="B48" s="1" t="s">
        <v>47</v>
      </c>
      <c r="N48" s="1">
        <f>1961+12223</f>
        <v>14184</v>
      </c>
      <c r="O48" s="1">
        <f>14853+1745</f>
        <v>16598</v>
      </c>
      <c r="P48" s="1">
        <f>1880+16856</f>
        <v>18736</v>
      </c>
    </row>
    <row r="49" spans="2:26" s="1" customFormat="1" x14ac:dyDescent="0.25"/>
    <row r="50" spans="2:26" s="3" customFormat="1" x14ac:dyDescent="0.25">
      <c r="B50" s="3" t="s">
        <v>4</v>
      </c>
      <c r="M50" s="3">
        <f>+M9/M$8</f>
        <v>0.35067290813341134</v>
      </c>
      <c r="N50" s="3">
        <f t="shared" ref="N50:O50" si="78">+N9/N$8</f>
        <v>0.31701380762930026</v>
      </c>
      <c r="O50" s="3">
        <f t="shared" si="78"/>
        <v>0.30658410211045117</v>
      </c>
      <c r="P50" s="3">
        <f t="shared" ref="P50:Z50" si="79">+P9/P$8</f>
        <v>0.30412007281643572</v>
      </c>
      <c r="Q50" s="3">
        <f t="shared" si="79"/>
        <v>0.3</v>
      </c>
      <c r="R50" s="3">
        <f t="shared" si="79"/>
        <v>0.3</v>
      </c>
      <c r="S50" s="3">
        <f t="shared" si="79"/>
        <v>0.3</v>
      </c>
      <c r="T50" s="3">
        <f t="shared" si="79"/>
        <v>0.3</v>
      </c>
      <c r="U50" s="3">
        <f t="shared" si="79"/>
        <v>0.3</v>
      </c>
      <c r="V50" s="3">
        <f t="shared" si="79"/>
        <v>0.3</v>
      </c>
      <c r="W50" s="3">
        <f t="shared" si="79"/>
        <v>0.3</v>
      </c>
      <c r="X50" s="3">
        <f t="shared" si="79"/>
        <v>0.3</v>
      </c>
      <c r="Y50" s="3">
        <f t="shared" si="79"/>
        <v>0.3</v>
      </c>
      <c r="Z50" s="3">
        <f t="shared" si="79"/>
        <v>0.3</v>
      </c>
    </row>
    <row r="51" spans="2:26" s="3" customFormat="1" x14ac:dyDescent="0.25">
      <c r="B51" s="3" t="s">
        <v>5</v>
      </c>
      <c r="M51" s="3">
        <f t="shared" ref="M51:O51" si="80">+M10/M$8</f>
        <v>0.11620830895260387</v>
      </c>
      <c r="N51" s="3">
        <f t="shared" si="80"/>
        <v>0.12843435525391997</v>
      </c>
      <c r="O51" s="3">
        <f t="shared" si="80"/>
        <v>0.13142929356754707</v>
      </c>
      <c r="P51" s="3">
        <f t="shared" ref="P51:Z51" si="81">+P10/P$8</f>
        <v>0.12828324107441394</v>
      </c>
      <c r="Q51" s="3">
        <f t="shared" si="81"/>
        <v>0.13</v>
      </c>
      <c r="R51" s="3">
        <f t="shared" si="81"/>
        <v>0.13</v>
      </c>
      <c r="S51" s="3">
        <f t="shared" si="81"/>
        <v>0.13</v>
      </c>
      <c r="T51" s="3">
        <f t="shared" si="81"/>
        <v>0.13</v>
      </c>
      <c r="U51" s="3">
        <f t="shared" si="81"/>
        <v>0.13</v>
      </c>
      <c r="V51" s="3">
        <f t="shared" si="81"/>
        <v>0.13</v>
      </c>
      <c r="W51" s="3">
        <f t="shared" si="81"/>
        <v>0.13</v>
      </c>
      <c r="X51" s="3">
        <f t="shared" si="81"/>
        <v>0.13</v>
      </c>
      <c r="Y51" s="3">
        <f t="shared" si="81"/>
        <v>0.13</v>
      </c>
      <c r="Z51" s="3">
        <f t="shared" si="81"/>
        <v>0.13</v>
      </c>
    </row>
    <row r="52" spans="2:26" s="3" customFormat="1" x14ac:dyDescent="0.25">
      <c r="B52" s="3" t="s">
        <v>6</v>
      </c>
      <c r="M52" s="3">
        <f t="shared" ref="M52:O52" si="82">+M11/M$8</f>
        <v>0.14423639555295495</v>
      </c>
      <c r="N52" s="3">
        <f t="shared" si="82"/>
        <v>0.15417739293236601</v>
      </c>
      <c r="O52" s="3">
        <f t="shared" si="82"/>
        <v>0.14128649058511311</v>
      </c>
      <c r="P52" s="3">
        <f t="shared" ref="P52:Z52" si="83">+P11/P$8</f>
        <v>0.12642567893896051</v>
      </c>
      <c r="Q52" s="3">
        <f t="shared" si="83"/>
        <v>0.12</v>
      </c>
      <c r="R52" s="3">
        <f t="shared" si="83"/>
        <v>0.12</v>
      </c>
      <c r="S52" s="3">
        <f t="shared" si="83"/>
        <v>0.12</v>
      </c>
      <c r="T52" s="3">
        <f t="shared" si="83"/>
        <v>0.12000000000000001</v>
      </c>
      <c r="U52" s="3">
        <f t="shared" si="83"/>
        <v>0.12</v>
      </c>
      <c r="V52" s="3">
        <f t="shared" si="83"/>
        <v>0.12000000000000001</v>
      </c>
      <c r="W52" s="3">
        <f t="shared" si="83"/>
        <v>0.12</v>
      </c>
      <c r="X52" s="3">
        <f t="shared" si="83"/>
        <v>0.12</v>
      </c>
      <c r="Y52" s="3">
        <f t="shared" si="83"/>
        <v>0.12</v>
      </c>
      <c r="Z52" s="3">
        <f t="shared" si="83"/>
        <v>0.12</v>
      </c>
    </row>
    <row r="53" spans="2:26" s="3" customFormat="1" x14ac:dyDescent="0.25">
      <c r="B53" s="3" t="s">
        <v>7</v>
      </c>
      <c r="M53" s="3">
        <f t="shared" ref="M53:O53" si="84">+M12/M$8</f>
        <v>4.4821533060269161E-2</v>
      </c>
      <c r="N53" s="6">
        <f t="shared" si="84"/>
        <v>7.2782588345424754E-2</v>
      </c>
      <c r="O53" s="6">
        <f t="shared" si="84"/>
        <v>4.3641265428198323E-2</v>
      </c>
      <c r="P53" s="6">
        <f t="shared" ref="P53:Z53" si="85">+P12/P$8</f>
        <v>3.1838615001671809E-2</v>
      </c>
      <c r="Q53" s="6">
        <f t="shared" si="85"/>
        <v>3.5000000000000003E-2</v>
      </c>
      <c r="R53" s="6">
        <f t="shared" si="85"/>
        <v>3.5000000000000003E-2</v>
      </c>
      <c r="S53" s="6">
        <f t="shared" si="85"/>
        <v>3.5000000000000003E-2</v>
      </c>
      <c r="T53" s="6">
        <f t="shared" si="85"/>
        <v>3.5000000000000003E-2</v>
      </c>
      <c r="U53" s="6">
        <f t="shared" si="85"/>
        <v>3.5000000000000003E-2</v>
      </c>
      <c r="V53" s="6">
        <f t="shared" si="85"/>
        <v>3.5000000000000003E-2</v>
      </c>
      <c r="W53" s="6">
        <f t="shared" si="85"/>
        <v>3.5000000000000003E-2</v>
      </c>
      <c r="X53" s="6">
        <f t="shared" si="85"/>
        <v>3.5000000000000003E-2</v>
      </c>
      <c r="Y53" s="6">
        <f t="shared" si="85"/>
        <v>3.5000000000000003E-2</v>
      </c>
      <c r="Z53" s="6">
        <f t="shared" si="85"/>
        <v>3.5000000000000003E-2</v>
      </c>
    </row>
    <row r="54" spans="2:26" s="3" customFormat="1" x14ac:dyDescent="0.25">
      <c r="B54" s="3" t="s">
        <v>8</v>
      </c>
      <c r="M54" s="3">
        <f t="shared" ref="M54:O54" si="86">+M13/M$8</f>
        <v>3.0778232884727912E-2</v>
      </c>
      <c r="N54" s="6">
        <f t="shared" si="86"/>
        <v>3.0657617598876669E-2</v>
      </c>
      <c r="O54" s="6">
        <f t="shared" si="86"/>
        <v>3.2478200429672692E-2</v>
      </c>
      <c r="P54" s="6">
        <f t="shared" ref="P54:Z54" si="87">+P13/P$8</f>
        <v>3.3733328379834303E-2</v>
      </c>
      <c r="Q54" s="6">
        <f t="shared" si="87"/>
        <v>0.04</v>
      </c>
      <c r="R54" s="6">
        <f t="shared" si="87"/>
        <v>0.04</v>
      </c>
      <c r="S54" s="6">
        <f t="shared" si="87"/>
        <v>0.04</v>
      </c>
      <c r="T54" s="6">
        <f t="shared" si="87"/>
        <v>0.04</v>
      </c>
      <c r="U54" s="6">
        <f t="shared" si="87"/>
        <v>0.04</v>
      </c>
      <c r="V54" s="6">
        <f t="shared" si="87"/>
        <v>0.04</v>
      </c>
      <c r="W54" s="6">
        <f t="shared" si="87"/>
        <v>0.04</v>
      </c>
      <c r="X54" s="6">
        <f t="shared" si="87"/>
        <v>0.04</v>
      </c>
      <c r="Y54" s="6">
        <f t="shared" si="87"/>
        <v>0.04</v>
      </c>
      <c r="Z54" s="6">
        <f t="shared" si="87"/>
        <v>0.04</v>
      </c>
    </row>
    <row r="55" spans="2:26" s="3" customFormat="1" x14ac:dyDescent="0.25">
      <c r="B55" s="3" t="s">
        <v>9</v>
      </c>
      <c r="M55" s="3">
        <f t="shared" ref="M55:O55" si="88">+M14/M$8</f>
        <v>2.6389701579871271E-2</v>
      </c>
      <c r="N55" s="6">
        <f t="shared" si="88"/>
        <v>2.3589983618066933E-2</v>
      </c>
      <c r="O55" s="6">
        <f t="shared" si="88"/>
        <v>2.4895741185391129E-2</v>
      </c>
      <c r="P55" s="6">
        <f t="shared" ref="P55:Z55" si="89">+P14/P$8</f>
        <v>2.314522420774975E-2</v>
      </c>
      <c r="Q55" s="6">
        <f t="shared" si="89"/>
        <v>2.2228643830439907E-2</v>
      </c>
      <c r="R55" s="6">
        <f t="shared" si="89"/>
        <v>2.0716507502801906E-2</v>
      </c>
      <c r="S55" s="6">
        <f t="shared" si="89"/>
        <v>1.9215748513246863E-2</v>
      </c>
      <c r="T55" s="6">
        <f t="shared" si="89"/>
        <v>1.799795293595351E-2</v>
      </c>
      <c r="U55" s="6">
        <f t="shared" si="89"/>
        <v>1.6804256218082018E-2</v>
      </c>
      <c r="V55" s="6">
        <f t="shared" si="89"/>
        <v>1.5644658394711713E-2</v>
      </c>
      <c r="W55" s="6">
        <f t="shared" si="89"/>
        <v>1.4527115208205847E-2</v>
      </c>
      <c r="X55" s="6">
        <f t="shared" si="89"/>
        <v>1.3457654661983783E-2</v>
      </c>
      <c r="Y55" s="6">
        <f t="shared" si="89"/>
        <v>1.2440550915056262E-2</v>
      </c>
      <c r="Z55" s="6">
        <f t="shared" si="89"/>
        <v>1.1478531932262177E-2</v>
      </c>
    </row>
    <row r="56" spans="2:26" s="1" customFormat="1" x14ac:dyDescent="0.25"/>
    <row r="57" spans="2:26" s="1" customFormat="1" x14ac:dyDescent="0.25"/>
    <row r="58" spans="2:26" s="1" customFormat="1" x14ac:dyDescent="0.25"/>
    <row r="59" spans="2:26" s="1" customFormat="1" x14ac:dyDescent="0.25"/>
    <row r="60" spans="2:26" s="1" customFormat="1" x14ac:dyDescent="0.25"/>
    <row r="61" spans="2:26" s="1" customFormat="1" x14ac:dyDescent="0.25"/>
    <row r="62" spans="2:26" s="1" customFormat="1" x14ac:dyDescent="0.25"/>
    <row r="63" spans="2:26" s="1" customFormat="1" x14ac:dyDescent="0.25"/>
    <row r="64" spans="2:26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2026-01-18T13:10:18Z</dcterms:created>
  <dcterms:modified xsi:type="dcterms:W3CDTF">2026-02-23T13:01:24Z</dcterms:modified>
</cp:coreProperties>
</file>