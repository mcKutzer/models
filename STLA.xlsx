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2AE85D1F-35EC-46A5-BC1B-05984FDEC15B}" xr6:coauthVersionLast="47" xr6:coauthVersionMax="47" xr10:uidLastSave="{00000000-0000-0000-0000-000000000000}"/>
  <bookViews>
    <workbookView xWindow="-120" yWindow="-120" windowWidth="29040" windowHeight="15840" xr2:uid="{6F31D757-A785-4C91-8D26-896E7E382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4" i="1" l="1"/>
  <c r="N44" i="1"/>
  <c r="O44" i="1"/>
  <c r="P44" i="1"/>
  <c r="Q44" i="1"/>
  <c r="L44" i="1"/>
  <c r="R31" i="1"/>
  <c r="L47" i="1"/>
  <c r="L48" i="1" s="1"/>
  <c r="M47" i="1"/>
  <c r="M48" i="1" s="1"/>
  <c r="N47" i="1"/>
  <c r="N48" i="1" s="1"/>
  <c r="O47" i="1"/>
  <c r="O48" i="1" s="1"/>
  <c r="P47" i="1"/>
  <c r="P48" i="1" s="1"/>
  <c r="Q47" i="1"/>
  <c r="R47" i="1" s="1"/>
  <c r="S47" i="1" s="1"/>
  <c r="T47" i="1" s="1"/>
  <c r="U47" i="1" s="1"/>
  <c r="V47" i="1" s="1"/>
  <c r="W47" i="1" s="1"/>
  <c r="X47" i="1" s="1"/>
  <c r="I36" i="1"/>
  <c r="J36" i="1"/>
  <c r="H36" i="1"/>
  <c r="T21" i="1"/>
  <c r="S31" i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CF31" i="1" s="1"/>
  <c r="CG31" i="1" s="1"/>
  <c r="CH31" i="1" s="1"/>
  <c r="CI31" i="1" s="1"/>
  <c r="CJ31" i="1" s="1"/>
  <c r="CK31" i="1" s="1"/>
  <c r="CL31" i="1" s="1"/>
  <c r="CM31" i="1" s="1"/>
  <c r="CN31" i="1" s="1"/>
  <c r="CO31" i="1" s="1"/>
  <c r="CP31" i="1" s="1"/>
  <c r="CQ31" i="1" s="1"/>
  <c r="CR31" i="1" s="1"/>
  <c r="CS31" i="1" s="1"/>
  <c r="CT31" i="1" s="1"/>
  <c r="CU31" i="1" s="1"/>
  <c r="CV31" i="1" s="1"/>
  <c r="CW31" i="1" s="1"/>
  <c r="CX31" i="1" s="1"/>
  <c r="CY31" i="1" s="1"/>
  <c r="CZ31" i="1" s="1"/>
  <c r="DA31" i="1" s="1"/>
  <c r="DB31" i="1" s="1"/>
  <c r="DC31" i="1" s="1"/>
  <c r="DD31" i="1" s="1"/>
  <c r="DE31" i="1" s="1"/>
  <c r="DF31" i="1" s="1"/>
  <c r="DG31" i="1" s="1"/>
  <c r="DH31" i="1" s="1"/>
  <c r="DI31" i="1" s="1"/>
  <c r="DJ31" i="1" s="1"/>
  <c r="DK31" i="1" s="1"/>
  <c r="DL31" i="1" s="1"/>
  <c r="DM31" i="1" s="1"/>
  <c r="DN31" i="1" s="1"/>
  <c r="DO31" i="1" s="1"/>
  <c r="DP31" i="1" s="1"/>
  <c r="DQ31" i="1" s="1"/>
  <c r="DR31" i="1" s="1"/>
  <c r="DS31" i="1" s="1"/>
  <c r="DT31" i="1" s="1"/>
  <c r="DU31" i="1" s="1"/>
  <c r="DV31" i="1" s="1"/>
  <c r="DW31" i="1" s="1"/>
  <c r="DX31" i="1" s="1"/>
  <c r="DY31" i="1" s="1"/>
  <c r="DZ31" i="1" s="1"/>
  <c r="EA31" i="1" s="1"/>
  <c r="EB31" i="1" s="1"/>
  <c r="EC31" i="1" s="1"/>
  <c r="ED31" i="1" s="1"/>
  <c r="EE31" i="1" s="1"/>
  <c r="EF31" i="1" s="1"/>
  <c r="EG31" i="1" s="1"/>
  <c r="EH31" i="1" s="1"/>
  <c r="EI31" i="1" s="1"/>
  <c r="EJ31" i="1" s="1"/>
  <c r="EK31" i="1" s="1"/>
  <c r="EL31" i="1" s="1"/>
  <c r="EM31" i="1" s="1"/>
  <c r="EN31" i="1" s="1"/>
  <c r="EO31" i="1" s="1"/>
  <c r="I6" i="1"/>
  <c r="J6" i="1" s="1"/>
  <c r="K6" i="1" s="1"/>
  <c r="L6" i="1" s="1"/>
  <c r="M6" i="1" s="1"/>
  <c r="N6" i="1" s="1"/>
  <c r="O6" i="1" s="1"/>
  <c r="P6" i="1" s="1"/>
  <c r="Q6" i="1" s="1"/>
  <c r="H6" i="1"/>
  <c r="I5" i="1"/>
  <c r="J5" i="1" s="1"/>
  <c r="H5" i="1"/>
  <c r="H4" i="1" s="1"/>
  <c r="G31" i="1"/>
  <c r="G29" i="1"/>
  <c r="G4" i="1"/>
  <c r="G47" i="1"/>
  <c r="G48" i="1" s="1"/>
  <c r="F48" i="1"/>
  <c r="D48" i="1"/>
  <c r="E47" i="1"/>
  <c r="E48" i="1" s="1"/>
  <c r="F47" i="1"/>
  <c r="D47" i="1"/>
  <c r="T28" i="1"/>
  <c r="F38" i="1"/>
  <c r="G38" i="1"/>
  <c r="E38" i="1"/>
  <c r="D21" i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E6" i="1"/>
  <c r="F6" i="1"/>
  <c r="D6" i="1"/>
  <c r="F4" i="1"/>
  <c r="E4" i="1"/>
  <c r="Q48" i="1" l="1"/>
  <c r="Q8" i="1"/>
  <c r="H8" i="1"/>
  <c r="H9" i="1" s="1"/>
  <c r="Q12" i="1"/>
  <c r="Q9" i="1"/>
  <c r="P8" i="1"/>
  <c r="P9" i="1" s="1"/>
  <c r="O8" i="1"/>
  <c r="O9" i="1" s="1"/>
  <c r="N8" i="1"/>
  <c r="N9" i="1" s="1"/>
  <c r="I8" i="1"/>
  <c r="I9" i="1" s="1"/>
  <c r="M8" i="1"/>
  <c r="M9" i="1" s="1"/>
  <c r="L8" i="1"/>
  <c r="L9" i="1" s="1"/>
  <c r="K8" i="1"/>
  <c r="K9" i="1" s="1"/>
  <c r="J8" i="1"/>
  <c r="J9" i="1" s="1"/>
  <c r="K5" i="1"/>
  <c r="J4" i="1"/>
  <c r="I4" i="1"/>
  <c r="G9" i="1"/>
  <c r="G8" i="1"/>
  <c r="G16" i="1"/>
  <c r="G14" i="1"/>
  <c r="G13" i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G11" i="1"/>
  <c r="G26" i="1" s="1"/>
  <c r="G12" i="1"/>
  <c r="G27" i="1" s="1"/>
  <c r="T22" i="1"/>
  <c r="E26" i="1"/>
  <c r="F26" i="1"/>
  <c r="E27" i="1"/>
  <c r="F27" i="1"/>
  <c r="D27" i="1"/>
  <c r="D26" i="1"/>
  <c r="G25" i="1"/>
  <c r="F25" i="1"/>
  <c r="E25" i="1"/>
  <c r="G18" i="1"/>
  <c r="F31" i="1"/>
  <c r="F46" i="1" s="1"/>
  <c r="E31" i="1"/>
  <c r="E46" i="1" s="1"/>
  <c r="D31" i="1"/>
  <c r="D46" i="1" s="1"/>
  <c r="E42" i="1"/>
  <c r="F42" i="1"/>
  <c r="E36" i="1"/>
  <c r="F36" i="1"/>
  <c r="E33" i="1"/>
  <c r="F33" i="1"/>
  <c r="F14" i="1"/>
  <c r="E14" i="1"/>
  <c r="D14" i="1"/>
  <c r="F10" i="1"/>
  <c r="F23" i="1" s="1"/>
  <c r="E10" i="1"/>
  <c r="E23" i="1" s="1"/>
  <c r="D10" i="1"/>
  <c r="D23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K4" i="1" l="1"/>
  <c r="L5" i="1"/>
  <c r="G6" i="1"/>
  <c r="H11" i="1"/>
  <c r="H26" i="1" s="1"/>
  <c r="H25" i="1"/>
  <c r="G10" i="1"/>
  <c r="G23" i="1" s="1"/>
  <c r="H12" i="1"/>
  <c r="H27" i="1" s="1"/>
  <c r="H10" i="1"/>
  <c r="F37" i="1"/>
  <c r="E37" i="1"/>
  <c r="E15" i="1"/>
  <c r="G15" i="1"/>
  <c r="F15" i="1"/>
  <c r="D15" i="1"/>
  <c r="L4" i="1" l="1"/>
  <c r="M5" i="1"/>
  <c r="H15" i="1"/>
  <c r="H24" i="1" s="1"/>
  <c r="I12" i="1"/>
  <c r="I27" i="1" s="1"/>
  <c r="I11" i="1"/>
  <c r="I26" i="1" s="1"/>
  <c r="I10" i="1"/>
  <c r="I25" i="1"/>
  <c r="F17" i="1"/>
  <c r="F19" i="1" s="1"/>
  <c r="F24" i="1"/>
  <c r="E17" i="1"/>
  <c r="E19" i="1" s="1"/>
  <c r="E24" i="1"/>
  <c r="G17" i="1"/>
  <c r="G19" i="1" s="1"/>
  <c r="G24" i="1"/>
  <c r="D17" i="1"/>
  <c r="D19" i="1" s="1"/>
  <c r="D24" i="1"/>
  <c r="H17" i="1" l="1"/>
  <c r="H18" i="1" s="1"/>
  <c r="H19" i="1" s="1"/>
  <c r="H29" i="1" s="1"/>
  <c r="H31" i="1" s="1"/>
  <c r="M4" i="1"/>
  <c r="N5" i="1"/>
  <c r="F45" i="1"/>
  <c r="F20" i="1"/>
  <c r="D20" i="1"/>
  <c r="D45" i="1"/>
  <c r="H20" i="1"/>
  <c r="G20" i="1"/>
  <c r="E45" i="1"/>
  <c r="E20" i="1"/>
  <c r="J25" i="1"/>
  <c r="J10" i="1"/>
  <c r="J12" i="1"/>
  <c r="J27" i="1" s="1"/>
  <c r="J11" i="1"/>
  <c r="J26" i="1" s="1"/>
  <c r="I15" i="1"/>
  <c r="I17" i="1" s="1"/>
  <c r="I18" i="1" s="1"/>
  <c r="I19" i="1" s="1"/>
  <c r="I29" i="1" l="1"/>
  <c r="I31" i="1" s="1"/>
  <c r="N4" i="1"/>
  <c r="O5" i="1"/>
  <c r="J47" i="1"/>
  <c r="J48" i="1" s="1"/>
  <c r="I47" i="1"/>
  <c r="I48" i="1" s="1"/>
  <c r="H47" i="1"/>
  <c r="H48" i="1" s="1"/>
  <c r="I20" i="1"/>
  <c r="I24" i="1"/>
  <c r="J15" i="1"/>
  <c r="K10" i="1"/>
  <c r="K12" i="1"/>
  <c r="K27" i="1" s="1"/>
  <c r="K11" i="1"/>
  <c r="K26" i="1" s="1"/>
  <c r="K25" i="1"/>
  <c r="O4" i="1" l="1"/>
  <c r="P5" i="1"/>
  <c r="L10" i="1"/>
  <c r="L12" i="1"/>
  <c r="L27" i="1" s="1"/>
  <c r="L11" i="1"/>
  <c r="L26" i="1" s="1"/>
  <c r="L25" i="1"/>
  <c r="K15" i="1"/>
  <c r="J17" i="1"/>
  <c r="J18" i="1" s="1"/>
  <c r="J19" i="1" s="1"/>
  <c r="J29" i="1" s="1"/>
  <c r="J31" i="1" s="1"/>
  <c r="J24" i="1"/>
  <c r="P4" i="1" l="1"/>
  <c r="Q5" i="1"/>
  <c r="Q4" i="1" s="1"/>
  <c r="J20" i="1"/>
  <c r="K24" i="1"/>
  <c r="K17" i="1"/>
  <c r="K18" i="1" s="1"/>
  <c r="K19" i="1" s="1"/>
  <c r="K29" i="1" s="1"/>
  <c r="K31" i="1" s="1"/>
  <c r="M12" i="1"/>
  <c r="M27" i="1" s="1"/>
  <c r="M11" i="1"/>
  <c r="M26" i="1" s="1"/>
  <c r="M10" i="1"/>
  <c r="M25" i="1"/>
  <c r="L15" i="1"/>
  <c r="K47" i="1" l="1"/>
  <c r="K20" i="1"/>
  <c r="N12" i="1"/>
  <c r="N27" i="1" s="1"/>
  <c r="N11" i="1"/>
  <c r="N26" i="1" s="1"/>
  <c r="N25" i="1"/>
  <c r="N10" i="1"/>
  <c r="L17" i="1"/>
  <c r="L18" i="1" s="1"/>
  <c r="L19" i="1" s="1"/>
  <c r="L29" i="1" s="1"/>
  <c r="L31" i="1" s="1"/>
  <c r="L24" i="1"/>
  <c r="M15" i="1"/>
  <c r="K48" i="1" l="1"/>
  <c r="L20" i="1"/>
  <c r="M24" i="1"/>
  <c r="M17" i="1"/>
  <c r="M18" i="1" s="1"/>
  <c r="M19" i="1" s="1"/>
  <c r="M29" i="1" s="1"/>
  <c r="M31" i="1" s="1"/>
  <c r="N15" i="1"/>
  <c r="O12" i="1"/>
  <c r="O27" i="1" s="1"/>
  <c r="O11" i="1"/>
  <c r="O26" i="1" s="1"/>
  <c r="O25" i="1"/>
  <c r="O10" i="1"/>
  <c r="M20" i="1" l="1"/>
  <c r="O15" i="1"/>
  <c r="P12" i="1"/>
  <c r="P27" i="1" s="1"/>
  <c r="P11" i="1"/>
  <c r="P26" i="1" s="1"/>
  <c r="P25" i="1"/>
  <c r="P10" i="1"/>
  <c r="N24" i="1"/>
  <c r="N17" i="1"/>
  <c r="N18" i="1" s="1"/>
  <c r="N19" i="1" s="1"/>
  <c r="N29" i="1" s="1"/>
  <c r="N31" i="1" s="1"/>
  <c r="N20" i="1" l="1"/>
  <c r="Q27" i="1"/>
  <c r="Q11" i="1"/>
  <c r="Q26" i="1" s="1"/>
  <c r="Q10" i="1"/>
  <c r="Q25" i="1"/>
  <c r="P15" i="1"/>
  <c r="O17" i="1"/>
  <c r="O18" i="1" s="1"/>
  <c r="O19" i="1" s="1"/>
  <c r="O29" i="1" s="1"/>
  <c r="O31" i="1" s="1"/>
  <c r="O24" i="1"/>
  <c r="O20" i="1" l="1"/>
  <c r="P24" i="1"/>
  <c r="P17" i="1"/>
  <c r="P18" i="1" s="1"/>
  <c r="P19" i="1" s="1"/>
  <c r="P29" i="1" s="1"/>
  <c r="P31" i="1" s="1"/>
  <c r="Q15" i="1"/>
  <c r="P20" i="1" l="1"/>
  <c r="Q24" i="1"/>
  <c r="Q17" i="1"/>
  <c r="Q18" i="1" s="1"/>
  <c r="Q19" i="1" s="1"/>
  <c r="Q29" i="1" s="1"/>
  <c r="Q31" i="1" s="1"/>
  <c r="T23" i="1" l="1"/>
  <c r="T25" i="1" s="1"/>
  <c r="T27" i="1" s="1"/>
  <c r="Q20" i="1"/>
</calcChain>
</file>

<file path=xl/sharedStrings.xml><?xml version="1.0" encoding="utf-8"?>
<sst xmlns="http://schemas.openxmlformats.org/spreadsheetml/2006/main" count="49" uniqueCount="45">
  <si>
    <t xml:space="preserve">Revenue </t>
  </si>
  <si>
    <t>COGS</t>
  </si>
  <si>
    <t>Gross Profit</t>
  </si>
  <si>
    <t>SG&amp;A</t>
  </si>
  <si>
    <t>R&amp;D</t>
  </si>
  <si>
    <t>Restructuring</t>
  </si>
  <si>
    <t>Operating Income</t>
  </si>
  <si>
    <t>Pretax</t>
  </si>
  <si>
    <t>Taxes</t>
  </si>
  <si>
    <t>Net Income</t>
  </si>
  <si>
    <t>Other, net</t>
  </si>
  <si>
    <t>Finance expense</t>
  </si>
  <si>
    <t>Gross Margin</t>
  </si>
  <si>
    <t>Operating Margin</t>
  </si>
  <si>
    <t>CFFO</t>
  </si>
  <si>
    <t>CapEx</t>
  </si>
  <si>
    <t>FCF</t>
  </si>
  <si>
    <t>Cash</t>
  </si>
  <si>
    <t>Inventories</t>
  </si>
  <si>
    <t>PP&amp;E</t>
  </si>
  <si>
    <t>Debt</t>
  </si>
  <si>
    <t>Equity</t>
  </si>
  <si>
    <t>Current Assets</t>
  </si>
  <si>
    <t>Current Liab</t>
  </si>
  <si>
    <t>Working Cap</t>
  </si>
  <si>
    <t>Revenue Y/Y</t>
  </si>
  <si>
    <t>Discount</t>
  </si>
  <si>
    <t>Terminal</t>
  </si>
  <si>
    <t>NPV</t>
  </si>
  <si>
    <t>Net Cash</t>
  </si>
  <si>
    <t>Value</t>
  </si>
  <si>
    <t>Shares</t>
  </si>
  <si>
    <t>Price</t>
  </si>
  <si>
    <t>Cars Sold</t>
  </si>
  <si>
    <t>Revenue/Car</t>
  </si>
  <si>
    <t>Change</t>
  </si>
  <si>
    <t>Current</t>
  </si>
  <si>
    <t>Diff</t>
  </si>
  <si>
    <t>EPS</t>
  </si>
  <si>
    <t>Dividend</t>
  </si>
  <si>
    <t>Ratio to Income</t>
  </si>
  <si>
    <t>Ratio to FCF</t>
  </si>
  <si>
    <t>Yield</t>
  </si>
  <si>
    <t>MC</t>
  </si>
  <si>
    <t>Dividend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</si>
</sst>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€&quot;\ #,##0.00;[Red]\-&quot;€&quot;\ #,##0.00"/>
    <numFmt numFmtId="164" formatCode="0.0%"/>
    <numFmt numFmtId="165" formatCode="#,##0.0"/>
    <numFmt numFmtId="166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8" fontId="0" fillId="0" borderId="0" xfId="1" applyNumberFormat="1" applyFont="1"/>
    <xf numFmtId="2" fontId="0" fillId="0" borderId="0" xfId="1" applyNumberFormat="1" applyFont="1"/>
    <xf numFmtId="3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23232</xdr:colOff>
      <xdr:row>3</xdr:row>
      <xdr:rowOff>181207</xdr:rowOff>
    </xdr:from>
    <xdr:to>
      <xdr:col>6</xdr:col>
      <xdr:colOff>41817</xdr:colOff>
      <xdr:row>31</xdr:row>
      <xdr:rowOff>171915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9B3A3B6-A743-4349-4530-7B56E0736BF9}"/>
            </a:ext>
          </a:extLst>
        </xdr:cNvPr>
        <xdr:cNvCxnSpPr/>
      </xdr:nvCxnSpPr>
      <xdr:spPr>
        <a:xfrm>
          <a:off x="3791415" y="562207"/>
          <a:ext cx="18585" cy="38007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9136-335A-4FD2-AD5C-13331FD23825}">
  <dimension ref="B2:EO121"/>
  <sheetViews>
    <sheetView tabSelected="1" zoomScale="160" zoomScaleNormal="160" workbookViewId="0">
      <pane xSplit="2" ySplit="2" topLeftCell="F34" activePane="bottomRight" state="frozen"/>
      <selection pane="topRight" activeCell="C1" sqref="C1"/>
      <selection pane="bottomLeft" activeCell="A3" sqref="A3"/>
      <selection pane="bottomRight" activeCell="T36" sqref="S36:T36"/>
    </sheetView>
  </sheetViews>
  <sheetFormatPr defaultRowHeight="15" x14ac:dyDescent="0.25"/>
  <cols>
    <col min="1" max="1" width="3" customWidth="1"/>
    <col min="2" max="2" width="17" bestFit="1" customWidth="1"/>
    <col min="20" max="20" width="11.7109375" bestFit="1" customWidth="1"/>
  </cols>
  <sheetData>
    <row r="2" spans="2:17" x14ac:dyDescent="0.25">
      <c r="D2">
        <v>2022</v>
      </c>
      <c r="E2">
        <f>+D2+1</f>
        <v>2023</v>
      </c>
      <c r="F2">
        <f>+E2+1</f>
        <v>2024</v>
      </c>
      <c r="G2">
        <f>+F2+1</f>
        <v>2025</v>
      </c>
      <c r="H2">
        <f t="shared" ref="H2:Q2" si="0">+G2+1</f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4" spans="2:17" s="1" customFormat="1" x14ac:dyDescent="0.25">
      <c r="B4" s="1" t="s">
        <v>35</v>
      </c>
      <c r="D4" s="4"/>
      <c r="E4" s="4">
        <f t="shared" ref="E4:G4" si="1">+E5/D5 -1</f>
        <v>6.4918622665711689E-2</v>
      </c>
      <c r="F4" s="4">
        <f t="shared" si="1"/>
        <v>-0.1355825485717862</v>
      </c>
      <c r="G4" s="4">
        <f t="shared" si="1"/>
        <v>-5.2819689189494867E-2</v>
      </c>
      <c r="H4" s="4">
        <f t="shared" ref="H4" si="2">+H5/G5 -1</f>
        <v>3.0000000000000027E-2</v>
      </c>
      <c r="I4" s="4">
        <f t="shared" ref="I4" si="3">+I5/H5 -1</f>
        <v>3.0000000000000027E-2</v>
      </c>
      <c r="J4" s="4">
        <f t="shared" ref="J4" si="4">+J5/I5 -1</f>
        <v>3.0000000000000027E-2</v>
      </c>
      <c r="K4" s="4">
        <f t="shared" ref="K4" si="5">+K5/J5 -1</f>
        <v>3.0000000000000027E-2</v>
      </c>
      <c r="L4" s="4">
        <f t="shared" ref="L4" si="6">+L5/K5 -1</f>
        <v>3.0000000000000027E-2</v>
      </c>
      <c r="M4" s="4">
        <f t="shared" ref="M4" si="7">+M5/L5 -1</f>
        <v>3.0000000000000027E-2</v>
      </c>
      <c r="N4" s="4">
        <f t="shared" ref="N4" si="8">+N5/M5 -1</f>
        <v>3.0000000000000027E-2</v>
      </c>
      <c r="O4" s="4">
        <f t="shared" ref="O4" si="9">+O5/N5 -1</f>
        <v>3.0000000000000027E-2</v>
      </c>
      <c r="P4" s="4">
        <f t="shared" ref="P4" si="10">+P5/O5 -1</f>
        <v>3.0000000000000027E-2</v>
      </c>
      <c r="Q4" s="4">
        <f t="shared" ref="Q4" si="11">+Q5/P5 -1</f>
        <v>3.0000000000000027E-2</v>
      </c>
    </row>
    <row r="5" spans="2:17" s="1" customFormat="1" x14ac:dyDescent="0.25">
      <c r="B5" s="1" t="s">
        <v>33</v>
      </c>
      <c r="D5" s="1">
        <v>6002.9</v>
      </c>
      <c r="E5" s="1">
        <v>6392.6</v>
      </c>
      <c r="F5" s="1">
        <v>5525.875</v>
      </c>
      <c r="G5" s="1">
        <v>5234</v>
      </c>
      <c r="H5" s="1">
        <f>+G5*1.03</f>
        <v>5391.02</v>
      </c>
      <c r="I5" s="1">
        <f t="shared" ref="I5:Q5" si="12">+H5*1.03</f>
        <v>5552.7506000000003</v>
      </c>
      <c r="J5" s="1">
        <f t="shared" si="12"/>
        <v>5719.3331180000005</v>
      </c>
      <c r="K5" s="1">
        <f t="shared" si="12"/>
        <v>5890.9131115400005</v>
      </c>
      <c r="L5" s="1">
        <f t="shared" si="12"/>
        <v>6067.6405048862007</v>
      </c>
      <c r="M5" s="1">
        <f t="shared" si="12"/>
        <v>6249.6697200327872</v>
      </c>
      <c r="N5" s="1">
        <f t="shared" si="12"/>
        <v>6437.1598116337709</v>
      </c>
      <c r="O5" s="1">
        <f t="shared" si="12"/>
        <v>6630.2746059827841</v>
      </c>
      <c r="P5" s="1">
        <f t="shared" si="12"/>
        <v>6829.1828441622674</v>
      </c>
      <c r="Q5" s="1">
        <f t="shared" si="12"/>
        <v>7034.0583294871358</v>
      </c>
    </row>
    <row r="6" spans="2:17" s="11" customFormat="1" x14ac:dyDescent="0.25">
      <c r="B6" s="11" t="s">
        <v>34</v>
      </c>
      <c r="D6" s="11">
        <f>+D8/D5</f>
        <v>29.917539855736397</v>
      </c>
      <c r="E6" s="11">
        <f t="shared" ref="E6:G6" si="13">+E8/E5</f>
        <v>29.650533429277601</v>
      </c>
      <c r="F6" s="11">
        <f t="shared" si="13"/>
        <v>28.389712036555295</v>
      </c>
      <c r="G6" s="11">
        <f t="shared" si="13"/>
        <v>28.376385173863202</v>
      </c>
      <c r="H6" s="11">
        <f>+G6+0.2</f>
        <v>28.576385173863201</v>
      </c>
      <c r="I6" s="11">
        <f t="shared" ref="I6:Q6" si="14">+H6+0.2</f>
        <v>28.776385173863201</v>
      </c>
      <c r="J6" s="11">
        <f t="shared" si="14"/>
        <v>28.9763851738632</v>
      </c>
      <c r="K6" s="11">
        <f t="shared" si="14"/>
        <v>29.176385173863199</v>
      </c>
      <c r="L6" s="11">
        <f t="shared" si="14"/>
        <v>29.376385173863198</v>
      </c>
      <c r="M6" s="11">
        <f t="shared" si="14"/>
        <v>29.576385173863198</v>
      </c>
      <c r="N6" s="11">
        <f t="shared" si="14"/>
        <v>29.776385173863197</v>
      </c>
      <c r="O6" s="11">
        <f t="shared" si="14"/>
        <v>29.976385173863196</v>
      </c>
      <c r="P6" s="11">
        <f t="shared" si="14"/>
        <v>30.176385173863196</v>
      </c>
      <c r="Q6" s="11">
        <f t="shared" si="14"/>
        <v>30.376385173863195</v>
      </c>
    </row>
    <row r="7" spans="2:17" s="1" customFormat="1" x14ac:dyDescent="0.25"/>
    <row r="8" spans="2:17" s="2" customFormat="1" x14ac:dyDescent="0.25">
      <c r="B8" s="2" t="s">
        <v>0</v>
      </c>
      <c r="D8" s="2">
        <v>179592</v>
      </c>
      <c r="E8" s="2">
        <v>189544</v>
      </c>
      <c r="F8" s="2">
        <v>156878</v>
      </c>
      <c r="G8" s="2">
        <f>74261*2</f>
        <v>148522</v>
      </c>
      <c r="H8" s="2">
        <f>+H5*H6</f>
        <v>154055.864</v>
      </c>
      <c r="I8" s="2">
        <f t="shared" ref="I8:Q8" si="15">+I5*I6</f>
        <v>159788.09004000001</v>
      </c>
      <c r="J8" s="2">
        <f t="shared" si="15"/>
        <v>165725.5993648</v>
      </c>
      <c r="K8" s="2">
        <f t="shared" si="15"/>
        <v>171875.54996805199</v>
      </c>
      <c r="L8" s="2">
        <f t="shared" si="15"/>
        <v>178245.34456807081</v>
      </c>
      <c r="M8" s="2">
        <f t="shared" si="15"/>
        <v>184842.63884911948</v>
      </c>
      <c r="N8" s="2">
        <f t="shared" si="15"/>
        <v>191675.34997691982</v>
      </c>
      <c r="O8" s="2">
        <f t="shared" si="15"/>
        <v>198751.66539742399</v>
      </c>
      <c r="P8" s="2">
        <f t="shared" si="15"/>
        <v>206080.05192817913</v>
      </c>
      <c r="Q8" s="2">
        <f t="shared" si="15"/>
        <v>213669.26515192195</v>
      </c>
    </row>
    <row r="9" spans="2:17" s="1" customFormat="1" x14ac:dyDescent="0.25">
      <c r="B9" s="1" t="s">
        <v>1</v>
      </c>
      <c r="D9" s="1">
        <v>144327</v>
      </c>
      <c r="E9" s="1">
        <v>151400</v>
      </c>
      <c r="F9" s="1">
        <v>136360</v>
      </c>
      <c r="G9" s="1">
        <f>68267*2</f>
        <v>136534</v>
      </c>
      <c r="H9" s="1">
        <f>+H8*(1-H23)</f>
        <v>135569.16032</v>
      </c>
      <c r="I9" s="1">
        <f t="shared" ref="I9:Q9" si="16">+I8*(1-I23)</f>
        <v>135819.87653400001</v>
      </c>
      <c r="J9" s="1">
        <f t="shared" si="16"/>
        <v>137552.24747278399</v>
      </c>
      <c r="K9" s="1">
        <f t="shared" si="16"/>
        <v>137500.4399744416</v>
      </c>
      <c r="L9" s="1">
        <f t="shared" si="16"/>
        <v>142596.27565445667</v>
      </c>
      <c r="M9" s="1">
        <f t="shared" si="16"/>
        <v>147874.1110792956</v>
      </c>
      <c r="N9" s="1">
        <f t="shared" si="16"/>
        <v>153340.27998153586</v>
      </c>
      <c r="O9" s="1">
        <f t="shared" si="16"/>
        <v>159001.3323179392</v>
      </c>
      <c r="P9" s="1">
        <f t="shared" si="16"/>
        <v>164864.04154254333</v>
      </c>
      <c r="Q9" s="1">
        <f t="shared" si="16"/>
        <v>170935.41212153758</v>
      </c>
    </row>
    <row r="10" spans="2:17" s="1" customFormat="1" x14ac:dyDescent="0.25">
      <c r="B10" s="1" t="s">
        <v>2</v>
      </c>
      <c r="D10" s="1">
        <f>+D8-D9</f>
        <v>35265</v>
      </c>
      <c r="E10" s="1">
        <f>+E8-E9</f>
        <v>38144</v>
      </c>
      <c r="F10" s="1">
        <f>+F8-F9</f>
        <v>20518</v>
      </c>
      <c r="G10" s="1">
        <f>+G8-G9</f>
        <v>11988</v>
      </c>
      <c r="H10" s="1">
        <f t="shared" ref="H10:Q10" si="17">+H8-H9</f>
        <v>18486.703680000006</v>
      </c>
      <c r="I10" s="1">
        <f t="shared" si="17"/>
        <v>23968.213506</v>
      </c>
      <c r="J10" s="1">
        <f t="shared" si="17"/>
        <v>28173.351892016013</v>
      </c>
      <c r="K10" s="1">
        <f t="shared" si="17"/>
        <v>34375.109993610386</v>
      </c>
      <c r="L10" s="1">
        <f t="shared" si="17"/>
        <v>35649.068913614145</v>
      </c>
      <c r="M10" s="1">
        <f t="shared" si="17"/>
        <v>36968.527769823879</v>
      </c>
      <c r="N10" s="1">
        <f t="shared" si="17"/>
        <v>38335.069995383965</v>
      </c>
      <c r="O10" s="1">
        <f t="shared" si="17"/>
        <v>39750.333079484786</v>
      </c>
      <c r="P10" s="1">
        <f t="shared" si="17"/>
        <v>41216.010385635804</v>
      </c>
      <c r="Q10" s="1">
        <f t="shared" si="17"/>
        <v>42733.853030384373</v>
      </c>
    </row>
    <row r="11" spans="2:17" s="1" customFormat="1" x14ac:dyDescent="0.25">
      <c r="B11" s="1" t="s">
        <v>3</v>
      </c>
      <c r="D11" s="1">
        <v>8981</v>
      </c>
      <c r="E11" s="1">
        <v>9541</v>
      </c>
      <c r="F11" s="1">
        <v>9299</v>
      </c>
      <c r="G11" s="1">
        <f>4174*2</f>
        <v>8348</v>
      </c>
      <c r="H11" s="1">
        <f>+H8*0.055</f>
        <v>8473.0725199999997</v>
      </c>
      <c r="I11" s="1">
        <f t="shared" ref="I11:Q11" si="18">+I8*0.055</f>
        <v>8788.344952200001</v>
      </c>
      <c r="J11" s="1">
        <f t="shared" si="18"/>
        <v>9114.9079650639997</v>
      </c>
      <c r="K11" s="1">
        <f t="shared" si="18"/>
        <v>9453.1552482428597</v>
      </c>
      <c r="L11" s="1">
        <f t="shared" si="18"/>
        <v>9803.4939512438941</v>
      </c>
      <c r="M11" s="1">
        <f t="shared" si="18"/>
        <v>10166.345136701571</v>
      </c>
      <c r="N11" s="1">
        <f t="shared" si="18"/>
        <v>10542.14424873059</v>
      </c>
      <c r="O11" s="1">
        <f t="shared" si="18"/>
        <v>10931.341596858319</v>
      </c>
      <c r="P11" s="1">
        <f t="shared" si="18"/>
        <v>11334.402856049852</v>
      </c>
      <c r="Q11" s="1">
        <f t="shared" si="18"/>
        <v>11751.809583355707</v>
      </c>
    </row>
    <row r="12" spans="2:17" s="1" customFormat="1" x14ac:dyDescent="0.25">
      <c r="B12" s="1" t="s">
        <v>4</v>
      </c>
      <c r="D12" s="1">
        <v>5200</v>
      </c>
      <c r="E12" s="1">
        <v>5619</v>
      </c>
      <c r="F12" s="1">
        <v>5784</v>
      </c>
      <c r="G12" s="1">
        <f>3371*2</f>
        <v>6742</v>
      </c>
      <c r="H12" s="1">
        <f>+H8*0.045</f>
        <v>6932.5138799999995</v>
      </c>
      <c r="I12" s="1">
        <f t="shared" ref="I12:P12" si="19">+I8*0.045</f>
        <v>7190.4640518000006</v>
      </c>
      <c r="J12" s="1">
        <f t="shared" si="19"/>
        <v>7457.6519714159995</v>
      </c>
      <c r="K12" s="1">
        <f t="shared" si="19"/>
        <v>7734.3997485623395</v>
      </c>
      <c r="L12" s="1">
        <f t="shared" si="19"/>
        <v>8021.0405055631863</v>
      </c>
      <c r="M12" s="1">
        <f t="shared" si="19"/>
        <v>8317.9187482103771</v>
      </c>
      <c r="N12" s="1">
        <f t="shared" si="19"/>
        <v>8625.3907489613921</v>
      </c>
      <c r="O12" s="1">
        <f t="shared" si="19"/>
        <v>8943.8249428840791</v>
      </c>
      <c r="P12" s="1">
        <f t="shared" si="19"/>
        <v>9273.6023367680609</v>
      </c>
      <c r="Q12" s="1">
        <f>+Q8*0.045</f>
        <v>9615.1169318364882</v>
      </c>
    </row>
    <row r="13" spans="2:17" s="1" customFormat="1" x14ac:dyDescent="0.25">
      <c r="B13" s="1" t="s">
        <v>5</v>
      </c>
      <c r="D13" s="1">
        <v>1144</v>
      </c>
      <c r="E13" s="1">
        <v>1119</v>
      </c>
      <c r="F13" s="1">
        <v>1617</v>
      </c>
      <c r="G13" s="1">
        <f>522*2</f>
        <v>1044</v>
      </c>
      <c r="H13" s="1">
        <f>+G13*0.98</f>
        <v>1023.12</v>
      </c>
      <c r="I13" s="1">
        <f t="shared" ref="I13:Q13" si="20">+H13*0.98</f>
        <v>1002.6576</v>
      </c>
      <c r="J13" s="1">
        <f t="shared" si="20"/>
        <v>982.60444799999993</v>
      </c>
      <c r="K13" s="1">
        <f t="shared" si="20"/>
        <v>962.95235903999992</v>
      </c>
      <c r="L13" s="1">
        <f t="shared" si="20"/>
        <v>943.69331185919987</v>
      </c>
      <c r="M13" s="1">
        <f t="shared" si="20"/>
        <v>924.81944562201591</v>
      </c>
      <c r="N13" s="1">
        <f t="shared" si="20"/>
        <v>906.32305670957555</v>
      </c>
      <c r="O13" s="1">
        <f t="shared" si="20"/>
        <v>888.19659557538398</v>
      </c>
      <c r="P13" s="1">
        <f t="shared" si="20"/>
        <v>870.43266366387627</v>
      </c>
      <c r="Q13" s="1">
        <f t="shared" si="20"/>
        <v>853.02401039059873</v>
      </c>
    </row>
    <row r="14" spans="2:17" s="1" customFormat="1" x14ac:dyDescent="0.25">
      <c r="B14" s="1" t="s">
        <v>10</v>
      </c>
      <c r="D14" s="1">
        <f>72+264</f>
        <v>336</v>
      </c>
      <c r="E14" s="1">
        <f>20+491</f>
        <v>511</v>
      </c>
      <c r="F14" s="1">
        <f>-98-33</f>
        <v>-131</v>
      </c>
      <c r="G14" s="1">
        <f>-204-433</f>
        <v>-637</v>
      </c>
    </row>
    <row r="15" spans="2:17" s="2" customFormat="1" x14ac:dyDescent="0.25">
      <c r="B15" s="2" t="s">
        <v>6</v>
      </c>
      <c r="D15" s="2">
        <f>+D10-D11-D12-D13+D14</f>
        <v>20276</v>
      </c>
      <c r="E15" s="2">
        <f>+E10-E11-E12-E13+E14</f>
        <v>22376</v>
      </c>
      <c r="F15" s="2">
        <f>+F10-F11-F12-F13+F14</f>
        <v>3687</v>
      </c>
      <c r="G15" s="2">
        <f>+G10-G11-G12-G13+G14</f>
        <v>-4783</v>
      </c>
      <c r="H15" s="2">
        <f t="shared" ref="H15:Q15" si="21">+H10-H11-H12-H13+H14</f>
        <v>2057.9972800000069</v>
      </c>
      <c r="I15" s="2">
        <f t="shared" si="21"/>
        <v>6986.746901999999</v>
      </c>
      <c r="J15" s="2">
        <f t="shared" si="21"/>
        <v>10618.187507536017</v>
      </c>
      <c r="K15" s="2">
        <f t="shared" si="21"/>
        <v>16224.602637765185</v>
      </c>
      <c r="L15" s="2">
        <f t="shared" si="21"/>
        <v>16880.841144947866</v>
      </c>
      <c r="M15" s="2">
        <f t="shared" si="21"/>
        <v>17559.444439289913</v>
      </c>
      <c r="N15" s="2">
        <f t="shared" si="21"/>
        <v>18261.211940982408</v>
      </c>
      <c r="O15" s="2">
        <f t="shared" si="21"/>
        <v>18986.969944167002</v>
      </c>
      <c r="P15" s="2">
        <f t="shared" si="21"/>
        <v>19737.572529154015</v>
      </c>
      <c r="Q15" s="2">
        <f t="shared" si="21"/>
        <v>20513.902504801576</v>
      </c>
    </row>
    <row r="16" spans="2:17" s="1" customFormat="1" x14ac:dyDescent="0.25">
      <c r="B16" s="1" t="s">
        <v>11</v>
      </c>
      <c r="D16" s="1">
        <v>768</v>
      </c>
      <c r="E16" s="1">
        <v>-42</v>
      </c>
      <c r="F16" s="1">
        <v>-345</v>
      </c>
      <c r="G16" s="1">
        <f>160*2</f>
        <v>320</v>
      </c>
      <c r="H16" s="1">
        <v>300</v>
      </c>
      <c r="I16" s="1">
        <v>300</v>
      </c>
      <c r="J16" s="1">
        <v>300</v>
      </c>
      <c r="K16" s="1">
        <v>300</v>
      </c>
      <c r="L16" s="1">
        <v>300</v>
      </c>
      <c r="M16" s="1">
        <v>300</v>
      </c>
      <c r="N16" s="1">
        <v>300</v>
      </c>
      <c r="O16" s="1">
        <v>300</v>
      </c>
      <c r="P16" s="1">
        <v>300</v>
      </c>
      <c r="Q16" s="1">
        <v>300</v>
      </c>
    </row>
    <row r="17" spans="2:145" s="1" customFormat="1" x14ac:dyDescent="0.25">
      <c r="B17" s="1" t="s">
        <v>7</v>
      </c>
      <c r="D17" s="1">
        <f>+D15-D16</f>
        <v>19508</v>
      </c>
      <c r="E17" s="1">
        <f>+E15-E16</f>
        <v>22418</v>
      </c>
      <c r="F17" s="1">
        <f>+F15-F16</f>
        <v>4032</v>
      </c>
      <c r="G17" s="1">
        <f>+G15-G16</f>
        <v>-5103</v>
      </c>
      <c r="H17" s="1">
        <f t="shared" ref="H17:Q17" si="22">+H15-H16</f>
        <v>1757.9972800000069</v>
      </c>
      <c r="I17" s="1">
        <f t="shared" si="22"/>
        <v>6686.746901999999</v>
      </c>
      <c r="J17" s="1">
        <f t="shared" si="22"/>
        <v>10318.187507536017</v>
      </c>
      <c r="K17" s="1">
        <f t="shared" si="22"/>
        <v>15924.602637765185</v>
      </c>
      <c r="L17" s="1">
        <f t="shared" si="22"/>
        <v>16580.841144947866</v>
      </c>
      <c r="M17" s="1">
        <f t="shared" si="22"/>
        <v>17259.444439289913</v>
      </c>
      <c r="N17" s="1">
        <f t="shared" si="22"/>
        <v>17961.211940982408</v>
      </c>
      <c r="O17" s="1">
        <f t="shared" si="22"/>
        <v>18686.969944167002</v>
      </c>
      <c r="P17" s="1">
        <f t="shared" si="22"/>
        <v>19437.572529154015</v>
      </c>
      <c r="Q17" s="1">
        <f t="shared" si="22"/>
        <v>20213.902504801576</v>
      </c>
    </row>
    <row r="18" spans="2:145" s="1" customFormat="1" x14ac:dyDescent="0.25">
      <c r="B18" s="1" t="s">
        <v>8</v>
      </c>
      <c r="D18" s="1">
        <v>2729</v>
      </c>
      <c r="E18" s="1">
        <v>3793</v>
      </c>
      <c r="F18" s="1">
        <v>-1488</v>
      </c>
      <c r="G18" s="1">
        <f>1342*2</f>
        <v>2684</v>
      </c>
      <c r="H18" s="1">
        <f>+H17*0.22</f>
        <v>386.75940160000152</v>
      </c>
      <c r="I18" s="1">
        <f t="shared" ref="I18:Q18" si="23">+I17*0.22</f>
        <v>1471.0843184399998</v>
      </c>
      <c r="J18" s="1">
        <f t="shared" si="23"/>
        <v>2270.0012516579236</v>
      </c>
      <c r="K18" s="1">
        <f t="shared" si="23"/>
        <v>3503.4125803083407</v>
      </c>
      <c r="L18" s="1">
        <f t="shared" si="23"/>
        <v>3647.7850518885307</v>
      </c>
      <c r="M18" s="1">
        <f t="shared" si="23"/>
        <v>3797.0777766437809</v>
      </c>
      <c r="N18" s="1">
        <f t="shared" si="23"/>
        <v>3951.4666270161297</v>
      </c>
      <c r="O18" s="1">
        <f t="shared" si="23"/>
        <v>4111.1333877167408</v>
      </c>
      <c r="P18" s="1">
        <f t="shared" si="23"/>
        <v>4276.265956413883</v>
      </c>
      <c r="Q18" s="1">
        <f t="shared" si="23"/>
        <v>4447.0585510563469</v>
      </c>
    </row>
    <row r="19" spans="2:145" s="1" customFormat="1" x14ac:dyDescent="0.25">
      <c r="B19" s="1" t="s">
        <v>9</v>
      </c>
      <c r="D19" s="1">
        <f>+D17-D18</f>
        <v>16779</v>
      </c>
      <c r="E19" s="1">
        <f>+E17-E18</f>
        <v>18625</v>
      </c>
      <c r="F19" s="1">
        <f>+F17-F18</f>
        <v>5520</v>
      </c>
      <c r="G19" s="1">
        <f>+G17-G18</f>
        <v>-7787</v>
      </c>
      <c r="H19" s="1">
        <f t="shared" ref="H19:Q19" si="24">+H17-H18</f>
        <v>1371.2378784000052</v>
      </c>
      <c r="I19" s="1">
        <f t="shared" si="24"/>
        <v>5215.6625835599989</v>
      </c>
      <c r="J19" s="1">
        <f t="shared" si="24"/>
        <v>8048.1862558780931</v>
      </c>
      <c r="K19" s="1">
        <f t="shared" si="24"/>
        <v>12421.190057456844</v>
      </c>
      <c r="L19" s="1">
        <f t="shared" si="24"/>
        <v>12933.056093059335</v>
      </c>
      <c r="M19" s="1">
        <f t="shared" si="24"/>
        <v>13462.366662646133</v>
      </c>
      <c r="N19" s="1">
        <f t="shared" si="24"/>
        <v>14009.745313966279</v>
      </c>
      <c r="O19" s="1">
        <f t="shared" si="24"/>
        <v>14575.83655645026</v>
      </c>
      <c r="P19" s="1">
        <f t="shared" si="24"/>
        <v>15161.306572740132</v>
      </c>
      <c r="Q19" s="1">
        <f t="shared" si="24"/>
        <v>15766.843953745229</v>
      </c>
      <c r="S19" s="3" t="s">
        <v>26</v>
      </c>
      <c r="T19" s="3">
        <v>0.1</v>
      </c>
    </row>
    <row r="20" spans="2:145" s="6" customFormat="1" x14ac:dyDescent="0.25">
      <c r="B20" s="6" t="s">
        <v>38</v>
      </c>
      <c r="D20" s="6">
        <f>+D19/D21</f>
        <v>5.5504465762487598</v>
      </c>
      <c r="E20" s="6">
        <f t="shared" ref="E20:Q20" si="25">+E19/E21</f>
        <v>6.1610982467747268</v>
      </c>
      <c r="F20" s="6">
        <f t="shared" si="25"/>
        <v>1.8260006615944426</v>
      </c>
      <c r="G20" s="6">
        <f t="shared" si="25"/>
        <v>-2.5759179622891168</v>
      </c>
      <c r="H20" s="6">
        <f t="shared" si="25"/>
        <v>0.4536016799206104</v>
      </c>
      <c r="I20" s="6">
        <f t="shared" si="25"/>
        <v>1.7253266898974524</v>
      </c>
      <c r="J20" s="6">
        <f t="shared" si="25"/>
        <v>2.6623176499762136</v>
      </c>
      <c r="K20" s="6">
        <f t="shared" si="25"/>
        <v>4.108895156287411</v>
      </c>
      <c r="L20" s="6">
        <f t="shared" si="25"/>
        <v>4.2782190185442719</v>
      </c>
      <c r="M20" s="6">
        <f t="shared" si="25"/>
        <v>4.4533134841700734</v>
      </c>
      <c r="N20" s="6">
        <f t="shared" si="25"/>
        <v>4.6343848210275489</v>
      </c>
      <c r="O20" s="6">
        <f t="shared" si="25"/>
        <v>4.8216462310454054</v>
      </c>
      <c r="P20" s="6">
        <f t="shared" si="25"/>
        <v>5.0153180855905166</v>
      </c>
      <c r="Q20" s="6">
        <f t="shared" si="25"/>
        <v>5.2156281686223052</v>
      </c>
      <c r="S20" s="3" t="s">
        <v>27</v>
      </c>
      <c r="T20" s="3">
        <v>0.01</v>
      </c>
    </row>
    <row r="21" spans="2:145" s="1" customFormat="1" x14ac:dyDescent="0.25">
      <c r="B21" s="1" t="s">
        <v>31</v>
      </c>
      <c r="D21" s="1">
        <f>+T24</f>
        <v>3023</v>
      </c>
      <c r="E21" s="1">
        <f>+D21+0</f>
        <v>3023</v>
      </c>
      <c r="F21" s="1">
        <f>+E21+0</f>
        <v>3023</v>
      </c>
      <c r="G21" s="1">
        <f>+F21+0</f>
        <v>3023</v>
      </c>
      <c r="H21" s="1">
        <f t="shared" ref="H21:Q21" si="26">+G21+0</f>
        <v>3023</v>
      </c>
      <c r="I21" s="1">
        <f t="shared" si="26"/>
        <v>3023</v>
      </c>
      <c r="J21" s="1">
        <f t="shared" si="26"/>
        <v>3023</v>
      </c>
      <c r="K21" s="1">
        <f t="shared" si="26"/>
        <v>3023</v>
      </c>
      <c r="L21" s="1">
        <f t="shared" si="26"/>
        <v>3023</v>
      </c>
      <c r="M21" s="1">
        <f t="shared" si="26"/>
        <v>3023</v>
      </c>
      <c r="N21" s="1">
        <f t="shared" si="26"/>
        <v>3023</v>
      </c>
      <c r="O21" s="1">
        <f t="shared" si="26"/>
        <v>3023</v>
      </c>
      <c r="P21" s="1">
        <f t="shared" si="26"/>
        <v>3023</v>
      </c>
      <c r="Q21" s="1">
        <f t="shared" si="26"/>
        <v>3023</v>
      </c>
      <c r="S21" s="3" t="s">
        <v>28</v>
      </c>
      <c r="T21" s="8">
        <f>NPV(T19,G31:FK31)</f>
        <v>33653.682685928703</v>
      </c>
    </row>
    <row r="22" spans="2:145" s="1" customFormat="1" x14ac:dyDescent="0.25">
      <c r="D22" s="7"/>
      <c r="E22" s="7"/>
      <c r="G22" s="3"/>
      <c r="S22" s="4" t="s">
        <v>29</v>
      </c>
      <c r="T22" s="9">
        <f>+G33-G36</f>
        <v>-10139</v>
      </c>
    </row>
    <row r="23" spans="2:145" s="3" customFormat="1" x14ac:dyDescent="0.25">
      <c r="B23" s="3" t="s">
        <v>12</v>
      </c>
      <c r="D23" s="3">
        <f>+D10/D8</f>
        <v>0.196361753307497</v>
      </c>
      <c r="E23" s="3">
        <f t="shared" ref="E23:G23" si="27">+E10/E8</f>
        <v>0.20124087283163802</v>
      </c>
      <c r="F23" s="3">
        <f t="shared" si="27"/>
        <v>0.13078953071813765</v>
      </c>
      <c r="G23" s="3">
        <f t="shared" si="27"/>
        <v>8.0715314902842672E-2</v>
      </c>
      <c r="H23" s="3">
        <v>0.12</v>
      </c>
      <c r="I23" s="3">
        <v>0.15</v>
      </c>
      <c r="J23" s="3">
        <v>0.17</v>
      </c>
      <c r="K23" s="3">
        <v>0.2</v>
      </c>
      <c r="L23" s="3">
        <v>0.2</v>
      </c>
      <c r="M23" s="3">
        <v>0.2</v>
      </c>
      <c r="N23" s="3">
        <v>0.2</v>
      </c>
      <c r="O23" s="3">
        <v>0.2</v>
      </c>
      <c r="P23" s="3">
        <v>0.2</v>
      </c>
      <c r="Q23" s="3">
        <v>0.2</v>
      </c>
      <c r="S23" s="4" t="s">
        <v>30</v>
      </c>
      <c r="T23" s="10">
        <f>+T21+T22</f>
        <v>23514.682685928703</v>
      </c>
    </row>
    <row r="24" spans="2:145" s="3" customFormat="1" x14ac:dyDescent="0.25">
      <c r="B24" s="3" t="s">
        <v>13</v>
      </c>
      <c r="D24" s="3">
        <f>+D15/D8</f>
        <v>0.112900351908771</v>
      </c>
      <c r="E24" s="3">
        <f t="shared" ref="E24:G24" si="28">+E15/E8</f>
        <v>0.11805174524121048</v>
      </c>
      <c r="F24" s="3">
        <f t="shared" si="28"/>
        <v>2.3502339397493594E-2</v>
      </c>
      <c r="G24" s="3">
        <f t="shared" si="28"/>
        <v>-3.2203983248272984E-2</v>
      </c>
      <c r="H24" s="3">
        <f t="shared" ref="H24:Q24" si="29">+H15/H8</f>
        <v>1.335877276310629E-2</v>
      </c>
      <c r="I24" s="3">
        <f t="shared" si="29"/>
        <v>4.3725079261232772E-2</v>
      </c>
      <c r="J24" s="3">
        <f t="shared" si="29"/>
        <v>6.4070895192015295E-2</v>
      </c>
      <c r="K24" s="3">
        <f t="shared" si="29"/>
        <v>9.4397386020181426E-2</v>
      </c>
      <c r="L24" s="3">
        <f t="shared" si="29"/>
        <v>9.4705649596930577E-2</v>
      </c>
      <c r="M24" s="3">
        <f t="shared" si="29"/>
        <v>9.4996720175711549E-2</v>
      </c>
      <c r="N24" s="3">
        <f t="shared" si="29"/>
        <v>9.5271572182762637E-2</v>
      </c>
      <c r="O24" s="3">
        <f t="shared" si="29"/>
        <v>9.5531123757884709E-2</v>
      </c>
      <c r="P24" s="3">
        <f t="shared" si="29"/>
        <v>9.5776240079911992E-2</v>
      </c>
      <c r="Q24" s="3">
        <f t="shared" si="29"/>
        <v>9.6007736490392723E-2</v>
      </c>
      <c r="S24" s="1" t="s">
        <v>31</v>
      </c>
      <c r="T24" s="1">
        <v>3023</v>
      </c>
    </row>
    <row r="25" spans="2:145" s="3" customFormat="1" x14ac:dyDescent="0.25">
      <c r="B25" s="3" t="s">
        <v>25</v>
      </c>
      <c r="E25" s="3">
        <f>+E8/D8 -1</f>
        <v>5.5414495077731774E-2</v>
      </c>
      <c r="F25" s="3">
        <f>+F8/E8 -1</f>
        <v>-0.17233993162537453</v>
      </c>
      <c r="G25" s="3">
        <f>+G8/F8 -1</f>
        <v>-5.326432004487569E-2</v>
      </c>
      <c r="H25" s="3">
        <f>+H8/G8 -1</f>
        <v>3.7259557506632124E-2</v>
      </c>
      <c r="I25" s="3">
        <f t="shared" ref="I25:Q25" si="30">+I8/H8 -1</f>
        <v>3.7208749418327969E-2</v>
      </c>
      <c r="J25" s="3">
        <f t="shared" si="30"/>
        <v>3.7158647577010484E-2</v>
      </c>
      <c r="K25" s="3">
        <f t="shared" si="30"/>
        <v>3.7109237358765146E-2</v>
      </c>
      <c r="L25" s="3">
        <f t="shared" si="30"/>
        <v>3.7060504540656458E-2</v>
      </c>
      <c r="M25" s="3">
        <f t="shared" si="30"/>
        <v>3.7012435287078205E-2</v>
      </c>
      <c r="N25" s="3">
        <f t="shared" si="30"/>
        <v>3.6965016136659035E-2</v>
      </c>
      <c r="O25" s="3">
        <f t="shared" si="30"/>
        <v>3.6918233989692739E-2</v>
      </c>
      <c r="P25" s="3">
        <f t="shared" si="30"/>
        <v>3.6872076096073458E-2</v>
      </c>
      <c r="Q25" s="3">
        <f t="shared" si="30"/>
        <v>3.6826530043712058E-2</v>
      </c>
      <c r="S25" s="1" t="s">
        <v>32</v>
      </c>
      <c r="T25" s="7">
        <f>+T23/T24</f>
        <v>7.7785916923349996</v>
      </c>
    </row>
    <row r="26" spans="2:145" s="4" customFormat="1" x14ac:dyDescent="0.25">
      <c r="B26" s="5" t="s">
        <v>3</v>
      </c>
      <c r="D26" s="4">
        <f>+D11/D8</f>
        <v>5.0007795447458682E-2</v>
      </c>
      <c r="E26" s="4">
        <f t="shared" ref="E26:Q26" si="31">+E11/E8</f>
        <v>5.0336597307221544E-2</v>
      </c>
      <c r="F26" s="4">
        <f t="shared" si="31"/>
        <v>5.9275360471194173E-2</v>
      </c>
      <c r="G26" s="4">
        <f t="shared" si="31"/>
        <v>5.6207161228639529E-2</v>
      </c>
      <c r="H26" s="4">
        <f t="shared" si="31"/>
        <v>5.5E-2</v>
      </c>
      <c r="I26" s="4">
        <f t="shared" si="31"/>
        <v>5.5E-2</v>
      </c>
      <c r="J26" s="4">
        <f t="shared" si="31"/>
        <v>5.5E-2</v>
      </c>
      <c r="K26" s="4">
        <f t="shared" si="31"/>
        <v>5.5E-2</v>
      </c>
      <c r="L26" s="4">
        <f t="shared" si="31"/>
        <v>5.5E-2</v>
      </c>
      <c r="M26" s="4">
        <f t="shared" si="31"/>
        <v>5.5E-2</v>
      </c>
      <c r="N26" s="4">
        <f t="shared" si="31"/>
        <v>5.5E-2</v>
      </c>
      <c r="O26" s="4">
        <f t="shared" si="31"/>
        <v>5.5E-2</v>
      </c>
      <c r="P26" s="4">
        <f t="shared" si="31"/>
        <v>5.5E-2</v>
      </c>
      <c r="Q26" s="4">
        <f t="shared" si="31"/>
        <v>5.5E-2</v>
      </c>
      <c r="S26" s="1" t="s">
        <v>36</v>
      </c>
      <c r="T26" s="7">
        <v>6.6</v>
      </c>
    </row>
    <row r="27" spans="2:145" s="4" customFormat="1" x14ac:dyDescent="0.25">
      <c r="B27" s="5" t="s">
        <v>4</v>
      </c>
      <c r="D27" s="4">
        <f>+D12/D8</f>
        <v>2.8954519132255333E-2</v>
      </c>
      <c r="E27" s="4">
        <f t="shared" ref="E27:Q27" si="32">+E12/E8</f>
        <v>2.9644831806862785E-2</v>
      </c>
      <c r="F27" s="4">
        <f t="shared" si="32"/>
        <v>3.686941444944479E-2</v>
      </c>
      <c r="G27" s="4">
        <f t="shared" si="32"/>
        <v>4.5393948371285062E-2</v>
      </c>
      <c r="H27" s="4">
        <f t="shared" si="32"/>
        <v>4.4999999999999998E-2</v>
      </c>
      <c r="I27" s="4">
        <f t="shared" si="32"/>
        <v>4.4999999999999998E-2</v>
      </c>
      <c r="J27" s="4">
        <f t="shared" si="32"/>
        <v>4.4999999999999998E-2</v>
      </c>
      <c r="K27" s="4">
        <f t="shared" si="32"/>
        <v>4.4999999999999998E-2</v>
      </c>
      <c r="L27" s="4">
        <f t="shared" si="32"/>
        <v>4.4999999999999998E-2</v>
      </c>
      <c r="M27" s="4">
        <f t="shared" si="32"/>
        <v>4.5000000000000005E-2</v>
      </c>
      <c r="N27" s="4">
        <f t="shared" si="32"/>
        <v>4.4999999999999998E-2</v>
      </c>
      <c r="O27" s="4">
        <f t="shared" si="32"/>
        <v>4.4999999999999998E-2</v>
      </c>
      <c r="P27" s="4">
        <f t="shared" si="32"/>
        <v>4.4999999999999998E-2</v>
      </c>
      <c r="Q27" s="4">
        <f t="shared" si="32"/>
        <v>4.5000000000000005E-2</v>
      </c>
      <c r="S27" s="1" t="s">
        <v>37</v>
      </c>
      <c r="T27" s="3">
        <f>+T25/T26 -1</f>
        <v>0.17857449883863641</v>
      </c>
    </row>
    <row r="28" spans="2:145" s="1" customFormat="1" x14ac:dyDescent="0.25">
      <c r="D28" s="7"/>
      <c r="E28" s="7"/>
      <c r="S28" s="1" t="s">
        <v>43</v>
      </c>
      <c r="T28" s="1">
        <f>+T26*T24</f>
        <v>19951.8</v>
      </c>
    </row>
    <row r="29" spans="2:145" s="1" customFormat="1" x14ac:dyDescent="0.25">
      <c r="B29" s="1" t="s">
        <v>14</v>
      </c>
      <c r="D29" s="1">
        <v>19959</v>
      </c>
      <c r="E29" s="1">
        <v>22485</v>
      </c>
      <c r="F29" s="1">
        <v>4008</v>
      </c>
      <c r="G29" s="1">
        <f>+G19+3000</f>
        <v>-4787</v>
      </c>
      <c r="H29" s="1">
        <f>+H19*1.2</f>
        <v>1645.4854540800063</v>
      </c>
      <c r="I29" s="1">
        <f t="shared" ref="I29:Q29" si="33">+I19*1.2</f>
        <v>6258.7951002719983</v>
      </c>
      <c r="J29" s="1">
        <f t="shared" si="33"/>
        <v>9657.8235070537121</v>
      </c>
      <c r="K29" s="1">
        <f t="shared" si="33"/>
        <v>14905.428068948213</v>
      </c>
      <c r="L29" s="1">
        <f t="shared" si="33"/>
        <v>15519.667311671201</v>
      </c>
      <c r="M29" s="1">
        <f t="shared" si="33"/>
        <v>16154.839995175358</v>
      </c>
      <c r="N29" s="1">
        <f t="shared" si="33"/>
        <v>16811.694376759533</v>
      </c>
      <c r="O29" s="1">
        <f t="shared" si="33"/>
        <v>17491.00386774031</v>
      </c>
      <c r="P29" s="1">
        <f t="shared" si="33"/>
        <v>18193.567887288158</v>
      </c>
      <c r="Q29" s="1">
        <f t="shared" si="33"/>
        <v>18920.212744494274</v>
      </c>
    </row>
    <row r="30" spans="2:145" s="1" customFormat="1" x14ac:dyDescent="0.25">
      <c r="B30" s="1" t="s">
        <v>15</v>
      </c>
      <c r="D30" s="1">
        <v>8615</v>
      </c>
      <c r="E30" s="1">
        <v>10193</v>
      </c>
      <c r="F30" s="1">
        <v>11060</v>
      </c>
      <c r="G30" s="1">
        <v>10000</v>
      </c>
      <c r="H30" s="1">
        <v>10000</v>
      </c>
      <c r="I30" s="1">
        <v>10000</v>
      </c>
      <c r="J30" s="1">
        <v>10000</v>
      </c>
      <c r="K30" s="1">
        <v>10000</v>
      </c>
      <c r="L30" s="1">
        <v>10000</v>
      </c>
      <c r="M30" s="1">
        <v>10000</v>
      </c>
      <c r="N30" s="1">
        <v>10000</v>
      </c>
      <c r="O30" s="1">
        <v>10000</v>
      </c>
      <c r="P30" s="1">
        <v>10000</v>
      </c>
      <c r="Q30" s="1">
        <v>10000</v>
      </c>
    </row>
    <row r="31" spans="2:145" s="1" customFormat="1" x14ac:dyDescent="0.25">
      <c r="B31" s="1" t="s">
        <v>16</v>
      </c>
      <c r="D31" s="1">
        <f>+D29-D30</f>
        <v>11344</v>
      </c>
      <c r="E31" s="1">
        <f>+E29-E30</f>
        <v>12292</v>
      </c>
      <c r="F31" s="1">
        <f>+F29-F30</f>
        <v>-7052</v>
      </c>
      <c r="G31" s="1">
        <f>+G29-G30</f>
        <v>-14787</v>
      </c>
      <c r="H31" s="1">
        <f t="shared" ref="H31:Q31" si="34">+H29-H30</f>
        <v>-8354.5145459199939</v>
      </c>
      <c r="I31" s="1">
        <f t="shared" si="34"/>
        <v>-3741.2048997280017</v>
      </c>
      <c r="J31" s="1">
        <f t="shared" si="34"/>
        <v>-342.17649294628791</v>
      </c>
      <c r="K31" s="1">
        <f t="shared" si="34"/>
        <v>4905.428068948213</v>
      </c>
      <c r="L31" s="1">
        <f t="shared" si="34"/>
        <v>5519.6673116712009</v>
      </c>
      <c r="M31" s="1">
        <f t="shared" si="34"/>
        <v>6154.8399951753581</v>
      </c>
      <c r="N31" s="1">
        <f t="shared" si="34"/>
        <v>6811.694376759533</v>
      </c>
      <c r="O31" s="1">
        <f t="shared" si="34"/>
        <v>7491.0038677403099</v>
      </c>
      <c r="P31" s="1">
        <f t="shared" si="34"/>
        <v>8193.5678872881581</v>
      </c>
      <c r="Q31" s="1">
        <f t="shared" si="34"/>
        <v>8920.2127444942744</v>
      </c>
      <c r="R31" s="1">
        <f>+Q31*(1+$T$20)</f>
        <v>9009.4148719392178</v>
      </c>
      <c r="S31" s="1">
        <f t="shared" ref="S31:CD31" si="35">+R31*(1+$T20)</f>
        <v>9099.5090206586101</v>
      </c>
      <c r="T31" s="1">
        <f t="shared" si="35"/>
        <v>9190.5041108651967</v>
      </c>
      <c r="U31" s="1">
        <f t="shared" si="35"/>
        <v>9282.4091519738486</v>
      </c>
      <c r="V31" s="1">
        <f t="shared" si="35"/>
        <v>9375.233243493587</v>
      </c>
      <c r="W31" s="1">
        <f t="shared" si="35"/>
        <v>9468.9855759285238</v>
      </c>
      <c r="X31" s="1">
        <f t="shared" si="35"/>
        <v>9563.6754316878087</v>
      </c>
      <c r="Y31" s="1">
        <f t="shared" si="35"/>
        <v>9659.3121860046867</v>
      </c>
      <c r="Z31" s="1">
        <f t="shared" si="35"/>
        <v>9755.9053078647339</v>
      </c>
      <c r="AA31" s="1">
        <f t="shared" si="35"/>
        <v>9853.4643609433806</v>
      </c>
      <c r="AB31" s="1">
        <f t="shared" si="35"/>
        <v>9951.9990045528139</v>
      </c>
      <c r="AC31" s="1">
        <f t="shared" si="35"/>
        <v>10051.518994598342</v>
      </c>
      <c r="AD31" s="1">
        <f t="shared" si="35"/>
        <v>10152.034184544325</v>
      </c>
      <c r="AE31" s="1">
        <f t="shared" si="35"/>
        <v>10253.554526389769</v>
      </c>
      <c r="AF31" s="1">
        <f t="shared" si="35"/>
        <v>10356.090071653667</v>
      </c>
      <c r="AG31" s="1">
        <f t="shared" si="35"/>
        <v>10459.650972370204</v>
      </c>
      <c r="AH31" s="1">
        <f t="shared" si="35"/>
        <v>10564.247482093906</v>
      </c>
      <c r="AI31" s="1">
        <f t="shared" si="35"/>
        <v>10669.889956914845</v>
      </c>
      <c r="AJ31" s="1">
        <f t="shared" si="35"/>
        <v>10776.588856483993</v>
      </c>
      <c r="AK31" s="1">
        <f t="shared" si="35"/>
        <v>10884.354745048833</v>
      </c>
      <c r="AL31" s="1">
        <f t="shared" si="35"/>
        <v>10993.198292499321</v>
      </c>
      <c r="AM31" s="1">
        <f t="shared" si="35"/>
        <v>11103.130275424313</v>
      </c>
      <c r="AN31" s="1">
        <f t="shared" si="35"/>
        <v>11214.161578178557</v>
      </c>
      <c r="AO31" s="1">
        <f t="shared" si="35"/>
        <v>11326.303193960342</v>
      </c>
      <c r="AP31" s="1">
        <f t="shared" si="35"/>
        <v>11439.566225899945</v>
      </c>
      <c r="AQ31" s="1">
        <f t="shared" si="35"/>
        <v>11553.961888158945</v>
      </c>
      <c r="AR31" s="1">
        <f t="shared" si="35"/>
        <v>11669.501507040535</v>
      </c>
      <c r="AS31" s="1">
        <f t="shared" si="35"/>
        <v>11786.19652211094</v>
      </c>
      <c r="AT31" s="1">
        <f t="shared" si="35"/>
        <v>11904.058487332049</v>
      </c>
      <c r="AU31" s="1">
        <f t="shared" si="35"/>
        <v>12023.09907220537</v>
      </c>
      <c r="AV31" s="1">
        <f t="shared" si="35"/>
        <v>12143.330062927424</v>
      </c>
      <c r="AW31" s="1">
        <f t="shared" si="35"/>
        <v>12264.763363556698</v>
      </c>
      <c r="AX31" s="1">
        <f t="shared" si="35"/>
        <v>12387.410997192264</v>
      </c>
      <c r="AY31" s="1">
        <f t="shared" si="35"/>
        <v>12511.285107164187</v>
      </c>
      <c r="AZ31" s="1">
        <f t="shared" si="35"/>
        <v>12636.39795823583</v>
      </c>
      <c r="BA31" s="1">
        <f t="shared" si="35"/>
        <v>12762.761937818188</v>
      </c>
      <c r="BB31" s="1">
        <f t="shared" si="35"/>
        <v>12890.389557196369</v>
      </c>
      <c r="BC31" s="1">
        <f t="shared" si="35"/>
        <v>13019.293452768334</v>
      </c>
      <c r="BD31" s="1">
        <f t="shared" si="35"/>
        <v>13149.486387296018</v>
      </c>
      <c r="BE31" s="1">
        <f t="shared" si="35"/>
        <v>13280.981251168978</v>
      </c>
      <c r="BF31" s="1">
        <f t="shared" si="35"/>
        <v>13413.791063680668</v>
      </c>
      <c r="BG31" s="1">
        <f t="shared" si="35"/>
        <v>13547.928974317476</v>
      </c>
      <c r="BH31" s="1">
        <f t="shared" si="35"/>
        <v>13683.40826406065</v>
      </c>
      <c r="BI31" s="1">
        <f t="shared" si="35"/>
        <v>13820.242346701258</v>
      </c>
      <c r="BJ31" s="1">
        <f t="shared" si="35"/>
        <v>13958.444770168271</v>
      </c>
      <c r="BK31" s="1">
        <f t="shared" si="35"/>
        <v>14098.029217869955</v>
      </c>
      <c r="BL31" s="1">
        <f t="shared" si="35"/>
        <v>14239.009510048654</v>
      </c>
      <c r="BM31" s="1">
        <f t="shared" si="35"/>
        <v>14381.399605149141</v>
      </c>
      <c r="BN31" s="1">
        <f t="shared" si="35"/>
        <v>14525.213601200632</v>
      </c>
      <c r="BO31" s="1">
        <f t="shared" si="35"/>
        <v>14670.465737212638</v>
      </c>
      <c r="BP31" s="1">
        <f t="shared" si="35"/>
        <v>14817.170394584766</v>
      </c>
      <c r="BQ31" s="1">
        <f t="shared" si="35"/>
        <v>14965.342098530613</v>
      </c>
      <c r="BR31" s="1">
        <f t="shared" si="35"/>
        <v>15114.99551951592</v>
      </c>
      <c r="BS31" s="1">
        <f t="shared" si="35"/>
        <v>15266.14547471108</v>
      </c>
      <c r="BT31" s="1">
        <f t="shared" si="35"/>
        <v>15418.806929458191</v>
      </c>
      <c r="BU31" s="1">
        <f t="shared" si="35"/>
        <v>15572.994998752773</v>
      </c>
      <c r="BV31" s="1">
        <f t="shared" si="35"/>
        <v>15728.724948740301</v>
      </c>
      <c r="BW31" s="1">
        <f t="shared" si="35"/>
        <v>15886.012198227703</v>
      </c>
      <c r="BX31" s="1">
        <f t="shared" si="35"/>
        <v>16044.872320209981</v>
      </c>
      <c r="BY31" s="1">
        <f t="shared" si="35"/>
        <v>16205.321043412081</v>
      </c>
      <c r="BZ31" s="1">
        <f t="shared" si="35"/>
        <v>16367.374253846201</v>
      </c>
      <c r="CA31" s="1">
        <f t="shared" si="35"/>
        <v>16531.047996384663</v>
      </c>
      <c r="CB31" s="1">
        <f t="shared" si="35"/>
        <v>16696.358476348509</v>
      </c>
      <c r="CC31" s="1">
        <f t="shared" si="35"/>
        <v>16863.322061111994</v>
      </c>
      <c r="CD31" s="1">
        <f t="shared" si="35"/>
        <v>17031.955281723112</v>
      </c>
      <c r="CE31" s="1">
        <f t="shared" ref="CE31:EO31" si="36">+CD31*(1+$T20)</f>
        <v>17202.274834540345</v>
      </c>
      <c r="CF31" s="1">
        <f t="shared" si="36"/>
        <v>17374.297582885749</v>
      </c>
      <c r="CG31" s="1">
        <f t="shared" si="36"/>
        <v>17548.040558714605</v>
      </c>
      <c r="CH31" s="1">
        <f t="shared" si="36"/>
        <v>17723.520964301752</v>
      </c>
      <c r="CI31" s="1">
        <f t="shared" si="36"/>
        <v>17900.75617394477</v>
      </c>
      <c r="CJ31" s="1">
        <f t="shared" si="36"/>
        <v>18079.763735684217</v>
      </c>
      <c r="CK31" s="1">
        <f t="shared" si="36"/>
        <v>18260.561373041059</v>
      </c>
      <c r="CL31" s="1">
        <f t="shared" si="36"/>
        <v>18443.16698677147</v>
      </c>
      <c r="CM31" s="1">
        <f t="shared" si="36"/>
        <v>18627.598656639184</v>
      </c>
      <c r="CN31" s="1">
        <f t="shared" si="36"/>
        <v>18813.874643205574</v>
      </c>
      <c r="CO31" s="1">
        <f t="shared" si="36"/>
        <v>19002.013389637628</v>
      </c>
      <c r="CP31" s="1">
        <f t="shared" si="36"/>
        <v>19192.033523534006</v>
      </c>
      <c r="CQ31" s="1">
        <f t="shared" si="36"/>
        <v>19383.953858769346</v>
      </c>
      <c r="CR31" s="1">
        <f t="shared" si="36"/>
        <v>19577.79339735704</v>
      </c>
      <c r="CS31" s="1">
        <f t="shared" si="36"/>
        <v>19773.571331330611</v>
      </c>
      <c r="CT31" s="1">
        <f t="shared" si="36"/>
        <v>19971.307044643916</v>
      </c>
      <c r="CU31" s="1">
        <f t="shared" si="36"/>
        <v>20171.020115090356</v>
      </c>
      <c r="CV31" s="1">
        <f t="shared" si="36"/>
        <v>20372.730316241261</v>
      </c>
      <c r="CW31" s="1">
        <f t="shared" si="36"/>
        <v>20576.457619403674</v>
      </c>
      <c r="CX31" s="1">
        <f t="shared" si="36"/>
        <v>20782.222195597711</v>
      </c>
      <c r="CY31" s="1">
        <f t="shared" si="36"/>
        <v>20990.044417553687</v>
      </c>
      <c r="CZ31" s="1">
        <f t="shared" si="36"/>
        <v>21199.944861729226</v>
      </c>
      <c r="DA31" s="1">
        <f t="shared" si="36"/>
        <v>21411.944310346516</v>
      </c>
      <c r="DB31" s="1">
        <f t="shared" si="36"/>
        <v>21626.06375344998</v>
      </c>
      <c r="DC31" s="1">
        <f t="shared" si="36"/>
        <v>21842.324390984479</v>
      </c>
      <c r="DD31" s="1">
        <f t="shared" si="36"/>
        <v>22060.747634894324</v>
      </c>
      <c r="DE31" s="1">
        <f t="shared" si="36"/>
        <v>22281.355111243269</v>
      </c>
      <c r="DF31" s="1">
        <f t="shared" si="36"/>
        <v>22504.168662355703</v>
      </c>
      <c r="DG31" s="1">
        <f t="shared" si="36"/>
        <v>22729.210348979261</v>
      </c>
      <c r="DH31" s="1">
        <f t="shared" si="36"/>
        <v>22956.502452469053</v>
      </c>
      <c r="DI31" s="1">
        <f t="shared" si="36"/>
        <v>23186.067476993743</v>
      </c>
      <c r="DJ31" s="1">
        <f t="shared" si="36"/>
        <v>23417.928151763681</v>
      </c>
      <c r="DK31" s="1">
        <f t="shared" si="36"/>
        <v>23652.107433281319</v>
      </c>
      <c r="DL31" s="1">
        <f t="shared" si="36"/>
        <v>23888.628507614132</v>
      </c>
      <c r="DM31" s="1">
        <f t="shared" si="36"/>
        <v>24127.514792690272</v>
      </c>
      <c r="DN31" s="1">
        <f t="shared" si="36"/>
        <v>24368.789940617175</v>
      </c>
      <c r="DO31" s="1">
        <f t="shared" si="36"/>
        <v>24612.477840023348</v>
      </c>
      <c r="DP31" s="1">
        <f t="shared" si="36"/>
        <v>24858.602618423582</v>
      </c>
      <c r="DQ31" s="1">
        <f t="shared" si="36"/>
        <v>25107.188644607817</v>
      </c>
      <c r="DR31" s="1">
        <f t="shared" si="36"/>
        <v>25358.260531053897</v>
      </c>
      <c r="DS31" s="1">
        <f t="shared" si="36"/>
        <v>25611.843136364434</v>
      </c>
      <c r="DT31" s="1">
        <f t="shared" si="36"/>
        <v>25867.961567728078</v>
      </c>
      <c r="DU31" s="1">
        <f t="shared" si="36"/>
        <v>26126.641183405358</v>
      </c>
      <c r="DV31" s="1">
        <f t="shared" si="36"/>
        <v>26387.907595239412</v>
      </c>
      <c r="DW31" s="1">
        <f t="shared" si="36"/>
        <v>26651.786671191807</v>
      </c>
      <c r="DX31" s="1">
        <f t="shared" si="36"/>
        <v>26918.304537903725</v>
      </c>
      <c r="DY31" s="1">
        <f t="shared" si="36"/>
        <v>27187.487583282764</v>
      </c>
      <c r="DZ31" s="1">
        <f t="shared" si="36"/>
        <v>27459.362459115593</v>
      </c>
      <c r="EA31" s="1">
        <f t="shared" si="36"/>
        <v>27733.956083706747</v>
      </c>
      <c r="EB31" s="1">
        <f t="shared" si="36"/>
        <v>28011.295644543814</v>
      </c>
      <c r="EC31" s="1">
        <f t="shared" si="36"/>
        <v>28291.408600989253</v>
      </c>
      <c r="ED31" s="1">
        <f t="shared" si="36"/>
        <v>28574.322686999145</v>
      </c>
      <c r="EE31" s="1">
        <f t="shared" si="36"/>
        <v>28860.065913869137</v>
      </c>
      <c r="EF31" s="1">
        <f t="shared" si="36"/>
        <v>29148.666573007828</v>
      </c>
      <c r="EG31" s="1">
        <f t="shared" si="36"/>
        <v>29440.153238737905</v>
      </c>
      <c r="EH31" s="1">
        <f t="shared" si="36"/>
        <v>29734.554771125284</v>
      </c>
      <c r="EI31" s="1">
        <f t="shared" si="36"/>
        <v>30031.900318836539</v>
      </c>
      <c r="EJ31" s="1">
        <f t="shared" si="36"/>
        <v>30332.219322024903</v>
      </c>
      <c r="EK31" s="1">
        <f t="shared" si="36"/>
        <v>30635.541515245153</v>
      </c>
      <c r="EL31" s="1">
        <f t="shared" si="36"/>
        <v>30941.896930397605</v>
      </c>
      <c r="EM31" s="1">
        <f t="shared" si="36"/>
        <v>31251.315899701582</v>
      </c>
      <c r="EN31" s="1">
        <f t="shared" si="36"/>
        <v>31563.829058698597</v>
      </c>
      <c r="EO31" s="1">
        <f t="shared" si="36"/>
        <v>31879.467349285584</v>
      </c>
    </row>
    <row r="32" spans="2:145" s="1" customFormat="1" x14ac:dyDescent="0.25"/>
    <row r="33" spans="2:24" s="1" customFormat="1" x14ac:dyDescent="0.25">
      <c r="B33" s="1" t="s">
        <v>17</v>
      </c>
      <c r="E33" s="1">
        <f>43669+763</f>
        <v>44432</v>
      </c>
      <c r="F33" s="1">
        <f>34100+917</f>
        <v>35017</v>
      </c>
      <c r="G33" s="1">
        <v>30660</v>
      </c>
    </row>
    <row r="34" spans="2:24" s="1" customFormat="1" x14ac:dyDescent="0.25">
      <c r="B34" s="1" t="s">
        <v>18</v>
      </c>
      <c r="E34" s="1">
        <v>21414</v>
      </c>
      <c r="F34" s="1">
        <v>20861</v>
      </c>
    </row>
    <row r="35" spans="2:24" s="1" customFormat="1" x14ac:dyDescent="0.25">
      <c r="B35" s="1" t="s">
        <v>19</v>
      </c>
      <c r="E35" s="1">
        <v>37687</v>
      </c>
      <c r="F35" s="1">
        <v>45011</v>
      </c>
    </row>
    <row r="36" spans="2:24" s="1" customFormat="1" x14ac:dyDescent="0.25">
      <c r="B36" s="1" t="s">
        <v>20</v>
      </c>
      <c r="E36" s="1">
        <f>20001+9462</f>
        <v>29463</v>
      </c>
      <c r="F36" s="1">
        <f>25028+12199</f>
        <v>37227</v>
      </c>
      <c r="G36" s="1">
        <v>40799</v>
      </c>
      <c r="H36" s="1">
        <f>+G36-H31</f>
        <v>49153.514545919992</v>
      </c>
      <c r="I36" s="1">
        <f t="shared" ref="I36:J36" si="37">+H36-I31</f>
        <v>52894.719445647992</v>
      </c>
      <c r="J36" s="1">
        <f t="shared" si="37"/>
        <v>53236.89593859428</v>
      </c>
      <c r="T36" s="6"/>
    </row>
    <row r="37" spans="2:24" s="1" customFormat="1" x14ac:dyDescent="0.25">
      <c r="B37" s="1" t="s">
        <v>21</v>
      </c>
      <c r="E37" s="1">
        <f>+E33+E34+E35-E36</f>
        <v>74070</v>
      </c>
      <c r="F37" s="1">
        <f>+F33+F34+F35-F36</f>
        <v>63662</v>
      </c>
    </row>
    <row r="38" spans="2:24" s="1" customFormat="1" x14ac:dyDescent="0.25">
      <c r="B38" s="1" t="s">
        <v>29</v>
      </c>
      <c r="E38" s="1">
        <f>+E33-E36</f>
        <v>14969</v>
      </c>
      <c r="F38" s="1">
        <f t="shared" ref="F38:G38" si="38">+F33-F36</f>
        <v>-2210</v>
      </c>
      <c r="G38" s="1">
        <f t="shared" si="38"/>
        <v>-10139</v>
      </c>
    </row>
    <row r="39" spans="2:24" s="1" customFormat="1" x14ac:dyDescent="0.25"/>
    <row r="40" spans="2:24" s="1" customFormat="1" x14ac:dyDescent="0.25">
      <c r="B40" s="1" t="s">
        <v>22</v>
      </c>
      <c r="E40" s="1">
        <v>91520</v>
      </c>
      <c r="F40" s="1">
        <v>81578</v>
      </c>
    </row>
    <row r="41" spans="2:24" s="1" customFormat="1" x14ac:dyDescent="0.25">
      <c r="B41" s="1" t="s">
        <v>23</v>
      </c>
      <c r="E41" s="1">
        <v>73940</v>
      </c>
      <c r="F41" s="1">
        <v>75186</v>
      </c>
    </row>
    <row r="42" spans="2:24" s="1" customFormat="1" x14ac:dyDescent="0.25">
      <c r="B42" s="1" t="s">
        <v>24</v>
      </c>
      <c r="E42" s="1">
        <f>+E40-E41</f>
        <v>17580</v>
      </c>
      <c r="F42" s="1">
        <f>+F40-F41</f>
        <v>6392</v>
      </c>
    </row>
    <row r="43" spans="2:24" s="1" customFormat="1" x14ac:dyDescent="0.25"/>
    <row r="44" spans="2:24" s="1" customFormat="1" x14ac:dyDescent="0.25">
      <c r="B44" s="1" t="s">
        <v>39</v>
      </c>
      <c r="D44" s="1">
        <v>3353</v>
      </c>
      <c r="E44" s="1">
        <v>4208</v>
      </c>
      <c r="F44" s="1">
        <v>4651</v>
      </c>
      <c r="L44" s="1">
        <f>+K31*0.33</f>
        <v>1618.7912627529104</v>
      </c>
      <c r="M44" s="1">
        <f t="shared" ref="M44:Q44" si="39">+L31*0.33</f>
        <v>1821.4902128514964</v>
      </c>
      <c r="N44" s="1">
        <f t="shared" si="39"/>
        <v>2031.0971984078683</v>
      </c>
      <c r="O44" s="1">
        <f t="shared" si="39"/>
        <v>2247.8591443306459</v>
      </c>
      <c r="P44" s="1">
        <f t="shared" si="39"/>
        <v>2472.0312763543025</v>
      </c>
      <c r="Q44" s="1">
        <f t="shared" si="39"/>
        <v>2703.8774028050925</v>
      </c>
    </row>
    <row r="45" spans="2:24" s="3" customFormat="1" x14ac:dyDescent="0.25">
      <c r="B45" s="3" t="s">
        <v>40</v>
      </c>
      <c r="D45" s="3">
        <f>+D44/D19</f>
        <v>0.19983312473925741</v>
      </c>
      <c r="E45" s="3">
        <f t="shared" ref="E45:H45" si="40">+E44/E19</f>
        <v>0.22593288590604027</v>
      </c>
      <c r="F45" s="3">
        <f t="shared" si="40"/>
        <v>0.8425724637681159</v>
      </c>
    </row>
    <row r="46" spans="2:24" s="3" customFormat="1" x14ac:dyDescent="0.25">
      <c r="B46" s="3" t="s">
        <v>41</v>
      </c>
      <c r="D46" s="3">
        <f>+D44/D31</f>
        <v>0.29557475317348381</v>
      </c>
      <c r="E46" s="3">
        <f t="shared" ref="E46:F46" si="41">+E44/E31</f>
        <v>0.34233647901073871</v>
      </c>
      <c r="F46" s="3">
        <f t="shared" si="41"/>
        <v>-0.65952921157118549</v>
      </c>
    </row>
    <row r="47" spans="2:24" s="7" customFormat="1" x14ac:dyDescent="0.25">
      <c r="B47" s="7" t="s">
        <v>44</v>
      </c>
      <c r="D47" s="7">
        <f>+D44/$T24</f>
        <v>1.1091630830301025</v>
      </c>
      <c r="E47" s="7">
        <f>+E44/$T24</f>
        <v>1.3919947072444592</v>
      </c>
      <c r="F47" s="7">
        <f>+F44/$T24</f>
        <v>1.5385378762818391</v>
      </c>
      <c r="G47" s="7">
        <f>+G44/$T24</f>
        <v>0</v>
      </c>
      <c r="H47" s="7">
        <f>+H44/$T24</f>
        <v>0</v>
      </c>
      <c r="I47" s="7">
        <f>+I44/$T24</f>
        <v>0</v>
      </c>
      <c r="J47" s="7">
        <f>+J44/$T24</f>
        <v>0</v>
      </c>
      <c r="K47" s="7">
        <f>+K44/$T24</f>
        <v>0</v>
      </c>
      <c r="L47" s="7">
        <f t="shared" ref="L47:V47" si="42">+L44/$T24</f>
        <v>0.53549165158878942</v>
      </c>
      <c r="M47" s="7">
        <f t="shared" si="42"/>
        <v>0.60254390104250621</v>
      </c>
      <c r="N47" s="7">
        <f t="shared" si="42"/>
        <v>0.67188130943032365</v>
      </c>
      <c r="O47" s="7">
        <f t="shared" si="42"/>
        <v>0.74358555882588351</v>
      </c>
      <c r="P47" s="7">
        <f t="shared" si="42"/>
        <v>0.81774107719295486</v>
      </c>
      <c r="Q47" s="7">
        <f t="shared" si="42"/>
        <v>0.89443513159281918</v>
      </c>
      <c r="R47" s="7">
        <f>+Q47*(1+$T$20)</f>
        <v>0.90337948290874737</v>
      </c>
      <c r="S47" s="7">
        <f>+R47*(1+$T$20)</f>
        <v>0.91241327773783487</v>
      </c>
      <c r="T47" s="7">
        <f>+S47*(1+$T$20)</f>
        <v>0.92153741051521321</v>
      </c>
      <c r="U47" s="7">
        <f>+T47*(1+$T$20)</f>
        <v>0.93075278462036537</v>
      </c>
      <c r="V47" s="7">
        <f>+U47*(1+$T$20)</f>
        <v>0.94006031246656907</v>
      </c>
      <c r="W47" s="7">
        <f>+V47*(1+$T$20)</f>
        <v>0.9494609155912348</v>
      </c>
      <c r="X47" s="7">
        <f>+W47*(1+$T$20)</f>
        <v>0.95895552474714718</v>
      </c>
    </row>
    <row r="48" spans="2:24" s="3" customFormat="1" x14ac:dyDescent="0.25">
      <c r="B48" s="3" t="s">
        <v>42</v>
      </c>
      <c r="D48" s="3">
        <f>+D47/$T26</f>
        <v>0.16805501258031857</v>
      </c>
      <c r="E48" s="3">
        <f>+E47/$T26</f>
        <v>0.21090828897643321</v>
      </c>
      <c r="F48" s="3">
        <f>+F47/$T26</f>
        <v>0.23311179943664231</v>
      </c>
      <c r="G48" s="4">
        <f>+G47/$T26</f>
        <v>0</v>
      </c>
      <c r="H48" s="4">
        <f>+H47/$T26</f>
        <v>0</v>
      </c>
      <c r="I48" s="4">
        <f>+I47/$T26</f>
        <v>0</v>
      </c>
      <c r="J48" s="4">
        <f>+J47/$T26</f>
        <v>0</v>
      </c>
      <c r="K48" s="4">
        <f>+K47/$T26</f>
        <v>0</v>
      </c>
      <c r="L48" s="4">
        <f t="shared" ref="L48:Q48" si="43">+L47/$T26</f>
        <v>8.1135098725574159E-2</v>
      </c>
      <c r="M48" s="4">
        <f t="shared" si="43"/>
        <v>9.129453046098579E-2</v>
      </c>
      <c r="N48" s="4">
        <f t="shared" si="43"/>
        <v>0.10180019839853389</v>
      </c>
      <c r="O48" s="4">
        <f t="shared" si="43"/>
        <v>0.11266447860998235</v>
      </c>
      <c r="P48" s="4">
        <f t="shared" si="43"/>
        <v>0.12390016321105378</v>
      </c>
      <c r="Q48" s="4">
        <f t="shared" si="43"/>
        <v>0.13552047448376048</v>
      </c>
    </row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2026-01-26T16:57:11Z</dcterms:created>
  <dcterms:modified xsi:type="dcterms:W3CDTF">2026-02-14T01:44:18Z</dcterms:modified>
</cp:coreProperties>
</file>