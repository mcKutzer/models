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E1006DFD-B58E-4B29-82D6-0A9F61E4D492}" xr6:coauthVersionLast="47" xr6:coauthVersionMax="47" xr10:uidLastSave="{00000000-0000-0000-0000-000000000000}"/>
  <bookViews>
    <workbookView xWindow="-120" yWindow="-120" windowWidth="29040" windowHeight="15840" xr2:uid="{E42EF8F6-0762-4CD8-ADAC-8EB63EACC6D4}"/>
  </bookViews>
  <sheets>
    <sheet name="Sheet1" sheetId="1" r:id="rId1"/>
  </sheets>
  <definedNames>
    <definedName name="TR">Sheet1!$Z$56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1" l="1"/>
  <c r="S8" i="1"/>
  <c r="T8" i="1"/>
  <c r="U8" i="1" s="1"/>
  <c r="V8" i="1" s="1"/>
  <c r="W8" i="1" s="1"/>
  <c r="Q8" i="1"/>
  <c r="P59" i="1"/>
  <c r="O59" i="1"/>
  <c r="G70" i="1"/>
  <c r="R28" i="1"/>
  <c r="S28" i="1" s="1"/>
  <c r="O25" i="1"/>
  <c r="S24" i="1"/>
  <c r="T24" i="1" s="1"/>
  <c r="U24" i="1" s="1"/>
  <c r="R24" i="1"/>
  <c r="R23" i="1"/>
  <c r="S23" i="1" s="1"/>
  <c r="T23" i="1" s="1"/>
  <c r="U23" i="1" s="1"/>
  <c r="V23" i="1" s="1"/>
  <c r="W23" i="1" s="1"/>
  <c r="P50" i="1"/>
  <c r="P48" i="1"/>
  <c r="P47" i="1"/>
  <c r="P45" i="1"/>
  <c r="P44" i="1"/>
  <c r="Q44" i="1" s="1"/>
  <c r="R44" i="1" s="1"/>
  <c r="S44" i="1" s="1"/>
  <c r="T44" i="1" s="1"/>
  <c r="U44" i="1" s="1"/>
  <c r="V44" i="1" s="1"/>
  <c r="W44" i="1" s="1"/>
  <c r="P43" i="1"/>
  <c r="P42" i="1"/>
  <c r="P40" i="1"/>
  <c r="O23" i="1"/>
  <c r="O24" i="1"/>
  <c r="O26" i="1"/>
  <c r="O28" i="1"/>
  <c r="O29" i="1"/>
  <c r="E25" i="1"/>
  <c r="G25" i="1"/>
  <c r="C25" i="1"/>
  <c r="E14" i="1"/>
  <c r="G14" i="1"/>
  <c r="M1" i="1"/>
  <c r="L1" i="1" s="1"/>
  <c r="G19" i="1"/>
  <c r="G20" i="1"/>
  <c r="E19" i="1"/>
  <c r="E20" i="1"/>
  <c r="E15" i="1"/>
  <c r="E16" i="1"/>
  <c r="E17" i="1"/>
  <c r="E18" i="1"/>
  <c r="G16" i="1"/>
  <c r="G17" i="1"/>
  <c r="G18" i="1"/>
  <c r="G15" i="1"/>
  <c r="C24" i="1"/>
  <c r="E24" i="1"/>
  <c r="G24" i="1"/>
  <c r="C26" i="1"/>
  <c r="E26" i="1"/>
  <c r="G26" i="1"/>
  <c r="C28" i="1"/>
  <c r="E28" i="1"/>
  <c r="G28" i="1"/>
  <c r="C29" i="1"/>
  <c r="E29" i="1"/>
  <c r="G29" i="1"/>
  <c r="E23" i="1"/>
  <c r="G23" i="1"/>
  <c r="H23" i="1" s="1"/>
  <c r="C23" i="1"/>
  <c r="C10" i="1"/>
  <c r="E10" i="1"/>
  <c r="G10" i="1"/>
  <c r="G7" i="1"/>
  <c r="E7" i="1"/>
  <c r="C7" i="1"/>
  <c r="D50" i="1"/>
  <c r="D48" i="1"/>
  <c r="D47" i="1"/>
  <c r="D45" i="1"/>
  <c r="D44" i="1"/>
  <c r="D43" i="1"/>
  <c r="D42" i="1"/>
  <c r="D40" i="1"/>
  <c r="D38" i="1"/>
  <c r="D35" i="1"/>
  <c r="D34" i="1"/>
  <c r="D33" i="1"/>
  <c r="D32" i="1"/>
  <c r="C36" i="1"/>
  <c r="C39" i="1" s="1"/>
  <c r="F38" i="1"/>
  <c r="F50" i="1"/>
  <c r="F48" i="1"/>
  <c r="F47" i="1"/>
  <c r="F45" i="1"/>
  <c r="F44" i="1"/>
  <c r="F43" i="1"/>
  <c r="F42" i="1"/>
  <c r="F40" i="1"/>
  <c r="F39" i="1"/>
  <c r="F37" i="1"/>
  <c r="F35" i="1"/>
  <c r="F34" i="1"/>
  <c r="F25" i="1" s="1"/>
  <c r="F33" i="1"/>
  <c r="F32" i="1"/>
  <c r="F9" i="1"/>
  <c r="H9" i="1" s="1"/>
  <c r="P9" i="1" s="1"/>
  <c r="Q9" i="1" s="1"/>
  <c r="R9" i="1" s="1"/>
  <c r="S9" i="1" s="1"/>
  <c r="T9" i="1" s="1"/>
  <c r="U9" i="1" s="1"/>
  <c r="V9" i="1" s="1"/>
  <c r="W9" i="1" s="1"/>
  <c r="F8" i="1"/>
  <c r="H8" i="1" s="1"/>
  <c r="F6" i="1"/>
  <c r="H6" i="1" s="1"/>
  <c r="H35" i="1" s="1"/>
  <c r="F5" i="1"/>
  <c r="H5" i="1" s="1"/>
  <c r="P5" i="1" s="1"/>
  <c r="Q5" i="1" s="1"/>
  <c r="R5" i="1" s="1"/>
  <c r="F4" i="1"/>
  <c r="H4" i="1" s="1"/>
  <c r="P4" i="1" s="1"/>
  <c r="Q4" i="1" s="1"/>
  <c r="R4" i="1" s="1"/>
  <c r="S4" i="1" s="1"/>
  <c r="T4" i="1" s="1"/>
  <c r="U4" i="1" s="1"/>
  <c r="V4" i="1" s="1"/>
  <c r="W4" i="1" s="1"/>
  <c r="F3" i="1"/>
  <c r="E36" i="1"/>
  <c r="G36" i="1"/>
  <c r="G39" i="1" s="1"/>
  <c r="I41" i="1"/>
  <c r="I46" i="1" s="1"/>
  <c r="I49" i="1" s="1"/>
  <c r="I51" i="1" s="1"/>
  <c r="J41" i="1"/>
  <c r="J46" i="1" s="1"/>
  <c r="J49" i="1" s="1"/>
  <c r="J51" i="1" s="1"/>
  <c r="O7" i="1"/>
  <c r="O10" i="1"/>
  <c r="N36" i="1"/>
  <c r="O36" i="1"/>
  <c r="N9" i="1"/>
  <c r="D9" i="1" s="1"/>
  <c r="N8" i="1"/>
  <c r="D8" i="1" s="1"/>
  <c r="D28" i="1" s="1"/>
  <c r="N6" i="1"/>
  <c r="D6" i="1" s="1"/>
  <c r="N5" i="1"/>
  <c r="D5" i="1" s="1"/>
  <c r="N4" i="1"/>
  <c r="D4" i="1" s="1"/>
  <c r="N3" i="1"/>
  <c r="D3" i="1" s="1"/>
  <c r="S5" i="1" l="1"/>
  <c r="V24" i="1"/>
  <c r="W24" i="1" s="1"/>
  <c r="W33" i="1" s="1"/>
  <c r="U33" i="1"/>
  <c r="T28" i="1"/>
  <c r="U28" i="1" s="1"/>
  <c r="V28" i="1" s="1"/>
  <c r="W28" i="1" s="1"/>
  <c r="S33" i="1"/>
  <c r="Q33" i="1"/>
  <c r="T33" i="1"/>
  <c r="V33" i="1"/>
  <c r="N25" i="1"/>
  <c r="R33" i="1"/>
  <c r="E13" i="1"/>
  <c r="H10" i="1"/>
  <c r="N29" i="1"/>
  <c r="H38" i="1"/>
  <c r="P38" i="1" s="1"/>
  <c r="H34" i="1"/>
  <c r="P34" i="1" s="1"/>
  <c r="P25" i="1" s="1"/>
  <c r="Q25" i="1" s="1"/>
  <c r="H20" i="1"/>
  <c r="P6" i="1"/>
  <c r="H19" i="1"/>
  <c r="P8" i="1"/>
  <c r="H18" i="1"/>
  <c r="D25" i="1"/>
  <c r="G13" i="1"/>
  <c r="H14" i="1"/>
  <c r="P35" i="1"/>
  <c r="H16" i="1"/>
  <c r="N24" i="1"/>
  <c r="H17" i="1"/>
  <c r="F14" i="1"/>
  <c r="N23" i="1"/>
  <c r="N28" i="1"/>
  <c r="N26" i="1"/>
  <c r="H33" i="1"/>
  <c r="P33" i="1" s="1"/>
  <c r="H37" i="1"/>
  <c r="P37" i="1" s="1"/>
  <c r="F16" i="1"/>
  <c r="F18" i="1"/>
  <c r="F15" i="1"/>
  <c r="F20" i="1"/>
  <c r="F19" i="1"/>
  <c r="F17" i="1"/>
  <c r="H3" i="1"/>
  <c r="D26" i="1"/>
  <c r="D29" i="1"/>
  <c r="F23" i="1"/>
  <c r="F24" i="1"/>
  <c r="F29" i="1"/>
  <c r="F28" i="1"/>
  <c r="D23" i="1"/>
  <c r="D24" i="1"/>
  <c r="F26" i="1"/>
  <c r="F7" i="1"/>
  <c r="F10" i="1"/>
  <c r="D10" i="1"/>
  <c r="F36" i="1"/>
  <c r="D36" i="1"/>
  <c r="D39" i="1" s="1"/>
  <c r="D7" i="1"/>
  <c r="G41" i="1"/>
  <c r="N7" i="1"/>
  <c r="N10" i="1"/>
  <c r="P62" i="1"/>
  <c r="Q62" i="1" s="1"/>
  <c r="R62" i="1" s="1"/>
  <c r="S62" i="1" s="1"/>
  <c r="T62" i="1" s="1"/>
  <c r="U62" i="1" s="1"/>
  <c r="V62" i="1" s="1"/>
  <c r="W62" i="1" s="1"/>
  <c r="Q34" i="1" l="1"/>
  <c r="R25" i="1"/>
  <c r="P26" i="1"/>
  <c r="Q6" i="1"/>
  <c r="T5" i="1"/>
  <c r="P10" i="1"/>
  <c r="F13" i="1"/>
  <c r="P29" i="1"/>
  <c r="Q29" i="1" s="1"/>
  <c r="P28" i="1"/>
  <c r="P24" i="1"/>
  <c r="H7" i="1"/>
  <c r="H13" i="1" s="1"/>
  <c r="P3" i="1"/>
  <c r="H32" i="1"/>
  <c r="H15" i="1"/>
  <c r="G46" i="1"/>
  <c r="G49" i="1" s="1"/>
  <c r="G51" i="1" s="1"/>
  <c r="G56" i="1" s="1"/>
  <c r="G55" i="1"/>
  <c r="Q48" i="1"/>
  <c r="R48" i="1" s="1"/>
  <c r="S48" i="1" s="1"/>
  <c r="T48" i="1" s="1"/>
  <c r="U48" i="1" s="1"/>
  <c r="V48" i="1" s="1"/>
  <c r="W48" i="1" s="1"/>
  <c r="Q47" i="1"/>
  <c r="R47" i="1" s="1"/>
  <c r="S47" i="1" s="1"/>
  <c r="T47" i="1" s="1"/>
  <c r="U47" i="1" s="1"/>
  <c r="V47" i="1" s="1"/>
  <c r="W47" i="1" s="1"/>
  <c r="Q45" i="1"/>
  <c r="R45" i="1" s="1"/>
  <c r="S45" i="1" s="1"/>
  <c r="T45" i="1" s="1"/>
  <c r="U45" i="1" s="1"/>
  <c r="V45" i="1" s="1"/>
  <c r="W45" i="1" s="1"/>
  <c r="Q43" i="1"/>
  <c r="R43" i="1" s="1"/>
  <c r="S43" i="1" s="1"/>
  <c r="T43" i="1" s="1"/>
  <c r="U43" i="1" s="1"/>
  <c r="V43" i="1" s="1"/>
  <c r="W43" i="1" s="1"/>
  <c r="O58" i="1"/>
  <c r="N63" i="1"/>
  <c r="N76" i="1" s="1"/>
  <c r="O63" i="1"/>
  <c r="O76" i="1" s="1"/>
  <c r="N65" i="1"/>
  <c r="O65" i="1"/>
  <c r="M41" i="1"/>
  <c r="M46" i="1" s="1"/>
  <c r="M49" i="1" s="1"/>
  <c r="M51" i="1" s="1"/>
  <c r="N41" i="1"/>
  <c r="O41" i="1"/>
  <c r="O46" i="1" s="1"/>
  <c r="O1" i="1"/>
  <c r="P1" i="1" s="1"/>
  <c r="Q1" i="1" s="1"/>
  <c r="R1" i="1" s="1"/>
  <c r="S1" i="1" s="1"/>
  <c r="T1" i="1" s="1"/>
  <c r="U1" i="1" s="1"/>
  <c r="V1" i="1" s="1"/>
  <c r="W1" i="1" s="1"/>
  <c r="F41" i="1"/>
  <c r="E41" i="1"/>
  <c r="C41" i="1"/>
  <c r="C46" i="1" s="1"/>
  <c r="C49" i="1" s="1"/>
  <c r="C51" i="1" s="1"/>
  <c r="R29" i="1" l="1"/>
  <c r="Q38" i="1"/>
  <c r="R6" i="1"/>
  <c r="Q35" i="1"/>
  <c r="U5" i="1"/>
  <c r="S25" i="1"/>
  <c r="R34" i="1"/>
  <c r="Q10" i="1"/>
  <c r="Q37" i="1"/>
  <c r="P32" i="1"/>
  <c r="H36" i="1"/>
  <c r="H39" i="1" s="1"/>
  <c r="H41" i="1" s="1"/>
  <c r="H46" i="1" s="1"/>
  <c r="H49" i="1" s="1"/>
  <c r="H51" i="1" s="1"/>
  <c r="Q3" i="1"/>
  <c r="P7" i="1"/>
  <c r="O70" i="1"/>
  <c r="G73" i="1"/>
  <c r="F46" i="1"/>
  <c r="F49" i="1" s="1"/>
  <c r="F51" i="1" s="1"/>
  <c r="F56" i="1" s="1"/>
  <c r="F55" i="1"/>
  <c r="E55" i="1"/>
  <c r="E46" i="1"/>
  <c r="E49" i="1" s="1"/>
  <c r="E51" i="1" s="1"/>
  <c r="E56" i="1" s="1"/>
  <c r="N46" i="1"/>
  <c r="N49" i="1" s="1"/>
  <c r="N51" i="1" s="1"/>
  <c r="N56" i="1" s="1"/>
  <c r="D41" i="1"/>
  <c r="D46" i="1" s="1"/>
  <c r="D49" i="1" s="1"/>
  <c r="D51" i="1" s="1"/>
  <c r="N73" i="1"/>
  <c r="N70" i="1"/>
  <c r="O73" i="1"/>
  <c r="O49" i="1"/>
  <c r="O51" i="1" s="1"/>
  <c r="O56" i="1" s="1"/>
  <c r="O55" i="1"/>
  <c r="N55" i="1"/>
  <c r="T25" i="1" l="1"/>
  <c r="S34" i="1"/>
  <c r="V5" i="1"/>
  <c r="R37" i="1"/>
  <c r="R10" i="1"/>
  <c r="R3" i="1"/>
  <c r="Q32" i="1"/>
  <c r="S6" i="1"/>
  <c r="R35" i="1"/>
  <c r="R7" i="1"/>
  <c r="Q7" i="1"/>
  <c r="S29" i="1"/>
  <c r="R38" i="1"/>
  <c r="P23" i="1"/>
  <c r="P36" i="1"/>
  <c r="P39" i="1" s="1"/>
  <c r="T6" i="1" l="1"/>
  <c r="S35" i="1"/>
  <c r="S3" i="1"/>
  <c r="R32" i="1"/>
  <c r="W5" i="1"/>
  <c r="S10" i="1"/>
  <c r="S37" i="1"/>
  <c r="T29" i="1"/>
  <c r="S38" i="1"/>
  <c r="P41" i="1"/>
  <c r="P58" i="1"/>
  <c r="U25" i="1"/>
  <c r="T34" i="1"/>
  <c r="P55" i="1"/>
  <c r="P46" i="1"/>
  <c r="P49" i="1" s="1"/>
  <c r="P51" i="1" s="1"/>
  <c r="P61" i="1" s="1"/>
  <c r="P63" i="1" s="1"/>
  <c r="Q36" i="1"/>
  <c r="Q39" i="1" s="1"/>
  <c r="Q58" i="1" s="1"/>
  <c r="P56" i="1" l="1"/>
  <c r="T37" i="1"/>
  <c r="T10" i="1"/>
  <c r="T3" i="1"/>
  <c r="T7" i="1" s="1"/>
  <c r="S32" i="1"/>
  <c r="U29" i="1"/>
  <c r="T38" i="1"/>
  <c r="Q40" i="1"/>
  <c r="Q41" i="1" s="1"/>
  <c r="Q46" i="1" s="1"/>
  <c r="Q49" i="1" s="1"/>
  <c r="Q50" i="1" s="1"/>
  <c r="Q51" i="1" s="1"/>
  <c r="Q59" i="1" s="1"/>
  <c r="Q42" i="1"/>
  <c r="S7" i="1"/>
  <c r="V25" i="1"/>
  <c r="U34" i="1"/>
  <c r="U6" i="1"/>
  <c r="T35" i="1"/>
  <c r="R36" i="1"/>
  <c r="R39" i="1" s="1"/>
  <c r="R42" i="1" l="1"/>
  <c r="R58" i="1"/>
  <c r="Q55" i="1"/>
  <c r="V29" i="1"/>
  <c r="U38" i="1"/>
  <c r="U37" i="1"/>
  <c r="U10" i="1"/>
  <c r="W25" i="1"/>
  <c r="W34" i="1" s="1"/>
  <c r="V34" i="1"/>
  <c r="U3" i="1"/>
  <c r="T32" i="1"/>
  <c r="V6" i="1"/>
  <c r="U35" i="1"/>
  <c r="S36" i="1"/>
  <c r="S39" i="1" s="1"/>
  <c r="S58" i="1" s="1"/>
  <c r="R40" i="1"/>
  <c r="R41" i="1" s="1"/>
  <c r="Q61" i="1"/>
  <c r="Q63" i="1" s="1"/>
  <c r="Q56" i="1"/>
  <c r="V3" i="1" l="1"/>
  <c r="U32" i="1"/>
  <c r="W6" i="1"/>
  <c r="V7" i="1"/>
  <c r="V35" i="1"/>
  <c r="V37" i="1"/>
  <c r="V10" i="1"/>
  <c r="S40" i="1"/>
  <c r="S41" i="1" s="1"/>
  <c r="S55" i="1" s="1"/>
  <c r="S42" i="1"/>
  <c r="W29" i="1"/>
  <c r="W38" i="1" s="1"/>
  <c r="V38" i="1"/>
  <c r="U7" i="1"/>
  <c r="R46" i="1"/>
  <c r="R49" i="1" s="1"/>
  <c r="R50" i="1" s="1"/>
  <c r="R51" i="1" s="1"/>
  <c r="R59" i="1" s="1"/>
  <c r="R55" i="1"/>
  <c r="T36" i="1"/>
  <c r="T39" i="1" s="1"/>
  <c r="T58" i="1" s="1"/>
  <c r="W37" i="1" l="1"/>
  <c r="W10" i="1"/>
  <c r="S46" i="1"/>
  <c r="S49" i="1" s="1"/>
  <c r="S50" i="1" s="1"/>
  <c r="S51" i="1" s="1"/>
  <c r="S59" i="1" s="1"/>
  <c r="W35" i="1"/>
  <c r="T40" i="1"/>
  <c r="T41" i="1" s="1"/>
  <c r="T55" i="1" s="1"/>
  <c r="T42" i="1"/>
  <c r="W3" i="1"/>
  <c r="W32" i="1" s="1"/>
  <c r="V32" i="1"/>
  <c r="S61" i="1"/>
  <c r="S63" i="1" s="1"/>
  <c r="S56" i="1"/>
  <c r="U36" i="1"/>
  <c r="U39" i="1" s="1"/>
  <c r="U58" i="1" s="1"/>
  <c r="R61" i="1"/>
  <c r="R63" i="1" s="1"/>
  <c r="R56" i="1"/>
  <c r="U40" i="1" l="1"/>
  <c r="U41" i="1" s="1"/>
  <c r="U42" i="1"/>
  <c r="W7" i="1"/>
  <c r="T46" i="1"/>
  <c r="T49" i="1" s="1"/>
  <c r="T50" i="1" s="1"/>
  <c r="T51" i="1" s="1"/>
  <c r="U55" i="1"/>
  <c r="U46" i="1"/>
  <c r="U49" i="1" s="1"/>
  <c r="U50" i="1" s="1"/>
  <c r="U51" i="1" s="1"/>
  <c r="U59" i="1" s="1"/>
  <c r="W36" i="1"/>
  <c r="W39" i="1" s="1"/>
  <c r="V36" i="1"/>
  <c r="V39" i="1" s="1"/>
  <c r="V58" i="1" s="1"/>
  <c r="W58" i="1" l="1"/>
  <c r="T61" i="1"/>
  <c r="T63" i="1" s="1"/>
  <c r="T59" i="1"/>
  <c r="V40" i="1"/>
  <c r="V41" i="1" s="1"/>
  <c r="V42" i="1"/>
  <c r="W40" i="1"/>
  <c r="W41" i="1" s="1"/>
  <c r="W55" i="1" s="1"/>
  <c r="W42" i="1"/>
  <c r="T56" i="1"/>
  <c r="V46" i="1"/>
  <c r="V49" i="1" s="1"/>
  <c r="V50" i="1" s="1"/>
  <c r="V51" i="1" s="1"/>
  <c r="V59" i="1" s="1"/>
  <c r="V55" i="1"/>
  <c r="U56" i="1"/>
  <c r="U61" i="1"/>
  <c r="U63" i="1" s="1"/>
  <c r="W46" i="1" l="1"/>
  <c r="W49" i="1" s="1"/>
  <c r="W50" i="1" s="1"/>
  <c r="W51" i="1" s="1"/>
  <c r="W59" i="1" s="1"/>
  <c r="V56" i="1"/>
  <c r="V61" i="1"/>
  <c r="V63" i="1" s="1"/>
  <c r="X51" i="1" l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BG51" i="1" s="1"/>
  <c r="BH51" i="1" s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T51" i="1" s="1"/>
  <c r="BU51" i="1" s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F51" i="1" s="1"/>
  <c r="CG51" i="1" s="1"/>
  <c r="CH51" i="1" s="1"/>
  <c r="CI51" i="1" s="1"/>
  <c r="CJ51" i="1" s="1"/>
  <c r="CK51" i="1" s="1"/>
  <c r="CL51" i="1" s="1"/>
  <c r="CM51" i="1" s="1"/>
  <c r="CN51" i="1" s="1"/>
  <c r="CO51" i="1" s="1"/>
  <c r="CP51" i="1" s="1"/>
  <c r="CQ51" i="1" s="1"/>
  <c r="CR51" i="1" s="1"/>
  <c r="CS51" i="1" s="1"/>
  <c r="CT51" i="1" s="1"/>
  <c r="CU51" i="1" s="1"/>
  <c r="CV51" i="1" s="1"/>
  <c r="CW51" i="1" s="1"/>
  <c r="CX51" i="1" s="1"/>
  <c r="CY51" i="1" s="1"/>
  <c r="CZ51" i="1" s="1"/>
  <c r="DA51" i="1" s="1"/>
  <c r="DB51" i="1" s="1"/>
  <c r="DC51" i="1" s="1"/>
  <c r="DD51" i="1" s="1"/>
  <c r="DE51" i="1" s="1"/>
  <c r="DF51" i="1" s="1"/>
  <c r="DG51" i="1" s="1"/>
  <c r="DH51" i="1" s="1"/>
  <c r="DI51" i="1" s="1"/>
  <c r="DJ51" i="1" s="1"/>
  <c r="DK51" i="1" s="1"/>
  <c r="DL51" i="1" s="1"/>
  <c r="DM51" i="1" s="1"/>
  <c r="DN51" i="1" s="1"/>
  <c r="DO51" i="1" s="1"/>
  <c r="DP51" i="1" s="1"/>
  <c r="DQ51" i="1" s="1"/>
  <c r="DR51" i="1" s="1"/>
  <c r="DS51" i="1" s="1"/>
  <c r="DT51" i="1" s="1"/>
  <c r="DU51" i="1" s="1"/>
  <c r="DV51" i="1" s="1"/>
  <c r="DW51" i="1" s="1"/>
  <c r="DX51" i="1" s="1"/>
  <c r="DY51" i="1" s="1"/>
  <c r="DZ51" i="1" s="1"/>
  <c r="EA51" i="1" s="1"/>
  <c r="EB51" i="1" s="1"/>
  <c r="EC51" i="1" s="1"/>
  <c r="ED51" i="1" s="1"/>
  <c r="EE51" i="1" s="1"/>
  <c r="EF51" i="1" s="1"/>
  <c r="EG51" i="1" s="1"/>
  <c r="EH51" i="1" s="1"/>
  <c r="EI51" i="1" s="1"/>
  <c r="EJ51" i="1" s="1"/>
  <c r="EK51" i="1" s="1"/>
  <c r="EL51" i="1" s="1"/>
  <c r="EM51" i="1" s="1"/>
  <c r="EN51" i="1" s="1"/>
  <c r="EO51" i="1" s="1"/>
  <c r="EP51" i="1" s="1"/>
  <c r="EQ51" i="1" s="1"/>
  <c r="ER51" i="1" s="1"/>
  <c r="ES51" i="1" s="1"/>
  <c r="ET51" i="1" s="1"/>
  <c r="EU51" i="1" s="1"/>
  <c r="EV51" i="1" s="1"/>
  <c r="EW51" i="1" s="1"/>
  <c r="EX51" i="1" s="1"/>
  <c r="EY51" i="1" s="1"/>
  <c r="EZ51" i="1" s="1"/>
  <c r="FA51" i="1" s="1"/>
  <c r="FB51" i="1" s="1"/>
  <c r="FC51" i="1" s="1"/>
  <c r="FD51" i="1" s="1"/>
  <c r="FE51" i="1" s="1"/>
  <c r="FF51" i="1" s="1"/>
  <c r="FG51" i="1" s="1"/>
  <c r="FH51" i="1" s="1"/>
  <c r="W61" i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BV63" i="1" s="1"/>
  <c r="BW63" i="1" s="1"/>
  <c r="BX63" i="1" s="1"/>
  <c r="BY63" i="1" s="1"/>
  <c r="BZ63" i="1" s="1"/>
  <c r="CA63" i="1" s="1"/>
  <c r="CB63" i="1" s="1"/>
  <c r="CC63" i="1" s="1"/>
  <c r="CD63" i="1" s="1"/>
  <c r="CE63" i="1" s="1"/>
  <c r="CF63" i="1" s="1"/>
  <c r="CG63" i="1" s="1"/>
  <c r="CH63" i="1" s="1"/>
  <c r="CI63" i="1" s="1"/>
  <c r="CJ63" i="1" s="1"/>
  <c r="CK63" i="1" s="1"/>
  <c r="CL63" i="1" s="1"/>
  <c r="CM63" i="1" s="1"/>
  <c r="CN63" i="1" s="1"/>
  <c r="CO63" i="1" s="1"/>
  <c r="CP63" i="1" s="1"/>
  <c r="CQ63" i="1" s="1"/>
  <c r="CR63" i="1" s="1"/>
  <c r="CS63" i="1" s="1"/>
  <c r="CT63" i="1" s="1"/>
  <c r="CU63" i="1" s="1"/>
  <c r="CV63" i="1" s="1"/>
  <c r="CW63" i="1" s="1"/>
  <c r="CX63" i="1" s="1"/>
  <c r="CY63" i="1" s="1"/>
  <c r="CZ63" i="1" s="1"/>
  <c r="DA63" i="1" s="1"/>
  <c r="DB63" i="1" s="1"/>
  <c r="DC63" i="1" s="1"/>
  <c r="DD63" i="1" s="1"/>
  <c r="DE63" i="1" s="1"/>
  <c r="DF63" i="1" s="1"/>
  <c r="DG63" i="1" s="1"/>
  <c r="DH63" i="1" s="1"/>
  <c r="DI63" i="1" s="1"/>
  <c r="DJ63" i="1" s="1"/>
  <c r="DK63" i="1" s="1"/>
  <c r="DL63" i="1" s="1"/>
  <c r="DM63" i="1" s="1"/>
  <c r="DN63" i="1" s="1"/>
  <c r="DO63" i="1" s="1"/>
  <c r="DP63" i="1" s="1"/>
  <c r="DQ63" i="1" s="1"/>
  <c r="DR63" i="1" s="1"/>
  <c r="DS63" i="1" s="1"/>
  <c r="DT63" i="1" s="1"/>
  <c r="DU63" i="1" s="1"/>
  <c r="DV63" i="1" s="1"/>
  <c r="DW63" i="1" s="1"/>
  <c r="DX63" i="1" s="1"/>
  <c r="DY63" i="1" s="1"/>
  <c r="DZ63" i="1" s="1"/>
  <c r="EA63" i="1" s="1"/>
  <c r="EB63" i="1" s="1"/>
  <c r="EC63" i="1" s="1"/>
  <c r="ED63" i="1" s="1"/>
  <c r="EE63" i="1" s="1"/>
  <c r="EF63" i="1" s="1"/>
  <c r="EG63" i="1" s="1"/>
  <c r="EH63" i="1" s="1"/>
  <c r="EI63" i="1" s="1"/>
  <c r="EJ63" i="1" s="1"/>
  <c r="EK63" i="1" s="1"/>
  <c r="EL63" i="1" s="1"/>
  <c r="EM63" i="1" s="1"/>
  <c r="EN63" i="1" s="1"/>
  <c r="EO63" i="1" s="1"/>
  <c r="EP63" i="1" s="1"/>
  <c r="EQ63" i="1" s="1"/>
  <c r="ER63" i="1" s="1"/>
  <c r="ES63" i="1" s="1"/>
  <c r="ET63" i="1" s="1"/>
  <c r="EU63" i="1" s="1"/>
  <c r="EV63" i="1" s="1"/>
  <c r="EW63" i="1" s="1"/>
  <c r="EX63" i="1" s="1"/>
  <c r="EY63" i="1" s="1"/>
  <c r="EZ63" i="1" s="1"/>
  <c r="FA63" i="1" s="1"/>
  <c r="FB63" i="1" s="1"/>
  <c r="FC63" i="1" s="1"/>
  <c r="FD63" i="1" s="1"/>
  <c r="FE63" i="1" s="1"/>
  <c r="FF63" i="1" s="1"/>
  <c r="Z57" i="1" s="1"/>
  <c r="Z58" i="1" s="1"/>
  <c r="W56" i="1"/>
</calcChain>
</file>

<file path=xl/sharedStrings.xml><?xml version="1.0" encoding="utf-8"?>
<sst xmlns="http://schemas.openxmlformats.org/spreadsheetml/2006/main" count="80" uniqueCount="61">
  <si>
    <t>Revenue</t>
  </si>
  <si>
    <t>COGS</t>
  </si>
  <si>
    <t>Gross Profit</t>
  </si>
  <si>
    <t>Admin</t>
  </si>
  <si>
    <t>D&amp;A</t>
  </si>
  <si>
    <t>Other Income</t>
  </si>
  <si>
    <t>Other Expense</t>
  </si>
  <si>
    <t>Operating Income</t>
  </si>
  <si>
    <t>Finance</t>
  </si>
  <si>
    <t>Joint Venture</t>
  </si>
  <si>
    <t>Pretax</t>
  </si>
  <si>
    <t>Taxes</t>
  </si>
  <si>
    <t>Net Income</t>
  </si>
  <si>
    <t>EPS</t>
  </si>
  <si>
    <t>Shares</t>
  </si>
  <si>
    <t>Gross Margin</t>
  </si>
  <si>
    <t>Net Margin</t>
  </si>
  <si>
    <t>CFFO</t>
  </si>
  <si>
    <t>CapEx</t>
  </si>
  <si>
    <t>FCF</t>
  </si>
  <si>
    <t>Cash</t>
  </si>
  <si>
    <t>Debt</t>
  </si>
  <si>
    <t>PP&amp;E</t>
  </si>
  <si>
    <t>Intangible</t>
  </si>
  <si>
    <t>NAV</t>
  </si>
  <si>
    <t>Deferred Tax</t>
  </si>
  <si>
    <t>Interest Paid</t>
  </si>
  <si>
    <t>Cost of Debt</t>
  </si>
  <si>
    <t>Dividends Paid</t>
  </si>
  <si>
    <t>Dividend Ratio</t>
  </si>
  <si>
    <t>Increase in Debt</t>
  </si>
  <si>
    <t>Decrease in Debt</t>
  </si>
  <si>
    <t>Revenue Y/Y</t>
  </si>
  <si>
    <t>GBP</t>
  </si>
  <si>
    <t>Discount</t>
  </si>
  <si>
    <t>Terminal</t>
  </si>
  <si>
    <t>NPV</t>
  </si>
  <si>
    <t>Vapour (10ml pod)</t>
  </si>
  <si>
    <t>THP (Sticks)</t>
  </si>
  <si>
    <t xml:space="preserve">Modern Oral </t>
  </si>
  <si>
    <t>Traditional Oral</t>
  </si>
  <si>
    <t>Non-Combustibles</t>
  </si>
  <si>
    <t>OTP</t>
  </si>
  <si>
    <t>Combustibles</t>
  </si>
  <si>
    <t>Other</t>
  </si>
  <si>
    <t>Units:</t>
  </si>
  <si>
    <t>Revenue:</t>
  </si>
  <si>
    <t>Trad. Oral (sticks)</t>
  </si>
  <si>
    <t>H121</t>
  </si>
  <si>
    <t>H221</t>
  </si>
  <si>
    <t>H123</t>
  </si>
  <si>
    <t>H223</t>
  </si>
  <si>
    <t>H122</t>
  </si>
  <si>
    <t>H222</t>
  </si>
  <si>
    <t>H124</t>
  </si>
  <si>
    <t>H224</t>
  </si>
  <si>
    <t>Cigarettes (bn)</t>
  </si>
  <si>
    <t>$/Unit</t>
  </si>
  <si>
    <t>Y/Y</t>
  </si>
  <si>
    <t>Net Income Y/Y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</si>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</sst>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€&quot;\ #,##0.00;[Red]\-&quot;€&quot;\ #,##0.00"/>
    <numFmt numFmtId="164" formatCode="0.0%"/>
    <numFmt numFmtId="165" formatCode="#,##0.0"/>
    <numFmt numFmtId="166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9" fontId="0" fillId="0" borderId="0" xfId="1" applyFont="1"/>
    <xf numFmtId="10" fontId="0" fillId="0" borderId="0" xfId="1" applyNumberFormat="1" applyFont="1"/>
    <xf numFmtId="3" fontId="2" fillId="0" borderId="0" xfId="0" applyNumberFormat="1" applyFont="1"/>
    <xf numFmtId="8" fontId="0" fillId="0" borderId="0" xfId="1" applyNumberFormat="1" applyFont="1"/>
    <xf numFmtId="4" fontId="0" fillId="0" borderId="0" xfId="0" applyNumberFormat="1"/>
    <xf numFmtId="3" fontId="4" fillId="0" borderId="0" xfId="0" applyNumberFormat="1" applyFont="1"/>
    <xf numFmtId="164" fontId="0" fillId="0" borderId="0" xfId="1" applyNumberFormat="1" applyFont="1"/>
    <xf numFmtId="9" fontId="1" fillId="0" borderId="0" xfId="1" applyFont="1"/>
    <xf numFmtId="3" fontId="5" fillId="0" borderId="0" xfId="0" applyNumberFormat="1" applyFont="1"/>
    <xf numFmtId="165" fontId="0" fillId="0" borderId="0" xfId="0" applyNumberForma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30</xdr:row>
      <xdr:rowOff>173935</xdr:rowOff>
    </xdr:from>
    <xdr:to>
      <xdr:col>15</xdr:col>
      <xdr:colOff>1</xdr:colOff>
      <xdr:row>63</xdr:row>
      <xdr:rowOff>24847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DCBE65A-186D-864F-5ED3-A399376BA5E6}"/>
            </a:ext>
          </a:extLst>
        </xdr:cNvPr>
        <xdr:cNvCxnSpPr/>
      </xdr:nvCxnSpPr>
      <xdr:spPr>
        <a:xfrm>
          <a:off x="9433891" y="5888935"/>
          <a:ext cx="1" cy="61374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3A4E-F06A-4806-AB05-97F60262F138}">
  <dimension ref="A1:FH79"/>
  <sheetViews>
    <sheetView tabSelected="1" zoomScale="115" zoomScaleNormal="115" workbookViewId="0">
      <pane xSplit="2" ySplit="1" topLeftCell="F35" activePane="bottomRight" state="frozen"/>
      <selection pane="topRight" activeCell="C1" sqref="C1"/>
      <selection pane="bottomLeft" activeCell="A2" sqref="A2"/>
      <selection pane="bottomRight" activeCell="Y58" sqref="Y58"/>
    </sheetView>
  </sheetViews>
  <sheetFormatPr defaultRowHeight="15" x14ac:dyDescent="0.25"/>
  <cols>
    <col min="1" max="1" width="4.140625" style="1" customWidth="1"/>
    <col min="2" max="2" width="17.85546875" style="1" bestFit="1" customWidth="1"/>
    <col min="3" max="25" width="9.140625" style="1"/>
    <col min="26" max="26" width="12.7109375" style="1" bestFit="1" customWidth="1"/>
    <col min="27" max="16384" width="9.140625" style="1"/>
  </cols>
  <sheetData>
    <row r="1" spans="1:23" customFormat="1" x14ac:dyDescent="0.25">
      <c r="A1" t="s">
        <v>33</v>
      </c>
      <c r="C1" t="s">
        <v>48</v>
      </c>
      <c r="D1" t="s">
        <v>49</v>
      </c>
      <c r="E1" t="s">
        <v>52</v>
      </c>
      <c r="F1" t="s">
        <v>53</v>
      </c>
      <c r="G1" t="s">
        <v>50</v>
      </c>
      <c r="H1" t="s">
        <v>51</v>
      </c>
      <c r="I1" t="s">
        <v>54</v>
      </c>
      <c r="J1" t="s">
        <v>55</v>
      </c>
      <c r="L1">
        <f>+M1-1</f>
        <v>2019</v>
      </c>
      <c r="M1">
        <f>+N1-1</f>
        <v>2020</v>
      </c>
      <c r="N1">
        <v>2021</v>
      </c>
      <c r="O1">
        <f t="shared" ref="O1:W1" si="0">+N1+1</f>
        <v>2022</v>
      </c>
      <c r="P1">
        <f t="shared" si="0"/>
        <v>2023</v>
      </c>
      <c r="Q1">
        <f t="shared" si="0"/>
        <v>2024</v>
      </c>
      <c r="R1">
        <f t="shared" si="0"/>
        <v>2025</v>
      </c>
      <c r="S1">
        <f t="shared" si="0"/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</row>
    <row r="2" spans="1:23" x14ac:dyDescent="0.25">
      <c r="B2" s="7" t="s">
        <v>45</v>
      </c>
    </row>
    <row r="3" spans="1:23" x14ac:dyDescent="0.25">
      <c r="B3" s="1" t="s">
        <v>37</v>
      </c>
      <c r="C3" s="1">
        <v>247</v>
      </c>
      <c r="D3" s="1">
        <f>+N3-C3</f>
        <v>288.43307086614175</v>
      </c>
      <c r="E3" s="1">
        <v>292</v>
      </c>
      <c r="F3" s="1">
        <f>+O3-E3</f>
        <v>320</v>
      </c>
      <c r="G3" s="1">
        <v>319</v>
      </c>
      <c r="H3" s="1">
        <f>+F3*1.07</f>
        <v>342.40000000000003</v>
      </c>
      <c r="N3" s="1">
        <f>+O3/1.143</f>
        <v>535.43307086614175</v>
      </c>
      <c r="O3" s="1">
        <v>612</v>
      </c>
      <c r="P3" s="1">
        <f>+H3+G3</f>
        <v>661.40000000000009</v>
      </c>
      <c r="Q3" s="1">
        <f>+P3*1.05</f>
        <v>694.47000000000014</v>
      </c>
      <c r="R3" s="1">
        <f t="shared" ref="R3:W3" si="1">+Q3*1.05</f>
        <v>729.1935000000002</v>
      </c>
      <c r="S3" s="1">
        <f t="shared" si="1"/>
        <v>765.65317500000026</v>
      </c>
      <c r="T3" s="1">
        <f t="shared" si="1"/>
        <v>803.93583375000026</v>
      </c>
      <c r="U3" s="1">
        <f t="shared" si="1"/>
        <v>844.13262543750034</v>
      </c>
      <c r="V3" s="1">
        <f t="shared" si="1"/>
        <v>886.33925670937538</v>
      </c>
      <c r="W3" s="1">
        <f t="shared" si="1"/>
        <v>930.65621954484413</v>
      </c>
    </row>
    <row r="4" spans="1:23" x14ac:dyDescent="0.25">
      <c r="B4" s="1" t="s">
        <v>38</v>
      </c>
      <c r="C4" s="1">
        <v>8.4</v>
      </c>
      <c r="D4" s="1">
        <f>+N4-C4</f>
        <v>10.708280254777071</v>
      </c>
      <c r="E4" s="1">
        <v>11</v>
      </c>
      <c r="F4" s="1">
        <f>+O4-E4</f>
        <v>13</v>
      </c>
      <c r="G4" s="1">
        <v>12.1</v>
      </c>
      <c r="H4" s="1">
        <f>+F4*1.05</f>
        <v>13.65</v>
      </c>
      <c r="N4" s="1">
        <f>+O4/1.256</f>
        <v>19.108280254777071</v>
      </c>
      <c r="O4" s="1">
        <v>24</v>
      </c>
      <c r="P4" s="1">
        <f>+H4+G4</f>
        <v>25.75</v>
      </c>
      <c r="Q4" s="1">
        <f>+P4*1.03</f>
        <v>26.522500000000001</v>
      </c>
      <c r="R4" s="1">
        <f t="shared" ref="R4:W4" si="2">+Q4*1.03</f>
        <v>27.318175</v>
      </c>
      <c r="S4" s="1">
        <f t="shared" si="2"/>
        <v>28.137720250000001</v>
      </c>
      <c r="T4" s="1">
        <f t="shared" si="2"/>
        <v>28.981851857500001</v>
      </c>
      <c r="U4" s="1">
        <f t="shared" si="2"/>
        <v>29.851307413225001</v>
      </c>
      <c r="V4" s="1">
        <f t="shared" si="2"/>
        <v>30.74684663562175</v>
      </c>
      <c r="W4" s="1">
        <f t="shared" si="2"/>
        <v>31.669252034690405</v>
      </c>
    </row>
    <row r="5" spans="1:23" x14ac:dyDescent="0.25">
      <c r="B5" s="1" t="s">
        <v>39</v>
      </c>
      <c r="C5" s="1">
        <v>1607</v>
      </c>
      <c r="D5" s="1">
        <f>+N5-C5</f>
        <v>1687.9876746096957</v>
      </c>
      <c r="E5" s="1">
        <v>1770</v>
      </c>
      <c r="F5" s="1">
        <f>+O5-E5</f>
        <v>2240</v>
      </c>
      <c r="G5" s="1">
        <v>2348</v>
      </c>
      <c r="H5" s="1">
        <f>+F5*1.33</f>
        <v>2979.2000000000003</v>
      </c>
      <c r="N5" s="1">
        <f>+O5/1.217</f>
        <v>3294.9876746096957</v>
      </c>
      <c r="O5" s="1">
        <v>4010</v>
      </c>
      <c r="P5" s="1">
        <f>+H5+G5</f>
        <v>5327.2000000000007</v>
      </c>
      <c r="Q5" s="1">
        <f>+P5*1.3</f>
        <v>6925.3600000000015</v>
      </c>
      <c r="R5" s="1">
        <f>+Q5*1.25</f>
        <v>8656.7000000000025</v>
      </c>
      <c r="S5" s="1">
        <f>+R5*1.2</f>
        <v>10388.040000000003</v>
      </c>
      <c r="T5" s="1">
        <f>+S5*1.15</f>
        <v>11946.246000000003</v>
      </c>
      <c r="U5" s="1">
        <f t="shared" ref="U5:W5" si="3">+T5*1.15</f>
        <v>13738.182900000002</v>
      </c>
      <c r="V5" s="1">
        <f t="shared" si="3"/>
        <v>15798.910335</v>
      </c>
      <c r="W5" s="1">
        <f t="shared" si="3"/>
        <v>18168.746885249999</v>
      </c>
    </row>
    <row r="6" spans="1:23" x14ac:dyDescent="0.25">
      <c r="B6" s="1" t="s">
        <v>47</v>
      </c>
      <c r="C6" s="1">
        <v>4.0999999999999996</v>
      </c>
      <c r="D6" s="1">
        <f>+N6-C6</f>
        <v>3.9697928026172313</v>
      </c>
      <c r="E6" s="1">
        <v>3.9</v>
      </c>
      <c r="F6" s="1">
        <f>+O6-E6</f>
        <v>3.5000000000000004</v>
      </c>
      <c r="G6" s="1">
        <v>3.3</v>
      </c>
      <c r="H6" s="1">
        <f>+F6*0.85</f>
        <v>2.9750000000000001</v>
      </c>
      <c r="N6" s="1">
        <f>+O6/(1-0.083)</f>
        <v>8.069792802617231</v>
      </c>
      <c r="O6" s="1">
        <v>7.4</v>
      </c>
      <c r="P6" s="1">
        <f>+H6+G6</f>
        <v>6.2750000000000004</v>
      </c>
      <c r="Q6" s="1">
        <f>+P6*0.85</f>
        <v>5.3337500000000002</v>
      </c>
      <c r="R6" s="1">
        <f t="shared" ref="R6:W6" si="4">+Q6*0.85</f>
        <v>4.5336875000000001</v>
      </c>
      <c r="S6" s="1">
        <f t="shared" si="4"/>
        <v>3.8536343749999999</v>
      </c>
      <c r="T6" s="1">
        <f t="shared" si="4"/>
        <v>3.27558921875</v>
      </c>
      <c r="U6" s="1">
        <f t="shared" si="4"/>
        <v>2.7842508359374998</v>
      </c>
      <c r="V6" s="1">
        <f t="shared" si="4"/>
        <v>2.3666132105468747</v>
      </c>
      <c r="W6" s="1">
        <f t="shared" si="4"/>
        <v>2.0116212289648434</v>
      </c>
    </row>
    <row r="7" spans="1:23" s="4" customFormat="1" x14ac:dyDescent="0.25">
      <c r="B7" s="4" t="s">
        <v>41</v>
      </c>
      <c r="C7" s="4">
        <f t="shared" ref="C7:H7" si="5">+C6+C5+C3+C4</f>
        <v>1866.5</v>
      </c>
      <c r="D7" s="4">
        <f t="shared" si="5"/>
        <v>1991.0988185332317</v>
      </c>
      <c r="E7" s="4">
        <f t="shared" si="5"/>
        <v>2076.9</v>
      </c>
      <c r="F7" s="4">
        <f t="shared" si="5"/>
        <v>2576.5</v>
      </c>
      <c r="G7" s="4">
        <f t="shared" si="5"/>
        <v>2682.4</v>
      </c>
      <c r="H7" s="4">
        <f t="shared" si="5"/>
        <v>3338.2250000000004</v>
      </c>
      <c r="N7" s="4">
        <f>+N6+N5+N3+N4</f>
        <v>3857.5988185332317</v>
      </c>
      <c r="O7" s="4">
        <f>+O6+O5+O3+O4</f>
        <v>4653.3999999999996</v>
      </c>
      <c r="P7" s="4">
        <f>+P6+P5+P3+P4</f>
        <v>6020.625</v>
      </c>
      <c r="Q7" s="4">
        <f t="shared" ref="Q7:W7" si="6">+Q6+Q5+Q3+Q4</f>
        <v>7651.6862500000016</v>
      </c>
      <c r="R7" s="4">
        <f t="shared" si="6"/>
        <v>9417.7453625000016</v>
      </c>
      <c r="S7" s="4">
        <f t="shared" si="6"/>
        <v>11185.684529625003</v>
      </c>
      <c r="T7" s="4">
        <f t="shared" si="6"/>
        <v>12782.439274826253</v>
      </c>
      <c r="U7" s="4">
        <f t="shared" si="6"/>
        <v>14614.951083686663</v>
      </c>
      <c r="V7" s="4">
        <f t="shared" si="6"/>
        <v>16718.363051555545</v>
      </c>
      <c r="W7" s="4">
        <f t="shared" si="6"/>
        <v>19133.083978058501</v>
      </c>
    </row>
    <row r="8" spans="1:23" x14ac:dyDescent="0.25">
      <c r="B8" s="1" t="s">
        <v>56</v>
      </c>
      <c r="C8" s="1">
        <v>316</v>
      </c>
      <c r="D8" s="1">
        <f>+N8-C8</f>
        <v>321.51317175974714</v>
      </c>
      <c r="E8" s="1">
        <v>303.39999999999998</v>
      </c>
      <c r="F8" s="1">
        <f>+O8-E8</f>
        <v>301.60000000000002</v>
      </c>
      <c r="G8" s="1">
        <v>286</v>
      </c>
      <c r="H8" s="1">
        <f>+F8*0.94</f>
        <v>283.50400000000002</v>
      </c>
      <c r="N8" s="1">
        <f>+O8/(1-0.051)</f>
        <v>637.51317175974714</v>
      </c>
      <c r="O8" s="1">
        <v>605</v>
      </c>
      <c r="P8" s="1">
        <f>+H8+G8</f>
        <v>569.50400000000002</v>
      </c>
      <c r="Q8" s="1">
        <f>+P8*0.98</f>
        <v>558.11392000000001</v>
      </c>
      <c r="R8" s="1">
        <f t="shared" ref="R8:W8" si="7">+Q8*0.98</f>
        <v>546.95164160000002</v>
      </c>
      <c r="S8" s="1">
        <f t="shared" si="7"/>
        <v>536.01260876799995</v>
      </c>
      <c r="T8" s="1">
        <f t="shared" si="7"/>
        <v>525.29235659263998</v>
      </c>
      <c r="U8" s="1">
        <f t="shared" si="7"/>
        <v>514.78650946078722</v>
      </c>
      <c r="V8" s="1">
        <f t="shared" si="7"/>
        <v>504.49077927157145</v>
      </c>
      <c r="W8" s="1">
        <f t="shared" si="7"/>
        <v>494.40096368614002</v>
      </c>
    </row>
    <row r="9" spans="1:23" x14ac:dyDescent="0.25">
      <c r="B9" s="1" t="s">
        <v>42</v>
      </c>
      <c r="C9" s="1">
        <v>9</v>
      </c>
      <c r="D9" s="1">
        <f>+N9-C9</f>
        <v>8.8372352285395763</v>
      </c>
      <c r="E9" s="1">
        <v>8.1999999999999993</v>
      </c>
      <c r="F9" s="1">
        <f>+O9-E9</f>
        <v>7.8000000000000007</v>
      </c>
      <c r="G9" s="1">
        <v>7</v>
      </c>
      <c r="H9" s="1">
        <f>+F9*0.85</f>
        <v>6.6300000000000008</v>
      </c>
      <c r="N9" s="1">
        <f>+O9/(1-0.103)</f>
        <v>17.837235228539576</v>
      </c>
      <c r="O9" s="1">
        <v>16</v>
      </c>
      <c r="P9" s="1">
        <f>+H9+G9</f>
        <v>13.63</v>
      </c>
      <c r="Q9" s="1">
        <f>+P9*0.85</f>
        <v>11.5855</v>
      </c>
      <c r="R9" s="1">
        <f t="shared" ref="R9:W9" si="8">+Q9*0.85</f>
        <v>9.8476749999999988</v>
      </c>
      <c r="S9" s="1">
        <f t="shared" si="8"/>
        <v>8.3705237499999985</v>
      </c>
      <c r="T9" s="1">
        <f t="shared" si="8"/>
        <v>7.1149451874999983</v>
      </c>
      <c r="U9" s="1">
        <f t="shared" si="8"/>
        <v>6.0477034093749982</v>
      </c>
      <c r="V9" s="1">
        <f t="shared" si="8"/>
        <v>5.140547897968748</v>
      </c>
      <c r="W9" s="1">
        <f t="shared" si="8"/>
        <v>4.3694657132734358</v>
      </c>
    </row>
    <row r="10" spans="1:23" s="4" customFormat="1" x14ac:dyDescent="0.25">
      <c r="B10" s="4" t="s">
        <v>43</v>
      </c>
      <c r="C10" s="4">
        <f t="shared" ref="C10:H10" si="9">+C8+C9</f>
        <v>325</v>
      </c>
      <c r="D10" s="4">
        <f t="shared" si="9"/>
        <v>330.35040698828669</v>
      </c>
      <c r="E10" s="4">
        <f t="shared" si="9"/>
        <v>311.59999999999997</v>
      </c>
      <c r="F10" s="4">
        <f t="shared" si="9"/>
        <v>309.40000000000003</v>
      </c>
      <c r="G10" s="4">
        <f t="shared" si="9"/>
        <v>293</v>
      </c>
      <c r="H10" s="4">
        <f t="shared" si="9"/>
        <v>290.13400000000001</v>
      </c>
      <c r="N10" s="4">
        <f>+N8+N9</f>
        <v>655.35040698828675</v>
      </c>
      <c r="O10" s="4">
        <f>+O8+O9</f>
        <v>621</v>
      </c>
      <c r="P10" s="4">
        <f>+P8+P9</f>
        <v>583.13400000000001</v>
      </c>
      <c r="Q10" s="4">
        <f t="shared" ref="Q10:W10" si="10">+Q8+Q9</f>
        <v>569.69942000000003</v>
      </c>
      <c r="R10" s="4">
        <f t="shared" si="10"/>
        <v>556.7993166</v>
      </c>
      <c r="S10" s="4">
        <f t="shared" si="10"/>
        <v>544.38313251799991</v>
      </c>
      <c r="T10" s="4">
        <f t="shared" si="10"/>
        <v>532.40730178013996</v>
      </c>
      <c r="U10" s="4">
        <f t="shared" si="10"/>
        <v>520.83421287016222</v>
      </c>
      <c r="V10" s="4">
        <f t="shared" si="10"/>
        <v>509.63132716954021</v>
      </c>
      <c r="W10" s="4">
        <f t="shared" si="10"/>
        <v>498.77042939941344</v>
      </c>
    </row>
    <row r="11" spans="1:23" s="4" customFormat="1" x14ac:dyDescent="0.25"/>
    <row r="12" spans="1:23" s="4" customFormat="1" x14ac:dyDescent="0.25">
      <c r="B12" s="10" t="s">
        <v>58</v>
      </c>
    </row>
    <row r="13" spans="1:23" x14ac:dyDescent="0.25">
      <c r="B13" s="1" t="s">
        <v>41</v>
      </c>
      <c r="D13" s="9"/>
      <c r="E13" s="9">
        <f t="shared" ref="E13:G13" si="11">+E7/C7 -1</f>
        <v>0.11272435038842765</v>
      </c>
      <c r="F13" s="9">
        <f t="shared" si="11"/>
        <v>0.29400910493132204</v>
      </c>
      <c r="G13" s="9">
        <f t="shared" si="11"/>
        <v>0.29154027637344115</v>
      </c>
      <c r="H13" s="9">
        <f>+H7/F7 -1</f>
        <v>0.2956433145740347</v>
      </c>
    </row>
    <row r="14" spans="1:23" x14ac:dyDescent="0.25">
      <c r="B14" s="1" t="s">
        <v>43</v>
      </c>
      <c r="D14" s="9"/>
      <c r="E14" s="9">
        <f t="shared" ref="E14:G14" si="12">+E8/C8 -1</f>
        <v>-3.9873417721519089E-2</v>
      </c>
      <c r="F14" s="9">
        <f t="shared" si="12"/>
        <v>-6.1935788355903965E-2</v>
      </c>
      <c r="G14" s="9">
        <f t="shared" si="12"/>
        <v>-5.7350032959789021E-2</v>
      </c>
      <c r="H14" s="9">
        <f>+H8/F8 -1</f>
        <v>-6.0000000000000053E-2</v>
      </c>
    </row>
    <row r="15" spans="1:23" x14ac:dyDescent="0.25">
      <c r="B15" s="1" t="s">
        <v>37</v>
      </c>
      <c r="D15" s="9"/>
      <c r="E15" s="9">
        <f t="shared" ref="E15:H18" si="13">+E3/C3 -1</f>
        <v>0.18218623481781382</v>
      </c>
      <c r="F15" s="9">
        <f t="shared" si="13"/>
        <v>0.10944282165379038</v>
      </c>
      <c r="G15" s="9">
        <f t="shared" si="13"/>
        <v>9.2465753424657571E-2</v>
      </c>
      <c r="H15" s="9">
        <f t="shared" si="13"/>
        <v>7.0000000000000062E-2</v>
      </c>
    </row>
    <row r="16" spans="1:23" x14ac:dyDescent="0.25">
      <c r="B16" s="1" t="s">
        <v>38</v>
      </c>
      <c r="D16" s="9"/>
      <c r="E16" s="9">
        <f t="shared" si="13"/>
        <v>0.30952380952380953</v>
      </c>
      <c r="F16" s="9">
        <f t="shared" si="13"/>
        <v>0.21401379966690448</v>
      </c>
      <c r="G16" s="9">
        <f t="shared" si="13"/>
        <v>9.9999999999999867E-2</v>
      </c>
      <c r="H16" s="9">
        <f t="shared" si="13"/>
        <v>5.0000000000000044E-2</v>
      </c>
    </row>
    <row r="17" spans="2:23" x14ac:dyDescent="0.25">
      <c r="B17" s="1" t="s">
        <v>39</v>
      </c>
      <c r="D17" s="9"/>
      <c r="E17" s="9">
        <f t="shared" si="13"/>
        <v>0.10143123833229617</v>
      </c>
      <c r="F17" s="9">
        <f t="shared" si="13"/>
        <v>0.32702390763483691</v>
      </c>
      <c r="G17" s="9">
        <f t="shared" si="13"/>
        <v>0.32655367231638421</v>
      </c>
      <c r="H17" s="9">
        <f t="shared" si="13"/>
        <v>0.33000000000000007</v>
      </c>
    </row>
    <row r="18" spans="2:23" x14ac:dyDescent="0.25">
      <c r="B18" s="1" t="s">
        <v>47</v>
      </c>
      <c r="D18" s="9"/>
      <c r="E18" s="9">
        <f t="shared" si="13"/>
        <v>-4.8780487804877981E-2</v>
      </c>
      <c r="F18" s="9">
        <f t="shared" si="13"/>
        <v>-0.11834189489877223</v>
      </c>
      <c r="G18" s="9">
        <f t="shared" si="13"/>
        <v>-0.15384615384615385</v>
      </c>
      <c r="H18" s="9">
        <f t="shared" si="13"/>
        <v>-0.15000000000000013</v>
      </c>
    </row>
    <row r="19" spans="2:23" x14ac:dyDescent="0.25">
      <c r="B19" s="1" t="s">
        <v>56</v>
      </c>
      <c r="D19" s="9"/>
      <c r="E19" s="9">
        <f t="shared" ref="E19:H20" si="14">+E8/C8 -1</f>
        <v>-3.9873417721519089E-2</v>
      </c>
      <c r="F19" s="9">
        <f t="shared" si="14"/>
        <v>-6.1935788355903965E-2</v>
      </c>
      <c r="G19" s="9">
        <f t="shared" si="14"/>
        <v>-5.7350032959789021E-2</v>
      </c>
      <c r="H19" s="9">
        <f t="shared" si="14"/>
        <v>-6.0000000000000053E-2</v>
      </c>
    </row>
    <row r="20" spans="2:23" x14ac:dyDescent="0.25">
      <c r="B20" s="1" t="s">
        <v>42</v>
      </c>
      <c r="D20" s="9"/>
      <c r="E20" s="9">
        <f t="shared" si="14"/>
        <v>-8.8888888888889017E-2</v>
      </c>
      <c r="F20" s="9">
        <f t="shared" si="14"/>
        <v>-0.11737101047054366</v>
      </c>
      <c r="G20" s="9">
        <f t="shared" si="14"/>
        <v>-0.14634146341463405</v>
      </c>
      <c r="H20" s="9">
        <f t="shared" si="14"/>
        <v>-0.15000000000000002</v>
      </c>
    </row>
    <row r="21" spans="2:23" x14ac:dyDescent="0.25">
      <c r="D21" s="9"/>
      <c r="E21" s="9"/>
      <c r="F21" s="9"/>
      <c r="G21" s="9"/>
    </row>
    <row r="22" spans="2:23" x14ac:dyDescent="0.25">
      <c r="B22" s="10" t="s">
        <v>57</v>
      </c>
      <c r="D22" s="9"/>
      <c r="E22" s="9"/>
      <c r="F22" s="9"/>
      <c r="G22" s="9"/>
    </row>
    <row r="23" spans="2:23" s="11" customFormat="1" x14ac:dyDescent="0.25">
      <c r="B23" s="11" t="s">
        <v>37</v>
      </c>
      <c r="C23" s="11">
        <f t="shared" ref="C23:G24" si="15">+C32/C3</f>
        <v>1.6113360323886641</v>
      </c>
      <c r="D23" s="11">
        <f t="shared" si="15"/>
        <v>1.8340476645464223</v>
      </c>
      <c r="E23" s="11">
        <f t="shared" si="15"/>
        <v>2.1130136986301369</v>
      </c>
      <c r="F23" s="11">
        <f t="shared" si="15"/>
        <v>2.5593750000000002</v>
      </c>
      <c r="G23" s="11">
        <f t="shared" si="15"/>
        <v>2.7147335423197494</v>
      </c>
      <c r="H23" s="11">
        <f>+G23*1.03</f>
        <v>2.7961755485893418</v>
      </c>
      <c r="N23" s="11">
        <f t="shared" ref="N23:P24" si="16">+N32/N3</f>
        <v>1.7313088235294116</v>
      </c>
      <c r="O23" s="11">
        <f t="shared" si="16"/>
        <v>2.34640522875817</v>
      </c>
      <c r="P23" s="11">
        <f t="shared" si="16"/>
        <v>2.7568952341049147</v>
      </c>
      <c r="Q23" s="11">
        <v>3</v>
      </c>
      <c r="R23" s="11">
        <f>+Q23*1.05</f>
        <v>3.1500000000000004</v>
      </c>
      <c r="S23" s="11">
        <f t="shared" ref="S23:W23" si="17">+R23*1.05</f>
        <v>3.3075000000000006</v>
      </c>
      <c r="T23" s="11">
        <f t="shared" si="17"/>
        <v>3.4728750000000006</v>
      </c>
      <c r="U23" s="11">
        <f t="shared" si="17"/>
        <v>3.6465187500000007</v>
      </c>
      <c r="V23" s="11">
        <f t="shared" si="17"/>
        <v>3.8288446875000011</v>
      </c>
      <c r="W23" s="11">
        <f t="shared" si="17"/>
        <v>4.0202869218750017</v>
      </c>
    </row>
    <row r="24" spans="2:23" x14ac:dyDescent="0.25">
      <c r="B24" s="1" t="s">
        <v>38</v>
      </c>
      <c r="C24" s="11">
        <f t="shared" si="15"/>
        <v>42.738095238095234</v>
      </c>
      <c r="D24" s="11">
        <f t="shared" si="15"/>
        <v>46.132524387342372</v>
      </c>
      <c r="E24" s="11">
        <f t="shared" si="15"/>
        <v>45.18181818181818</v>
      </c>
      <c r="F24" s="11">
        <f t="shared" si="15"/>
        <v>43.307692307692307</v>
      </c>
      <c r="G24" s="11">
        <f t="shared" si="15"/>
        <v>45.454545454545453</v>
      </c>
      <c r="H24" s="1">
        <v>45</v>
      </c>
      <c r="N24" s="11">
        <f t="shared" si="16"/>
        <v>44.640333333333331</v>
      </c>
      <c r="O24" s="11">
        <f t="shared" si="16"/>
        <v>44.166666666666664</v>
      </c>
      <c r="P24" s="11">
        <f t="shared" si="16"/>
        <v>45.213592233009706</v>
      </c>
      <c r="Q24" s="11">
        <v>45</v>
      </c>
      <c r="R24" s="1">
        <f>+Q24*1.01</f>
        <v>45.45</v>
      </c>
      <c r="S24" s="1">
        <f t="shared" ref="S24:W24" si="18">+R24*1.01</f>
        <v>45.904500000000006</v>
      </c>
      <c r="T24" s="1">
        <f t="shared" si="18"/>
        <v>46.363545000000009</v>
      </c>
      <c r="U24" s="1">
        <f t="shared" si="18"/>
        <v>46.827180450000007</v>
      </c>
      <c r="V24" s="1">
        <f t="shared" si="18"/>
        <v>47.295452254500006</v>
      </c>
      <c r="W24" s="1">
        <f t="shared" si="18"/>
        <v>47.768406777045008</v>
      </c>
    </row>
    <row r="25" spans="2:23" x14ac:dyDescent="0.25">
      <c r="B25" s="1" t="s">
        <v>39</v>
      </c>
      <c r="C25" s="11">
        <f>+C34/C5 *100</f>
        <v>7.8406969508400746</v>
      </c>
      <c r="D25" s="11">
        <f>+D34/D5 *100</f>
        <v>8.7678365325873155</v>
      </c>
      <c r="E25" s="11">
        <f>+E34/E5 *100</f>
        <v>9.5480225988700571</v>
      </c>
      <c r="F25" s="11">
        <f>+F34/F5 *100</f>
        <v>10.223214285714285</v>
      </c>
      <c r="G25" s="11">
        <f>+G34/G5 *100</f>
        <v>10.221465076660987</v>
      </c>
      <c r="H25" s="1">
        <v>10</v>
      </c>
      <c r="N25" s="11">
        <f>+N34/N5 *100</f>
        <v>8.3156608478803005</v>
      </c>
      <c r="O25" s="11">
        <f t="shared" ref="O25:P25" si="19">+O34/O5 *100</f>
        <v>9.9251870324189522</v>
      </c>
      <c r="P25" s="11">
        <f t="shared" si="19"/>
        <v>10.097612254092207</v>
      </c>
      <c r="Q25" s="11">
        <f>+P25*1.01</f>
        <v>10.198588376633129</v>
      </c>
      <c r="R25" s="11">
        <f t="shared" ref="R25:W25" si="20">+Q25*1.01</f>
        <v>10.300574260399461</v>
      </c>
      <c r="S25" s="11">
        <f t="shared" si="20"/>
        <v>10.403580003003455</v>
      </c>
      <c r="T25" s="11">
        <f t="shared" si="20"/>
        <v>10.50761580303349</v>
      </c>
      <c r="U25" s="11">
        <f t="shared" si="20"/>
        <v>10.612691961063826</v>
      </c>
      <c r="V25" s="11">
        <f t="shared" si="20"/>
        <v>10.718818880674464</v>
      </c>
      <c r="W25" s="11">
        <f t="shared" si="20"/>
        <v>10.826007069481209</v>
      </c>
    </row>
    <row r="26" spans="2:23" x14ac:dyDescent="0.25">
      <c r="B26" s="1" t="s">
        <v>47</v>
      </c>
      <c r="C26" s="1">
        <f>+C35/C6</f>
        <v>136.09756097560978</v>
      </c>
      <c r="D26" s="1">
        <f>+D35/D6</f>
        <v>141.06529681619642</v>
      </c>
      <c r="E26" s="1">
        <f>+E35/E6</f>
        <v>153.33333333333334</v>
      </c>
      <c r="F26" s="1">
        <f>+F35/F6</f>
        <v>174.57142857142856</v>
      </c>
      <c r="G26" s="1">
        <f>+G35/G6</f>
        <v>173.03030303030303</v>
      </c>
      <c r="H26" s="1">
        <v>170</v>
      </c>
      <c r="N26" s="11">
        <f>+N35/N6</f>
        <v>138.54135135135132</v>
      </c>
      <c r="O26" s="11">
        <f>+O35/O6</f>
        <v>163.37837837837836</v>
      </c>
      <c r="P26" s="11">
        <f>+P35/P6</f>
        <v>171.59362549800795</v>
      </c>
      <c r="Q26" s="1">
        <v>170</v>
      </c>
      <c r="R26" s="1">
        <v>170</v>
      </c>
      <c r="S26" s="1">
        <v>170</v>
      </c>
      <c r="T26" s="1">
        <v>170</v>
      </c>
      <c r="U26" s="1">
        <v>170</v>
      </c>
      <c r="V26" s="1">
        <v>170</v>
      </c>
      <c r="W26" s="1">
        <v>170</v>
      </c>
    </row>
    <row r="27" spans="2:23" x14ac:dyDescent="0.25">
      <c r="N27" s="11"/>
      <c r="O27" s="11"/>
      <c r="P27" s="11"/>
    </row>
    <row r="28" spans="2:23" x14ac:dyDescent="0.25">
      <c r="B28" s="1" t="s">
        <v>56</v>
      </c>
      <c r="C28" s="11">
        <f t="shared" ref="C28:G29" si="21">+C37/C8</f>
        <v>33.313291139240505</v>
      </c>
      <c r="D28" s="11">
        <f t="shared" si="21"/>
        <v>32.742048925654501</v>
      </c>
      <c r="E28" s="11">
        <f t="shared" si="21"/>
        <v>35.510876730388929</v>
      </c>
      <c r="F28" s="11">
        <f t="shared" si="21"/>
        <v>40.636604774535805</v>
      </c>
      <c r="G28" s="11">
        <f t="shared" si="21"/>
        <v>38.346153846153847</v>
      </c>
      <c r="H28" s="1">
        <v>37</v>
      </c>
      <c r="N28" s="11">
        <f t="shared" ref="N28:P29" si="22">+N37/N8</f>
        <v>34.554580165289252</v>
      </c>
      <c r="O28" s="11">
        <f t="shared" si="22"/>
        <v>38.066115702479337</v>
      </c>
      <c r="P28" s="11">
        <f t="shared" si="22"/>
        <v>37.676026858459295</v>
      </c>
      <c r="Q28" s="1">
        <v>37</v>
      </c>
      <c r="R28" s="1">
        <f>+Q28*1.02</f>
        <v>37.74</v>
      </c>
      <c r="S28" s="1">
        <f t="shared" ref="S28:W28" si="23">+R28*1.02</f>
        <v>38.494800000000005</v>
      </c>
      <c r="T28" s="1">
        <f t="shared" si="23"/>
        <v>39.264696000000008</v>
      </c>
      <c r="U28" s="1">
        <f t="shared" si="23"/>
        <v>40.049989920000009</v>
      </c>
      <c r="V28" s="1">
        <f t="shared" si="23"/>
        <v>40.850989718400008</v>
      </c>
      <c r="W28" s="1">
        <f t="shared" si="23"/>
        <v>41.668009512768009</v>
      </c>
    </row>
    <row r="29" spans="2:23" x14ac:dyDescent="0.25">
      <c r="B29" s="1" t="s">
        <v>42</v>
      </c>
      <c r="C29" s="1">
        <f t="shared" si="21"/>
        <v>23</v>
      </c>
      <c r="D29" s="1">
        <f t="shared" si="21"/>
        <v>31.231487321811532</v>
      </c>
      <c r="E29" s="1">
        <f t="shared" si="21"/>
        <v>26.09756097560976</v>
      </c>
      <c r="F29" s="1">
        <f t="shared" si="21"/>
        <v>39.487179487179482</v>
      </c>
      <c r="G29" s="1">
        <f t="shared" si="21"/>
        <v>35.285714285714285</v>
      </c>
      <c r="H29" s="1">
        <v>30</v>
      </c>
      <c r="N29" s="11">
        <f t="shared" si="22"/>
        <v>27.078187499999999</v>
      </c>
      <c r="O29" s="11">
        <f t="shared" si="22"/>
        <v>32.625</v>
      </c>
      <c r="P29" s="11">
        <f t="shared" si="22"/>
        <v>32.714600146735144</v>
      </c>
      <c r="Q29" s="1">
        <f>+P29*1.01</f>
        <v>33.041746148202499</v>
      </c>
      <c r="R29" s="1">
        <f t="shared" ref="R29:W29" si="24">+Q29*1.01</f>
        <v>33.372163609684527</v>
      </c>
      <c r="S29" s="1">
        <f t="shared" si="24"/>
        <v>33.705885245781374</v>
      </c>
      <c r="T29" s="1">
        <f t="shared" si="24"/>
        <v>34.04294409823919</v>
      </c>
      <c r="U29" s="1">
        <f t="shared" si="24"/>
        <v>34.38337353922158</v>
      </c>
      <c r="V29" s="1">
        <f t="shared" si="24"/>
        <v>34.727207274613797</v>
      </c>
      <c r="W29" s="1">
        <f t="shared" si="24"/>
        <v>35.074479347359933</v>
      </c>
    </row>
    <row r="31" spans="2:23" x14ac:dyDescent="0.25">
      <c r="B31" s="7" t="s">
        <v>46</v>
      </c>
    </row>
    <row r="32" spans="2:23" x14ac:dyDescent="0.25">
      <c r="B32" s="1" t="s">
        <v>37</v>
      </c>
      <c r="C32" s="1">
        <v>398</v>
      </c>
      <c r="D32" s="1">
        <f>+N32-C32</f>
        <v>529</v>
      </c>
      <c r="E32" s="1">
        <v>617</v>
      </c>
      <c r="F32" s="1">
        <f>+O32-E32</f>
        <v>819</v>
      </c>
      <c r="G32" s="1">
        <v>866</v>
      </c>
      <c r="H32" s="1">
        <f>+H3*H23</f>
        <v>957.41050783699075</v>
      </c>
      <c r="N32" s="1">
        <v>927</v>
      </c>
      <c r="O32" s="1">
        <v>1436</v>
      </c>
      <c r="P32" s="1">
        <f>+H32+G32</f>
        <v>1823.4105078369907</v>
      </c>
      <c r="Q32" s="1">
        <f>+Q3*Q23</f>
        <v>2083.4100000000003</v>
      </c>
      <c r="R32" s="1">
        <f t="shared" ref="R32:W32" si="25">+R3*R23</f>
        <v>2296.9595250000007</v>
      </c>
      <c r="S32" s="1">
        <f t="shared" si="25"/>
        <v>2532.3978763125015</v>
      </c>
      <c r="T32" s="1">
        <f t="shared" si="25"/>
        <v>2791.9686586345324</v>
      </c>
      <c r="U32" s="1">
        <f t="shared" si="25"/>
        <v>3078.1454461445724</v>
      </c>
      <c r="V32" s="1">
        <f t="shared" si="25"/>
        <v>3393.6553543743917</v>
      </c>
      <c r="W32" s="1">
        <f t="shared" si="25"/>
        <v>3741.5050281977674</v>
      </c>
    </row>
    <row r="33" spans="2:23" x14ac:dyDescent="0.25">
      <c r="B33" s="1" t="s">
        <v>38</v>
      </c>
      <c r="C33" s="1">
        <v>359</v>
      </c>
      <c r="D33" s="1">
        <f>+N33-C33</f>
        <v>494</v>
      </c>
      <c r="E33" s="1">
        <v>497</v>
      </c>
      <c r="F33" s="1">
        <f>+O33-E33</f>
        <v>563</v>
      </c>
      <c r="G33" s="1">
        <v>550</v>
      </c>
      <c r="H33" s="1">
        <f>+H4*H24</f>
        <v>614.25</v>
      </c>
      <c r="N33" s="1">
        <v>853</v>
      </c>
      <c r="O33" s="1">
        <v>1060</v>
      </c>
      <c r="P33" s="1">
        <f>+H33+G33</f>
        <v>1164.25</v>
      </c>
      <c r="Q33" s="1">
        <f>+Q4*Q24</f>
        <v>1193.5125</v>
      </c>
      <c r="R33" s="1">
        <f t="shared" ref="R33:W33" si="26">+R4*R24</f>
        <v>1241.6110537500001</v>
      </c>
      <c r="S33" s="1">
        <f t="shared" si="26"/>
        <v>1291.6479792161251</v>
      </c>
      <c r="T33" s="1">
        <f t="shared" si="26"/>
        <v>1343.7013927785351</v>
      </c>
      <c r="U33" s="1">
        <f t="shared" si="26"/>
        <v>1397.85255890751</v>
      </c>
      <c r="V33" s="1">
        <f t="shared" si="26"/>
        <v>1454.1860170314826</v>
      </c>
      <c r="W33" s="1">
        <f t="shared" si="26"/>
        <v>1512.7897135178516</v>
      </c>
    </row>
    <row r="34" spans="2:23" x14ac:dyDescent="0.25">
      <c r="B34" s="1" t="s">
        <v>39</v>
      </c>
      <c r="C34" s="1">
        <v>126</v>
      </c>
      <c r="D34" s="1">
        <f>+N34-C34</f>
        <v>148</v>
      </c>
      <c r="E34" s="1">
        <v>169</v>
      </c>
      <c r="F34" s="1">
        <f>+O34-E34</f>
        <v>229</v>
      </c>
      <c r="G34" s="1">
        <v>240</v>
      </c>
      <c r="H34" s="1">
        <f>+H5*H25/100</f>
        <v>297.92</v>
      </c>
      <c r="N34" s="1">
        <v>274</v>
      </c>
      <c r="O34" s="1">
        <v>398</v>
      </c>
      <c r="P34" s="1">
        <f>+H34+G34</f>
        <v>537.92000000000007</v>
      </c>
      <c r="Q34" s="1">
        <f>+Q5*Q25/100</f>
        <v>706.2889600000002</v>
      </c>
      <c r="R34" s="1">
        <f t="shared" ref="R34:W34" si="27">+R5*R25/100</f>
        <v>891.68981200000042</v>
      </c>
      <c r="S34" s="1">
        <f t="shared" si="27"/>
        <v>1080.7280521440005</v>
      </c>
      <c r="T34" s="1">
        <f t="shared" si="27"/>
        <v>1255.2656325652565</v>
      </c>
      <c r="U34" s="1">
        <f t="shared" si="27"/>
        <v>1457.9910322245453</v>
      </c>
      <c r="V34" s="1">
        <f t="shared" si="27"/>
        <v>1693.4565839288093</v>
      </c>
      <c r="W34" s="1">
        <f t="shared" si="27"/>
        <v>1966.9498222333118</v>
      </c>
    </row>
    <row r="35" spans="2:23" x14ac:dyDescent="0.25">
      <c r="B35" s="1" t="s">
        <v>40</v>
      </c>
      <c r="C35" s="1">
        <v>558</v>
      </c>
      <c r="D35" s="1">
        <f>+N35-C35</f>
        <v>560</v>
      </c>
      <c r="E35" s="1">
        <v>598</v>
      </c>
      <c r="F35" s="1">
        <f>+O35-E35</f>
        <v>611</v>
      </c>
      <c r="G35" s="1">
        <v>571</v>
      </c>
      <c r="H35" s="1">
        <f>+H6*H26</f>
        <v>505.75</v>
      </c>
      <c r="N35" s="1">
        <v>1118</v>
      </c>
      <c r="O35" s="1">
        <v>1209</v>
      </c>
      <c r="P35" s="1">
        <f>+H35+G35</f>
        <v>1076.75</v>
      </c>
      <c r="Q35" s="1">
        <f>+Q6*Q26</f>
        <v>906.73750000000007</v>
      </c>
      <c r="R35" s="1">
        <f t="shared" ref="R35:W35" si="28">+R6*R26</f>
        <v>770.72687500000006</v>
      </c>
      <c r="S35" s="1">
        <f t="shared" si="28"/>
        <v>655.11784375000002</v>
      </c>
      <c r="T35" s="1">
        <f t="shared" si="28"/>
        <v>556.85016718750001</v>
      </c>
      <c r="U35" s="1">
        <f t="shared" si="28"/>
        <v>473.32264210937495</v>
      </c>
      <c r="V35" s="1">
        <f t="shared" si="28"/>
        <v>402.32424579296867</v>
      </c>
      <c r="W35" s="1">
        <f t="shared" si="28"/>
        <v>341.97560892402339</v>
      </c>
    </row>
    <row r="36" spans="2:23" s="4" customFormat="1" x14ac:dyDescent="0.25">
      <c r="B36" s="4" t="s">
        <v>41</v>
      </c>
      <c r="C36" s="4">
        <f t="shared" ref="C36:H36" si="29">+C35+C33+C34+C32</f>
        <v>1441</v>
      </c>
      <c r="D36" s="4">
        <f t="shared" si="29"/>
        <v>1731</v>
      </c>
      <c r="E36" s="4">
        <f t="shared" si="29"/>
        <v>1881</v>
      </c>
      <c r="F36" s="4">
        <f t="shared" si="29"/>
        <v>2222</v>
      </c>
      <c r="G36" s="4">
        <f t="shared" si="29"/>
        <v>2227</v>
      </c>
      <c r="H36" s="4">
        <f t="shared" si="29"/>
        <v>2375.3305078369908</v>
      </c>
      <c r="N36" s="4">
        <f>+N35+N33+N34+N32</f>
        <v>3172</v>
      </c>
      <c r="O36" s="4">
        <f>+O35+O33+O34+O32</f>
        <v>4103</v>
      </c>
      <c r="P36" s="4">
        <f>+SUM(P32:P35)</f>
        <v>4602.3305078369904</v>
      </c>
      <c r="Q36" s="4">
        <f t="shared" ref="Q36:W36" si="30">+SUM(Q32:Q35)</f>
        <v>4889.9489600000006</v>
      </c>
      <c r="R36" s="4">
        <f t="shared" si="30"/>
        <v>5200.9872657500018</v>
      </c>
      <c r="S36" s="4">
        <f t="shared" si="30"/>
        <v>5559.8917514226277</v>
      </c>
      <c r="T36" s="4">
        <f t="shared" si="30"/>
        <v>5947.7858511658251</v>
      </c>
      <c r="U36" s="4">
        <f t="shared" si="30"/>
        <v>6407.3116793860027</v>
      </c>
      <c r="V36" s="4">
        <f t="shared" si="30"/>
        <v>6943.6222011276514</v>
      </c>
      <c r="W36" s="4">
        <f t="shared" si="30"/>
        <v>7563.2201728729542</v>
      </c>
    </row>
    <row r="37" spans="2:23" s="4" customFormat="1" x14ac:dyDescent="0.25">
      <c r="B37" s="4" t="s">
        <v>43</v>
      </c>
      <c r="C37" s="4">
        <v>10527</v>
      </c>
      <c r="D37" s="4">
        <v>10527</v>
      </c>
      <c r="E37" s="4">
        <v>10774</v>
      </c>
      <c r="F37" s="4">
        <f>+O37-E37</f>
        <v>12256</v>
      </c>
      <c r="G37" s="4">
        <v>10967</v>
      </c>
      <c r="H37" s="4">
        <f>+H28*H8</f>
        <v>10489.648000000001</v>
      </c>
      <c r="N37" s="4">
        <v>22029</v>
      </c>
      <c r="O37" s="4">
        <v>23030</v>
      </c>
      <c r="P37" s="4">
        <f>+H37+G37</f>
        <v>21456.648000000001</v>
      </c>
      <c r="Q37" s="4">
        <f>+Q28*Q8</f>
        <v>20650.215039999999</v>
      </c>
      <c r="R37" s="4">
        <f t="shared" ref="R37:W37" si="31">+R28*R8</f>
        <v>20641.954953984001</v>
      </c>
      <c r="S37" s="4">
        <f t="shared" si="31"/>
        <v>20633.698172002409</v>
      </c>
      <c r="T37" s="4">
        <f t="shared" si="31"/>
        <v>20625.44469273361</v>
      </c>
      <c r="U37" s="4">
        <f t="shared" si="31"/>
        <v>20617.194514856517</v>
      </c>
      <c r="V37" s="4">
        <f t="shared" si="31"/>
        <v>20608.947637050573</v>
      </c>
      <c r="W37" s="4">
        <f t="shared" si="31"/>
        <v>20600.704057995754</v>
      </c>
    </row>
    <row r="38" spans="2:23" x14ac:dyDescent="0.25">
      <c r="B38" s="1" t="s">
        <v>44</v>
      </c>
      <c r="C38" s="1">
        <v>207</v>
      </c>
      <c r="D38" s="1">
        <f>+N38-C38</f>
        <v>276</v>
      </c>
      <c r="E38" s="1">
        <v>214</v>
      </c>
      <c r="F38" s="1">
        <f>+O38-E38</f>
        <v>308</v>
      </c>
      <c r="G38" s="1">
        <v>247</v>
      </c>
      <c r="H38" s="1">
        <f>+H29*H9</f>
        <v>198.90000000000003</v>
      </c>
      <c r="N38" s="1">
        <v>483</v>
      </c>
      <c r="O38" s="1">
        <v>522</v>
      </c>
      <c r="P38" s="1">
        <f>+H38+G38</f>
        <v>445.90000000000003</v>
      </c>
      <c r="Q38" s="1">
        <f>+Q29*Q9</f>
        <v>382.80515000000003</v>
      </c>
      <c r="R38" s="1">
        <f t="shared" ref="R38:W38" si="32">+R29*R9</f>
        <v>328.63822127500003</v>
      </c>
      <c r="S38" s="1">
        <f t="shared" si="32"/>
        <v>282.13591296458753</v>
      </c>
      <c r="T38" s="1">
        <f t="shared" si="32"/>
        <v>242.2136812800984</v>
      </c>
      <c r="U38" s="1">
        <f t="shared" si="32"/>
        <v>207.94044537896445</v>
      </c>
      <c r="V38" s="1">
        <f t="shared" si="32"/>
        <v>178.51687235784095</v>
      </c>
      <c r="W38" s="1">
        <f t="shared" si="32"/>
        <v>153.25673491920645</v>
      </c>
    </row>
    <row r="39" spans="2:23" s="4" customFormat="1" x14ac:dyDescent="0.25">
      <c r="B39" s="4" t="s">
        <v>0</v>
      </c>
      <c r="C39" s="4">
        <f>+C36+C37+C38</f>
        <v>12175</v>
      </c>
      <c r="D39" s="4">
        <f>+D36+D37+D38</f>
        <v>12534</v>
      </c>
      <c r="E39" s="4">
        <v>12869</v>
      </c>
      <c r="F39" s="4">
        <f>+O39-E39</f>
        <v>14786</v>
      </c>
      <c r="G39" s="4">
        <f>+G36+G37+G38</f>
        <v>13441</v>
      </c>
      <c r="H39" s="4">
        <f>+H36+H37+H38</f>
        <v>13063.878507836991</v>
      </c>
      <c r="N39" s="4">
        <v>25684</v>
      </c>
      <c r="O39" s="4">
        <v>27655</v>
      </c>
      <c r="P39" s="4">
        <f>+P36+P37+P38</f>
        <v>26504.878507836991</v>
      </c>
      <c r="Q39" s="4">
        <f t="shared" ref="Q39:W39" si="33">+Q36+Q37+Q38</f>
        <v>25922.969150000001</v>
      </c>
      <c r="R39" s="4">
        <f t="shared" si="33"/>
        <v>26171.580441009002</v>
      </c>
      <c r="S39" s="4">
        <f t="shared" si="33"/>
        <v>26475.725836389622</v>
      </c>
      <c r="T39" s="4">
        <f t="shared" si="33"/>
        <v>26815.444225179537</v>
      </c>
      <c r="U39" s="4">
        <f t="shared" si="33"/>
        <v>27232.446639621485</v>
      </c>
      <c r="V39" s="4">
        <f t="shared" si="33"/>
        <v>27731.086710536067</v>
      </c>
      <c r="W39" s="4">
        <f t="shared" si="33"/>
        <v>28317.180965787917</v>
      </c>
    </row>
    <row r="40" spans="2:23" x14ac:dyDescent="0.25">
      <c r="B40" s="1" t="s">
        <v>1</v>
      </c>
      <c r="C40" s="1">
        <v>2195</v>
      </c>
      <c r="D40" s="1">
        <f t="shared" ref="D40:D45" si="34">+N40-C40</f>
        <v>2347</v>
      </c>
      <c r="E40" s="1">
        <v>2250</v>
      </c>
      <c r="F40" s="1">
        <f>+O40-E40</f>
        <v>2531</v>
      </c>
      <c r="G40" s="1">
        <v>2251</v>
      </c>
      <c r="H40" s="1">
        <v>2250</v>
      </c>
      <c r="N40" s="1">
        <v>4542</v>
      </c>
      <c r="O40" s="1">
        <v>4781</v>
      </c>
      <c r="P40" s="1">
        <f>+H40+G40</f>
        <v>4501</v>
      </c>
      <c r="Q40" s="1">
        <f t="shared" ref="Q40:W40" si="35">+Q39*0.18</f>
        <v>4666.1344470000004</v>
      </c>
      <c r="R40" s="1">
        <f t="shared" si="35"/>
        <v>4710.8844793816206</v>
      </c>
      <c r="S40" s="1">
        <f t="shared" si="35"/>
        <v>4765.6306505501316</v>
      </c>
      <c r="T40" s="1">
        <f t="shared" si="35"/>
        <v>4826.7799605323162</v>
      </c>
      <c r="U40" s="1">
        <f t="shared" si="35"/>
        <v>4901.8403951318669</v>
      </c>
      <c r="V40" s="1">
        <f t="shared" si="35"/>
        <v>4991.5956078964919</v>
      </c>
      <c r="W40" s="1">
        <f t="shared" si="35"/>
        <v>5097.0925738418246</v>
      </c>
    </row>
    <row r="41" spans="2:23" x14ac:dyDescent="0.25">
      <c r="B41" s="1" t="s">
        <v>2</v>
      </c>
      <c r="C41" s="1">
        <f t="shared" ref="C41:F41" si="36">+C39-C40</f>
        <v>9980</v>
      </c>
      <c r="D41" s="1">
        <f t="shared" si="34"/>
        <v>11162</v>
      </c>
      <c r="E41" s="1">
        <f t="shared" si="36"/>
        <v>10619</v>
      </c>
      <c r="F41" s="1">
        <f t="shared" si="36"/>
        <v>12255</v>
      </c>
      <c r="G41" s="1">
        <f t="shared" ref="G41:J41" si="37">+G39-G40</f>
        <v>11190</v>
      </c>
      <c r="H41" s="1">
        <f t="shared" si="37"/>
        <v>10813.878507836991</v>
      </c>
      <c r="I41" s="1">
        <f t="shared" si="37"/>
        <v>0</v>
      </c>
      <c r="J41" s="1">
        <f t="shared" si="37"/>
        <v>0</v>
      </c>
      <c r="M41" s="1">
        <f>+M39-M40</f>
        <v>0</v>
      </c>
      <c r="N41" s="1">
        <f>+N39-N40</f>
        <v>21142</v>
      </c>
      <c r="O41" s="1">
        <f>+O39-O40</f>
        <v>22874</v>
      </c>
      <c r="P41" s="1">
        <f>+P39-P40</f>
        <v>22003.878507836991</v>
      </c>
      <c r="Q41" s="1">
        <f t="shared" ref="Q41:W41" si="38">+Q39-Q40</f>
        <v>21256.834703</v>
      </c>
      <c r="R41" s="1">
        <f t="shared" si="38"/>
        <v>21460.695961627382</v>
      </c>
      <c r="S41" s="1">
        <f t="shared" si="38"/>
        <v>21710.095185839491</v>
      </c>
      <c r="T41" s="1">
        <f t="shared" si="38"/>
        <v>21988.664264647221</v>
      </c>
      <c r="U41" s="1">
        <f t="shared" si="38"/>
        <v>22330.606244489616</v>
      </c>
      <c r="V41" s="1">
        <f t="shared" si="38"/>
        <v>22739.491102639575</v>
      </c>
      <c r="W41" s="1">
        <f t="shared" si="38"/>
        <v>23220.08839194609</v>
      </c>
    </row>
    <row r="42" spans="2:23" x14ac:dyDescent="0.25">
      <c r="B42" s="1" t="s">
        <v>3</v>
      </c>
      <c r="C42" s="1">
        <v>1360</v>
      </c>
      <c r="D42" s="1">
        <f t="shared" si="34"/>
        <v>1357</v>
      </c>
      <c r="E42" s="1">
        <v>1329</v>
      </c>
      <c r="F42" s="1">
        <f>+O42-E42</f>
        <v>1643</v>
      </c>
      <c r="G42" s="1">
        <v>1389</v>
      </c>
      <c r="H42" s="1">
        <v>1350</v>
      </c>
      <c r="N42" s="1">
        <v>2717</v>
      </c>
      <c r="O42" s="1">
        <v>2972</v>
      </c>
      <c r="P42" s="1">
        <f>+H42+G42</f>
        <v>2739</v>
      </c>
      <c r="Q42" s="1">
        <f>+Q39*0.105</f>
        <v>2721.9117607499998</v>
      </c>
      <c r="R42" s="1">
        <f t="shared" ref="R42:W42" si="39">+R39*0.105</f>
        <v>2748.0159463059449</v>
      </c>
      <c r="S42" s="1">
        <f t="shared" si="39"/>
        <v>2779.9512128209103</v>
      </c>
      <c r="T42" s="1">
        <f t="shared" si="39"/>
        <v>2815.6216436438513</v>
      </c>
      <c r="U42" s="1">
        <f t="shared" si="39"/>
        <v>2859.406897160256</v>
      </c>
      <c r="V42" s="1">
        <f t="shared" si="39"/>
        <v>2911.7641046062868</v>
      </c>
      <c r="W42" s="1">
        <f t="shared" si="39"/>
        <v>2973.304001407731</v>
      </c>
    </row>
    <row r="43" spans="2:23" x14ac:dyDescent="0.25">
      <c r="B43" s="1" t="s">
        <v>4</v>
      </c>
      <c r="C43" s="1">
        <v>473</v>
      </c>
      <c r="D43" s="1">
        <f t="shared" si="34"/>
        <v>603</v>
      </c>
      <c r="E43" s="1">
        <v>659</v>
      </c>
      <c r="F43" s="1">
        <f>+O43-E43</f>
        <v>646</v>
      </c>
      <c r="G43" s="1">
        <v>480</v>
      </c>
      <c r="H43" s="1">
        <v>500</v>
      </c>
      <c r="N43" s="1">
        <v>1076</v>
      </c>
      <c r="O43" s="1">
        <v>1305</v>
      </c>
      <c r="P43" s="1">
        <f>+H43+G43</f>
        <v>980</v>
      </c>
      <c r="Q43" s="1">
        <f t="shared" ref="Q43:W43" si="40">+P43*1.03</f>
        <v>1009.4</v>
      </c>
      <c r="R43" s="1">
        <f t="shared" si="40"/>
        <v>1039.682</v>
      </c>
      <c r="S43" s="1">
        <f t="shared" si="40"/>
        <v>1070.87246</v>
      </c>
      <c r="T43" s="1">
        <f t="shared" si="40"/>
        <v>1102.9986338000001</v>
      </c>
      <c r="U43" s="1">
        <f t="shared" si="40"/>
        <v>1136.0885928140001</v>
      </c>
      <c r="V43" s="1">
        <f t="shared" si="40"/>
        <v>1170.1712505984201</v>
      </c>
      <c r="W43" s="1">
        <f t="shared" si="40"/>
        <v>1205.2763881163728</v>
      </c>
    </row>
    <row r="44" spans="2:23" x14ac:dyDescent="0.25">
      <c r="B44" s="1" t="s">
        <v>5</v>
      </c>
      <c r="C44" s="1">
        <v>102</v>
      </c>
      <c r="D44" s="1">
        <f t="shared" si="34"/>
        <v>94</v>
      </c>
      <c r="E44" s="1">
        <v>42</v>
      </c>
      <c r="F44" s="1">
        <f>+O44-E44</f>
        <v>680</v>
      </c>
      <c r="G44" s="1">
        <v>239</v>
      </c>
      <c r="H44" s="1">
        <v>200</v>
      </c>
      <c r="N44" s="1">
        <v>196</v>
      </c>
      <c r="O44" s="1">
        <v>722</v>
      </c>
      <c r="P44" s="1">
        <f>+H44+G44</f>
        <v>439</v>
      </c>
      <c r="Q44" s="1">
        <f>+P44*0.8</f>
        <v>351.20000000000005</v>
      </c>
      <c r="R44" s="1">
        <f t="shared" ref="R44:W44" si="41">+Q44*0.8</f>
        <v>280.96000000000004</v>
      </c>
      <c r="S44" s="1">
        <f t="shared" si="41"/>
        <v>224.76800000000003</v>
      </c>
      <c r="T44" s="1">
        <f t="shared" si="41"/>
        <v>179.81440000000003</v>
      </c>
      <c r="U44" s="1">
        <f t="shared" si="41"/>
        <v>143.85152000000002</v>
      </c>
      <c r="V44" s="1">
        <f t="shared" si="41"/>
        <v>115.08121600000003</v>
      </c>
      <c r="W44" s="1">
        <f t="shared" si="41"/>
        <v>92.064972800000021</v>
      </c>
    </row>
    <row r="45" spans="2:23" x14ac:dyDescent="0.25">
      <c r="B45" s="1" t="s">
        <v>6</v>
      </c>
      <c r="C45" s="1">
        <v>3411</v>
      </c>
      <c r="D45" s="1">
        <f t="shared" si="34"/>
        <v>4057</v>
      </c>
      <c r="E45" s="1">
        <v>5091</v>
      </c>
      <c r="F45" s="1">
        <f>+O45-E45</f>
        <v>3927</v>
      </c>
      <c r="G45" s="1">
        <v>3629</v>
      </c>
      <c r="H45" s="1">
        <v>3500</v>
      </c>
      <c r="N45" s="1">
        <v>7468</v>
      </c>
      <c r="O45" s="1">
        <v>9018</v>
      </c>
      <c r="P45" s="1">
        <f>+H45+G45</f>
        <v>7129</v>
      </c>
      <c r="Q45" s="1">
        <f t="shared" ref="Q45:W45" si="42">+P45*1.02</f>
        <v>7271.58</v>
      </c>
      <c r="R45" s="1">
        <f t="shared" si="42"/>
        <v>7417.0115999999998</v>
      </c>
      <c r="S45" s="1">
        <f t="shared" si="42"/>
        <v>7565.3518320000003</v>
      </c>
      <c r="T45" s="1">
        <f t="shared" si="42"/>
        <v>7716.65886864</v>
      </c>
      <c r="U45" s="1">
        <f t="shared" si="42"/>
        <v>7870.9920460128005</v>
      </c>
      <c r="V45" s="1">
        <f t="shared" si="42"/>
        <v>8028.4118869330568</v>
      </c>
      <c r="W45" s="1">
        <f t="shared" si="42"/>
        <v>8188.9801246717179</v>
      </c>
    </row>
    <row r="46" spans="2:23" s="4" customFormat="1" x14ac:dyDescent="0.25">
      <c r="B46" s="4" t="s">
        <v>7</v>
      </c>
      <c r="C46" s="4">
        <f t="shared" ref="C46:F46" si="43">+C41-C42-C43+C44-C45</f>
        <v>4838</v>
      </c>
      <c r="D46" s="4">
        <f t="shared" ref="D46" si="44">+D41-D42-D43+D44-D45</f>
        <v>5239</v>
      </c>
      <c r="E46" s="4">
        <f>+E41-E42-E43+E44-E45</f>
        <v>3582</v>
      </c>
      <c r="F46" s="4">
        <f t="shared" si="43"/>
        <v>6719</v>
      </c>
      <c r="G46" s="4">
        <f t="shared" ref="G46:J46" si="45">+G41-G42-G43+G44-G45</f>
        <v>5931</v>
      </c>
      <c r="H46" s="4">
        <f t="shared" si="45"/>
        <v>5663.878507836991</v>
      </c>
      <c r="I46" s="4">
        <f t="shared" si="45"/>
        <v>0</v>
      </c>
      <c r="J46" s="4">
        <f t="shared" si="45"/>
        <v>0</v>
      </c>
      <c r="M46" s="4">
        <f>+M41-M42-M43+M44-M45</f>
        <v>0</v>
      </c>
      <c r="N46" s="4">
        <f>+N41-N42-N43+N44-N45</f>
        <v>10077</v>
      </c>
      <c r="O46" s="4">
        <f>+O41-O42-O43+O44-O45</f>
        <v>10301</v>
      </c>
      <c r="P46" s="4">
        <f>+P41-P42-P43+P44-P45</f>
        <v>11594.878507836991</v>
      </c>
      <c r="Q46" s="4">
        <f t="shared" ref="Q46:W46" si="46">+Q41-Q42-Q43+Q44-Q45</f>
        <v>10605.142942249999</v>
      </c>
      <c r="R46" s="4">
        <f t="shared" si="46"/>
        <v>10536.946415321434</v>
      </c>
      <c r="S46" s="4">
        <f t="shared" si="46"/>
        <v>10518.687681018582</v>
      </c>
      <c r="T46" s="4">
        <f t="shared" si="46"/>
        <v>10533.199518563368</v>
      </c>
      <c r="U46" s="4">
        <f t="shared" si="46"/>
        <v>10607.970228502556</v>
      </c>
      <c r="V46" s="4">
        <f t="shared" si="46"/>
        <v>10744.225076501811</v>
      </c>
      <c r="W46" s="4">
        <f t="shared" si="46"/>
        <v>10944.592850550267</v>
      </c>
    </row>
    <row r="47" spans="2:23" x14ac:dyDescent="0.25">
      <c r="B47" s="1" t="s">
        <v>8</v>
      </c>
      <c r="C47" s="1">
        <v>756</v>
      </c>
      <c r="D47" s="1">
        <f>+N47-C47</f>
        <v>730</v>
      </c>
      <c r="E47" s="1">
        <v>817</v>
      </c>
      <c r="F47" s="1">
        <f>+O47-E47</f>
        <v>824</v>
      </c>
      <c r="G47" s="1">
        <v>921</v>
      </c>
      <c r="H47" s="1">
        <v>950</v>
      </c>
      <c r="N47" s="1">
        <v>1486</v>
      </c>
      <c r="O47" s="1">
        <v>1641</v>
      </c>
      <c r="P47" s="1">
        <f>+H47+G47</f>
        <v>1871</v>
      </c>
      <c r="Q47" s="1">
        <f t="shared" ref="Q47:W47" si="47">+P47*1.02</f>
        <v>1908.42</v>
      </c>
      <c r="R47" s="1">
        <f t="shared" si="47"/>
        <v>1946.5884000000001</v>
      </c>
      <c r="S47" s="1">
        <f t="shared" si="47"/>
        <v>1985.5201680000002</v>
      </c>
      <c r="T47" s="1">
        <f t="shared" si="47"/>
        <v>2025.2305713600003</v>
      </c>
      <c r="U47" s="1">
        <f t="shared" si="47"/>
        <v>2065.7351827872003</v>
      </c>
      <c r="V47" s="1">
        <f t="shared" si="47"/>
        <v>2107.0498864429442</v>
      </c>
      <c r="W47" s="1">
        <f t="shared" si="47"/>
        <v>2149.1908841718032</v>
      </c>
    </row>
    <row r="48" spans="2:23" x14ac:dyDescent="0.25">
      <c r="B48" s="1" t="s">
        <v>9</v>
      </c>
      <c r="C48" s="1">
        <v>233</v>
      </c>
      <c r="D48" s="1">
        <f>+N48-C48</f>
        <v>182</v>
      </c>
      <c r="E48" s="1">
        <v>200</v>
      </c>
      <c r="F48" s="1">
        <f>+O48-E48</f>
        <v>242</v>
      </c>
      <c r="G48" s="1">
        <v>289</v>
      </c>
      <c r="N48" s="1">
        <v>415</v>
      </c>
      <c r="O48" s="1">
        <v>442</v>
      </c>
      <c r="P48" s="1">
        <f>+H48+G48</f>
        <v>289</v>
      </c>
      <c r="Q48" s="1">
        <f t="shared" ref="Q48:W48" si="48">+P48*1.05</f>
        <v>303.45</v>
      </c>
      <c r="R48" s="1">
        <f t="shared" si="48"/>
        <v>318.6225</v>
      </c>
      <c r="S48" s="1">
        <f t="shared" si="48"/>
        <v>334.55362500000001</v>
      </c>
      <c r="T48" s="1">
        <f t="shared" si="48"/>
        <v>351.28130625</v>
      </c>
      <c r="U48" s="1">
        <f t="shared" si="48"/>
        <v>368.84537156250002</v>
      </c>
      <c r="V48" s="1">
        <f t="shared" si="48"/>
        <v>387.28764014062506</v>
      </c>
      <c r="W48" s="1">
        <f t="shared" si="48"/>
        <v>406.65202214765634</v>
      </c>
    </row>
    <row r="49" spans="2:164" x14ac:dyDescent="0.25">
      <c r="B49" s="1" t="s">
        <v>10</v>
      </c>
      <c r="C49" s="1">
        <f t="shared" ref="C49:F49" si="49">+C46-C47+C48</f>
        <v>4315</v>
      </c>
      <c r="D49" s="1">
        <f t="shared" ref="D49" si="50">+D46-D47+D48</f>
        <v>4691</v>
      </c>
      <c r="E49" s="1">
        <f t="shared" si="49"/>
        <v>2965</v>
      </c>
      <c r="F49" s="1">
        <f t="shared" si="49"/>
        <v>6137</v>
      </c>
      <c r="G49" s="1">
        <f t="shared" ref="G49:J49" si="51">+G46-G47+G48</f>
        <v>5299</v>
      </c>
      <c r="H49" s="1">
        <f t="shared" si="51"/>
        <v>4713.878507836991</v>
      </c>
      <c r="I49" s="1">
        <f t="shared" si="51"/>
        <v>0</v>
      </c>
      <c r="J49" s="1">
        <f t="shared" si="51"/>
        <v>0</v>
      </c>
      <c r="M49" s="1">
        <f>+M46-M47+M48</f>
        <v>0</v>
      </c>
      <c r="N49" s="1">
        <f>+N46-N47+N48</f>
        <v>9006</v>
      </c>
      <c r="O49" s="1">
        <f>+O46-O47+O48</f>
        <v>9102</v>
      </c>
      <c r="P49" s="1">
        <f>+P46-P47+P48</f>
        <v>10012.878507836991</v>
      </c>
      <c r="Q49" s="1">
        <f t="shared" ref="Q49:W49" si="52">+Q46-Q47+Q48</f>
        <v>9000.1729422499993</v>
      </c>
      <c r="R49" s="1">
        <f t="shared" si="52"/>
        <v>8908.9805153214329</v>
      </c>
      <c r="S49" s="1">
        <f t="shared" si="52"/>
        <v>8867.7211380185818</v>
      </c>
      <c r="T49" s="1">
        <f t="shared" si="52"/>
        <v>8859.2502534533687</v>
      </c>
      <c r="U49" s="1">
        <f t="shared" si="52"/>
        <v>8911.0804172778553</v>
      </c>
      <c r="V49" s="1">
        <f t="shared" si="52"/>
        <v>9024.4628301994908</v>
      </c>
      <c r="W49" s="1">
        <f t="shared" si="52"/>
        <v>9202.0539885261205</v>
      </c>
    </row>
    <row r="50" spans="2:164" x14ac:dyDescent="0.25">
      <c r="B50" s="1" t="s">
        <v>11</v>
      </c>
      <c r="C50" s="1">
        <v>1055</v>
      </c>
      <c r="D50" s="1">
        <f>+N50-C50</f>
        <v>1134</v>
      </c>
      <c r="E50" s="1">
        <v>1123</v>
      </c>
      <c r="F50" s="1">
        <f>+O50-E50</f>
        <v>1355</v>
      </c>
      <c r="G50" s="1">
        <v>1268</v>
      </c>
      <c r="H50" s="1">
        <v>1300</v>
      </c>
      <c r="N50" s="1">
        <v>2189</v>
      </c>
      <c r="O50" s="1">
        <v>2478</v>
      </c>
      <c r="P50" s="1">
        <f>+H50+G50</f>
        <v>2568</v>
      </c>
      <c r="Q50" s="1">
        <f t="shared" ref="Q50:W50" si="53">+Q49*0.25</f>
        <v>2250.0432355624998</v>
      </c>
      <c r="R50" s="1">
        <f t="shared" si="53"/>
        <v>2227.2451288303582</v>
      </c>
      <c r="S50" s="1">
        <f t="shared" si="53"/>
        <v>2216.9302845046454</v>
      </c>
      <c r="T50" s="1">
        <f t="shared" si="53"/>
        <v>2214.8125633633422</v>
      </c>
      <c r="U50" s="1">
        <f t="shared" si="53"/>
        <v>2227.7701043194638</v>
      </c>
      <c r="V50" s="1">
        <f t="shared" si="53"/>
        <v>2256.1157075498727</v>
      </c>
      <c r="W50" s="1">
        <f t="shared" si="53"/>
        <v>2300.5134971315301</v>
      </c>
    </row>
    <row r="51" spans="2:164" s="4" customFormat="1" x14ac:dyDescent="0.25">
      <c r="B51" s="4" t="s">
        <v>12</v>
      </c>
      <c r="C51" s="4">
        <f t="shared" ref="C51:F51" si="54">+C49-C50</f>
        <v>3260</v>
      </c>
      <c r="D51" s="4">
        <f t="shared" ref="D51" si="55">+D49-D50</f>
        <v>3557</v>
      </c>
      <c r="E51" s="4">
        <f t="shared" si="54"/>
        <v>1842</v>
      </c>
      <c r="F51" s="4">
        <f t="shared" si="54"/>
        <v>4782</v>
      </c>
      <c r="G51" s="4">
        <f t="shared" ref="G51:J51" si="56">+G49-G50</f>
        <v>4031</v>
      </c>
      <c r="H51" s="4">
        <f t="shared" si="56"/>
        <v>3413.878507836991</v>
      </c>
      <c r="I51" s="4">
        <f t="shared" si="56"/>
        <v>0</v>
      </c>
      <c r="J51" s="4">
        <f t="shared" si="56"/>
        <v>0</v>
      </c>
      <c r="M51" s="4">
        <f>+M49-M50</f>
        <v>0</v>
      </c>
      <c r="N51" s="4">
        <f>+N49-N50</f>
        <v>6817</v>
      </c>
      <c r="O51" s="4">
        <f>+O49-O50</f>
        <v>6624</v>
      </c>
      <c r="P51" s="4">
        <f>+P49-P50</f>
        <v>7444.878507836991</v>
      </c>
      <c r="Q51" s="4">
        <f t="shared" ref="Q51:W51" si="57">+Q49-Q50</f>
        <v>6750.1297066874995</v>
      </c>
      <c r="R51" s="4">
        <f t="shared" si="57"/>
        <v>6681.7353864910747</v>
      </c>
      <c r="S51" s="4">
        <f t="shared" si="57"/>
        <v>6650.7908535139359</v>
      </c>
      <c r="T51" s="4">
        <f t="shared" si="57"/>
        <v>6644.4376900900261</v>
      </c>
      <c r="U51" s="4">
        <f t="shared" si="57"/>
        <v>6683.3103129583915</v>
      </c>
      <c r="V51" s="4">
        <f t="shared" si="57"/>
        <v>6768.3471226496185</v>
      </c>
      <c r="W51" s="4">
        <f t="shared" si="57"/>
        <v>6901.5404913945904</v>
      </c>
      <c r="X51" s="4">
        <f t="shared" ref="X51:BC51" si="58">+W51*(1+TR)</f>
        <v>6970.5558963085359</v>
      </c>
      <c r="Y51" s="4">
        <f t="shared" si="58"/>
        <v>7040.2614552716213</v>
      </c>
      <c r="Z51" s="4">
        <f t="shared" si="58"/>
        <v>7110.6640698243373</v>
      </c>
      <c r="AA51" s="4">
        <f t="shared" si="58"/>
        <v>7181.7707105225809</v>
      </c>
      <c r="AB51" s="4">
        <f t="shared" si="58"/>
        <v>7253.5884176278068</v>
      </c>
      <c r="AC51" s="4">
        <f t="shared" si="58"/>
        <v>7326.124301804085</v>
      </c>
      <c r="AD51" s="4">
        <f t="shared" si="58"/>
        <v>7399.3855448221257</v>
      </c>
      <c r="AE51" s="4">
        <f t="shared" si="58"/>
        <v>7473.3794002703471</v>
      </c>
      <c r="AF51" s="4">
        <f t="shared" si="58"/>
        <v>7548.1131942730508</v>
      </c>
      <c r="AG51" s="4">
        <f t="shared" si="58"/>
        <v>7623.5943262157816</v>
      </c>
      <c r="AH51" s="4">
        <f t="shared" si="58"/>
        <v>7699.8302694779395</v>
      </c>
      <c r="AI51" s="4">
        <f t="shared" si="58"/>
        <v>7776.8285721727189</v>
      </c>
      <c r="AJ51" s="4">
        <f t="shared" si="58"/>
        <v>7854.5968578944457</v>
      </c>
      <c r="AK51" s="4">
        <f t="shared" si="58"/>
        <v>7933.1428264733904</v>
      </c>
      <c r="AL51" s="4">
        <f t="shared" si="58"/>
        <v>8012.4742547381247</v>
      </c>
      <c r="AM51" s="4">
        <f t="shared" si="58"/>
        <v>8092.5989972855059</v>
      </c>
      <c r="AN51" s="4">
        <f t="shared" si="58"/>
        <v>8173.5249872583609</v>
      </c>
      <c r="AO51" s="4">
        <f t="shared" si="58"/>
        <v>8255.260237130944</v>
      </c>
      <c r="AP51" s="4">
        <f t="shared" si="58"/>
        <v>8337.8128395022541</v>
      </c>
      <c r="AQ51" s="4">
        <f t="shared" si="58"/>
        <v>8421.190967897277</v>
      </c>
      <c r="AR51" s="4">
        <f t="shared" si="58"/>
        <v>8505.402877576249</v>
      </c>
      <c r="AS51" s="4">
        <f t="shared" si="58"/>
        <v>8590.4569063520121</v>
      </c>
      <c r="AT51" s="4">
        <f t="shared" si="58"/>
        <v>8676.3614754155315</v>
      </c>
      <c r="AU51" s="4">
        <f t="shared" si="58"/>
        <v>8763.1250901696876</v>
      </c>
      <c r="AV51" s="4">
        <f t="shared" si="58"/>
        <v>8850.7563410713847</v>
      </c>
      <c r="AW51" s="4">
        <f t="shared" si="58"/>
        <v>8939.263904482099</v>
      </c>
      <c r="AX51" s="4">
        <f t="shared" si="58"/>
        <v>9028.6565435269204</v>
      </c>
      <c r="AY51" s="4">
        <f t="shared" si="58"/>
        <v>9118.9431089621903</v>
      </c>
      <c r="AZ51" s="4">
        <f t="shared" si="58"/>
        <v>9210.1325400518126</v>
      </c>
      <c r="BA51" s="4">
        <f t="shared" si="58"/>
        <v>9302.2338654523301</v>
      </c>
      <c r="BB51" s="4">
        <f t="shared" si="58"/>
        <v>9395.2562041068541</v>
      </c>
      <c r="BC51" s="4">
        <f t="shared" si="58"/>
        <v>9489.2087661479218</v>
      </c>
      <c r="BD51" s="4">
        <f t="shared" ref="BD51:CI51" si="59">+BC51*(1+TR)</f>
        <v>9584.1008538094011</v>
      </c>
      <c r="BE51" s="4">
        <f t="shared" si="59"/>
        <v>9679.9418623474958</v>
      </c>
      <c r="BF51" s="4">
        <f t="shared" si="59"/>
        <v>9776.7412809709713</v>
      </c>
      <c r="BG51" s="4">
        <f t="shared" si="59"/>
        <v>9874.5086937806809</v>
      </c>
      <c r="BH51" s="4">
        <f t="shared" si="59"/>
        <v>9973.2537807184872</v>
      </c>
      <c r="BI51" s="4">
        <f t="shared" si="59"/>
        <v>10072.986318525673</v>
      </c>
      <c r="BJ51" s="4">
        <f t="shared" si="59"/>
        <v>10173.71618171093</v>
      </c>
      <c r="BK51" s="4">
        <f t="shared" si="59"/>
        <v>10275.453343528039</v>
      </c>
      <c r="BL51" s="4">
        <f t="shared" si="59"/>
        <v>10378.207876963319</v>
      </c>
      <c r="BM51" s="4">
        <f t="shared" si="59"/>
        <v>10481.989955732952</v>
      </c>
      <c r="BN51" s="4">
        <f t="shared" si="59"/>
        <v>10586.809855290281</v>
      </c>
      <c r="BO51" s="4">
        <f t="shared" si="59"/>
        <v>10692.677953843184</v>
      </c>
      <c r="BP51" s="4">
        <f t="shared" si="59"/>
        <v>10799.604733381615</v>
      </c>
      <c r="BQ51" s="4">
        <f t="shared" si="59"/>
        <v>10907.600780715431</v>
      </c>
      <c r="BR51" s="4">
        <f t="shared" si="59"/>
        <v>11016.676788522585</v>
      </c>
      <c r="BS51" s="4">
        <f t="shared" si="59"/>
        <v>11126.843556407812</v>
      </c>
      <c r="BT51" s="4">
        <f t="shared" si="59"/>
        <v>11238.111991971889</v>
      </c>
      <c r="BU51" s="4">
        <f t="shared" si="59"/>
        <v>11350.493111891608</v>
      </c>
      <c r="BV51" s="4">
        <f t="shared" si="59"/>
        <v>11463.998043010524</v>
      </c>
      <c r="BW51" s="4">
        <f t="shared" si="59"/>
        <v>11578.63802344063</v>
      </c>
      <c r="BX51" s="4">
        <f t="shared" si="59"/>
        <v>11694.424403675037</v>
      </c>
      <c r="BY51" s="4">
        <f t="shared" si="59"/>
        <v>11811.368647711788</v>
      </c>
      <c r="BZ51" s="4">
        <f t="shared" si="59"/>
        <v>11929.482334188906</v>
      </c>
      <c r="CA51" s="4">
        <f t="shared" si="59"/>
        <v>12048.777157530794</v>
      </c>
      <c r="CB51" s="4">
        <f t="shared" si="59"/>
        <v>12169.264929106102</v>
      </c>
      <c r="CC51" s="4">
        <f t="shared" si="59"/>
        <v>12290.957578397163</v>
      </c>
      <c r="CD51" s="4">
        <f t="shared" si="59"/>
        <v>12413.867154181135</v>
      </c>
      <c r="CE51" s="4">
        <f t="shared" si="59"/>
        <v>12538.005825722947</v>
      </c>
      <c r="CF51" s="4">
        <f t="shared" si="59"/>
        <v>12663.385883980176</v>
      </c>
      <c r="CG51" s="4">
        <f t="shared" si="59"/>
        <v>12790.019742819977</v>
      </c>
      <c r="CH51" s="4">
        <f t="shared" si="59"/>
        <v>12917.919940248177</v>
      </c>
      <c r="CI51" s="4">
        <f t="shared" si="59"/>
        <v>13047.09913965066</v>
      </c>
      <c r="CJ51" s="4">
        <f t="shared" ref="CJ51:DO51" si="60">+CI51*(1+TR)</f>
        <v>13177.570131047167</v>
      </c>
      <c r="CK51" s="4">
        <f t="shared" si="60"/>
        <v>13309.345832357638</v>
      </c>
      <c r="CL51" s="4">
        <f t="shared" si="60"/>
        <v>13442.439290681214</v>
      </c>
      <c r="CM51" s="4">
        <f t="shared" si="60"/>
        <v>13576.863683588026</v>
      </c>
      <c r="CN51" s="4">
        <f t="shared" si="60"/>
        <v>13712.632320423907</v>
      </c>
      <c r="CO51" s="4">
        <f t="shared" si="60"/>
        <v>13849.758643628145</v>
      </c>
      <c r="CP51" s="4">
        <f t="shared" si="60"/>
        <v>13988.256230064428</v>
      </c>
      <c r="CQ51" s="4">
        <f t="shared" si="60"/>
        <v>14128.138792365073</v>
      </c>
      <c r="CR51" s="4">
        <f t="shared" si="60"/>
        <v>14269.420180288724</v>
      </c>
      <c r="CS51" s="4">
        <f t="shared" si="60"/>
        <v>14412.114382091611</v>
      </c>
      <c r="CT51" s="4">
        <f t="shared" si="60"/>
        <v>14556.235525912527</v>
      </c>
      <c r="CU51" s="4">
        <f t="shared" si="60"/>
        <v>14701.797881171653</v>
      </c>
      <c r="CV51" s="4">
        <f t="shared" si="60"/>
        <v>14848.81585998337</v>
      </c>
      <c r="CW51" s="4">
        <f t="shared" si="60"/>
        <v>14997.304018583203</v>
      </c>
      <c r="CX51" s="4">
        <f t="shared" si="60"/>
        <v>15147.277058769036</v>
      </c>
      <c r="CY51" s="4">
        <f t="shared" si="60"/>
        <v>15298.749829356726</v>
      </c>
      <c r="CZ51" s="4">
        <f t="shared" si="60"/>
        <v>15451.737327650293</v>
      </c>
      <c r="DA51" s="4">
        <f t="shared" si="60"/>
        <v>15606.254700926796</v>
      </c>
      <c r="DB51" s="4">
        <f t="shared" si="60"/>
        <v>15762.317247936064</v>
      </c>
      <c r="DC51" s="4">
        <f t="shared" si="60"/>
        <v>15919.940420415425</v>
      </c>
      <c r="DD51" s="4">
        <f t="shared" si="60"/>
        <v>16079.13982461958</v>
      </c>
      <c r="DE51" s="4">
        <f t="shared" si="60"/>
        <v>16239.931222865776</v>
      </c>
      <c r="DF51" s="4">
        <f t="shared" si="60"/>
        <v>16402.330535094436</v>
      </c>
      <c r="DG51" s="4">
        <f t="shared" si="60"/>
        <v>16566.353840445379</v>
      </c>
      <c r="DH51" s="4">
        <f t="shared" si="60"/>
        <v>16732.017378849832</v>
      </c>
      <c r="DI51" s="4">
        <f t="shared" si="60"/>
        <v>16899.337552638332</v>
      </c>
      <c r="DJ51" s="4">
        <f t="shared" si="60"/>
        <v>17068.330928164716</v>
      </c>
      <c r="DK51" s="4">
        <f t="shared" si="60"/>
        <v>17239.014237446365</v>
      </c>
      <c r="DL51" s="4">
        <f t="shared" si="60"/>
        <v>17411.404379820829</v>
      </c>
      <c r="DM51" s="4">
        <f t="shared" si="60"/>
        <v>17585.518423619036</v>
      </c>
      <c r="DN51" s="4">
        <f t="shared" si="60"/>
        <v>17761.373607855228</v>
      </c>
      <c r="DO51" s="4">
        <f t="shared" si="60"/>
        <v>17938.987343933783</v>
      </c>
      <c r="DP51" s="4">
        <f t="shared" ref="DP51:EU51" si="61">+DO51*(1+TR)</f>
        <v>18118.377217373119</v>
      </c>
      <c r="DQ51" s="4">
        <f t="shared" si="61"/>
        <v>18299.560989546851</v>
      </c>
      <c r="DR51" s="4">
        <f t="shared" si="61"/>
        <v>18482.55659944232</v>
      </c>
      <c r="DS51" s="4">
        <f t="shared" si="61"/>
        <v>18667.382165436742</v>
      </c>
      <c r="DT51" s="4">
        <f t="shared" si="61"/>
        <v>18854.055987091109</v>
      </c>
      <c r="DU51" s="4">
        <f t="shared" si="61"/>
        <v>19042.596546962021</v>
      </c>
      <c r="DV51" s="4">
        <f t="shared" si="61"/>
        <v>19233.022512431642</v>
      </c>
      <c r="DW51" s="4">
        <f t="shared" si="61"/>
        <v>19425.352737555957</v>
      </c>
      <c r="DX51" s="4">
        <f t="shared" si="61"/>
        <v>19619.606264931517</v>
      </c>
      <c r="DY51" s="4">
        <f t="shared" si="61"/>
        <v>19815.802327580834</v>
      </c>
      <c r="DZ51" s="4">
        <f t="shared" si="61"/>
        <v>20013.960350856643</v>
      </c>
      <c r="EA51" s="4">
        <f t="shared" si="61"/>
        <v>20214.099954365211</v>
      </c>
      <c r="EB51" s="4">
        <f t="shared" si="61"/>
        <v>20416.240953908862</v>
      </c>
      <c r="EC51" s="4">
        <f t="shared" si="61"/>
        <v>20620.403363447949</v>
      </c>
      <c r="ED51" s="4">
        <f t="shared" si="61"/>
        <v>20826.607397082429</v>
      </c>
      <c r="EE51" s="4">
        <f t="shared" si="61"/>
        <v>21034.873471053255</v>
      </c>
      <c r="EF51" s="4">
        <f t="shared" si="61"/>
        <v>21245.222205763788</v>
      </c>
      <c r="EG51" s="4">
        <f t="shared" si="61"/>
        <v>21457.674427821425</v>
      </c>
      <c r="EH51" s="4">
        <f t="shared" si="61"/>
        <v>21672.251172099641</v>
      </c>
      <c r="EI51" s="4">
        <f t="shared" si="61"/>
        <v>21888.973683820637</v>
      </c>
      <c r="EJ51" s="4">
        <f t="shared" si="61"/>
        <v>22107.863420658843</v>
      </c>
      <c r="EK51" s="4">
        <f t="shared" si="61"/>
        <v>22328.942054865431</v>
      </c>
      <c r="EL51" s="4">
        <f t="shared" si="61"/>
        <v>22552.231475414086</v>
      </c>
      <c r="EM51" s="4">
        <f t="shared" si="61"/>
        <v>22777.753790168226</v>
      </c>
      <c r="EN51" s="4">
        <f t="shared" si="61"/>
        <v>23005.531328069908</v>
      </c>
      <c r="EO51" s="4">
        <f t="shared" si="61"/>
        <v>23235.586641350608</v>
      </c>
      <c r="EP51" s="4">
        <f t="shared" si="61"/>
        <v>23467.942507764114</v>
      </c>
      <c r="EQ51" s="4">
        <f t="shared" si="61"/>
        <v>23702.621932841754</v>
      </c>
      <c r="ER51" s="4">
        <f t="shared" si="61"/>
        <v>23939.648152170172</v>
      </c>
      <c r="ES51" s="4">
        <f t="shared" si="61"/>
        <v>24179.044633691872</v>
      </c>
      <c r="ET51" s="4">
        <f t="shared" si="61"/>
        <v>24420.835080028792</v>
      </c>
      <c r="EU51" s="4">
        <f t="shared" si="61"/>
        <v>24665.043430829079</v>
      </c>
      <c r="EV51" s="4">
        <f t="shared" ref="EV51:FH51" si="62">+EU51*(1+TR)</f>
        <v>24911.693865137371</v>
      </c>
      <c r="EW51" s="4">
        <f t="shared" si="62"/>
        <v>25160.810803788747</v>
      </c>
      <c r="EX51" s="4">
        <f t="shared" si="62"/>
        <v>25412.418911826633</v>
      </c>
      <c r="EY51" s="4">
        <f t="shared" si="62"/>
        <v>25666.543100944898</v>
      </c>
      <c r="EZ51" s="4">
        <f t="shared" si="62"/>
        <v>25923.208531954348</v>
      </c>
      <c r="FA51" s="4">
        <f t="shared" si="62"/>
        <v>26182.440617273893</v>
      </c>
      <c r="FB51" s="4">
        <f t="shared" si="62"/>
        <v>26444.265023446631</v>
      </c>
      <c r="FC51" s="4">
        <f t="shared" si="62"/>
        <v>26708.707673681096</v>
      </c>
      <c r="FD51" s="4">
        <f t="shared" si="62"/>
        <v>26975.794750417906</v>
      </c>
      <c r="FE51" s="4">
        <f t="shared" si="62"/>
        <v>27245.552697922085</v>
      </c>
      <c r="FF51" s="4">
        <f t="shared" si="62"/>
        <v>27518.008224901307</v>
      </c>
      <c r="FG51" s="4">
        <f t="shared" si="62"/>
        <v>27793.188307150322</v>
      </c>
      <c r="FH51" s="4">
        <f t="shared" si="62"/>
        <v>28071.120190221824</v>
      </c>
    </row>
    <row r="52" spans="2:164" x14ac:dyDescent="0.25">
      <c r="B52" s="1" t="s">
        <v>13</v>
      </c>
    </row>
    <row r="53" spans="2:164" x14ac:dyDescent="0.25">
      <c r="B53" s="1" t="s">
        <v>14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5" spans="2:164" s="2" customFormat="1" x14ac:dyDescent="0.25">
      <c r="B55" s="2" t="s">
        <v>15</v>
      </c>
      <c r="E55" s="8">
        <f>+E41/E39</f>
        <v>0.82516124018960291</v>
      </c>
      <c r="F55" s="8">
        <f>+F41/F39</f>
        <v>0.82882456377654534</v>
      </c>
      <c r="G55" s="8">
        <f>+G41/G39</f>
        <v>0.83252734171564613</v>
      </c>
      <c r="N55" s="2">
        <f>+N41/N39</f>
        <v>0.82315838654415197</v>
      </c>
      <c r="O55" s="2">
        <f>+O41/O39</f>
        <v>0.82711986982462482</v>
      </c>
      <c r="P55" s="2">
        <f>+P41/P39</f>
        <v>0.83018220594110104</v>
      </c>
      <c r="Q55" s="2">
        <f t="shared" ref="Q55:W55" si="63">+Q41/Q39</f>
        <v>0.82</v>
      </c>
      <c r="R55" s="2">
        <f t="shared" si="63"/>
        <v>0.82</v>
      </c>
      <c r="S55" s="2">
        <f t="shared" si="63"/>
        <v>0.82000000000000006</v>
      </c>
      <c r="T55" s="2">
        <f t="shared" si="63"/>
        <v>0.82000000000000006</v>
      </c>
      <c r="U55" s="2">
        <f t="shared" si="63"/>
        <v>0.82</v>
      </c>
      <c r="V55" s="2">
        <f t="shared" si="63"/>
        <v>0.82</v>
      </c>
      <c r="W55" s="2">
        <f t="shared" si="63"/>
        <v>0.82</v>
      </c>
      <c r="Y55" s="2" t="s">
        <v>34</v>
      </c>
      <c r="Z55" s="2">
        <v>0.1</v>
      </c>
    </row>
    <row r="56" spans="2:164" s="2" customFormat="1" x14ac:dyDescent="0.25">
      <c r="B56" s="2" t="s">
        <v>16</v>
      </c>
      <c r="E56" s="2">
        <f>+E51/E39</f>
        <v>0.14313466469811173</v>
      </c>
      <c r="F56" s="2">
        <f>+F51/F39</f>
        <v>0.32341404030839982</v>
      </c>
      <c r="G56" s="2">
        <f>+G51/G39</f>
        <v>0.29990328100587754</v>
      </c>
      <c r="N56" s="2">
        <f>+N51/N39</f>
        <v>0.26541815916523909</v>
      </c>
      <c r="O56" s="2">
        <f>+O51/O39</f>
        <v>0.23952269029108661</v>
      </c>
      <c r="P56" s="2">
        <f>+P51/P39</f>
        <v>0.2808871018079061</v>
      </c>
      <c r="Q56" s="2">
        <f t="shared" ref="Q56:W56" si="64">+Q51/Q39</f>
        <v>0.26039184275646526</v>
      </c>
      <c r="R56" s="2">
        <f t="shared" si="64"/>
        <v>0.25530500160476632</v>
      </c>
      <c r="S56" s="2">
        <f t="shared" si="64"/>
        <v>0.25120334356887553</v>
      </c>
      <c r="T56" s="2">
        <f t="shared" si="64"/>
        <v>0.24778398725354472</v>
      </c>
      <c r="U56" s="2">
        <f t="shared" si="64"/>
        <v>0.24541718198887788</v>
      </c>
      <c r="V56" s="2">
        <f t="shared" si="64"/>
        <v>0.24407074967163378</v>
      </c>
      <c r="W56" s="2">
        <f t="shared" si="64"/>
        <v>0.24372272436768522</v>
      </c>
      <c r="Y56" s="2" t="s">
        <v>35</v>
      </c>
      <c r="Z56" s="2">
        <v>0.01</v>
      </c>
    </row>
    <row r="57" spans="2:164" s="2" customFormat="1" x14ac:dyDescent="0.25">
      <c r="Y57" s="2" t="s">
        <v>36</v>
      </c>
      <c r="Z57" s="5">
        <f>NPV(Z55,P63:FH63)</f>
        <v>103087.75072477151</v>
      </c>
    </row>
    <row r="58" spans="2:164" s="2" customFormat="1" x14ac:dyDescent="0.25">
      <c r="B58" s="2" t="s">
        <v>32</v>
      </c>
      <c r="O58" s="2">
        <f>+O39/N39 -1</f>
        <v>7.6740383117894329E-2</v>
      </c>
      <c r="P58" s="2">
        <f>+P39/O39 -1</f>
        <v>-4.1588193533285467E-2</v>
      </c>
      <c r="Q58" s="2">
        <f t="shared" ref="Q58:W58" si="65">+Q39/P39 -1</f>
        <v>-2.1954801930706092E-2</v>
      </c>
      <c r="R58" s="2">
        <f t="shared" si="65"/>
        <v>9.5903864086881452E-3</v>
      </c>
      <c r="S58" s="2">
        <f t="shared" si="65"/>
        <v>1.1621208587924814E-2</v>
      </c>
      <c r="T58" s="2">
        <f t="shared" si="65"/>
        <v>1.2831315405260391E-2</v>
      </c>
      <c r="U58" s="2">
        <f t="shared" si="65"/>
        <v>1.5550829997079907E-2</v>
      </c>
      <c r="V58" s="2">
        <f t="shared" si="65"/>
        <v>1.831051309907239E-2</v>
      </c>
      <c r="W58" s="2">
        <f t="shared" si="65"/>
        <v>2.1134918417357706E-2</v>
      </c>
      <c r="Y58" s="2" t="s">
        <v>60</v>
      </c>
      <c r="Z58" s="6">
        <f>+Z57/2236</f>
        <v>46.103645225747542</v>
      </c>
    </row>
    <row r="59" spans="2:164" s="2" customFormat="1" x14ac:dyDescent="0.25">
      <c r="B59" s="2" t="s">
        <v>59</v>
      </c>
      <c r="O59" s="2">
        <f>+O51/N51 -1</f>
        <v>-2.8311574006161022E-2</v>
      </c>
      <c r="P59" s="2">
        <f>+P51/O51 -1</f>
        <v>0.1239248955067922</v>
      </c>
      <c r="Q59" s="2">
        <f t="shared" ref="Q59:W59" si="66">+Q51/P51 -1</f>
        <v>-9.3319024671544515E-2</v>
      </c>
      <c r="R59" s="2">
        <f t="shared" si="66"/>
        <v>-1.0132297180699412E-2</v>
      </c>
      <c r="S59" s="2">
        <f t="shared" si="66"/>
        <v>-4.631211981201977E-3</v>
      </c>
      <c r="T59" s="2">
        <f t="shared" si="66"/>
        <v>-9.5524931753843134E-4</v>
      </c>
      <c r="U59" s="2">
        <f t="shared" si="66"/>
        <v>5.8504006932509345E-3</v>
      </c>
      <c r="V59" s="2">
        <f t="shared" si="66"/>
        <v>1.2723755999530351E-2</v>
      </c>
      <c r="W59" s="2">
        <f t="shared" si="66"/>
        <v>1.9678861963100758E-2</v>
      </c>
      <c r="Y59" s="1"/>
      <c r="Z59" s="1"/>
    </row>
    <row r="61" spans="2:164" x14ac:dyDescent="0.25">
      <c r="B61" s="1" t="s">
        <v>17</v>
      </c>
      <c r="N61" s="1">
        <v>9717</v>
      </c>
      <c r="O61" s="1">
        <v>10394</v>
      </c>
      <c r="P61" s="1">
        <f>+P51+P50+P43</f>
        <v>10992.878507836991</v>
      </c>
      <c r="Q61" s="1">
        <f t="shared" ref="Q61:W61" si="67">+Q51+Q50+Q43</f>
        <v>10009.572942249999</v>
      </c>
      <c r="R61" s="1">
        <f t="shared" si="67"/>
        <v>9948.6625153214336</v>
      </c>
      <c r="S61" s="1">
        <f t="shared" si="67"/>
        <v>9938.5935980185823</v>
      </c>
      <c r="T61" s="1">
        <f t="shared" si="67"/>
        <v>9962.2488872533686</v>
      </c>
      <c r="U61" s="1">
        <f t="shared" si="67"/>
        <v>10047.169010091855</v>
      </c>
      <c r="V61" s="1">
        <f t="shared" si="67"/>
        <v>10194.63408079791</v>
      </c>
      <c r="W61" s="1">
        <f t="shared" si="67"/>
        <v>10407.330376642494</v>
      </c>
    </row>
    <row r="62" spans="2:164" x14ac:dyDescent="0.25">
      <c r="B62" s="1" t="s">
        <v>18</v>
      </c>
      <c r="N62" s="1">
        <v>527</v>
      </c>
      <c r="O62" s="1">
        <v>523</v>
      </c>
      <c r="P62" s="1">
        <f>+O62*1.01</f>
        <v>528.23</v>
      </c>
      <c r="Q62" s="1">
        <f t="shared" ref="Q62:W62" si="68">+P62*1.01</f>
        <v>533.51229999999998</v>
      </c>
      <c r="R62" s="1">
        <f t="shared" si="68"/>
        <v>538.84742299999994</v>
      </c>
      <c r="S62" s="1">
        <f t="shared" si="68"/>
        <v>544.23589722999998</v>
      </c>
      <c r="T62" s="1">
        <f t="shared" si="68"/>
        <v>549.67825620229996</v>
      </c>
      <c r="U62" s="1">
        <f t="shared" si="68"/>
        <v>555.17503876432295</v>
      </c>
      <c r="V62" s="1">
        <f t="shared" si="68"/>
        <v>560.72678915196616</v>
      </c>
      <c r="W62" s="1">
        <f t="shared" si="68"/>
        <v>566.33405704348581</v>
      </c>
    </row>
    <row r="63" spans="2:164" s="4" customFormat="1" x14ac:dyDescent="0.25">
      <c r="B63" s="4" t="s">
        <v>19</v>
      </c>
      <c r="N63" s="4">
        <f t="shared" ref="N63:W63" si="69">+N61-N62</f>
        <v>9190</v>
      </c>
      <c r="O63" s="4">
        <f t="shared" si="69"/>
        <v>9871</v>
      </c>
      <c r="P63" s="4">
        <f t="shared" si="69"/>
        <v>10464.648507836991</v>
      </c>
      <c r="Q63" s="4">
        <f t="shared" si="69"/>
        <v>9476.0606422499986</v>
      </c>
      <c r="R63" s="4">
        <f t="shared" si="69"/>
        <v>9409.8150923214343</v>
      </c>
      <c r="S63" s="4">
        <f t="shared" si="69"/>
        <v>9394.3577007885815</v>
      </c>
      <c r="T63" s="4">
        <f t="shared" si="69"/>
        <v>9412.5706310510686</v>
      </c>
      <c r="U63" s="4">
        <f t="shared" si="69"/>
        <v>9491.9939713275326</v>
      </c>
      <c r="V63" s="4">
        <f t="shared" si="69"/>
        <v>9633.9072916459445</v>
      </c>
      <c r="W63" s="4">
        <f t="shared" si="69"/>
        <v>9840.9963195990076</v>
      </c>
      <c r="X63" s="4">
        <f t="shared" ref="X63:CI63" si="70">+W63*(1+TR)</f>
        <v>9939.4062827949983</v>
      </c>
      <c r="Y63" s="4">
        <f t="shared" si="70"/>
        <v>10038.800345622949</v>
      </c>
      <c r="Z63" s="4">
        <f t="shared" si="70"/>
        <v>10139.188349079179</v>
      </c>
      <c r="AA63" s="4">
        <f t="shared" si="70"/>
        <v>10240.580232569971</v>
      </c>
      <c r="AB63" s="4">
        <f t="shared" si="70"/>
        <v>10342.986034895672</v>
      </c>
      <c r="AC63" s="4">
        <f t="shared" si="70"/>
        <v>10446.415895244629</v>
      </c>
      <c r="AD63" s="4">
        <f t="shared" si="70"/>
        <v>10550.880054197076</v>
      </c>
      <c r="AE63" s="4">
        <f t="shared" si="70"/>
        <v>10656.388854739047</v>
      </c>
      <c r="AF63" s="4">
        <f t="shared" si="70"/>
        <v>10762.952743286438</v>
      </c>
      <c r="AG63" s="4">
        <f t="shared" si="70"/>
        <v>10870.582270719302</v>
      </c>
      <c r="AH63" s="4">
        <f t="shared" si="70"/>
        <v>10979.288093426496</v>
      </c>
      <c r="AI63" s="4">
        <f t="shared" si="70"/>
        <v>11089.080974360761</v>
      </c>
      <c r="AJ63" s="4">
        <f t="shared" si="70"/>
        <v>11199.971784104368</v>
      </c>
      <c r="AK63" s="4">
        <f t="shared" si="70"/>
        <v>11311.971501945411</v>
      </c>
      <c r="AL63" s="4">
        <f t="shared" si="70"/>
        <v>11425.091216964865</v>
      </c>
      <c r="AM63" s="4">
        <f t="shared" si="70"/>
        <v>11539.342129134515</v>
      </c>
      <c r="AN63" s="4">
        <f t="shared" si="70"/>
        <v>11654.735550425859</v>
      </c>
      <c r="AO63" s="4">
        <f t="shared" si="70"/>
        <v>11771.282905930118</v>
      </c>
      <c r="AP63" s="4">
        <f t="shared" si="70"/>
        <v>11888.995734989419</v>
      </c>
      <c r="AQ63" s="4">
        <f t="shared" si="70"/>
        <v>12007.885692339314</v>
      </c>
      <c r="AR63" s="4">
        <f t="shared" si="70"/>
        <v>12127.964549262708</v>
      </c>
      <c r="AS63" s="4">
        <f t="shared" si="70"/>
        <v>12249.244194755334</v>
      </c>
      <c r="AT63" s="4">
        <f t="shared" si="70"/>
        <v>12371.736636702888</v>
      </c>
      <c r="AU63" s="4">
        <f t="shared" si="70"/>
        <v>12495.454003069917</v>
      </c>
      <c r="AV63" s="4">
        <f t="shared" si="70"/>
        <v>12620.408543100617</v>
      </c>
      <c r="AW63" s="4">
        <f t="shared" si="70"/>
        <v>12746.612628531624</v>
      </c>
      <c r="AX63" s="4">
        <f t="shared" si="70"/>
        <v>12874.078754816941</v>
      </c>
      <c r="AY63" s="4">
        <f t="shared" si="70"/>
        <v>13002.81954236511</v>
      </c>
      <c r="AZ63" s="4">
        <f t="shared" si="70"/>
        <v>13132.847737788761</v>
      </c>
      <c r="BA63" s="4">
        <f t="shared" si="70"/>
        <v>13264.176215166648</v>
      </c>
      <c r="BB63" s="4">
        <f t="shared" si="70"/>
        <v>13396.817977318315</v>
      </c>
      <c r="BC63" s="4">
        <f t="shared" si="70"/>
        <v>13530.786157091497</v>
      </c>
      <c r="BD63" s="4">
        <f t="shared" si="70"/>
        <v>13666.094018662412</v>
      </c>
      <c r="BE63" s="4">
        <f t="shared" si="70"/>
        <v>13802.754958849036</v>
      </c>
      <c r="BF63" s="4">
        <f t="shared" si="70"/>
        <v>13940.782508437527</v>
      </c>
      <c r="BG63" s="4">
        <f t="shared" si="70"/>
        <v>14080.190333521903</v>
      </c>
      <c r="BH63" s="4">
        <f t="shared" si="70"/>
        <v>14220.992236857122</v>
      </c>
      <c r="BI63" s="4">
        <f t="shared" si="70"/>
        <v>14363.202159225693</v>
      </c>
      <c r="BJ63" s="4">
        <f t="shared" si="70"/>
        <v>14506.83418081795</v>
      </c>
      <c r="BK63" s="4">
        <f t="shared" si="70"/>
        <v>14651.902522626129</v>
      </c>
      <c r="BL63" s="4">
        <f t="shared" si="70"/>
        <v>14798.421547852391</v>
      </c>
      <c r="BM63" s="4">
        <f t="shared" si="70"/>
        <v>14946.405763330915</v>
      </c>
      <c r="BN63" s="4">
        <f t="shared" si="70"/>
        <v>15095.869820964224</v>
      </c>
      <c r="BO63" s="4">
        <f t="shared" si="70"/>
        <v>15246.828519173867</v>
      </c>
      <c r="BP63" s="4">
        <f t="shared" si="70"/>
        <v>15399.296804365606</v>
      </c>
      <c r="BQ63" s="4">
        <f t="shared" si="70"/>
        <v>15553.289772409262</v>
      </c>
      <c r="BR63" s="4">
        <f t="shared" si="70"/>
        <v>15708.822670133355</v>
      </c>
      <c r="BS63" s="4">
        <f t="shared" si="70"/>
        <v>15865.910896834688</v>
      </c>
      <c r="BT63" s="4">
        <f t="shared" si="70"/>
        <v>16024.570005803034</v>
      </c>
      <c r="BU63" s="4">
        <f t="shared" si="70"/>
        <v>16184.815705861065</v>
      </c>
      <c r="BV63" s="4">
        <f t="shared" si="70"/>
        <v>16346.663862919675</v>
      </c>
      <c r="BW63" s="4">
        <f t="shared" si="70"/>
        <v>16510.130501548872</v>
      </c>
      <c r="BX63" s="4">
        <f t="shared" si="70"/>
        <v>16675.231806564363</v>
      </c>
      <c r="BY63" s="4">
        <f t="shared" si="70"/>
        <v>16841.984124630006</v>
      </c>
      <c r="BZ63" s="4">
        <f t="shared" si="70"/>
        <v>17010.403965876307</v>
      </c>
      <c r="CA63" s="4">
        <f t="shared" si="70"/>
        <v>17180.50800553507</v>
      </c>
      <c r="CB63" s="4">
        <f t="shared" si="70"/>
        <v>17352.31308559042</v>
      </c>
      <c r="CC63" s="4">
        <f t="shared" si="70"/>
        <v>17525.836216446325</v>
      </c>
      <c r="CD63" s="4">
        <f t="shared" si="70"/>
        <v>17701.094578610788</v>
      </c>
      <c r="CE63" s="4">
        <f t="shared" si="70"/>
        <v>17878.105524396895</v>
      </c>
      <c r="CF63" s="4">
        <f t="shared" si="70"/>
        <v>18056.886579640865</v>
      </c>
      <c r="CG63" s="4">
        <f t="shared" si="70"/>
        <v>18237.455445437274</v>
      </c>
      <c r="CH63" s="4">
        <f t="shared" si="70"/>
        <v>18419.829999891648</v>
      </c>
      <c r="CI63" s="4">
        <f t="shared" si="70"/>
        <v>18604.028299890564</v>
      </c>
      <c r="CJ63" s="4">
        <f t="shared" ref="CJ63:EU63" si="71">+CI63*(1+TR)</f>
        <v>18790.068582889471</v>
      </c>
      <c r="CK63" s="4">
        <f t="shared" si="71"/>
        <v>18977.969268718367</v>
      </c>
      <c r="CL63" s="4">
        <f t="shared" si="71"/>
        <v>19167.748961405552</v>
      </c>
      <c r="CM63" s="4">
        <f t="shared" si="71"/>
        <v>19359.426451019608</v>
      </c>
      <c r="CN63" s="4">
        <f t="shared" si="71"/>
        <v>19553.020715529805</v>
      </c>
      <c r="CO63" s="4">
        <f t="shared" si="71"/>
        <v>19748.550922685103</v>
      </c>
      <c r="CP63" s="4">
        <f t="shared" si="71"/>
        <v>19946.036431911954</v>
      </c>
      <c r="CQ63" s="4">
        <f t="shared" si="71"/>
        <v>20145.496796231073</v>
      </c>
      <c r="CR63" s="4">
        <f t="shared" si="71"/>
        <v>20346.951764193385</v>
      </c>
      <c r="CS63" s="4">
        <f t="shared" si="71"/>
        <v>20550.421281835319</v>
      </c>
      <c r="CT63" s="4">
        <f t="shared" si="71"/>
        <v>20755.925494653671</v>
      </c>
      <c r="CU63" s="4">
        <f t="shared" si="71"/>
        <v>20963.484749600208</v>
      </c>
      <c r="CV63" s="4">
        <f t="shared" si="71"/>
        <v>21173.119597096211</v>
      </c>
      <c r="CW63" s="4">
        <f t="shared" si="71"/>
        <v>21384.850793067173</v>
      </c>
      <c r="CX63" s="4">
        <f t="shared" si="71"/>
        <v>21598.699300997843</v>
      </c>
      <c r="CY63" s="4">
        <f t="shared" si="71"/>
        <v>21814.686294007821</v>
      </c>
      <c r="CZ63" s="4">
        <f t="shared" si="71"/>
        <v>22032.833156947898</v>
      </c>
      <c r="DA63" s="4">
        <f t="shared" si="71"/>
        <v>22253.161488517377</v>
      </c>
      <c r="DB63" s="4">
        <f t="shared" si="71"/>
        <v>22475.693103402551</v>
      </c>
      <c r="DC63" s="4">
        <f t="shared" si="71"/>
        <v>22700.450034436577</v>
      </c>
      <c r="DD63" s="4">
        <f t="shared" si="71"/>
        <v>22927.454534780944</v>
      </c>
      <c r="DE63" s="4">
        <f t="shared" si="71"/>
        <v>23156.729080128753</v>
      </c>
      <c r="DF63" s="4">
        <f t="shared" si="71"/>
        <v>23388.296370930042</v>
      </c>
      <c r="DG63" s="4">
        <f t="shared" si="71"/>
        <v>23622.179334639342</v>
      </c>
      <c r="DH63" s="4">
        <f t="shared" si="71"/>
        <v>23858.401127985737</v>
      </c>
      <c r="DI63" s="4">
        <f t="shared" si="71"/>
        <v>24096.985139265595</v>
      </c>
      <c r="DJ63" s="4">
        <f t="shared" si="71"/>
        <v>24337.954990658251</v>
      </c>
      <c r="DK63" s="4">
        <f t="shared" si="71"/>
        <v>24581.334540564832</v>
      </c>
      <c r="DL63" s="4">
        <f t="shared" si="71"/>
        <v>24827.14788597048</v>
      </c>
      <c r="DM63" s="4">
        <f t="shared" si="71"/>
        <v>25075.419364830184</v>
      </c>
      <c r="DN63" s="4">
        <f t="shared" si="71"/>
        <v>25326.173558478487</v>
      </c>
      <c r="DO63" s="4">
        <f t="shared" si="71"/>
        <v>25579.435294063271</v>
      </c>
      <c r="DP63" s="4">
        <f t="shared" si="71"/>
        <v>25835.229647003904</v>
      </c>
      <c r="DQ63" s="4">
        <f t="shared" si="71"/>
        <v>26093.581943473942</v>
      </c>
      <c r="DR63" s="4">
        <f t="shared" si="71"/>
        <v>26354.517762908683</v>
      </c>
      <c r="DS63" s="4">
        <f t="shared" si="71"/>
        <v>26618.062940537769</v>
      </c>
      <c r="DT63" s="4">
        <f t="shared" si="71"/>
        <v>26884.243569943148</v>
      </c>
      <c r="DU63" s="4">
        <f t="shared" si="71"/>
        <v>27153.086005642581</v>
      </c>
      <c r="DV63" s="4">
        <f t="shared" si="71"/>
        <v>27424.616865699008</v>
      </c>
      <c r="DW63" s="4">
        <f t="shared" si="71"/>
        <v>27698.863034356</v>
      </c>
      <c r="DX63" s="4">
        <f t="shared" si="71"/>
        <v>27975.851664699559</v>
      </c>
      <c r="DY63" s="4">
        <f t="shared" si="71"/>
        <v>28255.610181346554</v>
      </c>
      <c r="DZ63" s="4">
        <f t="shared" si="71"/>
        <v>28538.166283160019</v>
      </c>
      <c r="EA63" s="4">
        <f t="shared" si="71"/>
        <v>28823.547945991621</v>
      </c>
      <c r="EB63" s="4">
        <f t="shared" si="71"/>
        <v>29111.783425451536</v>
      </c>
      <c r="EC63" s="4">
        <f t="shared" si="71"/>
        <v>29402.901259706054</v>
      </c>
      <c r="ED63" s="4">
        <f t="shared" si="71"/>
        <v>29696.930272303114</v>
      </c>
      <c r="EE63" s="4">
        <f t="shared" si="71"/>
        <v>29993.899575026146</v>
      </c>
      <c r="EF63" s="4">
        <f t="shared" si="71"/>
        <v>30293.838570776406</v>
      </c>
      <c r="EG63" s="4">
        <f t="shared" si="71"/>
        <v>30596.776956484169</v>
      </c>
      <c r="EH63" s="4">
        <f t="shared" si="71"/>
        <v>30902.744726049012</v>
      </c>
      <c r="EI63" s="4">
        <f t="shared" si="71"/>
        <v>31211.772173309502</v>
      </c>
      <c r="EJ63" s="4">
        <f t="shared" si="71"/>
        <v>31523.889895042597</v>
      </c>
      <c r="EK63" s="4">
        <f t="shared" si="71"/>
        <v>31839.128793993023</v>
      </c>
      <c r="EL63" s="4">
        <f t="shared" si="71"/>
        <v>32157.520081932955</v>
      </c>
      <c r="EM63" s="4">
        <f t="shared" si="71"/>
        <v>32479.095282752285</v>
      </c>
      <c r="EN63" s="4">
        <f t="shared" si="71"/>
        <v>32803.886235579805</v>
      </c>
      <c r="EO63" s="4">
        <f t="shared" si="71"/>
        <v>33131.9250979356</v>
      </c>
      <c r="EP63" s="4">
        <f t="shared" si="71"/>
        <v>33463.244348914959</v>
      </c>
      <c r="EQ63" s="4">
        <f t="shared" si="71"/>
        <v>33797.876792404109</v>
      </c>
      <c r="ER63" s="4">
        <f t="shared" si="71"/>
        <v>34135.855560328149</v>
      </c>
      <c r="ES63" s="4">
        <f t="shared" si="71"/>
        <v>34477.214115931434</v>
      </c>
      <c r="ET63" s="4">
        <f t="shared" si="71"/>
        <v>34821.98625709075</v>
      </c>
      <c r="EU63" s="4">
        <f t="shared" si="71"/>
        <v>35170.206119661656</v>
      </c>
      <c r="EV63" s="4">
        <f t="shared" ref="EV63:FF63" si="72">+EU63*(1+TR)</f>
        <v>35521.90818085827</v>
      </c>
      <c r="EW63" s="4">
        <f t="shared" si="72"/>
        <v>35877.127262666851</v>
      </c>
      <c r="EX63" s="4">
        <f t="shared" si="72"/>
        <v>36235.89853529352</v>
      </c>
      <c r="EY63" s="4">
        <f t="shared" si="72"/>
        <v>36598.257520646453</v>
      </c>
      <c r="EZ63" s="4">
        <f t="shared" si="72"/>
        <v>36964.240095852918</v>
      </c>
      <c r="FA63" s="4">
        <f t="shared" si="72"/>
        <v>37333.88249681145</v>
      </c>
      <c r="FB63" s="4">
        <f t="shared" si="72"/>
        <v>37707.221321779565</v>
      </c>
      <c r="FC63" s="4">
        <f t="shared" si="72"/>
        <v>38084.293534997363</v>
      </c>
      <c r="FD63" s="4">
        <f t="shared" si="72"/>
        <v>38465.136470347337</v>
      </c>
      <c r="FE63" s="4">
        <f t="shared" si="72"/>
        <v>38849.787835050811</v>
      </c>
      <c r="FF63" s="4">
        <f t="shared" si="72"/>
        <v>39238.285713401317</v>
      </c>
    </row>
    <row r="65" spans="2:15" x14ac:dyDescent="0.25">
      <c r="B65" s="1" t="s">
        <v>21</v>
      </c>
      <c r="G65" s="1">
        <v>37140</v>
      </c>
      <c r="N65" s="1">
        <f>35666+3992</f>
        <v>39658</v>
      </c>
      <c r="O65" s="1">
        <f>38726+4413</f>
        <v>43139</v>
      </c>
    </row>
    <row r="66" spans="2:15" x14ac:dyDescent="0.25">
      <c r="B66" s="1" t="s">
        <v>20</v>
      </c>
      <c r="G66" s="1">
        <v>3681</v>
      </c>
      <c r="N66" s="1">
        <v>2809</v>
      </c>
      <c r="O66" s="1">
        <v>3446</v>
      </c>
    </row>
    <row r="67" spans="2:15" x14ac:dyDescent="0.25">
      <c r="B67" s="1" t="s">
        <v>22</v>
      </c>
      <c r="G67" s="1">
        <v>4521</v>
      </c>
      <c r="N67" s="1">
        <v>4953</v>
      </c>
      <c r="O67" s="1">
        <v>4867</v>
      </c>
    </row>
    <row r="68" spans="2:15" x14ac:dyDescent="0.25">
      <c r="B68" s="1" t="s">
        <v>23</v>
      </c>
      <c r="G68" s="1">
        <v>122126</v>
      </c>
      <c r="N68" s="1">
        <v>115625</v>
      </c>
      <c r="O68" s="1">
        <v>129075</v>
      </c>
    </row>
    <row r="69" spans="2:15" x14ac:dyDescent="0.25">
      <c r="B69" s="1" t="s">
        <v>25</v>
      </c>
      <c r="G69" s="1">
        <v>17389</v>
      </c>
      <c r="N69" s="1">
        <v>16462</v>
      </c>
      <c r="O69" s="1">
        <v>18428</v>
      </c>
    </row>
    <row r="70" spans="2:15" x14ac:dyDescent="0.25">
      <c r="B70" s="1" t="s">
        <v>24</v>
      </c>
      <c r="G70" s="1">
        <f>+G66+G67+G68-G65-G69</f>
        <v>75799</v>
      </c>
      <c r="N70" s="1">
        <f>+N66+N67+N68-N65-N69</f>
        <v>67267</v>
      </c>
      <c r="O70" s="1">
        <f>+O66+O67+O68-O65-O69</f>
        <v>75821</v>
      </c>
    </row>
    <row r="72" spans="2:15" x14ac:dyDescent="0.25">
      <c r="B72" s="1" t="s">
        <v>26</v>
      </c>
      <c r="G72" s="1">
        <v>920</v>
      </c>
      <c r="N72" s="1">
        <v>1479</v>
      </c>
      <c r="O72" s="1">
        <v>1578</v>
      </c>
    </row>
    <row r="73" spans="2:15" s="3" customFormat="1" x14ac:dyDescent="0.25">
      <c r="B73" s="3" t="s">
        <v>27</v>
      </c>
      <c r="G73" s="3">
        <f>+G72/G65 *2</f>
        <v>4.954227248249865E-2</v>
      </c>
      <c r="N73" s="3">
        <f>+N72/N65</f>
        <v>3.7293862524585206E-2</v>
      </c>
      <c r="O73" s="3">
        <f>+O72/O65</f>
        <v>3.6579429286724308E-2</v>
      </c>
    </row>
    <row r="75" spans="2:15" x14ac:dyDescent="0.25">
      <c r="B75" s="1" t="s">
        <v>28</v>
      </c>
      <c r="N75" s="1">
        <v>4904</v>
      </c>
      <c r="O75" s="1">
        <v>4915</v>
      </c>
    </row>
    <row r="76" spans="2:15" s="2" customFormat="1" x14ac:dyDescent="0.25">
      <c r="B76" s="2" t="s">
        <v>29</v>
      </c>
      <c r="N76" s="2">
        <f>+N75/N63</f>
        <v>0.53362350380848744</v>
      </c>
      <c r="O76" s="2">
        <f>+O75/O63</f>
        <v>0.49792320940127649</v>
      </c>
    </row>
    <row r="78" spans="2:15" x14ac:dyDescent="0.25">
      <c r="B78" s="1" t="s">
        <v>30</v>
      </c>
      <c r="G78" s="1">
        <v>2054</v>
      </c>
      <c r="N78" s="1">
        <v>978</v>
      </c>
      <c r="O78" s="1">
        <v>3267</v>
      </c>
    </row>
    <row r="79" spans="2:15" x14ac:dyDescent="0.25">
      <c r="B79" s="1" t="s">
        <v>31</v>
      </c>
      <c r="G79" s="1">
        <v>1050</v>
      </c>
      <c r="N79" s="1">
        <v>4843</v>
      </c>
      <c r="O79" s="1">
        <v>3044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2023-03-09T12:59:36Z</dcterms:created>
  <dcterms:modified xsi:type="dcterms:W3CDTF">2026-02-06T13:03:01Z</dcterms:modified>
</cp:coreProperties>
</file>