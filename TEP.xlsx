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221E22F-05FC-4E6A-AD73-67A189453B54}" xr6:coauthVersionLast="47" xr6:coauthVersionMax="47" xr10:uidLastSave="{00000000-0000-0000-0000-000000000000}"/>
  <bookViews>
    <workbookView xWindow="-28920" yWindow="-120" windowWidth="29040" windowHeight="15840" xr2:uid="{1BE99501-C039-41AC-A38B-54A3E52BBE59}"/>
  </bookViews>
  <sheets>
    <sheet name="Sheet1" sheetId="1" r:id="rId1"/>
  </sheets>
  <definedNames>
    <definedName name="TR">Sheet1!$W$39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4" i="1" l="1"/>
  <c r="L23" i="1"/>
  <c r="N6" i="1"/>
  <c r="O6" i="1"/>
  <c r="P6" i="1" s="1"/>
  <c r="Q6" i="1" s="1"/>
  <c r="R6" i="1" s="1"/>
  <c r="S6" i="1" s="1"/>
  <c r="T6" i="1" s="1"/>
  <c r="T20" i="1" s="1"/>
  <c r="T22" i="1" s="1"/>
  <c r="M6" i="1"/>
  <c r="W41" i="1"/>
  <c r="N32" i="1"/>
  <c r="O32" i="1" s="1"/>
  <c r="P32" i="1" s="1"/>
  <c r="Q32" i="1" s="1"/>
  <c r="R32" i="1" s="1"/>
  <c r="S32" i="1" s="1"/>
  <c r="T32" i="1" s="1"/>
  <c r="M32" i="1"/>
  <c r="N30" i="1"/>
  <c r="O30" i="1"/>
  <c r="P30" i="1" s="1"/>
  <c r="Q30" i="1" s="1"/>
  <c r="R30" i="1" s="1"/>
  <c r="S30" i="1" s="1"/>
  <c r="T30" i="1" s="1"/>
  <c r="M30" i="1"/>
  <c r="N31" i="1"/>
  <c r="O31" i="1"/>
  <c r="P31" i="1"/>
  <c r="Q31" i="1"/>
  <c r="R31" i="1" s="1"/>
  <c r="S31" i="1" s="1"/>
  <c r="T31" i="1" s="1"/>
  <c r="M31" i="1"/>
  <c r="M20" i="1"/>
  <c r="M22" i="1" s="1"/>
  <c r="N19" i="1"/>
  <c r="O19" i="1" s="1"/>
  <c r="M19" i="1"/>
  <c r="L31" i="1"/>
  <c r="K57" i="1"/>
  <c r="L30" i="1"/>
  <c r="L6" i="1"/>
  <c r="L22" i="1"/>
  <c r="T2" i="1"/>
  <c r="S2" i="1"/>
  <c r="L2" i="1"/>
  <c r="M2" i="1" s="1"/>
  <c r="N2" i="1" s="1"/>
  <c r="O2" i="1" s="1"/>
  <c r="P2" i="1" s="1"/>
  <c r="Q2" i="1" s="1"/>
  <c r="R2" i="1" s="1"/>
  <c r="L20" i="1"/>
  <c r="L19" i="1"/>
  <c r="L5" i="1"/>
  <c r="L4" i="1"/>
  <c r="H55" i="1"/>
  <c r="H54" i="1"/>
  <c r="H53" i="1"/>
  <c r="E39" i="1"/>
  <c r="E38" i="1"/>
  <c r="D39" i="1"/>
  <c r="D38" i="1"/>
  <c r="C39" i="1"/>
  <c r="C38" i="1"/>
  <c r="C12" i="1"/>
  <c r="C6" i="1"/>
  <c r="E12" i="1"/>
  <c r="E6" i="1"/>
  <c r="F43" i="1"/>
  <c r="D43" i="1"/>
  <c r="E43" i="1"/>
  <c r="C43" i="1"/>
  <c r="D35" i="1"/>
  <c r="D33" i="1"/>
  <c r="D32" i="1"/>
  <c r="D31" i="1"/>
  <c r="D30" i="1"/>
  <c r="D28" i="1"/>
  <c r="D27" i="1"/>
  <c r="D26" i="1"/>
  <c r="D24" i="1"/>
  <c r="D23" i="1"/>
  <c r="D22" i="1"/>
  <c r="D21" i="1"/>
  <c r="D20" i="1"/>
  <c r="C25" i="1"/>
  <c r="F29" i="1"/>
  <c r="F34" i="1" s="1"/>
  <c r="F36" i="1" s="1"/>
  <c r="E25" i="1"/>
  <c r="E29" i="1" s="1"/>
  <c r="E34" i="1" s="1"/>
  <c r="E36" i="1" s="1"/>
  <c r="H6" i="1"/>
  <c r="J18" i="1"/>
  <c r="K18" i="1"/>
  <c r="K43" i="1"/>
  <c r="J43" i="1"/>
  <c r="J48" i="1"/>
  <c r="K48" i="1"/>
  <c r="J54" i="1"/>
  <c r="K54" i="1"/>
  <c r="J53" i="1"/>
  <c r="K53" i="1"/>
  <c r="K25" i="1"/>
  <c r="K29" i="1" s="1"/>
  <c r="K34" i="1" s="1"/>
  <c r="K36" i="1" s="1"/>
  <c r="K39" i="1" s="1"/>
  <c r="J25" i="1"/>
  <c r="J29" i="1" s="1"/>
  <c r="J34" i="1" s="1"/>
  <c r="J36" i="1" s="1"/>
  <c r="J39" i="1" s="1"/>
  <c r="K2" i="1"/>
  <c r="C29" i="1"/>
  <c r="C34" i="1" s="1"/>
  <c r="C36" i="1" s="1"/>
  <c r="L29" i="1" l="1"/>
  <c r="L34" i="1" s="1"/>
  <c r="L35" i="1" s="1"/>
  <c r="O20" i="1"/>
  <c r="O22" i="1" s="1"/>
  <c r="S20" i="1"/>
  <c r="S22" i="1" s="1"/>
  <c r="R20" i="1"/>
  <c r="R22" i="1" s="1"/>
  <c r="Q20" i="1"/>
  <c r="Q22" i="1" s="1"/>
  <c r="P20" i="1"/>
  <c r="P22" i="1" s="1"/>
  <c r="N20" i="1"/>
  <c r="M29" i="1"/>
  <c r="M34" i="1" s="1"/>
  <c r="P19" i="1"/>
  <c r="O29" i="1"/>
  <c r="O34" i="1" s="1"/>
  <c r="D25" i="1"/>
  <c r="D29" i="1"/>
  <c r="D34" i="1" s="1"/>
  <c r="D36" i="1" s="1"/>
  <c r="J55" i="1"/>
  <c r="K49" i="1"/>
  <c r="K38" i="1"/>
  <c r="J38" i="1"/>
  <c r="K55" i="1"/>
  <c r="L36" i="1" l="1"/>
  <c r="O35" i="1"/>
  <c r="O36" i="1" s="1"/>
  <c r="N22" i="1"/>
  <c r="N29" i="1" s="1"/>
  <c r="N34" i="1" s="1"/>
  <c r="M35" i="1"/>
  <c r="M36" i="1" s="1"/>
  <c r="P29" i="1"/>
  <c r="P34" i="1" s="1"/>
  <c r="Q19" i="1"/>
  <c r="N35" i="1" l="1"/>
  <c r="N36" i="1" s="1"/>
  <c r="P35" i="1"/>
  <c r="P36" i="1" s="1"/>
  <c r="Q29" i="1"/>
  <c r="Q34" i="1" s="1"/>
  <c r="R19" i="1"/>
  <c r="Q35" i="1" l="1"/>
  <c r="Q36" i="1" s="1"/>
  <c r="R29" i="1"/>
  <c r="R34" i="1" s="1"/>
  <c r="S19" i="1"/>
  <c r="R35" i="1" l="1"/>
  <c r="R36" i="1" s="1"/>
  <c r="S29" i="1"/>
  <c r="S34" i="1" s="1"/>
  <c r="T19" i="1"/>
  <c r="T29" i="1" s="1"/>
  <c r="T34" i="1" s="1"/>
  <c r="T35" i="1" l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W40" i="1" s="1"/>
  <c r="W42" i="1" s="1"/>
  <c r="S35" i="1"/>
  <c r="S36" i="1" s="1"/>
</calcChain>
</file>

<file path=xl/sharedStrings.xml><?xml version="1.0" encoding="utf-8"?>
<sst xmlns="http://schemas.openxmlformats.org/spreadsheetml/2006/main" count="59" uniqueCount="54">
  <si>
    <t>Revenue</t>
  </si>
  <si>
    <t>Other Revenue</t>
  </si>
  <si>
    <t>Personnel</t>
  </si>
  <si>
    <t>External Expenses</t>
  </si>
  <si>
    <t>Taxes, non income</t>
  </si>
  <si>
    <t>D&amp;A</t>
  </si>
  <si>
    <t>Aquired D&amp;A</t>
  </si>
  <si>
    <t>Share Based Payment</t>
  </si>
  <si>
    <t>Other Income, net</t>
  </si>
  <si>
    <t>Operating Income</t>
  </si>
  <si>
    <t>Interest Income</t>
  </si>
  <si>
    <t>Finance Cost</t>
  </si>
  <si>
    <t xml:space="preserve">Interest on lease </t>
  </si>
  <si>
    <t>Other finance, net</t>
  </si>
  <si>
    <t>Pretax</t>
  </si>
  <si>
    <t xml:space="preserve">Taxes  </t>
  </si>
  <si>
    <t>Net Income</t>
  </si>
  <si>
    <t>Operating Margin</t>
  </si>
  <si>
    <t>Net Margin</t>
  </si>
  <si>
    <t>CFFO</t>
  </si>
  <si>
    <t>CapEx</t>
  </si>
  <si>
    <t>FCF</t>
  </si>
  <si>
    <t>Current Assets</t>
  </si>
  <si>
    <t>Current Liab.</t>
  </si>
  <si>
    <t>Working Capital</t>
  </si>
  <si>
    <t>Delta</t>
  </si>
  <si>
    <t>Cash</t>
  </si>
  <si>
    <t>PP&amp;E</t>
  </si>
  <si>
    <t>Intangible &amp; ROU</t>
  </si>
  <si>
    <t>Debt</t>
  </si>
  <si>
    <t>NAV</t>
  </si>
  <si>
    <t>Aquisitions, net</t>
  </si>
  <si>
    <t>NA &amp; Asia-Pacific</t>
  </si>
  <si>
    <t>LATAM</t>
  </si>
  <si>
    <t>EMEA</t>
  </si>
  <si>
    <t>MAJOREL</t>
  </si>
  <si>
    <t>Specialized Service</t>
  </si>
  <si>
    <t>Core Service Revenue</t>
  </si>
  <si>
    <t>Q1-Q3 24</t>
  </si>
  <si>
    <t>Americas</t>
  </si>
  <si>
    <t>H123</t>
  </si>
  <si>
    <t>H223</t>
  </si>
  <si>
    <t>H124</t>
  </si>
  <si>
    <t>H224</t>
  </si>
  <si>
    <t>EMEA &amp; APAC</t>
  </si>
  <si>
    <t>Holdings</t>
  </si>
  <si>
    <t>Cost of Debt</t>
  </si>
  <si>
    <t>Discount</t>
  </si>
  <si>
    <t>Terminal</t>
  </si>
  <si>
    <t>NPV</t>
  </si>
  <si>
    <t>Net Cash</t>
  </si>
  <si>
    <t>Value</t>
  </si>
  <si>
    <t>Shares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</si>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</sst>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0" fillId="0" borderId="0" xfId="0" applyNumberFormat="1"/>
    <xf numFmtId="164" fontId="0" fillId="0" borderId="0" xfId="1" applyNumberFormat="1" applyFont="1"/>
    <xf numFmtId="3" fontId="0" fillId="0" borderId="0" xfId="0" applyNumberFormat="1" applyFont="1"/>
    <xf numFmtId="166" fontId="0" fillId="0" borderId="0" xfId="0" applyNumberFormat="1"/>
    <xf numFmtId="10" fontId="0" fillId="0" borderId="0" xfId="1" applyNumberFormat="1" applyFont="1"/>
    <xf numFmtId="166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12</xdr:row>
      <xdr:rowOff>151086</xdr:rowOff>
    </xdr:from>
    <xdr:to>
      <xdr:col>11</xdr:col>
      <xdr:colOff>13138</xdr:colOff>
      <xdr:row>55</xdr:row>
      <xdr:rowOff>118241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48498E-BDAA-EC00-7921-74FCEF47F96C}"/>
            </a:ext>
          </a:extLst>
        </xdr:cNvPr>
        <xdr:cNvCxnSpPr/>
      </xdr:nvCxnSpPr>
      <xdr:spPr>
        <a:xfrm>
          <a:off x="4598276" y="722586"/>
          <a:ext cx="13138" cy="81586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D76E-7BC7-479E-8AC4-2C1318FA076A}">
  <dimension ref="B2:DM57"/>
  <sheetViews>
    <sheetView tabSelected="1" zoomScale="145" zoomScaleNormal="145" workbookViewId="0">
      <pane xSplit="2" ySplit="2" topLeftCell="H25" activePane="bottomRight" state="frozen"/>
      <selection pane="topRight" activeCell="C1" sqref="C1"/>
      <selection pane="bottomLeft" activeCell="A3" sqref="A3"/>
      <selection pane="bottomRight" activeCell="W45" sqref="W45"/>
    </sheetView>
  </sheetViews>
  <sheetFormatPr defaultRowHeight="15" x14ac:dyDescent="0.25"/>
  <cols>
    <col min="1" max="1" width="2.85546875" style="1" customWidth="1"/>
    <col min="2" max="2" width="20.28515625" style="1" bestFit="1" customWidth="1"/>
    <col min="3" max="16384" width="9.140625" style="1"/>
  </cols>
  <sheetData>
    <row r="2" spans="2:20" s="3" customFormat="1" x14ac:dyDescent="0.25">
      <c r="C2" s="3" t="s">
        <v>40</v>
      </c>
      <c r="D2" s="3" t="s">
        <v>41</v>
      </c>
      <c r="E2" s="3" t="s">
        <v>42</v>
      </c>
      <c r="F2" s="3" t="s">
        <v>43</v>
      </c>
      <c r="H2" s="3" t="s">
        <v>38</v>
      </c>
      <c r="J2" s="3">
        <v>2022</v>
      </c>
      <c r="K2" s="3">
        <f>+J2+1</f>
        <v>2023</v>
      </c>
      <c r="L2" s="3">
        <f t="shared" ref="L2:T2" si="0">+K2+1</f>
        <v>2024</v>
      </c>
      <c r="M2" s="3">
        <f t="shared" si="0"/>
        <v>2025</v>
      </c>
      <c r="N2" s="3">
        <f t="shared" si="0"/>
        <v>2026</v>
      </c>
      <c r="O2" s="3">
        <f t="shared" si="0"/>
        <v>2027</v>
      </c>
      <c r="P2" s="3">
        <f t="shared" si="0"/>
        <v>2028</v>
      </c>
      <c r="Q2" s="3">
        <f t="shared" si="0"/>
        <v>2029</v>
      </c>
      <c r="R2" s="3">
        <f t="shared" si="0"/>
        <v>2030</v>
      </c>
      <c r="S2" s="3">
        <f t="shared" si="0"/>
        <v>2031</v>
      </c>
      <c r="T2" s="3">
        <f t="shared" si="0"/>
        <v>2032</v>
      </c>
    </row>
    <row r="4" spans="2:20" x14ac:dyDescent="0.25">
      <c r="B4" s="1" t="s">
        <v>39</v>
      </c>
      <c r="C4" s="1">
        <v>1935</v>
      </c>
      <c r="E4" s="1">
        <v>2085</v>
      </c>
      <c r="H4" s="1">
        <v>3093</v>
      </c>
      <c r="L4" s="1">
        <f>+H4*1.3</f>
        <v>4020.9</v>
      </c>
    </row>
    <row r="5" spans="2:20" x14ac:dyDescent="0.25">
      <c r="B5" s="1" t="s">
        <v>44</v>
      </c>
      <c r="C5" s="1">
        <v>1362</v>
      </c>
      <c r="E5" s="1">
        <v>2255</v>
      </c>
      <c r="H5" s="1">
        <v>3387</v>
      </c>
      <c r="L5" s="1">
        <f>+H5*1.3</f>
        <v>4403.1000000000004</v>
      </c>
    </row>
    <row r="6" spans="2:20" s="2" customFormat="1" x14ac:dyDescent="0.25">
      <c r="B6" s="2" t="s">
        <v>37</v>
      </c>
      <c r="C6" s="2">
        <f>+C4+C5</f>
        <v>3297</v>
      </c>
      <c r="E6" s="2">
        <f>+E4+E5</f>
        <v>4340</v>
      </c>
      <c r="H6" s="2">
        <f>+H4+H5</f>
        <v>6480</v>
      </c>
      <c r="L6" s="2">
        <f>+L4+L5</f>
        <v>8424</v>
      </c>
      <c r="M6" s="2">
        <f>+L6*1.02</f>
        <v>8592.48</v>
      </c>
      <c r="N6" s="2">
        <f t="shared" ref="N6:T6" si="1">+M6*1.02</f>
        <v>8764.3295999999991</v>
      </c>
      <c r="O6" s="2">
        <f t="shared" si="1"/>
        <v>8939.6161919999995</v>
      </c>
      <c r="P6" s="2">
        <f t="shared" si="1"/>
        <v>9118.4085158399994</v>
      </c>
      <c r="Q6" s="2">
        <f t="shared" si="1"/>
        <v>9300.7766861567998</v>
      </c>
      <c r="R6" s="2">
        <f t="shared" si="1"/>
        <v>9486.7922198799351</v>
      </c>
      <c r="S6" s="2">
        <f t="shared" si="1"/>
        <v>9676.5280642775342</v>
      </c>
      <c r="T6" s="2">
        <f t="shared" si="1"/>
        <v>9870.0586255630842</v>
      </c>
    </row>
    <row r="7" spans="2:20" s="2" customFormat="1" x14ac:dyDescent="0.25">
      <c r="F7" s="8"/>
    </row>
    <row r="8" spans="2:20" s="5" customFormat="1" x14ac:dyDescent="0.25">
      <c r="B8" s="5" t="s">
        <v>39</v>
      </c>
      <c r="C8" s="5">
        <v>207</v>
      </c>
      <c r="E8" s="5">
        <v>224</v>
      </c>
    </row>
    <row r="9" spans="2:20" s="5" customFormat="1" x14ac:dyDescent="0.25">
      <c r="B9" s="5" t="s">
        <v>44</v>
      </c>
      <c r="C9" s="5">
        <v>111</v>
      </c>
      <c r="E9" s="5">
        <v>178</v>
      </c>
    </row>
    <row r="10" spans="2:20" s="5" customFormat="1" x14ac:dyDescent="0.25">
      <c r="B10" s="1" t="s">
        <v>36</v>
      </c>
      <c r="C10" s="5">
        <v>146</v>
      </c>
      <c r="E10" s="5">
        <v>179</v>
      </c>
    </row>
    <row r="11" spans="2:20" s="5" customFormat="1" x14ac:dyDescent="0.25">
      <c r="B11" s="1" t="s">
        <v>45</v>
      </c>
      <c r="C11" s="5">
        <v>-18</v>
      </c>
      <c r="E11" s="5">
        <v>-78</v>
      </c>
    </row>
    <row r="12" spans="2:20" s="2" customFormat="1" x14ac:dyDescent="0.25">
      <c r="B12" s="2" t="s">
        <v>9</v>
      </c>
      <c r="C12" s="2">
        <f>+C8+C9+C10+C11</f>
        <v>446</v>
      </c>
      <c r="E12" s="2">
        <f>+E8+E9+E10+E11</f>
        <v>503</v>
      </c>
    </row>
    <row r="13" spans="2:20" x14ac:dyDescent="0.25">
      <c r="B13" s="2"/>
      <c r="E13" s="6"/>
      <c r="J13" s="6"/>
      <c r="K13" s="6"/>
    </row>
    <row r="14" spans="2:20" x14ac:dyDescent="0.25">
      <c r="B14" s="1" t="s">
        <v>32</v>
      </c>
      <c r="J14" s="1">
        <v>2679</v>
      </c>
      <c r="K14" s="1">
        <v>2534</v>
      </c>
    </row>
    <row r="15" spans="2:20" x14ac:dyDescent="0.25">
      <c r="B15" s="1" t="s">
        <v>33</v>
      </c>
      <c r="J15" s="1">
        <v>1653</v>
      </c>
      <c r="K15" s="1">
        <v>1569</v>
      </c>
    </row>
    <row r="16" spans="2:20" x14ac:dyDescent="0.25">
      <c r="B16" s="1" t="s">
        <v>34</v>
      </c>
      <c r="J16" s="1">
        <v>2657</v>
      </c>
      <c r="K16" s="1">
        <v>2536</v>
      </c>
    </row>
    <row r="17" spans="2:20" x14ac:dyDescent="0.25">
      <c r="B17" s="1" t="s">
        <v>35</v>
      </c>
      <c r="J17" s="1">
        <v>0</v>
      </c>
      <c r="K17" s="1">
        <v>343</v>
      </c>
    </row>
    <row r="18" spans="2:20" s="2" customFormat="1" x14ac:dyDescent="0.25">
      <c r="B18" s="2" t="s">
        <v>37</v>
      </c>
      <c r="J18" s="2">
        <f>+SUM(J14:J17)</f>
        <v>6989</v>
      </c>
      <c r="K18" s="2">
        <f>+SUM(K14:K17)</f>
        <v>6982</v>
      </c>
    </row>
    <row r="19" spans="2:20" x14ac:dyDescent="0.25">
      <c r="B19" s="1" t="s">
        <v>36</v>
      </c>
      <c r="C19" s="1">
        <v>663</v>
      </c>
      <c r="E19" s="1">
        <v>736</v>
      </c>
      <c r="H19" s="1">
        <v>1116</v>
      </c>
      <c r="J19" s="1">
        <v>1165</v>
      </c>
      <c r="K19" s="1">
        <v>1363</v>
      </c>
      <c r="L19" s="1">
        <f>+H19*1.3</f>
        <v>1450.8</v>
      </c>
      <c r="M19" s="1">
        <f>+L19*1.03</f>
        <v>1494.3240000000001</v>
      </c>
      <c r="N19" s="1">
        <f t="shared" ref="N19:T19" si="2">+M19*1.03</f>
        <v>1539.15372</v>
      </c>
      <c r="O19" s="1">
        <f t="shared" si="2"/>
        <v>1585.3283316</v>
      </c>
      <c r="P19" s="1">
        <f t="shared" si="2"/>
        <v>1632.8881815479999</v>
      </c>
      <c r="Q19" s="1">
        <f t="shared" si="2"/>
        <v>1681.8748269944399</v>
      </c>
      <c r="R19" s="1">
        <f t="shared" si="2"/>
        <v>1732.3310718042731</v>
      </c>
      <c r="S19" s="1">
        <f t="shared" si="2"/>
        <v>1784.3010039584012</v>
      </c>
      <c r="T19" s="1">
        <f t="shared" si="2"/>
        <v>1837.8300340771534</v>
      </c>
    </row>
    <row r="20" spans="2:20" s="2" customFormat="1" x14ac:dyDescent="0.25">
      <c r="B20" s="2" t="s">
        <v>0</v>
      </c>
      <c r="C20" s="2">
        <v>3960</v>
      </c>
      <c r="D20" s="2">
        <f>+K20-C20</f>
        <v>4385</v>
      </c>
      <c r="E20" s="2">
        <v>5076</v>
      </c>
      <c r="J20" s="2">
        <v>8154</v>
      </c>
      <c r="K20" s="2">
        <v>8345</v>
      </c>
      <c r="L20" s="2">
        <f>+L19+L4+L5</f>
        <v>9874.7999999999993</v>
      </c>
      <c r="M20" s="2">
        <f>+M19+M6</f>
        <v>10086.804</v>
      </c>
      <c r="N20" s="2">
        <f t="shared" ref="N20:T20" si="3">+N19+N6</f>
        <v>10303.483319999999</v>
      </c>
      <c r="O20" s="2">
        <f t="shared" si="3"/>
        <v>10524.944523599999</v>
      </c>
      <c r="P20" s="2">
        <f t="shared" si="3"/>
        <v>10751.296697387999</v>
      </c>
      <c r="Q20" s="2">
        <f t="shared" si="3"/>
        <v>10982.651513151239</v>
      </c>
      <c r="R20" s="2">
        <f t="shared" si="3"/>
        <v>11219.123291684209</v>
      </c>
      <c r="S20" s="2">
        <f t="shared" si="3"/>
        <v>11460.829068235935</v>
      </c>
      <c r="T20" s="2">
        <f t="shared" si="3"/>
        <v>11707.888659640237</v>
      </c>
    </row>
    <row r="21" spans="2:20" x14ac:dyDescent="0.25">
      <c r="B21" s="1" t="s">
        <v>1</v>
      </c>
      <c r="C21" s="1">
        <v>3</v>
      </c>
      <c r="D21" s="1">
        <f>+K21-C21</f>
        <v>6</v>
      </c>
      <c r="E21" s="1">
        <v>5</v>
      </c>
      <c r="J21" s="1">
        <v>10</v>
      </c>
      <c r="K21" s="1">
        <v>9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  <c r="R21" s="1">
        <v>10</v>
      </c>
      <c r="S21" s="1">
        <v>10</v>
      </c>
      <c r="T21" s="1">
        <v>10</v>
      </c>
    </row>
    <row r="22" spans="2:20" x14ac:dyDescent="0.25">
      <c r="B22" s="1" t="s">
        <v>2</v>
      </c>
      <c r="C22" s="1">
        <v>2680</v>
      </c>
      <c r="D22" s="1">
        <f>+K22-C22</f>
        <v>2924</v>
      </c>
      <c r="E22" s="1">
        <v>3461</v>
      </c>
      <c r="J22" s="1">
        <v>5339</v>
      </c>
      <c r="K22" s="1">
        <v>5604</v>
      </c>
      <c r="L22" s="1">
        <f>+L20*0.68</f>
        <v>6714.8639999999996</v>
      </c>
      <c r="M22" s="1">
        <f t="shared" ref="M22:T22" si="4">+M20*0.68</f>
        <v>6859.0267200000008</v>
      </c>
      <c r="N22" s="1">
        <f t="shared" si="4"/>
        <v>7006.3686576</v>
      </c>
      <c r="O22" s="1">
        <f t="shared" si="4"/>
        <v>7156.9622760479997</v>
      </c>
      <c r="P22" s="1">
        <f t="shared" si="4"/>
        <v>7310.8817542238403</v>
      </c>
      <c r="Q22" s="1">
        <f t="shared" si="4"/>
        <v>7468.203028942843</v>
      </c>
      <c r="R22" s="1">
        <f t="shared" si="4"/>
        <v>7629.0038383452629</v>
      </c>
      <c r="S22" s="1">
        <f t="shared" si="4"/>
        <v>7793.3637664004364</v>
      </c>
      <c r="T22" s="1">
        <f t="shared" si="4"/>
        <v>7961.3642885553618</v>
      </c>
    </row>
    <row r="23" spans="2:20" x14ac:dyDescent="0.25">
      <c r="B23" s="1" t="s">
        <v>3</v>
      </c>
      <c r="C23" s="1">
        <v>462</v>
      </c>
      <c r="D23" s="1">
        <f>+K23-C23</f>
        <v>486</v>
      </c>
      <c r="E23" s="1">
        <v>653</v>
      </c>
      <c r="J23" s="1">
        <v>1044</v>
      </c>
      <c r="K23" s="1">
        <v>948</v>
      </c>
      <c r="L23" s="1">
        <f>+E23*2</f>
        <v>1306</v>
      </c>
      <c r="M23" s="1">
        <v>1300</v>
      </c>
      <c r="N23" s="1">
        <v>1300</v>
      </c>
      <c r="O23" s="1">
        <v>1300</v>
      </c>
      <c r="P23" s="1">
        <v>1300</v>
      </c>
      <c r="Q23" s="1">
        <v>1300</v>
      </c>
      <c r="R23" s="1">
        <v>1300</v>
      </c>
      <c r="S23" s="1">
        <v>1300</v>
      </c>
      <c r="T23" s="1">
        <v>1300</v>
      </c>
    </row>
    <row r="24" spans="2:20" x14ac:dyDescent="0.25">
      <c r="B24" s="1" t="s">
        <v>4</v>
      </c>
      <c r="C24" s="1">
        <v>14</v>
      </c>
      <c r="D24" s="1">
        <f>+K24-C24</f>
        <v>13</v>
      </c>
      <c r="E24" s="1">
        <v>21</v>
      </c>
      <c r="J24" s="1">
        <v>31</v>
      </c>
      <c r="K24" s="1">
        <v>27</v>
      </c>
      <c r="L24" s="1">
        <v>30</v>
      </c>
      <c r="M24" s="1">
        <v>30</v>
      </c>
      <c r="N24" s="1">
        <v>30</v>
      </c>
      <c r="O24" s="1">
        <v>30</v>
      </c>
      <c r="P24" s="1">
        <v>30</v>
      </c>
      <c r="Q24" s="1">
        <v>30</v>
      </c>
      <c r="R24" s="1">
        <v>30</v>
      </c>
      <c r="S24" s="1">
        <v>30</v>
      </c>
      <c r="T24" s="1">
        <v>30</v>
      </c>
    </row>
    <row r="25" spans="2:20" x14ac:dyDescent="0.25">
      <c r="B25" s="1" t="s">
        <v>5</v>
      </c>
      <c r="C25" s="1">
        <f>126+9+95+4</f>
        <v>234</v>
      </c>
      <c r="D25" s="1">
        <f>+K25-C25</f>
        <v>255</v>
      </c>
      <c r="E25" s="1">
        <f>148+8+123+1</f>
        <v>280</v>
      </c>
      <c r="J25" s="1">
        <f>281+15+192+8</f>
        <v>496</v>
      </c>
      <c r="K25" s="1">
        <f>266+18+201+4</f>
        <v>489</v>
      </c>
      <c r="L25" s="1">
        <v>500</v>
      </c>
      <c r="M25" s="1">
        <v>500</v>
      </c>
      <c r="N25" s="1">
        <v>500</v>
      </c>
      <c r="O25" s="1">
        <v>500</v>
      </c>
      <c r="P25" s="1">
        <v>500</v>
      </c>
      <c r="Q25" s="1">
        <v>500</v>
      </c>
      <c r="R25" s="1">
        <v>500</v>
      </c>
      <c r="S25" s="1">
        <v>500</v>
      </c>
      <c r="T25" s="1">
        <v>500</v>
      </c>
    </row>
    <row r="26" spans="2:20" x14ac:dyDescent="0.25">
      <c r="B26" s="1" t="s">
        <v>6</v>
      </c>
      <c r="C26" s="1">
        <v>64</v>
      </c>
      <c r="D26" s="1">
        <f>+K26-C26</f>
        <v>77</v>
      </c>
      <c r="E26" s="1">
        <v>110</v>
      </c>
      <c r="J26" s="1">
        <v>143</v>
      </c>
      <c r="K26" s="1">
        <v>141</v>
      </c>
      <c r="L26" s="1">
        <v>220</v>
      </c>
      <c r="M26" s="1">
        <v>140</v>
      </c>
      <c r="N26" s="1">
        <v>140</v>
      </c>
      <c r="O26" s="1">
        <v>140</v>
      </c>
      <c r="P26" s="1">
        <v>140</v>
      </c>
      <c r="Q26" s="1">
        <v>140</v>
      </c>
      <c r="R26" s="1">
        <v>140</v>
      </c>
      <c r="S26" s="1">
        <v>140</v>
      </c>
      <c r="T26" s="1">
        <v>140</v>
      </c>
    </row>
    <row r="27" spans="2:20" x14ac:dyDescent="0.25">
      <c r="B27" s="1" t="s">
        <v>7</v>
      </c>
      <c r="C27" s="1">
        <v>58</v>
      </c>
      <c r="D27" s="1">
        <f>+K27-C27</f>
        <v>47</v>
      </c>
      <c r="E27" s="1">
        <v>48</v>
      </c>
      <c r="J27" s="1">
        <v>113</v>
      </c>
      <c r="K27" s="1">
        <v>105</v>
      </c>
      <c r="L27" s="1">
        <v>100</v>
      </c>
      <c r="M27" s="1">
        <v>100</v>
      </c>
      <c r="N27" s="1">
        <v>100</v>
      </c>
      <c r="O27" s="1">
        <v>100</v>
      </c>
      <c r="P27" s="1">
        <v>100</v>
      </c>
      <c r="Q27" s="1">
        <v>100</v>
      </c>
      <c r="R27" s="1">
        <v>100</v>
      </c>
      <c r="S27" s="1">
        <v>100</v>
      </c>
      <c r="T27" s="1">
        <v>100</v>
      </c>
    </row>
    <row r="28" spans="2:20" x14ac:dyDescent="0.25">
      <c r="B28" s="1" t="s">
        <v>8</v>
      </c>
      <c r="C28" s="1">
        <v>-5</v>
      </c>
      <c r="D28" s="1">
        <f>+K28-C28</f>
        <v>-24</v>
      </c>
      <c r="E28" s="1">
        <v>-5</v>
      </c>
      <c r="J28" s="1">
        <v>-6</v>
      </c>
      <c r="K28" s="1">
        <v>-29</v>
      </c>
      <c r="L28" s="1">
        <v>-30</v>
      </c>
      <c r="M28" s="1">
        <v>-30</v>
      </c>
      <c r="N28" s="1">
        <v>-30</v>
      </c>
      <c r="O28" s="1">
        <v>-30</v>
      </c>
      <c r="P28" s="1">
        <v>-30</v>
      </c>
      <c r="Q28" s="1">
        <v>-30</v>
      </c>
      <c r="R28" s="1">
        <v>-30</v>
      </c>
      <c r="S28" s="1">
        <v>-30</v>
      </c>
      <c r="T28" s="1">
        <v>-30</v>
      </c>
    </row>
    <row r="29" spans="2:20" s="2" customFormat="1" x14ac:dyDescent="0.25">
      <c r="B29" s="2" t="s">
        <v>9</v>
      </c>
      <c r="C29" s="2">
        <f>+C20+C21-C22-C23-C24-C25-C26-C27+C28</f>
        <v>446</v>
      </c>
      <c r="D29" s="2">
        <f>+D20+D21-D22-D23-D24-D25-D26-D27+D28</f>
        <v>565</v>
      </c>
      <c r="E29" s="2">
        <f>+E20+E21-E22-E23-E24-E25-E26-E27+E28</f>
        <v>503</v>
      </c>
      <c r="F29" s="2">
        <f>+F20+F21-F22-F23-F24-F25-F26-F27+F28</f>
        <v>0</v>
      </c>
      <c r="J29" s="2">
        <f>+J20+J21-J22-J23-J24-J25-J26-J27+J28</f>
        <v>992</v>
      </c>
      <c r="K29" s="2">
        <f>+K20+K21-K22-K23-K24-K25-K26-K27+K28</f>
        <v>1011</v>
      </c>
      <c r="L29" s="2">
        <f>+L20+L21-L22-L23-L24-L25-L26-L27+L28</f>
        <v>983.93599999999969</v>
      </c>
      <c r="M29" s="2">
        <f t="shared" ref="M29:T29" si="5">+M20+M21-M22-M23-M24-M25-M26-M27+M28</f>
        <v>1137.7772799999993</v>
      </c>
      <c r="N29" s="2">
        <f t="shared" si="5"/>
        <v>1207.1146623999994</v>
      </c>
      <c r="O29" s="2">
        <f t="shared" si="5"/>
        <v>1277.9822475519995</v>
      </c>
      <c r="P29" s="2">
        <f t="shared" si="5"/>
        <v>1350.414943164159</v>
      </c>
      <c r="Q29" s="2">
        <f t="shared" si="5"/>
        <v>1424.4484842083957</v>
      </c>
      <c r="R29" s="2">
        <f t="shared" si="5"/>
        <v>1500.1194533389462</v>
      </c>
      <c r="S29" s="2">
        <f t="shared" si="5"/>
        <v>1577.4653018354984</v>
      </c>
      <c r="T29" s="2">
        <f t="shared" si="5"/>
        <v>1656.5243710848754</v>
      </c>
    </row>
    <row r="30" spans="2:20" x14ac:dyDescent="0.25">
      <c r="B30" s="1" t="s">
        <v>10</v>
      </c>
      <c r="C30" s="1">
        <v>7</v>
      </c>
      <c r="D30" s="1">
        <f>+K30-C30</f>
        <v>14</v>
      </c>
      <c r="E30" s="1">
        <v>13</v>
      </c>
      <c r="J30" s="1">
        <v>10</v>
      </c>
      <c r="K30" s="1">
        <v>21</v>
      </c>
      <c r="L30" s="1">
        <f>+E30*2</f>
        <v>26</v>
      </c>
      <c r="M30" s="1">
        <f>+L30*0.98</f>
        <v>25.48</v>
      </c>
      <c r="N30" s="1">
        <f t="shared" ref="N30:T30" si="6">+M30*0.98</f>
        <v>24.970400000000001</v>
      </c>
      <c r="O30" s="1">
        <f t="shared" si="6"/>
        <v>24.470992000000003</v>
      </c>
      <c r="P30" s="1">
        <f t="shared" si="6"/>
        <v>23.981572160000002</v>
      </c>
      <c r="Q30" s="1">
        <f t="shared" si="6"/>
        <v>23.501940716800004</v>
      </c>
      <c r="R30" s="1">
        <f t="shared" si="6"/>
        <v>23.031901902464003</v>
      </c>
      <c r="S30" s="1">
        <f t="shared" si="6"/>
        <v>22.571263864414725</v>
      </c>
      <c r="T30" s="1">
        <f t="shared" si="6"/>
        <v>22.119838587126431</v>
      </c>
    </row>
    <row r="31" spans="2:20" x14ac:dyDescent="0.25">
      <c r="B31" s="1" t="s">
        <v>11</v>
      </c>
      <c r="C31" s="1">
        <v>50</v>
      </c>
      <c r="D31" s="1">
        <f>+K31-C31</f>
        <v>76</v>
      </c>
      <c r="E31" s="1">
        <v>112</v>
      </c>
      <c r="J31" s="1">
        <v>72</v>
      </c>
      <c r="K31" s="1">
        <v>126</v>
      </c>
      <c r="L31" s="1">
        <f>+H54*0.0275</f>
        <v>128.37</v>
      </c>
      <c r="M31" s="1">
        <f>+L31*1.02</f>
        <v>130.9374</v>
      </c>
      <c r="N31" s="1">
        <f t="shared" ref="N31:T31" si="7">+M31*1.02</f>
        <v>133.55614800000001</v>
      </c>
      <c r="O31" s="1">
        <f t="shared" si="7"/>
        <v>136.22727096</v>
      </c>
      <c r="P31" s="1">
        <f t="shared" si="7"/>
        <v>138.95181637920001</v>
      </c>
      <c r="Q31" s="1">
        <f t="shared" si="7"/>
        <v>141.73085270678402</v>
      </c>
      <c r="R31" s="1">
        <f t="shared" si="7"/>
        <v>144.56546976091971</v>
      </c>
      <c r="S31" s="1">
        <f t="shared" si="7"/>
        <v>147.45677915613811</v>
      </c>
      <c r="T31" s="1">
        <f t="shared" si="7"/>
        <v>150.40591473926088</v>
      </c>
    </row>
    <row r="32" spans="2:20" x14ac:dyDescent="0.25">
      <c r="B32" s="1" t="s">
        <v>12</v>
      </c>
      <c r="C32" s="1">
        <v>22</v>
      </c>
      <c r="D32" s="1">
        <f>+K32-C32</f>
        <v>26</v>
      </c>
      <c r="E32" s="1">
        <v>30</v>
      </c>
      <c r="J32" s="1">
        <v>44</v>
      </c>
      <c r="K32" s="1">
        <v>48</v>
      </c>
      <c r="L32" s="1">
        <v>50</v>
      </c>
      <c r="M32" s="1">
        <f>+L32*1.02</f>
        <v>51</v>
      </c>
      <c r="N32" s="1">
        <f t="shared" ref="N32:T32" si="8">+M32*1.02</f>
        <v>52.02</v>
      </c>
      <c r="O32" s="1">
        <f t="shared" si="8"/>
        <v>53.060400000000001</v>
      </c>
      <c r="P32" s="1">
        <f t="shared" si="8"/>
        <v>54.121608000000002</v>
      </c>
      <c r="Q32" s="1">
        <f t="shared" si="8"/>
        <v>55.204040160000005</v>
      </c>
      <c r="R32" s="1">
        <f t="shared" si="8"/>
        <v>56.308120963200004</v>
      </c>
      <c r="S32" s="1">
        <f t="shared" si="8"/>
        <v>57.434283382464002</v>
      </c>
      <c r="T32" s="1">
        <f t="shared" si="8"/>
        <v>58.582969050113284</v>
      </c>
    </row>
    <row r="33" spans="2:117" x14ac:dyDescent="0.25">
      <c r="B33" s="1" t="s">
        <v>13</v>
      </c>
      <c r="C33" s="1">
        <v>-9</v>
      </c>
      <c r="D33" s="1">
        <f>+K33-C33</f>
        <v>-16</v>
      </c>
      <c r="E33" s="1">
        <v>30</v>
      </c>
      <c r="J33" s="1">
        <v>13</v>
      </c>
      <c r="K33" s="1">
        <v>-25</v>
      </c>
      <c r="L33" s="1">
        <v>30</v>
      </c>
      <c r="M33" s="1">
        <v>30</v>
      </c>
      <c r="N33" s="1">
        <v>30</v>
      </c>
      <c r="O33" s="1">
        <v>30</v>
      </c>
      <c r="P33" s="1">
        <v>30</v>
      </c>
      <c r="Q33" s="1">
        <v>30</v>
      </c>
      <c r="R33" s="1">
        <v>30</v>
      </c>
      <c r="S33" s="1">
        <v>30</v>
      </c>
      <c r="T33" s="1">
        <v>30</v>
      </c>
    </row>
    <row r="34" spans="2:117" x14ac:dyDescent="0.25">
      <c r="B34" s="1" t="s">
        <v>14</v>
      </c>
      <c r="C34" s="1">
        <f>+C29+C30-C31-C32+C33</f>
        <v>372</v>
      </c>
      <c r="D34" s="1">
        <f>+D29+D30-D31-D32+D33</f>
        <v>461</v>
      </c>
      <c r="E34" s="1">
        <f>+E29+E30-E31-E32+E33</f>
        <v>404</v>
      </c>
      <c r="F34" s="1">
        <f>+F29+F30-F31-F32+F33</f>
        <v>0</v>
      </c>
      <c r="J34" s="1">
        <f>+J29+J30-J31-J32+J33</f>
        <v>899</v>
      </c>
      <c r="K34" s="1">
        <f>+K29+K30-K31-K32+K33</f>
        <v>833</v>
      </c>
      <c r="L34" s="1">
        <f>+L29+L30-L31-L32+L33</f>
        <v>861.56599999999969</v>
      </c>
      <c r="M34" s="1">
        <f t="shared" ref="M34:T34" si="9">+M29+M30-M31-M32+M33</f>
        <v>1011.3198799999993</v>
      </c>
      <c r="N34" s="1">
        <f t="shared" si="9"/>
        <v>1076.5089143999994</v>
      </c>
      <c r="O34" s="1">
        <f t="shared" si="9"/>
        <v>1143.1655685919995</v>
      </c>
      <c r="P34" s="1">
        <f t="shared" si="9"/>
        <v>1211.3230909449592</v>
      </c>
      <c r="Q34" s="1">
        <f t="shared" si="9"/>
        <v>1281.0155320584117</v>
      </c>
      <c r="R34" s="1">
        <f t="shared" si="9"/>
        <v>1352.2777645172903</v>
      </c>
      <c r="S34" s="1">
        <f t="shared" si="9"/>
        <v>1425.1455031613111</v>
      </c>
      <c r="T34" s="1">
        <f t="shared" si="9"/>
        <v>1499.6553258826277</v>
      </c>
    </row>
    <row r="35" spans="2:117" x14ac:dyDescent="0.25">
      <c r="B35" s="1" t="s">
        <v>15</v>
      </c>
      <c r="C35" s="1">
        <v>101</v>
      </c>
      <c r="D35" s="1">
        <f>+K35-C35</f>
        <v>130</v>
      </c>
      <c r="E35" s="1">
        <v>113</v>
      </c>
      <c r="J35" s="1">
        <v>256</v>
      </c>
      <c r="K35" s="1">
        <v>231</v>
      </c>
      <c r="L35" s="1">
        <f>+L34*0.28</f>
        <v>241.23847999999992</v>
      </c>
      <c r="M35" s="1">
        <f t="shared" ref="M35:T35" si="10">+M34*0.28</f>
        <v>283.16956639999984</v>
      </c>
      <c r="N35" s="1">
        <f t="shared" si="10"/>
        <v>301.42249603199986</v>
      </c>
      <c r="O35" s="1">
        <f t="shared" si="10"/>
        <v>320.08635920575989</v>
      </c>
      <c r="P35" s="1">
        <f t="shared" si="10"/>
        <v>339.17046546458857</v>
      </c>
      <c r="Q35" s="1">
        <f t="shared" si="10"/>
        <v>358.6843489763553</v>
      </c>
      <c r="R35" s="1">
        <f t="shared" si="10"/>
        <v>378.63777406484132</v>
      </c>
      <c r="S35" s="1">
        <f t="shared" si="10"/>
        <v>399.04074088516717</v>
      </c>
      <c r="T35" s="1">
        <f t="shared" si="10"/>
        <v>419.90349124713578</v>
      </c>
    </row>
    <row r="36" spans="2:117" s="2" customFormat="1" x14ac:dyDescent="0.25">
      <c r="B36" s="2" t="s">
        <v>16</v>
      </c>
      <c r="C36" s="2">
        <f>+C34-C35</f>
        <v>271</v>
      </c>
      <c r="D36" s="2">
        <f>+D34-D35</f>
        <v>331</v>
      </c>
      <c r="E36" s="2">
        <f>+E34-E35</f>
        <v>291</v>
      </c>
      <c r="F36" s="2">
        <f>+F34-F35</f>
        <v>0</v>
      </c>
      <c r="J36" s="2">
        <f>+J34-J35</f>
        <v>643</v>
      </c>
      <c r="K36" s="2">
        <f>+K34-K35</f>
        <v>602</v>
      </c>
      <c r="L36" s="2">
        <f>+L34-L35</f>
        <v>620.32751999999982</v>
      </c>
      <c r="M36" s="2">
        <f t="shared" ref="M36:T36" si="11">+M34-M35</f>
        <v>728.15031359999944</v>
      </c>
      <c r="N36" s="2">
        <f t="shared" si="11"/>
        <v>775.08641836799961</v>
      </c>
      <c r="O36" s="2">
        <f t="shared" si="11"/>
        <v>823.07920938623965</v>
      </c>
      <c r="P36" s="2">
        <f t="shared" si="11"/>
        <v>872.1526254803706</v>
      </c>
      <c r="Q36" s="2">
        <f t="shared" si="11"/>
        <v>922.33118308205644</v>
      </c>
      <c r="R36" s="2">
        <f t="shared" si="11"/>
        <v>973.63999045244896</v>
      </c>
      <c r="S36" s="2">
        <f t="shared" si="11"/>
        <v>1026.1047622761439</v>
      </c>
      <c r="T36" s="2">
        <f t="shared" si="11"/>
        <v>1079.7518346354918</v>
      </c>
      <c r="U36" s="2">
        <f>+T36*(1+TR)</f>
        <v>1068.9543162891368</v>
      </c>
      <c r="V36" s="2">
        <f>+U36*(1+TR)</f>
        <v>1058.2647731262455</v>
      </c>
      <c r="W36" s="2">
        <f>+V36*(1+TR)</f>
        <v>1047.6821253949829</v>
      </c>
      <c r="X36" s="2">
        <f>+W36*(1+TR)</f>
        <v>1037.2053041410331</v>
      </c>
      <c r="Y36" s="2">
        <f>+X36*(1+TR)</f>
        <v>1026.8332510996229</v>
      </c>
      <c r="Z36" s="2">
        <f>+Y36*(1+TR)</f>
        <v>1016.5649185886266</v>
      </c>
      <c r="AA36" s="2">
        <f>+Z36*(1+TR)</f>
        <v>1006.3992694027403</v>
      </c>
      <c r="AB36" s="2">
        <f>+AA36*(1+TR)</f>
        <v>996.33527670871285</v>
      </c>
      <c r="AC36" s="2">
        <f>+AB36*(1+TR)</f>
        <v>986.37192394162571</v>
      </c>
      <c r="AD36" s="2">
        <f>+AC36*(1+TR)</f>
        <v>976.50820470220947</v>
      </c>
      <c r="AE36" s="2">
        <f>+AD36*(1+TR)</f>
        <v>966.74312265518734</v>
      </c>
      <c r="AF36" s="2">
        <f>+AE36*(1+TR)</f>
        <v>957.07569142863542</v>
      </c>
      <c r="AG36" s="2">
        <f>+AF36*(1+TR)</f>
        <v>947.50493451434909</v>
      </c>
      <c r="AH36" s="2">
        <f>+AG36*(1+TR)</f>
        <v>938.02988516920561</v>
      </c>
      <c r="AI36" s="2">
        <f>+AH36*(1+TR)</f>
        <v>928.64958631751358</v>
      </c>
      <c r="AJ36" s="2">
        <f>+AI36*(1+TR)</f>
        <v>919.36309045433848</v>
      </c>
      <c r="AK36" s="2">
        <f>+AJ36*(1+TR)</f>
        <v>910.16945954979508</v>
      </c>
      <c r="AL36" s="2">
        <f>+AK36*(1+TR)</f>
        <v>901.0677649542971</v>
      </c>
      <c r="AM36" s="2">
        <f>+AL36*(1+TR)</f>
        <v>892.05708730475408</v>
      </c>
      <c r="AN36" s="2">
        <f>+AM36*(1+TR)</f>
        <v>883.13651643170658</v>
      </c>
      <c r="AO36" s="2">
        <f>+AN36*(1+TR)</f>
        <v>874.30515126738953</v>
      </c>
      <c r="AP36" s="2">
        <f>+AO36*(1+TR)</f>
        <v>865.56209975471563</v>
      </c>
      <c r="AQ36" s="2">
        <f>+AP36*(1+TR)</f>
        <v>856.90647875716843</v>
      </c>
      <c r="AR36" s="2">
        <f>+AQ36*(1+TR)</f>
        <v>848.3374139695967</v>
      </c>
      <c r="AS36" s="2">
        <f>+AR36*(1+TR)</f>
        <v>839.85403982990067</v>
      </c>
      <c r="AT36" s="2">
        <f>+AS36*(1+TR)</f>
        <v>831.45549943160165</v>
      </c>
      <c r="AU36" s="2">
        <f>+AT36*(1+TR)</f>
        <v>823.14094443728561</v>
      </c>
      <c r="AV36" s="2">
        <f>+AU36*(1+TR)</f>
        <v>814.90953499291277</v>
      </c>
      <c r="AW36" s="2">
        <f>+AV36*(1+TR)</f>
        <v>806.76043964298367</v>
      </c>
      <c r="AX36" s="2">
        <f>+AW36*(1+TR)</f>
        <v>798.69283524655384</v>
      </c>
      <c r="AY36" s="2">
        <f>+AX36*(1+TR)</f>
        <v>790.70590689408834</v>
      </c>
      <c r="AZ36" s="2">
        <f>+AY36*(1+TR)</f>
        <v>782.7988478251475</v>
      </c>
      <c r="BA36" s="2">
        <f>+AZ36*(1+TR)</f>
        <v>774.97085934689608</v>
      </c>
      <c r="BB36" s="2">
        <f>+BA36*(1+TR)</f>
        <v>767.22115075342708</v>
      </c>
      <c r="BC36" s="2">
        <f>+BB36*(1+TR)</f>
        <v>759.54893924589283</v>
      </c>
      <c r="BD36" s="2">
        <f>+BC36*(1+TR)</f>
        <v>751.95344985343388</v>
      </c>
      <c r="BE36" s="2">
        <f>+BD36*(1+TR)</f>
        <v>744.43391535489957</v>
      </c>
      <c r="BF36" s="2">
        <f>+BE36*(1+TR)</f>
        <v>736.98957620135059</v>
      </c>
      <c r="BG36" s="2">
        <f>+BF36*(1+TR)</f>
        <v>729.61968043933712</v>
      </c>
      <c r="BH36" s="2">
        <f>+BG36*(1+TR)</f>
        <v>722.32348363494373</v>
      </c>
      <c r="BI36" s="2">
        <f>+BH36*(1+TR)</f>
        <v>715.10024879859429</v>
      </c>
      <c r="BJ36" s="2">
        <f>+BI36*(1+TR)</f>
        <v>707.94924631060837</v>
      </c>
      <c r="BK36" s="2">
        <f>+BJ36*(1+TR)</f>
        <v>700.86975384750224</v>
      </c>
      <c r="BL36" s="2">
        <f>+BK36*(1+TR)</f>
        <v>693.86105630902716</v>
      </c>
      <c r="BM36" s="2">
        <f>+BL36*(1+TR)</f>
        <v>686.9224457459369</v>
      </c>
      <c r="BN36" s="2">
        <f>+BM36*(1+TR)</f>
        <v>680.05322128847752</v>
      </c>
      <c r="BO36" s="2">
        <f>+BN36*(1+TR)</f>
        <v>673.25268907559268</v>
      </c>
      <c r="BP36" s="2">
        <f>+BO36*(1+TR)</f>
        <v>666.52016218483675</v>
      </c>
      <c r="BQ36" s="2">
        <f>+BP36*(1+TR)</f>
        <v>659.85496056298837</v>
      </c>
      <c r="BR36" s="2">
        <f>+BQ36*(1+TR)</f>
        <v>653.25641095735853</v>
      </c>
      <c r="BS36" s="2">
        <f>+BR36*(1+TR)</f>
        <v>646.7238468477849</v>
      </c>
      <c r="BT36" s="2">
        <f>+BS36*(1+TR)</f>
        <v>640.25660837930707</v>
      </c>
      <c r="BU36" s="2">
        <f>+BT36*(1+TR)</f>
        <v>633.85404229551398</v>
      </c>
      <c r="BV36" s="2">
        <f>+BU36*(1+TR)</f>
        <v>627.51550187255884</v>
      </c>
      <c r="BW36" s="2">
        <f>+BV36*(1+TR)</f>
        <v>621.24034685383322</v>
      </c>
      <c r="BX36" s="2">
        <f>+BW36*(1+TR)</f>
        <v>615.02794338529486</v>
      </c>
      <c r="BY36" s="2">
        <f>+BX36*(1+TR)</f>
        <v>608.87766395144195</v>
      </c>
      <c r="BZ36" s="2">
        <f>+BY36*(1+TR)</f>
        <v>602.78888731192751</v>
      </c>
      <c r="CA36" s="2">
        <f>+BZ36*(1+TR)</f>
        <v>596.7609984388082</v>
      </c>
      <c r="CB36" s="2">
        <f>+CA36*(1+TR)</f>
        <v>590.7933884544201</v>
      </c>
      <c r="CC36" s="2">
        <f>+CB36*(1+TR)</f>
        <v>584.88545456987595</v>
      </c>
      <c r="CD36" s="2">
        <f>+CC36*(1+TR)</f>
        <v>579.03660002417723</v>
      </c>
      <c r="CE36" s="2">
        <f>+CD36*(1+TR)</f>
        <v>573.24623402393547</v>
      </c>
      <c r="CF36" s="2">
        <f>+CE36*(1+TR)</f>
        <v>567.51377168369606</v>
      </c>
      <c r="CG36" s="2">
        <f>+CF36*(1+TR)</f>
        <v>561.83863396685911</v>
      </c>
      <c r="CH36" s="2">
        <f>+CG36*(1+TR)</f>
        <v>556.22024762719047</v>
      </c>
      <c r="CI36" s="2">
        <f>+CH36*(1+TR)</f>
        <v>550.65804515091861</v>
      </c>
      <c r="CJ36" s="2">
        <f>+CI36*(1+TR)</f>
        <v>545.15146469940942</v>
      </c>
      <c r="CK36" s="2">
        <f>+CJ36*(1+TR)</f>
        <v>539.69995005241526</v>
      </c>
      <c r="CL36" s="2">
        <f>+CK36*(1+TR)</f>
        <v>534.30295055189106</v>
      </c>
      <c r="CM36" s="2">
        <f>+CL36*(1+TR)</f>
        <v>528.95992104637219</v>
      </c>
      <c r="CN36" s="2">
        <f>+CM36*(1+TR)</f>
        <v>523.67032183590845</v>
      </c>
      <c r="CO36" s="2">
        <f>+CN36*(1+TR)</f>
        <v>518.43361861754931</v>
      </c>
      <c r="CP36" s="2">
        <f>+CO36*(1+TR)</f>
        <v>513.24928243137379</v>
      </c>
      <c r="CQ36" s="2">
        <f>+CP36*(1+TR)</f>
        <v>508.11678960706007</v>
      </c>
      <c r="CR36" s="2">
        <f>+CQ36*(1+TR)</f>
        <v>503.03562171098946</v>
      </c>
      <c r="CS36" s="2">
        <f>+CR36*(1+TR)</f>
        <v>498.00526549387956</v>
      </c>
      <c r="CT36" s="2">
        <f>+CS36*(1+TR)</f>
        <v>493.02521283894077</v>
      </c>
      <c r="CU36" s="2">
        <f>+CT36*(1+TR)</f>
        <v>488.09496071055139</v>
      </c>
      <c r="CV36" s="2">
        <f>+CU36*(1+TR)</f>
        <v>483.2140111034459</v>
      </c>
      <c r="CW36" s="2">
        <f>+CV36*(1+TR)</f>
        <v>478.38187099241145</v>
      </c>
      <c r="CX36" s="2">
        <f>+CW36*(1+TR)</f>
        <v>473.59805228248734</v>
      </c>
      <c r="CY36" s="2">
        <f>+CX36*(1+TR)</f>
        <v>468.86207175966246</v>
      </c>
      <c r="CZ36" s="2">
        <f>+CY36*(1+TR)</f>
        <v>464.17345104206584</v>
      </c>
      <c r="DA36" s="2">
        <f>+CZ36*(1+TR)</f>
        <v>459.53171653164515</v>
      </c>
      <c r="DB36" s="2">
        <f>+DA36*(1+TR)</f>
        <v>454.93639936632871</v>
      </c>
      <c r="DC36" s="2">
        <f>+DB36*(1+TR)</f>
        <v>450.38703537266542</v>
      </c>
      <c r="DD36" s="2">
        <f>+DC36*(1+TR)</f>
        <v>445.88316501893877</v>
      </c>
      <c r="DE36" s="2">
        <f>+DD36*(1+TR)</f>
        <v>441.42433336874939</v>
      </c>
      <c r="DF36" s="2">
        <f>+DE36*(1+TR)</f>
        <v>437.01009003506186</v>
      </c>
      <c r="DG36" s="2">
        <f>+DF36*(1+TR)</f>
        <v>432.63998913471124</v>
      </c>
      <c r="DH36" s="2">
        <f>+DG36*(1+TR)</f>
        <v>428.31358924336411</v>
      </c>
      <c r="DI36" s="2">
        <f>+DH36*(1+TR)</f>
        <v>424.03045335093049</v>
      </c>
      <c r="DJ36" s="2">
        <f>+DI36*(1+TR)</f>
        <v>419.7901488174212</v>
      </c>
      <c r="DK36" s="2">
        <f>+DJ36*(1+TR)</f>
        <v>415.59224732924696</v>
      </c>
      <c r="DL36" s="2">
        <f>+DK36*(1+TR)</f>
        <v>411.43632485595447</v>
      </c>
      <c r="DM36" s="2">
        <f>+DL36*(1+TR)</f>
        <v>407.32196160739494</v>
      </c>
    </row>
    <row r="37" spans="2:117" x14ac:dyDescent="0.25">
      <c r="D37" s="6"/>
      <c r="E37" s="6"/>
      <c r="J37" s="6"/>
      <c r="K37" s="6"/>
    </row>
    <row r="38" spans="2:117" s="4" customFormat="1" x14ac:dyDescent="0.25">
      <c r="B38" s="4" t="s">
        <v>17</v>
      </c>
      <c r="C38" s="4">
        <f>+C29/C20</f>
        <v>0.11262626262626263</v>
      </c>
      <c r="D38" s="4">
        <f>+D29/D20</f>
        <v>0.12884834663625996</v>
      </c>
      <c r="E38" s="4">
        <f>+E29/E20</f>
        <v>9.9093774625689524E-2</v>
      </c>
      <c r="J38" s="4">
        <f>+J29/J20</f>
        <v>0.12165808192298258</v>
      </c>
      <c r="K38" s="4">
        <f>+K29/K20</f>
        <v>0.12115038945476334</v>
      </c>
      <c r="V38" s="4" t="s">
        <v>47</v>
      </c>
      <c r="W38" s="4">
        <v>0.08</v>
      </c>
    </row>
    <row r="39" spans="2:117" s="4" customFormat="1" x14ac:dyDescent="0.25">
      <c r="B39" s="4" t="s">
        <v>18</v>
      </c>
      <c r="C39" s="4">
        <f>+C36/C20</f>
        <v>6.8434343434343431E-2</v>
      </c>
      <c r="D39" s="4">
        <f>+D36/D20</f>
        <v>7.5484606613454963E-2</v>
      </c>
      <c r="E39" s="4">
        <f>+E36/E20</f>
        <v>5.7328605200945626E-2</v>
      </c>
      <c r="J39" s="4">
        <f>+J36/J20</f>
        <v>7.8857002698062298E-2</v>
      </c>
      <c r="K39" s="4">
        <f>+K36/K20</f>
        <v>7.2139005392450564E-2</v>
      </c>
      <c r="V39" s="4" t="s">
        <v>48</v>
      </c>
      <c r="W39" s="4">
        <v>-0.01</v>
      </c>
    </row>
    <row r="40" spans="2:117" x14ac:dyDescent="0.25">
      <c r="V40" s="1" t="s">
        <v>49</v>
      </c>
      <c r="W40" s="1">
        <f>NPV(W38,L36:DM36)</f>
        <v>11196.658152098442</v>
      </c>
    </row>
    <row r="41" spans="2:117" x14ac:dyDescent="0.25">
      <c r="B41" s="1" t="s">
        <v>19</v>
      </c>
      <c r="C41" s="1">
        <v>590</v>
      </c>
      <c r="E41" s="1">
        <v>771</v>
      </c>
      <c r="J41" s="1">
        <v>1294</v>
      </c>
      <c r="K41" s="1">
        <v>1375</v>
      </c>
      <c r="V41" s="1" t="s">
        <v>50</v>
      </c>
      <c r="W41" s="1">
        <f>+K51-K54</f>
        <v>-3718</v>
      </c>
    </row>
    <row r="42" spans="2:117" x14ac:dyDescent="0.25">
      <c r="B42" s="1" t="s">
        <v>20</v>
      </c>
      <c r="C42" s="1">
        <v>112</v>
      </c>
      <c r="E42" s="1">
        <v>88</v>
      </c>
      <c r="J42" s="1">
        <v>298</v>
      </c>
      <c r="K42" s="1">
        <v>233</v>
      </c>
      <c r="V42" s="1" t="s">
        <v>51</v>
      </c>
      <c r="W42" s="1">
        <f>+W40+W41</f>
        <v>7478.6581520984419</v>
      </c>
    </row>
    <row r="43" spans="2:117" s="2" customFormat="1" x14ac:dyDescent="0.25">
      <c r="B43" s="2" t="s">
        <v>21</v>
      </c>
      <c r="C43" s="2">
        <f>+C41-C42</f>
        <v>478</v>
      </c>
      <c r="D43" s="2">
        <f>+D41-D42</f>
        <v>0</v>
      </c>
      <c r="E43" s="2">
        <f>+E41-E42</f>
        <v>683</v>
      </c>
      <c r="F43" s="2">
        <f>+F41-F42</f>
        <v>0</v>
      </c>
      <c r="J43" s="2">
        <f>+J41-J42</f>
        <v>996</v>
      </c>
      <c r="K43" s="2">
        <f>+K41-K42</f>
        <v>1142</v>
      </c>
      <c r="V43" s="5" t="s">
        <v>52</v>
      </c>
      <c r="W43" s="5">
        <v>60.712488999999998</v>
      </c>
    </row>
    <row r="44" spans="2:117" x14ac:dyDescent="0.25">
      <c r="B44" s="1" t="s">
        <v>31</v>
      </c>
      <c r="J44" s="1">
        <v>304</v>
      </c>
      <c r="K44" s="1">
        <v>2373</v>
      </c>
      <c r="V44" s="5" t="s">
        <v>53</v>
      </c>
      <c r="W44" s="5">
        <f>+W42/W43</f>
        <v>123.18154427993295</v>
      </c>
    </row>
    <row r="46" spans="2:117" x14ac:dyDescent="0.25">
      <c r="B46" s="1" t="s">
        <v>22</v>
      </c>
      <c r="J46" s="1">
        <v>2910</v>
      </c>
      <c r="K46" s="1">
        <v>3603</v>
      </c>
    </row>
    <row r="47" spans="2:117" x14ac:dyDescent="0.25">
      <c r="B47" s="1" t="s">
        <v>23</v>
      </c>
      <c r="J47" s="1">
        <v>2288</v>
      </c>
      <c r="K47" s="1">
        <v>2708</v>
      </c>
    </row>
    <row r="48" spans="2:117" x14ac:dyDescent="0.25">
      <c r="B48" s="1" t="s">
        <v>24</v>
      </c>
      <c r="J48" s="1">
        <f>+J46-J47</f>
        <v>622</v>
      </c>
      <c r="K48" s="1">
        <f>+K46-K47</f>
        <v>895</v>
      </c>
    </row>
    <row r="49" spans="2:11" x14ac:dyDescent="0.25">
      <c r="B49" s="1" t="s">
        <v>25</v>
      </c>
      <c r="K49" s="1">
        <f>+K48-J48</f>
        <v>273</v>
      </c>
    </row>
    <row r="51" spans="2:11" x14ac:dyDescent="0.25">
      <c r="B51" s="1" t="s">
        <v>26</v>
      </c>
      <c r="H51" s="1">
        <v>996</v>
      </c>
      <c r="J51" s="1">
        <v>817</v>
      </c>
      <c r="K51" s="1">
        <v>882</v>
      </c>
    </row>
    <row r="52" spans="2:11" x14ac:dyDescent="0.25">
      <c r="B52" s="1" t="s">
        <v>27</v>
      </c>
      <c r="H52" s="1">
        <v>626</v>
      </c>
      <c r="J52" s="1">
        <v>613</v>
      </c>
      <c r="K52" s="1">
        <v>692</v>
      </c>
    </row>
    <row r="53" spans="2:11" x14ac:dyDescent="0.25">
      <c r="B53" s="1" t="s">
        <v>28</v>
      </c>
      <c r="H53" s="1">
        <f>708+2236</f>
        <v>2944</v>
      </c>
      <c r="J53" s="1">
        <f>1483+626</f>
        <v>2109</v>
      </c>
      <c r="K53" s="1">
        <f>1297+760</f>
        <v>2057</v>
      </c>
    </row>
    <row r="54" spans="2:11" x14ac:dyDescent="0.25">
      <c r="B54" s="1" t="s">
        <v>29</v>
      </c>
      <c r="H54" s="1">
        <f>995+3673</f>
        <v>4668</v>
      </c>
      <c r="J54" s="1">
        <f>2021+710</f>
        <v>2731</v>
      </c>
      <c r="K54" s="1">
        <f>3822+778</f>
        <v>4600</v>
      </c>
    </row>
    <row r="55" spans="2:11" s="2" customFormat="1" x14ac:dyDescent="0.25">
      <c r="B55" s="2" t="s">
        <v>30</v>
      </c>
      <c r="H55" s="2">
        <f>+H51+H52+H53-H54</f>
        <v>-102</v>
      </c>
      <c r="J55" s="2">
        <f>+J51+J52+J53-J54</f>
        <v>808</v>
      </c>
      <c r="K55" s="2">
        <f>+K51+K52+K53-K54</f>
        <v>-969</v>
      </c>
    </row>
    <row r="57" spans="2:11" s="7" customFormat="1" x14ac:dyDescent="0.25">
      <c r="B57" s="7" t="s">
        <v>46</v>
      </c>
      <c r="K57" s="7">
        <f>+K31/K54</f>
        <v>2.7391304347826086E-2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2024-12-03T15:27:43Z</dcterms:created>
  <dcterms:modified xsi:type="dcterms:W3CDTF">2024-12-03T22:58:29Z</dcterms:modified>
</cp:coreProperties>
</file>