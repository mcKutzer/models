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10A8F33E-F7C5-4FEB-BC2D-1800BF8621A5}" xr6:coauthVersionLast="47" xr6:coauthVersionMax="47" xr10:uidLastSave="{00000000-0000-0000-0000-000000000000}"/>
  <bookViews>
    <workbookView xWindow="-120" yWindow="-120" windowWidth="29040" windowHeight="15840" xr2:uid="{36112314-5DC7-4F24-9A98-FB3A3CD76C35}"/>
  </bookViews>
  <sheets>
    <sheet name="Model" sheetId="1" r:id="rId1"/>
  </sheets>
  <definedNames>
    <definedName name="TR">Model!$V$15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4" i="1" l="1"/>
  <c r="V23" i="1"/>
  <c r="V22" i="1"/>
  <c r="I43" i="1"/>
  <c r="F29" i="1"/>
  <c r="G29" i="1"/>
  <c r="H29" i="1"/>
  <c r="I26" i="1"/>
  <c r="I28" i="1" s="1"/>
  <c r="I3" i="1"/>
  <c r="H25" i="1"/>
  <c r="G25" i="1"/>
  <c r="I34" i="1"/>
  <c r="I36" i="1" s="1"/>
  <c r="I6" i="1"/>
  <c r="H43" i="1"/>
  <c r="G43" i="1"/>
  <c r="G40" i="1"/>
  <c r="H34" i="1"/>
  <c r="H35" i="1" s="1"/>
  <c r="G34" i="1"/>
  <c r="G35" i="1" s="1"/>
  <c r="H28" i="1"/>
  <c r="G28" i="1"/>
  <c r="H40" i="1"/>
  <c r="F40" i="1"/>
  <c r="H18" i="1"/>
  <c r="G18" i="1"/>
  <c r="F18" i="1"/>
  <c r="E18" i="1"/>
  <c r="F20" i="1"/>
  <c r="F28" i="1"/>
  <c r="E28" i="1"/>
  <c r="F34" i="1"/>
  <c r="F35" i="1" s="1"/>
  <c r="E34" i="1"/>
  <c r="E35" i="1" s="1"/>
  <c r="F5" i="1"/>
  <c r="F7" i="1" s="1"/>
  <c r="F9" i="1" s="1"/>
  <c r="F11" i="1" s="1"/>
  <c r="F13" i="1" s="1"/>
  <c r="E5" i="1"/>
  <c r="E7" i="1" s="1"/>
  <c r="E9" i="1" s="1"/>
  <c r="E11" i="1" s="1"/>
  <c r="E13" i="1" s="1"/>
  <c r="D5" i="1"/>
  <c r="D7" i="1" s="1"/>
  <c r="D9" i="1" s="1"/>
  <c r="D11" i="1" s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E16" i="1" l="1"/>
  <c r="F16" i="1"/>
  <c r="E36" i="1"/>
  <c r="E38" i="1" s="1"/>
  <c r="F36" i="1"/>
  <c r="F38" i="1" s="1"/>
  <c r="G36" i="1"/>
  <c r="G38" i="1" s="1"/>
  <c r="F17" i="1"/>
  <c r="H36" i="1"/>
  <c r="E17" i="1"/>
  <c r="F15" i="1"/>
  <c r="G20" i="1"/>
  <c r="E15" i="1"/>
  <c r="G5" i="1"/>
  <c r="H38" i="1" l="1"/>
  <c r="H20" i="1"/>
  <c r="H5" i="1"/>
  <c r="G7" i="1"/>
  <c r="G15" i="1"/>
  <c r="G9" i="1" l="1"/>
  <c r="G16" i="1"/>
  <c r="I18" i="1"/>
  <c r="H15" i="1"/>
  <c r="H7" i="1"/>
  <c r="I20" i="1"/>
  <c r="J3" i="1"/>
  <c r="J6" i="1" s="1"/>
  <c r="I4" i="1"/>
  <c r="I5" i="1" s="1"/>
  <c r="G11" i="1"/>
  <c r="G17" i="1" s="1"/>
  <c r="H9" i="1" l="1"/>
  <c r="H16" i="1"/>
  <c r="J18" i="1"/>
  <c r="I15" i="1"/>
  <c r="I7" i="1"/>
  <c r="I9" i="1" s="1"/>
  <c r="K3" i="1"/>
  <c r="K6" i="1" s="1"/>
  <c r="J20" i="1"/>
  <c r="J4" i="1"/>
  <c r="J5" i="1" s="1"/>
  <c r="H11" i="1"/>
  <c r="H17" i="1" s="1"/>
  <c r="G13" i="1"/>
  <c r="I16" i="1" l="1"/>
  <c r="K18" i="1"/>
  <c r="H13" i="1"/>
  <c r="J15" i="1"/>
  <c r="J7" i="1"/>
  <c r="J16" i="1" s="1"/>
  <c r="L3" i="1"/>
  <c r="L6" i="1" s="1"/>
  <c r="K20" i="1"/>
  <c r="K4" i="1"/>
  <c r="K5" i="1" s="1"/>
  <c r="I10" i="1"/>
  <c r="I11" i="1" s="1"/>
  <c r="I24" i="1" l="1"/>
  <c r="I17" i="1"/>
  <c r="I29" i="1"/>
  <c r="L18" i="1"/>
  <c r="I13" i="1"/>
  <c r="J9" i="1"/>
  <c r="J10" i="1" s="1"/>
  <c r="J11" i="1" s="1"/>
  <c r="J28" i="1" s="1"/>
  <c r="J29" i="1" s="1"/>
  <c r="K15" i="1"/>
  <c r="K7" i="1"/>
  <c r="K16" i="1" s="1"/>
  <c r="M3" i="1"/>
  <c r="M6" i="1" s="1"/>
  <c r="L20" i="1"/>
  <c r="L4" i="1"/>
  <c r="L5" i="1" s="1"/>
  <c r="J13" i="1" l="1"/>
  <c r="J17" i="1"/>
  <c r="M18" i="1"/>
  <c r="K9" i="1"/>
  <c r="K10" i="1" s="1"/>
  <c r="K11" i="1" s="1"/>
  <c r="L15" i="1"/>
  <c r="L7" i="1"/>
  <c r="L16" i="1" s="1"/>
  <c r="N3" i="1"/>
  <c r="N6" i="1" s="1"/>
  <c r="M20" i="1"/>
  <c r="M4" i="1"/>
  <c r="M5" i="1" s="1"/>
  <c r="K17" i="1" l="1"/>
  <c r="K28" i="1"/>
  <c r="K29" i="1" s="1"/>
  <c r="N18" i="1"/>
  <c r="O3" i="1"/>
  <c r="O6" i="1" s="1"/>
  <c r="L9" i="1"/>
  <c r="M15" i="1"/>
  <c r="M7" i="1"/>
  <c r="M16" i="1" s="1"/>
  <c r="K13" i="1"/>
  <c r="N4" i="1"/>
  <c r="N5" i="1" s="1"/>
  <c r="N20" i="1"/>
  <c r="P3" i="1" l="1"/>
  <c r="P6" i="1" s="1"/>
  <c r="O20" i="1"/>
  <c r="O4" i="1"/>
  <c r="O5" i="1" s="1"/>
  <c r="O18" i="1"/>
  <c r="L10" i="1"/>
  <c r="L11" i="1" s="1"/>
  <c r="L28" i="1" s="1"/>
  <c r="L29" i="1" s="1"/>
  <c r="N15" i="1"/>
  <c r="N7" i="1"/>
  <c r="N16" i="1" s="1"/>
  <c r="L17" i="1" l="1"/>
  <c r="L13" i="1"/>
  <c r="M9" i="1"/>
  <c r="M10" i="1" s="1"/>
  <c r="M11" i="1" s="1"/>
  <c r="O15" i="1"/>
  <c r="O7" i="1"/>
  <c r="O16" i="1" s="1"/>
  <c r="Q3" i="1"/>
  <c r="Q6" i="1" s="1"/>
  <c r="P20" i="1"/>
  <c r="P18" i="1"/>
  <c r="P4" i="1"/>
  <c r="P5" i="1" s="1"/>
  <c r="M17" i="1" l="1"/>
  <c r="M28" i="1"/>
  <c r="M29" i="1" s="1"/>
  <c r="P15" i="1"/>
  <c r="P7" i="1"/>
  <c r="P16" i="1" s="1"/>
  <c r="R3" i="1"/>
  <c r="R6" i="1" s="1"/>
  <c r="Q20" i="1"/>
  <c r="Q4" i="1"/>
  <c r="Q5" i="1" s="1"/>
  <c r="Q18" i="1"/>
  <c r="M13" i="1"/>
  <c r="Q15" i="1" l="1"/>
  <c r="Q7" i="1"/>
  <c r="Q16" i="1" s="1"/>
  <c r="S3" i="1"/>
  <c r="S6" i="1" s="1"/>
  <c r="R20" i="1"/>
  <c r="R4" i="1"/>
  <c r="R5" i="1" s="1"/>
  <c r="R18" i="1"/>
  <c r="N9" i="1"/>
  <c r="S4" i="1" l="1"/>
  <c r="S5" i="1" s="1"/>
  <c r="S20" i="1"/>
  <c r="S18" i="1"/>
  <c r="R15" i="1"/>
  <c r="R7" i="1"/>
  <c r="R16" i="1" s="1"/>
  <c r="N10" i="1"/>
  <c r="N11" i="1" s="1"/>
  <c r="N17" i="1" l="1"/>
  <c r="N28" i="1"/>
  <c r="N29" i="1" s="1"/>
  <c r="S15" i="1"/>
  <c r="S7" i="1"/>
  <c r="S16" i="1" s="1"/>
  <c r="N13" i="1"/>
  <c r="O9" i="1"/>
  <c r="O10" i="1" l="1"/>
  <c r="O11" i="1" s="1"/>
  <c r="O28" i="1" l="1"/>
  <c r="O29" i="1" s="1"/>
  <c r="O13" i="1"/>
  <c r="O17" i="1"/>
  <c r="P9" i="1"/>
  <c r="P10" i="1" l="1"/>
  <c r="P11" i="1" s="1"/>
  <c r="P28" i="1" s="1"/>
  <c r="P29" i="1" s="1"/>
  <c r="Q9" i="1" l="1"/>
  <c r="P13" i="1"/>
  <c r="P17" i="1"/>
  <c r="Q10" i="1" l="1"/>
  <c r="Q11" i="1" s="1"/>
  <c r="Q28" i="1" s="1"/>
  <c r="Q29" i="1" s="1"/>
  <c r="Q13" i="1" l="1"/>
  <c r="Q17" i="1"/>
  <c r="R9" i="1"/>
  <c r="R10" i="1" l="1"/>
  <c r="R11" i="1" s="1"/>
  <c r="R28" i="1" s="1"/>
  <c r="R29" i="1" s="1"/>
  <c r="S9" i="1" l="1"/>
  <c r="R17" i="1"/>
  <c r="R13" i="1"/>
  <c r="S10" i="1" l="1"/>
  <c r="S11" i="1" s="1"/>
  <c r="S28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AN29" i="1" s="1"/>
  <c r="AO29" i="1" s="1"/>
  <c r="AP29" i="1" s="1"/>
  <c r="AQ29" i="1" s="1"/>
  <c r="AR29" i="1" s="1"/>
  <c r="AS29" i="1" s="1"/>
  <c r="AT29" i="1" s="1"/>
  <c r="AU29" i="1" s="1"/>
  <c r="AV29" i="1" s="1"/>
  <c r="AW29" i="1" s="1"/>
  <c r="AX29" i="1" s="1"/>
  <c r="AY29" i="1" s="1"/>
  <c r="AZ29" i="1" s="1"/>
  <c r="BA29" i="1" s="1"/>
  <c r="BB29" i="1" s="1"/>
  <c r="BC29" i="1" s="1"/>
  <c r="BD29" i="1" s="1"/>
  <c r="BE29" i="1" s="1"/>
  <c r="BF29" i="1" s="1"/>
  <c r="BG29" i="1" s="1"/>
  <c r="BH29" i="1" s="1"/>
  <c r="BI29" i="1" s="1"/>
  <c r="BJ29" i="1" s="1"/>
  <c r="BK29" i="1" s="1"/>
  <c r="BL29" i="1" s="1"/>
  <c r="BM29" i="1" s="1"/>
  <c r="BN29" i="1" s="1"/>
  <c r="BO29" i="1" s="1"/>
  <c r="BP29" i="1" s="1"/>
  <c r="BQ29" i="1" s="1"/>
  <c r="BR29" i="1" s="1"/>
  <c r="BS29" i="1" s="1"/>
  <c r="BT29" i="1" s="1"/>
  <c r="BU29" i="1" s="1"/>
  <c r="BV29" i="1" s="1"/>
  <c r="BW29" i="1" s="1"/>
  <c r="BX29" i="1" s="1"/>
  <c r="BY29" i="1" s="1"/>
  <c r="BZ29" i="1" s="1"/>
  <c r="CA29" i="1" s="1"/>
  <c r="CB29" i="1" s="1"/>
  <c r="CC29" i="1" s="1"/>
  <c r="CD29" i="1" s="1"/>
  <c r="CE29" i="1" s="1"/>
  <c r="CF29" i="1" s="1"/>
  <c r="CG29" i="1" s="1"/>
  <c r="CH29" i="1" s="1"/>
  <c r="CI29" i="1" s="1"/>
  <c r="CJ29" i="1" s="1"/>
  <c r="CK29" i="1" s="1"/>
  <c r="CL29" i="1" s="1"/>
  <c r="CM29" i="1" s="1"/>
  <c r="CN29" i="1" s="1"/>
  <c r="CO29" i="1" s="1"/>
  <c r="CP29" i="1" s="1"/>
  <c r="CQ29" i="1" s="1"/>
  <c r="CR29" i="1" s="1"/>
  <c r="CS29" i="1" s="1"/>
  <c r="CT29" i="1" s="1"/>
  <c r="CU29" i="1" s="1"/>
  <c r="CV29" i="1" s="1"/>
  <c r="CW29" i="1" s="1"/>
  <c r="CX29" i="1" s="1"/>
  <c r="CY29" i="1" s="1"/>
  <c r="CZ29" i="1" s="1"/>
  <c r="DA29" i="1" s="1"/>
  <c r="DB29" i="1" s="1"/>
  <c r="DC29" i="1" s="1"/>
  <c r="DD29" i="1" s="1"/>
  <c r="DE29" i="1" s="1"/>
  <c r="DF29" i="1" s="1"/>
  <c r="DG29" i="1" s="1"/>
  <c r="DH29" i="1" s="1"/>
  <c r="DI29" i="1" s="1"/>
  <c r="DJ29" i="1" s="1"/>
  <c r="DK29" i="1" s="1"/>
  <c r="DL29" i="1" s="1"/>
  <c r="DM29" i="1" s="1"/>
  <c r="DN29" i="1" s="1"/>
  <c r="DO29" i="1" s="1"/>
  <c r="DP29" i="1" s="1"/>
  <c r="DQ29" i="1" s="1"/>
  <c r="DR29" i="1" s="1"/>
  <c r="DS29" i="1" s="1"/>
  <c r="DT29" i="1" s="1"/>
  <c r="DU29" i="1" s="1"/>
  <c r="DV29" i="1" s="1"/>
  <c r="DW29" i="1" s="1"/>
  <c r="DX29" i="1" s="1"/>
  <c r="DY29" i="1" s="1"/>
  <c r="DZ29" i="1" s="1"/>
  <c r="EA29" i="1" s="1"/>
  <c r="EB29" i="1" s="1"/>
  <c r="EC29" i="1" s="1"/>
  <c r="ED29" i="1" s="1"/>
  <c r="EE29" i="1" s="1"/>
  <c r="EF29" i="1" s="1"/>
  <c r="EG29" i="1" s="1"/>
  <c r="EH29" i="1" s="1"/>
  <c r="EI29" i="1" s="1"/>
  <c r="EJ29" i="1" s="1"/>
  <c r="EK29" i="1" s="1"/>
  <c r="EL29" i="1" s="1"/>
  <c r="EM29" i="1" s="1"/>
  <c r="EN29" i="1" s="1"/>
  <c r="EO29" i="1" s="1"/>
  <c r="EP29" i="1" s="1"/>
  <c r="EQ29" i="1" s="1"/>
  <c r="ER29" i="1" s="1"/>
  <c r="ES29" i="1" s="1"/>
  <c r="ET29" i="1" s="1"/>
  <c r="EU29" i="1" s="1"/>
  <c r="EV29" i="1" s="1"/>
  <c r="EW29" i="1" s="1"/>
  <c r="EX29" i="1" s="1"/>
  <c r="EY29" i="1" s="1"/>
  <c r="EZ29" i="1" s="1"/>
  <c r="V16" i="1" s="1"/>
  <c r="V18" i="1" s="1"/>
  <c r="V19" i="1" s="1"/>
  <c r="S17" i="1" l="1"/>
  <c r="S13" i="1"/>
  <c r="T11" i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BU11" i="1" s="1"/>
  <c r="BV11" i="1" s="1"/>
  <c r="BW11" i="1" s="1"/>
  <c r="BX11" i="1" s="1"/>
  <c r="BY11" i="1" s="1"/>
  <c r="BZ11" i="1" s="1"/>
  <c r="CA11" i="1" s="1"/>
  <c r="CB11" i="1" s="1"/>
  <c r="CC11" i="1" s="1"/>
  <c r="CD11" i="1" s="1"/>
  <c r="CE11" i="1" s="1"/>
  <c r="CF11" i="1" s="1"/>
  <c r="CG11" i="1" s="1"/>
  <c r="CH11" i="1" s="1"/>
  <c r="CI11" i="1" s="1"/>
  <c r="CJ11" i="1" s="1"/>
  <c r="CK11" i="1" s="1"/>
  <c r="CL11" i="1" s="1"/>
  <c r="CM11" i="1" s="1"/>
  <c r="CN11" i="1" s="1"/>
  <c r="CO11" i="1" s="1"/>
  <c r="CP11" i="1" s="1"/>
  <c r="CQ11" i="1" s="1"/>
  <c r="CR11" i="1" s="1"/>
  <c r="CS11" i="1" s="1"/>
  <c r="CT11" i="1" s="1"/>
  <c r="CU11" i="1" s="1"/>
  <c r="CV11" i="1" s="1"/>
  <c r="CW11" i="1" s="1"/>
  <c r="CX11" i="1" s="1"/>
  <c r="CY11" i="1" s="1"/>
  <c r="CZ11" i="1" s="1"/>
  <c r="DA11" i="1" s="1"/>
  <c r="DB11" i="1" s="1"/>
  <c r="DC11" i="1" s="1"/>
  <c r="DD11" i="1" s="1"/>
  <c r="DE11" i="1" s="1"/>
  <c r="DF11" i="1" s="1"/>
  <c r="DG11" i="1" s="1"/>
  <c r="DH11" i="1" s="1"/>
  <c r="DI11" i="1" s="1"/>
  <c r="DJ11" i="1" s="1"/>
  <c r="DK11" i="1" s="1"/>
  <c r="DL11" i="1" s="1"/>
  <c r="DM11" i="1" s="1"/>
  <c r="DN11" i="1" s="1"/>
  <c r="DO11" i="1" s="1"/>
  <c r="DP11" i="1" s="1"/>
  <c r="DQ11" i="1" s="1"/>
  <c r="DR11" i="1" s="1"/>
  <c r="DS11" i="1" s="1"/>
  <c r="DT11" i="1" s="1"/>
  <c r="DU11" i="1" s="1"/>
  <c r="DV11" i="1" s="1"/>
  <c r="DW11" i="1" s="1"/>
  <c r="DX11" i="1" s="1"/>
  <c r="DY11" i="1" s="1"/>
  <c r="DZ11" i="1" s="1"/>
  <c r="EA11" i="1" s="1"/>
  <c r="EB11" i="1" s="1"/>
  <c r="EC11" i="1" s="1"/>
  <c r="ED11" i="1" s="1"/>
  <c r="EE11" i="1" s="1"/>
  <c r="EF11" i="1" s="1"/>
  <c r="EG11" i="1" s="1"/>
  <c r="EH11" i="1" s="1"/>
  <c r="EI11" i="1" s="1"/>
  <c r="EJ11" i="1" s="1"/>
  <c r="EK11" i="1" s="1"/>
  <c r="EL11" i="1" s="1"/>
  <c r="EM11" i="1" s="1"/>
  <c r="EN11" i="1" s="1"/>
  <c r="EO11" i="1" s="1"/>
  <c r="EP11" i="1" s="1"/>
  <c r="EQ11" i="1" s="1"/>
  <c r="ER11" i="1" s="1"/>
  <c r="ES11" i="1" s="1"/>
  <c r="ET11" i="1" s="1"/>
  <c r="EU11" i="1" s="1"/>
  <c r="EV11" i="1" s="1"/>
  <c r="EW11" i="1" s="1"/>
  <c r="EX11" i="1" s="1"/>
  <c r="EY11" i="1" s="1"/>
  <c r="EZ11" i="1" s="1"/>
</calcChain>
</file>

<file path=xl/sharedStrings.xml><?xml version="1.0" encoding="utf-8"?>
<sst xmlns="http://schemas.openxmlformats.org/spreadsheetml/2006/main" count="46" uniqueCount="46">
  <si>
    <t>Revenue</t>
  </si>
  <si>
    <t>COGS</t>
  </si>
  <si>
    <t>Gross Profit</t>
  </si>
  <si>
    <t>SG&amp;A</t>
  </si>
  <si>
    <t>Operating Income</t>
  </si>
  <si>
    <t>Finance</t>
  </si>
  <si>
    <t>Pretax</t>
  </si>
  <si>
    <t>Taxes</t>
  </si>
  <si>
    <t>Net Income</t>
  </si>
  <si>
    <t>Shares</t>
  </si>
  <si>
    <t>EPS</t>
  </si>
  <si>
    <t>Gross Margin</t>
  </si>
  <si>
    <t>Net Margin</t>
  </si>
  <si>
    <t>Revenue Y/Y</t>
  </si>
  <si>
    <t>CFFO</t>
  </si>
  <si>
    <t>CapEx</t>
  </si>
  <si>
    <t>FCF</t>
  </si>
  <si>
    <t>Cash</t>
  </si>
  <si>
    <t>PP&amp;E</t>
  </si>
  <si>
    <t>Debt</t>
  </si>
  <si>
    <t>Nav</t>
  </si>
  <si>
    <t>Terminal</t>
  </si>
  <si>
    <t>Discount</t>
  </si>
  <si>
    <t>Value</t>
  </si>
  <si>
    <t>Price</t>
  </si>
  <si>
    <t>Cost of Debt</t>
  </si>
  <si>
    <t>SG&amp;A/Rev</t>
  </si>
  <si>
    <t>Inventory</t>
  </si>
  <si>
    <t>Buyback</t>
  </si>
  <si>
    <t>Dividend</t>
  </si>
  <si>
    <t>Total</t>
  </si>
  <si>
    <t>Share Decrease</t>
  </si>
  <si>
    <t>Yield</t>
  </si>
  <si>
    <t>net Cash</t>
  </si>
  <si>
    <t>Operating Margin</t>
  </si>
  <si>
    <t>FCFF</t>
  </si>
  <si>
    <t>NPV</t>
  </si>
  <si>
    <t>Net Cash</t>
  </si>
  <si>
    <t>D&amp;A</t>
  </si>
  <si>
    <t>Non-Cash</t>
  </si>
  <si>
    <t>CFFO (ex. WC)</t>
  </si>
  <si>
    <t>WC</t>
  </si>
  <si>
    <t>FCF Yield</t>
  </si>
  <si>
    <t>Current</t>
  </si>
  <si>
    <t>EV</t>
  </si>
  <si>
    <t>SV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</si>
</sst>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9" fontId="0" fillId="0" borderId="0" xfId="1" applyFont="1"/>
    <xf numFmtId="164" fontId="0" fillId="0" borderId="0" xfId="1" applyNumberFormat="1" applyFont="1"/>
    <xf numFmtId="4" fontId="0" fillId="0" borderId="0" xfId="0" applyNumberFormat="1"/>
    <xf numFmtId="3" fontId="3" fillId="0" borderId="0" xfId="0" applyNumberFormat="1" applyFont="1"/>
    <xf numFmtId="3" fontId="0" fillId="0" borderId="0" xfId="0" applyNumberFormat="1" applyFont="1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602797</xdr:colOff>
      <xdr:row>1</xdr:row>
      <xdr:rowOff>179614</xdr:rowOff>
    </xdr:from>
    <xdr:to>
      <xdr:col>7</xdr:col>
      <xdr:colOff>602797</xdr:colOff>
      <xdr:row>36</xdr:row>
      <xdr:rowOff>8164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CE5340E-0D0C-5050-7D32-0A0D018861A7}"/>
            </a:ext>
          </a:extLst>
        </xdr:cNvPr>
        <xdr:cNvCxnSpPr/>
      </xdr:nvCxnSpPr>
      <xdr:spPr>
        <a:xfrm>
          <a:off x="5060497" y="370114"/>
          <a:ext cx="0" cy="4972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2882-6B53-407F-B39B-4BEBE1DA6B01}">
  <dimension ref="B1:EZ47"/>
  <sheetViews>
    <sheetView tabSelected="1" zoomScale="175" zoomScaleNormal="175" workbookViewId="0">
      <pane xSplit="2" ySplit="1" topLeftCell="I17" activePane="bottomRight" state="frozen"/>
      <selection pane="topRight" activeCell="C1" sqref="C1"/>
      <selection pane="bottomLeft" activeCell="A2" sqref="A2"/>
      <selection pane="bottomRight" activeCell="S25" sqref="S25"/>
    </sheetView>
  </sheetViews>
  <sheetFormatPr defaultRowHeight="15" x14ac:dyDescent="0.25"/>
  <cols>
    <col min="1" max="1" width="4.140625" customWidth="1"/>
    <col min="2" max="2" width="17" bestFit="1" customWidth="1"/>
  </cols>
  <sheetData>
    <row r="1" spans="2:156" x14ac:dyDescent="0.25">
      <c r="D1">
        <v>2020</v>
      </c>
      <c r="E1">
        <f>+D1+1</f>
        <v>2021</v>
      </c>
      <c r="F1">
        <f>+E1+1</f>
        <v>2022</v>
      </c>
      <c r="G1">
        <f t="shared" ref="G1:M1" si="0">+F1+1</f>
        <v>2023</v>
      </c>
      <c r="H1">
        <f t="shared" si="0"/>
        <v>2024</v>
      </c>
      <c r="I1">
        <f t="shared" si="0"/>
        <v>2025</v>
      </c>
      <c r="J1">
        <f t="shared" si="0"/>
        <v>2026</v>
      </c>
      <c r="K1">
        <f t="shared" si="0"/>
        <v>2027</v>
      </c>
      <c r="L1">
        <f t="shared" si="0"/>
        <v>2028</v>
      </c>
      <c r="M1">
        <f t="shared" si="0"/>
        <v>2029</v>
      </c>
      <c r="N1">
        <f>+M1+1</f>
        <v>2030</v>
      </c>
      <c r="O1">
        <f t="shared" ref="O1:S1" si="1">+N1+1</f>
        <v>2031</v>
      </c>
      <c r="P1">
        <f t="shared" si="1"/>
        <v>2032</v>
      </c>
      <c r="Q1">
        <f t="shared" si="1"/>
        <v>2033</v>
      </c>
      <c r="R1">
        <f t="shared" si="1"/>
        <v>2034</v>
      </c>
      <c r="S1">
        <f t="shared" si="1"/>
        <v>2035</v>
      </c>
    </row>
    <row r="2" spans="2:156" s="1" customFormat="1" x14ac:dyDescent="0.25">
      <c r="E2" s="3"/>
      <c r="F2" s="3"/>
      <c r="G2" s="3"/>
      <c r="H2" s="3"/>
    </row>
    <row r="3" spans="2:156" s="5" customFormat="1" x14ac:dyDescent="0.25">
      <c r="B3" s="5" t="s">
        <v>0</v>
      </c>
      <c r="E3" s="5">
        <v>1831.9</v>
      </c>
      <c r="F3" s="5">
        <v>2233.9</v>
      </c>
      <c r="G3" s="5">
        <v>2263.3000000000002</v>
      </c>
      <c r="H3" s="5">
        <v>2196.6</v>
      </c>
      <c r="I3" s="5">
        <f>+H3*0.985</f>
        <v>2163.6509999999998</v>
      </c>
      <c r="J3" s="5">
        <f t="shared" ref="J3:N3" si="2">+I3*1.02</f>
        <v>2206.9240199999999</v>
      </c>
      <c r="K3" s="5">
        <f t="shared" si="2"/>
        <v>2251.0625003999999</v>
      </c>
      <c r="L3" s="5">
        <f t="shared" si="2"/>
        <v>2296.083750408</v>
      </c>
      <c r="M3" s="5">
        <f t="shared" si="2"/>
        <v>2342.0054254161601</v>
      </c>
      <c r="N3" s="5">
        <f t="shared" si="2"/>
        <v>2388.8455339244833</v>
      </c>
      <c r="O3" s="5">
        <f t="shared" ref="O3" si="3">+N3*1.02</f>
        <v>2436.6224446029732</v>
      </c>
      <c r="P3" s="5">
        <f t="shared" ref="P3" si="4">+O3*1.02</f>
        <v>2485.3548934950327</v>
      </c>
      <c r="Q3" s="5">
        <f t="shared" ref="Q3" si="5">+P3*1.02</f>
        <v>2535.0619913649334</v>
      </c>
      <c r="R3" s="5">
        <f t="shared" ref="R3" si="6">+Q3*1.02</f>
        <v>2585.7632311922321</v>
      </c>
      <c r="S3" s="5">
        <f t="shared" ref="S3" si="7">+R3*1.02</f>
        <v>2637.4784958160767</v>
      </c>
    </row>
    <row r="4" spans="2:156" s="1" customFormat="1" x14ac:dyDescent="0.25">
      <c r="B4" s="1" t="s">
        <v>1</v>
      </c>
      <c r="E4" s="1">
        <v>901.1</v>
      </c>
      <c r="F4" s="1">
        <v>1155.9000000000001</v>
      </c>
      <c r="G4" s="1">
        <v>1115.2</v>
      </c>
      <c r="H4" s="1">
        <v>1093.9000000000001</v>
      </c>
      <c r="I4" s="1">
        <f t="shared" ref="I4:S4" si="8">+I3*0.5</f>
        <v>1081.8254999999999</v>
      </c>
      <c r="J4" s="1">
        <f t="shared" si="8"/>
        <v>1103.46201</v>
      </c>
      <c r="K4" s="1">
        <f t="shared" si="8"/>
        <v>1125.5312501999999</v>
      </c>
      <c r="L4" s="1">
        <f t="shared" si="8"/>
        <v>1148.041875204</v>
      </c>
      <c r="M4" s="1">
        <f t="shared" si="8"/>
        <v>1171.00271270808</v>
      </c>
      <c r="N4" s="1">
        <f t="shared" si="8"/>
        <v>1194.4227669622417</v>
      </c>
      <c r="O4" s="1">
        <f t="shared" si="8"/>
        <v>1218.3112223014866</v>
      </c>
      <c r="P4" s="1">
        <f t="shared" si="8"/>
        <v>1242.6774467475163</v>
      </c>
      <c r="Q4" s="1">
        <f t="shared" si="8"/>
        <v>1267.5309956824667</v>
      </c>
      <c r="R4" s="1">
        <f t="shared" si="8"/>
        <v>1292.881615596116</v>
      </c>
      <c r="S4" s="1">
        <f t="shared" si="8"/>
        <v>1318.7392479080384</v>
      </c>
    </row>
    <row r="5" spans="2:156" s="1" customFormat="1" x14ac:dyDescent="0.25">
      <c r="B5" s="1" t="s">
        <v>2</v>
      </c>
      <c r="D5" s="1">
        <f t="shared" ref="D5:G5" si="9">+D3-D4</f>
        <v>0</v>
      </c>
      <c r="E5" s="1">
        <f t="shared" si="9"/>
        <v>930.80000000000007</v>
      </c>
      <c r="F5" s="1">
        <f t="shared" si="9"/>
        <v>1078</v>
      </c>
      <c r="G5" s="1">
        <f t="shared" si="9"/>
        <v>1148.1000000000001</v>
      </c>
      <c r="H5" s="1">
        <f t="shared" ref="H5" si="10">+H3-H4</f>
        <v>1102.6999999999998</v>
      </c>
      <c r="I5" s="1">
        <f t="shared" ref="I5" si="11">+I3-I4</f>
        <v>1081.8254999999999</v>
      </c>
      <c r="J5" s="1">
        <f t="shared" ref="J5" si="12">+J3-J4</f>
        <v>1103.46201</v>
      </c>
      <c r="K5" s="1">
        <f t="shared" ref="K5" si="13">+K3-K4</f>
        <v>1125.5312501999999</v>
      </c>
      <c r="L5" s="1">
        <f t="shared" ref="L5" si="14">+L3-L4</f>
        <v>1148.041875204</v>
      </c>
      <c r="M5" s="1">
        <f t="shared" ref="M5" si="15">+M3-M4</f>
        <v>1171.00271270808</v>
      </c>
      <c r="N5" s="1">
        <f t="shared" ref="N5:S5" si="16">+N3-N4</f>
        <v>1194.4227669622417</v>
      </c>
      <c r="O5" s="1">
        <f t="shared" si="16"/>
        <v>1218.3112223014866</v>
      </c>
      <c r="P5" s="1">
        <f t="shared" si="16"/>
        <v>1242.6774467475163</v>
      </c>
      <c r="Q5" s="1">
        <f t="shared" si="16"/>
        <v>1267.5309956824667</v>
      </c>
      <c r="R5" s="1">
        <f t="shared" si="16"/>
        <v>1292.881615596116</v>
      </c>
      <c r="S5" s="1">
        <f t="shared" si="16"/>
        <v>1318.7392479080384</v>
      </c>
    </row>
    <row r="6" spans="2:156" s="1" customFormat="1" x14ac:dyDescent="0.25">
      <c r="B6" s="1" t="s">
        <v>3</v>
      </c>
      <c r="E6" s="1">
        <v>478.8</v>
      </c>
      <c r="F6" s="1">
        <v>774.5</v>
      </c>
      <c r="G6" s="1">
        <v>827.6</v>
      </c>
      <c r="H6" s="1">
        <v>813</v>
      </c>
      <c r="I6" s="1">
        <f>400*2</f>
        <v>800</v>
      </c>
      <c r="J6" s="1">
        <f>+J3*0.37</f>
        <v>816.56188739999993</v>
      </c>
      <c r="K6" s="1">
        <f t="shared" ref="K6:S6" si="17">+K3*0.37</f>
        <v>832.89312514799997</v>
      </c>
      <c r="L6" s="1">
        <f t="shared" si="17"/>
        <v>849.55098765096</v>
      </c>
      <c r="M6" s="1">
        <f t="shared" si="17"/>
        <v>866.54200740397926</v>
      </c>
      <c r="N6" s="1">
        <f t="shared" si="17"/>
        <v>883.87284755205883</v>
      </c>
      <c r="O6" s="1">
        <f t="shared" si="17"/>
        <v>901.55030450310005</v>
      </c>
      <c r="P6" s="1">
        <f t="shared" si="17"/>
        <v>919.58131059316213</v>
      </c>
      <c r="Q6" s="1">
        <f t="shared" si="17"/>
        <v>937.97293680502537</v>
      </c>
      <c r="R6" s="1">
        <f t="shared" si="17"/>
        <v>956.73239554112581</v>
      </c>
      <c r="S6" s="1">
        <f t="shared" si="17"/>
        <v>975.86704345194835</v>
      </c>
    </row>
    <row r="7" spans="2:156" s="1" customFormat="1" x14ac:dyDescent="0.25">
      <c r="B7" s="1" t="s">
        <v>4</v>
      </c>
      <c r="D7" s="1">
        <f t="shared" ref="D7:G7" si="18">+D5-D6</f>
        <v>0</v>
      </c>
      <c r="E7" s="1">
        <f t="shared" si="18"/>
        <v>452.00000000000006</v>
      </c>
      <c r="F7" s="1">
        <f t="shared" si="18"/>
        <v>303.5</v>
      </c>
      <c r="G7" s="1">
        <f t="shared" si="18"/>
        <v>320.50000000000011</v>
      </c>
      <c r="H7" s="1">
        <f t="shared" ref="H7" si="19">+H5-H6</f>
        <v>289.69999999999982</v>
      </c>
      <c r="I7" s="1">
        <f t="shared" ref="I7" si="20">+I5-I6</f>
        <v>281.82549999999992</v>
      </c>
      <c r="J7" s="1">
        <f t="shared" ref="J7" si="21">+J5-J6</f>
        <v>286.90012260000003</v>
      </c>
      <c r="K7" s="1">
        <f t="shared" ref="K7" si="22">+K5-K6</f>
        <v>292.63812505199996</v>
      </c>
      <c r="L7" s="1">
        <f t="shared" ref="L7" si="23">+L5-L6</f>
        <v>298.49088755304001</v>
      </c>
      <c r="M7" s="1">
        <f t="shared" ref="M7" si="24">+M5-M6</f>
        <v>304.46070530410077</v>
      </c>
      <c r="N7" s="1">
        <f t="shared" ref="N7:S7" si="25">+N5-N6</f>
        <v>310.54991941018284</v>
      </c>
      <c r="O7" s="1">
        <f t="shared" si="25"/>
        <v>316.76091779838657</v>
      </c>
      <c r="P7" s="1">
        <f t="shared" si="25"/>
        <v>323.09613615435421</v>
      </c>
      <c r="Q7" s="1">
        <f t="shared" si="25"/>
        <v>329.55805887744134</v>
      </c>
      <c r="R7" s="1">
        <f t="shared" si="25"/>
        <v>336.14922005499022</v>
      </c>
      <c r="S7" s="1">
        <f t="shared" si="25"/>
        <v>342.87220445609</v>
      </c>
    </row>
    <row r="8" spans="2:156" s="1" customFormat="1" x14ac:dyDescent="0.25">
      <c r="B8" s="1" t="s">
        <v>5</v>
      </c>
      <c r="E8" s="1">
        <v>-4.2</v>
      </c>
      <c r="F8" s="1">
        <v>-12.9</v>
      </c>
      <c r="G8" s="1">
        <v>-7.5</v>
      </c>
      <c r="H8" s="1">
        <v>7.9</v>
      </c>
      <c r="I8" s="1">
        <v>2</v>
      </c>
      <c r="J8" s="1">
        <v>2</v>
      </c>
      <c r="K8" s="1">
        <v>2</v>
      </c>
      <c r="L8" s="1">
        <v>2</v>
      </c>
      <c r="M8" s="1">
        <v>2</v>
      </c>
      <c r="N8" s="1">
        <v>2</v>
      </c>
      <c r="O8" s="1">
        <v>2</v>
      </c>
      <c r="P8" s="1">
        <v>2</v>
      </c>
      <c r="Q8" s="1">
        <v>2</v>
      </c>
      <c r="R8" s="1">
        <v>2</v>
      </c>
      <c r="S8" s="1">
        <v>2</v>
      </c>
    </row>
    <row r="9" spans="2:156" s="1" customFormat="1" x14ac:dyDescent="0.25">
      <c r="B9" s="1" t="s">
        <v>6</v>
      </c>
      <c r="D9" s="1">
        <f t="shared" ref="D9:G9" si="26">+D7+D8</f>
        <v>0</v>
      </c>
      <c r="E9" s="1">
        <f t="shared" si="26"/>
        <v>447.80000000000007</v>
      </c>
      <c r="F9" s="1">
        <f t="shared" si="26"/>
        <v>290.60000000000002</v>
      </c>
      <c r="G9" s="1">
        <f t="shared" si="26"/>
        <v>313.00000000000011</v>
      </c>
      <c r="H9" s="1">
        <f t="shared" ref="H9" si="27">+H7+H8</f>
        <v>297.5999999999998</v>
      </c>
      <c r="I9" s="1">
        <f>+I7+I8</f>
        <v>283.82549999999992</v>
      </c>
      <c r="J9" s="1">
        <f t="shared" ref="J9" si="28">+J7+J8</f>
        <v>288.90012260000003</v>
      </c>
      <c r="K9" s="1">
        <f t="shared" ref="K9" si="29">+K7+K8</f>
        <v>294.63812505199996</v>
      </c>
      <c r="L9" s="1">
        <f t="shared" ref="L9" si="30">+L7+L8</f>
        <v>300.49088755304001</v>
      </c>
      <c r="M9" s="1">
        <f t="shared" ref="M9" si="31">+M7+M8</f>
        <v>306.46070530410077</v>
      </c>
      <c r="N9" s="1">
        <f t="shared" ref="N9:S9" si="32">+N7+N8</f>
        <v>312.54991941018284</v>
      </c>
      <c r="O9" s="1">
        <f t="shared" si="32"/>
        <v>318.76091779838657</v>
      </c>
      <c r="P9" s="1">
        <f t="shared" si="32"/>
        <v>325.09613615435421</v>
      </c>
      <c r="Q9" s="1">
        <f t="shared" si="32"/>
        <v>331.55805887744134</v>
      </c>
      <c r="R9" s="1">
        <f t="shared" si="32"/>
        <v>338.14922005499022</v>
      </c>
      <c r="S9" s="1">
        <f t="shared" si="32"/>
        <v>344.87220445609</v>
      </c>
    </row>
    <row r="10" spans="2:156" s="1" customFormat="1" x14ac:dyDescent="0.25">
      <c r="B10" s="1" t="s">
        <v>7</v>
      </c>
      <c r="E10" s="1">
        <v>133.6</v>
      </c>
      <c r="F10" s="1">
        <v>81.7</v>
      </c>
      <c r="G10" s="1">
        <v>86.5</v>
      </c>
      <c r="H10" s="1">
        <v>85.6</v>
      </c>
      <c r="I10" s="1">
        <f t="shared" ref="I10:S10" si="33">+I9*0.285</f>
        <v>80.890267499999965</v>
      </c>
      <c r="J10" s="1">
        <f t="shared" si="33"/>
        <v>82.336534940999996</v>
      </c>
      <c r="K10" s="1">
        <f t="shared" si="33"/>
        <v>83.971865639819981</v>
      </c>
      <c r="L10" s="1">
        <f t="shared" si="33"/>
        <v>85.639902952616396</v>
      </c>
      <c r="M10" s="1">
        <f t="shared" si="33"/>
        <v>87.341301011668719</v>
      </c>
      <c r="N10" s="1">
        <f t="shared" si="33"/>
        <v>89.076727031902095</v>
      </c>
      <c r="O10" s="1">
        <f t="shared" si="33"/>
        <v>90.846861572540163</v>
      </c>
      <c r="P10" s="1">
        <f t="shared" si="33"/>
        <v>92.652398803990948</v>
      </c>
      <c r="Q10" s="1">
        <f t="shared" si="33"/>
        <v>94.494046780070775</v>
      </c>
      <c r="R10" s="1">
        <f t="shared" si="33"/>
        <v>96.372527715672206</v>
      </c>
      <c r="S10" s="1">
        <f t="shared" si="33"/>
        <v>98.288578269985649</v>
      </c>
    </row>
    <row r="11" spans="2:156" s="5" customFormat="1" x14ac:dyDescent="0.25">
      <c r="B11" s="5" t="s">
        <v>8</v>
      </c>
      <c r="D11" s="5">
        <f t="shared" ref="D11:G11" si="34">+D9-D10</f>
        <v>0</v>
      </c>
      <c r="E11" s="5">
        <f t="shared" si="34"/>
        <v>314.20000000000005</v>
      </c>
      <c r="F11" s="5">
        <f t="shared" si="34"/>
        <v>208.90000000000003</v>
      </c>
      <c r="G11" s="5">
        <f t="shared" si="34"/>
        <v>226.50000000000011</v>
      </c>
      <c r="H11" s="5">
        <f t="shared" ref="H11" si="35">+H9-H10</f>
        <v>211.9999999999998</v>
      </c>
      <c r="I11" s="5">
        <f t="shared" ref="I11" si="36">+I9-I10</f>
        <v>202.93523249999996</v>
      </c>
      <c r="J11" s="5">
        <f t="shared" ref="J11" si="37">+J9-J10</f>
        <v>206.56358765900004</v>
      </c>
      <c r="K11" s="5">
        <f t="shared" ref="K11:S11" si="38">+K9-K10</f>
        <v>210.66625941217998</v>
      </c>
      <c r="L11" s="5">
        <f t="shared" si="38"/>
        <v>214.8509846004236</v>
      </c>
      <c r="M11" s="5">
        <f t="shared" si="38"/>
        <v>219.11940429243205</v>
      </c>
      <c r="N11" s="5">
        <f t="shared" si="38"/>
        <v>223.47319237828074</v>
      </c>
      <c r="O11" s="5">
        <f t="shared" si="38"/>
        <v>227.91405622584642</v>
      </c>
      <c r="P11" s="5">
        <f t="shared" si="38"/>
        <v>232.44373735036328</v>
      </c>
      <c r="Q11" s="5">
        <f t="shared" si="38"/>
        <v>237.06401209737055</v>
      </c>
      <c r="R11" s="5">
        <f t="shared" si="38"/>
        <v>241.776692339318</v>
      </c>
      <c r="S11" s="5">
        <f t="shared" si="38"/>
        <v>246.58362618610437</v>
      </c>
      <c r="T11" s="5">
        <f t="shared" ref="T11:AT11" si="39">+S11*(1+TR)</f>
        <v>249.04946244796542</v>
      </c>
      <c r="U11" s="5">
        <f t="shared" si="39"/>
        <v>251.53995707244508</v>
      </c>
      <c r="V11" s="5">
        <f t="shared" si="39"/>
        <v>254.05535664316952</v>
      </c>
      <c r="W11" s="5">
        <f t="shared" si="39"/>
        <v>256.59591020960124</v>
      </c>
      <c r="X11" s="5">
        <f t="shared" si="39"/>
        <v>259.16186931169727</v>
      </c>
      <c r="Y11" s="5">
        <f t="shared" si="39"/>
        <v>261.75348800481424</v>
      </c>
      <c r="Z11" s="5">
        <f t="shared" si="39"/>
        <v>264.37102288486238</v>
      </c>
      <c r="AA11" s="5">
        <f t="shared" si="39"/>
        <v>267.01473311371103</v>
      </c>
      <c r="AB11" s="5">
        <f t="shared" si="39"/>
        <v>269.68488044484815</v>
      </c>
      <c r="AC11" s="5">
        <f t="shared" si="39"/>
        <v>272.38172924929665</v>
      </c>
      <c r="AD11" s="5">
        <f t="shared" si="39"/>
        <v>275.10554654178964</v>
      </c>
      <c r="AE11" s="5">
        <f t="shared" si="39"/>
        <v>277.85660200720753</v>
      </c>
      <c r="AF11" s="5">
        <f t="shared" si="39"/>
        <v>280.63516802727963</v>
      </c>
      <c r="AG11" s="5">
        <f t="shared" si="39"/>
        <v>283.44151970755246</v>
      </c>
      <c r="AH11" s="5">
        <f t="shared" si="39"/>
        <v>286.275934904628</v>
      </c>
      <c r="AI11" s="5">
        <f t="shared" si="39"/>
        <v>289.13869425367426</v>
      </c>
      <c r="AJ11" s="5">
        <f t="shared" si="39"/>
        <v>292.03008119621103</v>
      </c>
      <c r="AK11" s="5">
        <f t="shared" si="39"/>
        <v>294.95038200817316</v>
      </c>
      <c r="AL11" s="5">
        <f t="shared" si="39"/>
        <v>297.89988582825492</v>
      </c>
      <c r="AM11" s="5">
        <f t="shared" si="39"/>
        <v>300.8788846865375</v>
      </c>
      <c r="AN11" s="5">
        <f t="shared" si="39"/>
        <v>303.8876735334029</v>
      </c>
      <c r="AO11" s="5">
        <f t="shared" si="39"/>
        <v>306.92655026873695</v>
      </c>
      <c r="AP11" s="5">
        <f t="shared" si="39"/>
        <v>309.9958157714243</v>
      </c>
      <c r="AQ11" s="5">
        <f t="shared" si="39"/>
        <v>313.09577392913855</v>
      </c>
      <c r="AR11" s="5">
        <f t="shared" si="39"/>
        <v>316.22673166842992</v>
      </c>
      <c r="AS11" s="5">
        <f t="shared" si="39"/>
        <v>319.3889989851142</v>
      </c>
      <c r="AT11" s="5">
        <f t="shared" si="39"/>
        <v>322.58288897496533</v>
      </c>
      <c r="AU11" s="5">
        <f t="shared" ref="AU11:BZ11" si="40">+AT11*(1+TR)</f>
        <v>325.80871786471499</v>
      </c>
      <c r="AV11" s="5">
        <f t="shared" si="40"/>
        <v>329.06680504336214</v>
      </c>
      <c r="AW11" s="5">
        <f t="shared" si="40"/>
        <v>332.35747309379576</v>
      </c>
      <c r="AX11" s="5">
        <f t="shared" si="40"/>
        <v>335.6810478247337</v>
      </c>
      <c r="AY11" s="5">
        <f t="shared" si="40"/>
        <v>339.03785830298102</v>
      </c>
      <c r="AZ11" s="5">
        <f t="shared" si="40"/>
        <v>342.42823688601084</v>
      </c>
      <c r="BA11" s="5">
        <f t="shared" si="40"/>
        <v>345.85251925487097</v>
      </c>
      <c r="BB11" s="5">
        <f t="shared" si="40"/>
        <v>349.3110444474197</v>
      </c>
      <c r="BC11" s="5">
        <f t="shared" si="40"/>
        <v>352.80415489189392</v>
      </c>
      <c r="BD11" s="5">
        <f t="shared" si="40"/>
        <v>356.33219644081288</v>
      </c>
      <c r="BE11" s="5">
        <f t="shared" si="40"/>
        <v>359.89551840522103</v>
      </c>
      <c r="BF11" s="5">
        <f t="shared" si="40"/>
        <v>363.49447358927324</v>
      </c>
      <c r="BG11" s="5">
        <f t="shared" si="40"/>
        <v>367.129418325166</v>
      </c>
      <c r="BH11" s="5">
        <f t="shared" si="40"/>
        <v>370.80071250841769</v>
      </c>
      <c r="BI11" s="5">
        <f t="shared" si="40"/>
        <v>374.50871963350187</v>
      </c>
      <c r="BJ11" s="5">
        <f t="shared" si="40"/>
        <v>378.25380682983689</v>
      </c>
      <c r="BK11" s="5">
        <f t="shared" si="40"/>
        <v>382.03634489813527</v>
      </c>
      <c r="BL11" s="5">
        <f t="shared" si="40"/>
        <v>385.85670834711664</v>
      </c>
      <c r="BM11" s="5">
        <f t="shared" si="40"/>
        <v>389.71527543058778</v>
      </c>
      <c r="BN11" s="5">
        <f t="shared" si="40"/>
        <v>393.61242818489364</v>
      </c>
      <c r="BO11" s="5">
        <f t="shared" si="40"/>
        <v>397.54855246674259</v>
      </c>
      <c r="BP11" s="5">
        <f t="shared" si="40"/>
        <v>401.52403799141001</v>
      </c>
      <c r="BQ11" s="5">
        <f t="shared" si="40"/>
        <v>405.53927837132409</v>
      </c>
      <c r="BR11" s="5">
        <f t="shared" si="40"/>
        <v>409.5946711550373</v>
      </c>
      <c r="BS11" s="5">
        <f t="shared" si="40"/>
        <v>413.69061786658767</v>
      </c>
      <c r="BT11" s="5">
        <f t="shared" si="40"/>
        <v>417.82752404525354</v>
      </c>
      <c r="BU11" s="5">
        <f t="shared" si="40"/>
        <v>422.00579928570608</v>
      </c>
      <c r="BV11" s="5">
        <f t="shared" si="40"/>
        <v>426.22585727856313</v>
      </c>
      <c r="BW11" s="5">
        <f t="shared" si="40"/>
        <v>430.48811585134877</v>
      </c>
      <c r="BX11" s="5">
        <f t="shared" si="40"/>
        <v>434.79299700986223</v>
      </c>
      <c r="BY11" s="5">
        <f t="shared" si="40"/>
        <v>439.14092697996085</v>
      </c>
      <c r="BZ11" s="5">
        <f t="shared" si="40"/>
        <v>443.53233624976048</v>
      </c>
      <c r="CA11" s="5">
        <f t="shared" ref="CA11:DF11" si="41">+BZ11*(1+TR)</f>
        <v>447.9676596122581</v>
      </c>
      <c r="CB11" s="5">
        <f t="shared" si="41"/>
        <v>452.4473362083807</v>
      </c>
      <c r="CC11" s="5">
        <f t="shared" si="41"/>
        <v>456.97180957046453</v>
      </c>
      <c r="CD11" s="5">
        <f t="shared" si="41"/>
        <v>461.5415276661692</v>
      </c>
      <c r="CE11" s="5">
        <f t="shared" si="41"/>
        <v>466.15694294283088</v>
      </c>
      <c r="CF11" s="5">
        <f t="shared" si="41"/>
        <v>470.81851237225919</v>
      </c>
      <c r="CG11" s="5">
        <f t="shared" si="41"/>
        <v>475.52669749598181</v>
      </c>
      <c r="CH11" s="5">
        <f t="shared" si="41"/>
        <v>480.2819644709416</v>
      </c>
      <c r="CI11" s="5">
        <f t="shared" si="41"/>
        <v>485.08478411565102</v>
      </c>
      <c r="CJ11" s="5">
        <f t="shared" si="41"/>
        <v>489.93563195680753</v>
      </c>
      <c r="CK11" s="5">
        <f t="shared" si="41"/>
        <v>494.83498827637561</v>
      </c>
      <c r="CL11" s="5">
        <f t="shared" si="41"/>
        <v>499.78333815913936</v>
      </c>
      <c r="CM11" s="5">
        <f t="shared" si="41"/>
        <v>504.78117154073078</v>
      </c>
      <c r="CN11" s="5">
        <f t="shared" si="41"/>
        <v>509.82898325613809</v>
      </c>
      <c r="CO11" s="5">
        <f t="shared" si="41"/>
        <v>514.92727308869951</v>
      </c>
      <c r="CP11" s="5">
        <f t="shared" si="41"/>
        <v>520.0765458195865</v>
      </c>
      <c r="CQ11" s="5">
        <f t="shared" si="41"/>
        <v>525.27731127778236</v>
      </c>
      <c r="CR11" s="5">
        <f t="shared" si="41"/>
        <v>530.53008439056021</v>
      </c>
      <c r="CS11" s="5">
        <f t="shared" si="41"/>
        <v>535.83538523446578</v>
      </c>
      <c r="CT11" s="5">
        <f t="shared" si="41"/>
        <v>541.19373908681041</v>
      </c>
      <c r="CU11" s="5">
        <f t="shared" si="41"/>
        <v>546.60567647767857</v>
      </c>
      <c r="CV11" s="5">
        <f t="shared" si="41"/>
        <v>552.07173324245537</v>
      </c>
      <c r="CW11" s="5">
        <f t="shared" si="41"/>
        <v>557.59245057487988</v>
      </c>
      <c r="CX11" s="5">
        <f t="shared" si="41"/>
        <v>563.16837508062872</v>
      </c>
      <c r="CY11" s="5">
        <f t="shared" si="41"/>
        <v>568.80005883143497</v>
      </c>
      <c r="CZ11" s="5">
        <f t="shared" si="41"/>
        <v>574.48805941974933</v>
      </c>
      <c r="DA11" s="5">
        <f t="shared" si="41"/>
        <v>580.23294001394686</v>
      </c>
      <c r="DB11" s="5">
        <f t="shared" si="41"/>
        <v>586.03526941408632</v>
      </c>
      <c r="DC11" s="5">
        <f t="shared" si="41"/>
        <v>591.89562210822714</v>
      </c>
      <c r="DD11" s="5">
        <f t="shared" si="41"/>
        <v>597.81457832930937</v>
      </c>
      <c r="DE11" s="5">
        <f t="shared" si="41"/>
        <v>603.79272411260251</v>
      </c>
      <c r="DF11" s="5">
        <f t="shared" si="41"/>
        <v>609.83065135372851</v>
      </c>
      <c r="DG11" s="5">
        <f t="shared" ref="DG11:EL11" si="42">+DF11*(1+TR)</f>
        <v>615.92895786726581</v>
      </c>
      <c r="DH11" s="5">
        <f t="shared" si="42"/>
        <v>622.08824744593846</v>
      </c>
      <c r="DI11" s="5">
        <f t="shared" si="42"/>
        <v>628.30912992039782</v>
      </c>
      <c r="DJ11" s="5">
        <f t="shared" si="42"/>
        <v>634.59222121960181</v>
      </c>
      <c r="DK11" s="5">
        <f t="shared" si="42"/>
        <v>640.93814343179781</v>
      </c>
      <c r="DL11" s="5">
        <f t="shared" si="42"/>
        <v>647.3475248661158</v>
      </c>
      <c r="DM11" s="5">
        <f t="shared" si="42"/>
        <v>653.82100011477701</v>
      </c>
      <c r="DN11" s="5">
        <f t="shared" si="42"/>
        <v>660.35921011592484</v>
      </c>
      <c r="DO11" s="5">
        <f t="shared" si="42"/>
        <v>666.96280221708412</v>
      </c>
      <c r="DP11" s="5">
        <f t="shared" si="42"/>
        <v>673.63243023925497</v>
      </c>
      <c r="DQ11" s="5">
        <f t="shared" si="42"/>
        <v>680.36875454164749</v>
      </c>
      <c r="DR11" s="5">
        <f t="shared" si="42"/>
        <v>687.17244208706393</v>
      </c>
      <c r="DS11" s="5">
        <f t="shared" si="42"/>
        <v>694.04416650793462</v>
      </c>
      <c r="DT11" s="5">
        <f t="shared" si="42"/>
        <v>700.98460817301395</v>
      </c>
      <c r="DU11" s="5">
        <f t="shared" si="42"/>
        <v>707.99445425474414</v>
      </c>
      <c r="DV11" s="5">
        <f t="shared" si="42"/>
        <v>715.07439879729156</v>
      </c>
      <c r="DW11" s="5">
        <f t="shared" si="42"/>
        <v>722.22514278526444</v>
      </c>
      <c r="DX11" s="5">
        <f t="shared" si="42"/>
        <v>729.44739421311704</v>
      </c>
      <c r="DY11" s="5">
        <f t="shared" si="42"/>
        <v>736.7418681552482</v>
      </c>
      <c r="DZ11" s="5">
        <f t="shared" si="42"/>
        <v>744.10928683680072</v>
      </c>
      <c r="EA11" s="5">
        <f t="shared" si="42"/>
        <v>751.55037970516878</v>
      </c>
      <c r="EB11" s="5">
        <f t="shared" si="42"/>
        <v>759.06588350222046</v>
      </c>
      <c r="EC11" s="5">
        <f t="shared" si="42"/>
        <v>766.65654233724263</v>
      </c>
      <c r="ED11" s="5">
        <f t="shared" si="42"/>
        <v>774.32310776061502</v>
      </c>
      <c r="EE11" s="5">
        <f t="shared" si="42"/>
        <v>782.06633883822121</v>
      </c>
      <c r="EF11" s="5">
        <f t="shared" si="42"/>
        <v>789.88700222660339</v>
      </c>
      <c r="EG11" s="5">
        <f t="shared" si="42"/>
        <v>797.7858722488694</v>
      </c>
      <c r="EH11" s="5">
        <f t="shared" si="42"/>
        <v>805.76373097135809</v>
      </c>
      <c r="EI11" s="5">
        <f t="shared" si="42"/>
        <v>813.82136828107173</v>
      </c>
      <c r="EJ11" s="5">
        <f t="shared" si="42"/>
        <v>821.95958196388244</v>
      </c>
      <c r="EK11" s="5">
        <f t="shared" si="42"/>
        <v>830.17917778352125</v>
      </c>
      <c r="EL11" s="5">
        <f t="shared" si="42"/>
        <v>838.48096956135646</v>
      </c>
      <c r="EM11" s="5">
        <f t="shared" ref="EM11:EZ11" si="43">+EL11*(1+TR)</f>
        <v>846.86577925697009</v>
      </c>
      <c r="EN11" s="5">
        <f t="shared" si="43"/>
        <v>855.33443704953982</v>
      </c>
      <c r="EO11" s="5">
        <f t="shared" si="43"/>
        <v>863.88778142003525</v>
      </c>
      <c r="EP11" s="5">
        <f t="shared" si="43"/>
        <v>872.52665923423558</v>
      </c>
      <c r="EQ11" s="5">
        <f t="shared" si="43"/>
        <v>881.25192582657792</v>
      </c>
      <c r="ER11" s="5">
        <f t="shared" si="43"/>
        <v>890.06444508484367</v>
      </c>
      <c r="ES11" s="5">
        <f t="shared" si="43"/>
        <v>898.96508953569207</v>
      </c>
      <c r="ET11" s="5">
        <f t="shared" si="43"/>
        <v>907.954740431049</v>
      </c>
      <c r="EU11" s="5">
        <f t="shared" si="43"/>
        <v>917.03428783535946</v>
      </c>
      <c r="EV11" s="5">
        <f t="shared" si="43"/>
        <v>926.20463071371307</v>
      </c>
      <c r="EW11" s="5">
        <f t="shared" si="43"/>
        <v>935.46667702085017</v>
      </c>
      <c r="EX11" s="5">
        <f t="shared" si="43"/>
        <v>944.82134379105867</v>
      </c>
      <c r="EY11" s="5">
        <f t="shared" si="43"/>
        <v>954.26955722896923</v>
      </c>
      <c r="EZ11" s="5">
        <f t="shared" si="43"/>
        <v>963.81225280125898</v>
      </c>
    </row>
    <row r="12" spans="2:156" s="1" customFormat="1" x14ac:dyDescent="0.25">
      <c r="B12" s="1" t="s">
        <v>9</v>
      </c>
      <c r="E12" s="1">
        <v>44.778796999999997</v>
      </c>
      <c r="F12" s="1">
        <v>43.974525</v>
      </c>
      <c r="G12" s="1">
        <v>42.740268999999998</v>
      </c>
      <c r="H12" s="1">
        <v>42.561521999999997</v>
      </c>
      <c r="I12" s="1">
        <v>43.974525</v>
      </c>
      <c r="J12" s="1">
        <v>43.974525</v>
      </c>
      <c r="K12" s="1">
        <v>43.974525</v>
      </c>
      <c r="L12" s="1">
        <v>43.974525</v>
      </c>
      <c r="M12" s="1">
        <v>43.974525</v>
      </c>
      <c r="N12" s="1">
        <v>43.974525</v>
      </c>
      <c r="O12" s="1">
        <v>43.974525</v>
      </c>
      <c r="P12" s="1">
        <v>43.974525</v>
      </c>
      <c r="Q12" s="1">
        <v>43.974525</v>
      </c>
      <c r="R12" s="1">
        <v>43.974525</v>
      </c>
      <c r="S12" s="1">
        <v>43.974525</v>
      </c>
    </row>
    <row r="13" spans="2:156" s="4" customFormat="1" x14ac:dyDescent="0.25">
      <c r="B13" s="4" t="s">
        <v>10</v>
      </c>
      <c r="E13" s="4">
        <f>+E11/E12</f>
        <v>7.0167137361908152</v>
      </c>
      <c r="F13" s="4">
        <f>+F11/F12</f>
        <v>4.7504776913451598</v>
      </c>
      <c r="G13" s="4">
        <f>+G11/G12</f>
        <v>5.2994519056489819</v>
      </c>
      <c r="H13" s="4">
        <f t="shared" ref="H13:S13" si="44">+H11/H12</f>
        <v>4.9810248797023711</v>
      </c>
      <c r="I13" s="4">
        <f t="shared" si="44"/>
        <v>4.6148362603120772</v>
      </c>
      <c r="J13" s="4">
        <f t="shared" si="44"/>
        <v>4.6973466492020099</v>
      </c>
      <c r="K13" s="4">
        <f t="shared" si="44"/>
        <v>4.7906432056328061</v>
      </c>
      <c r="L13" s="4">
        <f t="shared" si="44"/>
        <v>4.8858056931922196</v>
      </c>
      <c r="M13" s="4">
        <f t="shared" si="44"/>
        <v>4.9828714305028203</v>
      </c>
      <c r="N13" s="4">
        <f t="shared" si="44"/>
        <v>5.0818784825596355</v>
      </c>
      <c r="O13" s="4">
        <f t="shared" si="44"/>
        <v>5.1828656756575864</v>
      </c>
      <c r="P13" s="4">
        <f t="shared" si="44"/>
        <v>5.2858726126174931</v>
      </c>
      <c r="Q13" s="4">
        <f t="shared" si="44"/>
        <v>5.3909396883166005</v>
      </c>
      <c r="R13" s="4">
        <f t="shared" si="44"/>
        <v>5.4981081055296901</v>
      </c>
      <c r="S13" s="4">
        <f t="shared" si="44"/>
        <v>5.6074198910870408</v>
      </c>
    </row>
    <row r="14" spans="2:156" s="1" customFormat="1" x14ac:dyDescent="0.25">
      <c r="U14" s="2" t="s">
        <v>22</v>
      </c>
      <c r="V14" s="2">
        <v>9.5000000000000001E-2</v>
      </c>
    </row>
    <row r="15" spans="2:156" s="2" customFormat="1" x14ac:dyDescent="0.25">
      <c r="B15" s="2" t="s">
        <v>11</v>
      </c>
      <c r="E15" s="2">
        <f>+E5/E3</f>
        <v>0.50810633768218794</v>
      </c>
      <c r="F15" s="2">
        <f>+F5/F3</f>
        <v>0.48256412552039035</v>
      </c>
      <c r="G15" s="2">
        <f>+G5/G3</f>
        <v>0.50726814827906153</v>
      </c>
      <c r="H15" s="2">
        <f t="shared" ref="H15:N15" si="45">+H5/H3</f>
        <v>0.50200309569334423</v>
      </c>
      <c r="I15" s="2">
        <f t="shared" si="45"/>
        <v>0.5</v>
      </c>
      <c r="J15" s="2">
        <f t="shared" si="45"/>
        <v>0.5</v>
      </c>
      <c r="K15" s="2">
        <f t="shared" si="45"/>
        <v>0.5</v>
      </c>
      <c r="L15" s="2">
        <f t="shared" si="45"/>
        <v>0.5</v>
      </c>
      <c r="M15" s="2">
        <f t="shared" si="45"/>
        <v>0.5</v>
      </c>
      <c r="N15" s="2">
        <f t="shared" si="45"/>
        <v>0.5</v>
      </c>
      <c r="O15" s="2">
        <f t="shared" ref="O15:S15" si="46">+O5/O3</f>
        <v>0.5</v>
      </c>
      <c r="P15" s="2">
        <f t="shared" si="46"/>
        <v>0.5</v>
      </c>
      <c r="Q15" s="2">
        <f t="shared" si="46"/>
        <v>0.5</v>
      </c>
      <c r="R15" s="2">
        <f t="shared" si="46"/>
        <v>0.5</v>
      </c>
      <c r="S15" s="2">
        <f t="shared" si="46"/>
        <v>0.5</v>
      </c>
      <c r="U15" s="2" t="s">
        <v>21</v>
      </c>
      <c r="V15" s="2">
        <v>0.01</v>
      </c>
    </row>
    <row r="16" spans="2:156" s="2" customFormat="1" x14ac:dyDescent="0.25">
      <c r="B16" s="2" t="s">
        <v>34</v>
      </c>
      <c r="E16" s="2">
        <f>+E7/E3</f>
        <v>0.24673835908073588</v>
      </c>
      <c r="F16" s="2">
        <f t="shared" ref="F16:S16" si="47">+F7/F3</f>
        <v>0.13586105018129727</v>
      </c>
      <c r="G16" s="2">
        <f t="shared" si="47"/>
        <v>0.14160738744311407</v>
      </c>
      <c r="H16" s="2">
        <f t="shared" si="47"/>
        <v>0.13188564144587081</v>
      </c>
      <c r="I16" s="7">
        <f t="shared" si="47"/>
        <v>0.13025460205920453</v>
      </c>
      <c r="J16" s="7">
        <f t="shared" si="47"/>
        <v>0.13000000000000003</v>
      </c>
      <c r="K16" s="2">
        <f t="shared" si="47"/>
        <v>0.13</v>
      </c>
      <c r="L16" s="2">
        <f t="shared" si="47"/>
        <v>0.13</v>
      </c>
      <c r="M16" s="2">
        <f t="shared" si="47"/>
        <v>0.12999999999999998</v>
      </c>
      <c r="N16" s="2">
        <f t="shared" si="47"/>
        <v>0.13</v>
      </c>
      <c r="O16" s="2">
        <f t="shared" si="47"/>
        <v>0.13000000000000003</v>
      </c>
      <c r="P16" s="2">
        <f t="shared" si="47"/>
        <v>0.12999999999999998</v>
      </c>
      <c r="Q16" s="2">
        <f t="shared" si="47"/>
        <v>0.13</v>
      </c>
      <c r="R16" s="2">
        <f t="shared" si="47"/>
        <v>0.13000000000000003</v>
      </c>
      <c r="S16" s="2">
        <f t="shared" si="47"/>
        <v>0.13</v>
      </c>
      <c r="U16" s="1" t="s">
        <v>36</v>
      </c>
      <c r="V16" s="1">
        <f>NPV(V14,G29:FR29)</f>
        <v>2562.8666106213109</v>
      </c>
    </row>
    <row r="17" spans="2:156" s="2" customFormat="1" x14ac:dyDescent="0.25">
      <c r="B17" s="2" t="s">
        <v>12</v>
      </c>
      <c r="E17" s="2">
        <f t="shared" ref="E17:H17" si="48">+E11/E3</f>
        <v>0.17151591244063541</v>
      </c>
      <c r="F17" s="2">
        <f t="shared" si="48"/>
        <v>9.3513586105018143E-2</v>
      </c>
      <c r="G17" s="2">
        <f t="shared" si="48"/>
        <v>0.10007511156276239</v>
      </c>
      <c r="H17" s="2">
        <f t="shared" si="48"/>
        <v>9.6512792497496044E-2</v>
      </c>
      <c r="I17" s="2">
        <f>+I11/I3</f>
        <v>9.3792960371150411E-2</v>
      </c>
      <c r="J17" s="2">
        <f t="shared" ref="J17:S17" si="49">+J11/J3</f>
        <v>9.359796068511686E-2</v>
      </c>
      <c r="K17" s="2">
        <f t="shared" si="49"/>
        <v>9.3585255573643958E-2</v>
      </c>
      <c r="L17" s="2">
        <f t="shared" si="49"/>
        <v>9.3572799582003874E-2</v>
      </c>
      <c r="M17" s="2">
        <f t="shared" si="49"/>
        <v>9.3560587825493993E-2</v>
      </c>
      <c r="N17" s="2">
        <f t="shared" si="49"/>
        <v>9.3548615515190198E-2</v>
      </c>
      <c r="O17" s="2">
        <f t="shared" si="49"/>
        <v>9.353687795606884E-2</v>
      </c>
      <c r="P17" s="2">
        <f t="shared" si="49"/>
        <v>9.3525370545165507E-2</v>
      </c>
      <c r="Q17" s="2">
        <f t="shared" si="49"/>
        <v>9.3514088769770104E-2</v>
      </c>
      <c r="R17" s="2">
        <f t="shared" si="49"/>
        <v>9.3503028205656979E-2</v>
      </c>
      <c r="S17" s="2">
        <f t="shared" si="49"/>
        <v>9.3492184515349977E-2</v>
      </c>
      <c r="U17" s="1" t="s">
        <v>37</v>
      </c>
      <c r="V17" s="1">
        <v>-70</v>
      </c>
    </row>
    <row r="18" spans="2:156" s="2" customFormat="1" x14ac:dyDescent="0.25">
      <c r="B18" s="2" t="s">
        <v>26</v>
      </c>
      <c r="E18" s="2">
        <f>+E6/E3</f>
        <v>0.26136797860145206</v>
      </c>
      <c r="F18" s="2">
        <f>+F6/F3</f>
        <v>0.34670307533909306</v>
      </c>
      <c r="G18" s="2">
        <f>+G6/G3</f>
        <v>0.36566076083594751</v>
      </c>
      <c r="H18" s="2">
        <f t="shared" ref="H18:N18" si="50">+H6/H3</f>
        <v>0.37011745424747339</v>
      </c>
      <c r="I18" s="7">
        <f t="shared" si="50"/>
        <v>0.36974539794079547</v>
      </c>
      <c r="J18" s="2">
        <f t="shared" si="50"/>
        <v>0.37</v>
      </c>
      <c r="K18" s="2">
        <f t="shared" si="50"/>
        <v>0.37</v>
      </c>
      <c r="L18" s="2">
        <f t="shared" si="50"/>
        <v>0.37</v>
      </c>
      <c r="M18" s="2">
        <f t="shared" si="50"/>
        <v>0.37</v>
      </c>
      <c r="N18" s="2">
        <f t="shared" si="50"/>
        <v>0.37</v>
      </c>
      <c r="O18" s="2">
        <f t="shared" ref="O18:S18" si="51">+O6/O3</f>
        <v>0.37</v>
      </c>
      <c r="P18" s="2">
        <f t="shared" si="51"/>
        <v>0.37</v>
      </c>
      <c r="Q18" s="2">
        <f t="shared" si="51"/>
        <v>0.37</v>
      </c>
      <c r="R18" s="2">
        <f t="shared" si="51"/>
        <v>0.37</v>
      </c>
      <c r="S18" s="2">
        <f t="shared" si="51"/>
        <v>0.37</v>
      </c>
      <c r="U18" s="1" t="s">
        <v>23</v>
      </c>
      <c r="V18" s="1">
        <f>+V16+V17</f>
        <v>2492.8666106213109</v>
      </c>
    </row>
    <row r="19" spans="2:156" s="2" customFormat="1" x14ac:dyDescent="0.25">
      <c r="U19" s="1" t="s">
        <v>24</v>
      </c>
      <c r="V19" s="1">
        <f>+V18/S12</f>
        <v>56.688880905963416</v>
      </c>
    </row>
    <row r="20" spans="2:156" s="2" customFormat="1" x14ac:dyDescent="0.25">
      <c r="B20" s="2" t="s">
        <v>13</v>
      </c>
      <c r="F20" s="2">
        <f t="shared" ref="F20:N20" si="52">+F3/E3 -1</f>
        <v>0.21944429281074296</v>
      </c>
      <c r="G20" s="2">
        <f t="shared" si="52"/>
        <v>1.3160839786919842E-2</v>
      </c>
      <c r="H20" s="2">
        <f t="shared" si="52"/>
        <v>-2.9470242566164595E-2</v>
      </c>
      <c r="I20" s="2">
        <f t="shared" si="52"/>
        <v>-1.5000000000000013E-2</v>
      </c>
      <c r="J20" s="2">
        <f t="shared" si="52"/>
        <v>2.0000000000000018E-2</v>
      </c>
      <c r="K20" s="2">
        <f t="shared" si="52"/>
        <v>2.0000000000000018E-2</v>
      </c>
      <c r="L20" s="2">
        <f t="shared" si="52"/>
        <v>2.0000000000000018E-2</v>
      </c>
      <c r="M20" s="2">
        <f t="shared" si="52"/>
        <v>2.0000000000000018E-2</v>
      </c>
      <c r="N20" s="2">
        <f t="shared" si="52"/>
        <v>2.0000000000000018E-2</v>
      </c>
      <c r="O20" s="2">
        <f t="shared" ref="O20" si="53">+O3/N3 -1</f>
        <v>2.0000000000000018E-2</v>
      </c>
      <c r="P20" s="2">
        <f t="shared" ref="P20" si="54">+P3/O3 -1</f>
        <v>2.0000000000000018E-2</v>
      </c>
      <c r="Q20" s="2">
        <f t="shared" ref="Q20" si="55">+Q3/P3 -1</f>
        <v>2.0000000000000018E-2</v>
      </c>
      <c r="R20" s="2">
        <f t="shared" ref="R20" si="56">+R3/Q3 -1</f>
        <v>2.0000000000000018E-2</v>
      </c>
      <c r="S20" s="2">
        <f t="shared" ref="S20" si="57">+S3/R3 -1</f>
        <v>2.0000000000000018E-2</v>
      </c>
      <c r="U20" s="1"/>
      <c r="V20" s="1"/>
    </row>
    <row r="21" spans="2:156" s="1" customFormat="1" x14ac:dyDescent="0.25">
      <c r="U21" s="1" t="s">
        <v>43</v>
      </c>
      <c r="V21" s="1">
        <v>55</v>
      </c>
    </row>
    <row r="22" spans="2:156" s="1" customFormat="1" x14ac:dyDescent="0.25">
      <c r="B22" s="1" t="s">
        <v>38</v>
      </c>
      <c r="G22" s="1">
        <v>132</v>
      </c>
      <c r="H22" s="1">
        <v>138.19999999999999</v>
      </c>
      <c r="I22" s="1">
        <v>135</v>
      </c>
      <c r="U22" s="1" t="s">
        <v>44</v>
      </c>
      <c r="V22" s="1">
        <f>+V21*S12-V17</f>
        <v>2488.5988750000001</v>
      </c>
    </row>
    <row r="23" spans="2:156" s="1" customFormat="1" x14ac:dyDescent="0.25">
      <c r="B23" s="1" t="s">
        <v>39</v>
      </c>
      <c r="G23" s="1">
        <v>127</v>
      </c>
      <c r="H23" s="1">
        <v>104.5</v>
      </c>
      <c r="I23" s="1">
        <v>120</v>
      </c>
      <c r="U23" s="1" t="s">
        <v>42</v>
      </c>
      <c r="V23" s="3">
        <f>+I28/V22</f>
        <v>8.5564304733521973E-2</v>
      </c>
    </row>
    <row r="24" spans="2:156" s="1" customFormat="1" x14ac:dyDescent="0.25">
      <c r="B24" s="1" t="s">
        <v>40</v>
      </c>
      <c r="G24" s="1">
        <v>469.2</v>
      </c>
      <c r="H24" s="1">
        <v>471</v>
      </c>
      <c r="I24" s="1">
        <f>+I11+I22+I23</f>
        <v>457.93523249999998</v>
      </c>
      <c r="U24" s="1" t="s">
        <v>45</v>
      </c>
      <c r="V24" s="3">
        <f>+I43/V22</f>
        <v>7.6284575693220127E-2</v>
      </c>
    </row>
    <row r="25" spans="2:156" s="1" customFormat="1" x14ac:dyDescent="0.25">
      <c r="B25" s="1" t="s">
        <v>41</v>
      </c>
      <c r="G25" s="1">
        <f>+G26-G24</f>
        <v>-115.89999999999998</v>
      </c>
      <c r="H25" s="1">
        <f>+H26-H24</f>
        <v>-113.30000000000001</v>
      </c>
      <c r="I25" s="1">
        <v>-160</v>
      </c>
    </row>
    <row r="26" spans="2:156" s="1" customFormat="1" x14ac:dyDescent="0.25">
      <c r="B26" s="1" t="s">
        <v>14</v>
      </c>
      <c r="E26" s="1">
        <v>410.3</v>
      </c>
      <c r="F26" s="1">
        <v>428</v>
      </c>
      <c r="G26" s="1">
        <v>353.3</v>
      </c>
      <c r="H26" s="1">
        <v>357.7</v>
      </c>
      <c r="I26" s="1">
        <f>+I24+I25</f>
        <v>297.93523249999998</v>
      </c>
    </row>
    <row r="27" spans="2:156" s="1" customFormat="1" x14ac:dyDescent="0.25">
      <c r="B27" s="1" t="s">
        <v>15</v>
      </c>
      <c r="E27" s="1">
        <v>74.900000000000006</v>
      </c>
      <c r="F27" s="1">
        <v>96.3</v>
      </c>
      <c r="G27" s="1">
        <v>104.6</v>
      </c>
      <c r="H27" s="1">
        <v>86.9</v>
      </c>
      <c r="I27" s="1">
        <v>85</v>
      </c>
    </row>
    <row r="28" spans="2:156" s="1" customFormat="1" x14ac:dyDescent="0.25">
      <c r="B28" s="1" t="s">
        <v>16</v>
      </c>
      <c r="E28" s="1">
        <f>+E26-E27</f>
        <v>335.4</v>
      </c>
      <c r="F28" s="1">
        <f>+F26-F27</f>
        <v>331.7</v>
      </c>
      <c r="G28" s="1">
        <f>+G26-G27</f>
        <v>248.70000000000002</v>
      </c>
      <c r="H28" s="1">
        <f>+H26-H27</f>
        <v>270.79999999999995</v>
      </c>
      <c r="I28" s="1">
        <f>+I26-I27</f>
        <v>212.93523249999998</v>
      </c>
      <c r="J28" s="1">
        <f t="shared" ref="J28:S28" si="58">+J11</f>
        <v>206.56358765900004</v>
      </c>
      <c r="K28" s="1">
        <f t="shared" si="58"/>
        <v>210.66625941217998</v>
      </c>
      <c r="L28" s="1">
        <f t="shared" si="58"/>
        <v>214.8509846004236</v>
      </c>
      <c r="M28" s="1">
        <f t="shared" si="58"/>
        <v>219.11940429243205</v>
      </c>
      <c r="N28" s="1">
        <f t="shared" si="58"/>
        <v>223.47319237828074</v>
      </c>
      <c r="O28" s="1">
        <f t="shared" si="58"/>
        <v>227.91405622584642</v>
      </c>
      <c r="P28" s="1">
        <f t="shared" si="58"/>
        <v>232.44373735036328</v>
      </c>
      <c r="Q28" s="1">
        <f t="shared" si="58"/>
        <v>237.06401209737055</v>
      </c>
      <c r="R28" s="1">
        <f t="shared" si="58"/>
        <v>241.776692339318</v>
      </c>
      <c r="S28" s="1">
        <f t="shared" si="58"/>
        <v>246.58362618610437</v>
      </c>
    </row>
    <row r="29" spans="2:156" s="1" customFormat="1" x14ac:dyDescent="0.25">
      <c r="B29" s="1" t="s">
        <v>35</v>
      </c>
      <c r="F29" s="1">
        <f>+F28-F8</f>
        <v>344.59999999999997</v>
      </c>
      <c r="G29" s="1">
        <f>+G28-G8</f>
        <v>256.20000000000005</v>
      </c>
      <c r="H29" s="1">
        <f>+H28-H8</f>
        <v>262.89999999999998</v>
      </c>
      <c r="I29" s="1">
        <f>+I28-I8</f>
        <v>210.93523249999998</v>
      </c>
      <c r="J29" s="1">
        <f t="shared" ref="J29:S29" si="59">+J28-J8</f>
        <v>204.56358765900004</v>
      </c>
      <c r="K29" s="1">
        <f t="shared" si="59"/>
        <v>208.66625941217998</v>
      </c>
      <c r="L29" s="1">
        <f t="shared" si="59"/>
        <v>212.8509846004236</v>
      </c>
      <c r="M29" s="1">
        <f t="shared" si="59"/>
        <v>217.11940429243205</v>
      </c>
      <c r="N29" s="1">
        <f t="shared" si="59"/>
        <v>221.47319237828074</v>
      </c>
      <c r="O29" s="1">
        <f t="shared" si="59"/>
        <v>225.91405622584642</v>
      </c>
      <c r="P29" s="1">
        <f t="shared" si="59"/>
        <v>230.44373735036328</v>
      </c>
      <c r="Q29" s="1">
        <f t="shared" si="59"/>
        <v>235.06401209737055</v>
      </c>
      <c r="R29" s="1">
        <f t="shared" si="59"/>
        <v>239.776692339318</v>
      </c>
      <c r="S29" s="1">
        <f t="shared" si="59"/>
        <v>244.58362618610437</v>
      </c>
      <c r="T29" s="6">
        <f t="shared" ref="T29" si="60">+S29*(1+TR)</f>
        <v>247.02946244796541</v>
      </c>
      <c r="U29" s="6">
        <f t="shared" ref="U29" si="61">+T29*(1+TR)</f>
        <v>249.49975707244508</v>
      </c>
      <c r="V29" s="6">
        <f t="shared" ref="V29" si="62">+U29*(1+TR)</f>
        <v>251.99475464316953</v>
      </c>
      <c r="W29" s="6">
        <f t="shared" ref="W29" si="63">+V29*(1+TR)</f>
        <v>254.51470218960122</v>
      </c>
      <c r="X29" s="6">
        <f t="shared" ref="X29" si="64">+W29*(1+TR)</f>
        <v>257.05984921149724</v>
      </c>
      <c r="Y29" s="6">
        <f t="shared" ref="Y29" si="65">+X29*(1+TR)</f>
        <v>259.63044770361222</v>
      </c>
      <c r="Z29" s="6">
        <f t="shared" ref="Z29" si="66">+Y29*(1+TR)</f>
        <v>262.22675218064836</v>
      </c>
      <c r="AA29" s="6">
        <f t="shared" ref="AA29" si="67">+Z29*(1+TR)</f>
        <v>264.84901970245483</v>
      </c>
      <c r="AB29" s="6">
        <f t="shared" ref="AB29" si="68">+AA29*(1+TR)</f>
        <v>267.49750989947938</v>
      </c>
      <c r="AC29" s="6">
        <f t="shared" ref="AC29" si="69">+AB29*(1+TR)</f>
        <v>270.1724849984742</v>
      </c>
      <c r="AD29" s="6">
        <f t="shared" ref="AD29" si="70">+AC29*(1+TR)</f>
        <v>272.87420984845897</v>
      </c>
      <c r="AE29" s="6">
        <f t="shared" ref="AE29" si="71">+AD29*(1+TR)</f>
        <v>275.60295194694356</v>
      </c>
      <c r="AF29" s="6">
        <f t="shared" ref="AF29" si="72">+AE29*(1+TR)</f>
        <v>278.35898146641301</v>
      </c>
      <c r="AG29" s="6">
        <f t="shared" ref="AG29" si="73">+AF29*(1+TR)</f>
        <v>281.14257128107715</v>
      </c>
      <c r="AH29" s="6">
        <f t="shared" ref="AH29" si="74">+AG29*(1+TR)</f>
        <v>283.95399699388793</v>
      </c>
      <c r="AI29" s="6">
        <f t="shared" ref="AI29" si="75">+AH29*(1+TR)</f>
        <v>286.7935369638268</v>
      </c>
      <c r="AJ29" s="6">
        <f t="shared" ref="AJ29" si="76">+AI29*(1+TR)</f>
        <v>289.66147233346504</v>
      </c>
      <c r="AK29" s="6">
        <f t="shared" ref="AK29" si="77">+AJ29*(1+TR)</f>
        <v>292.55808705679971</v>
      </c>
      <c r="AL29" s="6">
        <f t="shared" ref="AL29" si="78">+AK29*(1+TR)</f>
        <v>295.48366792736772</v>
      </c>
      <c r="AM29" s="6">
        <f t="shared" ref="AM29" si="79">+AL29*(1+TR)</f>
        <v>298.4385046066414</v>
      </c>
      <c r="AN29" s="6">
        <f t="shared" ref="AN29" si="80">+AM29*(1+TR)</f>
        <v>301.42288965270779</v>
      </c>
      <c r="AO29" s="6">
        <f t="shared" ref="AO29" si="81">+AN29*(1+TR)</f>
        <v>304.43711854923487</v>
      </c>
      <c r="AP29" s="6">
        <f t="shared" ref="AP29" si="82">+AO29*(1+TR)</f>
        <v>307.48148973472723</v>
      </c>
      <c r="AQ29" s="6">
        <f t="shared" ref="AQ29" si="83">+AP29*(1+TR)</f>
        <v>310.5563046320745</v>
      </c>
      <c r="AR29" s="6">
        <f t="shared" ref="AR29" si="84">+AQ29*(1+TR)</f>
        <v>313.66186767839525</v>
      </c>
      <c r="AS29" s="6">
        <f t="shared" ref="AS29" si="85">+AR29*(1+TR)</f>
        <v>316.79848635517919</v>
      </c>
      <c r="AT29" s="6">
        <f t="shared" ref="AT29" si="86">+AS29*(1+TR)</f>
        <v>319.96647121873099</v>
      </c>
      <c r="AU29" s="6">
        <f t="shared" ref="AU29" si="87">+AT29*(1+TR)</f>
        <v>323.1661359309183</v>
      </c>
      <c r="AV29" s="6">
        <f t="shared" ref="AV29" si="88">+AU29*(1+TR)</f>
        <v>326.39779729022752</v>
      </c>
      <c r="AW29" s="6">
        <f t="shared" ref="AW29" si="89">+AV29*(1+TR)</f>
        <v>329.66177526312981</v>
      </c>
      <c r="AX29" s="6">
        <f t="shared" ref="AX29" si="90">+AW29*(1+TR)</f>
        <v>332.95839301576109</v>
      </c>
      <c r="AY29" s="6">
        <f t="shared" ref="AY29" si="91">+AX29*(1+TR)</f>
        <v>336.28797694591873</v>
      </c>
      <c r="AZ29" s="6">
        <f t="shared" ref="AZ29" si="92">+AY29*(1+TR)</f>
        <v>339.65085671537793</v>
      </c>
      <c r="BA29" s="6">
        <f t="shared" ref="BA29" si="93">+AZ29*(1+TR)</f>
        <v>343.0473652825317</v>
      </c>
      <c r="BB29" s="6">
        <f t="shared" ref="BB29" si="94">+BA29*(1+TR)</f>
        <v>346.477838935357</v>
      </c>
      <c r="BC29" s="6">
        <f t="shared" ref="BC29" si="95">+BB29*(1+TR)</f>
        <v>349.94261732471057</v>
      </c>
      <c r="BD29" s="6">
        <f t="shared" ref="BD29" si="96">+BC29*(1+TR)</f>
        <v>353.44204349795768</v>
      </c>
      <c r="BE29" s="6">
        <f t="shared" ref="BE29" si="97">+BD29*(1+TR)</f>
        <v>356.97646393293724</v>
      </c>
      <c r="BF29" s="6">
        <f t="shared" ref="BF29" si="98">+BE29*(1+TR)</f>
        <v>360.54622857226661</v>
      </c>
      <c r="BG29" s="6">
        <f t="shared" ref="BG29" si="99">+BF29*(1+TR)</f>
        <v>364.15169085798931</v>
      </c>
      <c r="BH29" s="6">
        <f t="shared" ref="BH29" si="100">+BG29*(1+TR)</f>
        <v>367.7932077665692</v>
      </c>
      <c r="BI29" s="6">
        <f t="shared" ref="BI29" si="101">+BH29*(1+TR)</f>
        <v>371.47113984423487</v>
      </c>
      <c r="BJ29" s="6">
        <f t="shared" ref="BJ29" si="102">+BI29*(1+TR)</f>
        <v>375.18585124267724</v>
      </c>
      <c r="BK29" s="6">
        <f t="shared" ref="BK29" si="103">+BJ29*(1+TR)</f>
        <v>378.93770975510404</v>
      </c>
      <c r="BL29" s="6">
        <f t="shared" ref="BL29" si="104">+BK29*(1+TR)</f>
        <v>382.72708685265508</v>
      </c>
      <c r="BM29" s="6">
        <f t="shared" ref="BM29" si="105">+BL29*(1+TR)</f>
        <v>386.55435772118165</v>
      </c>
      <c r="BN29" s="6">
        <f t="shared" ref="BN29" si="106">+BM29*(1+TR)</f>
        <v>390.41990129839348</v>
      </c>
      <c r="BO29" s="6">
        <f t="shared" ref="BO29" si="107">+BN29*(1+TR)</f>
        <v>394.32410031137744</v>
      </c>
      <c r="BP29" s="6">
        <f t="shared" ref="BP29" si="108">+BO29*(1+TR)</f>
        <v>398.2673413144912</v>
      </c>
      <c r="BQ29" s="6">
        <f t="shared" ref="BQ29" si="109">+BP29*(1+TR)</f>
        <v>402.25001472763614</v>
      </c>
      <c r="BR29" s="6">
        <f t="shared" ref="BR29" si="110">+BQ29*(1+TR)</f>
        <v>406.27251487491253</v>
      </c>
      <c r="BS29" s="6">
        <f t="shared" ref="BS29" si="111">+BR29*(1+TR)</f>
        <v>410.33524002366164</v>
      </c>
      <c r="BT29" s="6">
        <f t="shared" ref="BT29" si="112">+BS29*(1+TR)</f>
        <v>414.43859242389829</v>
      </c>
      <c r="BU29" s="6">
        <f t="shared" ref="BU29" si="113">+BT29*(1+TR)</f>
        <v>418.58297834813726</v>
      </c>
      <c r="BV29" s="6">
        <f t="shared" ref="BV29" si="114">+BU29*(1+TR)</f>
        <v>422.76880813161864</v>
      </c>
      <c r="BW29" s="6">
        <f t="shared" ref="BW29" si="115">+BV29*(1+TR)</f>
        <v>426.99649621293486</v>
      </c>
      <c r="BX29" s="6">
        <f t="shared" ref="BX29" si="116">+BW29*(1+TR)</f>
        <v>431.26646117506419</v>
      </c>
      <c r="BY29" s="6">
        <f t="shared" ref="BY29" si="117">+BX29*(1+TR)</f>
        <v>435.57912578681481</v>
      </c>
      <c r="BZ29" s="6">
        <f t="shared" ref="BZ29" si="118">+BY29*(1+TR)</f>
        <v>439.93491704468295</v>
      </c>
      <c r="CA29" s="6">
        <f t="shared" ref="CA29" si="119">+BZ29*(1+TR)</f>
        <v>444.33426621512979</v>
      </c>
      <c r="CB29" s="6">
        <f t="shared" ref="CB29" si="120">+CA29*(1+TR)</f>
        <v>448.77760887728107</v>
      </c>
      <c r="CC29" s="6">
        <f t="shared" ref="CC29" si="121">+CB29*(1+TR)</f>
        <v>453.26538496605389</v>
      </c>
      <c r="CD29" s="6">
        <f t="shared" ref="CD29" si="122">+CC29*(1+TR)</f>
        <v>457.79803881571445</v>
      </c>
      <c r="CE29" s="6">
        <f t="shared" ref="CE29" si="123">+CD29*(1+TR)</f>
        <v>462.37601920387158</v>
      </c>
      <c r="CF29" s="6">
        <f t="shared" ref="CF29" si="124">+CE29*(1+TR)</f>
        <v>466.99977939591031</v>
      </c>
      <c r="CG29" s="6">
        <f t="shared" ref="CG29" si="125">+CF29*(1+TR)</f>
        <v>471.66977718986942</v>
      </c>
      <c r="CH29" s="6">
        <f t="shared" ref="CH29" si="126">+CG29*(1+TR)</f>
        <v>476.3864749617681</v>
      </c>
      <c r="CI29" s="6">
        <f t="shared" ref="CI29" si="127">+CH29*(1+TR)</f>
        <v>481.15033971138581</v>
      </c>
      <c r="CJ29" s="6">
        <f t="shared" ref="CJ29" si="128">+CI29*(1+TR)</f>
        <v>485.96184310849969</v>
      </c>
      <c r="CK29" s="6">
        <f t="shared" ref="CK29" si="129">+CJ29*(1+TR)</f>
        <v>490.82146153958467</v>
      </c>
      <c r="CL29" s="6">
        <f t="shared" ref="CL29" si="130">+CK29*(1+TR)</f>
        <v>495.72967615498055</v>
      </c>
      <c r="CM29" s="6">
        <f t="shared" ref="CM29" si="131">+CL29*(1+TR)</f>
        <v>500.68697291653035</v>
      </c>
      <c r="CN29" s="6">
        <f t="shared" ref="CN29" si="132">+CM29*(1+TR)</f>
        <v>505.69384264569567</v>
      </c>
      <c r="CO29" s="6">
        <f t="shared" ref="CO29" si="133">+CN29*(1+TR)</f>
        <v>510.75078107215262</v>
      </c>
      <c r="CP29" s="6">
        <f t="shared" ref="CP29" si="134">+CO29*(1+TR)</f>
        <v>515.85828888287415</v>
      </c>
      <c r="CQ29" s="6">
        <f t="shared" ref="CQ29" si="135">+CP29*(1+TR)</f>
        <v>521.01687177170288</v>
      </c>
      <c r="CR29" s="6">
        <f t="shared" ref="CR29" si="136">+CQ29*(1+TR)</f>
        <v>526.22704048941989</v>
      </c>
      <c r="CS29" s="6">
        <f t="shared" ref="CS29" si="137">+CR29*(1+TR)</f>
        <v>531.48931089431414</v>
      </c>
      <c r="CT29" s="6">
        <f t="shared" ref="CT29" si="138">+CS29*(1+TR)</f>
        <v>536.80420400325727</v>
      </c>
      <c r="CU29" s="6">
        <f t="shared" ref="CU29" si="139">+CT29*(1+TR)</f>
        <v>542.17224604328987</v>
      </c>
      <c r="CV29" s="6">
        <f t="shared" ref="CV29" si="140">+CU29*(1+TR)</f>
        <v>547.59396850372275</v>
      </c>
      <c r="CW29" s="6">
        <f t="shared" ref="CW29" si="141">+CV29*(1+TR)</f>
        <v>553.06990818876</v>
      </c>
      <c r="CX29" s="6">
        <f t="shared" ref="CX29" si="142">+CW29*(1+TR)</f>
        <v>558.60060727064763</v>
      </c>
      <c r="CY29" s="6">
        <f t="shared" ref="CY29" si="143">+CX29*(1+TR)</f>
        <v>564.18661334335411</v>
      </c>
      <c r="CZ29" s="6">
        <f t="shared" ref="CZ29" si="144">+CY29*(1+TR)</f>
        <v>569.82847947678761</v>
      </c>
      <c r="DA29" s="6">
        <f t="shared" ref="DA29" si="145">+CZ29*(1+TR)</f>
        <v>575.52676427155552</v>
      </c>
      <c r="DB29" s="6">
        <f t="shared" ref="DB29" si="146">+DA29*(1+TR)</f>
        <v>581.2820319142711</v>
      </c>
      <c r="DC29" s="6">
        <f t="shared" ref="DC29" si="147">+DB29*(1+TR)</f>
        <v>587.0948522334138</v>
      </c>
      <c r="DD29" s="6">
        <f t="shared" ref="DD29" si="148">+DC29*(1+TR)</f>
        <v>592.96580075574798</v>
      </c>
      <c r="DE29" s="6">
        <f t="shared" ref="DE29" si="149">+DD29*(1+TR)</f>
        <v>598.89545876330544</v>
      </c>
      <c r="DF29" s="6">
        <f t="shared" ref="DF29" si="150">+DE29*(1+TR)</f>
        <v>604.88441335093853</v>
      </c>
      <c r="DG29" s="6">
        <f t="shared" ref="DG29" si="151">+DF29*(1+TR)</f>
        <v>610.93325748444795</v>
      </c>
      <c r="DH29" s="6">
        <f t="shared" ref="DH29" si="152">+DG29*(1+TR)</f>
        <v>617.04259005929248</v>
      </c>
      <c r="DI29" s="6">
        <f t="shared" ref="DI29" si="153">+DH29*(1+TR)</f>
        <v>623.21301595988541</v>
      </c>
      <c r="DJ29" s="6">
        <f t="shared" ref="DJ29" si="154">+DI29*(1+TR)</f>
        <v>629.44514611948432</v>
      </c>
      <c r="DK29" s="6">
        <f t="shared" ref="DK29" si="155">+DJ29*(1+TR)</f>
        <v>635.73959758067917</v>
      </c>
      <c r="DL29" s="6">
        <f t="shared" ref="DL29" si="156">+DK29*(1+TR)</f>
        <v>642.09699355648593</v>
      </c>
      <c r="DM29" s="6">
        <f t="shared" ref="DM29" si="157">+DL29*(1+TR)</f>
        <v>648.51796349205074</v>
      </c>
      <c r="DN29" s="6">
        <f t="shared" ref="DN29" si="158">+DM29*(1+TR)</f>
        <v>655.00314312697128</v>
      </c>
      <c r="DO29" s="6">
        <f t="shared" ref="DO29" si="159">+DN29*(1+TR)</f>
        <v>661.55317455824104</v>
      </c>
      <c r="DP29" s="6">
        <f t="shared" ref="DP29" si="160">+DO29*(1+TR)</f>
        <v>668.16870630382346</v>
      </c>
      <c r="DQ29" s="6">
        <f t="shared" ref="DQ29" si="161">+DP29*(1+TR)</f>
        <v>674.85039336686168</v>
      </c>
      <c r="DR29" s="6">
        <f t="shared" ref="DR29" si="162">+DQ29*(1+TR)</f>
        <v>681.59889730053033</v>
      </c>
      <c r="DS29" s="6">
        <f t="shared" ref="DS29" si="163">+DR29*(1+TR)</f>
        <v>688.41488627353567</v>
      </c>
      <c r="DT29" s="6">
        <f t="shared" ref="DT29" si="164">+DS29*(1+TR)</f>
        <v>695.29903513627107</v>
      </c>
      <c r="DU29" s="6">
        <f t="shared" ref="DU29" si="165">+DT29*(1+TR)</f>
        <v>702.25202548763377</v>
      </c>
      <c r="DV29" s="6">
        <f t="shared" ref="DV29" si="166">+DU29*(1+TR)</f>
        <v>709.2745457425101</v>
      </c>
      <c r="DW29" s="6">
        <f t="shared" ref="DW29" si="167">+DV29*(1+TR)</f>
        <v>716.36729119993515</v>
      </c>
      <c r="DX29" s="6">
        <f t="shared" ref="DX29" si="168">+DW29*(1+TR)</f>
        <v>723.53096411193451</v>
      </c>
      <c r="DY29" s="6">
        <f t="shared" ref="DY29" si="169">+DX29*(1+TR)</f>
        <v>730.76627375305384</v>
      </c>
      <c r="DZ29" s="6">
        <f t="shared" ref="DZ29" si="170">+DY29*(1+TR)</f>
        <v>738.0739364905844</v>
      </c>
      <c r="EA29" s="6">
        <f t="shared" ref="EA29" si="171">+DZ29*(1+TR)</f>
        <v>745.45467585549022</v>
      </c>
      <c r="EB29" s="6">
        <f t="shared" ref="EB29" si="172">+EA29*(1+TR)</f>
        <v>752.90922261404512</v>
      </c>
      <c r="EC29" s="6">
        <f t="shared" ref="EC29" si="173">+EB29*(1+TR)</f>
        <v>760.43831484018563</v>
      </c>
      <c r="ED29" s="6">
        <f t="shared" ref="ED29" si="174">+EC29*(1+TR)</f>
        <v>768.04269798858752</v>
      </c>
      <c r="EE29" s="6">
        <f t="shared" ref="EE29" si="175">+ED29*(1+TR)</f>
        <v>775.72312496847337</v>
      </c>
      <c r="EF29" s="6">
        <f t="shared" ref="EF29" si="176">+EE29*(1+TR)</f>
        <v>783.48035621815814</v>
      </c>
      <c r="EG29" s="6">
        <f t="shared" ref="EG29" si="177">+EF29*(1+TR)</f>
        <v>791.31515978033974</v>
      </c>
      <c r="EH29" s="6">
        <f t="shared" ref="EH29" si="178">+EG29*(1+TR)</f>
        <v>799.22831137814319</v>
      </c>
      <c r="EI29" s="6">
        <f t="shared" ref="EI29" si="179">+EH29*(1+TR)</f>
        <v>807.22059449192466</v>
      </c>
      <c r="EJ29" s="6">
        <f t="shared" ref="EJ29" si="180">+EI29*(1+TR)</f>
        <v>815.29280043684389</v>
      </c>
      <c r="EK29" s="6">
        <f t="shared" ref="EK29" si="181">+EJ29*(1+TR)</f>
        <v>823.44572844121228</v>
      </c>
      <c r="EL29" s="6">
        <f t="shared" ref="EL29" si="182">+EK29*(1+TR)</f>
        <v>831.68018572562437</v>
      </c>
      <c r="EM29" s="6">
        <f t="shared" ref="EM29" si="183">+EL29*(1+TR)</f>
        <v>839.99698758288059</v>
      </c>
      <c r="EN29" s="6">
        <f t="shared" ref="EN29" si="184">+EM29*(1+TR)</f>
        <v>848.39695745870938</v>
      </c>
      <c r="EO29" s="6">
        <f t="shared" ref="EO29" si="185">+EN29*(1+TR)</f>
        <v>856.88092703329653</v>
      </c>
      <c r="EP29" s="6">
        <f t="shared" ref="EP29" si="186">+EO29*(1+TR)</f>
        <v>865.44973630362949</v>
      </c>
      <c r="EQ29" s="6">
        <f t="shared" ref="EQ29" si="187">+EP29*(1+TR)</f>
        <v>874.10423366666578</v>
      </c>
      <c r="ER29" s="6">
        <f t="shared" ref="ER29" si="188">+EQ29*(1+TR)</f>
        <v>882.8452760033324</v>
      </c>
      <c r="ES29" s="6">
        <f t="shared" ref="ES29" si="189">+ER29*(1+TR)</f>
        <v>891.67372876336572</v>
      </c>
      <c r="ET29" s="6">
        <f t="shared" ref="ET29" si="190">+ES29*(1+TR)</f>
        <v>900.59046605099934</v>
      </c>
      <c r="EU29" s="6">
        <f t="shared" ref="EU29" si="191">+ET29*(1+TR)</f>
        <v>909.59637071150939</v>
      </c>
      <c r="EV29" s="6">
        <f t="shared" ref="EV29" si="192">+EU29*(1+TR)</f>
        <v>918.69233441862445</v>
      </c>
      <c r="EW29" s="6">
        <f t="shared" ref="EW29" si="193">+EV29*(1+TR)</f>
        <v>927.87925776281065</v>
      </c>
      <c r="EX29" s="6">
        <f t="shared" ref="EX29" si="194">+EW29*(1+TR)</f>
        <v>937.15805034043876</v>
      </c>
      <c r="EY29" s="6">
        <f t="shared" ref="EY29" si="195">+EX29*(1+TR)</f>
        <v>946.52963084384317</v>
      </c>
      <c r="EZ29" s="6">
        <f t="shared" ref="EZ29" si="196">+EY29*(1+TR)</f>
        <v>955.99492715228166</v>
      </c>
    </row>
    <row r="30" spans="2:156" s="1" customFormat="1" x14ac:dyDescent="0.25"/>
    <row r="31" spans="2:156" s="1" customFormat="1" x14ac:dyDescent="0.25">
      <c r="B31" s="1" t="s">
        <v>27</v>
      </c>
      <c r="G31" s="1">
        <v>558</v>
      </c>
      <c r="H31" s="1">
        <v>538.6</v>
      </c>
    </row>
    <row r="32" spans="2:156" s="1" customFormat="1" x14ac:dyDescent="0.25">
      <c r="B32" s="1" t="s">
        <v>17</v>
      </c>
      <c r="E32" s="1">
        <v>468.9</v>
      </c>
      <c r="F32" s="1">
        <v>416.3</v>
      </c>
      <c r="G32" s="1">
        <v>467.7</v>
      </c>
      <c r="H32" s="1">
        <v>456</v>
      </c>
      <c r="I32" s="1">
        <v>310</v>
      </c>
    </row>
    <row r="33" spans="2:9" s="1" customFormat="1" x14ac:dyDescent="0.25">
      <c r="B33" s="1" t="s">
        <v>18</v>
      </c>
      <c r="E33" s="1">
        <v>588.79999999999995</v>
      </c>
      <c r="F33" s="1">
        <v>612.6</v>
      </c>
      <c r="G33" s="1">
        <v>623.4</v>
      </c>
      <c r="H33" s="1">
        <v>610</v>
      </c>
    </row>
    <row r="34" spans="2:9" s="1" customFormat="1" x14ac:dyDescent="0.25">
      <c r="B34" s="1" t="s">
        <v>19</v>
      </c>
      <c r="E34" s="1">
        <f>76.3+23.8</f>
        <v>100.1</v>
      </c>
      <c r="F34" s="1">
        <f>76.5+42.8</f>
        <v>119.3</v>
      </c>
      <c r="G34" s="1">
        <f>46.8+109.4</f>
        <v>156.19999999999999</v>
      </c>
      <c r="H34" s="1">
        <f>167.5+167.4</f>
        <v>334.9</v>
      </c>
      <c r="I34" s="1">
        <f>190+190</f>
        <v>380</v>
      </c>
    </row>
    <row r="35" spans="2:9" s="1" customFormat="1" x14ac:dyDescent="0.25">
      <c r="B35" s="1" t="s">
        <v>20</v>
      </c>
      <c r="E35" s="1">
        <f>+E32+E33-E34</f>
        <v>957.5999999999998</v>
      </c>
      <c r="F35" s="1">
        <f>+F32+F33-F34</f>
        <v>909.60000000000014</v>
      </c>
      <c r="G35" s="1">
        <f>+G32+G33-G34</f>
        <v>934.89999999999986</v>
      </c>
      <c r="H35" s="1">
        <f>+H32+H33-H34</f>
        <v>731.1</v>
      </c>
    </row>
    <row r="36" spans="2:9" s="1" customFormat="1" x14ac:dyDescent="0.25">
      <c r="B36" s="1" t="s">
        <v>33</v>
      </c>
      <c r="E36" s="1">
        <f>+E32-E34</f>
        <v>368.79999999999995</v>
      </c>
      <c r="F36" s="1">
        <f>+F32-F34</f>
        <v>297</v>
      </c>
      <c r="G36" s="1">
        <f>+G32-G34</f>
        <v>311.5</v>
      </c>
      <c r="H36" s="1">
        <f>+H32-H34</f>
        <v>121.10000000000002</v>
      </c>
      <c r="I36" s="1">
        <f>+I32-I34</f>
        <v>-70</v>
      </c>
    </row>
    <row r="37" spans="2:9" s="1" customFormat="1" x14ac:dyDescent="0.25"/>
    <row r="38" spans="2:9" s="2" customFormat="1" x14ac:dyDescent="0.25">
      <c r="B38" s="2" t="s">
        <v>25</v>
      </c>
      <c r="E38" s="2">
        <f>+E8/E36</f>
        <v>-1.1388286334056402E-2</v>
      </c>
      <c r="F38" s="2">
        <f>+F8/F36</f>
        <v>-4.3434343434343436E-2</v>
      </c>
      <c r="G38" s="2">
        <f>+G8/G36</f>
        <v>-2.4077046548956663E-2</v>
      </c>
      <c r="H38" s="2">
        <f>+H8/H36</f>
        <v>6.5235342691990078E-2</v>
      </c>
    </row>
    <row r="39" spans="2:9" s="1" customFormat="1" x14ac:dyDescent="0.25"/>
    <row r="40" spans="2:9" s="1" customFormat="1" x14ac:dyDescent="0.25">
      <c r="B40" s="1" t="s">
        <v>31</v>
      </c>
      <c r="F40" s="1">
        <f>+(E12-F12)*1000</f>
        <v>804.27199999999743</v>
      </c>
      <c r="G40" s="1">
        <f>+(F12-G12)*1000</f>
        <v>1234.2560000000021</v>
      </c>
      <c r="H40" s="1">
        <f t="shared" ref="H40" si="197">+(G12-H12)*1000</f>
        <v>178.74700000000132</v>
      </c>
    </row>
    <row r="41" spans="2:9" s="1" customFormat="1" x14ac:dyDescent="0.25">
      <c r="B41" s="1" t="s">
        <v>28</v>
      </c>
      <c r="G41" s="1">
        <v>116.2</v>
      </c>
      <c r="H41" s="1">
        <v>55.7</v>
      </c>
    </row>
    <row r="42" spans="2:9" s="1" customFormat="1" x14ac:dyDescent="0.25">
      <c r="B42" s="1" t="s">
        <v>29</v>
      </c>
      <c r="G42" s="1">
        <v>110.2</v>
      </c>
      <c r="H42" s="1">
        <v>178</v>
      </c>
    </row>
    <row r="43" spans="2:9" s="1" customFormat="1" x14ac:dyDescent="0.25">
      <c r="B43" s="1" t="s">
        <v>30</v>
      </c>
      <c r="G43" s="1">
        <f>+G41+G42</f>
        <v>226.4</v>
      </c>
      <c r="H43" s="1">
        <f>+H41+H42</f>
        <v>233.7</v>
      </c>
      <c r="I43" s="1">
        <f>+I29*0.9</f>
        <v>189.84170924999998</v>
      </c>
    </row>
    <row r="44" spans="2:9" s="2" customFormat="1" x14ac:dyDescent="0.25">
      <c r="B44" s="2" t="s">
        <v>32</v>
      </c>
    </row>
    <row r="45" spans="2:9" s="1" customFormat="1" x14ac:dyDescent="0.25"/>
    <row r="46" spans="2:9" s="1" customFormat="1" x14ac:dyDescent="0.25"/>
    <row r="47" spans="2:9" s="1" customFormat="1" x14ac:dyDescent="0.25"/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Model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Kutzer</dc:creator>
  <cp:lastModifiedBy>Kutzer Maximilian Claudius</cp:lastModifiedBy>
  <dcterms:created xsi:type="dcterms:W3CDTF">2023-05-30T15:05:20Z</dcterms:created>
  <dcterms:modified xsi:type="dcterms:W3CDTF">2026-02-06T15:25:16Z</dcterms:modified>
</cp:coreProperties>
</file>