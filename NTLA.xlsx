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FB99AA35-48DC-4F40-9FE6-63BA8091F638}" xr6:coauthVersionLast="47" xr6:coauthVersionMax="47" xr10:uidLastSave="{00000000-0000-0000-0000-000000000000}"/>
  <bookViews>
    <workbookView minimized="1" xWindow="-13200" yWindow="465" windowWidth="13020" windowHeight="13290" firstSheet="1" activeTab="1" xr2:uid="{7C8214AC-F21F-4B6C-8D76-6029D4F15773}"/>
  </bookViews>
  <sheets>
    <sheet name="Main" sheetId="1" r:id="rId1"/>
    <sheet name="Model" sheetId="2" r:id="rId2"/>
    <sheet name="Benshmark" sheetId="6" r:id="rId3"/>
    <sheet name="NTLA-2001" sheetId="3" r:id="rId4"/>
    <sheet name="NTLA-2002" sheetId="4" r:id="rId5"/>
    <sheet name="NTLA-3001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D38" i="2" l="1"/>
  <c r="H37" i="2"/>
  <c r="F37" i="2"/>
  <c r="D33" i="2"/>
  <c r="C33" i="2"/>
  <c r="E30" i="2"/>
  <c r="F30" i="2" s="1"/>
  <c r="F38" i="2" s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D23" i="2"/>
  <c r="E23" i="2" s="1"/>
  <c r="F23" i="2" s="1"/>
  <c r="G23" i="2" s="1"/>
  <c r="H23" i="2" s="1"/>
  <c r="D22" i="2"/>
  <c r="E22" i="2" s="1"/>
  <c r="F22" i="2" s="1"/>
  <c r="G22" i="2" s="1"/>
  <c r="H22" i="2" s="1"/>
  <c r="D18" i="2"/>
  <c r="D19" i="2" s="1"/>
  <c r="J5" i="1"/>
  <c r="E5" i="6"/>
  <c r="F5" i="6" s="1"/>
  <c r="G5" i="6" s="1"/>
  <c r="D6" i="6"/>
  <c r="E6" i="6" s="1"/>
  <c r="E2" i="6"/>
  <c r="F2" i="6" s="1"/>
  <c r="G2" i="6" s="1"/>
  <c r="H2" i="6" s="1"/>
  <c r="P15" i="2"/>
  <c r="Q15" i="2" s="1"/>
  <c r="R15" i="2" s="1"/>
  <c r="S15" i="2" s="1"/>
  <c r="T15" i="2" s="1"/>
  <c r="U15" i="2" s="1"/>
  <c r="V15" i="2" s="1"/>
  <c r="W15" i="2" s="1"/>
  <c r="D7" i="2"/>
  <c r="E5" i="2"/>
  <c r="E4" i="2" s="1"/>
  <c r="F5" i="2" s="1"/>
  <c r="M16" i="2"/>
  <c r="L16" i="2"/>
  <c r="K16" i="2"/>
  <c r="J16" i="2"/>
  <c r="I16" i="2"/>
  <c r="I12" i="2"/>
  <c r="G30" i="2" l="1"/>
  <c r="G38" i="2" s="1"/>
  <c r="D24" i="2"/>
  <c r="D27" i="2" s="1"/>
  <c r="D29" i="2" s="1"/>
  <c r="E10" i="6"/>
  <c r="F6" i="6"/>
  <c r="G6" i="6" s="1"/>
  <c r="H6" i="6" s="1"/>
  <c r="I19" i="2"/>
  <c r="I20" i="2" s="1"/>
  <c r="D10" i="6"/>
  <c r="E38" i="2"/>
  <c r="G20" i="2"/>
  <c r="E8" i="2"/>
  <c r="E7" i="2" s="1"/>
  <c r="J19" i="2"/>
  <c r="J20" i="2" s="1"/>
  <c r="K19" i="2"/>
  <c r="K20" i="2" s="1"/>
  <c r="K21" i="2" s="1"/>
  <c r="K24" i="2" s="1"/>
  <c r="H30" i="2"/>
  <c r="E18" i="2"/>
  <c r="H10" i="6"/>
  <c r="G10" i="6"/>
  <c r="F10" i="6"/>
  <c r="H5" i="6"/>
  <c r="F4" i="2"/>
  <c r="F8" i="2" s="1"/>
  <c r="O16" i="2"/>
  <c r="N16" i="2"/>
  <c r="M19" i="2" l="1"/>
  <c r="M20" i="2" s="1"/>
  <c r="M21" i="2" s="1"/>
  <c r="M24" i="2" s="1"/>
  <c r="L19" i="2"/>
  <c r="L20" i="2" s="1"/>
  <c r="L21" i="2" s="1"/>
  <c r="L24" i="2" s="1"/>
  <c r="I30" i="2"/>
  <c r="H38" i="2"/>
  <c r="K25" i="2"/>
  <c r="F18" i="2"/>
  <c r="E19" i="2"/>
  <c r="E24" i="2" s="1"/>
  <c r="E27" i="2" s="1"/>
  <c r="E29" i="2" s="1"/>
  <c r="I21" i="2"/>
  <c r="J21" i="2"/>
  <c r="J24" i="2" s="1"/>
  <c r="F7" i="2"/>
  <c r="G5" i="2"/>
  <c r="G4" i="2" s="1"/>
  <c r="P16" i="2"/>
  <c r="Q16" i="2"/>
  <c r="N19" i="2" l="1"/>
  <c r="N20" i="2" s="1"/>
  <c r="N21" i="2" s="1"/>
  <c r="N24" i="2" s="1"/>
  <c r="O19" i="2"/>
  <c r="H5" i="2"/>
  <c r="H4" i="2" s="1"/>
  <c r="G8" i="2"/>
  <c r="G7" i="2" s="1"/>
  <c r="I38" i="2"/>
  <c r="J30" i="2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E31" i="2"/>
  <c r="E33" i="2"/>
  <c r="J25" i="2"/>
  <c r="J27" i="2" s="1"/>
  <c r="J28" i="2" s="1"/>
  <c r="J29" i="2" s="1"/>
  <c r="K27" i="2"/>
  <c r="K28" i="2" s="1"/>
  <c r="K29" i="2" s="1"/>
  <c r="L25" i="2"/>
  <c r="M25" i="2"/>
  <c r="G18" i="2"/>
  <c r="F19" i="2"/>
  <c r="F24" i="2" s="1"/>
  <c r="F27" i="2" s="1"/>
  <c r="F29" i="2" s="1"/>
  <c r="F31" i="2" s="1"/>
  <c r="I24" i="2"/>
  <c r="O20" i="2"/>
  <c r="O21" i="2" s="1"/>
  <c r="O24" i="2" s="1"/>
  <c r="R16" i="2"/>
  <c r="P19" i="2" l="1"/>
  <c r="P20" i="2" s="1"/>
  <c r="P21" i="2" s="1"/>
  <c r="P24" i="2" s="1"/>
  <c r="P25" i="2" s="1"/>
  <c r="H8" i="2"/>
  <c r="H7" i="2" s="1"/>
  <c r="I5" i="2"/>
  <c r="I4" i="2"/>
  <c r="K31" i="2"/>
  <c r="J31" i="2"/>
  <c r="F33" i="2"/>
  <c r="M27" i="2"/>
  <c r="M28" i="2" s="1"/>
  <c r="M29" i="2" s="1"/>
  <c r="M31" i="2" s="1"/>
  <c r="L27" i="2"/>
  <c r="L28" i="2" s="1"/>
  <c r="L29" i="2" s="1"/>
  <c r="L31" i="2" s="1"/>
  <c r="I25" i="2"/>
  <c r="I27" i="2" s="1"/>
  <c r="I28" i="2" s="1"/>
  <c r="I29" i="2" s="1"/>
  <c r="I31" i="2" s="1"/>
  <c r="N25" i="2"/>
  <c r="O25" i="2"/>
  <c r="O27" i="2" s="1"/>
  <c r="H18" i="2"/>
  <c r="H19" i="2" s="1"/>
  <c r="G19" i="2"/>
  <c r="G21" i="2" s="1"/>
  <c r="G24" i="2" s="1"/>
  <c r="G27" i="2" s="1"/>
  <c r="G29" i="2" s="1"/>
  <c r="S16" i="2"/>
  <c r="Q19" i="2" l="1"/>
  <c r="Q20" i="2" s="1"/>
  <c r="Q21" i="2" s="1"/>
  <c r="Q24" i="2" s="1"/>
  <c r="G33" i="2"/>
  <c r="H20" i="2"/>
  <c r="H21" i="2" s="1"/>
  <c r="H24" i="2" s="1"/>
  <c r="H27" i="2" s="1"/>
  <c r="H29" i="2" s="1"/>
  <c r="I8" i="2"/>
  <c r="I7" i="2" s="1"/>
  <c r="J5" i="2"/>
  <c r="J4" i="2" s="1"/>
  <c r="N27" i="2"/>
  <c r="N28" i="2" s="1"/>
  <c r="N29" i="2" s="1"/>
  <c r="O28" i="2"/>
  <c r="O29" i="2" s="1"/>
  <c r="O31" i="2" s="1"/>
  <c r="P27" i="2"/>
  <c r="P28" i="2" s="1"/>
  <c r="P29" i="2" s="1"/>
  <c r="P31" i="2" s="1"/>
  <c r="G31" i="2"/>
  <c r="Q25" i="2"/>
  <c r="T16" i="2"/>
  <c r="J4" i="1"/>
  <c r="D2" i="2"/>
  <c r="E2" i="2" s="1"/>
  <c r="F2" i="2" s="1"/>
  <c r="H31" i="2" l="1"/>
  <c r="H33" i="2"/>
  <c r="R19" i="2"/>
  <c r="R20" i="2" s="1"/>
  <c r="R21" i="2" s="1"/>
  <c r="R24" i="2" s="1"/>
  <c r="R25" i="2" s="1"/>
  <c r="J8" i="2"/>
  <c r="J7" i="2" s="1"/>
  <c r="K5" i="2"/>
  <c r="K4" i="2" s="1"/>
  <c r="N31" i="2"/>
  <c r="R27" i="2"/>
  <c r="R28" i="2" s="1"/>
  <c r="R29" i="2" s="1"/>
  <c r="R31" i="2" s="1"/>
  <c r="Q27" i="2"/>
  <c r="Q28" i="2" s="1"/>
  <c r="Q29" i="2" s="1"/>
  <c r="G2" i="2"/>
  <c r="U16" i="2"/>
  <c r="J7" i="1"/>
  <c r="L5" i="2" l="1"/>
  <c r="L4" i="2" s="1"/>
  <c r="K8" i="2"/>
  <c r="K7" i="2" s="1"/>
  <c r="S19" i="2"/>
  <c r="S20" i="2" s="1"/>
  <c r="S21" i="2" s="1"/>
  <c r="S24" i="2" s="1"/>
  <c r="S25" i="2" s="1"/>
  <c r="S27" i="2" s="1"/>
  <c r="S28" i="2" s="1"/>
  <c r="S29" i="2" s="1"/>
  <c r="Q31" i="2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V16" i="2"/>
  <c r="L8" i="2" l="1"/>
  <c r="L7" i="2" s="1"/>
  <c r="M5" i="2"/>
  <c r="M4" i="2" s="1"/>
  <c r="T19" i="2"/>
  <c r="T20" i="2" s="1"/>
  <c r="T21" i="2" s="1"/>
  <c r="T24" i="2" s="1"/>
  <c r="T25" i="2" s="1"/>
  <c r="S31" i="2"/>
  <c r="M8" i="2" l="1"/>
  <c r="M7" i="2" s="1"/>
  <c r="N5" i="2"/>
  <c r="N4" i="2" s="1"/>
  <c r="T27" i="2"/>
  <c r="T28" i="2" s="1"/>
  <c r="T29" i="2" s="1"/>
  <c r="N8" i="2" l="1"/>
  <c r="N7" i="2" s="1"/>
  <c r="O5" i="2"/>
  <c r="O4" i="2" s="1"/>
  <c r="T31" i="2"/>
  <c r="O8" i="2" l="1"/>
  <c r="O7" i="2" s="1"/>
  <c r="P5" i="2"/>
  <c r="P4" i="2" s="1"/>
  <c r="Q5" i="2" l="1"/>
  <c r="P8" i="2"/>
  <c r="P7" i="2" s="1"/>
  <c r="Q4" i="2"/>
  <c r="W16" i="2"/>
  <c r="Q8" i="2" l="1"/>
  <c r="Q7" i="2" s="1"/>
  <c r="R5" i="2"/>
  <c r="R4" i="2" s="1"/>
  <c r="S5" i="2" l="1"/>
  <c r="R8" i="2"/>
  <c r="R7" i="2" s="1"/>
  <c r="S4" i="2"/>
  <c r="U19" i="2"/>
  <c r="U20" i="2" s="1"/>
  <c r="U21" i="2" s="1"/>
  <c r="U24" i="2" s="1"/>
  <c r="U25" i="2" l="1"/>
  <c r="U27" i="2" s="1"/>
  <c r="U28" i="2" s="1"/>
  <c r="U29" i="2" s="1"/>
  <c r="U31" i="2" s="1"/>
  <c r="W19" i="2"/>
  <c r="W20" i="2" s="1"/>
  <c r="W21" i="2" s="1"/>
  <c r="W24" i="2" s="1"/>
  <c r="V19" i="2"/>
  <c r="V20" i="2" s="1"/>
  <c r="V21" i="2" s="1"/>
  <c r="V24" i="2" s="1"/>
  <c r="V25" i="2" s="1"/>
  <c r="V27" i="2" s="1"/>
  <c r="V28" i="2" s="1"/>
  <c r="V29" i="2" s="1"/>
  <c r="V31" i="2" s="1"/>
  <c r="S8" i="2"/>
  <c r="S7" i="2" s="1"/>
  <c r="T5" i="2"/>
  <c r="T4" i="2" s="1"/>
  <c r="W25" i="2" l="1"/>
  <c r="W27" i="2" s="1"/>
  <c r="W28" i="2" s="1"/>
  <c r="W29" i="2" s="1"/>
  <c r="U5" i="2"/>
  <c r="U4" i="2" s="1"/>
  <c r="T8" i="2"/>
  <c r="T7" i="2" s="1"/>
  <c r="W31" i="2" l="1"/>
  <c r="X29" i="2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Y34" i="2"/>
  <c r="Y35" i="2" s="1"/>
  <c r="V5" i="2"/>
  <c r="V4" i="2" s="1"/>
  <c r="U8" i="2"/>
  <c r="U7" i="2" s="1"/>
  <c r="V8" i="2" l="1"/>
  <c r="V7" i="2" s="1"/>
  <c r="W5" i="2"/>
  <c r="W4" i="2" s="1"/>
  <c r="W8" i="2" s="1"/>
  <c r="W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tc={12138994-ACDC-4CD8-ACF7-AB96A8E107D1}</author>
  </authors>
  <commentList>
    <comment ref="I13" authorId="0" shapeId="0" xr:uid="{12138994-ACDC-4CD8-ACF7-AB96A8E107D1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TTM Q322</t>
        </r>
      </text>
    </comment>
  </commentList>
</comments>
</file>

<file path=xl/sharedStrings.xml><?xml version="1.0" encoding="utf-8"?>
<sst xmlns="http://schemas.openxmlformats.org/spreadsheetml/2006/main" count="147" uniqueCount="123">
  <si>
    <t>Price</t>
  </si>
  <si>
    <t>Shares</t>
  </si>
  <si>
    <t>MC</t>
  </si>
  <si>
    <t>Cash</t>
  </si>
  <si>
    <t>Debt</t>
  </si>
  <si>
    <t>EV</t>
  </si>
  <si>
    <t>AD</t>
  </si>
  <si>
    <t>PIC</t>
  </si>
  <si>
    <t>Rewrite Therapeutics acquisition</t>
  </si>
  <si>
    <t>Regeneron: ATTR is 1st of 10 liver targets, hemophilia A/B included</t>
  </si>
  <si>
    <t>AvenCell Therapeutics investment, privately held CART company, formed with Cellex</t>
  </si>
  <si>
    <t>SparvingVision (ocular)</t>
  </si>
  <si>
    <t>Kyverna (CD19 cell therapy)</t>
  </si>
  <si>
    <t>Novartis</t>
  </si>
  <si>
    <t>ONK Therapeutics</t>
  </si>
  <si>
    <t>Brand</t>
  </si>
  <si>
    <t>NTLA-2001</t>
  </si>
  <si>
    <t>Indication</t>
  </si>
  <si>
    <t>ATTR amyloidosis</t>
  </si>
  <si>
    <t>HAE</t>
  </si>
  <si>
    <t>AATD</t>
  </si>
  <si>
    <t>MOA</t>
  </si>
  <si>
    <t>CRISPR</t>
  </si>
  <si>
    <t>Phase</t>
  </si>
  <si>
    <t>I/II</t>
  </si>
  <si>
    <t>NTLA-5001</t>
  </si>
  <si>
    <t>AML</t>
  </si>
  <si>
    <t>TCR</t>
  </si>
  <si>
    <t>Economics</t>
  </si>
  <si>
    <t>REGN</t>
  </si>
  <si>
    <t>NVS</t>
  </si>
  <si>
    <t>Sickle Cell</t>
  </si>
  <si>
    <t>Main</t>
  </si>
  <si>
    <t>Generic</t>
  </si>
  <si>
    <t>Clinical Trials</t>
  </si>
  <si>
    <t>ATTR (TTR amyloidosis). Transthyretin, produced by the liver, transports thyroxine and retinol to the liver.</t>
  </si>
  <si>
    <t>The liver secrets TTR into the blood. TTR may be redundant given the function of thyroxine-binding globulin</t>
  </si>
  <si>
    <t>55kDa homotetramer, dimer of dimers</t>
  </si>
  <si>
    <t>87% mean serum TTR reduction in 0.3mg/kg</t>
  </si>
  <si>
    <t>52% mean serum TTR reduction in 0.1mg/kg</t>
  </si>
  <si>
    <t>Phase I FIH n=6 ATTR - NCT04601051, NEJM 2021</t>
  </si>
  <si>
    <t>NTLA-2002</t>
  </si>
  <si>
    <t>NTLA-3001</t>
  </si>
  <si>
    <t>CEO: John Leonard</t>
  </si>
  <si>
    <t>YE23: initiate pivotal trial for NTLA-2001</t>
  </si>
  <si>
    <t>Revenue</t>
  </si>
  <si>
    <t>III</t>
  </si>
  <si>
    <t>Filing</t>
  </si>
  <si>
    <t>Approval</t>
  </si>
  <si>
    <t>II in 2023</t>
  </si>
  <si>
    <t>Phase III ATTR-PN</t>
  </si>
  <si>
    <t>Phase II component initiates 1H23</t>
  </si>
  <si>
    <t>CRISPR insertion</t>
  </si>
  <si>
    <t>NTLA-6001</t>
  </si>
  <si>
    <t>CD30+ lymphomas</t>
  </si>
  <si>
    <t>11/30/2022: Proposes secondary.</t>
  </si>
  <si>
    <t>11/30/2022: Prices secondary of 6.6m at 45.80 for $300m gross.</t>
  </si>
  <si>
    <t>Phase I/II HAE - ongoing, presented at ACAAI 2022</t>
  </si>
  <si>
    <t>Administration</t>
  </si>
  <si>
    <t>IV</t>
  </si>
  <si>
    <t>n=4 50mg - 81% serum kallikrein reduction at day 22</t>
  </si>
  <si>
    <t>n=3 25mg - 64% serum kallikrein reduction at week 32, 91% attack rate reduction</t>
  </si>
  <si>
    <t>n=3 75mg - 92% serum kallikrein reduction at week 16, 78% attack rate reduction</t>
  </si>
  <si>
    <t xml:space="preserve">kallikrein CRISPR. </t>
  </si>
  <si>
    <t>0.7mg/kg ATTR-CM cohort, 92% reduction at day 28</t>
  </si>
  <si>
    <t>1.0mg/kg ATTR-CM cohort, 92% reduction at day 28</t>
  </si>
  <si>
    <t>4/11/2016: REGN deal. $75m upfront.</t>
  </si>
  <si>
    <t>Hemophilia A</t>
  </si>
  <si>
    <t>Hemophilia B</t>
  </si>
  <si>
    <t>Primary Hyperoxaluria</t>
  </si>
  <si>
    <t>Hereditary Angioedema: 11k-21.5k in US/EU</t>
  </si>
  <si>
    <t>Vyndaqel price</t>
  </si>
  <si>
    <t>Vyndaqel patients</t>
  </si>
  <si>
    <t>Vynadel revenue</t>
  </si>
  <si>
    <t>NTLA-2001 revenue</t>
  </si>
  <si>
    <t>NTLA-2001 price</t>
  </si>
  <si>
    <t>NTLA-2001 patients</t>
  </si>
  <si>
    <t>NTLA-2002 revenue</t>
  </si>
  <si>
    <t>COGS</t>
  </si>
  <si>
    <t>Gross Margin</t>
  </si>
  <si>
    <t>SG&amp;A</t>
  </si>
  <si>
    <t>Operating Income</t>
  </si>
  <si>
    <t>REGN split</t>
  </si>
  <si>
    <t>Pretax Income</t>
  </si>
  <si>
    <t>Taxes</t>
  </si>
  <si>
    <t>Net Income</t>
  </si>
  <si>
    <t>EPS</t>
  </si>
  <si>
    <t>Discount</t>
  </si>
  <si>
    <t>Terminal</t>
  </si>
  <si>
    <t>NPV</t>
  </si>
  <si>
    <t>Share</t>
  </si>
  <si>
    <t>Q124</t>
  </si>
  <si>
    <t>CTA</t>
  </si>
  <si>
    <t xml:space="preserve">Indication </t>
  </si>
  <si>
    <t>Alpha-1 Antitrypsin Deficiency</t>
  </si>
  <si>
    <t>Mechanism</t>
  </si>
  <si>
    <t>8/10 attack free at 2 years</t>
  </si>
  <si>
    <t xml:space="preserve">                 - 60% at week 88</t>
  </si>
  <si>
    <t xml:space="preserve">                 - 88% at week 72</t>
  </si>
  <si>
    <t xml:space="preserve">                 - 95% at week 88</t>
  </si>
  <si>
    <t>Phase III</t>
  </si>
  <si>
    <t>Competitors</t>
  </si>
  <si>
    <t>Orladeyo (berotralstat), Firazyr (icatibant), Haegarda, Cinryze, Berinert, Ruconest, Kalbitor, Takhzyro (lanadelumab) - $1.1B</t>
  </si>
  <si>
    <t>Phase III "MAGNITUDE" ATTR-CM</t>
  </si>
  <si>
    <t>Total ATTR-CM Patients</t>
  </si>
  <si>
    <t>Dying Patients</t>
  </si>
  <si>
    <t>New Patients</t>
  </si>
  <si>
    <t xml:space="preserve">Potential Patients </t>
  </si>
  <si>
    <t>Zolgensma</t>
  </si>
  <si>
    <t>Elegible Patients</t>
  </si>
  <si>
    <t>New Diognose</t>
  </si>
  <si>
    <t>Sales</t>
  </si>
  <si>
    <t>Total Patients</t>
  </si>
  <si>
    <t>Enrollment</t>
  </si>
  <si>
    <t>Q224</t>
  </si>
  <si>
    <t>R&amp;D</t>
  </si>
  <si>
    <t>Research Revenue</t>
  </si>
  <si>
    <t>Interest, net</t>
  </si>
  <si>
    <t>Stock Price</t>
  </si>
  <si>
    <t>Stocks Sold</t>
  </si>
  <si>
    <t>Raised</t>
  </si>
  <si>
    <t>Shares Growth</t>
  </si>
  <si>
    <t>New Pot. Patients,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</si>
</sst>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0" fontId="1" fillId="0" borderId="0" xfId="0" applyFont="1"/>
    <xf numFmtId="0" fontId="3" fillId="0" borderId="0" xfId="0" applyFont="1"/>
    <xf numFmtId="0" fontId="2" fillId="0" borderId="1" xfId="1" applyBorder="1"/>
    <xf numFmtId="14" fontId="4" fillId="0" borderId="0" xfId="0" applyNumberFormat="1" applyFont="1"/>
    <xf numFmtId="0" fontId="4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9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2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10" fontId="0" fillId="0" borderId="0" xfId="2" applyNumberFormat="1" applyFont="1"/>
    <xf numFmtId="10" fontId="0" fillId="0" borderId="0" xfId="2" applyNumberFormat="1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3" fontId="1" fillId="0" borderId="0" xfId="0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8A4F39D6-ED32-4CC9-BCDD-5B149C5B1A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1338825B-F1D4-490B-83C6-CF9953CE40F6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3-01-30T00:52:01.61" personId="{1338825B-F1D4-490B-83C6-CF9953CE40F6}" id="{12138994-ACDC-4CD8-ACF7-AB96A8E107D1}">
    <text>TTM Q322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432B-967F-417C-9021-14265A25557D}">
  <dimension ref="B2:K28"/>
  <sheetViews>
    <sheetView zoomScale="190" zoomScaleNormal="190" workbookViewId="0">
      <selection activeCell="J5" sqref="J5"/>
    </sheetView>
  </sheetViews>
  <sheetFormatPr defaultRowHeight="12.75" x14ac:dyDescent="0.2"/>
  <cols>
    <col min="1" max="1" width="4.85546875" customWidth="1"/>
    <col min="2" max="2" width="10.85546875" customWidth="1"/>
    <col min="3" max="3" width="19.5703125" customWidth="1"/>
    <col min="4" max="4" width="16.28515625" customWidth="1"/>
    <col min="5" max="5" width="11.140625" customWidth="1"/>
  </cols>
  <sheetData>
    <row r="2" spans="2:11" x14ac:dyDescent="0.2">
      <c r="B2" s="9" t="s">
        <v>15</v>
      </c>
      <c r="C2" s="10" t="s">
        <v>17</v>
      </c>
      <c r="D2" s="10" t="s">
        <v>21</v>
      </c>
      <c r="E2" s="10" t="s">
        <v>23</v>
      </c>
      <c r="F2" s="10" t="s">
        <v>28</v>
      </c>
      <c r="G2" s="11"/>
      <c r="I2" t="s">
        <v>0</v>
      </c>
      <c r="J2" s="1">
        <v>23</v>
      </c>
    </row>
    <row r="3" spans="2:11" x14ac:dyDescent="0.2">
      <c r="B3" s="15" t="s">
        <v>16</v>
      </c>
      <c r="C3" t="s">
        <v>18</v>
      </c>
      <c r="D3" t="s">
        <v>22</v>
      </c>
      <c r="E3" t="s">
        <v>24</v>
      </c>
      <c r="F3" t="s">
        <v>29</v>
      </c>
      <c r="G3" s="5"/>
      <c r="I3" t="s">
        <v>1</v>
      </c>
      <c r="J3" s="2">
        <v>101.579188</v>
      </c>
      <c r="K3" s="3" t="s">
        <v>114</v>
      </c>
    </row>
    <row r="4" spans="2:11" x14ac:dyDescent="0.2">
      <c r="B4" s="15" t="s">
        <v>41</v>
      </c>
      <c r="C4" t="s">
        <v>19</v>
      </c>
      <c r="D4" t="s">
        <v>22</v>
      </c>
      <c r="E4" t="s">
        <v>49</v>
      </c>
      <c r="G4" s="5"/>
      <c r="I4" t="s">
        <v>2</v>
      </c>
      <c r="J4" s="2">
        <f>+J2*J3</f>
        <v>2336.321324</v>
      </c>
    </row>
    <row r="5" spans="2:11" x14ac:dyDescent="0.2">
      <c r="B5" s="4" t="s">
        <v>42</v>
      </c>
      <c r="C5" t="s">
        <v>20</v>
      </c>
      <c r="D5" t="s">
        <v>52</v>
      </c>
      <c r="E5" t="s">
        <v>92</v>
      </c>
      <c r="G5" s="5"/>
      <c r="I5" t="s">
        <v>3</v>
      </c>
      <c r="J5" s="2">
        <f>130.849+560.219+248.805</f>
        <v>939.87300000000005</v>
      </c>
      <c r="K5" s="3" t="s">
        <v>114</v>
      </c>
    </row>
    <row r="6" spans="2:11" x14ac:dyDescent="0.2">
      <c r="B6" s="4" t="s">
        <v>25</v>
      </c>
      <c r="C6" t="s">
        <v>26</v>
      </c>
      <c r="D6" t="s">
        <v>27</v>
      </c>
      <c r="G6" s="5"/>
      <c r="I6" t="s">
        <v>4</v>
      </c>
      <c r="J6" s="2">
        <v>0</v>
      </c>
      <c r="K6" s="3" t="s">
        <v>114</v>
      </c>
    </row>
    <row r="7" spans="2:11" x14ac:dyDescent="0.2">
      <c r="B7" s="4"/>
      <c r="C7" t="s">
        <v>67</v>
      </c>
      <c r="G7" s="5"/>
      <c r="I7" t="s">
        <v>5</v>
      </c>
      <c r="J7" s="2">
        <f>+J4-J5+J6</f>
        <v>1396.448324</v>
      </c>
    </row>
    <row r="8" spans="2:11" x14ac:dyDescent="0.2">
      <c r="B8" s="4"/>
      <c r="C8" t="s">
        <v>68</v>
      </c>
      <c r="G8" s="5"/>
    </row>
    <row r="9" spans="2:11" x14ac:dyDescent="0.2">
      <c r="B9" s="4"/>
      <c r="C9" t="s">
        <v>69</v>
      </c>
      <c r="G9" s="5"/>
      <c r="I9" t="s">
        <v>6</v>
      </c>
      <c r="J9" s="2">
        <v>1765.8150000000001</v>
      </c>
      <c r="K9" s="3" t="s">
        <v>91</v>
      </c>
    </row>
    <row r="10" spans="2:11" x14ac:dyDescent="0.2">
      <c r="B10" s="4" t="s">
        <v>53</v>
      </c>
      <c r="C10" t="s">
        <v>54</v>
      </c>
      <c r="G10" s="5"/>
      <c r="I10" t="s">
        <v>7</v>
      </c>
      <c r="J10" s="2">
        <v>2802.8890000000001</v>
      </c>
      <c r="K10" s="3" t="s">
        <v>91</v>
      </c>
    </row>
    <row r="11" spans="2:11" x14ac:dyDescent="0.2">
      <c r="B11" s="6"/>
      <c r="C11" s="7" t="s">
        <v>31</v>
      </c>
      <c r="D11" s="7"/>
      <c r="E11" s="7"/>
      <c r="F11" s="7" t="s">
        <v>30</v>
      </c>
      <c r="G11" s="8"/>
    </row>
    <row r="13" spans="2:11" x14ac:dyDescent="0.2">
      <c r="B13" t="s">
        <v>44</v>
      </c>
      <c r="E13" s="17" t="s">
        <v>55</v>
      </c>
      <c r="I13" t="s">
        <v>43</v>
      </c>
    </row>
    <row r="14" spans="2:11" x14ac:dyDescent="0.2">
      <c r="E14" s="16" t="s">
        <v>56</v>
      </c>
    </row>
    <row r="16" spans="2:11" x14ac:dyDescent="0.2">
      <c r="E16" t="s">
        <v>66</v>
      </c>
    </row>
    <row r="22" spans="2:2" x14ac:dyDescent="0.2">
      <c r="B22" t="s">
        <v>8</v>
      </c>
    </row>
    <row r="23" spans="2:2" x14ac:dyDescent="0.2">
      <c r="B23" t="s">
        <v>10</v>
      </c>
    </row>
    <row r="24" spans="2:2" x14ac:dyDescent="0.2">
      <c r="B24" t="s">
        <v>11</v>
      </c>
    </row>
    <row r="25" spans="2:2" x14ac:dyDescent="0.2">
      <c r="B25" t="s">
        <v>9</v>
      </c>
    </row>
    <row r="26" spans="2:2" x14ac:dyDescent="0.2">
      <c r="B26" t="s">
        <v>12</v>
      </c>
    </row>
    <row r="27" spans="2:2" x14ac:dyDescent="0.2">
      <c r="B27" t="s">
        <v>14</v>
      </c>
    </row>
    <row r="28" spans="2:2" x14ac:dyDescent="0.2">
      <c r="B28" t="s">
        <v>13</v>
      </c>
    </row>
  </sheetData>
  <hyperlinks>
    <hyperlink ref="B3" location="'NTLA-2001'!A1" display="NTLA-2001" xr:uid="{A7AA35AB-E97E-45D2-85AB-B1564AF8E293}"/>
    <hyperlink ref="B4" location="'NTLA-2002'!A1" display="NTLA-2002" xr:uid="{29DB71C3-EE96-4213-A1E4-FD438CA1BC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AA28-1F5A-4385-9113-080E34EAA000}">
  <dimension ref="A1:BA38"/>
  <sheetViews>
    <sheetView tabSelected="1" zoomScale="145" zoomScaleNormal="145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A32" sqref="A32"/>
    </sheetView>
  </sheetViews>
  <sheetFormatPr defaultRowHeight="12.75" x14ac:dyDescent="0.2"/>
  <cols>
    <col min="1" max="1" width="5" bestFit="1" customWidth="1"/>
    <col min="2" max="2" width="21.42578125" bestFit="1" customWidth="1"/>
    <col min="4" max="14" width="9.140625" style="3"/>
    <col min="25" max="25" width="7.85546875" customWidth="1"/>
  </cols>
  <sheetData>
    <row r="1" spans="1:53" x14ac:dyDescent="0.2">
      <c r="A1" s="12" t="s">
        <v>32</v>
      </c>
      <c r="Q1" t="s">
        <v>33</v>
      </c>
    </row>
    <row r="2" spans="1:53" x14ac:dyDescent="0.2">
      <c r="C2">
        <v>2023</v>
      </c>
      <c r="D2" s="3">
        <f>+C2+1</f>
        <v>2024</v>
      </c>
      <c r="E2" s="3">
        <f t="shared" ref="E2:BA2" si="0">+D2+1</f>
        <v>2025</v>
      </c>
      <c r="F2" s="3">
        <f t="shared" si="0"/>
        <v>2026</v>
      </c>
      <c r="G2" s="3">
        <f t="shared" ref="G2:H2" si="1">+F2+1</f>
        <v>2027</v>
      </c>
      <c r="H2" s="3">
        <f t="shared" si="1"/>
        <v>2028</v>
      </c>
      <c r="I2" s="3">
        <f t="shared" ref="I2" si="2">+H2+1</f>
        <v>2029</v>
      </c>
      <c r="J2" s="3">
        <f t="shared" ref="J2" si="3">+I2+1</f>
        <v>2030</v>
      </c>
      <c r="K2" s="3">
        <f t="shared" ref="K2" si="4">+J2+1</f>
        <v>2031</v>
      </c>
      <c r="L2" s="3">
        <f t="shared" ref="L2" si="5">+K2+1</f>
        <v>2032</v>
      </c>
      <c r="M2" s="3">
        <f t="shared" ref="M2" si="6">+L2+1</f>
        <v>2033</v>
      </c>
      <c r="N2" s="3">
        <f t="shared" ref="N2" si="7">+M2+1</f>
        <v>2034</v>
      </c>
      <c r="O2" s="3">
        <f t="shared" ref="O2" si="8">+N2+1</f>
        <v>2035</v>
      </c>
      <c r="P2" s="3">
        <f t="shared" ref="P2" si="9">+O2+1</f>
        <v>2036</v>
      </c>
      <c r="Q2" s="3">
        <f t="shared" ref="Q2" si="10">+P2+1</f>
        <v>2037</v>
      </c>
      <c r="R2" s="3">
        <f t="shared" ref="R2" si="11">+Q2+1</f>
        <v>2038</v>
      </c>
      <c r="S2" s="3">
        <f t="shared" ref="S2" si="12">+R2+1</f>
        <v>2039</v>
      </c>
      <c r="T2" s="3">
        <f t="shared" ref="T2" si="13">+S2+1</f>
        <v>2040</v>
      </c>
      <c r="U2" s="3">
        <f t="shared" ref="U2" si="14">+T2+1</f>
        <v>2041</v>
      </c>
      <c r="V2" s="3">
        <f t="shared" ref="V2" si="15">+U2+1</f>
        <v>2042</v>
      </c>
      <c r="W2" s="3">
        <f t="shared" ref="W2" si="16">+V2+1</f>
        <v>2043</v>
      </c>
      <c r="X2">
        <f t="shared" si="0"/>
        <v>2044</v>
      </c>
      <c r="Y2">
        <f t="shared" si="0"/>
        <v>2045</v>
      </c>
      <c r="Z2">
        <f t="shared" si="0"/>
        <v>2046</v>
      </c>
      <c r="AA2">
        <f t="shared" si="0"/>
        <v>2047</v>
      </c>
      <c r="AB2">
        <f t="shared" si="0"/>
        <v>2048</v>
      </c>
      <c r="AC2">
        <f t="shared" si="0"/>
        <v>2049</v>
      </c>
      <c r="AD2">
        <f t="shared" si="0"/>
        <v>2050</v>
      </c>
      <c r="AE2">
        <f t="shared" si="0"/>
        <v>2051</v>
      </c>
      <c r="AF2">
        <f t="shared" si="0"/>
        <v>2052</v>
      </c>
      <c r="AG2">
        <f t="shared" si="0"/>
        <v>2053</v>
      </c>
      <c r="AH2">
        <f t="shared" si="0"/>
        <v>2054</v>
      </c>
      <c r="AI2">
        <f t="shared" si="0"/>
        <v>2055</v>
      </c>
      <c r="AJ2">
        <f t="shared" si="0"/>
        <v>2056</v>
      </c>
      <c r="AK2">
        <f t="shared" si="0"/>
        <v>2057</v>
      </c>
      <c r="AL2">
        <f t="shared" si="0"/>
        <v>2058</v>
      </c>
      <c r="AM2">
        <f t="shared" si="0"/>
        <v>2059</v>
      </c>
      <c r="AN2">
        <f t="shared" si="0"/>
        <v>2060</v>
      </c>
      <c r="AO2">
        <f t="shared" si="0"/>
        <v>2061</v>
      </c>
      <c r="AP2">
        <f t="shared" si="0"/>
        <v>2062</v>
      </c>
      <c r="AQ2">
        <f t="shared" si="0"/>
        <v>2063</v>
      </c>
      <c r="AR2">
        <f t="shared" si="0"/>
        <v>2064</v>
      </c>
      <c r="AS2">
        <f t="shared" si="0"/>
        <v>2065</v>
      </c>
      <c r="AT2">
        <f t="shared" si="0"/>
        <v>2066</v>
      </c>
      <c r="AU2">
        <f t="shared" si="0"/>
        <v>2067</v>
      </c>
      <c r="AV2">
        <f t="shared" si="0"/>
        <v>2068</v>
      </c>
      <c r="AW2">
        <f t="shared" si="0"/>
        <v>2069</v>
      </c>
      <c r="AX2">
        <f t="shared" si="0"/>
        <v>2070</v>
      </c>
      <c r="AY2">
        <f t="shared" si="0"/>
        <v>2071</v>
      </c>
      <c r="AZ2">
        <f t="shared" si="0"/>
        <v>2072</v>
      </c>
      <c r="BA2">
        <f t="shared" si="0"/>
        <v>2073</v>
      </c>
    </row>
    <row r="3" spans="1:53" s="2" customFormat="1" x14ac:dyDescent="0.2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53" s="2" customFormat="1" x14ac:dyDescent="0.2">
      <c r="B4" s="2" t="s">
        <v>104</v>
      </c>
      <c r="D4" s="18">
        <v>100000</v>
      </c>
      <c r="E4" s="18">
        <f>+D4-E5+E6</f>
        <v>103500</v>
      </c>
      <c r="F4" s="18">
        <f>+E4-F5+F6</f>
        <v>106702.5</v>
      </c>
      <c r="G4" s="18">
        <f>+F4-G5+G6</f>
        <v>109632.78750000001</v>
      </c>
      <c r="H4" s="18">
        <f>+G4-H5+H6</f>
        <v>112315.0005625</v>
      </c>
      <c r="I4" s="18">
        <f>+H4-I5+I6-I15</f>
        <v>114268.22551468751</v>
      </c>
      <c r="J4" s="18">
        <f t="shared" ref="J4:W4" si="17">+I4-J5+J6-J15</f>
        <v>115755.42634593908</v>
      </c>
      <c r="K4" s="18">
        <f t="shared" si="17"/>
        <v>116416.21510653426</v>
      </c>
      <c r="L4" s="18">
        <f t="shared" si="17"/>
        <v>116020.83682247886</v>
      </c>
      <c r="M4" s="18">
        <f t="shared" si="17"/>
        <v>115659.06569256815</v>
      </c>
      <c r="N4" s="18">
        <f t="shared" si="17"/>
        <v>116028.04510869987</v>
      </c>
      <c r="O4" s="18">
        <f t="shared" si="17"/>
        <v>116965.66127446038</v>
      </c>
      <c r="P4" s="18">
        <f t="shared" si="17"/>
        <v>118063.58006613124</v>
      </c>
      <c r="Q4" s="18">
        <f t="shared" si="17"/>
        <v>119260.17576051009</v>
      </c>
      <c r="R4" s="18">
        <f t="shared" si="17"/>
        <v>120508.66082086673</v>
      </c>
      <c r="S4" s="18">
        <f t="shared" si="17"/>
        <v>121773.90465109305</v>
      </c>
      <c r="T4" s="18">
        <f t="shared" si="17"/>
        <v>123029.90675575014</v>
      </c>
      <c r="U4" s="18">
        <f t="shared" si="17"/>
        <v>124257.79188151138</v>
      </c>
      <c r="V4" s="18">
        <f t="shared" si="17"/>
        <v>125444.22133158291</v>
      </c>
      <c r="W4" s="18">
        <f t="shared" si="17"/>
        <v>126580.13592639836</v>
      </c>
    </row>
    <row r="5" spans="1:53" s="2" customFormat="1" x14ac:dyDescent="0.2">
      <c r="B5" s="2" t="s">
        <v>105</v>
      </c>
      <c r="D5" s="18"/>
      <c r="E5" s="18">
        <f>+D4*0.085</f>
        <v>8500</v>
      </c>
      <c r="F5" s="18">
        <f t="shared" ref="F5:W5" si="18">+E4*0.085</f>
        <v>8797.5</v>
      </c>
      <c r="G5" s="18">
        <f t="shared" si="18"/>
        <v>9069.7125000000015</v>
      </c>
      <c r="H5" s="18">
        <f t="shared" si="18"/>
        <v>9318.7869375000009</v>
      </c>
      <c r="I5" s="18">
        <f>+H4*0.085</f>
        <v>9546.7750478125017</v>
      </c>
      <c r="J5" s="18">
        <f t="shared" si="18"/>
        <v>9712.7991687484391</v>
      </c>
      <c r="K5" s="18">
        <f t="shared" si="18"/>
        <v>9839.2112394048218</v>
      </c>
      <c r="L5" s="18">
        <f t="shared" si="18"/>
        <v>9895.3782840554122</v>
      </c>
      <c r="M5" s="18">
        <f t="shared" si="18"/>
        <v>9861.7711299107032</v>
      </c>
      <c r="N5" s="18">
        <f t="shared" si="18"/>
        <v>9831.0205838682941</v>
      </c>
      <c r="O5" s="18">
        <f t="shared" si="18"/>
        <v>9862.3838342394902</v>
      </c>
      <c r="P5" s="18">
        <f t="shared" si="18"/>
        <v>9942.081208329133</v>
      </c>
      <c r="Q5" s="18">
        <f t="shared" si="18"/>
        <v>10035.404305621156</v>
      </c>
      <c r="R5" s="18">
        <f t="shared" si="18"/>
        <v>10137.114939643358</v>
      </c>
      <c r="S5" s="18">
        <f t="shared" si="18"/>
        <v>10243.236169773672</v>
      </c>
      <c r="T5" s="18">
        <f t="shared" si="18"/>
        <v>10350.781895342911</v>
      </c>
      <c r="U5" s="18">
        <f t="shared" si="18"/>
        <v>10457.542074238763</v>
      </c>
      <c r="V5" s="18">
        <f t="shared" si="18"/>
        <v>10561.912309928468</v>
      </c>
      <c r="W5" s="18">
        <f t="shared" si="18"/>
        <v>10662.758813184548</v>
      </c>
    </row>
    <row r="6" spans="1:53" s="2" customFormat="1" x14ac:dyDescent="0.2">
      <c r="B6" s="2" t="s">
        <v>106</v>
      </c>
      <c r="D6" s="18"/>
      <c r="E6" s="18">
        <v>12000</v>
      </c>
      <c r="F6" s="18">
        <v>12000</v>
      </c>
      <c r="G6" s="18">
        <v>12000</v>
      </c>
      <c r="H6" s="18">
        <v>12001</v>
      </c>
      <c r="I6" s="18">
        <v>12000</v>
      </c>
      <c r="J6" s="18">
        <v>12000</v>
      </c>
      <c r="K6" s="18">
        <v>12000</v>
      </c>
      <c r="L6" s="18">
        <v>12000</v>
      </c>
      <c r="M6" s="18">
        <v>12000</v>
      </c>
      <c r="N6" s="18">
        <v>12000</v>
      </c>
      <c r="O6" s="18">
        <v>12000</v>
      </c>
      <c r="P6" s="18">
        <v>12000</v>
      </c>
      <c r="Q6" s="18">
        <v>12000</v>
      </c>
      <c r="R6" s="18">
        <v>12000</v>
      </c>
      <c r="S6" s="18">
        <v>12000</v>
      </c>
      <c r="T6" s="18">
        <v>12000</v>
      </c>
      <c r="U6" s="18">
        <v>12000</v>
      </c>
      <c r="V6" s="18">
        <v>12000</v>
      </c>
      <c r="W6" s="18">
        <v>12000</v>
      </c>
    </row>
    <row r="7" spans="1:53" s="2" customFormat="1" x14ac:dyDescent="0.2">
      <c r="B7" s="2" t="s">
        <v>107</v>
      </c>
      <c r="D7" s="18">
        <f>+D4*0.25</f>
        <v>25000</v>
      </c>
      <c r="E7" s="18">
        <f>+D7+E8</f>
        <v>25875</v>
      </c>
      <c r="F7" s="18">
        <f t="shared" ref="F7:H7" si="19">+E7+F8</f>
        <v>26675.625</v>
      </c>
      <c r="G7" s="18">
        <f t="shared" si="19"/>
        <v>27408.196875000001</v>
      </c>
      <c r="H7" s="18">
        <f t="shared" si="19"/>
        <v>28078.750140625001</v>
      </c>
      <c r="I7" s="18">
        <f>+H7+I8-I15</f>
        <v>28067.056378671878</v>
      </c>
      <c r="J7" s="18">
        <f t="shared" ref="J7:W7" si="20">+I7+J8-J15</f>
        <v>27638.85658648477</v>
      </c>
      <c r="K7" s="18">
        <f t="shared" si="20"/>
        <v>26304.053776633566</v>
      </c>
      <c r="L7" s="18">
        <f t="shared" si="20"/>
        <v>23705.209205619714</v>
      </c>
      <c r="M7" s="18">
        <f t="shared" si="20"/>
        <v>21114.766423142039</v>
      </c>
      <c r="N7" s="18">
        <f>+M7+N8-N15</f>
        <v>19407.011277174966</v>
      </c>
      <c r="O7" s="18">
        <f t="shared" si="20"/>
        <v>18441.415318615094</v>
      </c>
      <c r="P7" s="18">
        <f t="shared" si="20"/>
        <v>17755.89501653281</v>
      </c>
      <c r="Q7" s="18">
        <f t="shared" si="20"/>
        <v>17287.043940127522</v>
      </c>
      <c r="R7" s="18">
        <f t="shared" si="20"/>
        <v>16984.765205216681</v>
      </c>
      <c r="S7" s="18">
        <f t="shared" si="20"/>
        <v>16809.55616277326</v>
      </c>
      <c r="T7" s="18">
        <f t="shared" si="20"/>
        <v>16730.340688937533</v>
      </c>
      <c r="U7" s="18">
        <f t="shared" si="20"/>
        <v>16722.739170377841</v>
      </c>
      <c r="V7" s="18">
        <f t="shared" si="20"/>
        <v>16767.688292895724</v>
      </c>
      <c r="W7" s="18">
        <f t="shared" si="20"/>
        <v>16850.340349599584</v>
      </c>
    </row>
    <row r="8" spans="1:53" s="2" customFormat="1" x14ac:dyDescent="0.2">
      <c r="B8" s="2" t="s">
        <v>122</v>
      </c>
      <c r="D8" s="18"/>
      <c r="E8" s="18">
        <f>+(E4-D4)*0.25</f>
        <v>875</v>
      </c>
      <c r="F8" s="18">
        <f t="shared" ref="F8:W8" si="21">+(F4-E4)*0.25</f>
        <v>800.625</v>
      </c>
      <c r="G8" s="18">
        <f t="shared" si="21"/>
        <v>732.57187500000146</v>
      </c>
      <c r="H8" s="18">
        <f t="shared" si="21"/>
        <v>670.55326562499977</v>
      </c>
      <c r="I8" s="18">
        <f>+(I4-H4)*0.25</f>
        <v>488.30623804687639</v>
      </c>
      <c r="J8" s="18">
        <f>+(J4-I4)*0.25</f>
        <v>371.80020781289204</v>
      </c>
      <c r="K8" s="18">
        <f t="shared" si="21"/>
        <v>165.19719014879593</v>
      </c>
      <c r="L8" s="18">
        <f t="shared" si="21"/>
        <v>-98.844571013851237</v>
      </c>
      <c r="M8" s="18">
        <f>+(M4-L4)*0.25</f>
        <v>-90.442782477675792</v>
      </c>
      <c r="N8" s="18">
        <f>+(N4-M4)*0.25</f>
        <v>92.244854032927833</v>
      </c>
      <c r="O8" s="18">
        <f t="shared" si="21"/>
        <v>234.40404144012791</v>
      </c>
      <c r="P8" s="18">
        <f t="shared" si="21"/>
        <v>274.47969791771538</v>
      </c>
      <c r="Q8" s="18">
        <f t="shared" si="21"/>
        <v>299.14892359471196</v>
      </c>
      <c r="R8" s="18">
        <f t="shared" si="21"/>
        <v>312.12126508916117</v>
      </c>
      <c r="S8" s="18">
        <f t="shared" si="21"/>
        <v>316.31095755657952</v>
      </c>
      <c r="T8" s="18">
        <f t="shared" si="21"/>
        <v>314.00052616427274</v>
      </c>
      <c r="U8" s="18">
        <f t="shared" si="21"/>
        <v>306.97128144031012</v>
      </c>
      <c r="V8" s="18">
        <f t="shared" si="21"/>
        <v>296.6073625178833</v>
      </c>
      <c r="W8" s="18">
        <f t="shared" si="21"/>
        <v>283.97864870386184</v>
      </c>
      <c r="X8" s="18"/>
    </row>
    <row r="9" spans="1:53" s="2" customFormat="1" x14ac:dyDescent="0.2"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53" s="2" customFormat="1" x14ac:dyDescent="0.2">
      <c r="D10" s="18"/>
      <c r="E10" s="18"/>
      <c r="F10" s="18"/>
      <c r="G10" s="18"/>
      <c r="H10" s="18"/>
      <c r="I10" s="2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53" x14ac:dyDescent="0.2">
      <c r="B11" t="s">
        <v>71</v>
      </c>
      <c r="I11" s="3">
        <v>225</v>
      </c>
    </row>
    <row r="12" spans="1:53" x14ac:dyDescent="0.2">
      <c r="B12" t="s">
        <v>72</v>
      </c>
      <c r="I12" s="18">
        <f>2327/0.225</f>
        <v>10342.222222222223</v>
      </c>
      <c r="K12" s="18"/>
    </row>
    <row r="13" spans="1:53" x14ac:dyDescent="0.2">
      <c r="B13" t="s">
        <v>73</v>
      </c>
      <c r="I13" s="18">
        <v>2327</v>
      </c>
    </row>
    <row r="14" spans="1:53" x14ac:dyDescent="0.2">
      <c r="B14" t="s">
        <v>75</v>
      </c>
      <c r="I14" s="18">
        <v>2500</v>
      </c>
      <c r="J14" s="18">
        <v>2500</v>
      </c>
      <c r="K14" s="18">
        <v>2500</v>
      </c>
      <c r="L14" s="18">
        <v>2500</v>
      </c>
      <c r="M14" s="18">
        <v>2500</v>
      </c>
      <c r="N14" s="18">
        <v>2500</v>
      </c>
      <c r="O14" s="18">
        <v>2500</v>
      </c>
      <c r="P14" s="18">
        <v>2500</v>
      </c>
      <c r="Q14" s="18">
        <v>2500</v>
      </c>
      <c r="R14" s="18">
        <v>2500</v>
      </c>
      <c r="S14" s="18">
        <v>2500</v>
      </c>
      <c r="T14" s="18">
        <v>2500</v>
      </c>
      <c r="U14" s="18">
        <v>2500</v>
      </c>
      <c r="V14" s="18">
        <v>2500</v>
      </c>
      <c r="W14" s="18">
        <v>2500</v>
      </c>
    </row>
    <row r="15" spans="1:53" x14ac:dyDescent="0.2">
      <c r="B15" t="s">
        <v>76</v>
      </c>
      <c r="I15" s="18">
        <v>500</v>
      </c>
      <c r="J15" s="3">
        <v>800</v>
      </c>
      <c r="K15" s="18">
        <v>1500</v>
      </c>
      <c r="L15" s="18">
        <v>2500</v>
      </c>
      <c r="M15" s="18">
        <v>2500</v>
      </c>
      <c r="N15" s="18">
        <v>1800</v>
      </c>
      <c r="O15" s="18">
        <v>1200</v>
      </c>
      <c r="P15" s="18">
        <f>+O15*0.8</f>
        <v>960</v>
      </c>
      <c r="Q15" s="18">
        <f t="shared" ref="Q15:W15" si="22">+P15*0.8</f>
        <v>768</v>
      </c>
      <c r="R15" s="18">
        <f t="shared" si="22"/>
        <v>614.40000000000009</v>
      </c>
      <c r="S15" s="18">
        <f t="shared" si="22"/>
        <v>491.5200000000001</v>
      </c>
      <c r="T15" s="18">
        <f t="shared" si="22"/>
        <v>393.21600000000012</v>
      </c>
      <c r="U15" s="18">
        <f t="shared" si="22"/>
        <v>314.57280000000014</v>
      </c>
      <c r="V15" s="18">
        <f t="shared" si="22"/>
        <v>251.65824000000012</v>
      </c>
      <c r="W15" s="18">
        <f t="shared" si="22"/>
        <v>201.32659200000012</v>
      </c>
    </row>
    <row r="16" spans="1:53" x14ac:dyDescent="0.2">
      <c r="B16" t="s">
        <v>74</v>
      </c>
      <c r="D16" s="3" t="s">
        <v>113</v>
      </c>
      <c r="E16" s="3" t="s">
        <v>46</v>
      </c>
      <c r="F16" s="3" t="s">
        <v>46</v>
      </c>
      <c r="G16" s="3" t="s">
        <v>47</v>
      </c>
      <c r="H16" s="3" t="s">
        <v>48</v>
      </c>
      <c r="I16" s="18">
        <f>+I14*I15/1000</f>
        <v>1250</v>
      </c>
      <c r="J16" s="18">
        <f>+J14*J15/1000</f>
        <v>2000</v>
      </c>
      <c r="K16" s="18">
        <f>+K14*K15/1000</f>
        <v>3750</v>
      </c>
      <c r="L16" s="18">
        <f t="shared" ref="L16:N16" si="23">+L14*L15/1000</f>
        <v>6250</v>
      </c>
      <c r="M16" s="18">
        <f t="shared" si="23"/>
        <v>6250</v>
      </c>
      <c r="N16" s="18">
        <f t="shared" si="23"/>
        <v>4500</v>
      </c>
      <c r="O16" s="18">
        <f t="shared" ref="O16" si="24">+O14*O15/1000</f>
        <v>3000</v>
      </c>
      <c r="P16" s="18">
        <f t="shared" ref="P16" si="25">+P14*P15/1000</f>
        <v>2400</v>
      </c>
      <c r="Q16" s="18">
        <f t="shared" ref="Q16" si="26">+Q14*Q15/1000</f>
        <v>1920</v>
      </c>
      <c r="R16" s="18">
        <f t="shared" ref="R16" si="27">+R14*R15/1000</f>
        <v>1536.0000000000002</v>
      </c>
      <c r="S16" s="18">
        <f t="shared" ref="S16" si="28">+S14*S15/1000</f>
        <v>1228.8000000000002</v>
      </c>
      <c r="T16" s="18">
        <f t="shared" ref="T16" si="29">+T14*T15/1000</f>
        <v>983.0400000000003</v>
      </c>
      <c r="U16" s="18">
        <f t="shared" ref="U16" si="30">+U14*U15/1000</f>
        <v>786.43200000000036</v>
      </c>
      <c r="V16" s="18">
        <f t="shared" ref="V16:W16" si="31">+V14*V15/1000</f>
        <v>629.14560000000029</v>
      </c>
      <c r="W16" s="18">
        <f t="shared" si="31"/>
        <v>503.3164800000003</v>
      </c>
    </row>
    <row r="17" spans="2:53" x14ac:dyDescent="0.2">
      <c r="B17" t="s">
        <v>77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2:53" s="2" customFormat="1" x14ac:dyDescent="0.2">
      <c r="B18" s="2" t="s">
        <v>116</v>
      </c>
      <c r="C18" s="2">
        <v>36.274999999999999</v>
      </c>
      <c r="D18" s="18">
        <f>+C18*0.9</f>
        <v>32.647500000000001</v>
      </c>
      <c r="E18" s="18">
        <f t="shared" ref="E18:H18" si="32">+D18*0.9</f>
        <v>29.382750000000001</v>
      </c>
      <c r="F18" s="18">
        <f t="shared" si="32"/>
        <v>26.444475000000001</v>
      </c>
      <c r="G18" s="18">
        <f t="shared" si="32"/>
        <v>23.800027500000002</v>
      </c>
      <c r="H18" s="18">
        <f t="shared" si="32"/>
        <v>21.420024750000003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2:53" s="13" customFormat="1" x14ac:dyDescent="0.2">
      <c r="B19" s="13" t="s">
        <v>45</v>
      </c>
      <c r="C19" s="19"/>
      <c r="D19" s="19">
        <f>+D17+D18</f>
        <v>32.647500000000001</v>
      </c>
      <c r="E19" s="19">
        <f>+E17+E18</f>
        <v>29.382750000000001</v>
      </c>
      <c r="F19" s="19">
        <f>+F17+F18</f>
        <v>26.444475000000001</v>
      </c>
      <c r="G19" s="19">
        <f>+G17+G18</f>
        <v>23.800027500000002</v>
      </c>
      <c r="H19" s="19">
        <f>+H17+H18</f>
        <v>21.420024750000003</v>
      </c>
      <c r="I19" s="19">
        <f>+I16+I17</f>
        <v>1250</v>
      </c>
      <c r="J19" s="19">
        <f>+J16+J17</f>
        <v>2000</v>
      </c>
      <c r="K19" s="19">
        <f>+K16+K17</f>
        <v>3750</v>
      </c>
      <c r="L19" s="19">
        <f>+L16+L17</f>
        <v>6250</v>
      </c>
      <c r="M19" s="19">
        <f>+M16+M17</f>
        <v>6250</v>
      </c>
      <c r="N19" s="19">
        <f>+N16+N17</f>
        <v>4500</v>
      </c>
      <c r="O19" s="19">
        <f>+O16+O17</f>
        <v>3000</v>
      </c>
      <c r="P19" s="19">
        <f>+P16+P17</f>
        <v>2400</v>
      </c>
      <c r="Q19" s="19">
        <f>+Q16+Q17</f>
        <v>1920</v>
      </c>
      <c r="R19" s="19">
        <f>+R16+R17</f>
        <v>1536.0000000000002</v>
      </c>
      <c r="S19" s="19">
        <f>+S16+S17</f>
        <v>1228.8000000000002</v>
      </c>
      <c r="T19" s="19">
        <f>+T16+T17</f>
        <v>983.0400000000003</v>
      </c>
      <c r="U19" s="19">
        <f>+U16+U17</f>
        <v>786.43200000000036</v>
      </c>
      <c r="V19" s="19">
        <f>+V16+V17</f>
        <v>629.14560000000029</v>
      </c>
      <c r="W19" s="19">
        <f>+W16+W17</f>
        <v>503.3164800000003</v>
      </c>
      <c r="X19" s="19"/>
      <c r="Y19" s="19"/>
    </row>
    <row r="20" spans="2:53" x14ac:dyDescent="0.2">
      <c r="B20" t="s">
        <v>78</v>
      </c>
      <c r="G20" s="18">
        <f>+G17*0.3</f>
        <v>0</v>
      </c>
      <c r="H20" s="18">
        <f t="shared" ref="H20" si="33">+H19*0.3</f>
        <v>6.4260074250000008</v>
      </c>
      <c r="I20" s="18">
        <f>+I19*0.3</f>
        <v>375</v>
      </c>
      <c r="J20" s="18">
        <f t="shared" ref="J20:W20" si="34">+J19*0.3</f>
        <v>600</v>
      </c>
      <c r="K20" s="18">
        <f t="shared" si="34"/>
        <v>1125</v>
      </c>
      <c r="L20" s="18">
        <f t="shared" si="34"/>
        <v>1875</v>
      </c>
      <c r="M20" s="18">
        <f t="shared" si="34"/>
        <v>1875</v>
      </c>
      <c r="N20" s="18">
        <f t="shared" si="34"/>
        <v>1350</v>
      </c>
      <c r="O20" s="18">
        <f t="shared" si="34"/>
        <v>900</v>
      </c>
      <c r="P20" s="18">
        <f t="shared" si="34"/>
        <v>720</v>
      </c>
      <c r="Q20" s="18">
        <f t="shared" si="34"/>
        <v>576</v>
      </c>
      <c r="R20" s="18">
        <f t="shared" si="34"/>
        <v>460.80000000000007</v>
      </c>
      <c r="S20" s="18">
        <f t="shared" si="34"/>
        <v>368.64000000000004</v>
      </c>
      <c r="T20" s="18">
        <f t="shared" si="34"/>
        <v>294.91200000000009</v>
      </c>
      <c r="U20" s="18">
        <f t="shared" si="34"/>
        <v>235.92960000000011</v>
      </c>
      <c r="V20" s="18">
        <f t="shared" si="34"/>
        <v>188.74368000000007</v>
      </c>
      <c r="W20" s="18">
        <f t="shared" si="34"/>
        <v>150.99494400000009</v>
      </c>
    </row>
    <row r="21" spans="2:53" x14ac:dyDescent="0.2">
      <c r="B21" t="s">
        <v>79</v>
      </c>
      <c r="G21" s="18">
        <f t="shared" ref="G21:H21" si="35">+G19-G20</f>
        <v>23.800027500000002</v>
      </c>
      <c r="H21" s="18">
        <f t="shared" si="35"/>
        <v>14.994017325000002</v>
      </c>
      <c r="I21" s="18">
        <f>+I19-I20</f>
        <v>875</v>
      </c>
      <c r="J21" s="18">
        <f t="shared" ref="J21:V21" si="36">+J19-J20</f>
        <v>1400</v>
      </c>
      <c r="K21" s="18">
        <f t="shared" si="36"/>
        <v>2625</v>
      </c>
      <c r="L21" s="18">
        <f t="shared" si="36"/>
        <v>4375</v>
      </c>
      <c r="M21" s="18">
        <f t="shared" si="36"/>
        <v>4375</v>
      </c>
      <c r="N21" s="18">
        <f t="shared" si="36"/>
        <v>3150</v>
      </c>
      <c r="O21" s="18">
        <f t="shared" si="36"/>
        <v>2100</v>
      </c>
      <c r="P21" s="18">
        <f t="shared" si="36"/>
        <v>1680</v>
      </c>
      <c r="Q21" s="18">
        <f t="shared" si="36"/>
        <v>1344</v>
      </c>
      <c r="R21" s="18">
        <f t="shared" si="36"/>
        <v>1075.2000000000003</v>
      </c>
      <c r="S21" s="18">
        <f t="shared" si="36"/>
        <v>860.16000000000008</v>
      </c>
      <c r="T21" s="18">
        <f t="shared" si="36"/>
        <v>688.12800000000016</v>
      </c>
      <c r="U21" s="18">
        <f t="shared" si="36"/>
        <v>550.50240000000031</v>
      </c>
      <c r="V21" s="18">
        <f t="shared" si="36"/>
        <v>440.40192000000025</v>
      </c>
      <c r="W21" s="18">
        <f t="shared" ref="W21" si="37">+W19-W20</f>
        <v>352.32153600000021</v>
      </c>
    </row>
    <row r="22" spans="2:53" s="23" customFormat="1" x14ac:dyDescent="0.2">
      <c r="B22" s="23" t="s">
        <v>115</v>
      </c>
      <c r="C22" s="23">
        <v>435.06900000000002</v>
      </c>
      <c r="D22" s="24">
        <f>114.207+111.847+100*2</f>
        <v>426.05399999999997</v>
      </c>
      <c r="E22" s="24">
        <f>+D22*0.99</f>
        <v>421.79345999999998</v>
      </c>
      <c r="F22" s="24">
        <f t="shared" ref="F22:H22" si="38">+E22*0.99</f>
        <v>417.5755254</v>
      </c>
      <c r="G22" s="24">
        <f t="shared" si="38"/>
        <v>413.39977014599998</v>
      </c>
      <c r="H22" s="24">
        <f t="shared" si="38"/>
        <v>409.26577244454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2:53" s="2" customFormat="1" x14ac:dyDescent="0.2">
      <c r="B23" s="2" t="s">
        <v>80</v>
      </c>
      <c r="D23" s="18">
        <f>31.091+31.793+32*2</f>
        <v>126.884</v>
      </c>
      <c r="E23" s="18">
        <f>+D23*1.01</f>
        <v>128.15284</v>
      </c>
      <c r="F23" s="18">
        <f t="shared" ref="F23:H23" si="39">+E23*1.01</f>
        <v>129.43436840000001</v>
      </c>
      <c r="G23" s="18">
        <f t="shared" si="39"/>
        <v>130.72871208400002</v>
      </c>
      <c r="H23" s="18">
        <f t="shared" si="39"/>
        <v>132.03599920484001</v>
      </c>
      <c r="I23" s="18">
        <v>200</v>
      </c>
      <c r="J23" s="18">
        <v>200</v>
      </c>
      <c r="K23" s="18">
        <v>200</v>
      </c>
      <c r="L23" s="18">
        <v>200</v>
      </c>
      <c r="M23" s="18">
        <v>200</v>
      </c>
      <c r="N23" s="18">
        <v>200</v>
      </c>
      <c r="O23" s="18">
        <v>200</v>
      </c>
      <c r="P23" s="18">
        <v>200</v>
      </c>
      <c r="Q23" s="18">
        <v>200</v>
      </c>
      <c r="R23" s="18">
        <v>200</v>
      </c>
      <c r="S23" s="18">
        <v>200</v>
      </c>
      <c r="T23" s="18">
        <v>200</v>
      </c>
      <c r="U23" s="18">
        <v>200</v>
      </c>
      <c r="V23" s="18">
        <v>200</v>
      </c>
      <c r="W23" s="18">
        <v>200</v>
      </c>
    </row>
    <row r="24" spans="2:53" s="2" customFormat="1" x14ac:dyDescent="0.2">
      <c r="B24" s="2" t="s">
        <v>81</v>
      </c>
      <c r="D24" s="18">
        <f>+D19-D22-D23</f>
        <v>-520.29049999999995</v>
      </c>
      <c r="E24" s="18">
        <f>+E19-E22-E23</f>
        <v>-520.56354999999996</v>
      </c>
      <c r="F24" s="18">
        <f>+F19-F22-F23</f>
        <v>-520.56541879999997</v>
      </c>
      <c r="G24" s="18">
        <f>+G21-G23-G22</f>
        <v>-520.32845472999998</v>
      </c>
      <c r="H24" s="18">
        <f>+H21-H23-H22</f>
        <v>-526.30775432437997</v>
      </c>
      <c r="I24" s="18">
        <f>+I21-I23</f>
        <v>675</v>
      </c>
      <c r="J24" s="18">
        <f t="shared" ref="J24:V24" si="40">+J21-J23</f>
        <v>1200</v>
      </c>
      <c r="K24" s="18">
        <f t="shared" si="40"/>
        <v>2425</v>
      </c>
      <c r="L24" s="18">
        <f t="shared" si="40"/>
        <v>4175</v>
      </c>
      <c r="M24" s="18">
        <f t="shared" si="40"/>
        <v>4175</v>
      </c>
      <c r="N24" s="18">
        <f t="shared" si="40"/>
        <v>2950</v>
      </c>
      <c r="O24" s="18">
        <f t="shared" si="40"/>
        <v>1900</v>
      </c>
      <c r="P24" s="18">
        <f t="shared" si="40"/>
        <v>1480</v>
      </c>
      <c r="Q24" s="18">
        <f t="shared" si="40"/>
        <v>1144</v>
      </c>
      <c r="R24" s="18">
        <f t="shared" si="40"/>
        <v>875.20000000000027</v>
      </c>
      <c r="S24" s="18">
        <f t="shared" si="40"/>
        <v>660.16000000000008</v>
      </c>
      <c r="T24" s="18">
        <f t="shared" si="40"/>
        <v>488.12800000000016</v>
      </c>
      <c r="U24" s="18">
        <f t="shared" si="40"/>
        <v>350.50240000000031</v>
      </c>
      <c r="V24" s="18">
        <f t="shared" si="40"/>
        <v>240.40192000000025</v>
      </c>
      <c r="W24" s="18">
        <f t="shared" ref="W24" si="41">+W21-W23</f>
        <v>152.32153600000021</v>
      </c>
    </row>
    <row r="25" spans="2:53" s="2" customFormat="1" x14ac:dyDescent="0.2">
      <c r="B25" s="2" t="s">
        <v>82</v>
      </c>
      <c r="D25" s="18"/>
      <c r="E25" s="18"/>
      <c r="F25" s="18"/>
      <c r="G25" s="18"/>
      <c r="H25" s="18"/>
      <c r="I25" s="18">
        <f>+(I24*(I16/I19))*0.25</f>
        <v>168.75</v>
      </c>
      <c r="J25" s="18">
        <f>+(J24*(J16/J19))*0.25</f>
        <v>300</v>
      </c>
      <c r="K25" s="18">
        <f>+(K24*(K16/K19))*0.25</f>
        <v>606.25</v>
      </c>
      <c r="L25" s="18">
        <f>+(L24*(L16/L19))*0.25</f>
        <v>1043.75</v>
      </c>
      <c r="M25" s="18">
        <f>+(M24*(M16/M19))*0.25</f>
        <v>1043.75</v>
      </c>
      <c r="N25" s="18">
        <f>+(N24*(N16/N19))*0.25</f>
        <v>737.5</v>
      </c>
      <c r="O25" s="18">
        <f>+(O24*(O16/O19))*0.25</f>
        <v>475</v>
      </c>
      <c r="P25" s="18">
        <f>+(P24*(P16/P19))*0.25</f>
        <v>370</v>
      </c>
      <c r="Q25" s="18">
        <f>+(Q24*(Q16/Q19))*0.25</f>
        <v>286</v>
      </c>
      <c r="R25" s="18">
        <f>+(R24*(R16/R19))*0.25</f>
        <v>218.80000000000007</v>
      </c>
      <c r="S25" s="18">
        <f>+(S24*(S16/S19))*0.25</f>
        <v>165.04000000000002</v>
      </c>
      <c r="T25" s="18">
        <f>+(T24*(T16/T19))*0.25</f>
        <v>122.03200000000004</v>
      </c>
      <c r="U25" s="18">
        <f>+(U24*(U16/U19))*0.25</f>
        <v>87.625600000000077</v>
      </c>
      <c r="V25" s="18">
        <f>+(V24*(V16/V19))*0.25</f>
        <v>60.100480000000061</v>
      </c>
      <c r="W25" s="18">
        <f>+(W24*(W16/W19))*0.25</f>
        <v>38.080384000000052</v>
      </c>
    </row>
    <row r="26" spans="2:53" s="2" customFormat="1" x14ac:dyDescent="0.2">
      <c r="B26" s="2" t="s">
        <v>117</v>
      </c>
      <c r="D26" s="18">
        <f>25*2</f>
        <v>50</v>
      </c>
      <c r="E26" s="18">
        <f>+D26*0.9</f>
        <v>45</v>
      </c>
      <c r="F26" s="18">
        <f t="shared" ref="F26:I26" si="42">+E26*0.9</f>
        <v>40.5</v>
      </c>
      <c r="G26" s="18">
        <f t="shared" si="42"/>
        <v>36.450000000000003</v>
      </c>
      <c r="H26" s="18">
        <f t="shared" si="42"/>
        <v>32.805000000000007</v>
      </c>
      <c r="I26" s="18">
        <f t="shared" si="42"/>
        <v>29.524500000000007</v>
      </c>
      <c r="J26" s="18">
        <f>+I26*0.95</f>
        <v>28.048275000000004</v>
      </c>
      <c r="K26" s="18">
        <f t="shared" ref="K26:W26" si="43">+J26*0.95</f>
        <v>26.645861250000003</v>
      </c>
      <c r="L26" s="18">
        <f t="shared" si="43"/>
        <v>25.313568187500003</v>
      </c>
      <c r="M26" s="18">
        <f t="shared" si="43"/>
        <v>24.047889778125001</v>
      </c>
      <c r="N26" s="18">
        <f t="shared" si="43"/>
        <v>22.84549528921875</v>
      </c>
      <c r="O26" s="18">
        <f t="shared" si="43"/>
        <v>21.70322052475781</v>
      </c>
      <c r="P26" s="18">
        <f t="shared" si="43"/>
        <v>20.618059498519919</v>
      </c>
      <c r="Q26" s="18">
        <f t="shared" si="43"/>
        <v>19.587156523593922</v>
      </c>
      <c r="R26" s="18">
        <f t="shared" si="43"/>
        <v>18.607798697414225</v>
      </c>
      <c r="S26" s="18">
        <f t="shared" si="43"/>
        <v>17.677408762543514</v>
      </c>
      <c r="T26" s="18">
        <f t="shared" si="43"/>
        <v>16.793538324416339</v>
      </c>
      <c r="U26" s="18">
        <f t="shared" si="43"/>
        <v>15.953861408195522</v>
      </c>
      <c r="V26" s="18">
        <f t="shared" si="43"/>
        <v>15.156168337785745</v>
      </c>
      <c r="W26" s="18">
        <f t="shared" si="43"/>
        <v>14.398359920896457</v>
      </c>
    </row>
    <row r="27" spans="2:53" s="2" customFormat="1" x14ac:dyDescent="0.2">
      <c r="B27" s="2" t="s">
        <v>83</v>
      </c>
      <c r="D27" s="18">
        <f>+D24-D25+D26</f>
        <v>-470.29049999999995</v>
      </c>
      <c r="E27" s="18">
        <f t="shared" ref="E27:J27" si="44">+E24-E25+E26</f>
        <v>-475.56354999999996</v>
      </c>
      <c r="F27" s="18">
        <f t="shared" si="44"/>
        <v>-480.06541879999997</v>
      </c>
      <c r="G27" s="18">
        <f t="shared" si="44"/>
        <v>-483.87845472999999</v>
      </c>
      <c r="H27" s="18">
        <f>+H24-H25+H26</f>
        <v>-493.50275432437996</v>
      </c>
      <c r="I27" s="18">
        <f t="shared" si="44"/>
        <v>535.77449999999999</v>
      </c>
      <c r="J27" s="18">
        <f t="shared" si="44"/>
        <v>928.04827499999999</v>
      </c>
      <c r="K27" s="18">
        <f t="shared" ref="K27" si="45">+K24-K25+K26</f>
        <v>1845.3958612500001</v>
      </c>
      <c r="L27" s="18">
        <f t="shared" ref="L27" si="46">+L24-L25+L26</f>
        <v>3156.5635681875001</v>
      </c>
      <c r="M27" s="18">
        <f t="shared" ref="M27" si="47">+M24-M25+M26</f>
        <v>3155.297889778125</v>
      </c>
      <c r="N27" s="18">
        <f t="shared" ref="N27" si="48">+N24-N25+N26</f>
        <v>2235.3454952892189</v>
      </c>
      <c r="O27" s="18">
        <f t="shared" ref="O27:P27" si="49">+O24-O25+O26</f>
        <v>1446.7032205247579</v>
      </c>
      <c r="P27" s="18">
        <f t="shared" si="49"/>
        <v>1130.6180594985199</v>
      </c>
      <c r="Q27" s="18">
        <f t="shared" ref="Q27" si="50">+Q24-Q25+Q26</f>
        <v>877.58715652359388</v>
      </c>
      <c r="R27" s="18">
        <f t="shared" ref="R27" si="51">+R24-R25+R26</f>
        <v>675.00779869741439</v>
      </c>
      <c r="S27" s="18">
        <f t="shared" ref="S27" si="52">+S24-S25+S26</f>
        <v>512.79740876254357</v>
      </c>
      <c r="T27" s="18">
        <f t="shared" ref="T27" si="53">+T24-T25+T26</f>
        <v>382.88953832441643</v>
      </c>
      <c r="U27" s="18">
        <f t="shared" ref="U27:V27" si="54">+U24-U25+U26</f>
        <v>278.83066140819574</v>
      </c>
      <c r="V27" s="18">
        <f t="shared" si="54"/>
        <v>195.45760833778593</v>
      </c>
      <c r="W27" s="18">
        <f t="shared" ref="W27" si="55">+W24-W25+W26</f>
        <v>128.63951192089661</v>
      </c>
    </row>
    <row r="28" spans="2:53" s="2" customFormat="1" x14ac:dyDescent="0.2">
      <c r="B28" s="2" t="s">
        <v>84</v>
      </c>
      <c r="D28" s="18"/>
      <c r="E28" s="18"/>
      <c r="F28" s="18"/>
      <c r="G28" s="18"/>
      <c r="H28" s="18"/>
      <c r="I28" s="18">
        <f>+I27*0.2</f>
        <v>107.1549</v>
      </c>
      <c r="J28" s="18">
        <f>+J27*0.2</f>
        <v>185.609655</v>
      </c>
      <c r="K28" s="18">
        <f>+K27*0.2</f>
        <v>369.07917225000006</v>
      </c>
      <c r="L28" s="18">
        <f t="shared" ref="L28:V28" si="56">+L27*0.2</f>
        <v>631.31271363750011</v>
      </c>
      <c r="M28" s="18">
        <f t="shared" si="56"/>
        <v>631.05957795562506</v>
      </c>
      <c r="N28" s="18">
        <f t="shared" si="56"/>
        <v>447.0690990578438</v>
      </c>
      <c r="O28" s="18">
        <f t="shared" si="56"/>
        <v>289.34064410495159</v>
      </c>
      <c r="P28" s="18">
        <f t="shared" si="56"/>
        <v>226.12361189970397</v>
      </c>
      <c r="Q28" s="18">
        <f t="shared" si="56"/>
        <v>175.5174313047188</v>
      </c>
      <c r="R28" s="18">
        <f t="shared" si="56"/>
        <v>135.00155973948287</v>
      </c>
      <c r="S28" s="18">
        <f t="shared" si="56"/>
        <v>102.55948175250872</v>
      </c>
      <c r="T28" s="18">
        <f t="shared" si="56"/>
        <v>76.577907664883284</v>
      </c>
      <c r="U28" s="18">
        <f t="shared" si="56"/>
        <v>55.766132281639152</v>
      </c>
      <c r="V28" s="18">
        <f t="shared" si="56"/>
        <v>39.091521667557188</v>
      </c>
      <c r="W28" s="18">
        <f t="shared" ref="W28" si="57">+W27*0.2</f>
        <v>25.727902384179323</v>
      </c>
    </row>
    <row r="29" spans="2:53" s="29" customFormat="1" x14ac:dyDescent="0.2">
      <c r="B29" s="29" t="s">
        <v>85</v>
      </c>
      <c r="D29" s="19">
        <f>+(D27-D28)/2</f>
        <v>-235.14524999999998</v>
      </c>
      <c r="E29" s="19">
        <f t="shared" ref="E29:H29" si="58">+E27-E28</f>
        <v>-475.56354999999996</v>
      </c>
      <c r="F29" s="19">
        <f t="shared" si="58"/>
        <v>-480.06541879999997</v>
      </c>
      <c r="G29" s="19">
        <f t="shared" si="58"/>
        <v>-483.87845472999999</v>
      </c>
      <c r="H29" s="19">
        <f t="shared" si="58"/>
        <v>-493.50275432437996</v>
      </c>
      <c r="I29" s="19">
        <f>+I27-I28</f>
        <v>428.61959999999999</v>
      </c>
      <c r="J29" s="19">
        <f t="shared" ref="J29:V29" si="59">+J27-J28</f>
        <v>742.43862000000001</v>
      </c>
      <c r="K29" s="19">
        <f t="shared" si="59"/>
        <v>1476.316689</v>
      </c>
      <c r="L29" s="19">
        <f t="shared" si="59"/>
        <v>2525.25085455</v>
      </c>
      <c r="M29" s="19">
        <f t="shared" si="59"/>
        <v>2524.2383118224998</v>
      </c>
      <c r="N29" s="19">
        <f t="shared" si="59"/>
        <v>1788.2763962313752</v>
      </c>
      <c r="O29" s="19">
        <f t="shared" si="59"/>
        <v>1157.3625764198064</v>
      </c>
      <c r="P29" s="19">
        <f t="shared" si="59"/>
        <v>904.4944475988159</v>
      </c>
      <c r="Q29" s="19">
        <f t="shared" si="59"/>
        <v>702.06972521887508</v>
      </c>
      <c r="R29" s="19">
        <f t="shared" si="59"/>
        <v>540.00623895793149</v>
      </c>
      <c r="S29" s="19">
        <f t="shared" si="59"/>
        <v>410.23792701003487</v>
      </c>
      <c r="T29" s="19">
        <f t="shared" si="59"/>
        <v>306.31163065953314</v>
      </c>
      <c r="U29" s="19">
        <f t="shared" si="59"/>
        <v>223.06452912655658</v>
      </c>
      <c r="V29" s="19">
        <f t="shared" si="59"/>
        <v>156.36608667022875</v>
      </c>
      <c r="W29" s="19">
        <f t="shared" ref="W29" si="60">+W27-W28</f>
        <v>102.91160953671729</v>
      </c>
      <c r="X29" s="19">
        <f t="shared" ref="X29:BA29" si="61">+W29*(1+$Y$33)</f>
        <v>97.766029059881419</v>
      </c>
      <c r="Y29" s="19">
        <f t="shared" si="61"/>
        <v>92.877727606887348</v>
      </c>
      <c r="Z29" s="19">
        <f t="shared" si="61"/>
        <v>88.233841226542978</v>
      </c>
      <c r="AA29" s="19">
        <f t="shared" si="61"/>
        <v>83.822149165215819</v>
      </c>
      <c r="AB29" s="19">
        <f t="shared" si="61"/>
        <v>79.631041706955031</v>
      </c>
      <c r="AC29" s="19">
        <f t="shared" si="61"/>
        <v>75.649489621607273</v>
      </c>
      <c r="AD29" s="19">
        <f t="shared" si="61"/>
        <v>71.867015140526902</v>
      </c>
      <c r="AE29" s="19">
        <f t="shared" si="61"/>
        <v>68.273664383500559</v>
      </c>
      <c r="AF29" s="19">
        <f t="shared" si="61"/>
        <v>64.859981164325532</v>
      </c>
      <c r="AG29" s="19">
        <f t="shared" si="61"/>
        <v>61.616982106109255</v>
      </c>
      <c r="AH29" s="19">
        <f t="shared" si="61"/>
        <v>58.536133000803787</v>
      </c>
      <c r="AI29" s="19">
        <f t="shared" si="61"/>
        <v>55.609326350763595</v>
      </c>
      <c r="AJ29" s="19">
        <f t="shared" si="61"/>
        <v>52.828860033225411</v>
      </c>
      <c r="AK29" s="19">
        <f t="shared" si="61"/>
        <v>50.187417031564138</v>
      </c>
      <c r="AL29" s="19">
        <f t="shared" si="61"/>
        <v>47.678046179985927</v>
      </c>
      <c r="AM29" s="19">
        <f t="shared" si="61"/>
        <v>45.29414387098663</v>
      </c>
      <c r="AN29" s="19">
        <f t="shared" si="61"/>
        <v>43.029436677437296</v>
      </c>
      <c r="AO29" s="19">
        <f t="shared" si="61"/>
        <v>40.877964843565429</v>
      </c>
      <c r="AP29" s="19">
        <f t="shared" si="61"/>
        <v>38.834066601387157</v>
      </c>
      <c r="AQ29" s="19">
        <f t="shared" si="61"/>
        <v>36.892363271317798</v>
      </c>
      <c r="AR29" s="19">
        <f t="shared" si="61"/>
        <v>35.047745107751908</v>
      </c>
      <c r="AS29" s="19">
        <f t="shared" si="61"/>
        <v>33.295357852364312</v>
      </c>
      <c r="AT29" s="19">
        <f t="shared" si="61"/>
        <v>31.630589959746093</v>
      </c>
      <c r="AU29" s="19">
        <f t="shared" si="61"/>
        <v>30.049060461758788</v>
      </c>
      <c r="AV29" s="19">
        <f t="shared" si="61"/>
        <v>28.546607438670847</v>
      </c>
      <c r="AW29" s="19">
        <f t="shared" si="61"/>
        <v>27.119277066737304</v>
      </c>
      <c r="AX29" s="19">
        <f t="shared" si="61"/>
        <v>25.763313213400437</v>
      </c>
      <c r="AY29" s="19">
        <f t="shared" si="61"/>
        <v>24.475147552730412</v>
      </c>
      <c r="AZ29" s="19">
        <f t="shared" si="61"/>
        <v>23.251390175093892</v>
      </c>
      <c r="BA29" s="19">
        <f t="shared" si="61"/>
        <v>22.088820666339195</v>
      </c>
    </row>
    <row r="30" spans="2:53" s="2" customFormat="1" x14ac:dyDescent="0.2">
      <c r="B30" s="2" t="s">
        <v>1</v>
      </c>
      <c r="C30" s="2">
        <v>96.106404999999995</v>
      </c>
      <c r="D30" s="18">
        <v>101.579188</v>
      </c>
      <c r="E30" s="18">
        <f t="shared" ref="E30:W30" si="62">+D30</f>
        <v>101.579188</v>
      </c>
      <c r="F30" s="18">
        <f t="shared" si="62"/>
        <v>101.579188</v>
      </c>
      <c r="G30" s="18">
        <f>+F30+F36</f>
        <v>102.579188</v>
      </c>
      <c r="H30" s="18">
        <f t="shared" ref="H30:I30" si="63">+G30+G36</f>
        <v>119.579188</v>
      </c>
      <c r="I30" s="18">
        <f t="shared" si="63"/>
        <v>135.07918799999999</v>
      </c>
      <c r="J30" s="18">
        <f>+I30</f>
        <v>135.07918799999999</v>
      </c>
      <c r="K30" s="18">
        <f t="shared" si="62"/>
        <v>135.07918799999999</v>
      </c>
      <c r="L30" s="18">
        <f t="shared" si="62"/>
        <v>135.07918799999999</v>
      </c>
      <c r="M30" s="18">
        <f t="shared" si="62"/>
        <v>135.07918799999999</v>
      </c>
      <c r="N30" s="18">
        <f t="shared" si="62"/>
        <v>135.07918799999999</v>
      </c>
      <c r="O30" s="18">
        <f t="shared" si="62"/>
        <v>135.07918799999999</v>
      </c>
      <c r="P30" s="18">
        <f t="shared" si="62"/>
        <v>135.07918799999999</v>
      </c>
      <c r="Q30" s="18">
        <f t="shared" si="62"/>
        <v>135.07918799999999</v>
      </c>
      <c r="R30" s="18">
        <f t="shared" si="62"/>
        <v>135.07918799999999</v>
      </c>
      <c r="S30" s="18">
        <f t="shared" si="62"/>
        <v>135.07918799999999</v>
      </c>
      <c r="T30" s="18">
        <f t="shared" si="62"/>
        <v>135.07918799999999</v>
      </c>
      <c r="U30" s="18">
        <f t="shared" si="62"/>
        <v>135.07918799999999</v>
      </c>
      <c r="V30" s="18">
        <f t="shared" si="62"/>
        <v>135.07918799999999</v>
      </c>
      <c r="W30" s="18">
        <f t="shared" si="62"/>
        <v>135.07918799999999</v>
      </c>
    </row>
    <row r="31" spans="2:53" s="27" customFormat="1" x14ac:dyDescent="0.2">
      <c r="B31" s="27" t="s">
        <v>86</v>
      </c>
      <c r="D31" s="28"/>
      <c r="E31" s="28">
        <f>+E29/E30</f>
        <v>-4.6817026141220968</v>
      </c>
      <c r="F31" s="28">
        <f t="shared" ref="F31:W31" si="64">+F29/F30</f>
        <v>-4.7260214247824068</v>
      </c>
      <c r="G31" s="28">
        <f t="shared" si="64"/>
        <v>-4.7171211252910288</v>
      </c>
      <c r="H31" s="28">
        <f t="shared" si="64"/>
        <v>-4.1269953624737772</v>
      </c>
      <c r="I31" s="28">
        <f t="shared" si="64"/>
        <v>3.1730987307978196</v>
      </c>
      <c r="J31" s="28">
        <f t="shared" si="64"/>
        <v>5.4963213133913724</v>
      </c>
      <c r="K31" s="28">
        <f t="shared" si="64"/>
        <v>10.929268311858671</v>
      </c>
      <c r="L31" s="28">
        <f t="shared" si="64"/>
        <v>18.694596050947538</v>
      </c>
      <c r="M31" s="28">
        <f t="shared" si="64"/>
        <v>18.687100131387375</v>
      </c>
      <c r="N31" s="28">
        <f t="shared" si="64"/>
        <v>13.238726281293424</v>
      </c>
      <c r="O31" s="28">
        <f t="shared" si="64"/>
        <v>8.5680303054516909</v>
      </c>
      <c r="P31" s="28">
        <f t="shared" si="64"/>
        <v>6.6960311280433222</v>
      </c>
      <c r="Q31" s="28">
        <f t="shared" si="64"/>
        <v>5.1974677640116935</v>
      </c>
      <c r="R31" s="28">
        <f t="shared" si="64"/>
        <v>3.9977012517867041</v>
      </c>
      <c r="S31" s="28">
        <f t="shared" si="64"/>
        <v>3.0370180120570085</v>
      </c>
      <c r="T31" s="28">
        <f t="shared" si="64"/>
        <v>2.2676448918210346</v>
      </c>
      <c r="U31" s="28">
        <f t="shared" si="64"/>
        <v>1.6513611936026489</v>
      </c>
      <c r="V31" s="28">
        <f t="shared" si="64"/>
        <v>1.1575882930998131</v>
      </c>
      <c r="W31" s="28">
        <f t="shared" si="64"/>
        <v>0.76186132786582417</v>
      </c>
    </row>
    <row r="32" spans="2:53" x14ac:dyDescent="0.2">
      <c r="X32" t="s">
        <v>87</v>
      </c>
      <c r="Y32" s="20">
        <v>0.1</v>
      </c>
    </row>
    <row r="33" spans="2:25" s="2" customFormat="1" x14ac:dyDescent="0.2">
      <c r="B33" s="2" t="s">
        <v>3</v>
      </c>
      <c r="C33" s="2">
        <f>226.748+685.475+99.864</f>
        <v>1012.087</v>
      </c>
      <c r="D33" s="2">
        <f>130.849+560.219+248.805</f>
        <v>939.87300000000005</v>
      </c>
      <c r="E33" s="18">
        <f>+D33+E29</f>
        <v>464.30945000000008</v>
      </c>
      <c r="F33" s="18">
        <f>+E33+F29+F37</f>
        <v>7.2440312000001086</v>
      </c>
      <c r="G33" s="18">
        <f t="shared" ref="G33:H33" si="65">+F33+G29+G37</f>
        <v>-85.634423529999879</v>
      </c>
      <c r="H33" s="18">
        <f t="shared" si="65"/>
        <v>-222.63717785437984</v>
      </c>
      <c r="I33" s="18"/>
      <c r="J33" s="18"/>
      <c r="K33" s="18"/>
      <c r="L33" s="18"/>
      <c r="M33" s="18"/>
      <c r="N33" s="18"/>
      <c r="X33" s="2" t="s">
        <v>88</v>
      </c>
      <c r="Y33" s="22">
        <v>-0.05</v>
      </c>
    </row>
    <row r="34" spans="2:25" x14ac:dyDescent="0.2">
      <c r="X34" t="s">
        <v>89</v>
      </c>
      <c r="Y34" s="2">
        <f>NPV(Y32,D29:BA29)+Main!J5-Main!J6</f>
        <v>4589.5341445782033</v>
      </c>
    </row>
    <row r="35" spans="2:25" x14ac:dyDescent="0.2">
      <c r="B35" t="s">
        <v>118</v>
      </c>
      <c r="D35" s="3">
        <v>23</v>
      </c>
      <c r="E35" s="3">
        <v>23</v>
      </c>
      <c r="F35" s="3">
        <v>23</v>
      </c>
      <c r="G35" s="3">
        <v>23</v>
      </c>
      <c r="H35" s="3">
        <v>23</v>
      </c>
      <c r="X35" t="s">
        <v>90</v>
      </c>
      <c r="Y35" s="1">
        <f>Y34/Main!J3</f>
        <v>45.181835324163089</v>
      </c>
    </row>
    <row r="36" spans="2:25" x14ac:dyDescent="0.2">
      <c r="B36" t="s">
        <v>119</v>
      </c>
      <c r="F36" s="3">
        <v>1</v>
      </c>
      <c r="G36" s="3">
        <v>17</v>
      </c>
      <c r="H36" s="3">
        <v>15.5</v>
      </c>
    </row>
    <row r="37" spans="2:25" x14ac:dyDescent="0.2">
      <c r="B37" t="s">
        <v>120</v>
      </c>
      <c r="F37" s="3">
        <f>+F35*F36</f>
        <v>23</v>
      </c>
      <c r="G37" s="3">
        <f>+G35*G36</f>
        <v>391</v>
      </c>
      <c r="H37" s="3">
        <f>+H35*H36</f>
        <v>356.5</v>
      </c>
    </row>
    <row r="38" spans="2:25" s="25" customFormat="1" x14ac:dyDescent="0.2">
      <c r="B38" s="25" t="s">
        <v>121</v>
      </c>
      <c r="D38" s="26">
        <f t="shared" ref="D38:I38" si="66">+D30/C30 -1</f>
        <v>5.6945039199000291E-2</v>
      </c>
      <c r="E38" s="26">
        <f>+E30/D30 -1</f>
        <v>0</v>
      </c>
      <c r="F38" s="26">
        <f t="shared" si="66"/>
        <v>0</v>
      </c>
      <c r="G38" s="26">
        <f t="shared" si="66"/>
        <v>9.84453626465287E-3</v>
      </c>
      <c r="H38" s="26">
        <f t="shared" si="66"/>
        <v>0.16572562457796014</v>
      </c>
      <c r="I38" s="26">
        <f t="shared" si="66"/>
        <v>0.12962121803335869</v>
      </c>
      <c r="J38" s="26"/>
      <c r="K38" s="26"/>
      <c r="L38" s="26"/>
      <c r="M38" s="26"/>
      <c r="N38" s="26"/>
    </row>
  </sheetData>
  <hyperlinks>
    <hyperlink ref="A1" location="Main!A1" display="Main" xr:uid="{7BB69641-DF21-4FBD-8F40-9D4165AFA9CD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B975-95A1-40CC-90BF-90E1975ED7BA}">
  <dimension ref="B2:H10"/>
  <sheetViews>
    <sheetView zoomScale="160" zoomScaleNormal="160" workbookViewId="0">
      <selection activeCell="J9" sqref="J9"/>
    </sheetView>
  </sheetViews>
  <sheetFormatPr defaultRowHeight="12.75" x14ac:dyDescent="0.2"/>
  <cols>
    <col min="2" max="2" width="15.140625" bestFit="1" customWidth="1"/>
  </cols>
  <sheetData>
    <row r="2" spans="2:8" x14ac:dyDescent="0.2">
      <c r="D2">
        <v>2019</v>
      </c>
      <c r="E2">
        <f>+D2+1</f>
        <v>2020</v>
      </c>
      <c r="F2">
        <f>+E2+1</f>
        <v>2021</v>
      </c>
      <c r="G2">
        <f>+F2+1</f>
        <v>2022</v>
      </c>
      <c r="H2">
        <f>+G2+1</f>
        <v>2023</v>
      </c>
    </row>
    <row r="4" spans="2:8" x14ac:dyDescent="0.2">
      <c r="B4" s="13" t="s">
        <v>108</v>
      </c>
    </row>
    <row r="5" spans="2:8" x14ac:dyDescent="0.2">
      <c r="B5" t="s">
        <v>112</v>
      </c>
      <c r="D5">
        <v>20000</v>
      </c>
      <c r="E5">
        <f>+D5+E7</f>
        <v>20350</v>
      </c>
      <c r="F5">
        <f t="shared" ref="F5:H5" si="0">+E5+F7</f>
        <v>20700</v>
      </c>
      <c r="G5">
        <f t="shared" si="0"/>
        <v>21050</v>
      </c>
      <c r="H5">
        <f t="shared" si="0"/>
        <v>21400</v>
      </c>
    </row>
    <row r="6" spans="2:8" x14ac:dyDescent="0.2">
      <c r="B6" t="s">
        <v>109</v>
      </c>
      <c r="D6">
        <f>+D5*0.3</f>
        <v>6000</v>
      </c>
      <c r="E6">
        <f>+D6+E7*0.3-D8</f>
        <v>5505</v>
      </c>
      <c r="F6">
        <f t="shared" ref="F6:H6" si="1">+E6+F7*0.3-E8</f>
        <v>4610</v>
      </c>
      <c r="G6">
        <f t="shared" si="1"/>
        <v>3215</v>
      </c>
      <c r="H6">
        <f t="shared" si="1"/>
        <v>1320</v>
      </c>
    </row>
    <row r="7" spans="2:8" x14ac:dyDescent="0.2">
      <c r="B7" t="s">
        <v>110</v>
      </c>
      <c r="D7">
        <v>350</v>
      </c>
      <c r="E7">
        <v>350</v>
      </c>
      <c r="F7">
        <v>350</v>
      </c>
      <c r="G7">
        <v>350</v>
      </c>
      <c r="H7">
        <v>350</v>
      </c>
    </row>
    <row r="8" spans="2:8" x14ac:dyDescent="0.2">
      <c r="B8" t="s">
        <v>111</v>
      </c>
      <c r="D8">
        <v>600</v>
      </c>
      <c r="E8">
        <v>1000</v>
      </c>
      <c r="F8">
        <v>1500</v>
      </c>
      <c r="G8">
        <v>2000</v>
      </c>
      <c r="H8">
        <v>2300</v>
      </c>
    </row>
    <row r="10" spans="2:8" x14ac:dyDescent="0.2">
      <c r="D10" s="22">
        <f>+D8/D6</f>
        <v>0.1</v>
      </c>
      <c r="E10" s="22">
        <f t="shared" ref="E10:H10" si="2">+E8/E6</f>
        <v>0.18165304268846502</v>
      </c>
      <c r="F10" s="22">
        <f t="shared" si="2"/>
        <v>0.32537960954446854</v>
      </c>
      <c r="G10" s="22">
        <f t="shared" si="2"/>
        <v>0.62208398133748055</v>
      </c>
      <c r="H10" s="22">
        <f t="shared" si="2"/>
        <v>1.7424242424242424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975-DF27-4A82-9E0B-8E1BC512C2AC}">
  <dimension ref="A1:C18"/>
  <sheetViews>
    <sheetView zoomScale="220" zoomScaleNormal="220" workbookViewId="0">
      <selection activeCell="C10" sqref="C10"/>
    </sheetView>
  </sheetViews>
  <sheetFormatPr defaultRowHeight="12.75" x14ac:dyDescent="0.2"/>
  <cols>
    <col min="1" max="1" width="5" bestFit="1" customWidth="1"/>
    <col min="2" max="2" width="13.28515625" customWidth="1"/>
  </cols>
  <sheetData>
    <row r="1" spans="1:3" x14ac:dyDescent="0.2">
      <c r="A1" s="12" t="s">
        <v>32</v>
      </c>
    </row>
    <row r="2" spans="1:3" x14ac:dyDescent="0.2">
      <c r="B2" t="s">
        <v>15</v>
      </c>
      <c r="C2" t="s">
        <v>16</v>
      </c>
    </row>
    <row r="3" spans="1:3" x14ac:dyDescent="0.2">
      <c r="B3" t="s">
        <v>33</v>
      </c>
    </row>
    <row r="4" spans="1:3" x14ac:dyDescent="0.2">
      <c r="B4" t="s">
        <v>17</v>
      </c>
      <c r="C4" t="s">
        <v>35</v>
      </c>
    </row>
    <row r="5" spans="1:3" x14ac:dyDescent="0.2">
      <c r="C5" t="s">
        <v>36</v>
      </c>
    </row>
    <row r="6" spans="1:3" x14ac:dyDescent="0.2">
      <c r="C6" t="s">
        <v>37</v>
      </c>
    </row>
    <row r="7" spans="1:3" x14ac:dyDescent="0.2">
      <c r="B7" t="s">
        <v>28</v>
      </c>
      <c r="C7" t="s">
        <v>29</v>
      </c>
    </row>
    <row r="8" spans="1:3" x14ac:dyDescent="0.2">
      <c r="B8" t="s">
        <v>34</v>
      </c>
    </row>
    <row r="9" spans="1:3" x14ac:dyDescent="0.2">
      <c r="C9" s="14" t="s">
        <v>40</v>
      </c>
    </row>
    <row r="10" spans="1:3" x14ac:dyDescent="0.2">
      <c r="C10" t="s">
        <v>38</v>
      </c>
    </row>
    <row r="11" spans="1:3" x14ac:dyDescent="0.2">
      <c r="C11" t="s">
        <v>39</v>
      </c>
    </row>
    <row r="13" spans="1:3" x14ac:dyDescent="0.2">
      <c r="C13" t="s">
        <v>64</v>
      </c>
    </row>
    <row r="14" spans="1:3" x14ac:dyDescent="0.2">
      <c r="C14" t="s">
        <v>65</v>
      </c>
    </row>
    <row r="16" spans="1:3" x14ac:dyDescent="0.2">
      <c r="C16" s="14" t="s">
        <v>103</v>
      </c>
    </row>
    <row r="18" spans="3:3" x14ac:dyDescent="0.2">
      <c r="C18" s="14" t="s">
        <v>50</v>
      </c>
    </row>
  </sheetData>
  <hyperlinks>
    <hyperlink ref="A1" location="Main!A1" display="Main" xr:uid="{BA35EC39-3DA7-4378-9ED9-5C1FBA9F44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37C-3F78-434A-9DCB-4AB646A8764C}">
  <dimension ref="A1:C19"/>
  <sheetViews>
    <sheetView zoomScale="220" zoomScaleNormal="220" workbookViewId="0">
      <selection activeCell="C10" sqref="C10"/>
    </sheetView>
  </sheetViews>
  <sheetFormatPr defaultRowHeight="12.75" x14ac:dyDescent="0.2"/>
  <cols>
    <col min="1" max="1" width="5" bestFit="1" customWidth="1"/>
    <col min="2" max="2" width="13.28515625" customWidth="1"/>
  </cols>
  <sheetData>
    <row r="1" spans="1:3" x14ac:dyDescent="0.2">
      <c r="A1" s="12" t="s">
        <v>32</v>
      </c>
    </row>
    <row r="2" spans="1:3" x14ac:dyDescent="0.2">
      <c r="B2" t="s">
        <v>15</v>
      </c>
      <c r="C2" t="s">
        <v>41</v>
      </c>
    </row>
    <row r="3" spans="1:3" x14ac:dyDescent="0.2">
      <c r="B3" t="s">
        <v>17</v>
      </c>
      <c r="C3" t="s">
        <v>70</v>
      </c>
    </row>
    <row r="4" spans="1:3" x14ac:dyDescent="0.2">
      <c r="B4" t="s">
        <v>21</v>
      </c>
      <c r="C4" t="s">
        <v>63</v>
      </c>
    </row>
    <row r="5" spans="1:3" x14ac:dyDescent="0.2">
      <c r="B5" t="s">
        <v>101</v>
      </c>
      <c r="C5" t="s">
        <v>102</v>
      </c>
    </row>
    <row r="6" spans="1:3" x14ac:dyDescent="0.2">
      <c r="B6" t="s">
        <v>58</v>
      </c>
      <c r="C6" t="s">
        <v>59</v>
      </c>
    </row>
    <row r="7" spans="1:3" x14ac:dyDescent="0.2">
      <c r="B7" t="s">
        <v>34</v>
      </c>
    </row>
    <row r="8" spans="1:3" x14ac:dyDescent="0.2">
      <c r="C8" s="14" t="s">
        <v>57</v>
      </c>
    </row>
    <row r="9" spans="1:3" x14ac:dyDescent="0.2">
      <c r="C9" t="s">
        <v>51</v>
      </c>
    </row>
    <row r="10" spans="1:3" x14ac:dyDescent="0.2">
      <c r="C10" t="s">
        <v>61</v>
      </c>
    </row>
    <row r="11" spans="1:3" x14ac:dyDescent="0.2">
      <c r="C11" t="s">
        <v>97</v>
      </c>
    </row>
    <row r="12" spans="1:3" x14ac:dyDescent="0.2">
      <c r="C12" t="s">
        <v>60</v>
      </c>
    </row>
    <row r="13" spans="1:3" x14ac:dyDescent="0.2">
      <c r="C13" t="s">
        <v>98</v>
      </c>
    </row>
    <row r="14" spans="1:3" x14ac:dyDescent="0.2">
      <c r="C14" t="s">
        <v>62</v>
      </c>
    </row>
    <row r="15" spans="1:3" x14ac:dyDescent="0.2">
      <c r="C15" t="s">
        <v>99</v>
      </c>
    </row>
    <row r="16" spans="1:3" x14ac:dyDescent="0.2">
      <c r="C16" t="s">
        <v>96</v>
      </c>
    </row>
    <row r="19" spans="3:3" x14ac:dyDescent="0.2">
      <c r="C19" s="14" t="s">
        <v>100</v>
      </c>
    </row>
  </sheetData>
  <hyperlinks>
    <hyperlink ref="A1" location="Main!A1" display="Main" xr:uid="{5BFCE2D9-E8EE-4C58-9B2B-E2F88A3C029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746A-5C7C-4F30-800E-B9BC106F9046}">
  <dimension ref="A1:C5"/>
  <sheetViews>
    <sheetView zoomScale="235" zoomScaleNormal="235" workbookViewId="0"/>
  </sheetViews>
  <sheetFormatPr defaultRowHeight="12.75" x14ac:dyDescent="0.2"/>
  <cols>
    <col min="1" max="1" width="5" bestFit="1" customWidth="1"/>
    <col min="2" max="2" width="12" bestFit="1" customWidth="1"/>
  </cols>
  <sheetData>
    <row r="1" spans="1:3" x14ac:dyDescent="0.2">
      <c r="A1" s="12" t="s">
        <v>32</v>
      </c>
    </row>
    <row r="2" spans="1:3" x14ac:dyDescent="0.2">
      <c r="B2" t="s">
        <v>15</v>
      </c>
      <c r="C2" t="s">
        <v>42</v>
      </c>
    </row>
    <row r="3" spans="1:3" x14ac:dyDescent="0.2">
      <c r="B3" t="s">
        <v>93</v>
      </c>
      <c r="C3" t="s">
        <v>94</v>
      </c>
    </row>
    <row r="4" spans="1:3" x14ac:dyDescent="0.2">
      <c r="B4" t="s">
        <v>95</v>
      </c>
    </row>
    <row r="5" spans="1:3" x14ac:dyDescent="0.2">
      <c r="B5" t="s">
        <v>34</v>
      </c>
    </row>
  </sheetData>
  <hyperlinks>
    <hyperlink ref="A1" location="Main!A1" display="Main" xr:uid="{BAC166F5-EFC8-47B7-9F4D-B40FDFDB56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Benshmark</vt:lpstr>
      <vt:lpstr>NTLA-2001</vt:lpstr>
      <vt:lpstr>NTLA-2002</vt:lpstr>
      <vt:lpstr>NTLA-3001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Kutzer Maximilian Claudius</cp:lastModifiedBy>
  <dcterms:created xsi:type="dcterms:W3CDTF">2023-01-29T22:01:30Z</dcterms:created>
  <dcterms:modified xsi:type="dcterms:W3CDTF">2024-10-24T22:45:37Z</dcterms:modified>
</cp:coreProperties>
</file>