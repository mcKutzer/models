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A3CABB73-00A4-4CE5-B3A6-BF59836592B6}" xr6:coauthVersionLast="47" xr6:coauthVersionMax="47" xr10:uidLastSave="{00000000-0000-0000-0000-000000000000}"/>
  <bookViews>
    <workbookView xWindow="4395" yWindow="1155" windowWidth="10170" windowHeight="12780" xr2:uid="{B787E24B-5B7F-41D4-B2B7-E5F3BAB9A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8" i="1" l="1"/>
  <c r="T30" i="1" s="1"/>
  <c r="T31" i="1" s="1"/>
  <c r="S21" i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R21" i="1"/>
  <c r="H22" i="1"/>
  <c r="I22" i="1"/>
  <c r="J22" i="1"/>
  <c r="K22" i="1"/>
  <c r="L22" i="1"/>
  <c r="M22" i="1"/>
  <c r="N22" i="1"/>
  <c r="O22" i="1"/>
  <c r="P22" i="1"/>
  <c r="Q22" i="1"/>
  <c r="G22" i="1"/>
  <c r="H18" i="1"/>
  <c r="I18" i="1"/>
  <c r="J18" i="1"/>
  <c r="K18" i="1"/>
  <c r="L18" i="1"/>
  <c r="M18" i="1"/>
  <c r="N18" i="1"/>
  <c r="O18" i="1"/>
  <c r="P18" i="1"/>
  <c r="Q18" i="1"/>
  <c r="I13" i="1"/>
  <c r="J13" i="1" s="1"/>
  <c r="K13" i="1" s="1"/>
  <c r="L13" i="1" s="1"/>
  <c r="M13" i="1" s="1"/>
  <c r="N13" i="1" s="1"/>
  <c r="O13" i="1" s="1"/>
  <c r="P13" i="1" s="1"/>
  <c r="Q13" i="1" s="1"/>
  <c r="H13" i="1"/>
  <c r="I10" i="1"/>
  <c r="J10" i="1"/>
  <c r="K10" i="1"/>
  <c r="L10" i="1"/>
  <c r="M10" i="1"/>
  <c r="N10" i="1"/>
  <c r="O10" i="1"/>
  <c r="P10" i="1"/>
  <c r="Q10" i="1"/>
  <c r="H10" i="1"/>
  <c r="I8" i="1"/>
  <c r="J8" i="1"/>
  <c r="K8" i="1"/>
  <c r="L8" i="1"/>
  <c r="M8" i="1"/>
  <c r="N8" i="1"/>
  <c r="O8" i="1"/>
  <c r="P8" i="1"/>
  <c r="Q8" i="1"/>
  <c r="I5" i="1"/>
  <c r="J5" i="1"/>
  <c r="K5" i="1"/>
  <c r="L5" i="1"/>
  <c r="M5" i="1"/>
  <c r="N5" i="1"/>
  <c r="O5" i="1"/>
  <c r="P5" i="1"/>
  <c r="Q5" i="1"/>
  <c r="H5" i="1"/>
  <c r="I4" i="1"/>
  <c r="J4" i="1" s="1"/>
  <c r="H4" i="1"/>
  <c r="F25" i="1"/>
  <c r="G25" i="1"/>
  <c r="F26" i="1"/>
  <c r="G26" i="1"/>
  <c r="F27" i="1"/>
  <c r="G27" i="1"/>
  <c r="E27" i="1"/>
  <c r="E26" i="1"/>
  <c r="E25" i="1"/>
  <c r="H23" i="1"/>
  <c r="I23" i="1"/>
  <c r="J23" i="1" s="1"/>
  <c r="K23" i="1" s="1"/>
  <c r="L23" i="1" s="1"/>
  <c r="M23" i="1" s="1"/>
  <c r="N23" i="1" s="1"/>
  <c r="O23" i="1" s="1"/>
  <c r="P23" i="1" s="1"/>
  <c r="Q23" i="1" s="1"/>
  <c r="G23" i="1"/>
  <c r="G21" i="1"/>
  <c r="I7" i="1"/>
  <c r="I9" i="1" s="1"/>
  <c r="I2" i="1"/>
  <c r="J2" i="1" s="1"/>
  <c r="K2" i="1" s="1"/>
  <c r="L2" i="1" s="1"/>
  <c r="M2" i="1" s="1"/>
  <c r="N2" i="1" s="1"/>
  <c r="O2" i="1" s="1"/>
  <c r="P2" i="1" s="1"/>
  <c r="Q2" i="1" s="1"/>
  <c r="G18" i="1"/>
  <c r="G8" i="1"/>
  <c r="G4" i="1"/>
  <c r="G7" i="1" s="1"/>
  <c r="F21" i="1"/>
  <c r="E21" i="1"/>
  <c r="E30" i="1"/>
  <c r="E31" i="1" s="1"/>
  <c r="F30" i="1"/>
  <c r="F31" i="1" s="1"/>
  <c r="F7" i="1"/>
  <c r="F9" i="1" s="1"/>
  <c r="F12" i="1" s="1"/>
  <c r="H7" i="1"/>
  <c r="H8" i="1" s="1"/>
  <c r="E7" i="1"/>
  <c r="E9" i="1" s="1"/>
  <c r="E12" i="1" s="1"/>
  <c r="F2" i="1"/>
  <c r="G2" i="1" s="1"/>
  <c r="H2" i="1" s="1"/>
  <c r="I12" i="1" l="1"/>
  <c r="I14" i="1" s="1"/>
  <c r="I25" i="1"/>
  <c r="J7" i="1"/>
  <c r="J9" i="1" s="1"/>
  <c r="K4" i="1"/>
  <c r="H9" i="1"/>
  <c r="H25" i="1" s="1"/>
  <c r="G9" i="1"/>
  <c r="G12" i="1" s="1"/>
  <c r="G14" i="1" s="1"/>
  <c r="G17" i="1" s="1"/>
  <c r="G19" i="1" s="1"/>
  <c r="E14" i="1"/>
  <c r="E17" i="1" s="1"/>
  <c r="E19" i="1" s="1"/>
  <c r="E23" i="1" s="1"/>
  <c r="F14" i="1"/>
  <c r="F17" i="1" s="1"/>
  <c r="F19" i="1" s="1"/>
  <c r="F23" i="1" s="1"/>
  <c r="H12" i="1" l="1"/>
  <c r="H14" i="1" s="1"/>
  <c r="H17" i="1" s="1"/>
  <c r="H19" i="1" s="1"/>
  <c r="K7" i="1"/>
  <c r="K9" i="1" s="1"/>
  <c r="L4" i="1"/>
  <c r="J12" i="1"/>
  <c r="J14" i="1" s="1"/>
  <c r="J25" i="1"/>
  <c r="I17" i="1"/>
  <c r="I19" i="1" s="1"/>
  <c r="I26" i="1"/>
  <c r="H26" i="1" l="1"/>
  <c r="J17" i="1"/>
  <c r="J19" i="1" s="1"/>
  <c r="J26" i="1"/>
  <c r="I21" i="1"/>
  <c r="I27" i="1"/>
  <c r="L7" i="1"/>
  <c r="L9" i="1" s="1"/>
  <c r="M4" i="1"/>
  <c r="K12" i="1"/>
  <c r="K14" i="1" s="1"/>
  <c r="K25" i="1"/>
  <c r="H27" i="1"/>
  <c r="H21" i="1"/>
  <c r="K17" i="1" l="1"/>
  <c r="K19" i="1" s="1"/>
  <c r="K26" i="1"/>
  <c r="N4" i="1"/>
  <c r="M7" i="1"/>
  <c r="M9" i="1" s="1"/>
  <c r="L25" i="1"/>
  <c r="L12" i="1"/>
  <c r="L14" i="1" s="1"/>
  <c r="J21" i="1"/>
  <c r="J27" i="1"/>
  <c r="M12" i="1" l="1"/>
  <c r="M14" i="1" s="1"/>
  <c r="M25" i="1"/>
  <c r="N7" i="1"/>
  <c r="N9" i="1" s="1"/>
  <c r="O4" i="1"/>
  <c r="L17" i="1"/>
  <c r="L19" i="1" s="1"/>
  <c r="L26" i="1"/>
  <c r="K27" i="1"/>
  <c r="K21" i="1"/>
  <c r="O7" i="1" l="1"/>
  <c r="O9" i="1" s="1"/>
  <c r="P4" i="1"/>
  <c r="N25" i="1"/>
  <c r="N12" i="1"/>
  <c r="N14" i="1" s="1"/>
  <c r="L27" i="1"/>
  <c r="L21" i="1"/>
  <c r="M17" i="1"/>
  <c r="M19" i="1" s="1"/>
  <c r="M26" i="1"/>
  <c r="N17" i="1" l="1"/>
  <c r="N19" i="1" s="1"/>
  <c r="N26" i="1"/>
  <c r="M27" i="1"/>
  <c r="M21" i="1"/>
  <c r="Q4" i="1"/>
  <c r="Q7" i="1" s="1"/>
  <c r="Q9" i="1" s="1"/>
  <c r="P7" i="1"/>
  <c r="P9" i="1" s="1"/>
  <c r="O25" i="1"/>
  <c r="O12" i="1"/>
  <c r="O14" i="1" s="1"/>
  <c r="O17" i="1" l="1"/>
  <c r="O19" i="1" s="1"/>
  <c r="O26" i="1"/>
  <c r="Q12" i="1"/>
  <c r="Q14" i="1" s="1"/>
  <c r="Q25" i="1"/>
  <c r="P12" i="1"/>
  <c r="P14" i="1" s="1"/>
  <c r="P25" i="1"/>
  <c r="N27" i="1"/>
  <c r="N21" i="1"/>
  <c r="Q17" i="1" l="1"/>
  <c r="Q19" i="1" s="1"/>
  <c r="Q26" i="1"/>
  <c r="P17" i="1"/>
  <c r="P19" i="1" s="1"/>
  <c r="P26" i="1"/>
  <c r="O21" i="1"/>
  <c r="O27" i="1"/>
  <c r="P21" i="1" l="1"/>
  <c r="P27" i="1"/>
  <c r="Q21" i="1"/>
  <c r="Q27" i="1"/>
</calcChain>
</file>

<file path=xl/sharedStrings.xml><?xml version="1.0" encoding="utf-8"?>
<sst xmlns="http://schemas.openxmlformats.org/spreadsheetml/2006/main" count="31" uniqueCount="31">
  <si>
    <t>Revenue</t>
  </si>
  <si>
    <t>Treasury Income</t>
  </si>
  <si>
    <t>Other</t>
  </si>
  <si>
    <t>Total Revenue</t>
  </si>
  <si>
    <t>Cost of Sale</t>
  </si>
  <si>
    <t>Gross Profit</t>
  </si>
  <si>
    <t>Operating Expenses</t>
  </si>
  <si>
    <t>EBITDA</t>
  </si>
  <si>
    <t>D&amp;A</t>
  </si>
  <si>
    <t xml:space="preserve">EBIT </t>
  </si>
  <si>
    <t>Finance Income</t>
  </si>
  <si>
    <t>Finance expense</t>
  </si>
  <si>
    <t>Pretax</t>
  </si>
  <si>
    <t>net Income</t>
  </si>
  <si>
    <t>Taxes</t>
  </si>
  <si>
    <t>Equity Income</t>
  </si>
  <si>
    <t>EPS</t>
  </si>
  <si>
    <t>Shares</t>
  </si>
  <si>
    <t>CFFO</t>
  </si>
  <si>
    <t>CapEx</t>
  </si>
  <si>
    <t>FCF</t>
  </si>
  <si>
    <t>minority</t>
  </si>
  <si>
    <t>Company Income</t>
  </si>
  <si>
    <t>Gross Margin</t>
  </si>
  <si>
    <t>EBIT Margin</t>
  </si>
  <si>
    <t>Net Margin</t>
  </si>
  <si>
    <t>Discount</t>
  </si>
  <si>
    <t>Terminal</t>
  </si>
  <si>
    <t>NPV</t>
  </si>
  <si>
    <t>Value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</si>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</sst>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3" fontId="2" fillId="0" borderId="0" xfId="0" applyNumberFormat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607218</xdr:colOff>
      <xdr:row>3</xdr:row>
      <xdr:rowOff>0</xdr:rowOff>
    </xdr:from>
    <xdr:to>
      <xdr:col>5</xdr:col>
      <xdr:colOff>607218</xdr:colOff>
      <xdr:row>23</xdr:row>
      <xdr:rowOff>160734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2E8B0CC-B447-3C34-64D1-160A5910DF63}"/>
            </a:ext>
          </a:extLst>
        </xdr:cNvPr>
        <xdr:cNvCxnSpPr/>
      </xdr:nvCxnSpPr>
      <xdr:spPr>
        <a:xfrm>
          <a:off x="3875484" y="571500"/>
          <a:ext cx="0" cy="35897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1556-4A79-4B88-AF1D-2D8669313834}">
  <dimension ref="B2:CA142"/>
  <sheetViews>
    <sheetView tabSelected="1" zoomScale="160" zoomScaleNormal="160" workbookViewId="0">
      <pane xSplit="2" ySplit="2" topLeftCell="G24" activePane="bottomRight" state="frozen"/>
      <selection pane="topRight" activeCell="C1" sqref="C1"/>
      <selection pane="bottomLeft" activeCell="A3" sqref="A3"/>
      <selection pane="bottomRight" activeCell="T30" sqref="T30"/>
    </sheetView>
  </sheetViews>
  <sheetFormatPr defaultRowHeight="15" x14ac:dyDescent="0.25"/>
  <cols>
    <col min="1" max="1" width="2.85546875" customWidth="1"/>
    <col min="2" max="2" width="18.85546875" bestFit="1" customWidth="1"/>
  </cols>
  <sheetData>
    <row r="2" spans="2:17" x14ac:dyDescent="0.25">
      <c r="E2">
        <v>2023</v>
      </c>
      <c r="F2">
        <f>+E2+1</f>
        <v>2024</v>
      </c>
      <c r="G2">
        <f>+F2+1</f>
        <v>2025</v>
      </c>
      <c r="H2">
        <f>+G2+1</f>
        <v>2026</v>
      </c>
      <c r="I2">
        <f t="shared" ref="I2:Q2" si="0">+H2+1</f>
        <v>2027</v>
      </c>
      <c r="J2">
        <f t="shared" si="0"/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17" s="1" customFormat="1" x14ac:dyDescent="0.25">
      <c r="E3" s="3"/>
      <c r="F3" s="3"/>
      <c r="G3" s="3"/>
    </row>
    <row r="4" spans="2:17" s="1" customFormat="1" x14ac:dyDescent="0.25">
      <c r="B4" s="1" t="s">
        <v>0</v>
      </c>
      <c r="E4" s="1">
        <v>8061</v>
      </c>
      <c r="F4" s="1">
        <v>8579</v>
      </c>
      <c r="G4" s="1">
        <f>4489*2</f>
        <v>8978</v>
      </c>
      <c r="H4" s="1">
        <f>+G4*1.05</f>
        <v>9426.9</v>
      </c>
      <c r="I4" s="1">
        <f t="shared" ref="I4:Q4" si="1">+H4*1.05</f>
        <v>9898.2450000000008</v>
      </c>
      <c r="J4" s="1">
        <f t="shared" si="1"/>
        <v>10393.157250000002</v>
      </c>
      <c r="K4" s="1">
        <f t="shared" si="1"/>
        <v>10912.815112500002</v>
      </c>
      <c r="L4" s="1">
        <f t="shared" si="1"/>
        <v>11458.455868125004</v>
      </c>
      <c r="M4" s="1">
        <f t="shared" si="1"/>
        <v>12031.378661531255</v>
      </c>
      <c r="N4" s="1">
        <f t="shared" si="1"/>
        <v>12632.947594607818</v>
      </c>
      <c r="O4" s="1">
        <f t="shared" si="1"/>
        <v>13264.59497433821</v>
      </c>
      <c r="P4" s="1">
        <f t="shared" si="1"/>
        <v>13927.824723055121</v>
      </c>
      <c r="Q4" s="1">
        <f t="shared" si="1"/>
        <v>14624.215959207877</v>
      </c>
    </row>
    <row r="5" spans="2:17" s="1" customFormat="1" x14ac:dyDescent="0.25">
      <c r="B5" s="1" t="s">
        <v>1</v>
      </c>
      <c r="E5" s="1">
        <v>289</v>
      </c>
      <c r="F5" s="1">
        <v>266</v>
      </c>
      <c r="G5" s="1">
        <v>250</v>
      </c>
      <c r="H5" s="1">
        <f>+H4*0.03</f>
        <v>282.80699999999996</v>
      </c>
      <c r="I5" s="1">
        <f t="shared" ref="I5:Q5" si="2">+I4*0.03</f>
        <v>296.94735000000003</v>
      </c>
      <c r="J5" s="1">
        <f t="shared" si="2"/>
        <v>311.79471750000005</v>
      </c>
      <c r="K5" s="1">
        <f t="shared" si="2"/>
        <v>327.38445337500008</v>
      </c>
      <c r="L5" s="1">
        <f t="shared" si="2"/>
        <v>343.75367604375009</v>
      </c>
      <c r="M5" s="1">
        <f t="shared" si="2"/>
        <v>360.94135984593765</v>
      </c>
      <c r="N5" s="1">
        <f t="shared" si="2"/>
        <v>378.98842783823454</v>
      </c>
      <c r="O5" s="1">
        <f t="shared" si="2"/>
        <v>397.9378492301463</v>
      </c>
      <c r="P5" s="1">
        <f t="shared" si="2"/>
        <v>417.83474169165362</v>
      </c>
      <c r="Q5" s="1">
        <f t="shared" si="2"/>
        <v>438.72647877623632</v>
      </c>
    </row>
    <row r="6" spans="2:17" s="1" customFormat="1" x14ac:dyDescent="0.25">
      <c r="B6" s="1" t="s">
        <v>2</v>
      </c>
      <c r="E6" s="1">
        <v>29</v>
      </c>
      <c r="F6" s="1">
        <v>13</v>
      </c>
      <c r="G6" s="1">
        <v>8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</row>
    <row r="7" spans="2:17" s="4" customFormat="1" x14ac:dyDescent="0.25">
      <c r="B7" s="4" t="s">
        <v>3</v>
      </c>
      <c r="E7" s="4">
        <f>+E4+E5+E6</f>
        <v>8379</v>
      </c>
      <c r="F7" s="4">
        <f t="shared" ref="F7:H7" si="3">+F4+F5+F6</f>
        <v>8858</v>
      </c>
      <c r="G7" s="4">
        <f t="shared" si="3"/>
        <v>9236</v>
      </c>
      <c r="H7" s="4">
        <f t="shared" si="3"/>
        <v>9719.7070000000003</v>
      </c>
      <c r="I7" s="4">
        <f t="shared" ref="I7" si="4">+I4+I5+I6</f>
        <v>10205.192350000001</v>
      </c>
      <c r="J7" s="4">
        <f t="shared" ref="J7" si="5">+J4+J5+J6</f>
        <v>10714.951967500003</v>
      </c>
      <c r="K7" s="4">
        <f t="shared" ref="K7" si="6">+K4+K5+K6</f>
        <v>11250.199565875002</v>
      </c>
      <c r="L7" s="4">
        <f t="shared" ref="L7" si="7">+L4+L5+L6</f>
        <v>11812.209544168754</v>
      </c>
      <c r="M7" s="4">
        <f t="shared" ref="M7" si="8">+M4+M5+M6</f>
        <v>12402.320021377192</v>
      </c>
      <c r="N7" s="4">
        <f t="shared" ref="N7" si="9">+N4+N5+N6</f>
        <v>13021.936022446052</v>
      </c>
      <c r="O7" s="4">
        <f t="shared" ref="O7" si="10">+O4+O5+O6</f>
        <v>13672.532823568356</v>
      </c>
      <c r="P7" s="4">
        <f t="shared" ref="P7" si="11">+P4+P5+P6</f>
        <v>14355.659464746774</v>
      </c>
      <c r="Q7" s="4">
        <f t="shared" ref="Q7" si="12">+Q4+Q5+Q6</f>
        <v>15072.942437984113</v>
      </c>
    </row>
    <row r="8" spans="2:17" s="1" customFormat="1" x14ac:dyDescent="0.25">
      <c r="B8" s="1" t="s">
        <v>4</v>
      </c>
      <c r="E8" s="1">
        <v>1143</v>
      </c>
      <c r="F8" s="1">
        <v>1173</v>
      </c>
      <c r="G8" s="1">
        <f>602*2</f>
        <v>1204</v>
      </c>
      <c r="H8" s="1">
        <f>+H7*0.13</f>
        <v>1263.5619100000001</v>
      </c>
      <c r="I8" s="1">
        <f t="shared" ref="I8:Q8" si="13">+I7*0.13</f>
        <v>1326.6750055000002</v>
      </c>
      <c r="J8" s="1">
        <f t="shared" si="13"/>
        <v>1392.9437557750005</v>
      </c>
      <c r="K8" s="1">
        <f t="shared" si="13"/>
        <v>1462.5259435637504</v>
      </c>
      <c r="L8" s="1">
        <f t="shared" si="13"/>
        <v>1535.5872407419381</v>
      </c>
      <c r="M8" s="1">
        <f t="shared" si="13"/>
        <v>1612.301602779035</v>
      </c>
      <c r="N8" s="1">
        <f t="shared" si="13"/>
        <v>1692.8516829179869</v>
      </c>
      <c r="O8" s="1">
        <f t="shared" si="13"/>
        <v>1777.4292670638863</v>
      </c>
      <c r="P8" s="1">
        <f t="shared" si="13"/>
        <v>1866.2357304170807</v>
      </c>
      <c r="Q8" s="1">
        <f t="shared" si="13"/>
        <v>1959.4825169379349</v>
      </c>
    </row>
    <row r="9" spans="2:17" s="1" customFormat="1" x14ac:dyDescent="0.25">
      <c r="B9" s="1" t="s">
        <v>5</v>
      </c>
      <c r="E9" s="1">
        <f>+E7-E8</f>
        <v>7236</v>
      </c>
      <c r="F9" s="1">
        <f t="shared" ref="F9:H9" si="14">+F7-F8</f>
        <v>7685</v>
      </c>
      <c r="G9" s="1">
        <f t="shared" si="14"/>
        <v>8032</v>
      </c>
      <c r="H9" s="1">
        <f t="shared" si="14"/>
        <v>8456.14509</v>
      </c>
      <c r="I9" s="1">
        <f t="shared" ref="I9" si="15">+I7-I8</f>
        <v>8878.5173445</v>
      </c>
      <c r="J9" s="1">
        <f t="shared" ref="J9" si="16">+J7-J8</f>
        <v>9322.0082117250022</v>
      </c>
      <c r="K9" s="1">
        <f t="shared" ref="K9" si="17">+K7-K8</f>
        <v>9787.6736223112512</v>
      </c>
      <c r="L9" s="1">
        <f t="shared" ref="L9" si="18">+L7-L8</f>
        <v>10276.622303426817</v>
      </c>
      <c r="M9" s="1">
        <f t="shared" ref="M9" si="19">+M7-M8</f>
        <v>10790.018418598158</v>
      </c>
      <c r="N9" s="1">
        <f t="shared" ref="N9" si="20">+N7-N8</f>
        <v>11329.084339528066</v>
      </c>
      <c r="O9" s="1">
        <f t="shared" ref="O9" si="21">+O7-O8</f>
        <v>11895.103556504469</v>
      </c>
      <c r="P9" s="1">
        <f t="shared" ref="P9" si="22">+P7-P8</f>
        <v>12489.423734329694</v>
      </c>
      <c r="Q9" s="1">
        <f t="shared" ref="Q9" si="23">+Q7-Q8</f>
        <v>13113.459921046178</v>
      </c>
    </row>
    <row r="10" spans="2:17" s="1" customFormat="1" x14ac:dyDescent="0.25">
      <c r="B10" s="1" t="s">
        <v>6</v>
      </c>
      <c r="E10" s="1">
        <v>3474</v>
      </c>
      <c r="F10" s="1">
        <v>3560</v>
      </c>
      <c r="G10" s="1">
        <v>3700</v>
      </c>
      <c r="H10" s="1">
        <f>+H7*0.4</f>
        <v>3887.8828000000003</v>
      </c>
      <c r="I10" s="1">
        <f t="shared" ref="I10:Q10" si="24">+I7*0.4</f>
        <v>4082.0769400000008</v>
      </c>
      <c r="J10" s="1">
        <f t="shared" si="24"/>
        <v>4285.9807870000013</v>
      </c>
      <c r="K10" s="1">
        <f t="shared" si="24"/>
        <v>4500.079826350001</v>
      </c>
      <c r="L10" s="1">
        <f t="shared" si="24"/>
        <v>4724.8838176675017</v>
      </c>
      <c r="M10" s="1">
        <f t="shared" si="24"/>
        <v>4960.9280085508772</v>
      </c>
      <c r="N10" s="1">
        <f t="shared" si="24"/>
        <v>5208.774408978421</v>
      </c>
      <c r="O10" s="1">
        <f t="shared" si="24"/>
        <v>5469.0131294273424</v>
      </c>
      <c r="P10" s="1">
        <f t="shared" si="24"/>
        <v>5742.26378589871</v>
      </c>
      <c r="Q10" s="1">
        <f t="shared" si="24"/>
        <v>6029.1769751936454</v>
      </c>
    </row>
    <row r="11" spans="2:17" s="1" customFormat="1" x14ac:dyDescent="0.25">
      <c r="B11" s="1" t="s">
        <v>15</v>
      </c>
      <c r="E11" s="1">
        <v>15</v>
      </c>
      <c r="F11" s="1">
        <v>27</v>
      </c>
      <c r="G11" s="1">
        <v>25</v>
      </c>
      <c r="H11" s="1">
        <v>25</v>
      </c>
      <c r="I11" s="1">
        <v>25</v>
      </c>
      <c r="J11" s="1">
        <v>25</v>
      </c>
      <c r="K11" s="1">
        <v>25</v>
      </c>
      <c r="L11" s="1">
        <v>25</v>
      </c>
      <c r="M11" s="1">
        <v>25</v>
      </c>
      <c r="N11" s="1">
        <v>25</v>
      </c>
      <c r="O11" s="1">
        <v>25</v>
      </c>
      <c r="P11" s="1">
        <v>25</v>
      </c>
      <c r="Q11" s="1">
        <v>25</v>
      </c>
    </row>
    <row r="12" spans="2:17" s="1" customFormat="1" x14ac:dyDescent="0.25">
      <c r="B12" s="1" t="s">
        <v>7</v>
      </c>
      <c r="E12" s="1">
        <f>+E9-E10+E11</f>
        <v>3777</v>
      </c>
      <c r="F12" s="1">
        <f t="shared" ref="F12:H12" si="25">+F9-F10+F11</f>
        <v>4152</v>
      </c>
      <c r="G12" s="1">
        <f t="shared" si="25"/>
        <v>4357</v>
      </c>
      <c r="H12" s="1">
        <f t="shared" si="25"/>
        <v>4593.2622899999997</v>
      </c>
      <c r="I12" s="1">
        <f t="shared" ref="I12" si="26">+I9-I10+I11</f>
        <v>4821.4404044999992</v>
      </c>
      <c r="J12" s="1">
        <f t="shared" ref="J12" si="27">+J9-J10+J11</f>
        <v>5061.0274247250009</v>
      </c>
      <c r="K12" s="1">
        <f t="shared" ref="K12" si="28">+K9-K10+K11</f>
        <v>5312.5937959612502</v>
      </c>
      <c r="L12" s="1">
        <f t="shared" ref="L12" si="29">+L9-L10+L11</f>
        <v>5576.7384857593152</v>
      </c>
      <c r="M12" s="1">
        <f t="shared" ref="M12" si="30">+M9-M10+M11</f>
        <v>5854.0904100472808</v>
      </c>
      <c r="N12" s="1">
        <f t="shared" ref="N12" si="31">+N9-N10+N11</f>
        <v>6145.3099305496453</v>
      </c>
      <c r="O12" s="1">
        <f t="shared" ref="O12" si="32">+O9-O10+O11</f>
        <v>6451.0904270771271</v>
      </c>
      <c r="P12" s="1">
        <f t="shared" ref="P12" si="33">+P9-P10+P11</f>
        <v>6772.1599484309836</v>
      </c>
      <c r="Q12" s="1">
        <f t="shared" ref="Q12" si="34">+Q9-Q10+Q11</f>
        <v>7109.282945852533</v>
      </c>
    </row>
    <row r="13" spans="2:17" s="1" customFormat="1" x14ac:dyDescent="0.25">
      <c r="B13" s="1" t="s">
        <v>8</v>
      </c>
      <c r="E13" s="1">
        <v>915</v>
      </c>
      <c r="F13" s="1">
        <v>983</v>
      </c>
      <c r="G13" s="1">
        <v>1000</v>
      </c>
      <c r="H13" s="1">
        <f>+G13*1.02</f>
        <v>1020</v>
      </c>
      <c r="I13" s="1">
        <f t="shared" ref="I13:Q13" si="35">+H13*1.02</f>
        <v>1040.4000000000001</v>
      </c>
      <c r="J13" s="1">
        <f t="shared" si="35"/>
        <v>1061.2080000000001</v>
      </c>
      <c r="K13" s="1">
        <f t="shared" si="35"/>
        <v>1082.4321600000001</v>
      </c>
      <c r="L13" s="1">
        <f t="shared" si="35"/>
        <v>1104.0808032</v>
      </c>
      <c r="M13" s="1">
        <f t="shared" si="35"/>
        <v>1126.1624192639999</v>
      </c>
      <c r="N13" s="1">
        <f t="shared" si="35"/>
        <v>1148.68566764928</v>
      </c>
      <c r="O13" s="1">
        <f t="shared" si="35"/>
        <v>1171.6593810022657</v>
      </c>
      <c r="P13" s="1">
        <f t="shared" si="35"/>
        <v>1195.0925686223111</v>
      </c>
      <c r="Q13" s="1">
        <f t="shared" si="35"/>
        <v>1218.9944199947574</v>
      </c>
    </row>
    <row r="14" spans="2:17" s="1" customFormat="1" x14ac:dyDescent="0.25">
      <c r="B14" s="1" t="s">
        <v>9</v>
      </c>
      <c r="E14" s="1">
        <f>+E12-E13</f>
        <v>2862</v>
      </c>
      <c r="F14" s="1">
        <f t="shared" ref="F14:H14" si="36">+F12-F13</f>
        <v>3169</v>
      </c>
      <c r="G14" s="1">
        <f t="shared" si="36"/>
        <v>3357</v>
      </c>
      <c r="H14" s="1">
        <f t="shared" si="36"/>
        <v>3573.2622899999997</v>
      </c>
      <c r="I14" s="1">
        <f t="shared" ref="I14" si="37">+I12-I13</f>
        <v>3781.0404044999991</v>
      </c>
      <c r="J14" s="1">
        <f t="shared" ref="J14" si="38">+J12-J13</f>
        <v>3999.8194247250008</v>
      </c>
      <c r="K14" s="1">
        <f t="shared" ref="K14" si="39">+K12-K13</f>
        <v>4230.1616359612499</v>
      </c>
      <c r="L14" s="1">
        <f t="shared" ref="L14" si="40">+L12-L13</f>
        <v>4472.6576825593147</v>
      </c>
      <c r="M14" s="1">
        <f t="shared" ref="M14" si="41">+M12-M13</f>
        <v>4727.9279907832806</v>
      </c>
      <c r="N14" s="1">
        <f t="shared" ref="N14" si="42">+N12-N13</f>
        <v>4996.6242629003655</v>
      </c>
      <c r="O14" s="1">
        <f t="shared" ref="O14" si="43">+O12-O13</f>
        <v>5279.4310460748611</v>
      </c>
      <c r="P14" s="1">
        <f t="shared" ref="P14" si="44">+P12-P13</f>
        <v>5577.0673798086727</v>
      </c>
      <c r="Q14" s="1">
        <f t="shared" ref="Q14" si="45">+Q12-Q13</f>
        <v>5890.2885258577753</v>
      </c>
    </row>
    <row r="15" spans="2:17" s="1" customFormat="1" x14ac:dyDescent="0.25">
      <c r="B15" s="1" t="s">
        <v>10</v>
      </c>
      <c r="E15" s="1">
        <v>159</v>
      </c>
      <c r="F15" s="1">
        <v>175</v>
      </c>
      <c r="G15" s="1">
        <v>200</v>
      </c>
      <c r="H15" s="1">
        <v>200</v>
      </c>
      <c r="I15" s="1">
        <v>200</v>
      </c>
      <c r="J15" s="1">
        <v>200</v>
      </c>
      <c r="K15" s="1">
        <v>200</v>
      </c>
      <c r="L15" s="1">
        <v>200</v>
      </c>
      <c r="M15" s="1">
        <v>200</v>
      </c>
      <c r="N15" s="1">
        <v>200</v>
      </c>
      <c r="O15" s="1">
        <v>200</v>
      </c>
      <c r="P15" s="1">
        <v>200</v>
      </c>
      <c r="Q15" s="1">
        <v>200</v>
      </c>
    </row>
    <row r="16" spans="2:17" s="1" customFormat="1" x14ac:dyDescent="0.25">
      <c r="B16" s="1" t="s">
        <v>11</v>
      </c>
      <c r="E16" s="1">
        <v>329</v>
      </c>
      <c r="F16" s="1">
        <v>370</v>
      </c>
      <c r="G16" s="1">
        <v>400</v>
      </c>
      <c r="H16" s="1">
        <v>400</v>
      </c>
      <c r="I16" s="1">
        <v>400</v>
      </c>
      <c r="J16" s="1">
        <v>400</v>
      </c>
      <c r="K16" s="1">
        <v>400</v>
      </c>
      <c r="L16" s="1">
        <v>400</v>
      </c>
      <c r="M16" s="1">
        <v>400</v>
      </c>
      <c r="N16" s="1">
        <v>400</v>
      </c>
      <c r="O16" s="1">
        <v>400</v>
      </c>
      <c r="P16" s="1">
        <v>400</v>
      </c>
      <c r="Q16" s="1">
        <v>400</v>
      </c>
    </row>
    <row r="17" spans="2:79" s="1" customFormat="1" x14ac:dyDescent="0.25">
      <c r="B17" s="1" t="s">
        <v>12</v>
      </c>
      <c r="E17" s="1">
        <f>+E14+E15-E16</f>
        <v>2692</v>
      </c>
      <c r="F17" s="1">
        <f t="shared" ref="F17:H17" si="46">+F14+F15-F16</f>
        <v>2974</v>
      </c>
      <c r="G17" s="1">
        <f t="shared" si="46"/>
        <v>3157</v>
      </c>
      <c r="H17" s="1">
        <f t="shared" si="46"/>
        <v>3373.2622899999997</v>
      </c>
      <c r="I17" s="1">
        <f t="shared" ref="I17" si="47">+I14+I15-I16</f>
        <v>3581.0404044999991</v>
      </c>
      <c r="J17" s="1">
        <f t="shared" ref="J17" si="48">+J14+J15-J16</f>
        <v>3799.8194247250012</v>
      </c>
      <c r="K17" s="1">
        <f t="shared" ref="K17" si="49">+K14+K15-K16</f>
        <v>4030.1616359612499</v>
      </c>
      <c r="L17" s="1">
        <f t="shared" ref="L17" si="50">+L14+L15-L16</f>
        <v>4272.6576825593147</v>
      </c>
      <c r="M17" s="1">
        <f t="shared" ref="M17" si="51">+M14+M15-M16</f>
        <v>4527.9279907832806</v>
      </c>
      <c r="N17" s="1">
        <f t="shared" ref="N17" si="52">+N14+N15-N16</f>
        <v>4796.6242629003655</v>
      </c>
      <c r="O17" s="1">
        <f t="shared" ref="O17" si="53">+O14+O15-O16</f>
        <v>5079.4310460748611</v>
      </c>
      <c r="P17" s="1">
        <f t="shared" ref="P17" si="54">+P14+P15-P16</f>
        <v>5377.0673798086727</v>
      </c>
      <c r="Q17" s="1">
        <f t="shared" ref="Q17" si="55">+Q14+Q15-Q16</f>
        <v>5690.2885258577753</v>
      </c>
    </row>
    <row r="18" spans="2:79" s="1" customFormat="1" x14ac:dyDescent="0.25">
      <c r="B18" s="1" t="s">
        <v>14</v>
      </c>
      <c r="E18" s="1">
        <v>625</v>
      </c>
      <c r="F18" s="1">
        <v>713</v>
      </c>
      <c r="G18" s="1">
        <f>+G17*0.25</f>
        <v>789.25</v>
      </c>
      <c r="H18" s="1">
        <f t="shared" ref="H18:Q18" si="56">+H17*0.25</f>
        <v>843.31557249999992</v>
      </c>
      <c r="I18" s="1">
        <f t="shared" si="56"/>
        <v>895.26010112499978</v>
      </c>
      <c r="J18" s="1">
        <f t="shared" si="56"/>
        <v>949.95485618125031</v>
      </c>
      <c r="K18" s="1">
        <f t="shared" si="56"/>
        <v>1007.5404089903125</v>
      </c>
      <c r="L18" s="1">
        <f t="shared" si="56"/>
        <v>1068.1644206398287</v>
      </c>
      <c r="M18" s="1">
        <f t="shared" si="56"/>
        <v>1131.9819976958202</v>
      </c>
      <c r="N18" s="1">
        <f t="shared" si="56"/>
        <v>1199.1560657250914</v>
      </c>
      <c r="O18" s="1">
        <f t="shared" si="56"/>
        <v>1269.8577615187153</v>
      </c>
      <c r="P18" s="1">
        <f t="shared" si="56"/>
        <v>1344.2668449521682</v>
      </c>
      <c r="Q18" s="1">
        <f t="shared" si="56"/>
        <v>1422.5721314644438</v>
      </c>
    </row>
    <row r="19" spans="2:79" s="4" customFormat="1" x14ac:dyDescent="0.25">
      <c r="B19" s="4" t="s">
        <v>13</v>
      </c>
      <c r="E19" s="4">
        <f>+E17-E18</f>
        <v>2067</v>
      </c>
      <c r="F19" s="4">
        <f t="shared" ref="F19:H19" si="57">+F17-F18</f>
        <v>2261</v>
      </c>
      <c r="G19" s="4">
        <f t="shared" si="57"/>
        <v>2367.75</v>
      </c>
      <c r="H19" s="4">
        <f t="shared" si="57"/>
        <v>2529.9467175</v>
      </c>
      <c r="I19" s="4">
        <f t="shared" ref="I19" si="58">+I17-I18</f>
        <v>2685.7803033749992</v>
      </c>
      <c r="J19" s="4">
        <f t="shared" ref="J19" si="59">+J17-J18</f>
        <v>2849.8645685437509</v>
      </c>
      <c r="K19" s="4">
        <f t="shared" ref="K19" si="60">+K17-K18</f>
        <v>3022.6212269709376</v>
      </c>
      <c r="L19" s="4">
        <f t="shared" ref="L19" si="61">+L17-L18</f>
        <v>3204.493261919486</v>
      </c>
      <c r="M19" s="4">
        <f t="shared" ref="M19" si="62">+M17-M18</f>
        <v>3395.9459930874605</v>
      </c>
      <c r="N19" s="4">
        <f t="shared" ref="N19" si="63">+N17-N18</f>
        <v>3597.4681971752743</v>
      </c>
      <c r="O19" s="4">
        <f t="shared" ref="O19" si="64">+O17-O18</f>
        <v>3809.5732845561461</v>
      </c>
      <c r="P19" s="4">
        <f t="shared" ref="P19" si="65">+P17-P18</f>
        <v>4032.8005348565048</v>
      </c>
      <c r="Q19" s="4">
        <f t="shared" ref="Q19" si="66">+Q17-Q18</f>
        <v>4267.7163943933319</v>
      </c>
    </row>
    <row r="20" spans="2:79" s="1" customFormat="1" x14ac:dyDescent="0.25">
      <c r="B20" s="1" t="s">
        <v>21</v>
      </c>
      <c r="E20" s="1">
        <v>292</v>
      </c>
      <c r="F20" s="1">
        <v>323</v>
      </c>
      <c r="G20" s="1">
        <v>300</v>
      </c>
      <c r="H20" s="1">
        <v>300</v>
      </c>
      <c r="I20" s="1">
        <v>300</v>
      </c>
      <c r="J20" s="1">
        <v>300</v>
      </c>
      <c r="K20" s="1">
        <v>300</v>
      </c>
      <c r="L20" s="1">
        <v>300</v>
      </c>
      <c r="M20" s="1">
        <v>300</v>
      </c>
      <c r="N20" s="1">
        <v>300</v>
      </c>
      <c r="O20" s="1">
        <v>300</v>
      </c>
      <c r="P20" s="1">
        <v>300</v>
      </c>
      <c r="Q20" s="1">
        <v>300</v>
      </c>
    </row>
    <row r="21" spans="2:79" s="1" customFormat="1" x14ac:dyDescent="0.25">
      <c r="B21" s="1" t="s">
        <v>22</v>
      </c>
      <c r="E21" s="1">
        <f>+E19-E20</f>
        <v>1775</v>
      </c>
      <c r="F21" s="1">
        <f>+F19-F20</f>
        <v>1938</v>
      </c>
      <c r="G21" s="1">
        <f>+G19-G20</f>
        <v>2067.75</v>
      </c>
      <c r="H21" s="1">
        <f t="shared" ref="H21:Q21" si="67">+H19-H20</f>
        <v>2229.9467175</v>
      </c>
      <c r="I21" s="1">
        <f t="shared" si="67"/>
        <v>2385.7803033749992</v>
      </c>
      <c r="J21" s="1">
        <f t="shared" si="67"/>
        <v>2549.8645685437509</v>
      </c>
      <c r="K21" s="1">
        <f t="shared" si="67"/>
        <v>2722.6212269709376</v>
      </c>
      <c r="L21" s="1">
        <f t="shared" si="67"/>
        <v>2904.493261919486</v>
      </c>
      <c r="M21" s="1">
        <f t="shared" si="67"/>
        <v>3095.9459930874605</v>
      </c>
      <c r="N21" s="1">
        <f t="shared" si="67"/>
        <v>3297.4681971752743</v>
      </c>
      <c r="O21" s="1">
        <f t="shared" si="67"/>
        <v>3509.5732845561461</v>
      </c>
      <c r="P21" s="1">
        <f t="shared" si="67"/>
        <v>3732.8005348565048</v>
      </c>
      <c r="Q21" s="1">
        <f t="shared" si="67"/>
        <v>3967.7163943933319</v>
      </c>
      <c r="R21" s="1">
        <f>+Q21*(1+$T27)</f>
        <v>4007.3935583372654</v>
      </c>
      <c r="S21" s="1">
        <f t="shared" ref="S21:CA21" si="68">+R21*(1+$T27)</f>
        <v>4047.4674939206379</v>
      </c>
      <c r="T21" s="1">
        <f t="shared" si="68"/>
        <v>4087.9421688598445</v>
      </c>
      <c r="U21" s="1">
        <f t="shared" si="68"/>
        <v>4128.8215905484431</v>
      </c>
      <c r="V21" s="1">
        <f t="shared" si="68"/>
        <v>4170.1098064539274</v>
      </c>
      <c r="W21" s="1">
        <f t="shared" si="68"/>
        <v>4211.8109045184665</v>
      </c>
      <c r="X21" s="1">
        <f t="shared" si="68"/>
        <v>4253.9290135636511</v>
      </c>
      <c r="Y21" s="1">
        <f t="shared" si="68"/>
        <v>4296.4683036992874</v>
      </c>
      <c r="Z21" s="1">
        <f t="shared" si="68"/>
        <v>4339.4329867362803</v>
      </c>
      <c r="AA21" s="1">
        <f t="shared" si="68"/>
        <v>4382.8273166036433</v>
      </c>
      <c r="AB21" s="1">
        <f t="shared" si="68"/>
        <v>4426.6555897696799</v>
      </c>
      <c r="AC21" s="1">
        <f t="shared" si="68"/>
        <v>4470.9221456673768</v>
      </c>
      <c r="AD21" s="1">
        <f t="shared" si="68"/>
        <v>4515.6313671240505</v>
      </c>
      <c r="AE21" s="1">
        <f t="shared" si="68"/>
        <v>4560.7876807952907</v>
      </c>
      <c r="AF21" s="1">
        <f t="shared" si="68"/>
        <v>4606.395557603244</v>
      </c>
      <c r="AG21" s="1">
        <f t="shared" si="68"/>
        <v>4652.4595131792767</v>
      </c>
      <c r="AH21" s="1">
        <f t="shared" si="68"/>
        <v>4698.9841083110696</v>
      </c>
      <c r="AI21" s="1">
        <f t="shared" si="68"/>
        <v>4745.9739493941806</v>
      </c>
      <c r="AJ21" s="1">
        <f t="shared" si="68"/>
        <v>4793.4336888881226</v>
      </c>
      <c r="AK21" s="1">
        <f t="shared" si="68"/>
        <v>4841.3680257770038</v>
      </c>
      <c r="AL21" s="1">
        <f t="shared" si="68"/>
        <v>4889.7817060347743</v>
      </c>
      <c r="AM21" s="1">
        <f t="shared" si="68"/>
        <v>4938.679523095122</v>
      </c>
      <c r="AN21" s="1">
        <f t="shared" si="68"/>
        <v>4988.0663183260731</v>
      </c>
      <c r="AO21" s="1">
        <f t="shared" si="68"/>
        <v>5037.9469815093335</v>
      </c>
      <c r="AP21" s="1">
        <f t="shared" si="68"/>
        <v>5088.3264513244267</v>
      </c>
      <c r="AQ21" s="1">
        <f t="shared" si="68"/>
        <v>5139.209715837671</v>
      </c>
      <c r="AR21" s="1">
        <f t="shared" si="68"/>
        <v>5190.6018129960476</v>
      </c>
      <c r="AS21" s="1">
        <f t="shared" si="68"/>
        <v>5242.5078311260077</v>
      </c>
      <c r="AT21" s="1">
        <f t="shared" si="68"/>
        <v>5294.9329094372679</v>
      </c>
      <c r="AU21" s="1">
        <f t="shared" si="68"/>
        <v>5347.8822385316407</v>
      </c>
      <c r="AV21" s="1">
        <f t="shared" si="68"/>
        <v>5401.3610609169573</v>
      </c>
      <c r="AW21" s="1">
        <f t="shared" si="68"/>
        <v>5455.3746715261268</v>
      </c>
      <c r="AX21" s="1">
        <f t="shared" si="68"/>
        <v>5509.9284182413885</v>
      </c>
      <c r="AY21" s="1">
        <f t="shared" si="68"/>
        <v>5565.0277024238021</v>
      </c>
      <c r="AZ21" s="1">
        <f t="shared" si="68"/>
        <v>5620.6779794480399</v>
      </c>
      <c r="BA21" s="1">
        <f t="shared" si="68"/>
        <v>5676.88475924252</v>
      </c>
      <c r="BB21" s="1">
        <f t="shared" si="68"/>
        <v>5733.6536068349451</v>
      </c>
      <c r="BC21" s="1">
        <f t="shared" si="68"/>
        <v>5790.9901429032943</v>
      </c>
      <c r="BD21" s="1">
        <f t="shared" si="68"/>
        <v>5848.9000443323275</v>
      </c>
      <c r="BE21" s="1">
        <f t="shared" si="68"/>
        <v>5907.3890447756512</v>
      </c>
      <c r="BF21" s="1">
        <f t="shared" si="68"/>
        <v>5966.4629352234078</v>
      </c>
      <c r="BG21" s="1">
        <f t="shared" si="68"/>
        <v>6026.1275645756423</v>
      </c>
      <c r="BH21" s="1">
        <f t="shared" si="68"/>
        <v>6086.3888402213988</v>
      </c>
      <c r="BI21" s="1">
        <f t="shared" si="68"/>
        <v>6147.2527286236127</v>
      </c>
      <c r="BJ21" s="1">
        <f t="shared" si="68"/>
        <v>6208.7252559098488</v>
      </c>
      <c r="BK21" s="1">
        <f t="shared" si="68"/>
        <v>6270.8125084689473</v>
      </c>
      <c r="BL21" s="1">
        <f t="shared" si="68"/>
        <v>6333.5206335536368</v>
      </c>
      <c r="BM21" s="1">
        <f t="shared" si="68"/>
        <v>6396.8558398891728</v>
      </c>
      <c r="BN21" s="1">
        <f t="shared" si="68"/>
        <v>6460.8243982880649</v>
      </c>
      <c r="BO21" s="1">
        <f t="shared" si="68"/>
        <v>6525.4326422709455</v>
      </c>
      <c r="BP21" s="1">
        <f t="shared" si="68"/>
        <v>6590.6869686936552</v>
      </c>
      <c r="BQ21" s="1">
        <f t="shared" si="68"/>
        <v>6656.5938383805915</v>
      </c>
      <c r="BR21" s="1">
        <f t="shared" si="68"/>
        <v>6723.1597767643971</v>
      </c>
      <c r="BS21" s="1">
        <f t="shared" si="68"/>
        <v>6790.3913745320415</v>
      </c>
      <c r="BT21" s="1">
        <f t="shared" si="68"/>
        <v>6858.2952882773616</v>
      </c>
      <c r="BU21" s="1">
        <f t="shared" si="68"/>
        <v>6926.8782411601351</v>
      </c>
      <c r="BV21" s="1">
        <f t="shared" si="68"/>
        <v>6996.1470235717361</v>
      </c>
      <c r="BW21" s="1">
        <f t="shared" si="68"/>
        <v>7066.1084938074537</v>
      </c>
      <c r="BX21" s="1">
        <f t="shared" si="68"/>
        <v>7136.7695787455286</v>
      </c>
      <c r="BY21" s="1">
        <f t="shared" si="68"/>
        <v>7208.1372745329836</v>
      </c>
      <c r="BZ21" s="1">
        <f t="shared" si="68"/>
        <v>7280.2186472783133</v>
      </c>
      <c r="CA21" s="1">
        <f t="shared" si="68"/>
        <v>7353.0208337510967</v>
      </c>
    </row>
    <row r="22" spans="2:79" s="1" customFormat="1" x14ac:dyDescent="0.25">
      <c r="B22" s="1" t="s">
        <v>16</v>
      </c>
      <c r="E22" s="1">
        <v>323.89999999999998</v>
      </c>
      <c r="F22" s="1">
        <v>363.5</v>
      </c>
      <c r="G22" s="1">
        <f>+G21/G23</f>
        <v>332.43128040689959</v>
      </c>
      <c r="H22" s="1">
        <f t="shared" ref="H22:Q22" si="69">+H21/H23</f>
        <v>358.50757709475897</v>
      </c>
      <c r="I22" s="1">
        <f t="shared" si="69"/>
        <v>383.56087584113766</v>
      </c>
      <c r="J22" s="1">
        <f t="shared" si="69"/>
        <v>409.94063275791842</v>
      </c>
      <c r="K22" s="1">
        <f t="shared" si="69"/>
        <v>437.71464661828213</v>
      </c>
      <c r="L22" s="1">
        <f t="shared" si="69"/>
        <v>466.95413565136363</v>
      </c>
      <c r="M22" s="1">
        <f t="shared" si="69"/>
        <v>497.73390910539229</v>
      </c>
      <c r="N22" s="1">
        <f t="shared" si="69"/>
        <v>530.13254740080151</v>
      </c>
      <c r="O22" s="1">
        <f t="shared" si="69"/>
        <v>564.2325913030337</v>
      </c>
      <c r="P22" s="1">
        <f t="shared" si="69"/>
        <v>600.12074056627137</v>
      </c>
      <c r="Q22" s="1">
        <f t="shared" si="69"/>
        <v>637.88806252188249</v>
      </c>
    </row>
    <row r="23" spans="2:79" s="3" customFormat="1" x14ac:dyDescent="0.25">
      <c r="B23" s="3" t="s">
        <v>17</v>
      </c>
      <c r="E23" s="3">
        <f>+E19/E22</f>
        <v>6.3815992590305655</v>
      </c>
      <c r="F23" s="3">
        <f>+F19/F22</f>
        <v>6.2200825309491057</v>
      </c>
      <c r="G23" s="3">
        <f>+F23</f>
        <v>6.2200825309491057</v>
      </c>
      <c r="H23" s="3">
        <f t="shared" ref="H23:Q23" si="70">+G23</f>
        <v>6.2200825309491057</v>
      </c>
      <c r="I23" s="3">
        <f t="shared" si="70"/>
        <v>6.2200825309491057</v>
      </c>
      <c r="J23" s="3">
        <f t="shared" si="70"/>
        <v>6.2200825309491057</v>
      </c>
      <c r="K23" s="3">
        <f t="shared" si="70"/>
        <v>6.2200825309491057</v>
      </c>
      <c r="L23" s="3">
        <f t="shared" si="70"/>
        <v>6.2200825309491057</v>
      </c>
      <c r="M23" s="3">
        <f t="shared" si="70"/>
        <v>6.2200825309491057</v>
      </c>
      <c r="N23" s="3">
        <f t="shared" si="70"/>
        <v>6.2200825309491057</v>
      </c>
      <c r="O23" s="3">
        <f t="shared" si="70"/>
        <v>6.2200825309491057</v>
      </c>
      <c r="P23" s="3">
        <f t="shared" si="70"/>
        <v>6.2200825309491057</v>
      </c>
      <c r="Q23" s="3">
        <f t="shared" si="70"/>
        <v>6.2200825309491057</v>
      </c>
    </row>
    <row r="24" spans="2:79" s="1" customFormat="1" x14ac:dyDescent="0.25">
      <c r="E24" s="2"/>
      <c r="F24" s="2"/>
    </row>
    <row r="25" spans="2:79" s="5" customFormat="1" x14ac:dyDescent="0.25">
      <c r="B25" s="5" t="s">
        <v>23</v>
      </c>
      <c r="E25" s="5">
        <f>+E9/E7</f>
        <v>0.86358754027926965</v>
      </c>
      <c r="F25" s="5">
        <f t="shared" ref="F25:Q25" si="71">+F9/F7</f>
        <v>0.86757733122601044</v>
      </c>
      <c r="G25" s="5">
        <f t="shared" si="71"/>
        <v>0.86964053702901689</v>
      </c>
      <c r="H25" s="5">
        <f t="shared" si="71"/>
        <v>0.87</v>
      </c>
      <c r="I25" s="5">
        <f t="shared" si="71"/>
        <v>0.86999999999999988</v>
      </c>
      <c r="J25" s="5">
        <f t="shared" si="71"/>
        <v>0.87</v>
      </c>
      <c r="K25" s="5">
        <f t="shared" si="71"/>
        <v>0.87</v>
      </c>
      <c r="L25" s="5">
        <f t="shared" si="71"/>
        <v>0.87000000000000011</v>
      </c>
      <c r="M25" s="5">
        <f t="shared" si="71"/>
        <v>0.87</v>
      </c>
      <c r="N25" s="5">
        <f t="shared" si="71"/>
        <v>0.87</v>
      </c>
      <c r="O25" s="5">
        <f t="shared" si="71"/>
        <v>0.87</v>
      </c>
      <c r="P25" s="5">
        <f t="shared" si="71"/>
        <v>0.87</v>
      </c>
      <c r="Q25" s="5">
        <f t="shared" si="71"/>
        <v>0.87</v>
      </c>
    </row>
    <row r="26" spans="2:79" s="5" customFormat="1" x14ac:dyDescent="0.25">
      <c r="B26" s="5" t="s">
        <v>24</v>
      </c>
      <c r="E26" s="5">
        <f>+E14/E7</f>
        <v>0.34156820622986034</v>
      </c>
      <c r="F26" s="5">
        <f t="shared" ref="F26:Q26" si="72">+F14/F7</f>
        <v>0.35775570106118765</v>
      </c>
      <c r="G26" s="5">
        <f t="shared" si="72"/>
        <v>0.36346903421394544</v>
      </c>
      <c r="H26" s="5">
        <f t="shared" si="72"/>
        <v>0.36763065903118269</v>
      </c>
      <c r="I26" s="5">
        <f t="shared" si="72"/>
        <v>0.37050163042737738</v>
      </c>
      <c r="J26" s="5">
        <f t="shared" si="72"/>
        <v>0.37329326690936465</v>
      </c>
      <c r="K26" s="5">
        <f t="shared" si="72"/>
        <v>0.37600769756942909</v>
      </c>
      <c r="L26" s="5">
        <f t="shared" si="72"/>
        <v>0.37864699790796535</v>
      </c>
      <c r="M26" s="5">
        <f t="shared" si="72"/>
        <v>0.38121319097023887</v>
      </c>
      <c r="N26" s="5">
        <f t="shared" si="72"/>
        <v>0.38370824847300972</v>
      </c>
      <c r="O26" s="5">
        <f t="shared" si="72"/>
        <v>0.38613409191999271</v>
      </c>
      <c r="P26" s="5">
        <f t="shared" si="72"/>
        <v>0.38849259370524147</v>
      </c>
      <c r="Q26" s="5">
        <f t="shared" si="72"/>
        <v>0.39078557820363807</v>
      </c>
      <c r="S26" s="5" t="s">
        <v>26</v>
      </c>
      <c r="T26" s="5">
        <v>0.1</v>
      </c>
    </row>
    <row r="27" spans="2:79" s="5" customFormat="1" x14ac:dyDescent="0.25">
      <c r="B27" s="5" t="s">
        <v>25</v>
      </c>
      <c r="E27" s="5">
        <f>+E19/E7</f>
        <v>0.24668814894378804</v>
      </c>
      <c r="F27" s="5">
        <f t="shared" ref="F27:Q27" si="73">+F19/F7</f>
        <v>0.25524949198464664</v>
      </c>
      <c r="G27" s="5">
        <f t="shared" si="73"/>
        <v>0.25636097877869207</v>
      </c>
      <c r="H27" s="5">
        <f t="shared" si="73"/>
        <v>0.26029043030823873</v>
      </c>
      <c r="I27" s="5">
        <f t="shared" si="73"/>
        <v>0.26317782274579066</v>
      </c>
      <c r="J27" s="5">
        <f t="shared" si="73"/>
        <v>0.26597082069875833</v>
      </c>
      <c r="K27" s="5">
        <f t="shared" si="73"/>
        <v>0.26867267636206138</v>
      </c>
      <c r="L27" s="5">
        <f t="shared" si="73"/>
        <v>0.27128652348547477</v>
      </c>
      <c r="M27" s="5">
        <f t="shared" si="73"/>
        <v>0.27381538189903631</v>
      </c>
      <c r="N27" s="5">
        <f t="shared" si="73"/>
        <v>0.27626216186089991</v>
      </c>
      <c r="O27" s="5">
        <f t="shared" si="73"/>
        <v>0.27862966823449881</v>
      </c>
      <c r="P27" s="5">
        <f t="shared" si="73"/>
        <v>0.28092060450165057</v>
      </c>
      <c r="Q27" s="5">
        <f t="shared" si="73"/>
        <v>0.28313757661799344</v>
      </c>
      <c r="S27" s="5" t="s">
        <v>27</v>
      </c>
      <c r="T27" s="5">
        <v>0.01</v>
      </c>
    </row>
    <row r="28" spans="2:79" s="1" customFormat="1" x14ac:dyDescent="0.25">
      <c r="S28" s="1" t="s">
        <v>28</v>
      </c>
      <c r="T28" s="1">
        <f>NPV(T26,G21:CA21)</f>
        <v>33559.83171250669</v>
      </c>
    </row>
    <row r="29" spans="2:79" s="1" customFormat="1" x14ac:dyDescent="0.25">
      <c r="B29" s="1" t="s">
        <v>18</v>
      </c>
      <c r="E29" s="1">
        <v>2942</v>
      </c>
      <c r="F29" s="1">
        <v>3396</v>
      </c>
    </row>
    <row r="30" spans="2:79" s="1" customFormat="1" x14ac:dyDescent="0.25">
      <c r="B30" s="1" t="s">
        <v>19</v>
      </c>
      <c r="E30" s="1">
        <f>962+122</f>
        <v>1084</v>
      </c>
      <c r="F30" s="1">
        <f>934+74</f>
        <v>1008</v>
      </c>
      <c r="S30" s="1" t="s">
        <v>29</v>
      </c>
      <c r="T30" s="1">
        <f>+T28+T29</f>
        <v>33559.83171250669</v>
      </c>
    </row>
    <row r="31" spans="2:79" s="1" customFormat="1" x14ac:dyDescent="0.25">
      <c r="B31" s="1" t="s">
        <v>20</v>
      </c>
      <c r="E31" s="1">
        <f>+E29-E30</f>
        <v>1858</v>
      </c>
      <c r="F31" s="1">
        <f>+F29-F30</f>
        <v>2388</v>
      </c>
      <c r="S31" s="1" t="s">
        <v>30</v>
      </c>
      <c r="T31" s="1">
        <f>+T30/Q23</f>
        <v>5395.3997467917652</v>
      </c>
    </row>
    <row r="32" spans="2:79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2025-12-15T20:38:16Z</dcterms:created>
  <dcterms:modified xsi:type="dcterms:W3CDTF">2026-02-06T13:22:56Z</dcterms:modified>
</cp:coreProperties>
</file>