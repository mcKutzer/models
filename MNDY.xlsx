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ckut\Desktop\Stonks\Analysis\"/>
    </mc:Choice>
  </mc:AlternateContent>
  <xr:revisionPtr revIDLastSave="0" documentId="13_ncr:1_{8C78E6E3-5D58-4C66-949F-C41C24C872B8}" xr6:coauthVersionLast="47" xr6:coauthVersionMax="47" xr10:uidLastSave="{00000000-0000-0000-0000-000000000000}"/>
  <bookViews>
    <workbookView xWindow="-120" yWindow="-120" windowWidth="29040" windowHeight="15840" activeTab="1" xr2:uid="{C895A328-6046-486C-84A3-0789CB5793C8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9" i="1" l="1"/>
  <c r="H27" i="1"/>
  <c r="H25" i="1"/>
  <c r="T22" i="1"/>
  <c r="I26" i="1"/>
  <c r="J26" i="1" s="1"/>
  <c r="K26" i="1" s="1"/>
  <c r="L26" i="1" s="1"/>
  <c r="M26" i="1" s="1"/>
  <c r="N26" i="1" s="1"/>
  <c r="O26" i="1" s="1"/>
  <c r="P26" i="1" s="1"/>
  <c r="Q26" i="1" s="1"/>
  <c r="H26" i="1"/>
  <c r="I23" i="1"/>
  <c r="J23" i="1"/>
  <c r="K23" i="1" s="1"/>
  <c r="L23" i="1" s="1"/>
  <c r="M23" i="1" s="1"/>
  <c r="N23" i="1" s="1"/>
  <c r="O23" i="1" s="1"/>
  <c r="P23" i="1" s="1"/>
  <c r="Q23" i="1" s="1"/>
  <c r="H23" i="1"/>
  <c r="K10" i="1"/>
  <c r="L10" i="1"/>
  <c r="M10" i="1"/>
  <c r="N10" i="1"/>
  <c r="O10" i="1"/>
  <c r="P10" i="1"/>
  <c r="Q10" i="1"/>
  <c r="J10" i="1"/>
  <c r="J38" i="1" s="1"/>
  <c r="I8" i="1"/>
  <c r="J8" i="1" s="1"/>
  <c r="K8" i="1" s="1"/>
  <c r="L8" i="1" s="1"/>
  <c r="M8" i="1" s="1"/>
  <c r="N8" i="1" s="1"/>
  <c r="O8" i="1" s="1"/>
  <c r="P8" i="1" s="1"/>
  <c r="Q8" i="1" s="1"/>
  <c r="Q36" i="1" s="1"/>
  <c r="H8" i="1"/>
  <c r="H36" i="1" s="1"/>
  <c r="H37" i="1"/>
  <c r="I37" i="1"/>
  <c r="J37" i="1"/>
  <c r="K37" i="1"/>
  <c r="L37" i="1"/>
  <c r="M37" i="1"/>
  <c r="N37" i="1"/>
  <c r="O37" i="1"/>
  <c r="P37" i="1"/>
  <c r="Q37" i="1"/>
  <c r="H38" i="1"/>
  <c r="I38" i="1"/>
  <c r="I10" i="1"/>
  <c r="Q38" i="1" s="1"/>
  <c r="H10" i="1"/>
  <c r="I9" i="1"/>
  <c r="J9" i="1" s="1"/>
  <c r="K9" i="1" s="1"/>
  <c r="L9" i="1" s="1"/>
  <c r="M9" i="1" s="1"/>
  <c r="N9" i="1" s="1"/>
  <c r="O9" i="1" s="1"/>
  <c r="P9" i="1" s="1"/>
  <c r="Q9" i="1" s="1"/>
  <c r="H9" i="1"/>
  <c r="E36" i="1"/>
  <c r="F36" i="1"/>
  <c r="G36" i="1"/>
  <c r="E37" i="1"/>
  <c r="F37" i="1"/>
  <c r="G37" i="1"/>
  <c r="E38" i="1"/>
  <c r="F38" i="1"/>
  <c r="G38" i="1"/>
  <c r="D37" i="1"/>
  <c r="D38" i="1"/>
  <c r="D36" i="1"/>
  <c r="H19" i="1"/>
  <c r="I19" i="1"/>
  <c r="J19" i="1"/>
  <c r="K19" i="1"/>
  <c r="L19" i="1"/>
  <c r="M19" i="1"/>
  <c r="N19" i="1"/>
  <c r="O19" i="1"/>
  <c r="P19" i="1"/>
  <c r="Q19" i="1"/>
  <c r="H21" i="1"/>
  <c r="I21" i="1"/>
  <c r="J21" i="1"/>
  <c r="K21" i="1"/>
  <c r="L21" i="1"/>
  <c r="M21" i="1"/>
  <c r="N21" i="1"/>
  <c r="O21" i="1"/>
  <c r="P21" i="1"/>
  <c r="Q21" i="1"/>
  <c r="H6" i="1"/>
  <c r="I6" i="1"/>
  <c r="J6" i="1"/>
  <c r="K6" i="1"/>
  <c r="L6" i="1"/>
  <c r="M6" i="1"/>
  <c r="N6" i="1"/>
  <c r="O6" i="1"/>
  <c r="P6" i="1"/>
  <c r="Q6" i="1"/>
  <c r="N5" i="1"/>
  <c r="O5" i="1" s="1"/>
  <c r="M5" i="1"/>
  <c r="M7" i="1" s="1"/>
  <c r="K5" i="1"/>
  <c r="L5" i="1" s="1"/>
  <c r="L7" i="1" s="1"/>
  <c r="J5" i="1"/>
  <c r="J7" i="1" s="1"/>
  <c r="I5" i="1"/>
  <c r="H5" i="1"/>
  <c r="F21" i="1"/>
  <c r="G21" i="1"/>
  <c r="E21" i="1"/>
  <c r="G33" i="1"/>
  <c r="F33" i="1"/>
  <c r="F34" i="1" s="1"/>
  <c r="E33" i="1"/>
  <c r="E34" i="1" s="1"/>
  <c r="K7" i="1"/>
  <c r="N7" i="1"/>
  <c r="D9" i="2"/>
  <c r="D10" i="2" s="1"/>
  <c r="D7" i="2"/>
  <c r="D6" i="2"/>
  <c r="D5" i="2"/>
  <c r="G26" i="1"/>
  <c r="G25" i="1"/>
  <c r="G27" i="1" s="1"/>
  <c r="G28" i="1" s="1"/>
  <c r="G29" i="1" s="1"/>
  <c r="G24" i="1"/>
  <c r="G23" i="1"/>
  <c r="G14" i="1"/>
  <c r="G12" i="1"/>
  <c r="G34" i="1" s="1"/>
  <c r="G6" i="1"/>
  <c r="G5" i="1"/>
  <c r="G10" i="1"/>
  <c r="G9" i="1"/>
  <c r="G8" i="1"/>
  <c r="F26" i="1"/>
  <c r="F27" i="1" s="1"/>
  <c r="F28" i="1" s="1"/>
  <c r="F29" i="1" s="1"/>
  <c r="E26" i="1"/>
  <c r="E27" i="1" s="1"/>
  <c r="E28" i="1" s="1"/>
  <c r="E29" i="1" s="1"/>
  <c r="D26" i="1"/>
  <c r="D27" i="1" s="1"/>
  <c r="E7" i="1"/>
  <c r="E11" i="1" s="1"/>
  <c r="E13" i="1" s="1"/>
  <c r="E15" i="1" s="1"/>
  <c r="E16" i="1" s="1"/>
  <c r="F7" i="1"/>
  <c r="F11" i="1" s="1"/>
  <c r="F13" i="1" s="1"/>
  <c r="F15" i="1" s="1"/>
  <c r="F16" i="1" s="1"/>
  <c r="D7" i="1"/>
  <c r="D11" i="1" s="1"/>
  <c r="D13" i="1" s="1"/>
  <c r="D15" i="1" s="1"/>
  <c r="E2" i="1"/>
  <c r="F2" i="1" s="1"/>
  <c r="G2" i="1" s="1"/>
  <c r="H2" i="1" s="1"/>
  <c r="I2" i="1" s="1"/>
  <c r="J2" i="1" s="1"/>
  <c r="K2" i="1" s="1"/>
  <c r="L2" i="1" s="1"/>
  <c r="M2" i="1" s="1"/>
  <c r="N2" i="1" s="1"/>
  <c r="O2" i="1" s="1"/>
  <c r="P2" i="1" s="1"/>
  <c r="Q2" i="1" s="1"/>
  <c r="O38" i="1" l="1"/>
  <c r="N38" i="1"/>
  <c r="M38" i="1"/>
  <c r="P38" i="1"/>
  <c r="L38" i="1"/>
  <c r="K38" i="1"/>
  <c r="P36" i="1"/>
  <c r="N36" i="1"/>
  <c r="O36" i="1"/>
  <c r="M36" i="1"/>
  <c r="L36" i="1"/>
  <c r="K36" i="1"/>
  <c r="J36" i="1"/>
  <c r="I36" i="1"/>
  <c r="J11" i="1"/>
  <c r="L11" i="1"/>
  <c r="N11" i="1"/>
  <c r="M11" i="1"/>
  <c r="K11" i="1"/>
  <c r="P5" i="1"/>
  <c r="O7" i="1"/>
  <c r="O11" i="1" s="1"/>
  <c r="I7" i="1"/>
  <c r="I11" i="1" s="1"/>
  <c r="H7" i="1"/>
  <c r="H11" i="1" s="1"/>
  <c r="G7" i="1"/>
  <c r="G11" i="1" s="1"/>
  <c r="G13" i="1" s="1"/>
  <c r="G15" i="1" s="1"/>
  <c r="G16" i="1" s="1"/>
  <c r="F20" i="1"/>
  <c r="E20" i="1"/>
  <c r="F19" i="1"/>
  <c r="E19" i="1"/>
  <c r="D19" i="1"/>
  <c r="D20" i="1"/>
  <c r="N20" i="1" l="1"/>
  <c r="I20" i="1"/>
  <c r="L20" i="1"/>
  <c r="O20" i="1"/>
  <c r="K20" i="1"/>
  <c r="M20" i="1"/>
  <c r="J20" i="1"/>
  <c r="H13" i="1"/>
  <c r="H20" i="1"/>
  <c r="Q5" i="1"/>
  <c r="Q7" i="1" s="1"/>
  <c r="Q11" i="1" s="1"/>
  <c r="P7" i="1"/>
  <c r="P11" i="1" s="1"/>
  <c r="G19" i="1"/>
  <c r="G20" i="1"/>
  <c r="H14" i="1" l="1"/>
  <c r="H15" i="1" s="1"/>
  <c r="I13" i="1"/>
  <c r="P20" i="1"/>
  <c r="Q20" i="1"/>
  <c r="I14" i="1" l="1"/>
  <c r="I15" i="1" s="1"/>
  <c r="J13" i="1" l="1"/>
  <c r="J14" i="1" s="1"/>
  <c r="J15" i="1" s="1"/>
  <c r="I25" i="1"/>
  <c r="I27" i="1" s="1"/>
  <c r="I29" i="1" s="1"/>
  <c r="K13" i="1" l="1"/>
  <c r="K14" i="1" s="1"/>
  <c r="K15" i="1" s="1"/>
  <c r="J25" i="1"/>
  <c r="J27" i="1" s="1"/>
  <c r="J29" i="1" s="1"/>
  <c r="L13" i="1" l="1"/>
  <c r="L14" i="1" s="1"/>
  <c r="L15" i="1" s="1"/>
  <c r="K25" i="1"/>
  <c r="K27" i="1" s="1"/>
  <c r="K29" i="1" s="1"/>
  <c r="M13" i="1" l="1"/>
  <c r="M14" i="1" s="1"/>
  <c r="M15" i="1" s="1"/>
  <c r="L25" i="1"/>
  <c r="L27" i="1" s="1"/>
  <c r="L29" i="1" s="1"/>
  <c r="N13" i="1" l="1"/>
  <c r="N14" i="1" s="1"/>
  <c r="N15" i="1" s="1"/>
  <c r="M25" i="1"/>
  <c r="M27" i="1" s="1"/>
  <c r="M29" i="1" s="1"/>
  <c r="O13" i="1" l="1"/>
  <c r="O14" i="1" s="1"/>
  <c r="O15" i="1" s="1"/>
  <c r="N25" i="1"/>
  <c r="N27" i="1" s="1"/>
  <c r="N29" i="1" s="1"/>
  <c r="P13" i="1" l="1"/>
  <c r="P14" i="1" s="1"/>
  <c r="P15" i="1" s="1"/>
  <c r="O25" i="1"/>
  <c r="O27" i="1" s="1"/>
  <c r="O29" i="1" s="1"/>
  <c r="Q13" i="1" l="1"/>
  <c r="Q14" i="1" s="1"/>
  <c r="Q15" i="1" s="1"/>
  <c r="Q25" i="1" s="1"/>
  <c r="Q27" i="1" s="1"/>
  <c r="Q29" i="1" s="1"/>
  <c r="R29" i="1" s="1"/>
  <c r="S29" i="1" s="1"/>
  <c r="T29" i="1" s="1"/>
  <c r="U29" i="1" s="1"/>
  <c r="V29" i="1" s="1"/>
  <c r="W29" i="1" s="1"/>
  <c r="X29" i="1" s="1"/>
  <c r="Y29" i="1" s="1"/>
  <c r="Z29" i="1" s="1"/>
  <c r="AA29" i="1" s="1"/>
  <c r="AB29" i="1" s="1"/>
  <c r="AC29" i="1" s="1"/>
  <c r="AD29" i="1" s="1"/>
  <c r="AE29" i="1" s="1"/>
  <c r="AF29" i="1" s="1"/>
  <c r="AG29" i="1" s="1"/>
  <c r="AH29" i="1" s="1"/>
  <c r="AI29" i="1" s="1"/>
  <c r="AJ29" i="1" s="1"/>
  <c r="AK29" i="1" s="1"/>
  <c r="AL29" i="1" s="1"/>
  <c r="AM29" i="1" s="1"/>
  <c r="AN29" i="1" s="1"/>
  <c r="AO29" i="1" s="1"/>
  <c r="AP29" i="1" s="1"/>
  <c r="AQ29" i="1" s="1"/>
  <c r="AR29" i="1" s="1"/>
  <c r="AS29" i="1" s="1"/>
  <c r="AT29" i="1" s="1"/>
  <c r="AU29" i="1" s="1"/>
  <c r="AV29" i="1" s="1"/>
  <c r="AW29" i="1" s="1"/>
  <c r="AX29" i="1" s="1"/>
  <c r="AY29" i="1" s="1"/>
  <c r="AZ29" i="1" s="1"/>
  <c r="BA29" i="1" s="1"/>
  <c r="BB29" i="1" s="1"/>
  <c r="BC29" i="1" s="1"/>
  <c r="BD29" i="1" s="1"/>
  <c r="BE29" i="1" s="1"/>
  <c r="BF29" i="1" s="1"/>
  <c r="BG29" i="1" s="1"/>
  <c r="BH29" i="1" s="1"/>
  <c r="BI29" i="1" s="1"/>
  <c r="BJ29" i="1" s="1"/>
  <c r="BK29" i="1" s="1"/>
  <c r="BL29" i="1" s="1"/>
  <c r="BM29" i="1" s="1"/>
  <c r="BN29" i="1" s="1"/>
  <c r="BO29" i="1" s="1"/>
  <c r="BP29" i="1" s="1"/>
  <c r="BQ29" i="1" s="1"/>
  <c r="BR29" i="1" s="1"/>
  <c r="BS29" i="1" s="1"/>
  <c r="BT29" i="1" s="1"/>
  <c r="BU29" i="1" s="1"/>
  <c r="BV29" i="1" s="1"/>
  <c r="BW29" i="1" s="1"/>
  <c r="BX29" i="1" s="1"/>
  <c r="BY29" i="1" s="1"/>
  <c r="BZ29" i="1" s="1"/>
  <c r="CA29" i="1" s="1"/>
  <c r="CB29" i="1" s="1"/>
  <c r="CC29" i="1" s="1"/>
  <c r="CD29" i="1" s="1"/>
  <c r="CE29" i="1" s="1"/>
  <c r="CF29" i="1" s="1"/>
  <c r="CG29" i="1" s="1"/>
  <c r="CH29" i="1" s="1"/>
  <c r="CI29" i="1" s="1"/>
  <c r="CJ29" i="1" s="1"/>
  <c r="CK29" i="1" s="1"/>
  <c r="CL29" i="1" s="1"/>
  <c r="CM29" i="1" s="1"/>
  <c r="CN29" i="1" s="1"/>
  <c r="CO29" i="1" s="1"/>
  <c r="CP29" i="1" s="1"/>
  <c r="CQ29" i="1" s="1"/>
  <c r="CR29" i="1" s="1"/>
  <c r="CS29" i="1" s="1"/>
  <c r="CT29" i="1" s="1"/>
  <c r="CU29" i="1" s="1"/>
  <c r="CV29" i="1" s="1"/>
  <c r="CW29" i="1" s="1"/>
  <c r="CX29" i="1" s="1"/>
  <c r="CY29" i="1" s="1"/>
  <c r="CZ29" i="1" s="1"/>
  <c r="DA29" i="1" s="1"/>
  <c r="DB29" i="1" s="1"/>
  <c r="DC29" i="1" s="1"/>
  <c r="DD29" i="1" s="1"/>
  <c r="DE29" i="1" s="1"/>
  <c r="DF29" i="1" s="1"/>
  <c r="DG29" i="1" s="1"/>
  <c r="DH29" i="1" s="1"/>
  <c r="DI29" i="1" s="1"/>
  <c r="DJ29" i="1" s="1"/>
  <c r="DK29" i="1" s="1"/>
  <c r="DL29" i="1" s="1"/>
  <c r="DM29" i="1" s="1"/>
  <c r="DN29" i="1" s="1"/>
  <c r="DO29" i="1" s="1"/>
  <c r="DP29" i="1" s="1"/>
  <c r="DQ29" i="1" s="1"/>
  <c r="DR29" i="1" s="1"/>
  <c r="DS29" i="1" s="1"/>
  <c r="DT29" i="1" s="1"/>
  <c r="DU29" i="1" s="1"/>
  <c r="DV29" i="1" s="1"/>
  <c r="DW29" i="1" s="1"/>
  <c r="DX29" i="1" s="1"/>
  <c r="DY29" i="1" s="1"/>
  <c r="DZ29" i="1" s="1"/>
  <c r="EA29" i="1" s="1"/>
  <c r="EB29" i="1" s="1"/>
  <c r="EC29" i="1" s="1"/>
  <c r="ED29" i="1" s="1"/>
  <c r="EE29" i="1" s="1"/>
  <c r="EF29" i="1" s="1"/>
  <c r="EG29" i="1" s="1"/>
  <c r="EH29" i="1" s="1"/>
  <c r="EI29" i="1" s="1"/>
  <c r="EJ29" i="1" s="1"/>
  <c r="EK29" i="1" s="1"/>
  <c r="EL29" i="1" s="1"/>
  <c r="EM29" i="1" s="1"/>
  <c r="EN29" i="1" s="1"/>
  <c r="EO29" i="1" s="1"/>
  <c r="EP29" i="1" s="1"/>
  <c r="EQ29" i="1" s="1"/>
  <c r="ER29" i="1" s="1"/>
  <c r="T21" i="1" s="1"/>
  <c r="T23" i="1" s="1"/>
  <c r="T24" i="1" s="1"/>
  <c r="P25" i="1"/>
  <c r="P27" i="1" s="1"/>
  <c r="P29" i="1" s="1"/>
</calcChain>
</file>

<file path=xl/sharedStrings.xml><?xml version="1.0" encoding="utf-8"?>
<sst xmlns="http://schemas.openxmlformats.org/spreadsheetml/2006/main" count="44" uniqueCount="38">
  <si>
    <t>Revenue</t>
  </si>
  <si>
    <t>COGS</t>
  </si>
  <si>
    <t>Gross Profit</t>
  </si>
  <si>
    <t>R&amp;D</t>
  </si>
  <si>
    <t>S&amp;M</t>
  </si>
  <si>
    <t>G&amp;A</t>
  </si>
  <si>
    <t>Operating Income</t>
  </si>
  <si>
    <t>Finance, net</t>
  </si>
  <si>
    <t>Pretax</t>
  </si>
  <si>
    <t>Taxes</t>
  </si>
  <si>
    <t>Net Income</t>
  </si>
  <si>
    <t>Gross Margin</t>
  </si>
  <si>
    <t>Operating Margin</t>
  </si>
  <si>
    <t>CFFO</t>
  </si>
  <si>
    <t>CapEx</t>
  </si>
  <si>
    <t>FCF</t>
  </si>
  <si>
    <t>D&amp;A</t>
  </si>
  <si>
    <t>SBC</t>
  </si>
  <si>
    <t>Adj. FCF</t>
  </si>
  <si>
    <t>Shares</t>
  </si>
  <si>
    <t>EPS</t>
  </si>
  <si>
    <t>FCFF</t>
  </si>
  <si>
    <t>Price</t>
  </si>
  <si>
    <t>MC</t>
  </si>
  <si>
    <t>Net Cash</t>
  </si>
  <si>
    <t>EV</t>
  </si>
  <si>
    <t>Q3 25</t>
  </si>
  <si>
    <t>EV/FCF</t>
  </si>
  <si>
    <t>FCF Yield</t>
  </si>
  <si>
    <t>Cash</t>
  </si>
  <si>
    <t>Investments</t>
  </si>
  <si>
    <t>Total</t>
  </si>
  <si>
    <t>Yield</t>
  </si>
  <si>
    <t>Revenue Y/Y</t>
  </si>
  <si>
    <t>Discount</t>
  </si>
  <si>
    <t>Terminal</t>
  </si>
  <si>
    <t>NPV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</si>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</sst>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3" fontId="0" fillId="0" borderId="0" xfId="0" applyNumberFormat="1"/>
    <xf numFmtId="3" fontId="2" fillId="0" borderId="0" xfId="0" applyNumberFormat="1" applyFont="1"/>
    <xf numFmtId="9" fontId="0" fillId="0" borderId="0" xfId="1" applyFont="1"/>
    <xf numFmtId="4" fontId="0" fillId="0" borderId="0" xfId="0" applyNumberFormat="1"/>
    <xf numFmtId="164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5442</xdr:colOff>
      <xdr:row>3</xdr:row>
      <xdr:rowOff>76201</xdr:rowOff>
    </xdr:from>
    <xdr:to>
      <xdr:col>6</xdr:col>
      <xdr:colOff>16328</xdr:colOff>
      <xdr:row>26</xdr:row>
      <xdr:rowOff>5444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EA7F0E19-9DF2-0A28-94C7-33207B0CCFD4}"/>
            </a:ext>
          </a:extLst>
        </xdr:cNvPr>
        <xdr:cNvCxnSpPr/>
      </xdr:nvCxnSpPr>
      <xdr:spPr>
        <a:xfrm>
          <a:off x="3766456" y="647701"/>
          <a:ext cx="10886" cy="412024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D465D-FBAB-4759-8F2C-F96454E90374}">
  <dimension ref="C2:E10"/>
  <sheetViews>
    <sheetView zoomScale="175" zoomScaleNormal="175" workbookViewId="0">
      <selection activeCell="B22" sqref="B22"/>
    </sheetView>
  </sheetViews>
  <sheetFormatPr defaultRowHeight="15" x14ac:dyDescent="0.25"/>
  <sheetData>
    <row r="2" spans="3:5" x14ac:dyDescent="0.25">
      <c r="D2" s="1"/>
    </row>
    <row r="3" spans="3:5" x14ac:dyDescent="0.25">
      <c r="C3" t="s">
        <v>22</v>
      </c>
      <c r="D3" s="1">
        <v>96.39</v>
      </c>
    </row>
    <row r="4" spans="3:5" x14ac:dyDescent="0.25">
      <c r="C4" t="s">
        <v>19</v>
      </c>
      <c r="D4" s="1">
        <v>53264.485000000001</v>
      </c>
      <c r="E4" t="s">
        <v>26</v>
      </c>
    </row>
    <row r="5" spans="3:5" x14ac:dyDescent="0.25">
      <c r="C5" t="s">
        <v>23</v>
      </c>
      <c r="D5" s="1">
        <f>+D3*D4</f>
        <v>5134163.7091500005</v>
      </c>
    </row>
    <row r="6" spans="3:5" x14ac:dyDescent="0.25">
      <c r="C6" t="s">
        <v>24</v>
      </c>
      <c r="D6" s="1">
        <f>1527246+211740</f>
        <v>1738986</v>
      </c>
    </row>
    <row r="7" spans="3:5" x14ac:dyDescent="0.25">
      <c r="C7" t="s">
        <v>25</v>
      </c>
      <c r="D7" s="1">
        <f>+D5-D6</f>
        <v>3395177.7091500005</v>
      </c>
    </row>
    <row r="8" spans="3:5" x14ac:dyDescent="0.25">
      <c r="D8" s="1"/>
    </row>
    <row r="9" spans="3:5" x14ac:dyDescent="0.25">
      <c r="C9" t="s">
        <v>27</v>
      </c>
      <c r="D9" s="1">
        <f>+D7/Sheet1!G28</f>
        <v>21.222286654830732</v>
      </c>
    </row>
    <row r="10" spans="3:5" x14ac:dyDescent="0.25">
      <c r="C10" t="s">
        <v>28</v>
      </c>
      <c r="D10" s="3">
        <f>1/D9</f>
        <v>4.7120275786698723E-2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62B6B-891D-41DB-A5D4-E831CF028B61}">
  <dimension ref="B2:ER100"/>
  <sheetViews>
    <sheetView tabSelected="1" zoomScale="175" zoomScaleNormal="175" workbookViewId="0">
      <pane xSplit="2" ySplit="2" topLeftCell="D10" activePane="bottomRight" state="frozen"/>
      <selection pane="topRight" activeCell="C1" sqref="C1"/>
      <selection pane="bottomLeft" activeCell="A3" sqref="A3"/>
      <selection pane="bottomRight" activeCell="D21" sqref="D21"/>
    </sheetView>
  </sheetViews>
  <sheetFormatPr defaultRowHeight="15" x14ac:dyDescent="0.25"/>
  <cols>
    <col min="1" max="1" width="2.85546875" customWidth="1"/>
    <col min="2" max="2" width="17" bestFit="1" customWidth="1"/>
  </cols>
  <sheetData>
    <row r="2" spans="2:17" x14ac:dyDescent="0.25">
      <c r="D2">
        <v>2022</v>
      </c>
      <c r="E2">
        <f>+D2+1</f>
        <v>2023</v>
      </c>
      <c r="F2">
        <f t="shared" ref="F2:Q2" si="0">+E2+1</f>
        <v>2024</v>
      </c>
      <c r="G2">
        <f t="shared" si="0"/>
        <v>2025</v>
      </c>
      <c r="H2">
        <f t="shared" si="0"/>
        <v>2026</v>
      </c>
      <c r="I2">
        <f t="shared" si="0"/>
        <v>2027</v>
      </c>
      <c r="J2">
        <f t="shared" si="0"/>
        <v>2028</v>
      </c>
      <c r="K2">
        <f t="shared" si="0"/>
        <v>2029</v>
      </c>
      <c r="L2">
        <f t="shared" si="0"/>
        <v>2030</v>
      </c>
      <c r="M2">
        <f t="shared" si="0"/>
        <v>2031</v>
      </c>
      <c r="N2">
        <f t="shared" si="0"/>
        <v>2032</v>
      </c>
      <c r="O2">
        <f t="shared" si="0"/>
        <v>2033</v>
      </c>
      <c r="P2">
        <f t="shared" si="0"/>
        <v>2034</v>
      </c>
      <c r="Q2">
        <f t="shared" si="0"/>
        <v>2035</v>
      </c>
    </row>
    <row r="3" spans="2:17" s="1" customFormat="1" x14ac:dyDescent="0.25"/>
    <row r="4" spans="2:17" s="1" customFormat="1" x14ac:dyDescent="0.25">
      <c r="E4" s="4"/>
      <c r="F4" s="4"/>
      <c r="G4" s="4"/>
    </row>
    <row r="5" spans="2:17" s="2" customFormat="1" x14ac:dyDescent="0.25">
      <c r="B5" s="2" t="s">
        <v>0</v>
      </c>
      <c r="D5" s="2">
        <v>519029</v>
      </c>
      <c r="E5" s="2">
        <v>729695</v>
      </c>
      <c r="F5" s="2">
        <v>971995</v>
      </c>
      <c r="G5" s="2">
        <f>898119*1.33</f>
        <v>1194498.27</v>
      </c>
      <c r="H5" s="2">
        <f>+G5*1.18</f>
        <v>1409507.9586</v>
      </c>
      <c r="I5" s="2">
        <f>+H5*1.15</f>
        <v>1620934.1523899999</v>
      </c>
      <c r="J5" s="2">
        <f>+I5*1.12</f>
        <v>1815446.2506768</v>
      </c>
      <c r="K5" s="2">
        <f t="shared" ref="K5:L5" si="1">+J5*1.12</f>
        <v>2033299.8007580163</v>
      </c>
      <c r="L5" s="2">
        <f t="shared" si="1"/>
        <v>2277295.7768489784</v>
      </c>
      <c r="M5" s="2">
        <f>+L5*1.1</f>
        <v>2505025.3545338763</v>
      </c>
      <c r="N5" s="2">
        <f t="shared" ref="N5:Q5" si="2">+M5*1.1</f>
        <v>2755527.8899872643</v>
      </c>
      <c r="O5" s="2">
        <f t="shared" si="2"/>
        <v>3031080.678985991</v>
      </c>
      <c r="P5" s="2">
        <f t="shared" si="2"/>
        <v>3334188.7468845905</v>
      </c>
      <c r="Q5" s="2">
        <f t="shared" si="2"/>
        <v>3667607.62157305</v>
      </c>
    </row>
    <row r="6" spans="2:17" s="1" customFormat="1" x14ac:dyDescent="0.25">
      <c r="B6" s="1" t="s">
        <v>1</v>
      </c>
      <c r="D6" s="1">
        <v>66528</v>
      </c>
      <c r="E6" s="1">
        <v>80645</v>
      </c>
      <c r="F6" s="1">
        <v>103691</v>
      </c>
      <c r="G6" s="1">
        <f>95766*1.33</f>
        <v>127368.78000000001</v>
      </c>
      <c r="H6" s="1">
        <f>+H5*0.11</f>
        <v>155045.87544599999</v>
      </c>
      <c r="I6" s="1">
        <f t="shared" ref="I6:Q6" si="3">+I5*0.11</f>
        <v>178302.75676289998</v>
      </c>
      <c r="J6" s="1">
        <f t="shared" si="3"/>
        <v>199699.087574448</v>
      </c>
      <c r="K6" s="1">
        <f t="shared" si="3"/>
        <v>223662.97808338181</v>
      </c>
      <c r="L6" s="1">
        <f t="shared" si="3"/>
        <v>250502.53545338762</v>
      </c>
      <c r="M6" s="1">
        <f t="shared" si="3"/>
        <v>275552.78899872641</v>
      </c>
      <c r="N6" s="1">
        <f t="shared" si="3"/>
        <v>303108.06789859908</v>
      </c>
      <c r="O6" s="1">
        <f t="shared" si="3"/>
        <v>333418.87468845904</v>
      </c>
      <c r="P6" s="1">
        <f t="shared" si="3"/>
        <v>366760.76215730497</v>
      </c>
      <c r="Q6" s="1">
        <f t="shared" si="3"/>
        <v>403436.83837303548</v>
      </c>
    </row>
    <row r="7" spans="2:17" s="1" customFormat="1" x14ac:dyDescent="0.25">
      <c r="B7" s="1" t="s">
        <v>2</v>
      </c>
      <c r="D7" s="1">
        <f>+D5-D6</f>
        <v>452501</v>
      </c>
      <c r="E7" s="1">
        <f t="shared" ref="E7:H7" si="4">+E5-E6</f>
        <v>649050</v>
      </c>
      <c r="F7" s="1">
        <f t="shared" si="4"/>
        <v>868304</v>
      </c>
      <c r="G7" s="1">
        <f t="shared" si="4"/>
        <v>1067129.49</v>
      </c>
      <c r="H7" s="1">
        <f t="shared" si="4"/>
        <v>1254462.0831540001</v>
      </c>
      <c r="I7" s="1">
        <f t="shared" ref="I7" si="5">+I5-I6</f>
        <v>1442631.3956271</v>
      </c>
      <c r="J7" s="1">
        <f t="shared" ref="J7" si="6">+J5-J6</f>
        <v>1615747.1631023521</v>
      </c>
      <c r="K7" s="1">
        <f t="shared" ref="K7" si="7">+K5-K6</f>
        <v>1809636.8226746344</v>
      </c>
      <c r="L7" s="1">
        <f t="shared" ref="L7" si="8">+L5-L6</f>
        <v>2026793.2413955908</v>
      </c>
      <c r="M7" s="1">
        <f t="shared" ref="M7" si="9">+M5-M6</f>
        <v>2229472.56553515</v>
      </c>
      <c r="N7" s="1">
        <f t="shared" ref="N7" si="10">+N5-N6</f>
        <v>2452419.8220886653</v>
      </c>
      <c r="O7" s="1">
        <f t="shared" ref="O7" si="11">+O5-O6</f>
        <v>2697661.804297532</v>
      </c>
      <c r="P7" s="1">
        <f t="shared" ref="P7:Q7" si="12">+P5-P6</f>
        <v>2967427.9847272853</v>
      </c>
      <c r="Q7" s="1">
        <f t="shared" si="12"/>
        <v>3264170.7832000144</v>
      </c>
    </row>
    <row r="8" spans="2:17" s="1" customFormat="1" x14ac:dyDescent="0.25">
      <c r="B8" s="1" t="s">
        <v>3</v>
      </c>
      <c r="D8" s="1">
        <v>127047</v>
      </c>
      <c r="E8" s="1">
        <v>156500</v>
      </c>
      <c r="F8" s="1">
        <v>213709</v>
      </c>
      <c r="G8" s="1">
        <f>235877*1.33</f>
        <v>313716.41000000003</v>
      </c>
      <c r="H8" s="1">
        <f>+G8*(1+H21*2/3)</f>
        <v>351362.37920000002</v>
      </c>
      <c r="I8" s="1">
        <f t="shared" ref="I8:Q8" si="13">+H8*(1+I21*2/3)</f>
        <v>386498.61711999995</v>
      </c>
      <c r="J8" s="1">
        <f t="shared" si="13"/>
        <v>417418.5064896</v>
      </c>
      <c r="K8" s="1">
        <f t="shared" si="13"/>
        <v>450811.98700876802</v>
      </c>
      <c r="L8" s="1">
        <f t="shared" si="13"/>
        <v>486876.9459694695</v>
      </c>
      <c r="M8" s="1">
        <f t="shared" si="13"/>
        <v>519335.40903410077</v>
      </c>
      <c r="N8" s="1">
        <f t="shared" si="13"/>
        <v>553957.7696363742</v>
      </c>
      <c r="O8" s="1">
        <f t="shared" si="13"/>
        <v>590888.2876121325</v>
      </c>
      <c r="P8" s="1">
        <f t="shared" si="13"/>
        <v>630280.84011960798</v>
      </c>
      <c r="Q8" s="1">
        <f t="shared" si="13"/>
        <v>672299.56279424846</v>
      </c>
    </row>
    <row r="9" spans="2:17" s="1" customFormat="1" x14ac:dyDescent="0.25">
      <c r="B9" s="1" t="s">
        <v>4</v>
      </c>
      <c r="D9" s="1">
        <v>392068</v>
      </c>
      <c r="E9" s="1">
        <v>438402</v>
      </c>
      <c r="F9" s="1">
        <v>533539</v>
      </c>
      <c r="G9" s="1">
        <f>460118*1.33</f>
        <v>611956.94000000006</v>
      </c>
      <c r="H9" s="1">
        <f>+G9*(1+H21/2)</f>
        <v>667033.06459999993</v>
      </c>
      <c r="I9" s="1">
        <f t="shared" ref="I9:Q9" si="14">+H9*(1+I21/2)</f>
        <v>717060.54444499989</v>
      </c>
      <c r="J9" s="1">
        <f t="shared" si="14"/>
        <v>760084.17711169994</v>
      </c>
      <c r="K9" s="1">
        <f t="shared" si="14"/>
        <v>805689.22773840197</v>
      </c>
      <c r="L9" s="1">
        <f t="shared" si="14"/>
        <v>854030.5814027061</v>
      </c>
      <c r="M9" s="1">
        <f t="shared" si="14"/>
        <v>896732.11047284142</v>
      </c>
      <c r="N9" s="1">
        <f t="shared" si="14"/>
        <v>941568.71599648357</v>
      </c>
      <c r="O9" s="1">
        <f t="shared" si="14"/>
        <v>988647.15179630776</v>
      </c>
      <c r="P9" s="1">
        <f t="shared" si="14"/>
        <v>1038079.5093861232</v>
      </c>
      <c r="Q9" s="1">
        <f t="shared" si="14"/>
        <v>1089983.4848554293</v>
      </c>
    </row>
    <row r="10" spans="2:17" s="1" customFormat="1" x14ac:dyDescent="0.25">
      <c r="B10" s="1" t="s">
        <v>5</v>
      </c>
      <c r="D10" s="1">
        <v>85401</v>
      </c>
      <c r="E10" s="1">
        <v>92733</v>
      </c>
      <c r="F10" s="1">
        <v>142090</v>
      </c>
      <c r="G10" s="1">
        <f>110491*1.33</f>
        <v>146953.03</v>
      </c>
      <c r="H10" s="1">
        <f>+G10*1.04</f>
        <v>152831.15119999999</v>
      </c>
      <c r="I10" s="1">
        <f t="shared" ref="I10" si="15">+H10*1.04</f>
        <v>158944.39724799999</v>
      </c>
      <c r="J10" s="1">
        <f>+J5*0.09</f>
        <v>163390.16256091199</v>
      </c>
      <c r="K10" s="1">
        <f t="shared" ref="K10:Q10" si="16">+K5*0.09</f>
        <v>182996.98206822146</v>
      </c>
      <c r="L10" s="1">
        <f t="shared" si="16"/>
        <v>204956.61991640803</v>
      </c>
      <c r="M10" s="1">
        <f t="shared" si="16"/>
        <v>225452.28190804887</v>
      </c>
      <c r="N10" s="1">
        <f t="shared" si="16"/>
        <v>247997.51009885379</v>
      </c>
      <c r="O10" s="1">
        <f t="shared" si="16"/>
        <v>272797.26110873919</v>
      </c>
      <c r="P10" s="1">
        <f t="shared" si="16"/>
        <v>300076.9872196131</v>
      </c>
      <c r="Q10" s="1">
        <f t="shared" si="16"/>
        <v>330084.68594157451</v>
      </c>
    </row>
    <row r="11" spans="2:17" s="2" customFormat="1" x14ac:dyDescent="0.25">
      <c r="B11" s="2" t="s">
        <v>6</v>
      </c>
      <c r="D11" s="2">
        <f>+D7-D8-D9-D10</f>
        <v>-152015</v>
      </c>
      <c r="E11" s="2">
        <f t="shared" ref="E11:H11" si="17">+E7-E8-E9-E10</f>
        <v>-38585</v>
      </c>
      <c r="F11" s="2">
        <f t="shared" si="17"/>
        <v>-21034</v>
      </c>
      <c r="G11" s="2">
        <f t="shared" si="17"/>
        <v>-5496.8900000001013</v>
      </c>
      <c r="H11" s="2">
        <f t="shared" si="17"/>
        <v>83235.488154000108</v>
      </c>
      <c r="I11" s="2">
        <f t="shared" ref="I11" si="18">+I7-I8-I9-I10</f>
        <v>180127.83681410007</v>
      </c>
      <c r="J11" s="2">
        <f t="shared" ref="J11" si="19">+J7-J8-J9-J10</f>
        <v>274854.3169401401</v>
      </c>
      <c r="K11" s="2">
        <f t="shared" ref="K11" si="20">+K7-K8-K9-K10</f>
        <v>370138.62585924286</v>
      </c>
      <c r="L11" s="2">
        <f t="shared" ref="L11" si="21">+L7-L8-L9-L10</f>
        <v>480929.09410700732</v>
      </c>
      <c r="M11" s="2">
        <f t="shared" ref="M11" si="22">+M7-M8-M9-M10</f>
        <v>587952.76412015886</v>
      </c>
      <c r="N11" s="2">
        <f t="shared" ref="N11" si="23">+N7-N8-N9-N10</f>
        <v>708895.82635695371</v>
      </c>
      <c r="O11" s="2">
        <f t="shared" ref="O11" si="24">+O7-O8-O9-O10</f>
        <v>845329.10378035216</v>
      </c>
      <c r="P11" s="2">
        <f t="shared" ref="P11:Q11" si="25">+P7-P8-P9-P10</f>
        <v>998990.64800194092</v>
      </c>
      <c r="Q11" s="2">
        <f t="shared" si="25"/>
        <v>1171803.0496087619</v>
      </c>
    </row>
    <row r="12" spans="2:17" s="1" customFormat="1" x14ac:dyDescent="0.25">
      <c r="B12" s="1" t="s">
        <v>7</v>
      </c>
      <c r="D12" s="1">
        <v>22554</v>
      </c>
      <c r="E12" s="1">
        <v>41911</v>
      </c>
      <c r="F12" s="1">
        <v>55500</v>
      </c>
      <c r="G12" s="1">
        <f>47511*1.33</f>
        <v>63189.630000000005</v>
      </c>
    </row>
    <row r="13" spans="2:17" s="1" customFormat="1" x14ac:dyDescent="0.25">
      <c r="B13" s="1" t="s">
        <v>8</v>
      </c>
      <c r="D13" s="1">
        <f>+D11+D12</f>
        <v>-129461</v>
      </c>
      <c r="E13" s="1">
        <f t="shared" ref="E13:H13" si="26">+E11+E12</f>
        <v>3326</v>
      </c>
      <c r="F13" s="1">
        <f t="shared" si="26"/>
        <v>34466</v>
      </c>
      <c r="G13" s="1">
        <f t="shared" si="26"/>
        <v>57692.739999999903</v>
      </c>
      <c r="H13" s="1">
        <f t="shared" si="26"/>
        <v>83235.488154000108</v>
      </c>
      <c r="I13" s="1">
        <f t="shared" ref="I13" si="27">+I11+I12</f>
        <v>180127.83681410007</v>
      </c>
      <c r="J13" s="1">
        <f t="shared" ref="J13" si="28">+J11+J12</f>
        <v>274854.3169401401</v>
      </c>
      <c r="K13" s="1">
        <f t="shared" ref="K13" si="29">+K11+K12</f>
        <v>370138.62585924286</v>
      </c>
      <c r="L13" s="1">
        <f t="shared" ref="L13" si="30">+L11+L12</f>
        <v>480929.09410700732</v>
      </c>
      <c r="M13" s="1">
        <f t="shared" ref="M13" si="31">+M11+M12</f>
        <v>587952.76412015886</v>
      </c>
      <c r="N13" s="1">
        <f t="shared" ref="N13" si="32">+N11+N12</f>
        <v>708895.82635695371</v>
      </c>
      <c r="O13" s="1">
        <f t="shared" ref="O13" si="33">+O11+O12</f>
        <v>845329.10378035216</v>
      </c>
      <c r="P13" s="1">
        <f t="shared" ref="P13:Q13" si="34">+P11+P12</f>
        <v>998990.64800194092</v>
      </c>
      <c r="Q13" s="1">
        <f t="shared" si="34"/>
        <v>1171803.0496087619</v>
      </c>
    </row>
    <row r="14" spans="2:17" s="1" customFormat="1" x14ac:dyDescent="0.25">
      <c r="B14" s="1" t="s">
        <v>9</v>
      </c>
      <c r="D14" s="1">
        <v>7406</v>
      </c>
      <c r="E14" s="1">
        <v>5203</v>
      </c>
      <c r="F14" s="1">
        <v>2094</v>
      </c>
      <c r="G14" s="1">
        <f>1328*1.33</f>
        <v>1766.24</v>
      </c>
      <c r="H14" s="1">
        <f>+H13*0.2</f>
        <v>16647.097630800021</v>
      </c>
      <c r="I14" s="1">
        <f t="shared" ref="I14:Q14" si="35">+I13*0.2</f>
        <v>36025.567362820017</v>
      </c>
      <c r="J14" s="1">
        <f t="shared" si="35"/>
        <v>54970.863388028025</v>
      </c>
      <c r="K14" s="1">
        <f t="shared" si="35"/>
        <v>74027.725171848579</v>
      </c>
      <c r="L14" s="1">
        <f t="shared" si="35"/>
        <v>96185.818821401466</v>
      </c>
      <c r="M14" s="1">
        <f t="shared" si="35"/>
        <v>117590.55282403178</v>
      </c>
      <c r="N14" s="1">
        <f t="shared" si="35"/>
        <v>141779.16527139075</v>
      </c>
      <c r="O14" s="1">
        <f t="shared" si="35"/>
        <v>169065.82075607043</v>
      </c>
      <c r="P14" s="1">
        <f t="shared" si="35"/>
        <v>199798.1296003882</v>
      </c>
      <c r="Q14" s="1">
        <f t="shared" si="35"/>
        <v>234360.60992175239</v>
      </c>
    </row>
    <row r="15" spans="2:17" s="1" customFormat="1" x14ac:dyDescent="0.25">
      <c r="B15" s="1" t="s">
        <v>10</v>
      </c>
      <c r="D15" s="1">
        <f>+D13-D14</f>
        <v>-136867</v>
      </c>
      <c r="E15" s="1">
        <f t="shared" ref="E15:H15" si="36">+E13-E14</f>
        <v>-1877</v>
      </c>
      <c r="F15" s="1">
        <f t="shared" si="36"/>
        <v>32372</v>
      </c>
      <c r="G15" s="1">
        <f t="shared" si="36"/>
        <v>55926.499999999905</v>
      </c>
      <c r="H15" s="1">
        <f t="shared" si="36"/>
        <v>66588.390523200083</v>
      </c>
      <c r="I15" s="1">
        <f t="shared" ref="I15" si="37">+I13-I14</f>
        <v>144102.26945128007</v>
      </c>
      <c r="J15" s="1">
        <f t="shared" ref="J15" si="38">+J13-J14</f>
        <v>219883.45355211207</v>
      </c>
      <c r="K15" s="1">
        <f t="shared" ref="K15" si="39">+K13-K14</f>
        <v>296110.90068739431</v>
      </c>
      <c r="L15" s="1">
        <f t="shared" ref="L15" si="40">+L13-L14</f>
        <v>384743.27528560587</v>
      </c>
      <c r="M15" s="1">
        <f t="shared" ref="M15" si="41">+M13-M14</f>
        <v>470362.21129612706</v>
      </c>
      <c r="N15" s="1">
        <f t="shared" ref="N15" si="42">+N13-N14</f>
        <v>567116.66108556301</v>
      </c>
      <c r="O15" s="1">
        <f t="shared" ref="O15" si="43">+O13-O14</f>
        <v>676263.28302428173</v>
      </c>
      <c r="P15" s="1">
        <f t="shared" ref="P15:Q15" si="44">+P13-P14</f>
        <v>799192.51840155269</v>
      </c>
      <c r="Q15" s="1">
        <f t="shared" si="44"/>
        <v>937442.43968700955</v>
      </c>
    </row>
    <row r="16" spans="2:17" s="4" customFormat="1" x14ac:dyDescent="0.25">
      <c r="B16" s="4" t="s">
        <v>20</v>
      </c>
      <c r="E16" s="4">
        <f>+E15/E17</f>
        <v>-3.8807950432012919E-2</v>
      </c>
      <c r="F16" s="4">
        <f>+F15/F17</f>
        <v>0.61754082242046315</v>
      </c>
      <c r="G16" s="4">
        <f>+G15/G17</f>
        <v>1.0517359336324923</v>
      </c>
    </row>
    <row r="17" spans="2:148" s="1" customFormat="1" x14ac:dyDescent="0.25">
      <c r="B17" s="1" t="s">
        <v>19</v>
      </c>
      <c r="E17" s="1">
        <v>48366.377999999997</v>
      </c>
      <c r="F17" s="1">
        <v>52420.826000000001</v>
      </c>
      <c r="G17" s="1">
        <v>53175.42</v>
      </c>
    </row>
    <row r="18" spans="2:148" s="1" customFormat="1" x14ac:dyDescent="0.25"/>
    <row r="19" spans="2:148" s="3" customFormat="1" x14ac:dyDescent="0.25">
      <c r="B19" s="3" t="s">
        <v>11</v>
      </c>
      <c r="D19" s="3">
        <f>+D7/D5</f>
        <v>0.87182219105290837</v>
      </c>
      <c r="E19" s="3">
        <f t="shared" ref="E19:G19" si="45">+E7/E5</f>
        <v>0.88948122160628751</v>
      </c>
      <c r="F19" s="3">
        <f t="shared" si="45"/>
        <v>0.89332146770302312</v>
      </c>
      <c r="G19" s="3">
        <f t="shared" si="45"/>
        <v>0.89337047763158328</v>
      </c>
      <c r="H19" s="3">
        <f t="shared" ref="H19:Q19" si="46">+H7/H5</f>
        <v>0.89000000000000012</v>
      </c>
      <c r="I19" s="3">
        <f t="shared" si="46"/>
        <v>0.89</v>
      </c>
      <c r="J19" s="3">
        <f t="shared" si="46"/>
        <v>0.89</v>
      </c>
      <c r="K19" s="3">
        <f t="shared" si="46"/>
        <v>0.8899999999999999</v>
      </c>
      <c r="L19" s="3">
        <f t="shared" si="46"/>
        <v>0.89</v>
      </c>
      <c r="M19" s="3">
        <f t="shared" si="46"/>
        <v>0.89</v>
      </c>
      <c r="N19" s="3">
        <f t="shared" si="46"/>
        <v>0.89</v>
      </c>
      <c r="O19" s="3">
        <f t="shared" si="46"/>
        <v>0.89</v>
      </c>
      <c r="P19" s="3">
        <f t="shared" si="46"/>
        <v>0.8899999999999999</v>
      </c>
      <c r="Q19" s="3">
        <f t="shared" si="46"/>
        <v>0.89</v>
      </c>
      <c r="S19" s="3" t="s">
        <v>34</v>
      </c>
      <c r="T19" s="3">
        <v>0.1</v>
      </c>
    </row>
    <row r="20" spans="2:148" s="3" customFormat="1" x14ac:dyDescent="0.25">
      <c r="B20" s="3" t="s">
        <v>12</v>
      </c>
      <c r="D20" s="3">
        <f>+D11/D5</f>
        <v>-0.29288344196567051</v>
      </c>
      <c r="E20" s="3">
        <f t="shared" ref="E20:G20" si="47">+E11/E5</f>
        <v>-5.2878257354099997E-2</v>
      </c>
      <c r="F20" s="3">
        <f t="shared" si="47"/>
        <v>-2.164002901249492E-2</v>
      </c>
      <c r="G20" s="3">
        <f t="shared" si="47"/>
        <v>-4.6018400679643523E-3</v>
      </c>
      <c r="H20" s="3">
        <f t="shared" ref="H20:Q20" si="48">+H11/H5</f>
        <v>5.9052868517801151E-2</v>
      </c>
      <c r="I20" s="3">
        <f t="shared" si="48"/>
        <v>0.11112594336328165</v>
      </c>
      <c r="J20" s="3">
        <f t="shared" si="48"/>
        <v>0.1513976615048086</v>
      </c>
      <c r="K20" s="3">
        <f t="shared" si="48"/>
        <v>0.18203839184032516</v>
      </c>
      <c r="L20" s="3">
        <f t="shared" si="48"/>
        <v>0.21118429103331215</v>
      </c>
      <c r="M20" s="3">
        <f t="shared" si="48"/>
        <v>0.2347093066567234</v>
      </c>
      <c r="N20" s="3">
        <f t="shared" si="48"/>
        <v>0.25726316504828778</v>
      </c>
      <c r="O20" s="3">
        <f t="shared" si="48"/>
        <v>0.27888703512278207</v>
      </c>
      <c r="P20" s="3">
        <f t="shared" si="48"/>
        <v>0.29962030461994116</v>
      </c>
      <c r="Q20" s="3">
        <f t="shared" si="48"/>
        <v>0.31950065833546593</v>
      </c>
      <c r="S20" s="3" t="s">
        <v>35</v>
      </c>
      <c r="T20" s="3">
        <v>0.03</v>
      </c>
    </row>
    <row r="21" spans="2:148" s="3" customFormat="1" x14ac:dyDescent="0.25">
      <c r="B21" s="3" t="s">
        <v>33</v>
      </c>
      <c r="E21" s="3">
        <f>+E5/D5 -1</f>
        <v>0.4058848349514188</v>
      </c>
      <c r="F21" s="3">
        <f t="shared" ref="F21:G21" si="49">+F5/E5 -1</f>
        <v>0.33205654417256536</v>
      </c>
      <c r="G21" s="3">
        <f t="shared" si="49"/>
        <v>0.22891400675929408</v>
      </c>
      <c r="H21" s="3">
        <f t="shared" ref="H21:Q21" si="50">+H5/G5 -1</f>
        <v>0.17999999999999994</v>
      </c>
      <c r="I21" s="3">
        <f t="shared" si="50"/>
        <v>0.14999999999999991</v>
      </c>
      <c r="J21" s="3">
        <f t="shared" si="50"/>
        <v>0.12000000000000011</v>
      </c>
      <c r="K21" s="3">
        <f t="shared" si="50"/>
        <v>0.12000000000000011</v>
      </c>
      <c r="L21" s="3">
        <f t="shared" si="50"/>
        <v>0.12000000000000011</v>
      </c>
      <c r="M21" s="3">
        <f t="shared" si="50"/>
        <v>0.10000000000000009</v>
      </c>
      <c r="N21" s="3">
        <f t="shared" si="50"/>
        <v>0.10000000000000009</v>
      </c>
      <c r="O21" s="3">
        <f t="shared" si="50"/>
        <v>0.10000000000000009</v>
      </c>
      <c r="P21" s="3">
        <f t="shared" si="50"/>
        <v>0.10000000000000009</v>
      </c>
      <c r="Q21" s="3">
        <f t="shared" si="50"/>
        <v>0.10000000000000009</v>
      </c>
      <c r="S21" s="3" t="s">
        <v>36</v>
      </c>
      <c r="T21" s="1">
        <f>NPV(T19,H29:FC29)</f>
        <v>7475850.8583007082</v>
      </c>
    </row>
    <row r="22" spans="2:148" s="1" customFormat="1" x14ac:dyDescent="0.25">
      <c r="S22" s="1" t="s">
        <v>29</v>
      </c>
      <c r="T22" s="2">
        <f>+G33</f>
        <v>1738986</v>
      </c>
    </row>
    <row r="23" spans="2:148" s="1" customFormat="1" x14ac:dyDescent="0.25">
      <c r="B23" s="1" t="s">
        <v>16</v>
      </c>
      <c r="E23" s="1">
        <v>9023</v>
      </c>
      <c r="F23" s="1">
        <v>11858</v>
      </c>
      <c r="G23" s="1">
        <f>10125*1.33</f>
        <v>13466.25</v>
      </c>
      <c r="H23" s="1">
        <f>+G23*1.1</f>
        <v>14812.875000000002</v>
      </c>
      <c r="I23" s="1">
        <f t="shared" ref="I23:Q23" si="51">+H23*1.1</f>
        <v>16294.162500000004</v>
      </c>
      <c r="J23" s="1">
        <f t="shared" si="51"/>
        <v>17923.578750000004</v>
      </c>
      <c r="K23" s="1">
        <f t="shared" si="51"/>
        <v>19715.936625000006</v>
      </c>
      <c r="L23" s="1">
        <f t="shared" si="51"/>
        <v>21687.530287500009</v>
      </c>
      <c r="M23" s="1">
        <f t="shared" si="51"/>
        <v>23856.28331625001</v>
      </c>
      <c r="N23" s="1">
        <f t="shared" si="51"/>
        <v>26241.911647875015</v>
      </c>
      <c r="O23" s="1">
        <f t="shared" si="51"/>
        <v>28866.102812662517</v>
      </c>
      <c r="P23" s="1">
        <f t="shared" si="51"/>
        <v>31752.713093928771</v>
      </c>
      <c r="Q23" s="1">
        <f t="shared" si="51"/>
        <v>34927.98440332165</v>
      </c>
      <c r="S23" s="1" t="s">
        <v>37</v>
      </c>
      <c r="T23" s="1">
        <f>+T21+T22</f>
        <v>9214836.8583007082</v>
      </c>
    </row>
    <row r="24" spans="2:148" s="1" customFormat="1" x14ac:dyDescent="0.25">
      <c r="B24" s="1" t="s">
        <v>17</v>
      </c>
      <c r="E24" s="1">
        <v>100186</v>
      </c>
      <c r="F24" s="1">
        <v>129209</v>
      </c>
      <c r="G24" s="1">
        <f>137465*1.33</f>
        <v>182828.45</v>
      </c>
      <c r="S24" s="1" t="s">
        <v>22</v>
      </c>
      <c r="T24" s="1">
        <f>+T23/G17</f>
        <v>173.29128492639472</v>
      </c>
    </row>
    <row r="25" spans="2:148" s="2" customFormat="1" x14ac:dyDescent="0.25">
      <c r="B25" s="2" t="s">
        <v>13</v>
      </c>
      <c r="D25" s="2">
        <v>27138</v>
      </c>
      <c r="E25" s="2">
        <v>215404</v>
      </c>
      <c r="F25" s="2">
        <v>311065</v>
      </c>
      <c r="G25" s="2">
        <f>273951*1.33</f>
        <v>364354.83</v>
      </c>
      <c r="H25" s="2">
        <f>+H23+H15</f>
        <v>81401.265523200083</v>
      </c>
      <c r="I25" s="2">
        <f t="shared" ref="I25:Q25" si="52">+I23+I15</f>
        <v>160396.43195128007</v>
      </c>
      <c r="J25" s="2">
        <f t="shared" si="52"/>
        <v>237807.03230211209</v>
      </c>
      <c r="K25" s="2">
        <f t="shared" si="52"/>
        <v>315826.83731239435</v>
      </c>
      <c r="L25" s="2">
        <f t="shared" si="52"/>
        <v>406430.80557310587</v>
      </c>
      <c r="M25" s="2">
        <f t="shared" si="52"/>
        <v>494218.49461237708</v>
      </c>
      <c r="N25" s="2">
        <f t="shared" si="52"/>
        <v>593358.57273343799</v>
      </c>
      <c r="O25" s="2">
        <f t="shared" si="52"/>
        <v>705129.38583694422</v>
      </c>
      <c r="P25" s="2">
        <f t="shared" si="52"/>
        <v>830945.23149548145</v>
      </c>
      <c r="Q25" s="2">
        <f t="shared" si="52"/>
        <v>972370.42409033119</v>
      </c>
    </row>
    <row r="26" spans="2:148" s="1" customFormat="1" x14ac:dyDescent="0.25">
      <c r="B26" s="1" t="s">
        <v>14</v>
      </c>
      <c r="D26" s="1">
        <f>16003+2998</f>
        <v>19001</v>
      </c>
      <c r="E26" s="1">
        <f>7901+2558</f>
        <v>10459</v>
      </c>
      <c r="F26" s="1">
        <f>13211+2024</f>
        <v>15235</v>
      </c>
      <c r="G26" s="1">
        <f>13555*1.33+2644*1.33</f>
        <v>21544.670000000002</v>
      </c>
      <c r="H26" s="1">
        <f>+G26*1.1</f>
        <v>23699.137000000002</v>
      </c>
      <c r="I26" s="1">
        <f t="shared" ref="I26:Q26" si="53">+H26*1.1</f>
        <v>26069.050700000003</v>
      </c>
      <c r="J26" s="1">
        <f t="shared" si="53"/>
        <v>28675.955770000008</v>
      </c>
      <c r="K26" s="1">
        <f t="shared" si="53"/>
        <v>31543.551347000011</v>
      </c>
      <c r="L26" s="1">
        <f t="shared" si="53"/>
        <v>34697.906481700018</v>
      </c>
      <c r="M26" s="1">
        <f t="shared" si="53"/>
        <v>38167.697129870023</v>
      </c>
      <c r="N26" s="1">
        <f t="shared" si="53"/>
        <v>41984.466842857029</v>
      </c>
      <c r="O26" s="1">
        <f t="shared" si="53"/>
        <v>46182.913527142737</v>
      </c>
      <c r="P26" s="1">
        <f t="shared" si="53"/>
        <v>50801.204879857018</v>
      </c>
      <c r="Q26" s="1">
        <f t="shared" si="53"/>
        <v>55881.325367842721</v>
      </c>
    </row>
    <row r="27" spans="2:148" s="1" customFormat="1" x14ac:dyDescent="0.25">
      <c r="B27" s="1" t="s">
        <v>15</v>
      </c>
      <c r="D27" s="1">
        <f>+D25-D26</f>
        <v>8137</v>
      </c>
      <c r="E27" s="1">
        <f>+E25-E26</f>
        <v>204945</v>
      </c>
      <c r="F27" s="1">
        <f>+F25-F26</f>
        <v>295830</v>
      </c>
      <c r="G27" s="1">
        <f>+G25-G26</f>
        <v>342810.16000000003</v>
      </c>
      <c r="H27" s="1">
        <f>+H25-H26</f>
        <v>57702.128523200081</v>
      </c>
      <c r="I27" s="1">
        <f t="shared" ref="I27:Q27" si="54">+I25-I26</f>
        <v>134327.38125128008</v>
      </c>
      <c r="J27" s="1">
        <f t="shared" si="54"/>
        <v>209131.07653211209</v>
      </c>
      <c r="K27" s="1">
        <f t="shared" si="54"/>
        <v>284283.28596539435</v>
      </c>
      <c r="L27" s="1">
        <f t="shared" si="54"/>
        <v>371732.89909140585</v>
      </c>
      <c r="M27" s="1">
        <f t="shared" si="54"/>
        <v>456050.79748250707</v>
      </c>
      <c r="N27" s="1">
        <f t="shared" si="54"/>
        <v>551374.10589058092</v>
      </c>
      <c r="O27" s="1">
        <f t="shared" si="54"/>
        <v>658946.47230980149</v>
      </c>
      <c r="P27" s="1">
        <f t="shared" si="54"/>
        <v>780144.02661562443</v>
      </c>
      <c r="Q27" s="1">
        <f t="shared" si="54"/>
        <v>916489.0987224885</v>
      </c>
    </row>
    <row r="28" spans="2:148" s="1" customFormat="1" x14ac:dyDescent="0.25">
      <c r="B28" s="1" t="s">
        <v>18</v>
      </c>
      <c r="E28" s="1">
        <f>+E27-E24</f>
        <v>104759</v>
      </c>
      <c r="F28" s="1">
        <f>+F27-F24</f>
        <v>166621</v>
      </c>
      <c r="G28" s="1">
        <f>+G27-G24</f>
        <v>159981.71000000002</v>
      </c>
    </row>
    <row r="29" spans="2:148" s="1" customFormat="1" x14ac:dyDescent="0.25">
      <c r="B29" s="1" t="s">
        <v>21</v>
      </c>
      <c r="E29" s="1">
        <f>+E28-E12</f>
        <v>62848</v>
      </c>
      <c r="F29" s="1">
        <f>+F28-F12</f>
        <v>111121</v>
      </c>
      <c r="G29" s="1">
        <f>+G28-G12</f>
        <v>96792.080000000016</v>
      </c>
      <c r="H29" s="1">
        <f>+H27-H12</f>
        <v>57702.128523200081</v>
      </c>
      <c r="I29" s="1">
        <f t="shared" ref="I29:Q29" si="55">+I27-I12</f>
        <v>134327.38125128008</v>
      </c>
      <c r="J29" s="1">
        <f t="shared" si="55"/>
        <v>209131.07653211209</v>
      </c>
      <c r="K29" s="1">
        <f t="shared" si="55"/>
        <v>284283.28596539435</v>
      </c>
      <c r="L29" s="1">
        <f t="shared" si="55"/>
        <v>371732.89909140585</v>
      </c>
      <c r="M29" s="1">
        <f t="shared" si="55"/>
        <v>456050.79748250707</v>
      </c>
      <c r="N29" s="1">
        <f t="shared" si="55"/>
        <v>551374.10589058092</v>
      </c>
      <c r="O29" s="1">
        <f t="shared" si="55"/>
        <v>658946.47230980149</v>
      </c>
      <c r="P29" s="1">
        <f t="shared" si="55"/>
        <v>780144.02661562443</v>
      </c>
      <c r="Q29" s="1">
        <f t="shared" si="55"/>
        <v>916489.0987224885</v>
      </c>
      <c r="R29" s="1">
        <f>+Q29*(1+$T20)</f>
        <v>943983.77168416313</v>
      </c>
      <c r="S29" s="1">
        <f t="shared" ref="S29:CD29" si="56">+R29*(1+$T20)</f>
        <v>972303.28483468806</v>
      </c>
      <c r="T29" s="1">
        <f t="shared" si="56"/>
        <v>1001472.3833797288</v>
      </c>
      <c r="U29" s="1">
        <f t="shared" si="56"/>
        <v>1031516.5548811207</v>
      </c>
      <c r="V29" s="1">
        <f t="shared" si="56"/>
        <v>1062462.0515275544</v>
      </c>
      <c r="W29" s="1">
        <f t="shared" si="56"/>
        <v>1094335.9130733812</v>
      </c>
      <c r="X29" s="1">
        <f t="shared" si="56"/>
        <v>1127165.9904655826</v>
      </c>
      <c r="Y29" s="1">
        <f t="shared" si="56"/>
        <v>1160980.9701795501</v>
      </c>
      <c r="Z29" s="1">
        <f t="shared" si="56"/>
        <v>1195810.3992849367</v>
      </c>
      <c r="AA29" s="1">
        <f t="shared" si="56"/>
        <v>1231684.7112634848</v>
      </c>
      <c r="AB29" s="1">
        <f t="shared" si="56"/>
        <v>1268635.2526013893</v>
      </c>
      <c r="AC29" s="1">
        <f t="shared" si="56"/>
        <v>1306694.310179431</v>
      </c>
      <c r="AD29" s="1">
        <f t="shared" si="56"/>
        <v>1345895.1394848139</v>
      </c>
      <c r="AE29" s="1">
        <f t="shared" si="56"/>
        <v>1386271.9936693583</v>
      </c>
      <c r="AF29" s="1">
        <f t="shared" si="56"/>
        <v>1427860.1534794392</v>
      </c>
      <c r="AG29" s="1">
        <f t="shared" si="56"/>
        <v>1470695.9580838224</v>
      </c>
      <c r="AH29" s="1">
        <f t="shared" si="56"/>
        <v>1514816.836826337</v>
      </c>
      <c r="AI29" s="1">
        <f t="shared" si="56"/>
        <v>1560261.3419311272</v>
      </c>
      <c r="AJ29" s="1">
        <f t="shared" si="56"/>
        <v>1607069.1821890611</v>
      </c>
      <c r="AK29" s="1">
        <f t="shared" si="56"/>
        <v>1655281.257654733</v>
      </c>
      <c r="AL29" s="1">
        <f t="shared" si="56"/>
        <v>1704939.6953843751</v>
      </c>
      <c r="AM29" s="1">
        <f t="shared" si="56"/>
        <v>1756087.8862459064</v>
      </c>
      <c r="AN29" s="1">
        <f t="shared" si="56"/>
        <v>1808770.5228332835</v>
      </c>
      <c r="AO29" s="1">
        <f t="shared" si="56"/>
        <v>1863033.638518282</v>
      </c>
      <c r="AP29" s="1">
        <f t="shared" si="56"/>
        <v>1918924.6476738304</v>
      </c>
      <c r="AQ29" s="1">
        <f t="shared" si="56"/>
        <v>1976492.3871040454</v>
      </c>
      <c r="AR29" s="1">
        <f t="shared" si="56"/>
        <v>2035787.1587171669</v>
      </c>
      <c r="AS29" s="1">
        <f t="shared" si="56"/>
        <v>2096860.7734786819</v>
      </c>
      <c r="AT29" s="1">
        <f t="shared" si="56"/>
        <v>2159766.5966830426</v>
      </c>
      <c r="AU29" s="1">
        <f t="shared" si="56"/>
        <v>2224559.5945835337</v>
      </c>
      <c r="AV29" s="1">
        <f t="shared" si="56"/>
        <v>2291296.38242104</v>
      </c>
      <c r="AW29" s="1">
        <f t="shared" si="56"/>
        <v>2360035.2738936711</v>
      </c>
      <c r="AX29" s="1">
        <f t="shared" si="56"/>
        <v>2430836.3321104813</v>
      </c>
      <c r="AY29" s="1">
        <f t="shared" si="56"/>
        <v>2503761.4220737959</v>
      </c>
      <c r="AZ29" s="1">
        <f t="shared" si="56"/>
        <v>2578874.2647360098</v>
      </c>
      <c r="BA29" s="1">
        <f t="shared" si="56"/>
        <v>2656240.49267809</v>
      </c>
      <c r="BB29" s="1">
        <f t="shared" si="56"/>
        <v>2735927.7074584328</v>
      </c>
      <c r="BC29" s="1">
        <f t="shared" si="56"/>
        <v>2818005.538682186</v>
      </c>
      <c r="BD29" s="1">
        <f t="shared" si="56"/>
        <v>2902545.7048426517</v>
      </c>
      <c r="BE29" s="1">
        <f t="shared" si="56"/>
        <v>2989622.0759879313</v>
      </c>
      <c r="BF29" s="1">
        <f t="shared" si="56"/>
        <v>3079310.7382675693</v>
      </c>
      <c r="BG29" s="1">
        <f t="shared" si="56"/>
        <v>3171690.0604155967</v>
      </c>
      <c r="BH29" s="1">
        <f t="shared" si="56"/>
        <v>3266840.7622280647</v>
      </c>
      <c r="BI29" s="1">
        <f t="shared" si="56"/>
        <v>3364845.9850949068</v>
      </c>
      <c r="BJ29" s="1">
        <f t="shared" si="56"/>
        <v>3465791.364647754</v>
      </c>
      <c r="BK29" s="1">
        <f t="shared" si="56"/>
        <v>3569765.1055871868</v>
      </c>
      <c r="BL29" s="1">
        <f t="shared" si="56"/>
        <v>3676858.0587548027</v>
      </c>
      <c r="BM29" s="1">
        <f t="shared" si="56"/>
        <v>3787163.8005174468</v>
      </c>
      <c r="BN29" s="1">
        <f t="shared" si="56"/>
        <v>3900778.7145329705</v>
      </c>
      <c r="BO29" s="1">
        <f t="shared" si="56"/>
        <v>4017802.0759689598</v>
      </c>
      <c r="BP29" s="1">
        <f t="shared" si="56"/>
        <v>4138336.1382480287</v>
      </c>
      <c r="BQ29" s="1">
        <f t="shared" si="56"/>
        <v>4262486.2223954694</v>
      </c>
      <c r="BR29" s="1">
        <f t="shared" si="56"/>
        <v>4390360.809067334</v>
      </c>
      <c r="BS29" s="1">
        <f t="shared" si="56"/>
        <v>4522071.6333393538</v>
      </c>
      <c r="BT29" s="1">
        <f t="shared" si="56"/>
        <v>4657733.7823395347</v>
      </c>
      <c r="BU29" s="1">
        <f t="shared" si="56"/>
        <v>4797465.7958097206</v>
      </c>
      <c r="BV29" s="1">
        <f t="shared" si="56"/>
        <v>4941389.769684012</v>
      </c>
      <c r="BW29" s="1">
        <f t="shared" si="56"/>
        <v>5089631.4627745328</v>
      </c>
      <c r="BX29" s="1">
        <f t="shared" si="56"/>
        <v>5242320.4066577693</v>
      </c>
      <c r="BY29" s="1">
        <f t="shared" si="56"/>
        <v>5399590.0188575024</v>
      </c>
      <c r="BZ29" s="1">
        <f t="shared" si="56"/>
        <v>5561577.7194232279</v>
      </c>
      <c r="CA29" s="1">
        <f t="shared" si="56"/>
        <v>5728425.0510059251</v>
      </c>
      <c r="CB29" s="1">
        <f t="shared" si="56"/>
        <v>5900277.8025361029</v>
      </c>
      <c r="CC29" s="1">
        <f t="shared" si="56"/>
        <v>6077286.1366121862</v>
      </c>
      <c r="CD29" s="1">
        <f t="shared" si="56"/>
        <v>6259604.7207105523</v>
      </c>
      <c r="CE29" s="1">
        <f t="shared" ref="CE29:EP29" si="57">+CD29*(1+$T20)</f>
        <v>6447392.8623318691</v>
      </c>
      <c r="CF29" s="1">
        <f t="shared" si="57"/>
        <v>6640814.6482018251</v>
      </c>
      <c r="CG29" s="1">
        <f t="shared" si="57"/>
        <v>6840039.0876478804</v>
      </c>
      <c r="CH29" s="1">
        <f t="shared" si="57"/>
        <v>7045240.2602773169</v>
      </c>
      <c r="CI29" s="1">
        <f t="shared" si="57"/>
        <v>7256597.4680856364</v>
      </c>
      <c r="CJ29" s="1">
        <f t="shared" si="57"/>
        <v>7474295.3921282059</v>
      </c>
      <c r="CK29" s="1">
        <f t="shared" si="57"/>
        <v>7698524.253892052</v>
      </c>
      <c r="CL29" s="1">
        <f t="shared" si="57"/>
        <v>7929479.9815088138</v>
      </c>
      <c r="CM29" s="1">
        <f t="shared" si="57"/>
        <v>8167364.3809540784</v>
      </c>
      <c r="CN29" s="1">
        <f t="shared" si="57"/>
        <v>8412385.3123827018</v>
      </c>
      <c r="CO29" s="1">
        <f t="shared" si="57"/>
        <v>8664756.8717541825</v>
      </c>
      <c r="CP29" s="1">
        <f t="shared" si="57"/>
        <v>8924699.5779068079</v>
      </c>
      <c r="CQ29" s="1">
        <f t="shared" si="57"/>
        <v>9192440.5652440116</v>
      </c>
      <c r="CR29" s="1">
        <f t="shared" si="57"/>
        <v>9468213.782201333</v>
      </c>
      <c r="CS29" s="1">
        <f t="shared" si="57"/>
        <v>9752260.195667373</v>
      </c>
      <c r="CT29" s="1">
        <f t="shared" si="57"/>
        <v>10044828.001537394</v>
      </c>
      <c r="CU29" s="1">
        <f t="shared" si="57"/>
        <v>10346172.841583516</v>
      </c>
      <c r="CV29" s="1">
        <f t="shared" si="57"/>
        <v>10656558.026831022</v>
      </c>
      <c r="CW29" s="1">
        <f t="shared" si="57"/>
        <v>10976254.767635953</v>
      </c>
      <c r="CX29" s="1">
        <f t="shared" si="57"/>
        <v>11305542.410665032</v>
      </c>
      <c r="CY29" s="1">
        <f t="shared" si="57"/>
        <v>11644708.682984984</v>
      </c>
      <c r="CZ29" s="1">
        <f t="shared" si="57"/>
        <v>11994049.943474533</v>
      </c>
      <c r="DA29" s="1">
        <f t="shared" si="57"/>
        <v>12353871.44177877</v>
      </c>
      <c r="DB29" s="1">
        <f t="shared" si="57"/>
        <v>12724487.585032133</v>
      </c>
      <c r="DC29" s="1">
        <f t="shared" si="57"/>
        <v>13106222.212583099</v>
      </c>
      <c r="DD29" s="1">
        <f t="shared" si="57"/>
        <v>13499408.878960593</v>
      </c>
      <c r="DE29" s="1">
        <f t="shared" si="57"/>
        <v>13904391.14532941</v>
      </c>
      <c r="DF29" s="1">
        <f t="shared" si="57"/>
        <v>14321522.879689293</v>
      </c>
      <c r="DG29" s="1">
        <f t="shared" si="57"/>
        <v>14751168.566079972</v>
      </c>
      <c r="DH29" s="1">
        <f t="shared" si="57"/>
        <v>15193703.623062372</v>
      </c>
      <c r="DI29" s="1">
        <f t="shared" si="57"/>
        <v>15649514.731754243</v>
      </c>
      <c r="DJ29" s="1">
        <f t="shared" si="57"/>
        <v>16119000.173706871</v>
      </c>
      <c r="DK29" s="1">
        <f t="shared" si="57"/>
        <v>16602570.178918077</v>
      </c>
      <c r="DL29" s="1">
        <f t="shared" si="57"/>
        <v>17100647.28428562</v>
      </c>
      <c r="DM29" s="1">
        <f t="shared" si="57"/>
        <v>17613666.702814188</v>
      </c>
      <c r="DN29" s="1">
        <f t="shared" si="57"/>
        <v>18142076.703898612</v>
      </c>
      <c r="DO29" s="1">
        <f t="shared" si="57"/>
        <v>18686339.005015571</v>
      </c>
      <c r="DP29" s="1">
        <f t="shared" si="57"/>
        <v>19246929.175166037</v>
      </c>
      <c r="DQ29" s="1">
        <f t="shared" si="57"/>
        <v>19824337.050421018</v>
      </c>
      <c r="DR29" s="1">
        <f t="shared" si="57"/>
        <v>20419067.161933649</v>
      </c>
      <c r="DS29" s="1">
        <f t="shared" si="57"/>
        <v>21031639.17679166</v>
      </c>
      <c r="DT29" s="1">
        <f t="shared" si="57"/>
        <v>21662588.35209541</v>
      </c>
      <c r="DU29" s="1">
        <f t="shared" si="57"/>
        <v>22312466.002658274</v>
      </c>
      <c r="DV29" s="1">
        <f t="shared" si="57"/>
        <v>22981839.982738022</v>
      </c>
      <c r="DW29" s="1">
        <f t="shared" si="57"/>
        <v>23671295.182220165</v>
      </c>
      <c r="DX29" s="1">
        <f t="shared" si="57"/>
        <v>24381434.037686769</v>
      </c>
      <c r="DY29" s="1">
        <f t="shared" si="57"/>
        <v>25112877.058817372</v>
      </c>
      <c r="DZ29" s="1">
        <f t="shared" si="57"/>
        <v>25866263.370581895</v>
      </c>
      <c r="EA29" s="1">
        <f t="shared" si="57"/>
        <v>26642251.271699354</v>
      </c>
      <c r="EB29" s="1">
        <f t="shared" si="57"/>
        <v>27441518.809850335</v>
      </c>
      <c r="EC29" s="1">
        <f t="shared" si="57"/>
        <v>28264764.374145847</v>
      </c>
      <c r="ED29" s="1">
        <f t="shared" si="57"/>
        <v>29112707.305370223</v>
      </c>
      <c r="EE29" s="1">
        <f t="shared" si="57"/>
        <v>29986088.524531331</v>
      </c>
      <c r="EF29" s="1">
        <f t="shared" si="57"/>
        <v>30885671.180267271</v>
      </c>
      <c r="EG29" s="1">
        <f t="shared" si="57"/>
        <v>31812241.315675288</v>
      </c>
      <c r="EH29" s="1">
        <f t="shared" si="57"/>
        <v>32766608.555145547</v>
      </c>
      <c r="EI29" s="1">
        <f t="shared" si="57"/>
        <v>33749606.811799914</v>
      </c>
      <c r="EJ29" s="1">
        <f t="shared" si="57"/>
        <v>34762095.016153909</v>
      </c>
      <c r="EK29" s="1">
        <f t="shared" si="57"/>
        <v>35804957.866638526</v>
      </c>
      <c r="EL29" s="1">
        <f t="shared" si="57"/>
        <v>36879106.602637686</v>
      </c>
      <c r="EM29" s="1">
        <f t="shared" si="57"/>
        <v>37985479.800716817</v>
      </c>
      <c r="EN29" s="1">
        <f t="shared" si="57"/>
        <v>39125044.194738321</v>
      </c>
      <c r="EO29" s="1">
        <f t="shared" si="57"/>
        <v>40298795.520580471</v>
      </c>
      <c r="EP29" s="1">
        <f t="shared" si="57"/>
        <v>41507759.386197887</v>
      </c>
      <c r="EQ29" s="1">
        <f t="shared" ref="EQ29:ER29" si="58">+EP29*(1+$T20)</f>
        <v>42752992.167783827</v>
      </c>
      <c r="ER29" s="1">
        <f t="shared" si="58"/>
        <v>44035581.93281734</v>
      </c>
    </row>
    <row r="30" spans="2:148" s="1" customFormat="1" x14ac:dyDescent="0.25"/>
    <row r="31" spans="2:148" s="1" customFormat="1" x14ac:dyDescent="0.25">
      <c r="B31" s="1" t="s">
        <v>29</v>
      </c>
      <c r="E31" s="1">
        <v>1116128</v>
      </c>
      <c r="F31" s="1">
        <v>1411602</v>
      </c>
      <c r="G31" s="1">
        <v>1527246</v>
      </c>
    </row>
    <row r="32" spans="2:148" s="1" customFormat="1" x14ac:dyDescent="0.25">
      <c r="B32" s="1" t="s">
        <v>30</v>
      </c>
      <c r="F32" s="1">
        <v>50004</v>
      </c>
      <c r="G32" s="1">
        <v>211740</v>
      </c>
    </row>
    <row r="33" spans="2:17" s="1" customFormat="1" x14ac:dyDescent="0.25">
      <c r="B33" s="1" t="s">
        <v>31</v>
      </c>
      <c r="E33" s="1">
        <f>+E31+E32</f>
        <v>1116128</v>
      </c>
      <c r="F33" s="1">
        <f>+F31+F32</f>
        <v>1461606</v>
      </c>
      <c r="G33" s="1">
        <f>+G31+G32</f>
        <v>1738986</v>
      </c>
    </row>
    <row r="34" spans="2:17" s="5" customFormat="1" x14ac:dyDescent="0.25">
      <c r="B34" s="5" t="s">
        <v>32</v>
      </c>
      <c r="E34" s="5">
        <f>+E12/E33</f>
        <v>3.7550352647724994E-2</v>
      </c>
      <c r="F34" s="5">
        <f t="shared" ref="F34:G34" si="59">+F12/F33</f>
        <v>3.797192950767854E-2</v>
      </c>
      <c r="G34" s="5">
        <f t="shared" si="59"/>
        <v>3.6337055042421275E-2</v>
      </c>
    </row>
    <row r="35" spans="2:17" s="1" customFormat="1" x14ac:dyDescent="0.25"/>
    <row r="36" spans="2:17" s="3" customFormat="1" x14ac:dyDescent="0.25">
      <c r="B36" s="3" t="s">
        <v>3</v>
      </c>
      <c r="D36" s="3">
        <f>+D8/D$5</f>
        <v>0.24477823011816296</v>
      </c>
      <c r="E36" s="3">
        <f t="shared" ref="E36:G36" si="60">+E8/E$5</f>
        <v>0.21447317029717897</v>
      </c>
      <c r="F36" s="3">
        <f t="shared" si="60"/>
        <v>0.21986635733722909</v>
      </c>
      <c r="G36" s="3">
        <f t="shared" si="60"/>
        <v>0.26263446158025833</v>
      </c>
      <c r="H36" s="3">
        <f t="shared" ref="H36:Q36" si="61">+H8/H$5</f>
        <v>0.249280166923635</v>
      </c>
      <c r="I36" s="3">
        <f t="shared" si="61"/>
        <v>0.23844189879652042</v>
      </c>
      <c r="J36" s="3">
        <f t="shared" si="61"/>
        <v>0.2299261166966447</v>
      </c>
      <c r="K36" s="3">
        <f t="shared" si="61"/>
        <v>0.2217144696717645</v>
      </c>
      <c r="L36" s="3">
        <f t="shared" si="61"/>
        <v>0.21379609575491579</v>
      </c>
      <c r="M36" s="3">
        <f t="shared" si="61"/>
        <v>0.20731742618658497</v>
      </c>
      <c r="N36" s="3">
        <f t="shared" si="61"/>
        <v>0.20103507993850664</v>
      </c>
      <c r="O36" s="3">
        <f t="shared" si="61"/>
        <v>0.19494310781915794</v>
      </c>
      <c r="P36" s="3">
        <f t="shared" si="61"/>
        <v>0.18903574091554706</v>
      </c>
      <c r="Q36" s="3">
        <f t="shared" si="61"/>
        <v>0.18330738513022743</v>
      </c>
    </row>
    <row r="37" spans="2:17" s="3" customFormat="1" x14ac:dyDescent="0.25">
      <c r="B37" s="3" t="s">
        <v>4</v>
      </c>
      <c r="D37" s="3">
        <f t="shared" ref="D37:G38" si="62">+D9/D$5</f>
        <v>0.75538746389893441</v>
      </c>
      <c r="E37" s="3">
        <f t="shared" si="62"/>
        <v>0.60080170482187767</v>
      </c>
      <c r="F37" s="3">
        <f t="shared" si="62"/>
        <v>0.54891125983158351</v>
      </c>
      <c r="G37" s="3">
        <f t="shared" si="62"/>
        <v>0.51231295630089113</v>
      </c>
      <c r="H37" s="3">
        <f t="shared" ref="H37:Q37" si="63">+H9/H$5</f>
        <v>0.47323823929489084</v>
      </c>
      <c r="I37" s="3">
        <f t="shared" si="63"/>
        <v>0.44237487586261537</v>
      </c>
      <c r="J37" s="3">
        <f t="shared" si="63"/>
        <v>0.41867622179854669</v>
      </c>
      <c r="K37" s="3">
        <f t="shared" si="63"/>
        <v>0.39624713848791021</v>
      </c>
      <c r="L37" s="3">
        <f t="shared" si="63"/>
        <v>0.37501961321177218</v>
      </c>
      <c r="M37" s="3">
        <f t="shared" si="63"/>
        <v>0.35797326715669159</v>
      </c>
      <c r="N37" s="3">
        <f t="shared" si="63"/>
        <v>0.3417017550132056</v>
      </c>
      <c r="O37" s="3">
        <f t="shared" si="63"/>
        <v>0.3261698570580599</v>
      </c>
      <c r="P37" s="3">
        <f t="shared" si="63"/>
        <v>0.31134395446451169</v>
      </c>
      <c r="Q37" s="3">
        <f t="shared" si="63"/>
        <v>0.29719195653430652</v>
      </c>
    </row>
    <row r="38" spans="2:17" s="3" customFormat="1" x14ac:dyDescent="0.25">
      <c r="B38" s="3" t="s">
        <v>5</v>
      </c>
      <c r="D38" s="3">
        <f t="shared" si="62"/>
        <v>0.16453993900148162</v>
      </c>
      <c r="E38" s="3">
        <f t="shared" si="62"/>
        <v>0.12708460384133097</v>
      </c>
      <c r="F38" s="3">
        <f t="shared" si="62"/>
        <v>0.14618387954670548</v>
      </c>
      <c r="G38" s="3">
        <f t="shared" si="62"/>
        <v>0.12302489981839823</v>
      </c>
      <c r="H38" s="3">
        <f t="shared" ref="H38:Q38" si="64">+H10/H$5</f>
        <v>0.108428725263673</v>
      </c>
      <c r="I38" s="3">
        <f t="shared" si="64"/>
        <v>9.8057281977582553E-2</v>
      </c>
      <c r="J38" s="3">
        <f t="shared" si="64"/>
        <v>0.09</v>
      </c>
      <c r="K38" s="3">
        <f t="shared" si="64"/>
        <v>0.09</v>
      </c>
      <c r="L38" s="3">
        <f t="shared" si="64"/>
        <v>0.09</v>
      </c>
      <c r="M38" s="3">
        <f t="shared" si="64"/>
        <v>0.09</v>
      </c>
      <c r="N38" s="3">
        <f t="shared" si="64"/>
        <v>0.09</v>
      </c>
      <c r="O38" s="3">
        <f t="shared" si="64"/>
        <v>0.09</v>
      </c>
      <c r="P38" s="3">
        <f t="shared" si="64"/>
        <v>8.9999999999999983E-2</v>
      </c>
      <c r="Q38" s="3">
        <f t="shared" si="64"/>
        <v>0.09</v>
      </c>
    </row>
    <row r="39" spans="2:17" s="1" customFormat="1" x14ac:dyDescent="0.25"/>
    <row r="40" spans="2:17" s="1" customFormat="1" x14ac:dyDescent="0.25"/>
    <row r="41" spans="2:17" s="1" customFormat="1" x14ac:dyDescent="0.25"/>
    <row r="42" spans="2:17" s="1" customFormat="1" x14ac:dyDescent="0.25"/>
    <row r="43" spans="2:17" s="1" customFormat="1" x14ac:dyDescent="0.25"/>
    <row r="44" spans="2:17" s="1" customFormat="1" x14ac:dyDescent="0.25"/>
    <row r="45" spans="2:17" s="1" customFormat="1" x14ac:dyDescent="0.25"/>
    <row r="46" spans="2:17" s="1" customFormat="1" x14ac:dyDescent="0.25"/>
    <row r="47" spans="2:17" s="1" customFormat="1" x14ac:dyDescent="0.25"/>
    <row r="48" spans="2:17" s="1" customFormat="1" x14ac:dyDescent="0.25"/>
    <row r="49" s="1" customFormat="1" x14ac:dyDescent="0.25"/>
    <row r="50" s="1" customFormat="1" x14ac:dyDescent="0.25"/>
    <row r="51" s="1" customFormat="1" x14ac:dyDescent="0.25"/>
    <row r="52" s="1" customFormat="1" x14ac:dyDescent="0.25"/>
    <row r="53" s="1" customFormat="1" x14ac:dyDescent="0.25"/>
    <row r="54" s="1" customFormat="1" x14ac:dyDescent="0.25"/>
    <row r="55" s="1" customFormat="1" x14ac:dyDescent="0.25"/>
    <row r="56" s="1" customFormat="1" x14ac:dyDescent="0.25"/>
    <row r="57" s="1" customFormat="1" x14ac:dyDescent="0.25"/>
    <row r="58" s="1" customFormat="1" x14ac:dyDescent="0.25"/>
    <row r="59" s="1" customFormat="1" x14ac:dyDescent="0.25"/>
    <row r="60" s="1" customFormat="1" x14ac:dyDescent="0.25"/>
    <row r="61" s="1" customFormat="1" x14ac:dyDescent="0.25"/>
    <row r="62" s="1" customFormat="1" x14ac:dyDescent="0.25"/>
    <row r="63" s="1" customFormat="1" x14ac:dyDescent="0.25"/>
    <row r="64" s="1" customFormat="1" x14ac:dyDescent="0.25"/>
    <row r="65" s="1" customFormat="1" x14ac:dyDescent="0.25"/>
    <row r="66" s="1" customFormat="1" x14ac:dyDescent="0.25"/>
    <row r="67" s="1" customFormat="1" x14ac:dyDescent="0.25"/>
    <row r="68" s="1" customFormat="1" x14ac:dyDescent="0.25"/>
    <row r="69" s="1" customFormat="1" x14ac:dyDescent="0.25"/>
    <row r="70" s="1" customFormat="1" x14ac:dyDescent="0.25"/>
    <row r="71" s="1" customFormat="1" x14ac:dyDescent="0.25"/>
    <row r="72" s="1" customFormat="1" x14ac:dyDescent="0.25"/>
    <row r="73" s="1" customFormat="1" x14ac:dyDescent="0.25"/>
    <row r="74" s="1" customFormat="1" x14ac:dyDescent="0.25"/>
    <row r="75" s="1" customFormat="1" x14ac:dyDescent="0.25"/>
    <row r="76" s="1" customFormat="1" x14ac:dyDescent="0.25"/>
    <row r="77" s="1" customFormat="1" x14ac:dyDescent="0.25"/>
    <row r="78" s="1" customFormat="1" x14ac:dyDescent="0.25"/>
    <row r="79" s="1" customFormat="1" x14ac:dyDescent="0.25"/>
    <row r="80" s="1" customFormat="1" x14ac:dyDescent="0.25"/>
    <row r="81" s="1" customFormat="1" x14ac:dyDescent="0.25"/>
    <row r="82" s="1" customFormat="1" x14ac:dyDescent="0.25"/>
    <row r="83" s="1" customFormat="1" x14ac:dyDescent="0.25"/>
    <row r="84" s="1" customFormat="1" x14ac:dyDescent="0.25"/>
    <row r="85" s="1" customFormat="1" x14ac:dyDescent="0.25"/>
    <row r="86" s="1" customFormat="1" x14ac:dyDescent="0.25"/>
    <row r="87" s="1" customFormat="1" x14ac:dyDescent="0.25"/>
    <row r="88" s="1" customFormat="1" x14ac:dyDescent="0.25"/>
    <row r="89" s="1" customFormat="1" x14ac:dyDescent="0.25"/>
    <row r="90" s="1" customFormat="1" x14ac:dyDescent="0.25"/>
    <row r="91" s="1" customFormat="1" x14ac:dyDescent="0.25"/>
    <row r="92" s="1" customFormat="1" x14ac:dyDescent="0.25"/>
    <row r="93" s="1" customFormat="1" x14ac:dyDescent="0.25"/>
    <row r="94" s="1" customFormat="1" x14ac:dyDescent="0.25"/>
    <row r="95" s="1" customFormat="1" x14ac:dyDescent="0.25"/>
    <row r="96" s="1" customFormat="1" x14ac:dyDescent="0.25"/>
    <row r="97" s="1" customFormat="1" x14ac:dyDescent="0.25"/>
    <row r="98" s="1" customFormat="1" x14ac:dyDescent="0.25"/>
    <row r="99" s="1" customFormat="1" x14ac:dyDescent="0.25"/>
    <row r="100" s="1" customFormat="1" x14ac:dyDescent="0.25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Kutzer Maximilian Claudius</dc:creator>
  <cp:lastModifiedBy>Kutzer Maximilian Claudius</cp:lastModifiedBy>
  <dcterms:created xsi:type="dcterms:W3CDTF">2026-02-06T17:30:40Z</dcterms:created>
  <dcterms:modified xsi:type="dcterms:W3CDTF">2026-02-11T15:10:59Z</dcterms:modified>
</cp:coreProperties>
</file>