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6E8062C-BC26-4049-B005-808B0D0FFEDC}" xr6:coauthVersionLast="47" xr6:coauthVersionMax="47" xr10:uidLastSave="{00000000-0000-0000-0000-000000000000}"/>
  <bookViews>
    <workbookView xWindow="-120" yWindow="-120" windowWidth="29040" windowHeight="15840" activeTab="1" xr2:uid="{8646E6D3-BFFD-478A-BC8F-BF7CEEABD423}"/>
  </bookViews>
  <sheets>
    <sheet name="Sheet1" sheetId="1" r:id="rId1"/>
    <sheet name="Sheet2" sheetId="2" r:id="rId2"/>
  </sheets>
  <definedNames>
    <definedName name="Price">Sheet1!$D$8</definedName>
    <definedName name="Shares">Sheet1!$D$9</definedName>
    <definedName name="TR">Sheet2!$V$38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1" i="2" l="1"/>
  <c r="V40" i="2"/>
  <c r="V45" i="2"/>
  <c r="U6" i="2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T6" i="2"/>
  <c r="I8" i="2"/>
  <c r="J8" i="2"/>
  <c r="K8" i="2"/>
  <c r="L8" i="2"/>
  <c r="M8" i="2"/>
  <c r="N8" i="2"/>
  <c r="O8" i="2"/>
  <c r="P8" i="2"/>
  <c r="Q8" i="2"/>
  <c r="R8" i="2"/>
  <c r="S8" i="2"/>
  <c r="H8" i="2"/>
  <c r="I6" i="2"/>
  <c r="J6" i="2"/>
  <c r="K6" i="2"/>
  <c r="L6" i="2"/>
  <c r="M6" i="2"/>
  <c r="N6" i="2"/>
  <c r="O6" i="2"/>
  <c r="P6" i="2"/>
  <c r="Q6" i="2"/>
  <c r="R6" i="2"/>
  <c r="S6" i="2"/>
  <c r="H6" i="2"/>
  <c r="I5" i="2"/>
  <c r="J5" i="2"/>
  <c r="K5" i="2"/>
  <c r="L5" i="2"/>
  <c r="M5" i="2"/>
  <c r="N5" i="2"/>
  <c r="O5" i="2"/>
  <c r="P5" i="2"/>
  <c r="Q5" i="2"/>
  <c r="R5" i="2"/>
  <c r="S5" i="2"/>
  <c r="H5" i="2"/>
  <c r="J7" i="2"/>
  <c r="K7" i="2" s="1"/>
  <c r="L7" i="2" s="1"/>
  <c r="M7" i="2" s="1"/>
  <c r="N7" i="2" s="1"/>
  <c r="O7" i="2" s="1"/>
  <c r="P7" i="2" s="1"/>
  <c r="Q7" i="2" s="1"/>
  <c r="R7" i="2" s="1"/>
  <c r="S7" i="2" s="1"/>
  <c r="F7" i="2"/>
  <c r="G7" i="2"/>
  <c r="C8" i="2"/>
  <c r="D8" i="2"/>
  <c r="E8" i="2"/>
  <c r="F8" i="2"/>
  <c r="G8" i="2"/>
  <c r="C6" i="2"/>
  <c r="D6" i="2"/>
  <c r="E6" i="2"/>
  <c r="F6" i="2"/>
  <c r="G6" i="2"/>
  <c r="G48" i="2"/>
  <c r="H32" i="2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F10" i="2"/>
  <c r="G10" i="2"/>
  <c r="G13" i="2"/>
  <c r="H13" i="2" s="1"/>
  <c r="E12" i="2"/>
  <c r="F12" i="2"/>
  <c r="G12" i="2"/>
  <c r="F32" i="2"/>
  <c r="F26" i="2"/>
  <c r="F30" i="2" s="1"/>
  <c r="F45" i="2" s="1"/>
  <c r="G26" i="2"/>
  <c r="G30" i="2" s="1"/>
  <c r="G45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S27" i="1"/>
  <c r="S26" i="1"/>
  <c r="S25" i="1"/>
  <c r="S24" i="1"/>
  <c r="S23" i="1"/>
  <c r="T27" i="1"/>
  <c r="T26" i="1"/>
  <c r="T25" i="1"/>
  <c r="T24" i="1"/>
  <c r="T23" i="1"/>
  <c r="T32" i="1"/>
  <c r="S32" i="1"/>
  <c r="K3" i="1"/>
  <c r="J3" i="1"/>
  <c r="H3" i="1"/>
  <c r="Q4" i="1"/>
  <c r="R4" i="1" s="1"/>
  <c r="S4" i="1" s="1"/>
  <c r="T4" i="1" s="1"/>
  <c r="K22" i="1"/>
  <c r="J22" i="1"/>
  <c r="H22" i="1"/>
  <c r="M5" i="1"/>
  <c r="M6" i="1"/>
  <c r="M7" i="1"/>
  <c r="M8" i="1"/>
  <c r="M11" i="1"/>
  <c r="M14" i="1"/>
  <c r="M17" i="1"/>
  <c r="M20" i="1"/>
  <c r="M4" i="1"/>
  <c r="I8" i="1"/>
  <c r="I7" i="1"/>
  <c r="I6" i="1"/>
  <c r="L6" i="1" s="1"/>
  <c r="I5" i="1"/>
  <c r="L5" i="1" s="1"/>
  <c r="I4" i="1"/>
  <c r="L4" i="1" s="1"/>
  <c r="I13" i="2" l="1"/>
  <c r="H16" i="2"/>
  <c r="H23" i="2" s="1"/>
  <c r="F39" i="2"/>
  <c r="G39" i="2"/>
  <c r="G27" i="2"/>
  <c r="G42" i="2" s="1"/>
  <c r="G28" i="2"/>
  <c r="G43" i="2" s="1"/>
  <c r="G29" i="2"/>
  <c r="G44" i="2" s="1"/>
  <c r="F27" i="2"/>
  <c r="F42" i="2" s="1"/>
  <c r="F28" i="2"/>
  <c r="F43" i="2" s="1"/>
  <c r="F29" i="2"/>
  <c r="L22" i="1"/>
  <c r="I3" i="1"/>
  <c r="M22" i="1"/>
  <c r="L3" i="1"/>
  <c r="M3" i="1"/>
  <c r="I22" i="1"/>
  <c r="F31" i="2" l="1"/>
  <c r="F33" i="2" s="1"/>
  <c r="F34" i="2" s="1"/>
  <c r="F40" i="2" s="1"/>
  <c r="F44" i="2"/>
  <c r="H26" i="2"/>
  <c r="H27" i="2"/>
  <c r="I16" i="2"/>
  <c r="I23" i="2" s="1"/>
  <c r="J13" i="2"/>
  <c r="G31" i="2"/>
  <c r="F38" i="2" l="1"/>
  <c r="H30" i="2"/>
  <c r="H29" i="2"/>
  <c r="H28" i="2"/>
  <c r="H31" i="2"/>
  <c r="H33" i="2" s="1"/>
  <c r="I26" i="2"/>
  <c r="I27" i="2"/>
  <c r="J16" i="2"/>
  <c r="J23" i="2" s="1"/>
  <c r="K13" i="2"/>
  <c r="G38" i="2"/>
  <c r="G33" i="2"/>
  <c r="G34" i="2" s="1"/>
  <c r="G40" i="2" s="1"/>
  <c r="I30" i="2" l="1"/>
  <c r="I29" i="2"/>
  <c r="I28" i="2"/>
  <c r="I31" i="2" s="1"/>
  <c r="I33" i="2" s="1"/>
  <c r="H34" i="2"/>
  <c r="H35" i="2" s="1"/>
  <c r="J27" i="2"/>
  <c r="J26" i="2"/>
  <c r="K16" i="2"/>
  <c r="K23" i="2" s="1"/>
  <c r="L13" i="2"/>
  <c r="I34" i="2" l="1"/>
  <c r="I35" i="2" s="1"/>
  <c r="K26" i="2"/>
  <c r="K27" i="2"/>
  <c r="J28" i="2"/>
  <c r="J30" i="2"/>
  <c r="J29" i="2"/>
  <c r="J31" i="2"/>
  <c r="J33" i="2" s="1"/>
  <c r="L16" i="2"/>
  <c r="L23" i="2" s="1"/>
  <c r="M13" i="2"/>
  <c r="L26" i="2" l="1"/>
  <c r="L27" i="2"/>
  <c r="J34" i="2"/>
  <c r="J35" i="2" s="1"/>
  <c r="K29" i="2"/>
  <c r="K30" i="2"/>
  <c r="K28" i="2"/>
  <c r="K31" i="2" s="1"/>
  <c r="K33" i="2" s="1"/>
  <c r="M16" i="2"/>
  <c r="M23" i="2" s="1"/>
  <c r="N13" i="2"/>
  <c r="K34" i="2" l="1"/>
  <c r="K35" i="2"/>
  <c r="M27" i="2"/>
  <c r="M26" i="2"/>
  <c r="L30" i="2"/>
  <c r="L28" i="2"/>
  <c r="L31" i="2" s="1"/>
  <c r="L33" i="2" s="1"/>
  <c r="L29" i="2"/>
  <c r="N16" i="2"/>
  <c r="N23" i="2" s="1"/>
  <c r="O13" i="2"/>
  <c r="L34" i="2" l="1"/>
  <c r="L35" i="2" s="1"/>
  <c r="N27" i="2"/>
  <c r="N26" i="2"/>
  <c r="M28" i="2"/>
  <c r="M30" i="2"/>
  <c r="M29" i="2"/>
  <c r="M31" i="2" s="1"/>
  <c r="M33" i="2" s="1"/>
  <c r="P13" i="2"/>
  <c r="O16" i="2"/>
  <c r="O23" i="2" s="1"/>
  <c r="M35" i="2" l="1"/>
  <c r="M34" i="2"/>
  <c r="O27" i="2"/>
  <c r="O26" i="2"/>
  <c r="N29" i="2"/>
  <c r="N28" i="2"/>
  <c r="N31" i="2" s="1"/>
  <c r="N33" i="2" s="1"/>
  <c r="N30" i="2"/>
  <c r="Q13" i="2"/>
  <c r="P16" i="2"/>
  <c r="P23" i="2" s="1"/>
  <c r="N34" i="2" l="1"/>
  <c r="N35" i="2" s="1"/>
  <c r="P26" i="2"/>
  <c r="P27" i="2"/>
  <c r="O30" i="2"/>
  <c r="O28" i="2"/>
  <c r="O29" i="2"/>
  <c r="O31" i="2" s="1"/>
  <c r="O33" i="2" s="1"/>
  <c r="R13" i="2"/>
  <c r="Q16" i="2"/>
  <c r="Q23" i="2" s="1"/>
  <c r="O34" i="2" l="1"/>
  <c r="O35" i="2" s="1"/>
  <c r="Q26" i="2"/>
  <c r="Q27" i="2"/>
  <c r="P30" i="2"/>
  <c r="P29" i="2"/>
  <c r="P28" i="2"/>
  <c r="P31" i="2"/>
  <c r="P33" i="2" s="1"/>
  <c r="S13" i="2"/>
  <c r="S16" i="2" s="1"/>
  <c r="S23" i="2" s="1"/>
  <c r="R16" i="2"/>
  <c r="R23" i="2" s="1"/>
  <c r="R26" i="2" l="1"/>
  <c r="R27" i="2"/>
  <c r="S26" i="2"/>
  <c r="S27" i="2"/>
  <c r="Q30" i="2"/>
  <c r="Q29" i="2"/>
  <c r="Q28" i="2"/>
  <c r="Q31" i="2" s="1"/>
  <c r="Q33" i="2" s="1"/>
  <c r="P34" i="2"/>
  <c r="P35" i="2" s="1"/>
  <c r="Q34" i="2" l="1"/>
  <c r="Q35" i="2" s="1"/>
  <c r="S30" i="2"/>
  <c r="S29" i="2"/>
  <c r="S28" i="2"/>
  <c r="S31" i="2" s="1"/>
  <c r="S33" i="2" s="1"/>
  <c r="R30" i="2"/>
  <c r="R29" i="2"/>
  <c r="R28" i="2"/>
  <c r="R31" i="2"/>
  <c r="R33" i="2" s="1"/>
  <c r="S34" i="2" l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BK35" i="2" s="1"/>
  <c r="BL35" i="2" s="1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BW35" i="2" s="1"/>
  <c r="BX35" i="2" s="1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CI35" i="2" s="1"/>
  <c r="CJ35" i="2" s="1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CU35" i="2" s="1"/>
  <c r="CV35" i="2" s="1"/>
  <c r="CW35" i="2" s="1"/>
  <c r="CX35" i="2" s="1"/>
  <c r="CY35" i="2" s="1"/>
  <c r="CZ35" i="2" s="1"/>
  <c r="DA35" i="2" s="1"/>
  <c r="DB35" i="2" s="1"/>
  <c r="DC35" i="2" s="1"/>
  <c r="DD35" i="2" s="1"/>
  <c r="V39" i="2" s="1"/>
  <c r="R34" i="2"/>
  <c r="R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J7" authorId="0" shapeId="0" xr:uid="{86443161-8B5A-4885-9C05-2D434B7971B2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Exp 2027 and 2028</t>
        </r>
      </text>
    </comment>
    <comment ref="J8" authorId="0" shapeId="0" xr:uid="{0621D718-7549-485B-95C3-B73D988A9421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Exp 2025 and 2026</t>
        </r>
      </text>
    </comment>
    <comment ref="J11" authorId="0" shapeId="0" xr:uid="{0B90051C-56E8-4BB5-81E5-CAA608C56B18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Exp H12024</t>
        </r>
      </text>
    </comment>
    <comment ref="O19" authorId="0" shapeId="0" xr:uid="{BC8C5AE8-44D3-4D4F-986B-A82005338AEB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Construction,
installation
&amp;design services</t>
        </r>
      </text>
    </comment>
    <comment ref="J20" authorId="0" shapeId="0" xr:uid="{A3363348-BC04-4C35-80B3-3063CCF27B80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Exp 2026 and 2027
</t>
        </r>
      </text>
    </comment>
    <comment ref="O25" authorId="0" shapeId="0" xr:uid="{FEB2FF9B-051F-4665-BCA8-7A66EA3B961F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Provision for spent fuel management</t>
        </r>
      </text>
    </comment>
    <comment ref="O26" authorId="0" shapeId="0" xr:uid="{A558B0DC-2CD7-4624-B9EB-6AC879994D3A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Construction,
installation
&amp;design services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29" authorId="0" shapeId="0" xr:uid="{FB9ACFEF-82F6-4C87-A87C-35ADD4C9F3A0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Provision for spent fuel management</t>
        </r>
      </text>
    </comment>
    <comment ref="B44" authorId="0" shapeId="0" xr:uid="{C4976F00-3EC8-48AD-8A52-8E932E952CEB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Provision for spent fuel management</t>
        </r>
      </text>
    </comment>
  </commentList>
</comments>
</file>

<file path=xl/sharedStrings.xml><?xml version="1.0" encoding="utf-8"?>
<sst xmlns="http://schemas.openxmlformats.org/spreadsheetml/2006/main" count="96" uniqueCount="64">
  <si>
    <t>Units in operation</t>
  </si>
  <si>
    <t>Units under contruction</t>
  </si>
  <si>
    <t>GW</t>
  </si>
  <si>
    <t>Daya Bay</t>
  </si>
  <si>
    <t>Yangjiang</t>
  </si>
  <si>
    <t>Guangdong</t>
  </si>
  <si>
    <t>Taishan</t>
  </si>
  <si>
    <t>Lufeng</t>
  </si>
  <si>
    <t>Heizhou</t>
  </si>
  <si>
    <t>Guangxi</t>
  </si>
  <si>
    <t>Fengcheng gang</t>
  </si>
  <si>
    <t>Constr.</t>
  </si>
  <si>
    <t>Approved</t>
  </si>
  <si>
    <t>Fujian</t>
  </si>
  <si>
    <t>Ningde</t>
  </si>
  <si>
    <t>Liaoning</t>
  </si>
  <si>
    <t>Hangyanhe</t>
  </si>
  <si>
    <t>Zhejiang</t>
  </si>
  <si>
    <t>Cangnan</t>
  </si>
  <si>
    <t>Total</t>
  </si>
  <si>
    <t xml:space="preserve">Units O </t>
  </si>
  <si>
    <t>Total GW</t>
  </si>
  <si>
    <t>Total Units</t>
  </si>
  <si>
    <t>RMB/Share</t>
  </si>
  <si>
    <t xml:space="preserve">Dividends </t>
  </si>
  <si>
    <t>Year</t>
  </si>
  <si>
    <t>Ratio</t>
  </si>
  <si>
    <t>Gwh</t>
  </si>
  <si>
    <t>In Grid</t>
  </si>
  <si>
    <t>Power Generation (Gwh)</t>
  </si>
  <si>
    <t>Hours</t>
  </si>
  <si>
    <t>Revenue</t>
  </si>
  <si>
    <t>Electricity</t>
  </si>
  <si>
    <t>Construction</t>
  </si>
  <si>
    <t>Services</t>
  </si>
  <si>
    <t>Goods</t>
  </si>
  <si>
    <t>Profit</t>
  </si>
  <si>
    <t>Margin</t>
  </si>
  <si>
    <t>Nuclear Fuel</t>
  </si>
  <si>
    <t>D&amp;A</t>
  </si>
  <si>
    <t>Provisions</t>
  </si>
  <si>
    <t>O&amp;M</t>
  </si>
  <si>
    <t>Operating Income</t>
  </si>
  <si>
    <t xml:space="preserve">Power Generation </t>
  </si>
  <si>
    <t>EBIT</t>
  </si>
  <si>
    <t>Operating Margin</t>
  </si>
  <si>
    <t>Profit Margin</t>
  </si>
  <si>
    <t>Interest</t>
  </si>
  <si>
    <t>Pretax</t>
  </si>
  <si>
    <t>Taxes</t>
  </si>
  <si>
    <t>Utilization per Hour</t>
  </si>
  <si>
    <t>Installed Capazity</t>
  </si>
  <si>
    <t>Revenue/Gwh</t>
  </si>
  <si>
    <t>Discount</t>
  </si>
  <si>
    <t>Terminal</t>
  </si>
  <si>
    <t>NPV</t>
  </si>
  <si>
    <t>Debt</t>
  </si>
  <si>
    <t>Cost of Debt</t>
  </si>
  <si>
    <t>In HKD</t>
  </si>
  <si>
    <t>Stock Price</t>
  </si>
  <si>
    <t>Yield</t>
  </si>
  <si>
    <t>Shares</t>
  </si>
  <si>
    <t>DDF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</si>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</sst>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€&quot;\ #,##0.00;[Red]\-&quot;€&quot;\ #,##0.00"/>
    <numFmt numFmtId="164" formatCode="0.0%"/>
    <numFmt numFmtId="165" formatCode="#,##0.00000"/>
    <numFmt numFmtId="166" formatCode="0.00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9" fontId="0" fillId="0" borderId="0" xfId="1" applyFont="1"/>
    <xf numFmtId="3" fontId="0" fillId="0" borderId="0" xfId="0" applyNumberFormat="1"/>
    <xf numFmtId="3" fontId="2" fillId="0" borderId="0" xfId="0" applyNumberFormat="1" applyFont="1"/>
    <xf numFmtId="164" fontId="0" fillId="0" borderId="0" xfId="1" applyNumberFormat="1" applyFont="1"/>
    <xf numFmtId="3" fontId="0" fillId="0" borderId="0" xfId="1" applyNumberFormat="1" applyFont="1"/>
    <xf numFmtId="10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9" fontId="2" fillId="0" borderId="0" xfId="1" applyFont="1"/>
    <xf numFmtId="8" fontId="0" fillId="0" borderId="0" xfId="0" applyNumberFormat="1"/>
    <xf numFmtId="167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607218</xdr:colOff>
      <xdr:row>3</xdr:row>
      <xdr:rowOff>184547</xdr:rowOff>
    </xdr:from>
    <xdr:to>
      <xdr:col>7</xdr:col>
      <xdr:colOff>5953</xdr:colOff>
      <xdr:row>35</xdr:row>
      <xdr:rowOff>178594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7D7073-B9E2-881C-2A39-43834D25D5DA}"/>
            </a:ext>
          </a:extLst>
        </xdr:cNvPr>
        <xdr:cNvCxnSpPr/>
      </xdr:nvCxnSpPr>
      <xdr:spPr>
        <a:xfrm flipH="1">
          <a:off x="4357687" y="756047"/>
          <a:ext cx="5954" cy="60900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30F5-36E0-446E-B558-ED8C1D1F8F50}">
  <dimension ref="C2:T32"/>
  <sheetViews>
    <sheetView zoomScale="160" zoomScaleNormal="160" workbookViewId="0">
      <selection activeCell="D10" sqref="D10"/>
    </sheetView>
  </sheetViews>
  <sheetFormatPr defaultRowHeight="15" x14ac:dyDescent="0.25"/>
  <cols>
    <col min="3" max="3" width="22.28515625" bestFit="1" customWidth="1"/>
    <col min="7" max="7" width="15.28515625" bestFit="1" customWidth="1"/>
    <col min="9" max="9" width="9.140625" style="1"/>
    <col min="12" max="12" width="9.140625" style="1"/>
    <col min="13" max="13" width="10.42578125" bestFit="1" customWidth="1"/>
    <col min="15" max="15" width="15.5703125" customWidth="1"/>
  </cols>
  <sheetData>
    <row r="2" spans="3:20" x14ac:dyDescent="0.25">
      <c r="H2" t="s">
        <v>20</v>
      </c>
      <c r="I2" s="1" t="s">
        <v>2</v>
      </c>
      <c r="J2" t="s">
        <v>11</v>
      </c>
      <c r="K2" t="s">
        <v>12</v>
      </c>
      <c r="L2" s="1" t="s">
        <v>21</v>
      </c>
      <c r="M2" t="s">
        <v>22</v>
      </c>
    </row>
    <row r="3" spans="3:20" x14ac:dyDescent="0.25">
      <c r="G3" s="1" t="s">
        <v>5</v>
      </c>
      <c r="H3">
        <f t="shared" ref="H3:M3" si="0">+SUM(H4:H8)</f>
        <v>14</v>
      </c>
      <c r="I3">
        <f t="shared" si="0"/>
        <v>15.5</v>
      </c>
      <c r="J3">
        <f t="shared" si="0"/>
        <v>4</v>
      </c>
      <c r="K3">
        <f t="shared" si="0"/>
        <v>2</v>
      </c>
      <c r="L3">
        <f t="shared" si="0"/>
        <v>21.5</v>
      </c>
      <c r="M3">
        <f t="shared" si="0"/>
        <v>20</v>
      </c>
      <c r="P3" s="1"/>
    </row>
    <row r="4" spans="3:20" x14ac:dyDescent="0.25">
      <c r="C4" t="s">
        <v>0</v>
      </c>
      <c r="D4">
        <v>27</v>
      </c>
      <c r="G4" t="s">
        <v>3</v>
      </c>
      <c r="H4">
        <v>6</v>
      </c>
      <c r="I4" s="1">
        <f>1*H4</f>
        <v>6</v>
      </c>
      <c r="L4" s="1">
        <f>+I4</f>
        <v>6</v>
      </c>
      <c r="M4">
        <f>+H4+K4+J4</f>
        <v>6</v>
      </c>
      <c r="O4" t="s">
        <v>25</v>
      </c>
      <c r="P4">
        <v>2019</v>
      </c>
      <c r="Q4">
        <f>+P4+1</f>
        <v>2020</v>
      </c>
      <c r="R4">
        <f>+Q4+1</f>
        <v>2021</v>
      </c>
      <c r="S4">
        <f>+R4+1</f>
        <v>2022</v>
      </c>
      <c r="T4">
        <f>+S4+1</f>
        <v>2023</v>
      </c>
    </row>
    <row r="5" spans="3:20" x14ac:dyDescent="0.25">
      <c r="C5" t="s">
        <v>1</v>
      </c>
      <c r="D5">
        <v>11</v>
      </c>
      <c r="G5" t="s">
        <v>4</v>
      </c>
      <c r="H5">
        <v>6</v>
      </c>
      <c r="I5" s="1">
        <f>1*H5</f>
        <v>6</v>
      </c>
      <c r="L5" s="1">
        <f>+I5</f>
        <v>6</v>
      </c>
      <c r="M5">
        <f t="shared" ref="M5:M20" si="1">+H5+K5+J5</f>
        <v>6</v>
      </c>
    </row>
    <row r="6" spans="3:20" x14ac:dyDescent="0.25">
      <c r="G6" t="s">
        <v>6</v>
      </c>
      <c r="H6">
        <v>2</v>
      </c>
      <c r="I6" s="1">
        <f>1.75*H6</f>
        <v>3.5</v>
      </c>
      <c r="L6" s="1">
        <f>+I6</f>
        <v>3.5</v>
      </c>
      <c r="M6">
        <f t="shared" si="1"/>
        <v>2</v>
      </c>
      <c r="O6" s="1" t="s">
        <v>24</v>
      </c>
    </row>
    <row r="7" spans="3:20" x14ac:dyDescent="0.25">
      <c r="G7" t="s">
        <v>7</v>
      </c>
      <c r="I7" s="1">
        <f>1*H7</f>
        <v>0</v>
      </c>
      <c r="J7">
        <v>2</v>
      </c>
      <c r="L7" s="1">
        <v>2</v>
      </c>
      <c r="M7">
        <f t="shared" si="1"/>
        <v>2</v>
      </c>
      <c r="O7" t="s">
        <v>23</v>
      </c>
      <c r="P7">
        <v>7.5999999999999998E-2</v>
      </c>
      <c r="Q7">
        <v>0.08</v>
      </c>
      <c r="R7">
        <v>8.4000000000000005E-2</v>
      </c>
      <c r="S7">
        <v>8.6999999999999994E-2</v>
      </c>
      <c r="T7">
        <v>9.4E-2</v>
      </c>
    </row>
    <row r="8" spans="3:20" x14ac:dyDescent="0.25">
      <c r="C8" t="s">
        <v>59</v>
      </c>
      <c r="D8">
        <v>2.92</v>
      </c>
      <c r="G8" t="s">
        <v>8</v>
      </c>
      <c r="I8" s="1">
        <f>1*H8</f>
        <v>0</v>
      </c>
      <c r="J8">
        <v>2</v>
      </c>
      <c r="K8">
        <v>2</v>
      </c>
      <c r="L8" s="1">
        <v>4</v>
      </c>
      <c r="M8">
        <f t="shared" si="1"/>
        <v>4</v>
      </c>
      <c r="O8" t="s">
        <v>26</v>
      </c>
      <c r="P8" s="2">
        <v>0.40550000000000003</v>
      </c>
      <c r="Q8" s="2">
        <v>0.42249999999999999</v>
      </c>
      <c r="R8" s="2">
        <v>0.43580000000000002</v>
      </c>
      <c r="S8" s="2">
        <v>0.44090000000000001</v>
      </c>
      <c r="T8" s="2">
        <v>0.44259999999999999</v>
      </c>
    </row>
    <row r="9" spans="3:20" x14ac:dyDescent="0.25">
      <c r="C9" t="s">
        <v>61</v>
      </c>
      <c r="D9">
        <v>39334.986100000002</v>
      </c>
    </row>
    <row r="10" spans="3:20" x14ac:dyDescent="0.25">
      <c r="G10" s="1" t="s">
        <v>9</v>
      </c>
      <c r="O10" s="1" t="s">
        <v>29</v>
      </c>
    </row>
    <row r="11" spans="3:20" x14ac:dyDescent="0.25">
      <c r="G11" t="s">
        <v>10</v>
      </c>
      <c r="H11">
        <v>3</v>
      </c>
      <c r="I11" s="1">
        <v>3</v>
      </c>
      <c r="J11">
        <v>1</v>
      </c>
      <c r="L11" s="1">
        <v>3</v>
      </c>
      <c r="M11">
        <f t="shared" si="1"/>
        <v>4</v>
      </c>
      <c r="O11" t="s">
        <v>28</v>
      </c>
      <c r="P11" s="3">
        <v>178970</v>
      </c>
      <c r="Q11" s="3">
        <v>186487</v>
      </c>
      <c r="R11" s="3">
        <v>201151</v>
      </c>
      <c r="S11" s="3">
        <v>198375</v>
      </c>
      <c r="T11" s="3">
        <v>214146</v>
      </c>
    </row>
    <row r="12" spans="3:20" x14ac:dyDescent="0.25">
      <c r="O12" t="s">
        <v>5</v>
      </c>
      <c r="P12" s="3"/>
      <c r="Q12" s="3"/>
      <c r="R12" s="3">
        <v>113714</v>
      </c>
      <c r="S12" s="3">
        <v>108472</v>
      </c>
      <c r="T12" s="3">
        <v>111460</v>
      </c>
    </row>
    <row r="13" spans="3:20" x14ac:dyDescent="0.25">
      <c r="G13" s="1" t="s">
        <v>13</v>
      </c>
      <c r="O13" t="s">
        <v>13</v>
      </c>
      <c r="P13" s="3"/>
      <c r="Q13" s="3"/>
      <c r="R13" s="3">
        <v>33155</v>
      </c>
      <c r="S13" s="3">
        <v>31406</v>
      </c>
      <c r="T13" s="3">
        <v>32360</v>
      </c>
    </row>
    <row r="14" spans="3:20" x14ac:dyDescent="0.25">
      <c r="G14" t="s">
        <v>14</v>
      </c>
      <c r="H14">
        <v>4</v>
      </c>
      <c r="I14" s="1">
        <v>4</v>
      </c>
      <c r="K14">
        <v>2</v>
      </c>
      <c r="L14" s="1">
        <v>6</v>
      </c>
      <c r="M14">
        <f t="shared" si="1"/>
        <v>6</v>
      </c>
      <c r="O14" t="s">
        <v>9</v>
      </c>
      <c r="P14" s="3"/>
      <c r="Q14" s="3"/>
      <c r="R14" s="3">
        <v>17056</v>
      </c>
      <c r="S14" s="3">
        <v>16583</v>
      </c>
      <c r="T14" s="3">
        <v>23251</v>
      </c>
    </row>
    <row r="15" spans="3:20" x14ac:dyDescent="0.25">
      <c r="O15" t="s">
        <v>15</v>
      </c>
      <c r="P15" s="3"/>
      <c r="Q15" s="3"/>
      <c r="R15" s="3">
        <v>37226</v>
      </c>
      <c r="S15" s="3">
        <v>41913</v>
      </c>
      <c r="T15" s="3">
        <v>47075</v>
      </c>
    </row>
    <row r="16" spans="3:20" x14ac:dyDescent="0.25">
      <c r="G16" s="1" t="s">
        <v>15</v>
      </c>
      <c r="O16" t="s">
        <v>30</v>
      </c>
      <c r="P16" s="3"/>
      <c r="Q16" s="3"/>
      <c r="R16" s="3">
        <v>7731</v>
      </c>
      <c r="S16" s="3">
        <v>7311</v>
      </c>
      <c r="T16" s="3">
        <v>7509</v>
      </c>
    </row>
    <row r="17" spans="7:20" x14ac:dyDescent="0.25">
      <c r="G17" t="s">
        <v>16</v>
      </c>
      <c r="H17">
        <v>6</v>
      </c>
      <c r="I17" s="1">
        <v>6</v>
      </c>
      <c r="L17" s="1">
        <v>6</v>
      </c>
      <c r="M17">
        <f t="shared" si="1"/>
        <v>6</v>
      </c>
      <c r="P17" s="3"/>
      <c r="Q17" s="3"/>
      <c r="R17" s="3"/>
      <c r="S17" s="3"/>
      <c r="T17" s="3"/>
    </row>
    <row r="18" spans="7:20" x14ac:dyDescent="0.25">
      <c r="O18" t="s">
        <v>32</v>
      </c>
      <c r="S18" s="3">
        <v>58105</v>
      </c>
      <c r="T18" s="3">
        <v>62517</v>
      </c>
    </row>
    <row r="19" spans="7:20" x14ac:dyDescent="0.25">
      <c r="G19" s="1" t="s">
        <v>17</v>
      </c>
      <c r="O19" t="s">
        <v>33</v>
      </c>
      <c r="S19" s="3">
        <v>22697</v>
      </c>
      <c r="T19" s="3">
        <v>17898</v>
      </c>
    </row>
    <row r="20" spans="7:20" x14ac:dyDescent="0.25">
      <c r="G20" t="s">
        <v>18</v>
      </c>
      <c r="I20" s="1">
        <v>0</v>
      </c>
      <c r="J20">
        <v>2</v>
      </c>
      <c r="L20" s="1">
        <v>2</v>
      </c>
      <c r="M20">
        <f t="shared" si="1"/>
        <v>2</v>
      </c>
      <c r="O20" t="s">
        <v>34</v>
      </c>
      <c r="P20" s="3"/>
      <c r="Q20" s="3"/>
      <c r="R20" s="3"/>
      <c r="S20" s="3">
        <v>1100</v>
      </c>
      <c r="T20" s="3">
        <v>1457</v>
      </c>
    </row>
    <row r="21" spans="7:20" x14ac:dyDescent="0.25">
      <c r="O21" t="s">
        <v>35</v>
      </c>
      <c r="P21" s="3"/>
      <c r="Q21" s="3"/>
      <c r="R21" s="3"/>
      <c r="S21" s="3">
        <v>920</v>
      </c>
      <c r="T21" s="3">
        <v>676</v>
      </c>
    </row>
    <row r="22" spans="7:20" x14ac:dyDescent="0.25">
      <c r="G22" s="1" t="s">
        <v>19</v>
      </c>
      <c r="H22" s="1">
        <f t="shared" ref="H22:M22" si="2">+SUM(H4:H20)</f>
        <v>27</v>
      </c>
      <c r="I22" s="1">
        <f t="shared" si="2"/>
        <v>28.5</v>
      </c>
      <c r="J22" s="1">
        <f t="shared" si="2"/>
        <v>7</v>
      </c>
      <c r="K22" s="1">
        <f t="shared" si="2"/>
        <v>4</v>
      </c>
      <c r="L22" s="1">
        <f t="shared" si="2"/>
        <v>38.5</v>
      </c>
      <c r="M22" s="1">
        <f t="shared" si="2"/>
        <v>38</v>
      </c>
      <c r="O22" s="1" t="s">
        <v>31</v>
      </c>
      <c r="P22" s="4"/>
      <c r="Q22" s="4"/>
      <c r="R22" s="4"/>
      <c r="S22" s="4">
        <v>82822</v>
      </c>
      <c r="T22" s="4">
        <v>82549</v>
      </c>
    </row>
    <row r="23" spans="7:20" x14ac:dyDescent="0.25">
      <c r="O23" t="s">
        <v>38</v>
      </c>
      <c r="P23" s="3"/>
      <c r="Q23" s="3"/>
      <c r="R23" s="3"/>
      <c r="S23" s="3">
        <f>+S22*0.101</f>
        <v>8365.0220000000008</v>
      </c>
      <c r="T23" s="3">
        <f>+T22*0.102</f>
        <v>8419.9979999999996</v>
      </c>
    </row>
    <row r="24" spans="7:20" x14ac:dyDescent="0.25">
      <c r="O24" t="s">
        <v>39</v>
      </c>
      <c r="S24" s="3">
        <f>+S22*0.112</f>
        <v>9276.0640000000003</v>
      </c>
      <c r="T24" s="3">
        <f>+T22*0.127</f>
        <v>10483.723</v>
      </c>
    </row>
    <row r="25" spans="7:20" x14ac:dyDescent="0.25">
      <c r="O25" t="s">
        <v>40</v>
      </c>
      <c r="S25" s="3">
        <f>+S22*0.04</f>
        <v>3312.88</v>
      </c>
      <c r="T25" s="3">
        <f>+T22*0.042</f>
        <v>3467.058</v>
      </c>
    </row>
    <row r="26" spans="7:20" x14ac:dyDescent="0.25">
      <c r="O26" t="s">
        <v>33</v>
      </c>
      <c r="S26" s="3">
        <f>+S22*0.272</f>
        <v>22527.584000000003</v>
      </c>
      <c r="T26" s="3">
        <f>+T22*0.213</f>
        <v>17582.936999999998</v>
      </c>
    </row>
    <row r="27" spans="7:20" x14ac:dyDescent="0.25">
      <c r="O27" t="s">
        <v>41</v>
      </c>
      <c r="S27" s="3">
        <f>+S22*0.142</f>
        <v>11760.723999999998</v>
      </c>
      <c r="T27" s="3">
        <f>+T22*0.156</f>
        <v>12877.644</v>
      </c>
    </row>
    <row r="28" spans="7:20" x14ac:dyDescent="0.25">
      <c r="O28" t="s">
        <v>42</v>
      </c>
      <c r="S28" s="3"/>
      <c r="T28" s="3"/>
    </row>
    <row r="29" spans="7:20" x14ac:dyDescent="0.25">
      <c r="S29" s="3"/>
      <c r="T29" s="3"/>
    </row>
    <row r="30" spans="7:20" x14ac:dyDescent="0.25">
      <c r="O30" t="s">
        <v>36</v>
      </c>
      <c r="P30" s="3"/>
      <c r="Q30" s="3"/>
      <c r="R30" s="3"/>
      <c r="S30" s="3">
        <v>9964</v>
      </c>
      <c r="T30" s="3">
        <v>10725</v>
      </c>
    </row>
    <row r="31" spans="7:20" x14ac:dyDescent="0.25">
      <c r="P31" s="3"/>
      <c r="Q31" s="3"/>
      <c r="R31" s="3"/>
      <c r="S31" s="3"/>
      <c r="T31" s="3"/>
    </row>
    <row r="32" spans="7:20" x14ac:dyDescent="0.25">
      <c r="O32" t="s">
        <v>37</v>
      </c>
      <c r="P32" s="3"/>
      <c r="Q32" s="3"/>
      <c r="R32" s="3"/>
      <c r="S32" s="2">
        <f>+S30/S22</f>
        <v>0.12030619883605805</v>
      </c>
      <c r="T32" s="2">
        <f>+T30/T22</f>
        <v>0.12992283371088686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8CD3-9880-4C8E-B4A7-0F414EF7171E}">
  <dimension ref="A2:DD48"/>
  <sheetViews>
    <sheetView tabSelected="1" zoomScale="160" zoomScaleNormal="160" workbookViewId="0">
      <pane xSplit="2" ySplit="2" topLeftCell="M28" activePane="bottomRight" state="frozen"/>
      <selection pane="topRight" activeCell="C1" sqref="C1"/>
      <selection pane="bottomLeft" activeCell="A3" sqref="A3"/>
      <selection pane="bottomRight" activeCell="P40" sqref="P40"/>
    </sheetView>
  </sheetViews>
  <sheetFormatPr defaultRowHeight="15" x14ac:dyDescent="0.25"/>
  <cols>
    <col min="1" max="1" width="4.28515625" customWidth="1"/>
    <col min="2" max="2" width="17" bestFit="1" customWidth="1"/>
    <col min="3" max="3" width="7.7109375" bestFit="1" customWidth="1"/>
    <col min="22" max="22" width="9.140625" customWidth="1"/>
  </cols>
  <sheetData>
    <row r="2" spans="1:102" x14ac:dyDescent="0.25">
      <c r="B2" t="s">
        <v>25</v>
      </c>
      <c r="C2">
        <v>2019</v>
      </c>
      <c r="D2">
        <f t="shared" ref="D2:S2" si="0">+C2+1</f>
        <v>2020</v>
      </c>
      <c r="E2">
        <f t="shared" si="0"/>
        <v>2021</v>
      </c>
      <c r="F2">
        <f t="shared" si="0"/>
        <v>2022</v>
      </c>
      <c r="G2">
        <f t="shared" si="0"/>
        <v>2023</v>
      </c>
      <c r="H2">
        <f t="shared" si="0"/>
        <v>2024</v>
      </c>
      <c r="I2">
        <f t="shared" si="0"/>
        <v>2025</v>
      </c>
      <c r="J2">
        <f t="shared" si="0"/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 t="shared" si="0"/>
        <v>2031</v>
      </c>
      <c r="P2">
        <f t="shared" si="0"/>
        <v>2032</v>
      </c>
      <c r="Q2">
        <f t="shared" si="0"/>
        <v>2033</v>
      </c>
      <c r="R2">
        <f t="shared" si="0"/>
        <v>2034</v>
      </c>
      <c r="S2">
        <f t="shared" si="0"/>
        <v>2035</v>
      </c>
    </row>
    <row r="4" spans="1:102" x14ac:dyDescent="0.25">
      <c r="B4" s="1" t="s">
        <v>24</v>
      </c>
    </row>
    <row r="5" spans="1:102" x14ac:dyDescent="0.25">
      <c r="B5" t="s">
        <v>23</v>
      </c>
      <c r="C5">
        <v>7.5999999999999998E-2</v>
      </c>
      <c r="D5">
        <v>0.08</v>
      </c>
      <c r="E5">
        <v>8.4000000000000005E-2</v>
      </c>
      <c r="F5">
        <v>8.6999999999999994E-2</v>
      </c>
      <c r="G5">
        <v>9.4E-2</v>
      </c>
      <c r="H5" s="11">
        <f t="shared" ref="H5:S5" si="1">+H35*H7/Shares</f>
        <v>8.7335506901323148E-2</v>
      </c>
      <c r="I5" s="11">
        <f t="shared" si="1"/>
        <v>9.1342584712391678E-2</v>
      </c>
      <c r="J5" s="11">
        <f t="shared" si="1"/>
        <v>9.4046820827527869E-2</v>
      </c>
      <c r="K5" s="11">
        <f t="shared" si="1"/>
        <v>0.10019563180931186</v>
      </c>
      <c r="L5" s="11">
        <f t="shared" si="1"/>
        <v>0.10630352933377545</v>
      </c>
      <c r="M5" s="11">
        <f t="shared" si="1"/>
        <v>0.10888492766395687</v>
      </c>
      <c r="N5" s="11">
        <f t="shared" si="1"/>
        <v>0.10793767884334685</v>
      </c>
      <c r="O5" s="11">
        <f t="shared" si="1"/>
        <v>0.1069430675817063</v>
      </c>
      <c r="P5" s="11">
        <f t="shared" si="1"/>
        <v>0.10938226582107949</v>
      </c>
      <c r="Q5" s="11">
        <f t="shared" si="1"/>
        <v>0.11176924696921652</v>
      </c>
      <c r="R5" s="11">
        <f t="shared" si="1"/>
        <v>0.11410140017155565</v>
      </c>
      <c r="S5" s="11">
        <f t="shared" si="1"/>
        <v>0.11637598403080697</v>
      </c>
    </row>
    <row r="6" spans="1:102" x14ac:dyDescent="0.25">
      <c r="B6" t="s">
        <v>58</v>
      </c>
      <c r="C6" s="9">
        <f t="shared" ref="C6:F6" si="2">+C5*1.09</f>
        <v>8.2840000000000011E-2</v>
      </c>
      <c r="D6" s="9">
        <f t="shared" si="2"/>
        <v>8.7200000000000014E-2</v>
      </c>
      <c r="E6" s="9">
        <f t="shared" si="2"/>
        <v>9.1560000000000016E-2</v>
      </c>
      <c r="F6" s="9">
        <f t="shared" si="2"/>
        <v>9.4829999999999998E-2</v>
      </c>
      <c r="G6" s="9">
        <f>+G5*1.09</f>
        <v>0.10246000000000001</v>
      </c>
      <c r="H6" s="9">
        <f>+H5*1.09</f>
        <v>9.5195702522442235E-2</v>
      </c>
      <c r="I6" s="9">
        <f t="shared" ref="I6:S6" si="3">+I5*1.09</f>
        <v>9.9563417336506935E-2</v>
      </c>
      <c r="J6" s="9">
        <f t="shared" si="3"/>
        <v>0.10251103470200539</v>
      </c>
      <c r="K6" s="9">
        <f t="shared" si="3"/>
        <v>0.10921323867214994</v>
      </c>
      <c r="L6" s="9">
        <f t="shared" si="3"/>
        <v>0.11587084697381525</v>
      </c>
      <c r="M6" s="9">
        <f t="shared" si="3"/>
        <v>0.11868457115371299</v>
      </c>
      <c r="N6" s="9">
        <f t="shared" si="3"/>
        <v>0.11765206993924807</v>
      </c>
      <c r="O6" s="9">
        <f t="shared" si="3"/>
        <v>0.11656794366405987</v>
      </c>
      <c r="P6" s="9">
        <f t="shared" si="3"/>
        <v>0.11922666974497666</v>
      </c>
      <c r="Q6" s="9">
        <f t="shared" si="3"/>
        <v>0.12182847919644602</v>
      </c>
      <c r="R6" s="9">
        <f t="shared" si="3"/>
        <v>0.12437052618699566</v>
      </c>
      <c r="S6" s="9">
        <f t="shared" si="3"/>
        <v>0.1268498225935796</v>
      </c>
      <c r="T6" s="9">
        <f t="shared" ref="T6:AY6" si="4">+S6*(1+TR)</f>
        <v>0.1255813243676438</v>
      </c>
      <c r="U6" s="9">
        <f t="shared" si="4"/>
        <v>0.12432551112396736</v>
      </c>
      <c r="V6" s="9">
        <f t="shared" si="4"/>
        <v>0.12308225601272769</v>
      </c>
      <c r="W6" s="9">
        <f t="shared" si="4"/>
        <v>0.12185143345260041</v>
      </c>
      <c r="X6" s="9">
        <f t="shared" si="4"/>
        <v>0.1206329191180744</v>
      </c>
      <c r="Y6" s="9">
        <f t="shared" si="4"/>
        <v>0.11942658992689366</v>
      </c>
      <c r="Z6" s="9">
        <f t="shared" si="4"/>
        <v>0.11823232402762472</v>
      </c>
      <c r="AA6" s="9">
        <f t="shared" si="4"/>
        <v>0.11705000078734848</v>
      </c>
      <c r="AB6" s="9">
        <f t="shared" si="4"/>
        <v>0.11587950077947499</v>
      </c>
      <c r="AC6" s="9">
        <f t="shared" si="4"/>
        <v>0.11472070577168024</v>
      </c>
      <c r="AD6" s="9">
        <f t="shared" si="4"/>
        <v>0.11357349871396344</v>
      </c>
      <c r="AE6" s="9">
        <f t="shared" si="4"/>
        <v>0.11243776372682381</v>
      </c>
      <c r="AF6" s="9">
        <f t="shared" si="4"/>
        <v>0.11131338608955557</v>
      </c>
      <c r="AG6" s="9">
        <f t="shared" si="4"/>
        <v>0.11020025222866002</v>
      </c>
      <c r="AH6" s="9">
        <f t="shared" si="4"/>
        <v>0.10909824970637341</v>
      </c>
      <c r="AI6" s="9">
        <f t="shared" si="4"/>
        <v>0.10800726720930967</v>
      </c>
      <c r="AJ6" s="9">
        <f t="shared" si="4"/>
        <v>0.10692719453721658</v>
      </c>
      <c r="AK6" s="9">
        <f t="shared" si="4"/>
        <v>0.10585792259184441</v>
      </c>
      <c r="AL6" s="9">
        <f t="shared" si="4"/>
        <v>0.10479934336592597</v>
      </c>
      <c r="AM6" s="9">
        <f t="shared" si="4"/>
        <v>0.10375134993226671</v>
      </c>
      <c r="AN6" s="9">
        <f t="shared" si="4"/>
        <v>0.10271383643294404</v>
      </c>
      <c r="AO6" s="9">
        <f t="shared" si="4"/>
        <v>0.10168669806861461</v>
      </c>
      <c r="AP6" s="9">
        <f t="shared" si="4"/>
        <v>0.10066983108792846</v>
      </c>
      <c r="AQ6" s="9">
        <f t="shared" si="4"/>
        <v>9.9663132777049177E-2</v>
      </c>
      <c r="AR6" s="9">
        <f t="shared" si="4"/>
        <v>9.8666501449278687E-2</v>
      </c>
      <c r="AS6" s="9">
        <f t="shared" si="4"/>
        <v>9.7679836434785894E-2</v>
      </c>
      <c r="AT6" s="9">
        <f t="shared" si="4"/>
        <v>9.6703038070438035E-2</v>
      </c>
      <c r="AU6" s="9">
        <f t="shared" si="4"/>
        <v>9.5736007689733657E-2</v>
      </c>
      <c r="AV6" s="9">
        <f t="shared" si="4"/>
        <v>9.4778647612836317E-2</v>
      </c>
      <c r="AW6" s="9">
        <f t="shared" si="4"/>
        <v>9.3830861136707952E-2</v>
      </c>
      <c r="AX6" s="9">
        <f t="shared" si="4"/>
        <v>9.2892552525340871E-2</v>
      </c>
      <c r="AY6" s="9">
        <f t="shared" si="4"/>
        <v>9.1963627000087464E-2</v>
      </c>
      <c r="AZ6" s="9">
        <f t="shared" ref="AZ6:CE6" si="5">+AY6*(1+TR)</f>
        <v>9.1043990730086594E-2</v>
      </c>
      <c r="BA6" s="9">
        <f t="shared" si="5"/>
        <v>9.0133550822785721E-2</v>
      </c>
      <c r="BB6" s="9">
        <f t="shared" si="5"/>
        <v>8.9232215314557869E-2</v>
      </c>
      <c r="BC6" s="9">
        <f t="shared" si="5"/>
        <v>8.8339893161412289E-2</v>
      </c>
      <c r="BD6" s="9">
        <f t="shared" si="5"/>
        <v>8.7456494229798162E-2</v>
      </c>
      <c r="BE6" s="9">
        <f t="shared" si="5"/>
        <v>8.6581929287500178E-2</v>
      </c>
      <c r="BF6" s="9">
        <f t="shared" si="5"/>
        <v>8.5716109994625173E-2</v>
      </c>
      <c r="BG6" s="9">
        <f t="shared" si="5"/>
        <v>8.4858948894678918E-2</v>
      </c>
      <c r="BH6" s="9">
        <f t="shared" si="5"/>
        <v>8.4010359405732121E-2</v>
      </c>
      <c r="BI6" s="9">
        <f t="shared" si="5"/>
        <v>8.3170255811674795E-2</v>
      </c>
      <c r="BJ6" s="9">
        <f t="shared" si="5"/>
        <v>8.2338553253558044E-2</v>
      </c>
      <c r="BK6" s="9">
        <f t="shared" si="5"/>
        <v>8.1515167721022463E-2</v>
      </c>
      <c r="BL6" s="9">
        <f t="shared" si="5"/>
        <v>8.0700016043812245E-2</v>
      </c>
      <c r="BM6" s="9">
        <f t="shared" si="5"/>
        <v>7.9893015883374122E-2</v>
      </c>
      <c r="BN6" s="9">
        <f t="shared" si="5"/>
        <v>7.9094085724540381E-2</v>
      </c>
      <c r="BO6" s="9">
        <f t="shared" si="5"/>
        <v>7.8303144867294977E-2</v>
      </c>
      <c r="BP6" s="9">
        <f t="shared" si="5"/>
        <v>7.7520113418622028E-2</v>
      </c>
      <c r="BQ6" s="9">
        <f t="shared" si="5"/>
        <v>7.6744912284435807E-2</v>
      </c>
      <c r="BR6" s="9">
        <f t="shared" si="5"/>
        <v>7.5977463161591444E-2</v>
      </c>
      <c r="BS6" s="9">
        <f t="shared" si="5"/>
        <v>7.5217688529975527E-2</v>
      </c>
      <c r="BT6" s="9">
        <f t="shared" si="5"/>
        <v>7.4465511644675769E-2</v>
      </c>
      <c r="BU6" s="9">
        <f t="shared" si="5"/>
        <v>7.3720856528229017E-2</v>
      </c>
      <c r="BV6" s="9">
        <f t="shared" si="5"/>
        <v>7.2983647962946721E-2</v>
      </c>
      <c r="BW6" s="9">
        <f t="shared" si="5"/>
        <v>7.2253811483317248E-2</v>
      </c>
      <c r="BX6" s="9">
        <f t="shared" si="5"/>
        <v>7.1531273368484069E-2</v>
      </c>
      <c r="BY6" s="9">
        <f t="shared" si="5"/>
        <v>7.0815960634799224E-2</v>
      </c>
      <c r="BZ6" s="9">
        <f t="shared" si="5"/>
        <v>7.0107801028451225E-2</v>
      </c>
      <c r="CA6" s="9">
        <f t="shared" si="5"/>
        <v>6.9406723018166708E-2</v>
      </c>
      <c r="CB6" s="9">
        <f t="shared" si="5"/>
        <v>6.8712655787985036E-2</v>
      </c>
      <c r="CC6" s="9">
        <f t="shared" si="5"/>
        <v>6.8025529230105186E-2</v>
      </c>
      <c r="CD6" s="9">
        <f t="shared" si="5"/>
        <v>6.7345273937804137E-2</v>
      </c>
      <c r="CE6" s="9">
        <f t="shared" si="5"/>
        <v>6.6671821198426101E-2</v>
      </c>
      <c r="CF6" s="9">
        <f t="shared" ref="CF6:CX6" si="6">+CE6*(1+TR)</f>
        <v>6.6005102986441841E-2</v>
      </c>
      <c r="CG6" s="9">
        <f t="shared" si="6"/>
        <v>6.5345051956577416E-2</v>
      </c>
      <c r="CH6" s="9">
        <f t="shared" si="6"/>
        <v>6.4691601437011637E-2</v>
      </c>
      <c r="CI6" s="9">
        <f t="shared" si="6"/>
        <v>6.4044685422641523E-2</v>
      </c>
      <c r="CJ6" s="9">
        <f t="shared" si="6"/>
        <v>6.3404238568415108E-2</v>
      </c>
      <c r="CK6" s="9">
        <f t="shared" si="6"/>
        <v>6.2770196182730956E-2</v>
      </c>
      <c r="CL6" s="9">
        <f t="shared" si="6"/>
        <v>6.2142494220903642E-2</v>
      </c>
      <c r="CM6" s="9">
        <f t="shared" si="6"/>
        <v>6.1521069278694607E-2</v>
      </c>
      <c r="CN6" s="9">
        <f t="shared" si="6"/>
        <v>6.0905858585907663E-2</v>
      </c>
      <c r="CO6" s="9">
        <f t="shared" si="6"/>
        <v>6.0296800000048584E-2</v>
      </c>
      <c r="CP6" s="9">
        <f t="shared" si="6"/>
        <v>5.9693832000048096E-2</v>
      </c>
      <c r="CQ6" s="9">
        <f t="shared" si="6"/>
        <v>5.9096893680047613E-2</v>
      </c>
      <c r="CR6" s="9">
        <f t="shared" si="6"/>
        <v>5.8505924743247138E-2</v>
      </c>
      <c r="CS6" s="9">
        <f t="shared" si="6"/>
        <v>5.7920865495814669E-2</v>
      </c>
      <c r="CT6" s="9">
        <f t="shared" si="6"/>
        <v>5.7341656840856521E-2</v>
      </c>
      <c r="CU6" s="9">
        <f t="shared" si="6"/>
        <v>5.6768240272447958E-2</v>
      </c>
      <c r="CV6" s="9">
        <f t="shared" si="6"/>
        <v>5.6200557869723479E-2</v>
      </c>
      <c r="CW6" s="9">
        <f t="shared" si="6"/>
        <v>5.5638552291026246E-2</v>
      </c>
      <c r="CX6" s="9">
        <f t="shared" si="6"/>
        <v>5.5082166768115982E-2</v>
      </c>
    </row>
    <row r="7" spans="1:102" x14ac:dyDescent="0.25">
      <c r="B7" t="s">
        <v>26</v>
      </c>
      <c r="C7" s="2"/>
      <c r="D7" s="2"/>
      <c r="E7" s="2"/>
      <c r="F7" s="2">
        <f>+F4/F35</f>
        <v>0</v>
      </c>
      <c r="G7" s="2">
        <f>+G4/G35</f>
        <v>0</v>
      </c>
      <c r="H7" s="2">
        <v>0.34499999999999997</v>
      </c>
      <c r="I7" s="2">
        <v>0.35</v>
      </c>
      <c r="J7" s="2">
        <f t="shared" ref="J7:S7" si="7">+I7</f>
        <v>0.35</v>
      </c>
      <c r="K7" s="2">
        <f t="shared" si="7"/>
        <v>0.35</v>
      </c>
      <c r="L7" s="2">
        <f t="shared" si="7"/>
        <v>0.35</v>
      </c>
      <c r="M7" s="2">
        <f t="shared" si="7"/>
        <v>0.35</v>
      </c>
      <c r="N7" s="2">
        <f t="shared" si="7"/>
        <v>0.35</v>
      </c>
      <c r="O7" s="2">
        <f t="shared" si="7"/>
        <v>0.35</v>
      </c>
      <c r="P7" s="2">
        <f t="shared" si="7"/>
        <v>0.35</v>
      </c>
      <c r="Q7" s="2">
        <f t="shared" si="7"/>
        <v>0.35</v>
      </c>
      <c r="R7" s="2">
        <f t="shared" si="7"/>
        <v>0.35</v>
      </c>
      <c r="S7" s="2">
        <f t="shared" si="7"/>
        <v>0.35</v>
      </c>
    </row>
    <row r="8" spans="1:102" x14ac:dyDescent="0.25">
      <c r="B8" t="s">
        <v>60</v>
      </c>
      <c r="C8" s="5">
        <f t="shared" ref="C8:S8" si="8">+C6/Price</f>
        <v>2.8369863013698635E-2</v>
      </c>
      <c r="D8" s="5">
        <f t="shared" si="8"/>
        <v>2.9863013698630144E-2</v>
      </c>
      <c r="E8" s="5">
        <f t="shared" si="8"/>
        <v>3.1356164383561654E-2</v>
      </c>
      <c r="F8" s="5">
        <f t="shared" si="8"/>
        <v>3.2476027397260271E-2</v>
      </c>
      <c r="G8" s="5">
        <f t="shared" si="8"/>
        <v>3.5089041095890415E-2</v>
      </c>
      <c r="H8" s="5">
        <f t="shared" si="8"/>
        <v>3.260126798713775E-2</v>
      </c>
      <c r="I8" s="5">
        <f t="shared" si="8"/>
        <v>3.4097060731680458E-2</v>
      </c>
      <c r="J8" s="5">
        <f t="shared" si="8"/>
        <v>3.5106518733563491E-2</v>
      </c>
      <c r="K8" s="5">
        <f t="shared" si="8"/>
        <v>3.7401794065804773E-2</v>
      </c>
      <c r="L8" s="5">
        <f t="shared" si="8"/>
        <v>3.9681796908840841E-2</v>
      </c>
      <c r="M8" s="5">
        <f t="shared" si="8"/>
        <v>4.0645401080038696E-2</v>
      </c>
      <c r="N8" s="5">
        <f t="shared" si="8"/>
        <v>4.0291804773715093E-2</v>
      </c>
      <c r="O8" s="5">
        <f t="shared" si="8"/>
        <v>3.99205286520753E-2</v>
      </c>
      <c r="P8" s="5">
        <f t="shared" si="8"/>
        <v>4.0831051282526253E-2</v>
      </c>
      <c r="Q8" s="5">
        <f t="shared" si="8"/>
        <v>4.1722081916591103E-2</v>
      </c>
      <c r="R8" s="5">
        <f t="shared" si="8"/>
        <v>4.2592645954450573E-2</v>
      </c>
      <c r="S8" s="5">
        <f t="shared" si="8"/>
        <v>4.3441720066294383E-2</v>
      </c>
    </row>
    <row r="9" spans="1:102" x14ac:dyDescent="0.25">
      <c r="C9" s="6"/>
      <c r="D9" s="6"/>
      <c r="E9" s="6"/>
      <c r="F9" s="6"/>
      <c r="G9" s="6"/>
    </row>
    <row r="10" spans="1:102" x14ac:dyDescent="0.25">
      <c r="B10" t="s">
        <v>52</v>
      </c>
      <c r="C10" s="6"/>
      <c r="D10" s="6"/>
      <c r="E10" s="6"/>
      <c r="F10" s="6">
        <f>+F23/F16 *1000</f>
        <v>292.90485192186514</v>
      </c>
      <c r="G10" s="6">
        <f>+G23/G16 *1000</f>
        <v>291.93634249530692</v>
      </c>
      <c r="H10">
        <v>290</v>
      </c>
      <c r="I10">
        <v>290</v>
      </c>
      <c r="J10">
        <v>290</v>
      </c>
      <c r="K10">
        <v>290</v>
      </c>
      <c r="L10">
        <v>290</v>
      </c>
      <c r="M10">
        <v>290</v>
      </c>
      <c r="N10">
        <v>290</v>
      </c>
      <c r="O10">
        <v>290</v>
      </c>
      <c r="P10">
        <v>290</v>
      </c>
      <c r="Q10">
        <v>290</v>
      </c>
      <c r="R10">
        <v>290</v>
      </c>
      <c r="S10">
        <v>290</v>
      </c>
    </row>
    <row r="11" spans="1:102" x14ac:dyDescent="0.25">
      <c r="C11" s="6"/>
      <c r="D11" s="6"/>
      <c r="E11" s="6"/>
      <c r="F11" s="6"/>
      <c r="G11" s="6"/>
    </row>
    <row r="12" spans="1:102" x14ac:dyDescent="0.25">
      <c r="B12" t="s">
        <v>50</v>
      </c>
      <c r="C12" s="6"/>
      <c r="D12" s="6"/>
      <c r="E12" s="6">
        <f>+E16/E21</f>
        <v>26.018755659035055</v>
      </c>
      <c r="F12" s="6">
        <f>+F16/F21</f>
        <v>27.133771029954861</v>
      </c>
      <c r="G12" s="6">
        <f>+G16/G21</f>
        <v>28.518577706751898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02" x14ac:dyDescent="0.25">
      <c r="B13" t="s">
        <v>51</v>
      </c>
      <c r="C13" s="3"/>
      <c r="D13" s="3"/>
      <c r="E13" s="3"/>
      <c r="F13" s="3"/>
      <c r="G13" s="3">
        <f>+Sheet1!I22</f>
        <v>28.5</v>
      </c>
      <c r="H13" s="3">
        <f>+G13</f>
        <v>28.5</v>
      </c>
      <c r="I13" s="3">
        <f>+H13+1</f>
        <v>29.5</v>
      </c>
      <c r="J13" s="3">
        <f>+I13+1</f>
        <v>30.5</v>
      </c>
      <c r="K13" s="3">
        <f>+J13+2</f>
        <v>32.5</v>
      </c>
      <c r="L13" s="3">
        <f>+K13+2</f>
        <v>34.5</v>
      </c>
      <c r="M13" s="3">
        <f>+L13+1</f>
        <v>35.5</v>
      </c>
      <c r="N13" s="3">
        <f>+M13</f>
        <v>35.5</v>
      </c>
      <c r="O13" s="3">
        <f t="shared" ref="O13" si="9">+N13</f>
        <v>35.5</v>
      </c>
      <c r="P13" s="3">
        <f>+O13+1</f>
        <v>36.5</v>
      </c>
      <c r="Q13" s="3">
        <f>+P13+1</f>
        <v>37.5</v>
      </c>
      <c r="R13" s="3">
        <f>+Q13+1</f>
        <v>38.5</v>
      </c>
      <c r="S13" s="3">
        <f>+R13+1</f>
        <v>39.5</v>
      </c>
      <c r="T13" s="3"/>
    </row>
    <row r="14" spans="1:102" x14ac:dyDescent="0.25">
      <c r="C14" s="3"/>
      <c r="D14" s="3"/>
      <c r="E14" s="3"/>
      <c r="F14" s="3"/>
      <c r="G14" s="8"/>
    </row>
    <row r="15" spans="1:102" x14ac:dyDescent="0.25">
      <c r="A15" t="s">
        <v>27</v>
      </c>
      <c r="B15" s="1" t="s">
        <v>43</v>
      </c>
      <c r="C15" s="3"/>
      <c r="D15" s="3"/>
      <c r="E15" s="3"/>
      <c r="F15" s="3"/>
      <c r="G15" s="3"/>
    </row>
    <row r="16" spans="1:102" x14ac:dyDescent="0.25">
      <c r="B16" t="s">
        <v>28</v>
      </c>
      <c r="C16" s="3">
        <v>178970</v>
      </c>
      <c r="D16" s="3">
        <v>186487</v>
      </c>
      <c r="E16" s="3">
        <v>201151</v>
      </c>
      <c r="F16" s="3">
        <v>198375</v>
      </c>
      <c r="G16" s="3">
        <v>214146</v>
      </c>
      <c r="H16" s="3">
        <f>+H13*H21</f>
        <v>213750</v>
      </c>
      <c r="I16" s="3">
        <f t="shared" ref="I16:S16" si="10">+I13*I21</f>
        <v>221250</v>
      </c>
      <c r="J16" s="3">
        <f t="shared" si="10"/>
        <v>228750</v>
      </c>
      <c r="K16" s="3">
        <f t="shared" si="10"/>
        <v>243750</v>
      </c>
      <c r="L16" s="3">
        <f t="shared" si="10"/>
        <v>258750</v>
      </c>
      <c r="M16" s="3">
        <f t="shared" si="10"/>
        <v>266250</v>
      </c>
      <c r="N16" s="3">
        <f t="shared" si="10"/>
        <v>266250</v>
      </c>
      <c r="O16" s="3">
        <f t="shared" si="10"/>
        <v>266250</v>
      </c>
      <c r="P16" s="3">
        <f t="shared" si="10"/>
        <v>273750</v>
      </c>
      <c r="Q16" s="3">
        <f t="shared" si="10"/>
        <v>281250</v>
      </c>
      <c r="R16" s="3">
        <f t="shared" si="10"/>
        <v>288750</v>
      </c>
      <c r="S16" s="3">
        <f t="shared" si="10"/>
        <v>296250</v>
      </c>
    </row>
    <row r="17" spans="2:19" x14ac:dyDescent="0.25">
      <c r="B17" t="s">
        <v>5</v>
      </c>
      <c r="C17" s="3"/>
      <c r="D17" s="3"/>
      <c r="E17" s="3">
        <v>113714</v>
      </c>
      <c r="F17" s="3">
        <v>108472</v>
      </c>
      <c r="G17" s="3">
        <v>111460</v>
      </c>
    </row>
    <row r="18" spans="2:19" x14ac:dyDescent="0.25">
      <c r="B18" t="s">
        <v>13</v>
      </c>
      <c r="C18" s="3"/>
      <c r="D18" s="3"/>
      <c r="E18" s="3">
        <v>33155</v>
      </c>
      <c r="F18" s="3">
        <v>31406</v>
      </c>
      <c r="G18" s="3">
        <v>32360</v>
      </c>
    </row>
    <row r="19" spans="2:19" x14ac:dyDescent="0.25">
      <c r="B19" t="s">
        <v>9</v>
      </c>
      <c r="C19" s="3"/>
      <c r="D19" s="3"/>
      <c r="E19" s="3">
        <v>17056</v>
      </c>
      <c r="F19" s="3">
        <v>16583</v>
      </c>
      <c r="G19" s="3">
        <v>23251</v>
      </c>
    </row>
    <row r="20" spans="2:19" x14ac:dyDescent="0.25">
      <c r="B20" t="s">
        <v>15</v>
      </c>
      <c r="C20" s="3"/>
      <c r="D20" s="3"/>
      <c r="E20" s="3">
        <v>37226</v>
      </c>
      <c r="F20" s="3">
        <v>41913</v>
      </c>
      <c r="G20" s="3">
        <v>47075</v>
      </c>
    </row>
    <row r="21" spans="2:19" x14ac:dyDescent="0.25">
      <c r="B21" t="s">
        <v>30</v>
      </c>
      <c r="C21" s="3"/>
      <c r="D21" s="3"/>
      <c r="E21" s="3">
        <v>7731</v>
      </c>
      <c r="F21" s="3">
        <v>7311</v>
      </c>
      <c r="G21" s="3">
        <v>7509</v>
      </c>
      <c r="H21" s="3">
        <v>7500</v>
      </c>
      <c r="I21" s="3">
        <v>7500</v>
      </c>
      <c r="J21" s="3">
        <v>7500</v>
      </c>
      <c r="K21" s="3">
        <v>7500</v>
      </c>
      <c r="L21" s="3">
        <v>7500</v>
      </c>
      <c r="M21" s="3">
        <v>7500</v>
      </c>
      <c r="N21" s="3">
        <v>7500</v>
      </c>
      <c r="O21" s="3">
        <v>7500</v>
      </c>
      <c r="P21" s="3">
        <v>7500</v>
      </c>
      <c r="Q21" s="3">
        <v>7500</v>
      </c>
      <c r="R21" s="3">
        <v>7500</v>
      </c>
      <c r="S21" s="3">
        <v>7500</v>
      </c>
    </row>
    <row r="22" spans="2:19" x14ac:dyDescent="0.25">
      <c r="C22" s="3"/>
      <c r="D22" s="3"/>
      <c r="E22" s="3"/>
      <c r="F22" s="7"/>
      <c r="G22" s="7"/>
    </row>
    <row r="23" spans="2:19" x14ac:dyDescent="0.25">
      <c r="B23" t="s">
        <v>32</v>
      </c>
      <c r="F23" s="3">
        <v>58105</v>
      </c>
      <c r="G23" s="3">
        <v>62517</v>
      </c>
      <c r="H23" s="3">
        <f>+H16*H10/1000</f>
        <v>61987.5</v>
      </c>
      <c r="I23" s="3">
        <f t="shared" ref="I23:S23" si="11">+I16*I10/1000</f>
        <v>64162.5</v>
      </c>
      <c r="J23" s="3">
        <f t="shared" si="11"/>
        <v>66337.5</v>
      </c>
      <c r="K23" s="3">
        <f t="shared" si="11"/>
        <v>70687.5</v>
      </c>
      <c r="L23" s="3">
        <f t="shared" si="11"/>
        <v>75037.5</v>
      </c>
      <c r="M23" s="3">
        <f t="shared" si="11"/>
        <v>77212.5</v>
      </c>
      <c r="N23" s="3">
        <f t="shared" si="11"/>
        <v>77212.5</v>
      </c>
      <c r="O23" s="3">
        <f t="shared" si="11"/>
        <v>77212.5</v>
      </c>
      <c r="P23" s="3">
        <f t="shared" si="11"/>
        <v>79387.5</v>
      </c>
      <c r="Q23" s="3">
        <f t="shared" si="11"/>
        <v>81562.5</v>
      </c>
      <c r="R23" s="3">
        <f t="shared" si="11"/>
        <v>83737.5</v>
      </c>
      <c r="S23" s="3">
        <f t="shared" si="11"/>
        <v>85912.5</v>
      </c>
    </row>
    <row r="24" spans="2:19" x14ac:dyDescent="0.25">
      <c r="B24" t="s">
        <v>34</v>
      </c>
      <c r="C24" s="3"/>
      <c r="D24" s="3"/>
      <c r="E24" s="3"/>
      <c r="F24" s="3">
        <v>1100</v>
      </c>
      <c r="G24" s="3">
        <v>1457</v>
      </c>
      <c r="H24" s="3">
        <v>1500</v>
      </c>
      <c r="I24" s="3">
        <v>1500</v>
      </c>
      <c r="J24" s="3">
        <v>1500</v>
      </c>
      <c r="K24" s="3">
        <v>1500</v>
      </c>
      <c r="L24" s="3">
        <v>1500</v>
      </c>
      <c r="M24" s="3">
        <v>1500</v>
      </c>
      <c r="N24" s="3">
        <v>1500</v>
      </c>
      <c r="O24" s="3">
        <v>1500</v>
      </c>
      <c r="P24" s="3">
        <v>1500</v>
      </c>
      <c r="Q24" s="3">
        <v>1500</v>
      </c>
      <c r="R24" s="3">
        <v>1500</v>
      </c>
      <c r="S24" s="3">
        <v>1500</v>
      </c>
    </row>
    <row r="25" spans="2:19" x14ac:dyDescent="0.25">
      <c r="B25" t="s">
        <v>35</v>
      </c>
      <c r="C25" s="3"/>
      <c r="D25" s="3"/>
      <c r="E25" s="3"/>
      <c r="F25" s="3">
        <v>920</v>
      </c>
      <c r="G25" s="3">
        <v>676</v>
      </c>
      <c r="H25" s="3">
        <v>500</v>
      </c>
      <c r="I25" s="3">
        <v>500</v>
      </c>
      <c r="J25" s="3">
        <v>500</v>
      </c>
      <c r="K25" s="3">
        <v>500</v>
      </c>
      <c r="L25" s="3">
        <v>500</v>
      </c>
      <c r="M25" s="3">
        <v>500</v>
      </c>
      <c r="N25" s="3">
        <v>500</v>
      </c>
      <c r="O25" s="3">
        <v>500</v>
      </c>
      <c r="P25" s="3">
        <v>500</v>
      </c>
      <c r="Q25" s="3">
        <v>500</v>
      </c>
      <c r="R25" s="3">
        <v>500</v>
      </c>
      <c r="S25" s="3">
        <v>500</v>
      </c>
    </row>
    <row r="26" spans="2:19" x14ac:dyDescent="0.25">
      <c r="B26" s="1" t="s">
        <v>31</v>
      </c>
      <c r="C26" s="4"/>
      <c r="D26" s="4"/>
      <c r="E26" s="4"/>
      <c r="F26" s="4">
        <f>+SUM(F23:F25)</f>
        <v>60125</v>
      </c>
      <c r="G26" s="4">
        <f>+SUM(G23:G25)</f>
        <v>64650</v>
      </c>
      <c r="H26" s="4">
        <f t="shared" ref="H26:S26" si="12">+SUM(H23:H25)</f>
        <v>63987.5</v>
      </c>
      <c r="I26" s="4">
        <f t="shared" si="12"/>
        <v>66162.5</v>
      </c>
      <c r="J26" s="4">
        <f t="shared" si="12"/>
        <v>68337.5</v>
      </c>
      <c r="K26" s="4">
        <f t="shared" si="12"/>
        <v>72687.5</v>
      </c>
      <c r="L26" s="4">
        <f t="shared" si="12"/>
        <v>77037.5</v>
      </c>
      <c r="M26" s="4">
        <f t="shared" si="12"/>
        <v>79212.5</v>
      </c>
      <c r="N26" s="4">
        <f t="shared" si="12"/>
        <v>79212.5</v>
      </c>
      <c r="O26" s="4">
        <f t="shared" si="12"/>
        <v>79212.5</v>
      </c>
      <c r="P26" s="4">
        <f t="shared" si="12"/>
        <v>81387.5</v>
      </c>
      <c r="Q26" s="4">
        <f t="shared" si="12"/>
        <v>83562.5</v>
      </c>
      <c r="R26" s="4">
        <f t="shared" si="12"/>
        <v>85737.5</v>
      </c>
      <c r="S26" s="4">
        <f t="shared" si="12"/>
        <v>87912.5</v>
      </c>
    </row>
    <row r="27" spans="2:19" x14ac:dyDescent="0.25">
      <c r="B27" t="s">
        <v>38</v>
      </c>
      <c r="C27" s="3"/>
      <c r="D27" s="3"/>
      <c r="E27" s="3"/>
      <c r="F27" s="3">
        <f>+F26*0.139</f>
        <v>8357.375</v>
      </c>
      <c r="G27" s="3">
        <f>+G26*0.13</f>
        <v>8404.5</v>
      </c>
      <c r="H27" s="3">
        <f>+H23*0.135</f>
        <v>8368.3125</v>
      </c>
      <c r="I27" s="3">
        <f t="shared" ref="I27:S27" si="13">+I23*0.135</f>
        <v>8661.9375</v>
      </c>
      <c r="J27" s="3">
        <f t="shared" si="13"/>
        <v>8955.5625</v>
      </c>
      <c r="K27" s="3">
        <f t="shared" si="13"/>
        <v>9542.8125</v>
      </c>
      <c r="L27" s="3">
        <f t="shared" si="13"/>
        <v>10130.0625</v>
      </c>
      <c r="M27" s="3">
        <f t="shared" si="13"/>
        <v>10423.6875</v>
      </c>
      <c r="N27" s="3">
        <f t="shared" si="13"/>
        <v>10423.6875</v>
      </c>
      <c r="O27" s="3">
        <f t="shared" si="13"/>
        <v>10423.6875</v>
      </c>
      <c r="P27" s="3">
        <f t="shared" si="13"/>
        <v>10717.3125</v>
      </c>
      <c r="Q27" s="3">
        <f t="shared" si="13"/>
        <v>11010.9375</v>
      </c>
      <c r="R27" s="3">
        <f t="shared" si="13"/>
        <v>11304.5625</v>
      </c>
      <c r="S27" s="3">
        <f t="shared" si="13"/>
        <v>11598.1875</v>
      </c>
    </row>
    <row r="28" spans="2:19" x14ac:dyDescent="0.25">
      <c r="B28" t="s">
        <v>39</v>
      </c>
      <c r="F28" s="3">
        <f>+F26*0.155</f>
        <v>9319.375</v>
      </c>
      <c r="G28" s="3">
        <f>+G26*0.162</f>
        <v>10473.300000000001</v>
      </c>
      <c r="H28" s="3">
        <f>+H26*0.16</f>
        <v>10238</v>
      </c>
      <c r="I28" s="3">
        <f t="shared" ref="I28:S28" si="14">+I26*0.16</f>
        <v>10586</v>
      </c>
      <c r="J28" s="3">
        <f t="shared" si="14"/>
        <v>10934</v>
      </c>
      <c r="K28" s="3">
        <f t="shared" si="14"/>
        <v>11630</v>
      </c>
      <c r="L28" s="3">
        <f t="shared" si="14"/>
        <v>12326</v>
      </c>
      <c r="M28" s="3">
        <f t="shared" si="14"/>
        <v>12674</v>
      </c>
      <c r="N28" s="3">
        <f t="shared" si="14"/>
        <v>12674</v>
      </c>
      <c r="O28" s="3">
        <f t="shared" si="14"/>
        <v>12674</v>
      </c>
      <c r="P28" s="3">
        <f t="shared" si="14"/>
        <v>13022</v>
      </c>
      <c r="Q28" s="3">
        <f t="shared" si="14"/>
        <v>13370</v>
      </c>
      <c r="R28" s="3">
        <f t="shared" si="14"/>
        <v>13718</v>
      </c>
      <c r="S28" s="3">
        <f t="shared" si="14"/>
        <v>14066</v>
      </c>
    </row>
    <row r="29" spans="2:19" x14ac:dyDescent="0.25">
      <c r="B29" t="s">
        <v>40</v>
      </c>
      <c r="F29" s="3">
        <f>+F26*0.055</f>
        <v>3306.875</v>
      </c>
      <c r="G29" s="3">
        <f>+G26*0.053</f>
        <v>3426.45</v>
      </c>
      <c r="H29" s="3">
        <f>+H26*0.055</f>
        <v>3519.3125</v>
      </c>
      <c r="I29" s="3">
        <f t="shared" ref="I29:S29" si="15">+I26*0.055</f>
        <v>3638.9375</v>
      </c>
      <c r="J29" s="3">
        <f t="shared" si="15"/>
        <v>3758.5625</v>
      </c>
      <c r="K29" s="3">
        <f t="shared" si="15"/>
        <v>3997.8125</v>
      </c>
      <c r="L29" s="3">
        <f t="shared" si="15"/>
        <v>4237.0625</v>
      </c>
      <c r="M29" s="3">
        <f t="shared" si="15"/>
        <v>4356.6875</v>
      </c>
      <c r="N29" s="3">
        <f t="shared" si="15"/>
        <v>4356.6875</v>
      </c>
      <c r="O29" s="3">
        <f t="shared" si="15"/>
        <v>4356.6875</v>
      </c>
      <c r="P29" s="3">
        <f t="shared" si="15"/>
        <v>4476.3125</v>
      </c>
      <c r="Q29" s="3">
        <f t="shared" si="15"/>
        <v>4595.9375</v>
      </c>
      <c r="R29" s="3">
        <f t="shared" si="15"/>
        <v>4715.5625</v>
      </c>
      <c r="S29" s="3">
        <f t="shared" si="15"/>
        <v>4835.1875</v>
      </c>
    </row>
    <row r="30" spans="2:19" x14ac:dyDescent="0.25">
      <c r="B30" t="s">
        <v>41</v>
      </c>
      <c r="F30" s="3">
        <f>+F26*0.196</f>
        <v>11784.5</v>
      </c>
      <c r="G30" s="3">
        <f>+G26*0.201</f>
        <v>12994.650000000001</v>
      </c>
      <c r="H30" s="3">
        <f>+H26*0.2</f>
        <v>12797.5</v>
      </c>
      <c r="I30" s="3">
        <f t="shared" ref="I30:S30" si="16">+I26*0.2</f>
        <v>13232.5</v>
      </c>
      <c r="J30" s="3">
        <f t="shared" si="16"/>
        <v>13667.5</v>
      </c>
      <c r="K30" s="3">
        <f t="shared" si="16"/>
        <v>14537.5</v>
      </c>
      <c r="L30" s="3">
        <f t="shared" si="16"/>
        <v>15407.5</v>
      </c>
      <c r="M30" s="3">
        <f t="shared" si="16"/>
        <v>15842.5</v>
      </c>
      <c r="N30" s="3">
        <f t="shared" si="16"/>
        <v>15842.5</v>
      </c>
      <c r="O30" s="3">
        <f t="shared" si="16"/>
        <v>15842.5</v>
      </c>
      <c r="P30" s="3">
        <f t="shared" si="16"/>
        <v>16277.5</v>
      </c>
      <c r="Q30" s="3">
        <f t="shared" si="16"/>
        <v>16712.5</v>
      </c>
      <c r="R30" s="3">
        <f t="shared" si="16"/>
        <v>17147.5</v>
      </c>
      <c r="S30" s="3">
        <f t="shared" si="16"/>
        <v>17582.5</v>
      </c>
    </row>
    <row r="31" spans="2:19" x14ac:dyDescent="0.25">
      <c r="B31" t="s">
        <v>44</v>
      </c>
      <c r="F31" s="3">
        <f>+F26-SUM(F27:F30)</f>
        <v>27356.875</v>
      </c>
      <c r="G31" s="3">
        <f>+G26-SUM(G27:G30)</f>
        <v>29351.099999999991</v>
      </c>
      <c r="H31" s="3">
        <f t="shared" ref="H31:S31" si="17">+H26-SUM(H27:H30)</f>
        <v>29064.375</v>
      </c>
      <c r="I31" s="3">
        <f t="shared" si="17"/>
        <v>30043.125</v>
      </c>
      <c r="J31" s="3">
        <f t="shared" si="17"/>
        <v>31021.875</v>
      </c>
      <c r="K31" s="3">
        <f t="shared" si="17"/>
        <v>32979.375</v>
      </c>
      <c r="L31" s="3">
        <f t="shared" si="17"/>
        <v>34936.875</v>
      </c>
      <c r="M31" s="3">
        <f t="shared" si="17"/>
        <v>35915.625</v>
      </c>
      <c r="N31" s="3">
        <f t="shared" si="17"/>
        <v>35915.625</v>
      </c>
      <c r="O31" s="3">
        <f t="shared" si="17"/>
        <v>35915.625</v>
      </c>
      <c r="P31" s="3">
        <f t="shared" si="17"/>
        <v>36894.375</v>
      </c>
      <c r="Q31" s="3">
        <f t="shared" si="17"/>
        <v>37873.125</v>
      </c>
      <c r="R31" s="3">
        <f t="shared" si="17"/>
        <v>38851.875</v>
      </c>
      <c r="S31" s="3">
        <f t="shared" si="17"/>
        <v>39830.625</v>
      </c>
    </row>
    <row r="32" spans="2:19" x14ac:dyDescent="0.25">
      <c r="B32" t="s">
        <v>47</v>
      </c>
      <c r="F32" s="3">
        <f>+F35/(3-1)</f>
        <v>4982</v>
      </c>
      <c r="G32" s="3">
        <v>3972</v>
      </c>
      <c r="H32" s="3">
        <f>+G32*1.05</f>
        <v>4170.6000000000004</v>
      </c>
      <c r="I32" s="3">
        <f t="shared" ref="I32:S32" si="18">+H32*1.05</f>
        <v>4379.130000000001</v>
      </c>
      <c r="J32" s="3">
        <f t="shared" si="18"/>
        <v>4598.0865000000013</v>
      </c>
      <c r="K32" s="3">
        <f t="shared" si="18"/>
        <v>4827.9908250000017</v>
      </c>
      <c r="L32" s="3">
        <f t="shared" si="18"/>
        <v>5069.3903662500015</v>
      </c>
      <c r="M32" s="3">
        <f t="shared" si="18"/>
        <v>5322.859884562502</v>
      </c>
      <c r="N32" s="3">
        <f t="shared" si="18"/>
        <v>5589.0028787906276</v>
      </c>
      <c r="O32" s="3">
        <f t="shared" si="18"/>
        <v>5868.4530227301593</v>
      </c>
      <c r="P32" s="3">
        <f t="shared" si="18"/>
        <v>6161.875673866668</v>
      </c>
      <c r="Q32" s="3">
        <f t="shared" si="18"/>
        <v>6469.9694575600015</v>
      </c>
      <c r="R32" s="3">
        <f t="shared" si="18"/>
        <v>6793.4679304380015</v>
      </c>
      <c r="S32" s="3">
        <f t="shared" si="18"/>
        <v>7133.1413269599016</v>
      </c>
    </row>
    <row r="33" spans="2:108" x14ac:dyDescent="0.25">
      <c r="B33" t="s">
        <v>48</v>
      </c>
      <c r="F33" s="3">
        <f>+F31-F32</f>
        <v>22374.875</v>
      </c>
      <c r="G33" s="3">
        <f>+G31-G32</f>
        <v>25379.099999999991</v>
      </c>
      <c r="H33" s="3">
        <f t="shared" ref="H33:S33" si="19">+H31-H32</f>
        <v>24893.775000000001</v>
      </c>
      <c r="I33" s="3">
        <f t="shared" si="19"/>
        <v>25663.994999999999</v>
      </c>
      <c r="J33" s="3">
        <f t="shared" si="19"/>
        <v>26423.788499999999</v>
      </c>
      <c r="K33" s="3">
        <f t="shared" si="19"/>
        <v>28151.384174999999</v>
      </c>
      <c r="L33" s="3">
        <f t="shared" si="19"/>
        <v>29867.484633749998</v>
      </c>
      <c r="M33" s="3">
        <f t="shared" si="19"/>
        <v>30592.765115437498</v>
      </c>
      <c r="N33" s="3">
        <f t="shared" si="19"/>
        <v>30326.622121209373</v>
      </c>
      <c r="O33" s="3">
        <f t="shared" si="19"/>
        <v>30047.171977269842</v>
      </c>
      <c r="P33" s="3">
        <f t="shared" si="19"/>
        <v>30732.499326133333</v>
      </c>
      <c r="Q33" s="3">
        <f t="shared" si="19"/>
        <v>31403.155542439999</v>
      </c>
      <c r="R33" s="3">
        <f t="shared" si="19"/>
        <v>32058.407069561999</v>
      </c>
      <c r="S33" s="3">
        <f t="shared" si="19"/>
        <v>32697.4836730401</v>
      </c>
    </row>
    <row r="34" spans="2:108" x14ac:dyDescent="0.25">
      <c r="B34" t="s">
        <v>49</v>
      </c>
      <c r="F34" s="3">
        <f>+F33-F35</f>
        <v>12410.875</v>
      </c>
      <c r="G34" s="3">
        <f>+G33-G35</f>
        <v>14654.099999999991</v>
      </c>
      <c r="H34" s="3">
        <f>+H33*0.6</f>
        <v>14936.264999999999</v>
      </c>
      <c r="I34" s="3">
        <f t="shared" ref="I34:R34" si="20">+I33*0.6</f>
        <v>15398.396999999999</v>
      </c>
      <c r="J34" s="3">
        <f t="shared" si="20"/>
        <v>15854.273099999999</v>
      </c>
      <c r="K34" s="3">
        <f t="shared" si="20"/>
        <v>16890.830504999998</v>
      </c>
      <c r="L34" s="3">
        <f t="shared" si="20"/>
        <v>17920.490780249998</v>
      </c>
      <c r="M34" s="3">
        <f t="shared" si="20"/>
        <v>18355.6590692625</v>
      </c>
      <c r="N34" s="3">
        <f t="shared" si="20"/>
        <v>18195.973272725623</v>
      </c>
      <c r="O34" s="3">
        <f t="shared" si="20"/>
        <v>18028.303186361903</v>
      </c>
      <c r="P34" s="3">
        <f t="shared" si="20"/>
        <v>18439.499595679998</v>
      </c>
      <c r="Q34" s="3">
        <f t="shared" si="20"/>
        <v>18841.893325464</v>
      </c>
      <c r="R34" s="3">
        <f t="shared" si="20"/>
        <v>19235.0442417372</v>
      </c>
      <c r="S34" s="3">
        <f>+S33*0.6</f>
        <v>19618.490203824058</v>
      </c>
    </row>
    <row r="35" spans="2:108" s="1" customFormat="1" x14ac:dyDescent="0.25">
      <c r="B35" s="1" t="s">
        <v>36</v>
      </c>
      <c r="C35" s="4"/>
      <c r="D35" s="4"/>
      <c r="E35" s="4"/>
      <c r="F35" s="4">
        <v>9964</v>
      </c>
      <c r="G35" s="4">
        <v>10725</v>
      </c>
      <c r="H35" s="4">
        <f>+H33-H34</f>
        <v>9957.510000000002</v>
      </c>
      <c r="I35" s="4">
        <f t="shared" ref="I35:S35" si="21">+I33-I34</f>
        <v>10265.598</v>
      </c>
      <c r="J35" s="4">
        <f t="shared" si="21"/>
        <v>10569.5154</v>
      </c>
      <c r="K35" s="4">
        <f t="shared" si="21"/>
        <v>11260.553670000001</v>
      </c>
      <c r="L35" s="4">
        <f t="shared" si="21"/>
        <v>11946.9938535</v>
      </c>
      <c r="M35" s="4">
        <f t="shared" si="21"/>
        <v>12237.106046174998</v>
      </c>
      <c r="N35" s="4">
        <f t="shared" si="21"/>
        <v>12130.64884848375</v>
      </c>
      <c r="O35" s="4">
        <f t="shared" si="21"/>
        <v>12018.868790907938</v>
      </c>
      <c r="P35" s="4">
        <f t="shared" si="21"/>
        <v>12292.999730453335</v>
      </c>
      <c r="Q35" s="4">
        <f t="shared" si="21"/>
        <v>12561.262216976</v>
      </c>
      <c r="R35" s="4">
        <f t="shared" si="21"/>
        <v>12823.3628278248</v>
      </c>
      <c r="S35" s="4">
        <f t="shared" si="21"/>
        <v>13078.993469216042</v>
      </c>
      <c r="T35" s="1">
        <f t="shared" ref="T35:AY35" si="22">+S35*(1+TR)</f>
        <v>12948.203534523882</v>
      </c>
      <c r="U35" s="1">
        <f t="shared" si="22"/>
        <v>12818.721499178642</v>
      </c>
      <c r="V35" s="1">
        <f t="shared" si="22"/>
        <v>12690.534284186855</v>
      </c>
      <c r="W35" s="1">
        <f t="shared" si="22"/>
        <v>12563.628941344987</v>
      </c>
      <c r="X35" s="1">
        <f t="shared" si="22"/>
        <v>12437.992651931536</v>
      </c>
      <c r="Y35" s="1">
        <f t="shared" si="22"/>
        <v>12313.61272541222</v>
      </c>
      <c r="Z35" s="1">
        <f t="shared" si="22"/>
        <v>12190.476598158099</v>
      </c>
      <c r="AA35" s="1">
        <f t="shared" si="22"/>
        <v>12068.571832176518</v>
      </c>
      <c r="AB35" s="1">
        <f t="shared" si="22"/>
        <v>11947.886113854753</v>
      </c>
      <c r="AC35" s="1">
        <f t="shared" si="22"/>
        <v>11828.407252716204</v>
      </c>
      <c r="AD35" s="1">
        <f t="shared" si="22"/>
        <v>11710.123180189043</v>
      </c>
      <c r="AE35" s="1">
        <f t="shared" si="22"/>
        <v>11593.021948387151</v>
      </c>
      <c r="AF35" s="1">
        <f t="shared" si="22"/>
        <v>11477.09172890328</v>
      </c>
      <c r="AG35" s="1">
        <f t="shared" si="22"/>
        <v>11362.320811614247</v>
      </c>
      <c r="AH35" s="1">
        <f t="shared" si="22"/>
        <v>11248.697603498103</v>
      </c>
      <c r="AI35" s="1">
        <f t="shared" si="22"/>
        <v>11136.210627463122</v>
      </c>
      <c r="AJ35" s="1">
        <f t="shared" si="22"/>
        <v>11024.848521188491</v>
      </c>
      <c r="AK35" s="1">
        <f t="shared" si="22"/>
        <v>10914.600035976606</v>
      </c>
      <c r="AL35" s="1">
        <f t="shared" si="22"/>
        <v>10805.45403561684</v>
      </c>
      <c r="AM35" s="1">
        <f t="shared" si="22"/>
        <v>10697.399495260672</v>
      </c>
      <c r="AN35" s="1">
        <f t="shared" si="22"/>
        <v>10590.425500308065</v>
      </c>
      <c r="AO35" s="1">
        <f t="shared" si="22"/>
        <v>10484.521245304984</v>
      </c>
      <c r="AP35" s="1">
        <f t="shared" si="22"/>
        <v>10379.676032851934</v>
      </c>
      <c r="AQ35" s="1">
        <f t="shared" si="22"/>
        <v>10275.879272523414</v>
      </c>
      <c r="AR35" s="1">
        <f t="shared" si="22"/>
        <v>10173.120479798181</v>
      </c>
      <c r="AS35" s="1">
        <f t="shared" si="22"/>
        <v>10071.3892750002</v>
      </c>
      <c r="AT35" s="1">
        <f t="shared" si="22"/>
        <v>9970.6753822501978</v>
      </c>
      <c r="AU35" s="1">
        <f t="shared" si="22"/>
        <v>9870.9686284276959</v>
      </c>
      <c r="AV35" s="1">
        <f t="shared" si="22"/>
        <v>9772.2589421434186</v>
      </c>
      <c r="AW35" s="1">
        <f t="shared" si="22"/>
        <v>9674.5363527219852</v>
      </c>
      <c r="AX35" s="1">
        <f t="shared" si="22"/>
        <v>9577.7909891947656</v>
      </c>
      <c r="AY35" s="1">
        <f t="shared" si="22"/>
        <v>9482.0130793028184</v>
      </c>
      <c r="AZ35" s="1">
        <f t="shared" ref="AZ35:CE35" si="23">+AY35*(1+TR)</f>
        <v>9387.1929485097899</v>
      </c>
      <c r="BA35" s="1">
        <f t="shared" si="23"/>
        <v>9293.3210190246919</v>
      </c>
      <c r="BB35" s="1">
        <f t="shared" si="23"/>
        <v>9200.3878088344445</v>
      </c>
      <c r="BC35" s="1">
        <f t="shared" si="23"/>
        <v>9108.3839307461003</v>
      </c>
      <c r="BD35" s="1">
        <f t="shared" si="23"/>
        <v>9017.3000914386394</v>
      </c>
      <c r="BE35" s="1">
        <f t="shared" si="23"/>
        <v>8927.1270905242527</v>
      </c>
      <c r="BF35" s="1">
        <f t="shared" si="23"/>
        <v>8837.8558196190097</v>
      </c>
      <c r="BG35" s="1">
        <f t="shared" si="23"/>
        <v>8749.4772614228186</v>
      </c>
      <c r="BH35" s="1">
        <f t="shared" si="23"/>
        <v>8661.9824888085896</v>
      </c>
      <c r="BI35" s="1">
        <f t="shared" si="23"/>
        <v>8575.3626639205031</v>
      </c>
      <c r="BJ35" s="1">
        <f t="shared" si="23"/>
        <v>8489.6090372812978</v>
      </c>
      <c r="BK35" s="1">
        <f t="shared" si="23"/>
        <v>8404.7129469084848</v>
      </c>
      <c r="BL35" s="1">
        <f t="shared" si="23"/>
        <v>8320.6658174393997</v>
      </c>
      <c r="BM35" s="1">
        <f t="shared" si="23"/>
        <v>8237.4591592650049</v>
      </c>
      <c r="BN35" s="1">
        <f t="shared" si="23"/>
        <v>8155.0845676723548</v>
      </c>
      <c r="BO35" s="1">
        <f t="shared" si="23"/>
        <v>8073.5337219956309</v>
      </c>
      <c r="BP35" s="1">
        <f t="shared" si="23"/>
        <v>7992.7983847756741</v>
      </c>
      <c r="BQ35" s="1">
        <f t="shared" si="23"/>
        <v>7912.8704009279172</v>
      </c>
      <c r="BR35" s="1">
        <f t="shared" si="23"/>
        <v>7833.7416969186379</v>
      </c>
      <c r="BS35" s="1">
        <f t="shared" si="23"/>
        <v>7755.4042799494518</v>
      </c>
      <c r="BT35" s="1">
        <f t="shared" si="23"/>
        <v>7677.8502371499571</v>
      </c>
      <c r="BU35" s="1">
        <f t="shared" si="23"/>
        <v>7601.0717347784575</v>
      </c>
      <c r="BV35" s="1">
        <f t="shared" si="23"/>
        <v>7525.061017430673</v>
      </c>
      <c r="BW35" s="1">
        <f t="shared" si="23"/>
        <v>7449.8104072563665</v>
      </c>
      <c r="BX35" s="1">
        <f t="shared" si="23"/>
        <v>7375.3123031838031</v>
      </c>
      <c r="BY35" s="1">
        <f t="shared" si="23"/>
        <v>7301.5591801519649</v>
      </c>
      <c r="BZ35" s="1">
        <f t="shared" si="23"/>
        <v>7228.5435883504451</v>
      </c>
      <c r="CA35" s="1">
        <f t="shared" si="23"/>
        <v>7156.2581524669404</v>
      </c>
      <c r="CB35" s="1">
        <f t="shared" si="23"/>
        <v>7084.6955709422709</v>
      </c>
      <c r="CC35" s="1">
        <f t="shared" si="23"/>
        <v>7013.8486152328478</v>
      </c>
      <c r="CD35" s="1">
        <f t="shared" si="23"/>
        <v>6943.7101290805194</v>
      </c>
      <c r="CE35" s="1">
        <f t="shared" si="23"/>
        <v>6874.2730277897144</v>
      </c>
      <c r="CF35" s="1">
        <f t="shared" ref="CF35:DD35" si="24">+CE35*(1+TR)</f>
        <v>6805.5302975118175</v>
      </c>
      <c r="CG35" s="1">
        <f t="shared" si="24"/>
        <v>6737.4749945366993</v>
      </c>
      <c r="CH35" s="1">
        <f t="shared" si="24"/>
        <v>6670.1002445913327</v>
      </c>
      <c r="CI35" s="1">
        <f t="shared" si="24"/>
        <v>6603.3992421454195</v>
      </c>
      <c r="CJ35" s="1">
        <f t="shared" si="24"/>
        <v>6537.3652497239655</v>
      </c>
      <c r="CK35" s="1">
        <f t="shared" si="24"/>
        <v>6471.9915972267254</v>
      </c>
      <c r="CL35" s="1">
        <f t="shared" si="24"/>
        <v>6407.2716812544577</v>
      </c>
      <c r="CM35" s="1">
        <f t="shared" si="24"/>
        <v>6343.1989644419127</v>
      </c>
      <c r="CN35" s="1">
        <f t="shared" si="24"/>
        <v>6279.7669747974933</v>
      </c>
      <c r="CO35" s="1">
        <f t="shared" si="24"/>
        <v>6216.969305049518</v>
      </c>
      <c r="CP35" s="1">
        <f t="shared" si="24"/>
        <v>6154.799611999023</v>
      </c>
      <c r="CQ35" s="1">
        <f t="shared" si="24"/>
        <v>6093.2516158790331</v>
      </c>
      <c r="CR35" s="1">
        <f t="shared" si="24"/>
        <v>6032.3190997202428</v>
      </c>
      <c r="CS35" s="1">
        <f t="shared" si="24"/>
        <v>5971.99590872304</v>
      </c>
      <c r="CT35" s="1">
        <f t="shared" si="24"/>
        <v>5912.2759496358094</v>
      </c>
      <c r="CU35" s="1">
        <f t="shared" si="24"/>
        <v>5853.153190139451</v>
      </c>
      <c r="CV35" s="1">
        <f t="shared" si="24"/>
        <v>5794.6216582380566</v>
      </c>
      <c r="CW35" s="1">
        <f t="shared" si="24"/>
        <v>5736.675441655676</v>
      </c>
      <c r="CX35" s="1">
        <f t="shared" si="24"/>
        <v>5679.3086872391195</v>
      </c>
      <c r="CY35" s="1">
        <f t="shared" si="24"/>
        <v>5622.515600366728</v>
      </c>
      <c r="CZ35" s="1">
        <f t="shared" si="24"/>
        <v>5566.2904443630605</v>
      </c>
      <c r="DA35" s="1">
        <f t="shared" si="24"/>
        <v>5510.6275399194301</v>
      </c>
      <c r="DB35" s="1">
        <f t="shared" si="24"/>
        <v>5455.5212645202355</v>
      </c>
      <c r="DC35" s="1">
        <f t="shared" si="24"/>
        <v>5400.9660518750334</v>
      </c>
      <c r="DD35" s="1">
        <f t="shared" si="24"/>
        <v>5346.9563913562833</v>
      </c>
    </row>
    <row r="36" spans="2:108" x14ac:dyDescent="0.25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2:108" x14ac:dyDescent="0.25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U37" t="s">
        <v>53</v>
      </c>
      <c r="V37" s="2">
        <v>0.09</v>
      </c>
    </row>
    <row r="38" spans="2:108" s="2" customFormat="1" x14ac:dyDescent="0.25">
      <c r="B38" s="2" t="s">
        <v>45</v>
      </c>
      <c r="F38" s="5">
        <f>+F31/F26</f>
        <v>0.45500000000000002</v>
      </c>
      <c r="G38" s="5">
        <f>+G31/G26</f>
        <v>0.45399999999999985</v>
      </c>
      <c r="U38" s="2" t="s">
        <v>54</v>
      </c>
      <c r="V38" s="2">
        <v>-0.01</v>
      </c>
    </row>
    <row r="39" spans="2:108" s="2" customFormat="1" x14ac:dyDescent="0.25">
      <c r="B39" s="2" t="s">
        <v>46</v>
      </c>
      <c r="F39" s="5">
        <f>+F35/F26</f>
        <v>0.16572141372141372</v>
      </c>
      <c r="G39" s="5">
        <f>+G35/G26</f>
        <v>0.16589327146171692</v>
      </c>
      <c r="U39" s="2" t="s">
        <v>55</v>
      </c>
      <c r="V39" s="6">
        <f>NPV(V37,H35:DD35)</f>
        <v>128255.74066953147</v>
      </c>
    </row>
    <row r="40" spans="2:108" s="2" customFormat="1" x14ac:dyDescent="0.25">
      <c r="B40" s="2" t="s">
        <v>49</v>
      </c>
      <c r="F40" s="2">
        <f>+F34/F33</f>
        <v>0.55467907641942138</v>
      </c>
      <c r="G40" s="2">
        <f>+G34/G33</f>
        <v>0.57740818232325009</v>
      </c>
      <c r="U40" s="2" t="s">
        <v>63</v>
      </c>
      <c r="V40" s="14">
        <f>+V39/Shares</f>
        <v>3.260602160719499</v>
      </c>
    </row>
    <row r="41" spans="2:108" x14ac:dyDescent="0.25">
      <c r="U41" s="2" t="s">
        <v>58</v>
      </c>
      <c r="V41" s="15">
        <f>+V40*1.09</f>
        <v>3.5540563551842541</v>
      </c>
    </row>
    <row r="42" spans="2:108" x14ac:dyDescent="0.25">
      <c r="B42" t="s">
        <v>38</v>
      </c>
      <c r="F42" s="5">
        <f>+F27/F23</f>
        <v>0.1438322863781086</v>
      </c>
      <c r="G42" s="5">
        <f>+G27/G23</f>
        <v>0.1344354335620711</v>
      </c>
    </row>
    <row r="43" spans="2:108" x14ac:dyDescent="0.25">
      <c r="B43" t="s">
        <v>39</v>
      </c>
      <c r="F43" s="5">
        <f>+F28/F26</f>
        <v>0.155</v>
      </c>
      <c r="G43" s="5">
        <f>+G28/G26</f>
        <v>0.16200000000000001</v>
      </c>
      <c r="U43" s="12" t="s">
        <v>62</v>
      </c>
    </row>
    <row r="44" spans="2:108" x14ac:dyDescent="0.25">
      <c r="B44" t="s">
        <v>40</v>
      </c>
      <c r="F44" s="5">
        <f>+F29/F26</f>
        <v>5.5E-2</v>
      </c>
      <c r="G44" s="5">
        <f>+G29/G26</f>
        <v>5.2999999999999999E-2</v>
      </c>
      <c r="U44" s="2" t="s">
        <v>53</v>
      </c>
      <c r="V44" s="2">
        <v>0.08</v>
      </c>
    </row>
    <row r="45" spans="2:108" x14ac:dyDescent="0.25">
      <c r="B45" t="s">
        <v>41</v>
      </c>
      <c r="F45" s="5">
        <f>+F30/F26</f>
        <v>0.19600000000000001</v>
      </c>
      <c r="G45" s="5">
        <f>+G30/G26</f>
        <v>0.20100000000000001</v>
      </c>
      <c r="U45" s="2" t="s">
        <v>55</v>
      </c>
      <c r="V45" s="13">
        <f>NPV(V44,H6:CX6)</f>
        <v>1.3939279247239427</v>
      </c>
    </row>
    <row r="47" spans="2:108" x14ac:dyDescent="0.25">
      <c r="B47" t="s">
        <v>56</v>
      </c>
      <c r="G47">
        <v>207287.69099999999</v>
      </c>
    </row>
    <row r="48" spans="2:108" x14ac:dyDescent="0.25">
      <c r="B48" t="s">
        <v>57</v>
      </c>
      <c r="G48" s="5">
        <f>+G32/G47</f>
        <v>1.9161774540679313E-2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Price</vt:lpstr>
      <vt:lpstr>Shares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2024-10-23T12:56:39Z</dcterms:created>
  <dcterms:modified xsi:type="dcterms:W3CDTF">2024-10-23T14:14:51Z</dcterms:modified>
</cp:coreProperties>
</file>