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18C17250-86C5-4315-A1EA-3612285600C3}" xr6:coauthVersionLast="47" xr6:coauthVersionMax="47" xr10:uidLastSave="{00000000-0000-0000-0000-000000000000}"/>
  <bookViews>
    <workbookView xWindow="-120" yWindow="-120" windowWidth="29040" windowHeight="15840" xr2:uid="{8633B2C2-DBCA-45D3-90FF-7D5108C008A0}"/>
  </bookViews>
  <sheets>
    <sheet name="Sheet1" sheetId="1" r:id="rId1"/>
  </sheets>
  <definedNames>
    <definedName name="TR">Sheet1!$V$44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49" i="1" l="1"/>
  <c r="V47" i="1"/>
  <c r="V46" i="1"/>
  <c r="V45" i="1"/>
  <c r="U40" i="1"/>
  <c r="V40" i="1" s="1"/>
  <c r="W40" i="1" s="1"/>
  <c r="X40" i="1" s="1"/>
  <c r="Y40" i="1" s="1"/>
  <c r="Z40" i="1" s="1"/>
  <c r="AA40" i="1" s="1"/>
  <c r="AB40" i="1" s="1"/>
  <c r="AC40" i="1" s="1"/>
  <c r="AD40" i="1" s="1"/>
  <c r="AE40" i="1" s="1"/>
  <c r="AF40" i="1" s="1"/>
  <c r="AG40" i="1" s="1"/>
  <c r="AH40" i="1" s="1"/>
  <c r="AI40" i="1" s="1"/>
  <c r="AJ40" i="1" s="1"/>
  <c r="AK40" i="1" s="1"/>
  <c r="AL40" i="1" s="1"/>
  <c r="AM40" i="1" s="1"/>
  <c r="AN40" i="1" s="1"/>
  <c r="AO40" i="1" s="1"/>
  <c r="AP40" i="1" s="1"/>
  <c r="AQ40" i="1" s="1"/>
  <c r="AR40" i="1" s="1"/>
  <c r="AS40" i="1" s="1"/>
  <c r="AT40" i="1" s="1"/>
  <c r="AU40" i="1" s="1"/>
  <c r="AV40" i="1" s="1"/>
  <c r="AW40" i="1" s="1"/>
  <c r="AX40" i="1" s="1"/>
  <c r="AY40" i="1" s="1"/>
  <c r="AZ40" i="1" s="1"/>
  <c r="BA40" i="1" s="1"/>
  <c r="BB40" i="1" s="1"/>
  <c r="BC40" i="1" s="1"/>
  <c r="BD40" i="1" s="1"/>
  <c r="BE40" i="1" s="1"/>
  <c r="BF40" i="1" s="1"/>
  <c r="BG40" i="1" s="1"/>
  <c r="BH40" i="1" s="1"/>
  <c r="BI40" i="1" s="1"/>
  <c r="BJ40" i="1" s="1"/>
  <c r="BK40" i="1" s="1"/>
  <c r="BL40" i="1" s="1"/>
  <c r="BM40" i="1" s="1"/>
  <c r="BN40" i="1" s="1"/>
  <c r="BO40" i="1" s="1"/>
  <c r="BP40" i="1" s="1"/>
  <c r="BQ40" i="1" s="1"/>
  <c r="BR40" i="1" s="1"/>
  <c r="BS40" i="1" s="1"/>
  <c r="BT40" i="1" s="1"/>
  <c r="BU40" i="1" s="1"/>
  <c r="BV40" i="1" s="1"/>
  <c r="BW40" i="1" s="1"/>
  <c r="BX40" i="1" s="1"/>
  <c r="BY40" i="1" s="1"/>
  <c r="BZ40" i="1" s="1"/>
  <c r="CA40" i="1" s="1"/>
  <c r="CB40" i="1" s="1"/>
  <c r="CC40" i="1" s="1"/>
  <c r="CD40" i="1" s="1"/>
  <c r="CE40" i="1" s="1"/>
  <c r="CF40" i="1" s="1"/>
  <c r="CG40" i="1" s="1"/>
  <c r="CH40" i="1" s="1"/>
  <c r="CI40" i="1" s="1"/>
  <c r="CJ40" i="1" s="1"/>
  <c r="CK40" i="1" s="1"/>
  <c r="CL40" i="1" s="1"/>
  <c r="CM40" i="1" s="1"/>
  <c r="CN40" i="1" s="1"/>
  <c r="CO40" i="1" s="1"/>
  <c r="CP40" i="1" s="1"/>
  <c r="CQ40" i="1" s="1"/>
  <c r="CR40" i="1" s="1"/>
  <c r="CS40" i="1" s="1"/>
  <c r="CT40" i="1" s="1"/>
  <c r="CU40" i="1" s="1"/>
  <c r="CV40" i="1" s="1"/>
  <c r="T40" i="1"/>
  <c r="L37" i="1"/>
  <c r="M37" i="1"/>
  <c r="N37" i="1"/>
  <c r="O37" i="1"/>
  <c r="P37" i="1"/>
  <c r="Q37" i="1"/>
  <c r="R37" i="1"/>
  <c r="S37" i="1"/>
  <c r="K37" i="1"/>
  <c r="L35" i="1"/>
  <c r="M35" i="1" s="1"/>
  <c r="N35" i="1" s="1"/>
  <c r="O35" i="1" s="1"/>
  <c r="P35" i="1" s="1"/>
  <c r="Q35" i="1" s="1"/>
  <c r="R35" i="1" s="1"/>
  <c r="S35" i="1" s="1"/>
  <c r="K35" i="1"/>
  <c r="L33" i="1"/>
  <c r="M33" i="1" s="1"/>
  <c r="N33" i="1" s="1"/>
  <c r="O33" i="1" s="1"/>
  <c r="P33" i="1" s="1"/>
  <c r="Q33" i="1" s="1"/>
  <c r="R33" i="1" s="1"/>
  <c r="S33" i="1" s="1"/>
  <c r="K33" i="1"/>
  <c r="O32" i="1"/>
  <c r="P32" i="1" s="1"/>
  <c r="Q32" i="1" s="1"/>
  <c r="R32" i="1" s="1"/>
  <c r="S32" i="1" s="1"/>
  <c r="N32" i="1"/>
  <c r="L32" i="1"/>
  <c r="M32" i="1" s="1"/>
  <c r="K32" i="1"/>
  <c r="L42" i="1"/>
  <c r="M42" i="1"/>
  <c r="N42" i="1"/>
  <c r="O42" i="1"/>
  <c r="P42" i="1"/>
  <c r="Q42" i="1"/>
  <c r="R42" i="1"/>
  <c r="S42" i="1"/>
  <c r="L44" i="1"/>
  <c r="M44" i="1"/>
  <c r="N44" i="1"/>
  <c r="O44" i="1"/>
  <c r="P44" i="1"/>
  <c r="Q44" i="1"/>
  <c r="R44" i="1"/>
  <c r="S44" i="1"/>
  <c r="L45" i="1"/>
  <c r="M45" i="1"/>
  <c r="N45" i="1"/>
  <c r="O45" i="1"/>
  <c r="P45" i="1"/>
  <c r="Q45" i="1"/>
  <c r="R45" i="1"/>
  <c r="S45" i="1"/>
  <c r="L46" i="1"/>
  <c r="M46" i="1"/>
  <c r="N46" i="1"/>
  <c r="O46" i="1"/>
  <c r="P46" i="1"/>
  <c r="Q46" i="1"/>
  <c r="R46" i="1"/>
  <c r="S46" i="1"/>
  <c r="L47" i="1"/>
  <c r="M47" i="1"/>
  <c r="N47" i="1"/>
  <c r="O47" i="1"/>
  <c r="P47" i="1"/>
  <c r="Q47" i="1"/>
  <c r="R47" i="1"/>
  <c r="S47" i="1"/>
  <c r="L48" i="1"/>
  <c r="M48" i="1"/>
  <c r="N48" i="1"/>
  <c r="O48" i="1"/>
  <c r="P48" i="1"/>
  <c r="Q48" i="1"/>
  <c r="R48" i="1"/>
  <c r="S48" i="1"/>
  <c r="K48" i="1"/>
  <c r="K47" i="1"/>
  <c r="K46" i="1"/>
  <c r="K45" i="1"/>
  <c r="K44" i="1"/>
  <c r="K42" i="1"/>
  <c r="L31" i="1"/>
  <c r="M31" i="1"/>
  <c r="N31" i="1"/>
  <c r="O31" i="1"/>
  <c r="P31" i="1"/>
  <c r="Q31" i="1"/>
  <c r="R31" i="1"/>
  <c r="S31" i="1"/>
  <c r="K31" i="1"/>
  <c r="L27" i="1"/>
  <c r="M27" i="1"/>
  <c r="N27" i="1"/>
  <c r="O27" i="1"/>
  <c r="P27" i="1"/>
  <c r="Q27" i="1"/>
  <c r="R27" i="1"/>
  <c r="S27" i="1"/>
  <c r="K27" i="1"/>
  <c r="L9" i="1"/>
  <c r="M9" i="1"/>
  <c r="N9" i="1"/>
  <c r="O9" i="1"/>
  <c r="P9" i="1"/>
  <c r="Q9" i="1"/>
  <c r="R9" i="1"/>
  <c r="S9" i="1"/>
  <c r="K9" i="1"/>
  <c r="L5" i="1"/>
  <c r="M5" i="1" s="1"/>
  <c r="N5" i="1" s="1"/>
  <c r="O5" i="1" s="1"/>
  <c r="P5" i="1" s="1"/>
  <c r="Q5" i="1" s="1"/>
  <c r="R5" i="1" s="1"/>
  <c r="S5" i="1" s="1"/>
  <c r="L6" i="1"/>
  <c r="M6" i="1" s="1"/>
  <c r="N6" i="1" s="1"/>
  <c r="O6" i="1" s="1"/>
  <c r="P6" i="1" s="1"/>
  <c r="Q6" i="1" s="1"/>
  <c r="R6" i="1" s="1"/>
  <c r="S6" i="1" s="1"/>
  <c r="L7" i="1"/>
  <c r="M7" i="1" s="1"/>
  <c r="N7" i="1" s="1"/>
  <c r="O7" i="1" s="1"/>
  <c r="P7" i="1" s="1"/>
  <c r="Q7" i="1" s="1"/>
  <c r="R7" i="1" s="1"/>
  <c r="S7" i="1" s="1"/>
  <c r="L8" i="1"/>
  <c r="M8" i="1" s="1"/>
  <c r="N8" i="1" s="1"/>
  <c r="O8" i="1" s="1"/>
  <c r="P8" i="1" s="1"/>
  <c r="Q8" i="1" s="1"/>
  <c r="R8" i="1" s="1"/>
  <c r="S8" i="1" s="1"/>
  <c r="S2" i="1"/>
  <c r="Q2" i="1"/>
  <c r="R2" i="1" s="1"/>
  <c r="K2" i="1"/>
  <c r="L2" i="1"/>
  <c r="M2" i="1" s="1"/>
  <c r="N2" i="1" s="1"/>
  <c r="O2" i="1" s="1"/>
  <c r="P2" i="1" s="1"/>
  <c r="K5" i="1"/>
  <c r="K8" i="1"/>
  <c r="K7" i="1"/>
  <c r="K6" i="1"/>
  <c r="J77" i="1"/>
  <c r="I76" i="1"/>
  <c r="J76" i="1"/>
  <c r="I75" i="1"/>
  <c r="J75" i="1"/>
  <c r="I73" i="1"/>
  <c r="J73" i="1"/>
  <c r="I69" i="1"/>
  <c r="J69" i="1"/>
  <c r="I64" i="1"/>
  <c r="J64" i="1"/>
  <c r="J59" i="1"/>
  <c r="I59" i="1"/>
  <c r="H52" i="1"/>
  <c r="I52" i="1"/>
  <c r="J52" i="1"/>
  <c r="F45" i="1"/>
  <c r="G45" i="1"/>
  <c r="H45" i="1"/>
  <c r="I45" i="1"/>
  <c r="F46" i="1"/>
  <c r="G46" i="1"/>
  <c r="H46" i="1"/>
  <c r="I46" i="1"/>
  <c r="F47" i="1"/>
  <c r="G47" i="1"/>
  <c r="H47" i="1"/>
  <c r="I47" i="1"/>
  <c r="F48" i="1"/>
  <c r="G48" i="1"/>
  <c r="H48" i="1"/>
  <c r="I48" i="1"/>
  <c r="J46" i="1"/>
  <c r="J47" i="1"/>
  <c r="J48" i="1"/>
  <c r="J45" i="1"/>
  <c r="F19" i="1"/>
  <c r="G19" i="1"/>
  <c r="H19" i="1"/>
  <c r="I19" i="1"/>
  <c r="J19" i="1"/>
  <c r="F20" i="1"/>
  <c r="G20" i="1"/>
  <c r="H20" i="1"/>
  <c r="I20" i="1"/>
  <c r="J20" i="1"/>
  <c r="F21" i="1"/>
  <c r="G21" i="1"/>
  <c r="H21" i="1"/>
  <c r="I21" i="1"/>
  <c r="J21" i="1"/>
  <c r="F22" i="1"/>
  <c r="G22" i="1"/>
  <c r="H22" i="1"/>
  <c r="I22" i="1"/>
  <c r="J22" i="1"/>
  <c r="E20" i="1"/>
  <c r="E21" i="1"/>
  <c r="E22" i="1"/>
  <c r="E19" i="1"/>
  <c r="E27" i="1"/>
  <c r="E31" i="1" s="1"/>
  <c r="E42" i="1" s="1"/>
  <c r="F27" i="1"/>
  <c r="F31" i="1" s="1"/>
  <c r="F42" i="1" s="1"/>
  <c r="G27" i="1"/>
  <c r="G31" i="1" s="1"/>
  <c r="G42" i="1" s="1"/>
  <c r="G2" i="1"/>
  <c r="F2" i="1" s="1"/>
  <c r="E2" i="1" s="1"/>
  <c r="J27" i="1"/>
  <c r="J31" i="1" s="1"/>
  <c r="J34" i="1" s="1"/>
  <c r="J36" i="1" s="1"/>
  <c r="J38" i="1" s="1"/>
  <c r="J40" i="1" s="1"/>
  <c r="I27" i="1"/>
  <c r="I31" i="1" s="1"/>
  <c r="I34" i="1" s="1"/>
  <c r="I36" i="1" s="1"/>
  <c r="I38" i="1" s="1"/>
  <c r="I40" i="1" s="1"/>
  <c r="H27" i="1"/>
  <c r="H31" i="1" s="1"/>
  <c r="H34" i="1" s="1"/>
  <c r="H36" i="1" s="1"/>
  <c r="H38" i="1" s="1"/>
  <c r="H40" i="1" s="1"/>
  <c r="I2" i="1"/>
  <c r="J2" i="1" s="1"/>
  <c r="M34" i="1" l="1"/>
  <c r="M36" i="1" s="1"/>
  <c r="M38" i="1" s="1"/>
  <c r="L34" i="1"/>
  <c r="L36" i="1" s="1"/>
  <c r="L38" i="1" s="1"/>
  <c r="K34" i="1"/>
  <c r="K36" i="1" s="1"/>
  <c r="K38" i="1" s="1"/>
  <c r="K40" i="1" s="1"/>
  <c r="I43" i="1"/>
  <c r="H43" i="1"/>
  <c r="H42" i="1"/>
  <c r="I42" i="1"/>
  <c r="I44" i="1"/>
  <c r="H44" i="1"/>
  <c r="J42" i="1"/>
  <c r="G44" i="1"/>
  <c r="J43" i="1"/>
  <c r="F44" i="1"/>
  <c r="J44" i="1"/>
  <c r="F9" i="1"/>
  <c r="E9" i="1"/>
  <c r="G9" i="1"/>
  <c r="H9" i="1"/>
  <c r="I9" i="1"/>
  <c r="J9" i="1"/>
  <c r="L40" i="1" l="1"/>
  <c r="L43" i="1"/>
  <c r="N34" i="1"/>
  <c r="N36" i="1" s="1"/>
  <c r="N38" i="1" s="1"/>
  <c r="M40" i="1"/>
  <c r="M43" i="1"/>
  <c r="K43" i="1"/>
  <c r="N40" i="1" l="1"/>
  <c r="N43" i="1"/>
  <c r="O34" i="1"/>
  <c r="O36" i="1" s="1"/>
  <c r="O38" i="1" s="1"/>
  <c r="O40" i="1" l="1"/>
  <c r="O43" i="1"/>
  <c r="P34" i="1"/>
  <c r="P36" i="1" s="1"/>
  <c r="P38" i="1" s="1"/>
  <c r="P40" i="1" l="1"/>
  <c r="P43" i="1"/>
  <c r="Q34" i="1"/>
  <c r="Q36" i="1" s="1"/>
  <c r="Q38" i="1" s="1"/>
  <c r="R34" i="1" l="1"/>
  <c r="R36" i="1" s="1"/>
  <c r="R38" i="1" s="1"/>
  <c r="S34" i="1"/>
  <c r="S36" i="1" s="1"/>
  <c r="S38" i="1" s="1"/>
  <c r="Q40" i="1"/>
  <c r="Q43" i="1"/>
  <c r="S40" i="1" l="1"/>
  <c r="S43" i="1"/>
  <c r="R40" i="1"/>
  <c r="R43" i="1"/>
</calcChain>
</file>

<file path=xl/sharedStrings.xml><?xml version="1.0" encoding="utf-8"?>
<sst xmlns="http://schemas.openxmlformats.org/spreadsheetml/2006/main" count="72" uniqueCount="58">
  <si>
    <t>Service</t>
  </si>
  <si>
    <t>Product</t>
  </si>
  <si>
    <t>Total Revenue</t>
  </si>
  <si>
    <t>Other Income</t>
  </si>
  <si>
    <t>Cost of Service</t>
  </si>
  <si>
    <t>Cost of Sales</t>
  </si>
  <si>
    <t>Gross Profit</t>
  </si>
  <si>
    <t>R&amp;D</t>
  </si>
  <si>
    <t>G&amp;A</t>
  </si>
  <si>
    <t>Operating Income</t>
  </si>
  <si>
    <t>Interest Expense</t>
  </si>
  <si>
    <t>Pretax</t>
  </si>
  <si>
    <t>Taxes</t>
  </si>
  <si>
    <t>Net Income</t>
  </si>
  <si>
    <t>Minority Interest</t>
  </si>
  <si>
    <t>Company Income</t>
  </si>
  <si>
    <t>Digital &amp; Integration</t>
  </si>
  <si>
    <t>Reservoir Performance</t>
  </si>
  <si>
    <t>Well Construction</t>
  </si>
  <si>
    <t>Production Systems</t>
  </si>
  <si>
    <t>Elimination</t>
  </si>
  <si>
    <t>Pretax Income</t>
  </si>
  <si>
    <t>Revenue</t>
  </si>
  <si>
    <t>Pretax Margin</t>
  </si>
  <si>
    <t>Gross Margin</t>
  </si>
  <si>
    <t>Net Margin</t>
  </si>
  <si>
    <t>Revenue Y/Y</t>
  </si>
  <si>
    <t>CFFO</t>
  </si>
  <si>
    <t>CapEx</t>
  </si>
  <si>
    <t>FCF</t>
  </si>
  <si>
    <t>Cash</t>
  </si>
  <si>
    <t>Investments</t>
  </si>
  <si>
    <t>AR</t>
  </si>
  <si>
    <t>Inventory</t>
  </si>
  <si>
    <t>Other Current Assets</t>
  </si>
  <si>
    <t>Current Assets</t>
  </si>
  <si>
    <t>Venture</t>
  </si>
  <si>
    <t>PP&amp;E</t>
  </si>
  <si>
    <t>IP</t>
  </si>
  <si>
    <t>AP</t>
  </si>
  <si>
    <t>ST Debt</t>
  </si>
  <si>
    <t>Current Liabilities</t>
  </si>
  <si>
    <t>LT Debt</t>
  </si>
  <si>
    <t>Benefits</t>
  </si>
  <si>
    <t>Other</t>
  </si>
  <si>
    <t>Other Assets</t>
  </si>
  <si>
    <t>Total Assets</t>
  </si>
  <si>
    <t>Total Liabilities</t>
  </si>
  <si>
    <t>NAV</t>
  </si>
  <si>
    <t>Delta</t>
  </si>
  <si>
    <t>Working Capital</t>
  </si>
  <si>
    <t>Discount</t>
  </si>
  <si>
    <t>Terminal</t>
  </si>
  <si>
    <t>NPV</t>
  </si>
  <si>
    <t>Net Cash</t>
  </si>
  <si>
    <t>Value</t>
  </si>
  <si>
    <t>Shares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</si>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</sst>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6" formatCode="#,##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9" fontId="0" fillId="0" borderId="0" xfId="1" applyFont="1"/>
    <xf numFmtId="164" fontId="0" fillId="0" borderId="0" xfId="1" applyNumberFormat="1" applyFont="1"/>
    <xf numFmtId="166" fontId="0" fillId="0" borderId="0" xfId="0" applyNumberFormat="1"/>
    <xf numFmtId="3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4</xdr:row>
      <xdr:rowOff>8283</xdr:rowOff>
    </xdr:from>
    <xdr:to>
      <xdr:col>10</xdr:col>
      <xdr:colOff>8282</xdr:colOff>
      <xdr:row>77</xdr:row>
      <xdr:rowOff>66261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1E5D465-034B-F9D0-79F5-25E7B3089954}"/>
            </a:ext>
          </a:extLst>
        </xdr:cNvPr>
        <xdr:cNvCxnSpPr/>
      </xdr:nvCxnSpPr>
      <xdr:spPr>
        <a:xfrm flipH="1">
          <a:off x="6543261" y="770283"/>
          <a:ext cx="8282" cy="1396447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6B0EE-2E7B-46AD-B662-712CBA3D11BD}">
  <dimension ref="B2:CV118"/>
  <sheetViews>
    <sheetView tabSelected="1" zoomScale="115" zoomScaleNormal="115" workbookViewId="0">
      <pane xSplit="2" ySplit="2" topLeftCell="D27" activePane="bottomRight" state="frozen"/>
      <selection pane="topRight" activeCell="C1" sqref="C1"/>
      <selection pane="bottomLeft" activeCell="A3" sqref="A3"/>
      <selection pane="bottomRight" activeCell="U51" sqref="U51"/>
    </sheetView>
  </sheetViews>
  <sheetFormatPr defaultRowHeight="15" x14ac:dyDescent="0.25"/>
  <cols>
    <col min="1" max="1" width="2.85546875" customWidth="1"/>
    <col min="2" max="2" width="21.7109375" bestFit="1" customWidth="1"/>
  </cols>
  <sheetData>
    <row r="2" spans="2:19" x14ac:dyDescent="0.25">
      <c r="E2">
        <f>+F2-1</f>
        <v>2018</v>
      </c>
      <c r="F2">
        <f>+G2-1</f>
        <v>2019</v>
      </c>
      <c r="G2">
        <f>+H2-1</f>
        <v>2020</v>
      </c>
      <c r="H2">
        <v>2021</v>
      </c>
      <c r="I2">
        <f>+H2+1</f>
        <v>2022</v>
      </c>
      <c r="J2">
        <f>+I2+1</f>
        <v>2023</v>
      </c>
      <c r="K2">
        <f t="shared" ref="K2:R2" si="0">+J2+1</f>
        <v>2024</v>
      </c>
      <c r="L2">
        <f t="shared" si="0"/>
        <v>2025</v>
      </c>
      <c r="M2">
        <f t="shared" si="0"/>
        <v>2026</v>
      </c>
      <c r="N2">
        <f t="shared" si="0"/>
        <v>2027</v>
      </c>
      <c r="O2">
        <f t="shared" si="0"/>
        <v>2028</v>
      </c>
      <c r="P2">
        <f t="shared" si="0"/>
        <v>2029</v>
      </c>
      <c r="Q2">
        <f>+P2+1</f>
        <v>2030</v>
      </c>
      <c r="R2">
        <f t="shared" si="0"/>
        <v>2031</v>
      </c>
      <c r="S2">
        <f>+R2+1</f>
        <v>2032</v>
      </c>
    </row>
    <row r="3" spans="2:19" s="1" customFormat="1" x14ac:dyDescent="0.25"/>
    <row r="4" spans="2:19" s="1" customFormat="1" x14ac:dyDescent="0.25">
      <c r="B4" s="2" t="s">
        <v>22</v>
      </c>
    </row>
    <row r="5" spans="2:19" s="1" customFormat="1" x14ac:dyDescent="0.25">
      <c r="B5" s="1" t="s">
        <v>16</v>
      </c>
      <c r="E5" s="1">
        <v>3820</v>
      </c>
      <c r="F5" s="1">
        <v>4145</v>
      </c>
      <c r="G5" s="1">
        <v>3076</v>
      </c>
      <c r="H5" s="1">
        <v>3290</v>
      </c>
      <c r="I5" s="1">
        <v>3725</v>
      </c>
      <c r="J5" s="1">
        <v>3871</v>
      </c>
      <c r="K5" s="1">
        <f>+J5*1.1</f>
        <v>4258.1000000000004</v>
      </c>
      <c r="L5" s="1">
        <f t="shared" ref="L5:S5" si="1">+K5*1.1</f>
        <v>4683.9100000000008</v>
      </c>
      <c r="M5" s="1">
        <f t="shared" si="1"/>
        <v>5152.3010000000013</v>
      </c>
      <c r="N5" s="1">
        <f t="shared" si="1"/>
        <v>5667.531100000002</v>
      </c>
      <c r="O5" s="1">
        <f t="shared" si="1"/>
        <v>6234.2842100000025</v>
      </c>
      <c r="P5" s="1">
        <f t="shared" si="1"/>
        <v>6857.7126310000031</v>
      </c>
      <c r="Q5" s="1">
        <f t="shared" si="1"/>
        <v>7543.4838941000044</v>
      </c>
      <c r="R5" s="1">
        <f t="shared" si="1"/>
        <v>8297.8322835100062</v>
      </c>
      <c r="S5" s="1">
        <f t="shared" si="1"/>
        <v>9127.6155118610077</v>
      </c>
    </row>
    <row r="6" spans="2:19" s="1" customFormat="1" x14ac:dyDescent="0.25">
      <c r="B6" s="1" t="s">
        <v>17</v>
      </c>
      <c r="E6" s="1">
        <v>10050</v>
      </c>
      <c r="F6" s="1">
        <v>9299</v>
      </c>
      <c r="G6" s="1">
        <v>5602</v>
      </c>
      <c r="H6" s="1">
        <v>4599</v>
      </c>
      <c r="I6" s="1">
        <v>5553</v>
      </c>
      <c r="J6" s="1">
        <v>6561</v>
      </c>
      <c r="K6" s="1">
        <f>+J6*1.05</f>
        <v>6889.05</v>
      </c>
      <c r="L6" s="1">
        <f t="shared" ref="L6:S6" si="2">+K6*1.05</f>
        <v>7233.5025000000005</v>
      </c>
      <c r="M6" s="1">
        <f t="shared" si="2"/>
        <v>7595.1776250000012</v>
      </c>
      <c r="N6" s="1">
        <f t="shared" si="2"/>
        <v>7974.9365062500019</v>
      </c>
      <c r="O6" s="1">
        <f t="shared" si="2"/>
        <v>8373.6833315625026</v>
      </c>
      <c r="P6" s="1">
        <f t="shared" si="2"/>
        <v>8792.3674981406275</v>
      </c>
      <c r="Q6" s="1">
        <f t="shared" si="2"/>
        <v>9231.985873047659</v>
      </c>
      <c r="R6" s="1">
        <f t="shared" si="2"/>
        <v>9693.5851667000425</v>
      </c>
      <c r="S6" s="1">
        <f t="shared" si="2"/>
        <v>10178.264425035046</v>
      </c>
    </row>
    <row r="7" spans="2:19" s="1" customFormat="1" x14ac:dyDescent="0.25">
      <c r="B7" s="1" t="s">
        <v>18</v>
      </c>
      <c r="E7" s="1">
        <v>11310</v>
      </c>
      <c r="F7" s="1">
        <v>11880</v>
      </c>
      <c r="G7" s="1">
        <v>8605</v>
      </c>
      <c r="H7" s="1">
        <v>8706</v>
      </c>
      <c r="I7" s="1">
        <v>11397</v>
      </c>
      <c r="J7" s="1">
        <v>13478</v>
      </c>
      <c r="K7" s="1">
        <f>+J7*1.06</f>
        <v>14286.68</v>
      </c>
      <c r="L7" s="1">
        <f t="shared" ref="L7:S7" si="3">+K7*1.06</f>
        <v>15143.880800000001</v>
      </c>
      <c r="M7" s="1">
        <f t="shared" si="3"/>
        <v>16052.513648000002</v>
      </c>
      <c r="N7" s="1">
        <f t="shared" si="3"/>
        <v>17015.664466880004</v>
      </c>
      <c r="O7" s="1">
        <f t="shared" si="3"/>
        <v>18036.604334892803</v>
      </c>
      <c r="P7" s="1">
        <f t="shared" si="3"/>
        <v>19118.800594986373</v>
      </c>
      <c r="Q7" s="1">
        <f t="shared" si="3"/>
        <v>20265.928630685557</v>
      </c>
      <c r="R7" s="1">
        <f t="shared" si="3"/>
        <v>21481.884348526692</v>
      </c>
      <c r="S7" s="1">
        <f t="shared" si="3"/>
        <v>22770.797409438295</v>
      </c>
    </row>
    <row r="8" spans="2:19" s="1" customFormat="1" x14ac:dyDescent="0.25">
      <c r="B8" s="1" t="s">
        <v>19</v>
      </c>
      <c r="E8" s="1">
        <v>8168</v>
      </c>
      <c r="F8" s="1">
        <v>8167</v>
      </c>
      <c r="G8" s="1">
        <v>6650</v>
      </c>
      <c r="H8" s="1">
        <v>6710</v>
      </c>
      <c r="I8" s="1">
        <v>7862</v>
      </c>
      <c r="J8" s="1">
        <v>9831</v>
      </c>
      <c r="K8" s="1">
        <f>+J8*1.04</f>
        <v>10224.24</v>
      </c>
      <c r="L8" s="1">
        <f t="shared" ref="L8:S8" si="4">+K8*1.04</f>
        <v>10633.2096</v>
      </c>
      <c r="M8" s="1">
        <f t="shared" si="4"/>
        <v>11058.537984000001</v>
      </c>
      <c r="N8" s="1">
        <f t="shared" si="4"/>
        <v>11500.879503360002</v>
      </c>
      <c r="O8" s="1">
        <f t="shared" si="4"/>
        <v>11960.914683494402</v>
      </c>
      <c r="P8" s="1">
        <f t="shared" si="4"/>
        <v>12439.351270834179</v>
      </c>
      <c r="Q8" s="1">
        <f t="shared" si="4"/>
        <v>12936.925321667546</v>
      </c>
      <c r="R8" s="1">
        <f t="shared" si="4"/>
        <v>13454.402334534248</v>
      </c>
      <c r="S8" s="1">
        <f t="shared" si="4"/>
        <v>13992.57842791562</v>
      </c>
    </row>
    <row r="9" spans="2:19" s="1" customFormat="1" x14ac:dyDescent="0.25">
      <c r="B9" s="1" t="s">
        <v>20</v>
      </c>
      <c r="E9" s="1">
        <f>+E27-SUM(E5:E8)</f>
        <v>-533</v>
      </c>
      <c r="F9" s="1">
        <f>+F27-SUM(F5:F8)</f>
        <v>-574</v>
      </c>
      <c r="G9" s="1">
        <f>+G27-SUM(G5:G8)</f>
        <v>-312</v>
      </c>
      <c r="H9" s="1">
        <f>+H27-SUM(H5:H8)</f>
        <v>-376</v>
      </c>
      <c r="I9" s="1">
        <f>+I27-SUM(I5:I8)</f>
        <v>-446</v>
      </c>
      <c r="J9" s="1">
        <f>+J27-SUM(J5:J8)</f>
        <v>-606</v>
      </c>
      <c r="K9" s="1">
        <f>-SUM(K5:K8)*0.016</f>
        <v>-570.52912000000003</v>
      </c>
      <c r="L9" s="1">
        <f t="shared" ref="L9:S9" si="5">-SUM(L5:L8)*0.016</f>
        <v>-603.11204640000017</v>
      </c>
      <c r="M9" s="1">
        <f t="shared" si="5"/>
        <v>-637.73648411200008</v>
      </c>
      <c r="N9" s="1">
        <f t="shared" si="5"/>
        <v>-674.54418522384015</v>
      </c>
      <c r="O9" s="1">
        <f t="shared" si="5"/>
        <v>-713.68778495919548</v>
      </c>
      <c r="P9" s="1">
        <f t="shared" si="5"/>
        <v>-755.33171191937902</v>
      </c>
      <c r="Q9" s="1">
        <f t="shared" si="5"/>
        <v>-799.65317951201234</v>
      </c>
      <c r="R9" s="1">
        <f t="shared" si="5"/>
        <v>-846.84326613233588</v>
      </c>
      <c r="S9" s="1">
        <f t="shared" si="5"/>
        <v>-897.10809238799959</v>
      </c>
    </row>
    <row r="10" spans="2:19" s="1" customFormat="1" x14ac:dyDescent="0.25">
      <c r="E10" s="4"/>
      <c r="F10" s="4"/>
      <c r="G10" s="4"/>
      <c r="H10" s="4"/>
      <c r="I10" s="4"/>
      <c r="J10" s="4"/>
    </row>
    <row r="11" spans="2:19" s="1" customFormat="1" x14ac:dyDescent="0.25">
      <c r="B11" s="2" t="s">
        <v>21</v>
      </c>
    </row>
    <row r="12" spans="2:19" s="1" customFormat="1" x14ac:dyDescent="0.25">
      <c r="B12" s="1" t="s">
        <v>16</v>
      </c>
      <c r="E12" s="1">
        <v>882</v>
      </c>
      <c r="F12" s="1">
        <v>882</v>
      </c>
      <c r="G12" s="1">
        <v>731</v>
      </c>
      <c r="H12" s="1">
        <v>1141</v>
      </c>
      <c r="I12" s="1">
        <v>1357</v>
      </c>
      <c r="J12" s="1">
        <v>1257</v>
      </c>
    </row>
    <row r="13" spans="2:19" s="1" customFormat="1" x14ac:dyDescent="0.25">
      <c r="B13" s="1" t="s">
        <v>17</v>
      </c>
      <c r="E13" s="1">
        <v>1169</v>
      </c>
      <c r="F13" s="1">
        <v>992</v>
      </c>
      <c r="G13" s="1">
        <v>353</v>
      </c>
      <c r="H13" s="1">
        <v>648</v>
      </c>
      <c r="I13" s="1">
        <v>881</v>
      </c>
      <c r="J13" s="1">
        <v>1263</v>
      </c>
    </row>
    <row r="14" spans="2:19" s="1" customFormat="1" x14ac:dyDescent="0.25">
      <c r="B14" s="1" t="s">
        <v>18</v>
      </c>
      <c r="E14" s="1">
        <v>1465</v>
      </c>
      <c r="F14" s="1">
        <v>1429</v>
      </c>
      <c r="G14" s="1">
        <v>866</v>
      </c>
      <c r="H14" s="1">
        <v>1195</v>
      </c>
      <c r="I14" s="1">
        <v>2202</v>
      </c>
      <c r="J14" s="1">
        <v>2932</v>
      </c>
    </row>
    <row r="15" spans="2:19" s="1" customFormat="1" x14ac:dyDescent="0.25">
      <c r="B15" s="1" t="s">
        <v>19</v>
      </c>
      <c r="E15" s="1">
        <v>843</v>
      </c>
      <c r="F15" s="1">
        <v>847</v>
      </c>
      <c r="G15" s="1">
        <v>623</v>
      </c>
      <c r="H15" s="1">
        <v>634</v>
      </c>
      <c r="I15" s="1">
        <v>748</v>
      </c>
      <c r="J15" s="1">
        <v>1245</v>
      </c>
    </row>
    <row r="16" spans="2:19" s="1" customFormat="1" x14ac:dyDescent="0.25">
      <c r="B16" s="1" t="s">
        <v>20</v>
      </c>
      <c r="E16" s="1">
        <v>-172</v>
      </c>
      <c r="F16" s="1">
        <v>-172</v>
      </c>
      <c r="G16" s="1">
        <v>-172</v>
      </c>
      <c r="H16" s="1">
        <v>-253</v>
      </c>
      <c r="I16" s="1">
        <v>-177</v>
      </c>
      <c r="J16" s="1">
        <v>-174</v>
      </c>
    </row>
    <row r="17" spans="2:19" s="1" customFormat="1" x14ac:dyDescent="0.25"/>
    <row r="18" spans="2:19" s="1" customFormat="1" x14ac:dyDescent="0.25">
      <c r="B18" s="2" t="s">
        <v>23</v>
      </c>
    </row>
    <row r="19" spans="2:19" s="3" customFormat="1" x14ac:dyDescent="0.25">
      <c r="B19" s="3" t="s">
        <v>16</v>
      </c>
      <c r="E19" s="3">
        <f>+E12/E5</f>
        <v>0.23089005235602095</v>
      </c>
      <c r="F19" s="3">
        <f t="shared" ref="F19:J19" si="6">+F12/F5</f>
        <v>0.21278648974668274</v>
      </c>
      <c r="G19" s="3">
        <f t="shared" si="6"/>
        <v>0.23764629388816644</v>
      </c>
      <c r="H19" s="3">
        <f t="shared" si="6"/>
        <v>0.34680851063829787</v>
      </c>
      <c r="I19" s="3">
        <f t="shared" si="6"/>
        <v>0.36429530201342281</v>
      </c>
      <c r="J19" s="3">
        <f t="shared" si="6"/>
        <v>0.32472229398088348</v>
      </c>
    </row>
    <row r="20" spans="2:19" s="3" customFormat="1" x14ac:dyDescent="0.25">
      <c r="B20" s="3" t="s">
        <v>17</v>
      </c>
      <c r="E20" s="3">
        <f t="shared" ref="E20:J22" si="7">+E13/E6</f>
        <v>0.116318407960199</v>
      </c>
      <c r="F20" s="3">
        <f t="shared" si="7"/>
        <v>0.10667813743413271</v>
      </c>
      <c r="G20" s="3">
        <f t="shared" si="7"/>
        <v>6.301320956801143E-2</v>
      </c>
      <c r="H20" s="3">
        <f t="shared" si="7"/>
        <v>0.14090019569471623</v>
      </c>
      <c r="I20" s="3">
        <f t="shared" si="7"/>
        <v>0.15865298037097064</v>
      </c>
      <c r="J20" s="3">
        <f t="shared" si="7"/>
        <v>0.19250114311842706</v>
      </c>
    </row>
    <row r="21" spans="2:19" s="3" customFormat="1" x14ac:dyDescent="0.25">
      <c r="B21" s="3" t="s">
        <v>18</v>
      </c>
      <c r="E21" s="3">
        <f t="shared" si="7"/>
        <v>0.12953138815207782</v>
      </c>
      <c r="F21" s="3">
        <f t="shared" si="7"/>
        <v>0.12028619528619529</v>
      </c>
      <c r="G21" s="3">
        <f t="shared" si="7"/>
        <v>0.10063916327716443</v>
      </c>
      <c r="H21" s="3">
        <f t="shared" si="7"/>
        <v>0.13726165862623477</v>
      </c>
      <c r="I21" s="3">
        <f t="shared" si="7"/>
        <v>0.19320873914187944</v>
      </c>
      <c r="J21" s="3">
        <f t="shared" si="7"/>
        <v>0.2175396943166642</v>
      </c>
    </row>
    <row r="22" spans="2:19" s="3" customFormat="1" x14ac:dyDescent="0.25">
      <c r="B22" s="3" t="s">
        <v>19</v>
      </c>
      <c r="E22" s="3">
        <f t="shared" si="7"/>
        <v>0.10320763956904995</v>
      </c>
      <c r="F22" s="3">
        <f t="shared" si="7"/>
        <v>0.10371005265091221</v>
      </c>
      <c r="G22" s="3">
        <f t="shared" si="7"/>
        <v>9.3684210526315786E-2</v>
      </c>
      <c r="H22" s="3">
        <f t="shared" si="7"/>
        <v>9.4485842026825639E-2</v>
      </c>
      <c r="I22" s="3">
        <f t="shared" si="7"/>
        <v>9.5141185448995164E-2</v>
      </c>
      <c r="J22" s="3">
        <f t="shared" si="7"/>
        <v>0.12664021971315229</v>
      </c>
    </row>
    <row r="23" spans="2:19" s="1" customFormat="1" x14ac:dyDescent="0.25"/>
    <row r="24" spans="2:19" s="1" customFormat="1" x14ac:dyDescent="0.25"/>
    <row r="25" spans="2:19" s="1" customFormat="1" x14ac:dyDescent="0.25">
      <c r="B25" s="1" t="s">
        <v>0</v>
      </c>
      <c r="E25" s="1">
        <v>24296</v>
      </c>
      <c r="F25" s="1">
        <v>24358</v>
      </c>
      <c r="G25" s="1">
        <v>16553</v>
      </c>
      <c r="H25" s="1">
        <v>15602</v>
      </c>
      <c r="I25" s="1">
        <v>19552</v>
      </c>
      <c r="J25" s="1">
        <v>22439</v>
      </c>
    </row>
    <row r="26" spans="2:19" s="1" customFormat="1" x14ac:dyDescent="0.25">
      <c r="B26" s="1" t="s">
        <v>1</v>
      </c>
      <c r="E26" s="1">
        <v>8519</v>
      </c>
      <c r="F26" s="1">
        <v>8559</v>
      </c>
      <c r="G26" s="1">
        <v>7068</v>
      </c>
      <c r="H26" s="1">
        <v>7327</v>
      </c>
      <c r="I26" s="1">
        <v>8539</v>
      </c>
      <c r="J26" s="1">
        <v>10696</v>
      </c>
    </row>
    <row r="27" spans="2:19" s="2" customFormat="1" x14ac:dyDescent="0.25">
      <c r="B27" s="2" t="s">
        <v>2</v>
      </c>
      <c r="E27" s="2">
        <f>+E25+E26</f>
        <v>32815</v>
      </c>
      <c r="F27" s="2">
        <f>+F25+F26</f>
        <v>32917</v>
      </c>
      <c r="G27" s="2">
        <f>+G25+G26</f>
        <v>23621</v>
      </c>
      <c r="H27" s="2">
        <f>+H25+H26</f>
        <v>22929</v>
      </c>
      <c r="I27" s="2">
        <f>+I25+I26</f>
        <v>28091</v>
      </c>
      <c r="J27" s="2">
        <f>+J25+J26</f>
        <v>33135</v>
      </c>
      <c r="K27" s="2">
        <f>+SUM(K5:K9)</f>
        <v>35087.54088</v>
      </c>
      <c r="L27" s="2">
        <f t="shared" ref="L27:S27" si="8">+SUM(L5:L9)</f>
        <v>37091.390853600009</v>
      </c>
      <c r="M27" s="2">
        <f t="shared" si="8"/>
        <v>39220.793772888006</v>
      </c>
      <c r="N27" s="2">
        <f t="shared" si="8"/>
        <v>41484.467391266167</v>
      </c>
      <c r="O27" s="2">
        <f t="shared" si="8"/>
        <v>43891.798774990515</v>
      </c>
      <c r="P27" s="2">
        <f t="shared" si="8"/>
        <v>46452.900283041803</v>
      </c>
      <c r="Q27" s="2">
        <f t="shared" si="8"/>
        <v>49178.670539988758</v>
      </c>
      <c r="R27" s="2">
        <f t="shared" si="8"/>
        <v>52080.860867138654</v>
      </c>
      <c r="S27" s="2">
        <f t="shared" si="8"/>
        <v>55172.14768186197</v>
      </c>
    </row>
    <row r="28" spans="2:19" s="1" customFormat="1" x14ac:dyDescent="0.25">
      <c r="B28" s="1" t="s">
        <v>3</v>
      </c>
      <c r="E28" s="1">
        <v>149</v>
      </c>
      <c r="F28" s="1">
        <v>86</v>
      </c>
      <c r="G28" s="1">
        <v>163</v>
      </c>
      <c r="H28" s="1">
        <v>148</v>
      </c>
      <c r="I28" s="1">
        <v>610</v>
      </c>
      <c r="J28" s="1">
        <v>342</v>
      </c>
      <c r="K28" s="1">
        <v>150</v>
      </c>
      <c r="L28" s="1">
        <v>150</v>
      </c>
      <c r="M28" s="1">
        <v>150</v>
      </c>
      <c r="N28" s="1">
        <v>150</v>
      </c>
      <c r="O28" s="1">
        <v>150</v>
      </c>
      <c r="P28" s="1">
        <v>150</v>
      </c>
      <c r="Q28" s="1">
        <v>150</v>
      </c>
      <c r="R28" s="1">
        <v>150</v>
      </c>
      <c r="S28" s="1">
        <v>150</v>
      </c>
    </row>
    <row r="29" spans="2:19" s="1" customFormat="1" x14ac:dyDescent="0.25">
      <c r="B29" s="1" t="s">
        <v>4</v>
      </c>
      <c r="E29" s="1">
        <v>20618</v>
      </c>
      <c r="F29" s="1">
        <v>20828</v>
      </c>
      <c r="G29" s="1">
        <v>14675</v>
      </c>
      <c r="H29" s="1">
        <v>13129</v>
      </c>
      <c r="I29" s="1">
        <v>15233</v>
      </c>
      <c r="J29" s="1">
        <v>17231</v>
      </c>
    </row>
    <row r="30" spans="2:19" s="1" customFormat="1" x14ac:dyDescent="0.25">
      <c r="B30" s="1" t="s">
        <v>5</v>
      </c>
      <c r="E30" s="1">
        <v>7860</v>
      </c>
      <c r="F30" s="1">
        <v>7892</v>
      </c>
      <c r="G30" s="1">
        <v>6325</v>
      </c>
      <c r="H30" s="1">
        <v>6142</v>
      </c>
      <c r="I30" s="1">
        <v>7697</v>
      </c>
      <c r="J30" s="1">
        <v>9341</v>
      </c>
    </row>
    <row r="31" spans="2:19" s="1" customFormat="1" x14ac:dyDescent="0.25">
      <c r="B31" s="1" t="s">
        <v>6</v>
      </c>
      <c r="E31" s="1">
        <f>+E27+E28-E29-E30</f>
        <v>4486</v>
      </c>
      <c r="F31" s="1">
        <f>+F27+F28-F29-F30</f>
        <v>4283</v>
      </c>
      <c r="G31" s="1">
        <f>+G27+G28-G29-G30</f>
        <v>2784</v>
      </c>
      <c r="H31" s="1">
        <f>+H27+H28-H29-H30</f>
        <v>3806</v>
      </c>
      <c r="I31" s="1">
        <f>+I27+I28-I29-I30</f>
        <v>5771</v>
      </c>
      <c r="J31" s="1">
        <f>+J27+J28-J29-J30</f>
        <v>6905</v>
      </c>
      <c r="K31" s="1">
        <f>+K27*(1-0.79)</f>
        <v>7368.383584799999</v>
      </c>
      <c r="L31" s="1">
        <f t="shared" ref="L31:S31" si="9">+L27*(1-0.79)</f>
        <v>7789.1920792560004</v>
      </c>
      <c r="M31" s="1">
        <f t="shared" si="9"/>
        <v>8236.3666923064793</v>
      </c>
      <c r="N31" s="1">
        <f t="shared" si="9"/>
        <v>8711.7381521658936</v>
      </c>
      <c r="O31" s="1">
        <f t="shared" si="9"/>
        <v>9217.2777427480069</v>
      </c>
      <c r="P31" s="1">
        <f t="shared" si="9"/>
        <v>9755.109059438777</v>
      </c>
      <c r="Q31" s="1">
        <f t="shared" si="9"/>
        <v>10327.520813397638</v>
      </c>
      <c r="R31" s="1">
        <f t="shared" si="9"/>
        <v>10936.980782099115</v>
      </c>
      <c r="S31" s="1">
        <f t="shared" si="9"/>
        <v>11586.151013191013</v>
      </c>
    </row>
    <row r="32" spans="2:19" s="1" customFormat="1" x14ac:dyDescent="0.25">
      <c r="B32" s="1" t="s">
        <v>7</v>
      </c>
      <c r="H32" s="1">
        <v>554</v>
      </c>
      <c r="I32" s="1">
        <v>634</v>
      </c>
      <c r="J32" s="1">
        <v>711</v>
      </c>
      <c r="K32" s="1">
        <f>+J32*1.1</f>
        <v>782.1</v>
      </c>
      <c r="L32" s="1">
        <f t="shared" ref="L32:S32" si="10">+K32*1.1</f>
        <v>860.31000000000006</v>
      </c>
      <c r="M32" s="1">
        <f t="shared" si="10"/>
        <v>946.34100000000012</v>
      </c>
      <c r="N32" s="1">
        <f>+M32*1.05</f>
        <v>993.65805000000012</v>
      </c>
      <c r="O32" s="1">
        <f t="shared" ref="O32:S32" si="11">+N32*1.05</f>
        <v>1043.3409525000002</v>
      </c>
      <c r="P32" s="1">
        <f t="shared" si="11"/>
        <v>1095.5080001250003</v>
      </c>
      <c r="Q32" s="1">
        <f t="shared" si="11"/>
        <v>1150.2834001312503</v>
      </c>
      <c r="R32" s="1">
        <f t="shared" si="11"/>
        <v>1207.797570137813</v>
      </c>
      <c r="S32" s="1">
        <f t="shared" si="11"/>
        <v>1268.1874486447036</v>
      </c>
    </row>
    <row r="33" spans="2:100" s="1" customFormat="1" x14ac:dyDescent="0.25">
      <c r="B33" s="1" t="s">
        <v>8</v>
      </c>
      <c r="H33" s="1">
        <v>339</v>
      </c>
      <c r="I33" s="1">
        <v>376</v>
      </c>
      <c r="J33" s="1">
        <v>364</v>
      </c>
      <c r="K33" s="1">
        <f>+J33*1.04</f>
        <v>378.56</v>
      </c>
      <c r="L33" s="1">
        <f t="shared" ref="L33:S33" si="12">+K33*1.04</f>
        <v>393.70240000000001</v>
      </c>
      <c r="M33" s="1">
        <f t="shared" si="12"/>
        <v>409.45049600000004</v>
      </c>
      <c r="N33" s="1">
        <f t="shared" si="12"/>
        <v>425.82851584000008</v>
      </c>
      <c r="O33" s="1">
        <f t="shared" si="12"/>
        <v>442.86165647360008</v>
      </c>
      <c r="P33" s="1">
        <f t="shared" si="12"/>
        <v>460.57612273254409</v>
      </c>
      <c r="Q33" s="1">
        <f t="shared" si="12"/>
        <v>478.99916764184587</v>
      </c>
      <c r="R33" s="1">
        <f t="shared" si="12"/>
        <v>498.15913434751974</v>
      </c>
      <c r="S33" s="1">
        <f t="shared" si="12"/>
        <v>518.08549972142055</v>
      </c>
    </row>
    <row r="34" spans="2:100" s="1" customFormat="1" x14ac:dyDescent="0.25">
      <c r="B34" s="1" t="s">
        <v>9</v>
      </c>
      <c r="H34" s="1">
        <f>+H31-H32-H33</f>
        <v>2913</v>
      </c>
      <c r="I34" s="1">
        <f>+I31-I32-I33</f>
        <v>4761</v>
      </c>
      <c r="J34" s="1">
        <f>+J31-J32-J33</f>
        <v>5830</v>
      </c>
      <c r="K34" s="1">
        <f>+K31-K32-K33</f>
        <v>6207.7235847999982</v>
      </c>
      <c r="L34" s="1">
        <f t="shared" ref="L34:S34" si="13">+L31-L32-L33</f>
        <v>6535.1796792559999</v>
      </c>
      <c r="M34" s="1">
        <f t="shared" si="13"/>
        <v>6880.5751963064786</v>
      </c>
      <c r="N34" s="1">
        <f t="shared" si="13"/>
        <v>7292.2515863258932</v>
      </c>
      <c r="O34" s="1">
        <f t="shared" si="13"/>
        <v>7731.0751337744059</v>
      </c>
      <c r="P34" s="1">
        <f t="shared" si="13"/>
        <v>8199.0249365812324</v>
      </c>
      <c r="Q34" s="1">
        <f t="shared" si="13"/>
        <v>8698.2382456245396</v>
      </c>
      <c r="R34" s="1">
        <f t="shared" si="13"/>
        <v>9231.0240776137834</v>
      </c>
      <c r="S34" s="1">
        <f t="shared" si="13"/>
        <v>9799.8780648248885</v>
      </c>
    </row>
    <row r="35" spans="2:100" s="1" customFormat="1" x14ac:dyDescent="0.25">
      <c r="B35" s="1" t="s">
        <v>10</v>
      </c>
      <c r="H35" s="1">
        <v>539</v>
      </c>
      <c r="I35" s="1">
        <v>490</v>
      </c>
      <c r="J35" s="1">
        <v>503</v>
      </c>
      <c r="K35" s="1">
        <f>+J35*1.03</f>
        <v>518.09</v>
      </c>
      <c r="L35" s="1">
        <f t="shared" ref="L35:S35" si="14">+K35*1.03</f>
        <v>533.6327</v>
      </c>
      <c r="M35" s="1">
        <f t="shared" si="14"/>
        <v>549.64168100000006</v>
      </c>
      <c r="N35" s="1">
        <f t="shared" si="14"/>
        <v>566.13093143000003</v>
      </c>
      <c r="O35" s="1">
        <f t="shared" si="14"/>
        <v>583.11485937290001</v>
      </c>
      <c r="P35" s="1">
        <f t="shared" si="14"/>
        <v>600.60830515408702</v>
      </c>
      <c r="Q35" s="1">
        <f t="shared" si="14"/>
        <v>618.62655430870961</v>
      </c>
      <c r="R35" s="1">
        <f t="shared" si="14"/>
        <v>637.18535093797095</v>
      </c>
      <c r="S35" s="1">
        <f t="shared" si="14"/>
        <v>656.30091146611005</v>
      </c>
    </row>
    <row r="36" spans="2:100" s="1" customFormat="1" x14ac:dyDescent="0.25">
      <c r="B36" s="1" t="s">
        <v>11</v>
      </c>
      <c r="H36" s="1">
        <f>+H34-H35</f>
        <v>2374</v>
      </c>
      <c r="I36" s="1">
        <f>+I34-I35</f>
        <v>4271</v>
      </c>
      <c r="J36" s="1">
        <f>+J34-J35</f>
        <v>5327</v>
      </c>
      <c r="K36" s="1">
        <f>+K34-K35</f>
        <v>5689.6335847999981</v>
      </c>
      <c r="L36" s="1">
        <f t="shared" ref="L36:S36" si="15">+L34-L35</f>
        <v>6001.5469792559998</v>
      </c>
      <c r="M36" s="1">
        <f t="shared" si="15"/>
        <v>6330.9335153064785</v>
      </c>
      <c r="N36" s="1">
        <f t="shared" si="15"/>
        <v>6726.1206548958935</v>
      </c>
      <c r="O36" s="1">
        <f t="shared" si="15"/>
        <v>7147.9602744015056</v>
      </c>
      <c r="P36" s="1">
        <f t="shared" si="15"/>
        <v>7598.4166314271451</v>
      </c>
      <c r="Q36" s="1">
        <f t="shared" si="15"/>
        <v>8079.6116913158303</v>
      </c>
      <c r="R36" s="1">
        <f t="shared" si="15"/>
        <v>8593.8387266758127</v>
      </c>
      <c r="S36" s="1">
        <f t="shared" si="15"/>
        <v>9143.5771533587777</v>
      </c>
    </row>
    <row r="37" spans="2:100" s="1" customFormat="1" x14ac:dyDescent="0.25">
      <c r="B37" s="1" t="s">
        <v>12</v>
      </c>
      <c r="H37" s="1">
        <v>446</v>
      </c>
      <c r="I37" s="1">
        <v>779</v>
      </c>
      <c r="J37" s="1">
        <v>1007</v>
      </c>
      <c r="K37" s="1">
        <f>+K36*0.19</f>
        <v>1081.0303811119995</v>
      </c>
      <c r="L37" s="1">
        <f t="shared" ref="L37:S37" si="16">+L36*0.19</f>
        <v>1140.29392605864</v>
      </c>
      <c r="M37" s="1">
        <f t="shared" si="16"/>
        <v>1202.877367908231</v>
      </c>
      <c r="N37" s="1">
        <f t="shared" si="16"/>
        <v>1277.9629244302198</v>
      </c>
      <c r="O37" s="1">
        <f t="shared" si="16"/>
        <v>1358.112452136286</v>
      </c>
      <c r="P37" s="1">
        <f t="shared" si="16"/>
        <v>1443.6991599711575</v>
      </c>
      <c r="Q37" s="1">
        <f t="shared" si="16"/>
        <v>1535.1262213500079</v>
      </c>
      <c r="R37" s="1">
        <f t="shared" si="16"/>
        <v>1632.8293580684044</v>
      </c>
      <c r="S37" s="1">
        <f t="shared" si="16"/>
        <v>1737.2796591381677</v>
      </c>
    </row>
    <row r="38" spans="2:100" s="2" customFormat="1" x14ac:dyDescent="0.25">
      <c r="B38" s="2" t="s">
        <v>13</v>
      </c>
      <c r="H38" s="2">
        <f>+H36-H37</f>
        <v>1928</v>
      </c>
      <c r="I38" s="2">
        <f>+I36-I37</f>
        <v>3492</v>
      </c>
      <c r="J38" s="2">
        <f>+J36-J37</f>
        <v>4320</v>
      </c>
      <c r="K38" s="2">
        <f>+K36-K37</f>
        <v>4608.6032036879988</v>
      </c>
      <c r="L38" s="2">
        <f t="shared" ref="L38:S38" si="17">+L36-L37</f>
        <v>4861.2530531973598</v>
      </c>
      <c r="M38" s="2">
        <f t="shared" si="17"/>
        <v>5128.056147398247</v>
      </c>
      <c r="N38" s="2">
        <f t="shared" si="17"/>
        <v>5448.1577304656739</v>
      </c>
      <c r="O38" s="2">
        <f t="shared" si="17"/>
        <v>5789.8478222652193</v>
      </c>
      <c r="P38" s="2">
        <f t="shared" si="17"/>
        <v>6154.7174714559878</v>
      </c>
      <c r="Q38" s="2">
        <f t="shared" si="17"/>
        <v>6544.4854699658226</v>
      </c>
      <c r="R38" s="2">
        <f t="shared" si="17"/>
        <v>6961.0093686074088</v>
      </c>
      <c r="S38" s="2">
        <f t="shared" si="17"/>
        <v>7406.2974942206101</v>
      </c>
    </row>
    <row r="39" spans="2:100" s="1" customFormat="1" x14ac:dyDescent="0.25">
      <c r="B39" s="1" t="s">
        <v>14</v>
      </c>
      <c r="H39" s="1">
        <v>47</v>
      </c>
      <c r="I39" s="1">
        <v>51</v>
      </c>
      <c r="J39" s="1">
        <v>72</v>
      </c>
      <c r="K39" s="1">
        <v>75</v>
      </c>
      <c r="L39" s="1">
        <v>75</v>
      </c>
      <c r="M39" s="1">
        <v>75</v>
      </c>
      <c r="N39" s="1">
        <v>75</v>
      </c>
      <c r="O39" s="1">
        <v>75</v>
      </c>
      <c r="P39" s="1">
        <v>75</v>
      </c>
      <c r="Q39" s="1">
        <v>75</v>
      </c>
      <c r="R39" s="1">
        <v>75</v>
      </c>
      <c r="S39" s="1">
        <v>75</v>
      </c>
    </row>
    <row r="40" spans="2:100" s="1" customFormat="1" x14ac:dyDescent="0.25">
      <c r="B40" s="1" t="s">
        <v>15</v>
      </c>
      <c r="H40" s="1">
        <f>+H38-H39</f>
        <v>1881</v>
      </c>
      <c r="I40" s="1">
        <f>+I38-I39</f>
        <v>3441</v>
      </c>
      <c r="J40" s="1">
        <f>+J38-J39</f>
        <v>4248</v>
      </c>
      <c r="K40" s="1">
        <f>+K38-K39</f>
        <v>4533.6032036879988</v>
      </c>
      <c r="L40" s="1">
        <f t="shared" ref="L40:S40" si="18">+L38-L39</f>
        <v>4786.2530531973598</v>
      </c>
      <c r="M40" s="1">
        <f t="shared" si="18"/>
        <v>5053.056147398247</v>
      </c>
      <c r="N40" s="1">
        <f t="shared" si="18"/>
        <v>5373.1577304656739</v>
      </c>
      <c r="O40" s="1">
        <f t="shared" si="18"/>
        <v>5714.8478222652193</v>
      </c>
      <c r="P40" s="1">
        <f t="shared" si="18"/>
        <v>6079.7174714559878</v>
      </c>
      <c r="Q40" s="1">
        <f t="shared" si="18"/>
        <v>6469.4854699658226</v>
      </c>
      <c r="R40" s="1">
        <f t="shared" si="18"/>
        <v>6886.0093686074088</v>
      </c>
      <c r="S40" s="1">
        <f t="shared" si="18"/>
        <v>7331.2974942206101</v>
      </c>
      <c r="T40" s="1">
        <f>+S40*(1+TR)</f>
        <v>7257.9845192784042</v>
      </c>
      <c r="U40" s="1">
        <f>+T40*(1+TR)</f>
        <v>7185.4046740856202</v>
      </c>
      <c r="V40" s="1">
        <f>+U40*(1+TR)</f>
        <v>7113.5506273447636</v>
      </c>
      <c r="W40" s="1">
        <f>+V40*(1+TR)</f>
        <v>7042.4151210713162</v>
      </c>
      <c r="X40" s="1">
        <f>+W40*(1+TR)</f>
        <v>6971.9909698606034</v>
      </c>
      <c r="Y40" s="1">
        <f>+X40*(1+TR)</f>
        <v>6902.2710601619974</v>
      </c>
      <c r="Z40" s="1">
        <f>+Y40*(1+TR)</f>
        <v>6833.2483495603774</v>
      </c>
      <c r="AA40" s="1">
        <f>+Z40*(1+TR)</f>
        <v>6764.9158660647736</v>
      </c>
      <c r="AB40" s="1">
        <f>+AA40*(1+TR)</f>
        <v>6697.2667074041256</v>
      </c>
      <c r="AC40" s="1">
        <f>+AB40*(1+TR)</f>
        <v>6630.2940403300845</v>
      </c>
      <c r="AD40" s="1">
        <f>+AC40*(1+TR)</f>
        <v>6563.991099926784</v>
      </c>
      <c r="AE40" s="1">
        <f>+AD40*(1+TR)</f>
        <v>6498.351188927516</v>
      </c>
      <c r="AF40" s="1">
        <f>+AE40*(1+TR)</f>
        <v>6433.3676770382408</v>
      </c>
      <c r="AG40" s="1">
        <f>+AF40*(1+TR)</f>
        <v>6369.0340002678586</v>
      </c>
      <c r="AH40" s="1">
        <f>+AG40*(1+TR)</f>
        <v>6305.34366026518</v>
      </c>
      <c r="AI40" s="1">
        <f>+AH40*(1+TR)</f>
        <v>6242.2902236625278</v>
      </c>
      <c r="AJ40" s="1">
        <f>+AI40*(1+TR)</f>
        <v>6179.8673214259024</v>
      </c>
      <c r="AK40" s="1">
        <f>+AJ40*(1+TR)</f>
        <v>6118.0686482116434</v>
      </c>
      <c r="AL40" s="1">
        <f>+AK40*(1+TR)</f>
        <v>6056.887961729527</v>
      </c>
      <c r="AM40" s="1">
        <f>+AL40*(1+TR)</f>
        <v>5996.3190821122316</v>
      </c>
      <c r="AN40" s="1">
        <f>+AM40*(1+TR)</f>
        <v>5936.3558912911094</v>
      </c>
      <c r="AO40" s="1">
        <f>+AN40*(1+TR)</f>
        <v>5876.9923323781986</v>
      </c>
      <c r="AP40" s="1">
        <f>+AO40*(1+TR)</f>
        <v>5818.2224090544169</v>
      </c>
      <c r="AQ40" s="1">
        <f>+AP40*(1+TR)</f>
        <v>5760.0401849638729</v>
      </c>
      <c r="AR40" s="1">
        <f>+AQ40*(1+TR)</f>
        <v>5702.4397831142342</v>
      </c>
      <c r="AS40" s="1">
        <f>+AR40*(1+TR)</f>
        <v>5645.4153852830914</v>
      </c>
      <c r="AT40" s="1">
        <f>+AS40*(1+TR)</f>
        <v>5588.9612314302603</v>
      </c>
      <c r="AU40" s="1">
        <f>+AT40*(1+TR)</f>
        <v>5533.0716191159581</v>
      </c>
      <c r="AV40" s="1">
        <f>+AU40*(1+TR)</f>
        <v>5477.7409029247983</v>
      </c>
      <c r="AW40" s="1">
        <f>+AV40*(1+TR)</f>
        <v>5422.9634938955505</v>
      </c>
      <c r="AX40" s="1">
        <f>+AW40*(1+TR)</f>
        <v>5368.7338589565952</v>
      </c>
      <c r="AY40" s="1">
        <f>+AX40*(1+TR)</f>
        <v>5315.0465203670292</v>
      </c>
      <c r="AZ40" s="1">
        <f>+AY40*(1+TR)</f>
        <v>5261.8960551633591</v>
      </c>
      <c r="BA40" s="1">
        <f>+AZ40*(1+TR)</f>
        <v>5209.2770946117253</v>
      </c>
      <c r="BB40" s="1">
        <f>+BA40*(1+TR)</f>
        <v>5157.1843236656077</v>
      </c>
      <c r="BC40" s="1">
        <f>+BB40*(1+TR)</f>
        <v>5105.612480428952</v>
      </c>
      <c r="BD40" s="1">
        <f>+BC40*(1+TR)</f>
        <v>5054.5563556246625</v>
      </c>
      <c r="BE40" s="1">
        <f>+BD40*(1+TR)</f>
        <v>5004.0107920684159</v>
      </c>
      <c r="BF40" s="1">
        <f>+BE40*(1+TR)</f>
        <v>4953.9706841477318</v>
      </c>
      <c r="BG40" s="1">
        <f>+BF40*(1+TR)</f>
        <v>4904.4309773062541</v>
      </c>
      <c r="BH40" s="1">
        <f>+BG40*(1+TR)</f>
        <v>4855.3866675331919</v>
      </c>
      <c r="BI40" s="1">
        <f>+BH40*(1+TR)</f>
        <v>4806.8328008578601</v>
      </c>
      <c r="BJ40" s="1">
        <f>+BI40*(1+TR)</f>
        <v>4758.7644728492814</v>
      </c>
      <c r="BK40" s="1">
        <f>+BJ40*(1+TR)</f>
        <v>4711.1768281207887</v>
      </c>
      <c r="BL40" s="1">
        <f>+BK40*(1+TR)</f>
        <v>4664.0650598395805</v>
      </c>
      <c r="BM40" s="1">
        <f>+BL40*(1+TR)</f>
        <v>4617.4244092411845</v>
      </c>
      <c r="BN40" s="1">
        <f>+BM40*(1+TR)</f>
        <v>4571.2501651487728</v>
      </c>
      <c r="BO40" s="1">
        <f>+BN40*(1+TR)</f>
        <v>4525.5376634972854</v>
      </c>
      <c r="BP40" s="1">
        <f>+BO40*(1+TR)</f>
        <v>4480.2822868623125</v>
      </c>
      <c r="BQ40" s="1">
        <f>+BP40*(1+TR)</f>
        <v>4435.479463993689</v>
      </c>
      <c r="BR40" s="1">
        <f>+BQ40*(1+TR)</f>
        <v>4391.1246693537523</v>
      </c>
      <c r="BS40" s="1">
        <f>+BR40*(1+TR)</f>
        <v>4347.2134226602147</v>
      </c>
      <c r="BT40" s="1">
        <f>+BS40*(1+TR)</f>
        <v>4303.7412884336127</v>
      </c>
      <c r="BU40" s="1">
        <f>+BT40*(1+TR)</f>
        <v>4260.7038755492767</v>
      </c>
      <c r="BV40" s="1">
        <f>+BU40*(1+TR)</f>
        <v>4218.096836793784</v>
      </c>
      <c r="BW40" s="1">
        <f>+BV40*(1+TR)</f>
        <v>4175.9158684258464</v>
      </c>
      <c r="BX40" s="1">
        <f>+BW40*(1+TR)</f>
        <v>4134.1567097415882</v>
      </c>
      <c r="BY40" s="1">
        <f>+BX40*(1+TR)</f>
        <v>4092.8151426441723</v>
      </c>
      <c r="BZ40" s="1">
        <f>+BY40*(1+TR)</f>
        <v>4051.8869912177306</v>
      </c>
      <c r="CA40" s="1">
        <f>+BZ40*(1+TR)</f>
        <v>4011.3681213055534</v>
      </c>
      <c r="CB40" s="1">
        <f>+CA40*(1+TR)</f>
        <v>3971.2544400924976</v>
      </c>
      <c r="CC40" s="1">
        <f>+CB40*(1+TR)</f>
        <v>3931.5418956915728</v>
      </c>
      <c r="CD40" s="1">
        <f>+CC40*(1+TR)</f>
        <v>3892.2264767346569</v>
      </c>
      <c r="CE40" s="1">
        <f>+CD40*(1+TR)</f>
        <v>3853.3042119673105</v>
      </c>
      <c r="CF40" s="1">
        <f>+CE40*(1+TR)</f>
        <v>3814.7711698476373</v>
      </c>
      <c r="CG40" s="1">
        <f>+CF40*(1+TR)</f>
        <v>3776.6234581491608</v>
      </c>
      <c r="CH40" s="1">
        <f>+CG40*(1+TR)</f>
        <v>3738.8572235676693</v>
      </c>
      <c r="CI40" s="1">
        <f>+CH40*(1+TR)</f>
        <v>3701.4686513319925</v>
      </c>
      <c r="CJ40" s="1">
        <f>+CI40*(1+TR)</f>
        <v>3664.4539648186724</v>
      </c>
      <c r="CK40" s="1">
        <f>+CJ40*(1+TR)</f>
        <v>3627.8094251704856</v>
      </c>
      <c r="CL40" s="1">
        <f>+CK40*(1+TR)</f>
        <v>3591.5313309187809</v>
      </c>
      <c r="CM40" s="1">
        <f>+CL40*(1+TR)</f>
        <v>3555.6160176095932</v>
      </c>
      <c r="CN40" s="1">
        <f>+CM40*(1+TR)</f>
        <v>3520.0598574334972</v>
      </c>
      <c r="CO40" s="1">
        <f>+CN40*(1+TR)</f>
        <v>3484.8592588591623</v>
      </c>
      <c r="CP40" s="1">
        <f>+CO40*(1+TR)</f>
        <v>3450.0106662705707</v>
      </c>
      <c r="CQ40" s="1">
        <f>+CP40*(1+TR)</f>
        <v>3415.5105596078652</v>
      </c>
      <c r="CR40" s="1">
        <f>+CQ40*(1+TR)</f>
        <v>3381.3554540117866</v>
      </c>
      <c r="CS40" s="1">
        <f>+CR40*(1+TR)</f>
        <v>3347.5418994716688</v>
      </c>
      <c r="CT40" s="1">
        <f>+CS40*(1+TR)</f>
        <v>3314.0664804769522</v>
      </c>
      <c r="CU40" s="1">
        <f>+CT40*(1+TR)</f>
        <v>3280.9258156721826</v>
      </c>
      <c r="CV40" s="1">
        <f>+CU40*(1+TR)</f>
        <v>3248.1165575154605</v>
      </c>
    </row>
    <row r="41" spans="2:100" s="1" customFormat="1" x14ac:dyDescent="0.25">
      <c r="H41" s="5"/>
      <c r="I41" s="5"/>
      <c r="J41" s="5"/>
    </row>
    <row r="42" spans="2:100" s="3" customFormat="1" x14ac:dyDescent="0.25">
      <c r="B42" s="3" t="s">
        <v>24</v>
      </c>
      <c r="E42" s="3">
        <f t="shared" ref="E42:I42" si="19">+E31/E27</f>
        <v>0.13670577479811061</v>
      </c>
      <c r="F42" s="3">
        <f t="shared" si="19"/>
        <v>0.13011513807455113</v>
      </c>
      <c r="G42" s="3">
        <f t="shared" si="19"/>
        <v>0.11786122518098302</v>
      </c>
      <c r="H42" s="3">
        <f t="shared" si="19"/>
        <v>0.16599066684111824</v>
      </c>
      <c r="I42" s="3">
        <f t="shared" si="19"/>
        <v>0.20543946459720194</v>
      </c>
      <c r="J42" s="3">
        <f>+J31/J27</f>
        <v>0.20838992002414367</v>
      </c>
      <c r="K42" s="3">
        <f>+K31/K27</f>
        <v>0.20999999999999996</v>
      </c>
      <c r="L42" s="3">
        <f t="shared" ref="L42:S42" si="20">+L31/L27</f>
        <v>0.20999999999999996</v>
      </c>
      <c r="M42" s="3">
        <f t="shared" si="20"/>
        <v>0.20999999999999994</v>
      </c>
      <c r="N42" s="3">
        <f t="shared" si="20"/>
        <v>0.20999999999999996</v>
      </c>
      <c r="O42" s="3">
        <f t="shared" si="20"/>
        <v>0.20999999999999996</v>
      </c>
      <c r="P42" s="3">
        <f t="shared" si="20"/>
        <v>0.20999999999999996</v>
      </c>
      <c r="Q42" s="3">
        <f t="shared" si="20"/>
        <v>0.20999999999999996</v>
      </c>
      <c r="R42" s="3">
        <f t="shared" si="20"/>
        <v>0.20999999999999996</v>
      </c>
      <c r="S42" s="3">
        <f t="shared" si="20"/>
        <v>0.21</v>
      </c>
    </row>
    <row r="43" spans="2:100" s="3" customFormat="1" x14ac:dyDescent="0.25">
      <c r="B43" s="3" t="s">
        <v>25</v>
      </c>
      <c r="H43" s="3">
        <f t="shared" ref="H43:I43" si="21">+H38/H27</f>
        <v>8.4085655719830787E-2</v>
      </c>
      <c r="I43" s="3">
        <f t="shared" si="21"/>
        <v>0.1243102773130184</v>
      </c>
      <c r="J43" s="3">
        <f>+J38/J27</f>
        <v>0.13037573562698054</v>
      </c>
      <c r="K43" s="3">
        <f>+K38/K27</f>
        <v>0.13134585918829428</v>
      </c>
      <c r="L43" s="3">
        <f t="shared" ref="L43:S43" si="22">+L38/L27</f>
        <v>0.13106149274328269</v>
      </c>
      <c r="M43" s="3">
        <f t="shared" si="22"/>
        <v>0.13074840292862958</v>
      </c>
      <c r="N43" s="3">
        <f t="shared" si="22"/>
        <v>0.13133006334830488</v>
      </c>
      <c r="O43" s="3">
        <f t="shared" si="22"/>
        <v>0.13191183737870107</v>
      </c>
      <c r="P43" s="3">
        <f t="shared" si="22"/>
        <v>0.13249371802308849</v>
      </c>
      <c r="Q43" s="3">
        <f t="shared" si="22"/>
        <v>0.13307568907630984</v>
      </c>
      <c r="R43" s="3">
        <f t="shared" si="22"/>
        <v>0.1336577247900213</v>
      </c>
      <c r="S43" s="3">
        <f t="shared" si="22"/>
        <v>0.13423978955699517</v>
      </c>
      <c r="U43" s="3" t="s">
        <v>51</v>
      </c>
      <c r="V43" s="3">
        <v>0.09</v>
      </c>
    </row>
    <row r="44" spans="2:100" s="3" customFormat="1" x14ac:dyDescent="0.25">
      <c r="B44" s="3" t="s">
        <v>26</v>
      </c>
      <c r="F44" s="3">
        <f t="shared" ref="F44:I44" si="23">+F27/E27 -1</f>
        <v>3.1083346030778003E-3</v>
      </c>
      <c r="G44" s="3">
        <f t="shared" si="23"/>
        <v>-0.28240726676185557</v>
      </c>
      <c r="H44" s="3">
        <f t="shared" si="23"/>
        <v>-2.9295965454468442E-2</v>
      </c>
      <c r="I44" s="3">
        <f t="shared" si="23"/>
        <v>0.22512974835361343</v>
      </c>
      <c r="J44" s="3">
        <f>+J27/I27 -1</f>
        <v>0.17955928945213762</v>
      </c>
      <c r="K44" s="3">
        <f>+K27/J27 -1</f>
        <v>5.8926841104572247E-2</v>
      </c>
      <c r="L44" s="3">
        <f t="shared" ref="L44:S44" si="24">+L27/K27 -1</f>
        <v>5.7110014647455909E-2</v>
      </c>
      <c r="M44" s="3">
        <f t="shared" si="24"/>
        <v>5.7409627147516851E-2</v>
      </c>
      <c r="N44" s="3">
        <f t="shared" si="24"/>
        <v>5.7716160246174431E-2</v>
      </c>
      <c r="O44" s="3">
        <f t="shared" si="24"/>
        <v>5.8029704492027934E-2</v>
      </c>
      <c r="P44" s="3">
        <f t="shared" si="24"/>
        <v>5.8350342877963701E-2</v>
      </c>
      <c r="Q44" s="3">
        <f t="shared" si="24"/>
        <v>5.8678150133545603E-2</v>
      </c>
      <c r="R44" s="3">
        <f t="shared" si="24"/>
        <v>5.9013192005465731E-2</v>
      </c>
      <c r="S44" s="3">
        <f t="shared" si="24"/>
        <v>5.9355524529622672E-2</v>
      </c>
      <c r="U44" s="3" t="s">
        <v>52</v>
      </c>
      <c r="V44" s="3">
        <v>-0.01</v>
      </c>
    </row>
    <row r="45" spans="2:100" s="3" customFormat="1" x14ac:dyDescent="0.25">
      <c r="B45" s="3" t="s">
        <v>16</v>
      </c>
      <c r="F45" s="3">
        <f t="shared" ref="F45:I48" si="25">+F5/E5 -1</f>
        <v>8.5078534031413522E-2</v>
      </c>
      <c r="G45" s="3">
        <f t="shared" si="25"/>
        <v>-0.25790108564535585</v>
      </c>
      <c r="H45" s="3">
        <f t="shared" si="25"/>
        <v>6.9570871261378509E-2</v>
      </c>
      <c r="I45" s="3">
        <f t="shared" si="25"/>
        <v>0.13221884498480252</v>
      </c>
      <c r="J45" s="3">
        <f>+J5/I5 -1</f>
        <v>3.9194630872483316E-2</v>
      </c>
      <c r="K45" s="3">
        <f>+K5/J5 -1</f>
        <v>0.10000000000000009</v>
      </c>
      <c r="L45" s="3">
        <f t="shared" ref="L45:S45" si="26">+L5/K5 -1</f>
        <v>0.10000000000000009</v>
      </c>
      <c r="M45" s="3">
        <f t="shared" si="26"/>
        <v>0.10000000000000009</v>
      </c>
      <c r="N45" s="3">
        <f t="shared" si="26"/>
        <v>0.10000000000000009</v>
      </c>
      <c r="O45" s="3">
        <f t="shared" si="26"/>
        <v>0.10000000000000009</v>
      </c>
      <c r="P45" s="3">
        <f t="shared" si="26"/>
        <v>0.10000000000000009</v>
      </c>
      <c r="Q45" s="3">
        <f t="shared" si="26"/>
        <v>0.10000000000000009</v>
      </c>
      <c r="R45" s="3">
        <f t="shared" si="26"/>
        <v>0.10000000000000009</v>
      </c>
      <c r="S45" s="3">
        <f t="shared" si="26"/>
        <v>0.10000000000000009</v>
      </c>
      <c r="U45" s="3" t="s">
        <v>53</v>
      </c>
      <c r="V45" s="6">
        <f>NPV(V43,K40:CV40)</f>
        <v>67009.952799831663</v>
      </c>
    </row>
    <row r="46" spans="2:100" s="3" customFormat="1" x14ac:dyDescent="0.25">
      <c r="B46" s="3" t="s">
        <v>17</v>
      </c>
      <c r="F46" s="3">
        <f t="shared" si="25"/>
        <v>-7.4726368159203971E-2</v>
      </c>
      <c r="G46" s="3">
        <f t="shared" si="25"/>
        <v>-0.39756963114313371</v>
      </c>
      <c r="H46" s="3">
        <f t="shared" si="25"/>
        <v>-0.17904319885755082</v>
      </c>
      <c r="I46" s="3">
        <f t="shared" si="25"/>
        <v>0.20743639921722123</v>
      </c>
      <c r="J46" s="3">
        <f t="shared" ref="J46:K48" si="27">+J6/I6 -1</f>
        <v>0.18152350081037283</v>
      </c>
      <c r="K46" s="3">
        <f t="shared" si="27"/>
        <v>5.0000000000000044E-2</v>
      </c>
      <c r="L46" s="3">
        <f t="shared" ref="L46:S46" si="28">+L6/K6 -1</f>
        <v>5.0000000000000044E-2</v>
      </c>
      <c r="M46" s="3">
        <f t="shared" si="28"/>
        <v>5.0000000000000044E-2</v>
      </c>
      <c r="N46" s="3">
        <f t="shared" si="28"/>
        <v>5.0000000000000044E-2</v>
      </c>
      <c r="O46" s="3">
        <f t="shared" si="28"/>
        <v>5.0000000000000044E-2</v>
      </c>
      <c r="P46" s="3">
        <f t="shared" si="28"/>
        <v>5.0000000000000044E-2</v>
      </c>
      <c r="Q46" s="3">
        <f t="shared" si="28"/>
        <v>5.0000000000000044E-2</v>
      </c>
      <c r="R46" s="3">
        <f t="shared" si="28"/>
        <v>5.0000000000000044E-2</v>
      </c>
      <c r="S46" s="3">
        <f t="shared" si="28"/>
        <v>5.0000000000000044E-2</v>
      </c>
      <c r="U46" s="3" t="s">
        <v>54</v>
      </c>
      <c r="V46" s="6">
        <f>+J54-J68-J70</f>
        <v>-9065</v>
      </c>
    </row>
    <row r="47" spans="2:100" s="3" customFormat="1" x14ac:dyDescent="0.25">
      <c r="B47" s="3" t="s">
        <v>18</v>
      </c>
      <c r="F47" s="3">
        <f t="shared" si="25"/>
        <v>5.0397877984084793E-2</v>
      </c>
      <c r="G47" s="3">
        <f t="shared" si="25"/>
        <v>-0.27567340067340063</v>
      </c>
      <c r="H47" s="3">
        <f t="shared" si="25"/>
        <v>1.1737361998837903E-2</v>
      </c>
      <c r="I47" s="3">
        <f t="shared" si="25"/>
        <v>0.30909717436250861</v>
      </c>
      <c r="J47" s="3">
        <f t="shared" si="27"/>
        <v>0.18259191015179432</v>
      </c>
      <c r="K47" s="3">
        <f t="shared" si="27"/>
        <v>6.0000000000000053E-2</v>
      </c>
      <c r="L47" s="3">
        <f t="shared" ref="L47:S47" si="29">+L7/K7 -1</f>
        <v>6.0000000000000053E-2</v>
      </c>
      <c r="M47" s="3">
        <f t="shared" si="29"/>
        <v>6.0000000000000053E-2</v>
      </c>
      <c r="N47" s="3">
        <f t="shared" si="29"/>
        <v>6.0000000000000053E-2</v>
      </c>
      <c r="O47" s="3">
        <f t="shared" si="29"/>
        <v>6.0000000000000053E-2</v>
      </c>
      <c r="P47" s="3">
        <f t="shared" si="29"/>
        <v>6.0000000000000053E-2</v>
      </c>
      <c r="Q47" s="3">
        <f t="shared" si="29"/>
        <v>6.0000000000000053E-2</v>
      </c>
      <c r="R47" s="3">
        <f t="shared" si="29"/>
        <v>6.0000000000000053E-2</v>
      </c>
      <c r="S47" s="3">
        <f t="shared" si="29"/>
        <v>6.0000000000000053E-2</v>
      </c>
      <c r="U47" s="3" t="s">
        <v>55</v>
      </c>
      <c r="V47" s="6">
        <f>+V45+V46</f>
        <v>57944.952799831663</v>
      </c>
    </row>
    <row r="48" spans="2:100" s="3" customFormat="1" x14ac:dyDescent="0.25">
      <c r="B48" s="3" t="s">
        <v>19</v>
      </c>
      <c r="F48" s="3">
        <f t="shared" si="25"/>
        <v>-1.2242899118508621E-4</v>
      </c>
      <c r="G48" s="3">
        <f t="shared" si="25"/>
        <v>-0.18574752050936694</v>
      </c>
      <c r="H48" s="3">
        <f t="shared" si="25"/>
        <v>9.0225563909773765E-3</v>
      </c>
      <c r="I48" s="3">
        <f t="shared" si="25"/>
        <v>0.17168405365126671</v>
      </c>
      <c r="J48" s="3">
        <f t="shared" si="27"/>
        <v>0.25044517934367838</v>
      </c>
      <c r="K48" s="3">
        <f t="shared" si="27"/>
        <v>4.0000000000000036E-2</v>
      </c>
      <c r="L48" s="3">
        <f t="shared" ref="L48:S48" si="30">+L8/K8 -1</f>
        <v>4.0000000000000036E-2</v>
      </c>
      <c r="M48" s="3">
        <f t="shared" si="30"/>
        <v>4.0000000000000036E-2</v>
      </c>
      <c r="N48" s="3">
        <f t="shared" si="30"/>
        <v>4.0000000000000036E-2</v>
      </c>
      <c r="O48" s="3">
        <f t="shared" si="30"/>
        <v>4.0000000000000036E-2</v>
      </c>
      <c r="P48" s="3">
        <f t="shared" si="30"/>
        <v>4.0000000000000036E-2</v>
      </c>
      <c r="Q48" s="3">
        <f t="shared" si="30"/>
        <v>4.0000000000000036E-2</v>
      </c>
      <c r="R48" s="3">
        <f t="shared" si="30"/>
        <v>4.0000000000000036E-2</v>
      </c>
      <c r="S48" s="3">
        <f t="shared" si="30"/>
        <v>4.0000000000000036E-2</v>
      </c>
      <c r="U48" s="3" t="s">
        <v>56</v>
      </c>
      <c r="V48" s="6">
        <v>1420</v>
      </c>
    </row>
    <row r="49" spans="2:22" s="1" customFormat="1" x14ac:dyDescent="0.25">
      <c r="U49" s="1" t="s">
        <v>57</v>
      </c>
      <c r="V49" s="1">
        <f>+V47/V48</f>
        <v>40.806304788613843</v>
      </c>
    </row>
    <row r="50" spans="2:22" s="1" customFormat="1" x14ac:dyDescent="0.25">
      <c r="B50" s="1" t="s">
        <v>27</v>
      </c>
      <c r="H50" s="1">
        <v>4651</v>
      </c>
      <c r="I50" s="1">
        <v>3720</v>
      </c>
      <c r="J50" s="1">
        <v>6637</v>
      </c>
    </row>
    <row r="51" spans="2:22" s="1" customFormat="1" x14ac:dyDescent="0.25">
      <c r="B51" s="1" t="s">
        <v>28</v>
      </c>
      <c r="H51" s="1">
        <v>1141</v>
      </c>
      <c r="I51" s="1">
        <v>1618</v>
      </c>
      <c r="J51" s="1">
        <v>1939</v>
      </c>
    </row>
    <row r="52" spans="2:22" s="2" customFormat="1" x14ac:dyDescent="0.25">
      <c r="B52" s="2" t="s">
        <v>29</v>
      </c>
      <c r="H52" s="2">
        <f>+H50-H51</f>
        <v>3510</v>
      </c>
      <c r="I52" s="2">
        <f>+I50-I51</f>
        <v>2102</v>
      </c>
      <c r="J52" s="2">
        <f>+J50-J51</f>
        <v>4698</v>
      </c>
    </row>
    <row r="53" spans="2:22" s="1" customFormat="1" x14ac:dyDescent="0.25"/>
    <row r="54" spans="2:22" s="1" customFormat="1" x14ac:dyDescent="0.25">
      <c r="B54" s="1" t="s">
        <v>30</v>
      </c>
      <c r="I54" s="1">
        <v>1655</v>
      </c>
      <c r="J54" s="1">
        <v>2900</v>
      </c>
    </row>
    <row r="55" spans="2:22" s="1" customFormat="1" x14ac:dyDescent="0.25">
      <c r="B55" s="1" t="s">
        <v>31</v>
      </c>
      <c r="I55" s="1">
        <v>1239</v>
      </c>
      <c r="J55" s="1">
        <v>1089</v>
      </c>
    </row>
    <row r="56" spans="2:22" s="1" customFormat="1" x14ac:dyDescent="0.25">
      <c r="B56" s="1" t="s">
        <v>32</v>
      </c>
      <c r="I56" s="1">
        <v>6766</v>
      </c>
      <c r="J56" s="1">
        <v>7812</v>
      </c>
    </row>
    <row r="57" spans="2:22" s="1" customFormat="1" x14ac:dyDescent="0.25">
      <c r="B57" s="1" t="s">
        <v>33</v>
      </c>
      <c r="I57" s="1">
        <v>3999</v>
      </c>
      <c r="J57" s="1">
        <v>4387</v>
      </c>
    </row>
    <row r="58" spans="2:22" s="1" customFormat="1" x14ac:dyDescent="0.25">
      <c r="B58" s="1" t="s">
        <v>34</v>
      </c>
      <c r="I58" s="1">
        <v>1344</v>
      </c>
      <c r="J58" s="1">
        <v>1530</v>
      </c>
    </row>
    <row r="59" spans="2:22" s="2" customFormat="1" x14ac:dyDescent="0.25">
      <c r="B59" s="2" t="s">
        <v>35</v>
      </c>
      <c r="I59" s="2">
        <f>+SUM(I54:I58)</f>
        <v>15003</v>
      </c>
      <c r="J59" s="2">
        <f>+SUM(J54:J58)</f>
        <v>17718</v>
      </c>
    </row>
    <row r="60" spans="2:22" s="1" customFormat="1" x14ac:dyDescent="0.25">
      <c r="B60" s="1" t="s">
        <v>36</v>
      </c>
      <c r="I60" s="1">
        <v>1581</v>
      </c>
      <c r="J60" s="1">
        <v>1624</v>
      </c>
    </row>
    <row r="61" spans="2:22" s="1" customFormat="1" x14ac:dyDescent="0.25">
      <c r="B61" s="1" t="s">
        <v>37</v>
      </c>
      <c r="I61" s="1">
        <v>6607</v>
      </c>
      <c r="J61" s="1">
        <v>7240</v>
      </c>
    </row>
    <row r="62" spans="2:22" s="1" customFormat="1" x14ac:dyDescent="0.25">
      <c r="B62" s="1" t="s">
        <v>38</v>
      </c>
      <c r="I62" s="1">
        <v>2992</v>
      </c>
      <c r="J62" s="1">
        <v>3239</v>
      </c>
    </row>
    <row r="63" spans="2:22" s="1" customFormat="1" x14ac:dyDescent="0.25">
      <c r="B63" s="1" t="s">
        <v>45</v>
      </c>
      <c r="I63" s="1">
        <v>3970</v>
      </c>
      <c r="J63" s="1">
        <v>4052</v>
      </c>
    </row>
    <row r="64" spans="2:22" s="2" customFormat="1" x14ac:dyDescent="0.25">
      <c r="B64" s="2" t="s">
        <v>46</v>
      </c>
      <c r="I64" s="2">
        <f>+I59+SUM(I60:I63)</f>
        <v>30153</v>
      </c>
      <c r="J64" s="2">
        <f>+J59+SUM(J60:J63)</f>
        <v>33873</v>
      </c>
    </row>
    <row r="65" spans="2:10" s="1" customFormat="1" x14ac:dyDescent="0.25"/>
    <row r="66" spans="2:10" s="1" customFormat="1" x14ac:dyDescent="0.25">
      <c r="B66" s="1" t="s">
        <v>39</v>
      </c>
      <c r="I66" s="1">
        <v>9121</v>
      </c>
      <c r="J66" s="1">
        <v>10904</v>
      </c>
    </row>
    <row r="67" spans="2:10" s="1" customFormat="1" x14ac:dyDescent="0.25">
      <c r="B67" s="1" t="s">
        <v>12</v>
      </c>
      <c r="I67" s="1">
        <v>1002</v>
      </c>
      <c r="J67" s="1">
        <v>994</v>
      </c>
    </row>
    <row r="68" spans="2:10" s="1" customFormat="1" x14ac:dyDescent="0.25">
      <c r="B68" s="1" t="s">
        <v>40</v>
      </c>
      <c r="I68" s="1">
        <v>1632</v>
      </c>
      <c r="J68" s="1">
        <v>1123</v>
      </c>
    </row>
    <row r="69" spans="2:10" s="2" customFormat="1" x14ac:dyDescent="0.25">
      <c r="B69" s="2" t="s">
        <v>41</v>
      </c>
      <c r="I69" s="2">
        <f>+I66+I67+I68</f>
        <v>11755</v>
      </c>
      <c r="J69" s="2">
        <f>+J66+J67+J68</f>
        <v>13021</v>
      </c>
    </row>
    <row r="70" spans="2:10" s="1" customFormat="1" x14ac:dyDescent="0.25">
      <c r="B70" s="1" t="s">
        <v>42</v>
      </c>
      <c r="I70" s="1">
        <v>10594</v>
      </c>
      <c r="J70" s="1">
        <v>10842</v>
      </c>
    </row>
    <row r="71" spans="2:10" s="1" customFormat="1" x14ac:dyDescent="0.25">
      <c r="B71" s="1" t="s">
        <v>43</v>
      </c>
      <c r="I71" s="1">
        <v>165</v>
      </c>
      <c r="J71" s="1">
        <v>175</v>
      </c>
    </row>
    <row r="72" spans="2:10" s="1" customFormat="1" x14ac:dyDescent="0.25">
      <c r="B72" s="1" t="s">
        <v>44</v>
      </c>
      <c r="I72" s="1">
        <v>2308</v>
      </c>
      <c r="J72" s="1">
        <v>2046</v>
      </c>
    </row>
    <row r="73" spans="2:10" s="2" customFormat="1" x14ac:dyDescent="0.25">
      <c r="B73" s="2" t="s">
        <v>47</v>
      </c>
      <c r="I73" s="2">
        <f>+I69+SUM(I70:I72)</f>
        <v>24822</v>
      </c>
      <c r="J73" s="2">
        <f>+J69+SUM(J70:J72)</f>
        <v>26084</v>
      </c>
    </row>
    <row r="74" spans="2:10" s="1" customFormat="1" x14ac:dyDescent="0.25"/>
    <row r="75" spans="2:10" s="2" customFormat="1" x14ac:dyDescent="0.25">
      <c r="B75" s="2" t="s">
        <v>48</v>
      </c>
      <c r="I75" s="2">
        <f>+I64-I73</f>
        <v>5331</v>
      </c>
      <c r="J75" s="2">
        <f>+J64-J73</f>
        <v>7789</v>
      </c>
    </row>
    <row r="76" spans="2:10" s="1" customFormat="1" x14ac:dyDescent="0.25">
      <c r="B76" s="1" t="s">
        <v>50</v>
      </c>
      <c r="I76" s="1">
        <f>+I59-I69</f>
        <v>3248</v>
      </c>
      <c r="J76" s="1">
        <f>+J59-J69</f>
        <v>4697</v>
      </c>
    </row>
    <row r="77" spans="2:10" s="1" customFormat="1" x14ac:dyDescent="0.25">
      <c r="B77" s="1" t="s">
        <v>49</v>
      </c>
      <c r="J77" s="1">
        <f>+J76-I76</f>
        <v>1449</v>
      </c>
    </row>
    <row r="78" spans="2:10" s="1" customFormat="1" x14ac:dyDescent="0.25"/>
    <row r="79" spans="2:10" s="1" customFormat="1" x14ac:dyDescent="0.25"/>
    <row r="80" spans="2:1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2024-10-19T16:57:51Z</dcterms:created>
  <dcterms:modified xsi:type="dcterms:W3CDTF">2024-10-19T17:33:20Z</dcterms:modified>
</cp:coreProperties>
</file>