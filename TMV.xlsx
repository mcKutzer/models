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6C822430-5718-42C8-80E4-90DEAF3A3EF1}" xr6:coauthVersionLast="47" xr6:coauthVersionMax="47" xr10:uidLastSave="{00000000-0000-0000-0000-000000000000}"/>
  <bookViews>
    <workbookView xWindow="-28920" yWindow="-120" windowWidth="29040" windowHeight="15840" xr2:uid="{01927A16-0C8E-46B8-BA62-0F3E31D03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1" l="1"/>
  <c r="R11" i="1"/>
  <c r="S11" i="1"/>
  <c r="T11" i="1"/>
  <c r="U11" i="1"/>
  <c r="V11" i="1"/>
  <c r="W11" i="1"/>
  <c r="X11" i="1"/>
  <c r="Q11" i="1"/>
  <c r="O26" i="1"/>
  <c r="P26" i="1"/>
  <c r="Q26" i="1"/>
  <c r="R26" i="1"/>
  <c r="S26" i="1"/>
  <c r="T26" i="1"/>
  <c r="U26" i="1"/>
  <c r="V26" i="1"/>
  <c r="W26" i="1"/>
  <c r="X26" i="1"/>
  <c r="N27" i="1"/>
  <c r="N26" i="1"/>
  <c r="AB35" i="1"/>
  <c r="P17" i="1"/>
  <c r="Q17" i="1" s="1"/>
  <c r="R17" i="1" s="1"/>
  <c r="S17" i="1" s="1"/>
  <c r="T17" i="1" s="1"/>
  <c r="U17" i="1" s="1"/>
  <c r="V17" i="1" s="1"/>
  <c r="W17" i="1" s="1"/>
  <c r="X17" i="1" s="1"/>
  <c r="O17" i="1"/>
  <c r="N23" i="1"/>
  <c r="O24" i="1"/>
  <c r="P24" i="1" s="1"/>
  <c r="Q24" i="1" s="1"/>
  <c r="R24" i="1" s="1"/>
  <c r="S24" i="1" s="1"/>
  <c r="T24" i="1" s="1"/>
  <c r="U24" i="1" s="1"/>
  <c r="V24" i="1" s="1"/>
  <c r="W24" i="1" s="1"/>
  <c r="X24" i="1" s="1"/>
  <c r="N24" i="1"/>
  <c r="AB30" i="1"/>
  <c r="N37" i="1"/>
  <c r="M37" i="1"/>
  <c r="N36" i="1"/>
  <c r="P12" i="1"/>
  <c r="Q12" i="1" s="1"/>
  <c r="R12" i="1" s="1"/>
  <c r="S12" i="1" s="1"/>
  <c r="T12" i="1" s="1"/>
  <c r="U12" i="1" s="1"/>
  <c r="V12" i="1" s="1"/>
  <c r="W12" i="1" s="1"/>
  <c r="X12" i="1" s="1"/>
  <c r="O12" i="1"/>
  <c r="P11" i="1"/>
  <c r="O11" i="1"/>
  <c r="P10" i="1"/>
  <c r="Q10" i="1"/>
  <c r="R10" i="1"/>
  <c r="S10" i="1"/>
  <c r="T10" i="1"/>
  <c r="U10" i="1"/>
  <c r="V10" i="1"/>
  <c r="W10" i="1"/>
  <c r="X10" i="1"/>
  <c r="O10" i="1"/>
  <c r="P9" i="1"/>
  <c r="Q9" i="1" s="1"/>
  <c r="R9" i="1" s="1"/>
  <c r="S9" i="1" s="1"/>
  <c r="T9" i="1" s="1"/>
  <c r="U9" i="1" s="1"/>
  <c r="V9" i="1" s="1"/>
  <c r="W9" i="1" s="1"/>
  <c r="X9" i="1" s="1"/>
  <c r="O9" i="1"/>
  <c r="P8" i="1"/>
  <c r="O8" i="1"/>
  <c r="P15" i="1"/>
  <c r="P7" i="1"/>
  <c r="Q7" i="1"/>
  <c r="R7" i="1"/>
  <c r="S7" i="1"/>
  <c r="T7" i="1"/>
  <c r="U7" i="1"/>
  <c r="V7" i="1"/>
  <c r="W7" i="1"/>
  <c r="X7" i="1"/>
  <c r="O6" i="1"/>
  <c r="P6" i="1"/>
  <c r="Q6" i="1"/>
  <c r="S5" i="1"/>
  <c r="T5" i="1" s="1"/>
  <c r="U5" i="1" s="1"/>
  <c r="U6" i="1" s="1"/>
  <c r="O28" i="1"/>
  <c r="N28" i="1"/>
  <c r="X2" i="1"/>
  <c r="P2" i="1"/>
  <c r="Q2" i="1" s="1"/>
  <c r="R2" i="1" s="1"/>
  <c r="S2" i="1" s="1"/>
  <c r="T2" i="1" s="1"/>
  <c r="U2" i="1" s="1"/>
  <c r="V2" i="1" s="1"/>
  <c r="W2" i="1" s="1"/>
  <c r="N21" i="1"/>
  <c r="N10" i="1"/>
  <c r="N6" i="1"/>
  <c r="N7" i="1" s="1"/>
  <c r="L27" i="1"/>
  <c r="L26" i="1"/>
  <c r="M28" i="1"/>
  <c r="M27" i="1"/>
  <c r="M26" i="1"/>
  <c r="M33" i="1"/>
  <c r="L33" i="1"/>
  <c r="M36" i="1"/>
  <c r="J7" i="1"/>
  <c r="K7" i="1"/>
  <c r="L7" i="1"/>
  <c r="L15" i="1" s="1"/>
  <c r="L20" i="1" s="1"/>
  <c r="L22" i="1" s="1"/>
  <c r="L24" i="1" s="1"/>
  <c r="M7" i="1"/>
  <c r="M15" i="1" s="1"/>
  <c r="M20" i="1" s="1"/>
  <c r="M22" i="1" s="1"/>
  <c r="M24" i="1" s="1"/>
  <c r="O7" i="1"/>
  <c r="J15" i="1"/>
  <c r="J20" i="1" s="1"/>
  <c r="J22" i="1" s="1"/>
  <c r="K15" i="1"/>
  <c r="K20" i="1" s="1"/>
  <c r="K22" i="1" s="1"/>
  <c r="I7" i="1"/>
  <c r="I15" i="1" s="1"/>
  <c r="I20" i="1" s="1"/>
  <c r="I22" i="1" s="1"/>
  <c r="K2" i="1"/>
  <c r="J2" i="1" s="1"/>
  <c r="I2" i="1" s="1"/>
  <c r="M2" i="1"/>
  <c r="N2" i="1" s="1"/>
  <c r="O2" i="1" s="1"/>
  <c r="O15" i="1" l="1"/>
  <c r="O20" i="1" s="1"/>
  <c r="Q15" i="1"/>
  <c r="Q20" i="1" s="1"/>
  <c r="R8" i="1"/>
  <c r="R6" i="1"/>
  <c r="S6" i="1"/>
  <c r="T6" i="1"/>
  <c r="U28" i="1"/>
  <c r="V5" i="1"/>
  <c r="V6" i="1" s="1"/>
  <c r="P28" i="1"/>
  <c r="R28" i="1"/>
  <c r="Q28" i="1"/>
  <c r="N15" i="1"/>
  <c r="N20" i="1" s="1"/>
  <c r="N22" i="1" s="1"/>
  <c r="O21" i="1" l="1"/>
  <c r="O22" i="1" s="1"/>
  <c r="O27" i="1" s="1"/>
  <c r="Q21" i="1"/>
  <c r="Q22" i="1" s="1"/>
  <c r="R15" i="1"/>
  <c r="S8" i="1"/>
  <c r="V28" i="1"/>
  <c r="W5" i="1"/>
  <c r="W6" i="1" s="1"/>
  <c r="T28" i="1"/>
  <c r="S28" i="1"/>
  <c r="Q23" i="1" l="1"/>
  <c r="Q27" i="1"/>
  <c r="P20" i="1"/>
  <c r="P21" i="1" s="1"/>
  <c r="P22" i="1" s="1"/>
  <c r="O23" i="1"/>
  <c r="R20" i="1"/>
  <c r="S15" i="1"/>
  <c r="T8" i="1"/>
  <c r="W28" i="1"/>
  <c r="X5" i="1"/>
  <c r="P23" i="1" l="1"/>
  <c r="P27" i="1"/>
  <c r="R21" i="1"/>
  <c r="R22" i="1" s="1"/>
  <c r="R27" i="1" s="1"/>
  <c r="T15" i="1"/>
  <c r="U8" i="1"/>
  <c r="X28" i="1"/>
  <c r="X6" i="1"/>
  <c r="R23" i="1" l="1"/>
  <c r="S20" i="1"/>
  <c r="U15" i="1"/>
  <c r="V8" i="1"/>
  <c r="S21" i="1" l="1"/>
  <c r="S22" i="1" s="1"/>
  <c r="S27" i="1" s="1"/>
  <c r="W8" i="1"/>
  <c r="V15" i="1"/>
  <c r="S23" i="1" l="1"/>
  <c r="T20" i="1"/>
  <c r="X8" i="1"/>
  <c r="X15" i="1" s="1"/>
  <c r="W15" i="1"/>
  <c r="T21" i="1" l="1"/>
  <c r="T22" i="1" s="1"/>
  <c r="T27" i="1" s="1"/>
  <c r="T23" i="1" l="1"/>
  <c r="U20" i="1"/>
  <c r="U21" i="1" l="1"/>
  <c r="U22" i="1" s="1"/>
  <c r="U27" i="1" s="1"/>
  <c r="U23" i="1" l="1"/>
  <c r="V20" i="1"/>
  <c r="V21" i="1" l="1"/>
  <c r="V22" i="1" s="1"/>
  <c r="V23" i="1" l="1"/>
  <c r="V27" i="1"/>
  <c r="W20" i="1"/>
  <c r="W21" i="1" l="1"/>
  <c r="W22" i="1" s="1"/>
  <c r="W23" i="1" l="1"/>
  <c r="W27" i="1"/>
  <c r="X20" i="1"/>
  <c r="X21" i="1" l="1"/>
  <c r="X22" i="1" s="1"/>
  <c r="X27" i="1" s="1"/>
  <c r="X23" i="1" l="1"/>
  <c r="Y22" i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AB29" i="1" s="1"/>
  <c r="AB31" i="1" s="1"/>
  <c r="AB32" i="1" s="1"/>
</calcChain>
</file>

<file path=xl/sharedStrings.xml><?xml version="1.0" encoding="utf-8"?>
<sst xmlns="http://schemas.openxmlformats.org/spreadsheetml/2006/main" count="37" uniqueCount="37">
  <si>
    <t>Revenue</t>
  </si>
  <si>
    <t>COGS</t>
  </si>
  <si>
    <t>Profit</t>
  </si>
  <si>
    <t>R&amp;D</t>
  </si>
  <si>
    <t>Marketing</t>
  </si>
  <si>
    <t>Sales</t>
  </si>
  <si>
    <t>G&amp;A</t>
  </si>
  <si>
    <t>Debt expenses</t>
  </si>
  <si>
    <t>Other Income</t>
  </si>
  <si>
    <t>Other Expenses</t>
  </si>
  <si>
    <t>Operating Profit</t>
  </si>
  <si>
    <t>Finance Income</t>
  </si>
  <si>
    <t>Finance Cost</t>
  </si>
  <si>
    <t>Pretax</t>
  </si>
  <si>
    <t>Tax</t>
  </si>
  <si>
    <t>Net Income</t>
  </si>
  <si>
    <t>Equity, net</t>
  </si>
  <si>
    <t>Currency, net</t>
  </si>
  <si>
    <t>EPS</t>
  </si>
  <si>
    <t>Shares</t>
  </si>
  <si>
    <t>CFFO</t>
  </si>
  <si>
    <t>CapEx</t>
  </si>
  <si>
    <t>FCF</t>
  </si>
  <si>
    <t>Cash</t>
  </si>
  <si>
    <t>Debt</t>
  </si>
  <si>
    <t>Gross Margin</t>
  </si>
  <si>
    <t>Net Margin</t>
  </si>
  <si>
    <t>Revenue Y/Y</t>
  </si>
  <si>
    <t>Cost of Debt</t>
  </si>
  <si>
    <t>Terminal</t>
  </si>
  <si>
    <t>Discount</t>
  </si>
  <si>
    <t>NPV</t>
  </si>
  <si>
    <t>Net Cash</t>
  </si>
  <si>
    <t>Price</t>
  </si>
  <si>
    <t>Value</t>
  </si>
  <si>
    <t>Current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</si>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</sst>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4" fontId="0" fillId="0" borderId="0" xfId="0" applyNumberFormat="1"/>
    <xf numFmtId="9" fontId="0" fillId="0" borderId="0" xfId="1" applyFont="1"/>
    <xf numFmtId="165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5953</xdr:colOff>
      <xdr:row>3</xdr:row>
      <xdr:rowOff>208359</xdr:rowOff>
    </xdr:from>
    <xdr:to>
      <xdr:col>13</xdr:col>
      <xdr:colOff>11906</xdr:colOff>
      <xdr:row>37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60974F-5C04-9F38-B085-B0F3F254C769}"/>
            </a:ext>
          </a:extLst>
        </xdr:cNvPr>
        <xdr:cNvCxnSpPr/>
      </xdr:nvCxnSpPr>
      <xdr:spPr>
        <a:xfrm flipH="1">
          <a:off x="7905750" y="833437"/>
          <a:ext cx="5953" cy="602456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3278-12AE-42BE-82D5-3096A68F8EB1}">
  <dimension ref="D2:FZ82"/>
  <sheetViews>
    <sheetView tabSelected="1" topLeftCell="C1" zoomScale="160" zoomScaleNormal="160" workbookViewId="0">
      <pane xSplit="2" ySplit="2" topLeftCell="K15" activePane="bottomRight" state="frozen"/>
      <selection activeCell="C1" sqref="C1"/>
      <selection pane="topRight" activeCell="E1" sqref="E1"/>
      <selection pane="bottomLeft" activeCell="C3" sqref="C3"/>
      <selection pane="bottomRight" activeCell="W30" sqref="W30"/>
    </sheetView>
  </sheetViews>
  <sheetFormatPr defaultRowHeight="16.5" x14ac:dyDescent="0.25"/>
  <cols>
    <col min="3" max="3" width="2.85546875" customWidth="1"/>
    <col min="4" max="4" width="15.42578125" bestFit="1" customWidth="1"/>
    <col min="20" max="21" width="9.28515625" bestFit="1" customWidth="1"/>
    <col min="22" max="24" width="9.85546875" bestFit="1" customWidth="1"/>
  </cols>
  <sheetData>
    <row r="2" spans="4:24" x14ac:dyDescent="0.25">
      <c r="I2">
        <f>+J2-1</f>
        <v>2020</v>
      </c>
      <c r="J2">
        <f>+K2-1</f>
        <v>2021</v>
      </c>
      <c r="K2">
        <f>+L2-1</f>
        <v>2022</v>
      </c>
      <c r="L2">
        <v>2023</v>
      </c>
      <c r="M2">
        <f>+L2+1</f>
        <v>2024</v>
      </c>
      <c r="N2">
        <f>+M2+1</f>
        <v>2025</v>
      </c>
      <c r="O2">
        <f>+N2+1</f>
        <v>2026</v>
      </c>
      <c r="P2">
        <f t="shared" ref="P2:W2" si="0">+O2+1</f>
        <v>2027</v>
      </c>
      <c r="Q2">
        <f t="shared" si="0"/>
        <v>2028</v>
      </c>
      <c r="R2">
        <f t="shared" si="0"/>
        <v>2029</v>
      </c>
      <c r="S2">
        <f t="shared" si="0"/>
        <v>2030</v>
      </c>
      <c r="T2">
        <f t="shared" si="0"/>
        <v>2031</v>
      </c>
      <c r="U2">
        <f t="shared" si="0"/>
        <v>2032</v>
      </c>
      <c r="V2">
        <f t="shared" si="0"/>
        <v>2033</v>
      </c>
      <c r="W2">
        <f t="shared" si="0"/>
        <v>2034</v>
      </c>
      <c r="X2">
        <f>+W2+1</f>
        <v>2035</v>
      </c>
    </row>
    <row r="3" spans="4:24" s="1" customFormat="1" x14ac:dyDescent="0.25"/>
    <row r="4" spans="4:24" s="1" customFormat="1" x14ac:dyDescent="0.25"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4:24" s="2" customFormat="1" ht="15" x14ac:dyDescent="0.25">
      <c r="D5" s="2" t="s">
        <v>0</v>
      </c>
      <c r="L5" s="2">
        <v>626689</v>
      </c>
      <c r="M5" s="2">
        <v>671422</v>
      </c>
      <c r="N5" s="2">
        <v>780000</v>
      </c>
      <c r="O5" s="2">
        <v>800000</v>
      </c>
      <c r="P5" s="2">
        <v>850000</v>
      </c>
      <c r="Q5" s="2">
        <v>900000</v>
      </c>
      <c r="R5" s="2">
        <v>950000</v>
      </c>
      <c r="S5" s="2">
        <f t="shared" ref="P5:X5" si="1">+R5*1.05</f>
        <v>997500</v>
      </c>
      <c r="T5" s="2">
        <f t="shared" si="1"/>
        <v>1047375</v>
      </c>
      <c r="U5" s="2">
        <f t="shared" si="1"/>
        <v>1099743.75</v>
      </c>
      <c r="V5" s="2">
        <f t="shared" si="1"/>
        <v>1154730.9375</v>
      </c>
      <c r="W5" s="2">
        <f t="shared" si="1"/>
        <v>1212467.484375</v>
      </c>
      <c r="X5" s="2">
        <f t="shared" si="1"/>
        <v>1273090.85859375</v>
      </c>
    </row>
    <row r="6" spans="4:24" s="1" customFormat="1" x14ac:dyDescent="0.25">
      <c r="D6" s="1" t="s">
        <v>1</v>
      </c>
      <c r="L6" s="1">
        <v>81743</v>
      </c>
      <c r="M6" s="1">
        <v>80834</v>
      </c>
      <c r="N6" s="1">
        <f>+N5*0.12</f>
        <v>93600</v>
      </c>
      <c r="O6" s="1">
        <f t="shared" ref="O6:X6" si="2">+O5*0.12</f>
        <v>96000</v>
      </c>
      <c r="P6" s="1">
        <f t="shared" si="2"/>
        <v>102000</v>
      </c>
      <c r="Q6" s="1">
        <f t="shared" si="2"/>
        <v>108000</v>
      </c>
      <c r="R6" s="1">
        <f t="shared" si="2"/>
        <v>114000</v>
      </c>
      <c r="S6" s="1">
        <f t="shared" si="2"/>
        <v>119700</v>
      </c>
      <c r="T6" s="1">
        <f t="shared" si="2"/>
        <v>125685</v>
      </c>
      <c r="U6" s="1">
        <f t="shared" si="2"/>
        <v>131969.25</v>
      </c>
      <c r="V6" s="1">
        <f t="shared" si="2"/>
        <v>138567.71249999999</v>
      </c>
      <c r="W6" s="1">
        <f t="shared" si="2"/>
        <v>145496.09812499999</v>
      </c>
      <c r="X6" s="1">
        <f t="shared" si="2"/>
        <v>152770.90303125</v>
      </c>
    </row>
    <row r="7" spans="4:24" s="1" customFormat="1" x14ac:dyDescent="0.25">
      <c r="D7" s="1" t="s">
        <v>2</v>
      </c>
      <c r="I7" s="1">
        <f>+I5-I6</f>
        <v>0</v>
      </c>
      <c r="J7" s="1">
        <f t="shared" ref="J7:O7" si="3">+J5-J6</f>
        <v>0</v>
      </c>
      <c r="K7" s="1">
        <f t="shared" si="3"/>
        <v>0</v>
      </c>
      <c r="L7" s="1">
        <f t="shared" si="3"/>
        <v>544946</v>
      </c>
      <c r="M7" s="1">
        <f t="shared" si="3"/>
        <v>590588</v>
      </c>
      <c r="N7" s="1">
        <f t="shared" si="3"/>
        <v>686400</v>
      </c>
      <c r="O7" s="1">
        <f t="shared" si="3"/>
        <v>704000</v>
      </c>
      <c r="P7" s="1">
        <f t="shared" ref="P7" si="4">+P5-P6</f>
        <v>748000</v>
      </c>
      <c r="Q7" s="1">
        <f t="shared" ref="Q7" si="5">+Q5-Q6</f>
        <v>792000</v>
      </c>
      <c r="R7" s="1">
        <f t="shared" ref="R7" si="6">+R5-R6</f>
        <v>836000</v>
      </c>
      <c r="S7" s="1">
        <f t="shared" ref="S7" si="7">+S5-S6</f>
        <v>877800</v>
      </c>
      <c r="T7" s="1">
        <f t="shared" ref="T7" si="8">+T5-T6</f>
        <v>921690</v>
      </c>
      <c r="U7" s="1">
        <f t="shared" ref="U7" si="9">+U5-U6</f>
        <v>967774.5</v>
      </c>
      <c r="V7" s="1">
        <f t="shared" ref="V7" si="10">+V5-V6</f>
        <v>1016163.225</v>
      </c>
      <c r="W7" s="1">
        <f t="shared" ref="W7" si="11">+W5-W6</f>
        <v>1066971.38625</v>
      </c>
      <c r="X7" s="1">
        <f t="shared" ref="X7" si="12">+X5-X6</f>
        <v>1120319.9555625001</v>
      </c>
    </row>
    <row r="8" spans="4:24" s="1" customFormat="1" x14ac:dyDescent="0.25">
      <c r="D8" s="1" t="s">
        <v>3</v>
      </c>
      <c r="L8" s="1">
        <v>80138</v>
      </c>
      <c r="M8" s="1">
        <v>79950</v>
      </c>
      <c r="N8" s="1">
        <v>95000</v>
      </c>
      <c r="O8" s="1">
        <f>+N8*1.05</f>
        <v>99750</v>
      </c>
      <c r="P8" s="1">
        <f t="shared" ref="P8:X8" si="13">+O8*1.05</f>
        <v>104737.5</v>
      </c>
      <c r="Q8" s="1">
        <f>+P8*1.05</f>
        <v>109974.375</v>
      </c>
      <c r="R8" s="1">
        <f t="shared" si="13"/>
        <v>115473.09375</v>
      </c>
      <c r="S8" s="1">
        <f t="shared" si="13"/>
        <v>121246.74843750001</v>
      </c>
      <c r="T8" s="1">
        <f t="shared" si="13"/>
        <v>127309.08585937502</v>
      </c>
      <c r="U8" s="1">
        <f t="shared" si="13"/>
        <v>133674.54015234378</v>
      </c>
      <c r="V8" s="1">
        <f t="shared" si="13"/>
        <v>140358.26715996096</v>
      </c>
      <c r="W8" s="1">
        <f t="shared" si="13"/>
        <v>147376.180517959</v>
      </c>
      <c r="X8" s="1">
        <f t="shared" si="13"/>
        <v>154744.98954385697</v>
      </c>
    </row>
    <row r="9" spans="4:24" s="1" customFormat="1" x14ac:dyDescent="0.25">
      <c r="D9" s="1" t="s">
        <v>4</v>
      </c>
      <c r="L9" s="1">
        <v>138699</v>
      </c>
      <c r="M9" s="1">
        <v>119600</v>
      </c>
      <c r="N9" s="1">
        <v>115000</v>
      </c>
      <c r="O9" s="1">
        <f>+N9*1.02</f>
        <v>117300</v>
      </c>
      <c r="P9" s="1">
        <f t="shared" ref="P9:X9" si="14">+O9*1.02</f>
        <v>119646</v>
      </c>
      <c r="Q9" s="1">
        <f t="shared" si="14"/>
        <v>122038.92</v>
      </c>
      <c r="R9" s="1">
        <f t="shared" si="14"/>
        <v>124479.69839999999</v>
      </c>
      <c r="S9" s="1">
        <f t="shared" si="14"/>
        <v>126969.29236799999</v>
      </c>
      <c r="T9" s="1">
        <f t="shared" si="14"/>
        <v>129508.67821535999</v>
      </c>
      <c r="U9" s="1">
        <f t="shared" si="14"/>
        <v>132098.85177966719</v>
      </c>
      <c r="V9" s="1">
        <f t="shared" si="14"/>
        <v>134740.82881526055</v>
      </c>
      <c r="W9" s="1">
        <f t="shared" si="14"/>
        <v>137435.64539156578</v>
      </c>
      <c r="X9" s="1">
        <f t="shared" si="14"/>
        <v>140184.35829939711</v>
      </c>
    </row>
    <row r="10" spans="4:24" s="1" customFormat="1" x14ac:dyDescent="0.25">
      <c r="D10" s="1" t="s">
        <v>5</v>
      </c>
      <c r="L10" s="1">
        <v>106691</v>
      </c>
      <c r="M10" s="1">
        <v>113763</v>
      </c>
      <c r="N10" s="1">
        <f>100000*1.33</f>
        <v>133000</v>
      </c>
      <c r="O10" s="1">
        <f>+O5*0.17</f>
        <v>136000</v>
      </c>
      <c r="P10" s="1">
        <f t="shared" ref="P10:X10" si="15">+P5*0.17</f>
        <v>144500</v>
      </c>
      <c r="Q10" s="1">
        <f t="shared" si="15"/>
        <v>153000</v>
      </c>
      <c r="R10" s="1">
        <f t="shared" si="15"/>
        <v>161500</v>
      </c>
      <c r="S10" s="1">
        <f t="shared" si="15"/>
        <v>169575</v>
      </c>
      <c r="T10" s="1">
        <f t="shared" si="15"/>
        <v>178053.75</v>
      </c>
      <c r="U10" s="1">
        <f t="shared" si="15"/>
        <v>186956.4375</v>
      </c>
      <c r="V10" s="1">
        <f t="shared" si="15"/>
        <v>196304.25937500002</v>
      </c>
      <c r="W10" s="1">
        <f t="shared" si="15"/>
        <v>206119.47234375001</v>
      </c>
      <c r="X10" s="1">
        <f t="shared" si="15"/>
        <v>216425.44596093753</v>
      </c>
    </row>
    <row r="11" spans="4:24" s="1" customFormat="1" x14ac:dyDescent="0.25">
      <c r="D11" s="1" t="s">
        <v>6</v>
      </c>
      <c r="L11" s="1">
        <v>49381</v>
      </c>
      <c r="M11" s="1">
        <v>50915</v>
      </c>
      <c r="N11" s="1">
        <v>60000</v>
      </c>
      <c r="O11" s="1">
        <f>+N11*1.04</f>
        <v>62400</v>
      </c>
      <c r="P11" s="1">
        <f t="shared" ref="P11:X11" si="16">+O11*1.04</f>
        <v>64896</v>
      </c>
      <c r="Q11" s="1">
        <f>+Q5*0.075</f>
        <v>67500</v>
      </c>
      <c r="R11" s="1">
        <f t="shared" ref="R11:X11" si="17">+R5*0.075</f>
        <v>71250</v>
      </c>
      <c r="S11" s="1">
        <f t="shared" si="17"/>
        <v>74812.5</v>
      </c>
      <c r="T11" s="1">
        <f t="shared" si="17"/>
        <v>78553.125</v>
      </c>
      <c r="U11" s="1">
        <f t="shared" si="17"/>
        <v>82480.78125</v>
      </c>
      <c r="V11" s="1">
        <f t="shared" si="17"/>
        <v>86604.8203125</v>
      </c>
      <c r="W11" s="1">
        <f t="shared" si="17"/>
        <v>90935.061328124997</v>
      </c>
      <c r="X11" s="1">
        <f t="shared" si="17"/>
        <v>95481.814394531248</v>
      </c>
    </row>
    <row r="12" spans="4:24" s="1" customFormat="1" x14ac:dyDescent="0.25">
      <c r="D12" s="1" t="s">
        <v>7</v>
      </c>
      <c r="L12" s="1">
        <v>8506</v>
      </c>
      <c r="M12" s="1">
        <v>11757</v>
      </c>
      <c r="N12" s="1">
        <v>11500</v>
      </c>
      <c r="O12" s="1">
        <f>+N12*1.01</f>
        <v>11615</v>
      </c>
      <c r="P12" s="1">
        <f t="shared" ref="P12:X12" si="18">+O12*1.01</f>
        <v>11731.15</v>
      </c>
      <c r="Q12" s="1">
        <f t="shared" si="18"/>
        <v>11848.461499999999</v>
      </c>
      <c r="R12" s="1">
        <f t="shared" si="18"/>
        <v>11966.946114999999</v>
      </c>
      <c r="S12" s="1">
        <f t="shared" si="18"/>
        <v>12086.615576149999</v>
      </c>
      <c r="T12" s="1">
        <f t="shared" si="18"/>
        <v>12207.481731911499</v>
      </c>
      <c r="U12" s="1">
        <f t="shared" si="18"/>
        <v>12329.556549230614</v>
      </c>
      <c r="V12" s="1">
        <f t="shared" si="18"/>
        <v>12452.85211472292</v>
      </c>
      <c r="W12" s="1">
        <f t="shared" si="18"/>
        <v>12577.380635870149</v>
      </c>
      <c r="X12" s="1">
        <f t="shared" si="18"/>
        <v>12703.154442228852</v>
      </c>
    </row>
    <row r="13" spans="4:24" s="1" customFormat="1" x14ac:dyDescent="0.25">
      <c r="D13" s="1" t="s">
        <v>8</v>
      </c>
      <c r="L13" s="1">
        <v>8537</v>
      </c>
      <c r="M13" s="1">
        <v>2478</v>
      </c>
      <c r="N13" s="1">
        <v>15137</v>
      </c>
    </row>
    <row r="14" spans="4:24" s="1" customFormat="1" x14ac:dyDescent="0.25">
      <c r="D14" s="1" t="s">
        <v>9</v>
      </c>
      <c r="L14" s="1">
        <v>3506</v>
      </c>
      <c r="M14" s="1">
        <v>10688</v>
      </c>
      <c r="N14" s="1">
        <v>3500</v>
      </c>
    </row>
    <row r="15" spans="4:24" s="1" customFormat="1" x14ac:dyDescent="0.25">
      <c r="D15" s="1" t="s">
        <v>10</v>
      </c>
      <c r="I15" s="1">
        <f>+I7-I8-I9-I10-I11-I12+I13-I14</f>
        <v>0</v>
      </c>
      <c r="J15" s="1">
        <f t="shared" ref="J15:O15" si="19">+J7-J8-J9-J10-J11-J12+J13-J14</f>
        <v>0</v>
      </c>
      <c r="K15" s="1">
        <f t="shared" si="19"/>
        <v>0</v>
      </c>
      <c r="L15" s="1">
        <f t="shared" si="19"/>
        <v>166562</v>
      </c>
      <c r="M15" s="1">
        <f t="shared" si="19"/>
        <v>206393</v>
      </c>
      <c r="N15" s="1">
        <f t="shared" si="19"/>
        <v>283537</v>
      </c>
      <c r="O15" s="1">
        <f t="shared" si="19"/>
        <v>276935</v>
      </c>
      <c r="P15" s="1">
        <f t="shared" ref="P15" si="20">+P7-P8-P9-P10-P11-P12+P13-P14</f>
        <v>302489.34999999998</v>
      </c>
      <c r="Q15" s="1">
        <f t="shared" ref="Q15" si="21">+Q7-Q8-Q9-Q10-Q11-Q12+Q13-Q14</f>
        <v>327638.24349999998</v>
      </c>
      <c r="R15" s="1">
        <f t="shared" ref="R15" si="22">+R7-R8-R9-R10-R11-R12+R13-R14</f>
        <v>351330.26173500001</v>
      </c>
      <c r="S15" s="1">
        <f t="shared" ref="S15" si="23">+S7-S8-S9-S10-S11-S12+S13-S14</f>
        <v>373109.84361834999</v>
      </c>
      <c r="T15" s="1">
        <f t="shared" ref="T15" si="24">+T7-T8-T9-T10-T11-T12+T13-T14</f>
        <v>396057.87919335341</v>
      </c>
      <c r="U15" s="1">
        <f t="shared" ref="U15" si="25">+U7-U8-U9-U10-U11-U12+U13-U14</f>
        <v>420234.33276875841</v>
      </c>
      <c r="V15" s="1">
        <f t="shared" ref="V15" si="26">+V7-V8-V9-V10-V11-V12+V13-V14</f>
        <v>445702.19722255552</v>
      </c>
      <c r="W15" s="1">
        <f t="shared" ref="W15" si="27">+W7-W8-W9-W10-W11-W12+W13-W14</f>
        <v>472527.64603273006</v>
      </c>
      <c r="X15" s="1">
        <f t="shared" ref="X15" si="28">+X7-X8-X9-X10-X11-X12+X13-X14</f>
        <v>500780.19292154844</v>
      </c>
    </row>
    <row r="16" spans="4:24" s="1" customFormat="1" x14ac:dyDescent="0.25">
      <c r="D16" s="1" t="s">
        <v>11</v>
      </c>
      <c r="L16" s="1">
        <v>1373</v>
      </c>
      <c r="M16" s="1">
        <v>853</v>
      </c>
      <c r="N16" s="1">
        <v>400</v>
      </c>
      <c r="O16" s="1">
        <v>500</v>
      </c>
      <c r="P16" s="1">
        <v>500</v>
      </c>
      <c r="Q16" s="1">
        <v>500</v>
      </c>
      <c r="R16" s="1">
        <v>500</v>
      </c>
      <c r="S16" s="1">
        <v>500</v>
      </c>
      <c r="T16" s="1">
        <v>500</v>
      </c>
      <c r="U16" s="1">
        <v>500</v>
      </c>
      <c r="V16" s="1">
        <v>500</v>
      </c>
      <c r="W16" s="1">
        <v>500</v>
      </c>
      <c r="X16" s="1">
        <v>500</v>
      </c>
    </row>
    <row r="17" spans="4:182" s="1" customFormat="1" x14ac:dyDescent="0.25">
      <c r="D17" s="1" t="s">
        <v>12</v>
      </c>
      <c r="L17" s="1">
        <v>16389</v>
      </c>
      <c r="M17" s="1">
        <v>17496</v>
      </c>
      <c r="N17" s="1">
        <v>40000</v>
      </c>
      <c r="O17" s="1">
        <f>+N17*1.03</f>
        <v>41200</v>
      </c>
      <c r="P17" s="1">
        <f t="shared" ref="P17:X17" si="29">+O17*1.03</f>
        <v>42436</v>
      </c>
      <c r="Q17" s="1">
        <f t="shared" si="29"/>
        <v>43709.08</v>
      </c>
      <c r="R17" s="1">
        <f t="shared" si="29"/>
        <v>45020.352400000003</v>
      </c>
      <c r="S17" s="1">
        <f t="shared" si="29"/>
        <v>46370.962972000001</v>
      </c>
      <c r="T17" s="1">
        <f t="shared" si="29"/>
        <v>47762.091861159999</v>
      </c>
      <c r="U17" s="1">
        <f t="shared" si="29"/>
        <v>49194.954616994801</v>
      </c>
      <c r="V17" s="1">
        <f t="shared" si="29"/>
        <v>50670.803255504645</v>
      </c>
      <c r="W17" s="1">
        <f t="shared" si="29"/>
        <v>52190.927353169784</v>
      </c>
      <c r="X17" s="1">
        <f t="shared" si="29"/>
        <v>53756.655173764877</v>
      </c>
    </row>
    <row r="18" spans="4:182" s="1" customFormat="1" x14ac:dyDescent="0.25">
      <c r="D18" s="1" t="s">
        <v>16</v>
      </c>
      <c r="L18" s="1">
        <v>-467</v>
      </c>
      <c r="M18" s="1">
        <v>-2379</v>
      </c>
      <c r="N18" s="1">
        <v>-4000</v>
      </c>
      <c r="O18" s="1">
        <v>-2000</v>
      </c>
      <c r="P18" s="1">
        <v>-2000</v>
      </c>
      <c r="Q18" s="1">
        <v>-2000</v>
      </c>
      <c r="R18" s="1">
        <v>-2000</v>
      </c>
      <c r="S18" s="1">
        <v>-2000</v>
      </c>
      <c r="T18" s="1">
        <v>-2000</v>
      </c>
      <c r="U18" s="1">
        <v>-2000</v>
      </c>
      <c r="V18" s="1">
        <v>-2000</v>
      </c>
      <c r="W18" s="1">
        <v>-2000</v>
      </c>
      <c r="X18" s="1">
        <v>-2000</v>
      </c>
    </row>
    <row r="19" spans="4:182" s="1" customFormat="1" x14ac:dyDescent="0.25">
      <c r="D19" s="1" t="s">
        <v>17</v>
      </c>
      <c r="L19" s="1">
        <v>-3624</v>
      </c>
      <c r="M19" s="1">
        <v>-2922</v>
      </c>
      <c r="N19" s="1">
        <v>-30500</v>
      </c>
      <c r="O19" s="1">
        <v>-3000</v>
      </c>
      <c r="P19" s="1">
        <v>-3000</v>
      </c>
      <c r="Q19" s="1">
        <v>-3000</v>
      </c>
      <c r="R19" s="1">
        <v>-3000</v>
      </c>
      <c r="S19" s="1">
        <v>-3000</v>
      </c>
      <c r="T19" s="1">
        <v>-3000</v>
      </c>
      <c r="U19" s="1">
        <v>-3000</v>
      </c>
      <c r="V19" s="1">
        <v>-3000</v>
      </c>
      <c r="W19" s="1">
        <v>-3000</v>
      </c>
      <c r="X19" s="1">
        <v>-3000</v>
      </c>
    </row>
    <row r="20" spans="4:182" s="1" customFormat="1" x14ac:dyDescent="0.25">
      <c r="D20" s="1" t="s">
        <v>13</v>
      </c>
      <c r="I20" s="1">
        <f>+I15+I16-I17+I18+I19</f>
        <v>0</v>
      </c>
      <c r="J20" s="1">
        <f t="shared" ref="J20:O20" si="30">+J15+J16-J17+J18+J19</f>
        <v>0</v>
      </c>
      <c r="K20" s="1">
        <f t="shared" si="30"/>
        <v>0</v>
      </c>
      <c r="L20" s="1">
        <f t="shared" si="30"/>
        <v>147455</v>
      </c>
      <c r="M20" s="1">
        <f t="shared" si="30"/>
        <v>184449</v>
      </c>
      <c r="N20" s="1">
        <f t="shared" si="30"/>
        <v>209437</v>
      </c>
      <c r="O20" s="1">
        <f t="shared" si="30"/>
        <v>231235</v>
      </c>
      <c r="P20" s="1">
        <f t="shared" ref="P20" si="31">+P15+P16-P17+P18+P19</f>
        <v>255553.34999999998</v>
      </c>
      <c r="Q20" s="1">
        <f t="shared" ref="Q20" si="32">+Q15+Q16-Q17+Q18+Q19</f>
        <v>279429.16349999997</v>
      </c>
      <c r="R20" s="1">
        <f t="shared" ref="R20" si="33">+R15+R16-R17+R18+R19</f>
        <v>301809.90933499997</v>
      </c>
      <c r="S20" s="1">
        <f t="shared" ref="S20" si="34">+S15+S16-S17+S18+S19</f>
        <v>322238.88064634998</v>
      </c>
      <c r="T20" s="1">
        <f t="shared" ref="T20" si="35">+T15+T16-T17+T18+T19</f>
        <v>343795.7873321934</v>
      </c>
      <c r="U20" s="1">
        <f t="shared" ref="U20" si="36">+U15+U16-U17+U18+U19</f>
        <v>366539.37815176358</v>
      </c>
      <c r="V20" s="1">
        <f t="shared" ref="V20" si="37">+V15+V16-V17+V18+V19</f>
        <v>390531.39396705088</v>
      </c>
      <c r="W20" s="1">
        <f t="shared" ref="W20" si="38">+W15+W16-W17+W18+W19</f>
        <v>415836.71867956029</v>
      </c>
      <c r="X20" s="1">
        <f t="shared" ref="X20" si="39">+X15+X16-X17+X18+X19</f>
        <v>442523.53774778359</v>
      </c>
    </row>
    <row r="21" spans="4:182" s="1" customFormat="1" x14ac:dyDescent="0.25">
      <c r="D21" s="1" t="s">
        <v>14</v>
      </c>
      <c r="L21" s="1">
        <v>33440</v>
      </c>
      <c r="M21" s="1">
        <v>61369</v>
      </c>
      <c r="N21" s="1">
        <f>0.25*N20</f>
        <v>52359.25</v>
      </c>
      <c r="O21" s="1">
        <f t="shared" ref="O21:X21" si="40">0.25*O20</f>
        <v>57808.75</v>
      </c>
      <c r="P21" s="1">
        <f t="shared" si="40"/>
        <v>63888.337499999994</v>
      </c>
      <c r="Q21" s="1">
        <f t="shared" si="40"/>
        <v>69857.290874999992</v>
      </c>
      <c r="R21" s="1">
        <f t="shared" si="40"/>
        <v>75452.477333749994</v>
      </c>
      <c r="S21" s="1">
        <f t="shared" si="40"/>
        <v>80559.720161587495</v>
      </c>
      <c r="T21" s="1">
        <f t="shared" si="40"/>
        <v>85948.946833048351</v>
      </c>
      <c r="U21" s="1">
        <f t="shared" si="40"/>
        <v>91634.844537940895</v>
      </c>
      <c r="V21" s="1">
        <f t="shared" si="40"/>
        <v>97632.848491762721</v>
      </c>
      <c r="W21" s="1">
        <f t="shared" si="40"/>
        <v>103959.17966989007</v>
      </c>
      <c r="X21" s="1">
        <f t="shared" si="40"/>
        <v>110630.8844369459</v>
      </c>
    </row>
    <row r="22" spans="4:182" s="1" customFormat="1" x14ac:dyDescent="0.25">
      <c r="D22" s="1" t="s">
        <v>15</v>
      </c>
      <c r="I22" s="1">
        <f>+I20-I21</f>
        <v>0</v>
      </c>
      <c r="J22" s="1">
        <f t="shared" ref="J22:O22" si="41">+J20-J21</f>
        <v>0</v>
      </c>
      <c r="K22" s="1">
        <f t="shared" si="41"/>
        <v>0</v>
      </c>
      <c r="L22" s="1">
        <f t="shared" si="41"/>
        <v>114015</v>
      </c>
      <c r="M22" s="1">
        <f t="shared" si="41"/>
        <v>123080</v>
      </c>
      <c r="N22" s="1">
        <f t="shared" si="41"/>
        <v>157077.75</v>
      </c>
      <c r="O22" s="1">
        <f t="shared" si="41"/>
        <v>173426.25</v>
      </c>
      <c r="P22" s="1">
        <f t="shared" ref="P22" si="42">+P20-P21</f>
        <v>191665.01249999998</v>
      </c>
      <c r="Q22" s="1">
        <f t="shared" ref="Q22" si="43">+Q20-Q21</f>
        <v>209571.87262499996</v>
      </c>
      <c r="R22" s="1">
        <f t="shared" ref="R22" si="44">+R20-R21</f>
        <v>226357.43200124998</v>
      </c>
      <c r="S22" s="1">
        <f t="shared" ref="S22" si="45">+S20-S21</f>
        <v>241679.16048476248</v>
      </c>
      <c r="T22" s="1">
        <f t="shared" ref="T22" si="46">+T20-T21</f>
        <v>257846.84049914504</v>
      </c>
      <c r="U22" s="1">
        <f t="shared" ref="U22" si="47">+U20-U21</f>
        <v>274904.53361382266</v>
      </c>
      <c r="V22" s="1">
        <f t="shared" ref="V22" si="48">+V20-V21</f>
        <v>292898.54547528818</v>
      </c>
      <c r="W22" s="1">
        <f t="shared" ref="W22" si="49">+W20-W21</f>
        <v>311877.5390096702</v>
      </c>
      <c r="X22" s="1">
        <f t="shared" ref="X22" si="50">+X20-X21</f>
        <v>331892.65331083769</v>
      </c>
      <c r="Y22" s="1">
        <f>+X22*(1+$AB27)</f>
        <v>328573.72677772929</v>
      </c>
      <c r="Z22" s="1">
        <f t="shared" ref="Z22:CK22" si="51">+Y22*(1+$AB27)</f>
        <v>325287.98950995196</v>
      </c>
      <c r="AA22" s="1">
        <f t="shared" si="51"/>
        <v>322035.10961485247</v>
      </c>
      <c r="AB22" s="1">
        <f t="shared" si="51"/>
        <v>318814.75851870392</v>
      </c>
      <c r="AC22" s="1">
        <f t="shared" si="51"/>
        <v>315626.61093351687</v>
      </c>
      <c r="AD22" s="1">
        <f t="shared" si="51"/>
        <v>312470.3448241817</v>
      </c>
      <c r="AE22" s="1">
        <f t="shared" si="51"/>
        <v>309345.64137593989</v>
      </c>
      <c r="AF22" s="1">
        <f t="shared" si="51"/>
        <v>306252.1849621805</v>
      </c>
      <c r="AG22" s="1">
        <f t="shared" si="51"/>
        <v>303189.66311255872</v>
      </c>
      <c r="AH22" s="1">
        <f t="shared" si="51"/>
        <v>300157.76648143312</v>
      </c>
      <c r="AI22" s="1">
        <f t="shared" si="51"/>
        <v>297156.18881661881</v>
      </c>
      <c r="AJ22" s="1">
        <f t="shared" si="51"/>
        <v>294184.62692845264</v>
      </c>
      <c r="AK22" s="1">
        <f t="shared" si="51"/>
        <v>291242.78065916809</v>
      </c>
      <c r="AL22" s="1">
        <f t="shared" si="51"/>
        <v>288330.35285257641</v>
      </c>
      <c r="AM22" s="1">
        <f t="shared" si="51"/>
        <v>285447.04932405066</v>
      </c>
      <c r="AN22" s="1">
        <f t="shared" si="51"/>
        <v>282592.57883081015</v>
      </c>
      <c r="AO22" s="1">
        <f t="shared" si="51"/>
        <v>279766.65304250206</v>
      </c>
      <c r="AP22" s="1">
        <f t="shared" si="51"/>
        <v>276968.98651207704</v>
      </c>
      <c r="AQ22" s="1">
        <f t="shared" si="51"/>
        <v>274199.2966469563</v>
      </c>
      <c r="AR22" s="1">
        <f t="shared" si="51"/>
        <v>271457.30368048674</v>
      </c>
      <c r="AS22" s="1">
        <f t="shared" si="51"/>
        <v>268742.73064368189</v>
      </c>
      <c r="AT22" s="1">
        <f t="shared" si="51"/>
        <v>266055.30333724507</v>
      </c>
      <c r="AU22" s="1">
        <f t="shared" si="51"/>
        <v>263394.75030387263</v>
      </c>
      <c r="AV22" s="1">
        <f t="shared" si="51"/>
        <v>260760.80280083389</v>
      </c>
      <c r="AW22" s="1">
        <f t="shared" si="51"/>
        <v>258153.19477282555</v>
      </c>
      <c r="AX22" s="1">
        <f t="shared" si="51"/>
        <v>255571.6628250973</v>
      </c>
      <c r="AY22" s="1">
        <f t="shared" si="51"/>
        <v>253015.94619684631</v>
      </c>
      <c r="AZ22" s="1">
        <f t="shared" si="51"/>
        <v>250485.78673487785</v>
      </c>
      <c r="BA22" s="1">
        <f t="shared" si="51"/>
        <v>247980.92886752906</v>
      </c>
      <c r="BB22" s="1">
        <f t="shared" si="51"/>
        <v>245501.11957885377</v>
      </c>
      <c r="BC22" s="1">
        <f t="shared" si="51"/>
        <v>243046.10838306524</v>
      </c>
      <c r="BD22" s="1">
        <f t="shared" si="51"/>
        <v>240615.64729923458</v>
      </c>
      <c r="BE22" s="1">
        <f t="shared" si="51"/>
        <v>238209.49082624223</v>
      </c>
      <c r="BF22" s="1">
        <f t="shared" si="51"/>
        <v>235827.3959179798</v>
      </c>
      <c r="BG22" s="1">
        <f t="shared" si="51"/>
        <v>233469.12195880001</v>
      </c>
      <c r="BH22" s="1">
        <f t="shared" si="51"/>
        <v>231134.430739212</v>
      </c>
      <c r="BI22" s="1">
        <f t="shared" si="51"/>
        <v>228823.08643181989</v>
      </c>
      <c r="BJ22" s="1">
        <f t="shared" si="51"/>
        <v>226534.85556750168</v>
      </c>
      <c r="BK22" s="1">
        <f t="shared" si="51"/>
        <v>224269.50701182667</v>
      </c>
      <c r="BL22" s="1">
        <f t="shared" si="51"/>
        <v>222026.81194170841</v>
      </c>
      <c r="BM22" s="1">
        <f t="shared" si="51"/>
        <v>219806.54382229134</v>
      </c>
      <c r="BN22" s="1">
        <f t="shared" si="51"/>
        <v>217608.47838406841</v>
      </c>
      <c r="BO22" s="1">
        <f t="shared" si="51"/>
        <v>215432.39360022772</v>
      </c>
      <c r="BP22" s="1">
        <f t="shared" si="51"/>
        <v>213278.06966422545</v>
      </c>
      <c r="BQ22" s="1">
        <f t="shared" si="51"/>
        <v>211145.28896758318</v>
      </c>
      <c r="BR22" s="1">
        <f t="shared" si="51"/>
        <v>209033.83607790736</v>
      </c>
      <c r="BS22" s="1">
        <f t="shared" si="51"/>
        <v>206943.49771712828</v>
      </c>
      <c r="BT22" s="1">
        <f t="shared" si="51"/>
        <v>204874.06273995701</v>
      </c>
      <c r="BU22" s="1">
        <f t="shared" si="51"/>
        <v>202825.32211255745</v>
      </c>
      <c r="BV22" s="1">
        <f t="shared" si="51"/>
        <v>200797.06889143187</v>
      </c>
      <c r="BW22" s="1">
        <f t="shared" si="51"/>
        <v>198789.09820251755</v>
      </c>
      <c r="BX22" s="1">
        <f t="shared" si="51"/>
        <v>196801.20722049236</v>
      </c>
      <c r="BY22" s="1">
        <f t="shared" si="51"/>
        <v>194833.19514828743</v>
      </c>
      <c r="BZ22" s="1">
        <f t="shared" si="51"/>
        <v>192884.86319680457</v>
      </c>
      <c r="CA22" s="1">
        <f t="shared" si="51"/>
        <v>190956.01456483651</v>
      </c>
      <c r="CB22" s="1">
        <f t="shared" si="51"/>
        <v>189046.45441918814</v>
      </c>
      <c r="CC22" s="1">
        <f t="shared" si="51"/>
        <v>187155.98987499627</v>
      </c>
      <c r="CD22" s="1">
        <f t="shared" si="51"/>
        <v>185284.42997624632</v>
      </c>
      <c r="CE22" s="1">
        <f t="shared" si="51"/>
        <v>183431.58567648387</v>
      </c>
      <c r="CF22" s="1">
        <f t="shared" si="51"/>
        <v>181597.26981971902</v>
      </c>
      <c r="CG22" s="1">
        <f t="shared" si="51"/>
        <v>179781.29712152181</v>
      </c>
      <c r="CH22" s="1">
        <f t="shared" si="51"/>
        <v>177983.48415030658</v>
      </c>
      <c r="CI22" s="1">
        <f t="shared" si="51"/>
        <v>176203.64930880352</v>
      </c>
      <c r="CJ22" s="1">
        <f t="shared" si="51"/>
        <v>174441.61281571549</v>
      </c>
      <c r="CK22" s="1">
        <f t="shared" si="51"/>
        <v>172697.19668755835</v>
      </c>
      <c r="CL22" s="1">
        <f t="shared" ref="CL22:EW22" si="52">+CK22*(1+$AB27)</f>
        <v>170970.22472068277</v>
      </c>
      <c r="CM22" s="1">
        <f t="shared" si="52"/>
        <v>169260.52247347595</v>
      </c>
      <c r="CN22" s="1">
        <f t="shared" si="52"/>
        <v>167567.9172487412</v>
      </c>
      <c r="CO22" s="1">
        <f t="shared" si="52"/>
        <v>165892.23807625379</v>
      </c>
      <c r="CP22" s="1">
        <f t="shared" si="52"/>
        <v>164233.31569549124</v>
      </c>
      <c r="CQ22" s="1">
        <f t="shared" si="52"/>
        <v>162590.98253853634</v>
      </c>
      <c r="CR22" s="1">
        <f t="shared" si="52"/>
        <v>160965.07271315096</v>
      </c>
      <c r="CS22" s="1">
        <f t="shared" si="52"/>
        <v>159355.42198601944</v>
      </c>
      <c r="CT22" s="1">
        <f t="shared" si="52"/>
        <v>157761.86776615924</v>
      </c>
      <c r="CU22" s="1">
        <f t="shared" si="52"/>
        <v>156184.24908849766</v>
      </c>
      <c r="CV22" s="1">
        <f t="shared" si="52"/>
        <v>154622.40659761269</v>
      </c>
      <c r="CW22" s="1">
        <f t="shared" si="52"/>
        <v>153076.18253163656</v>
      </c>
      <c r="CX22" s="1">
        <f t="shared" si="52"/>
        <v>151545.4207063202</v>
      </c>
      <c r="CY22" s="1">
        <f t="shared" si="52"/>
        <v>150029.96649925699</v>
      </c>
      <c r="CZ22" s="1">
        <f t="shared" si="52"/>
        <v>148529.66683426441</v>
      </c>
      <c r="DA22" s="1">
        <f t="shared" si="52"/>
        <v>147044.37016592178</v>
      </c>
      <c r="DB22" s="1">
        <f t="shared" si="52"/>
        <v>145573.92646426256</v>
      </c>
      <c r="DC22" s="1">
        <f t="shared" si="52"/>
        <v>144118.18719961995</v>
      </c>
      <c r="DD22" s="1">
        <f t="shared" si="52"/>
        <v>142677.00532762374</v>
      </c>
      <c r="DE22" s="1">
        <f t="shared" si="52"/>
        <v>141250.23527434751</v>
      </c>
      <c r="DF22" s="1">
        <f t="shared" si="52"/>
        <v>139837.73292160404</v>
      </c>
      <c r="DG22" s="1">
        <f t="shared" si="52"/>
        <v>138439.35559238799</v>
      </c>
      <c r="DH22" s="1">
        <f t="shared" si="52"/>
        <v>137054.9620364641</v>
      </c>
      <c r="DI22" s="1">
        <f t="shared" si="52"/>
        <v>135684.41241609945</v>
      </c>
      <c r="DJ22" s="1">
        <f t="shared" si="52"/>
        <v>134327.56829193846</v>
      </c>
      <c r="DK22" s="1">
        <f t="shared" si="52"/>
        <v>132984.29260901906</v>
      </c>
      <c r="DL22" s="1">
        <f t="shared" si="52"/>
        <v>131654.44968292885</v>
      </c>
      <c r="DM22" s="1">
        <f t="shared" si="52"/>
        <v>130337.90518609957</v>
      </c>
      <c r="DN22" s="1">
        <f t="shared" si="52"/>
        <v>129034.52613423856</v>
      </c>
      <c r="DO22" s="1">
        <f t="shared" si="52"/>
        <v>127744.18087289618</v>
      </c>
      <c r="DP22" s="1">
        <f t="shared" si="52"/>
        <v>126466.73906416721</v>
      </c>
      <c r="DQ22" s="1">
        <f t="shared" si="52"/>
        <v>125202.07167352554</v>
      </c>
      <c r="DR22" s="1">
        <f t="shared" si="52"/>
        <v>123950.05095679028</v>
      </c>
      <c r="DS22" s="1">
        <f t="shared" si="52"/>
        <v>122710.55044722237</v>
      </c>
      <c r="DT22" s="1">
        <f t="shared" si="52"/>
        <v>121483.44494275014</v>
      </c>
      <c r="DU22" s="1">
        <f t="shared" si="52"/>
        <v>120268.61049332263</v>
      </c>
      <c r="DV22" s="1">
        <f t="shared" si="52"/>
        <v>119065.92438838941</v>
      </c>
      <c r="DW22" s="1">
        <f t="shared" si="52"/>
        <v>117875.26514450551</v>
      </c>
      <c r="DX22" s="1">
        <f t="shared" si="52"/>
        <v>116696.51249306045</v>
      </c>
      <c r="DY22" s="1">
        <f t="shared" si="52"/>
        <v>115529.54736812985</v>
      </c>
      <c r="DZ22" s="1">
        <f t="shared" si="52"/>
        <v>114374.25189444855</v>
      </c>
      <c r="EA22" s="1">
        <f t="shared" si="52"/>
        <v>113230.50937550406</v>
      </c>
      <c r="EB22" s="1">
        <f t="shared" si="52"/>
        <v>112098.20428174901</v>
      </c>
      <c r="EC22" s="1">
        <f t="shared" si="52"/>
        <v>110977.22223893153</v>
      </c>
      <c r="ED22" s="1">
        <f t="shared" si="52"/>
        <v>109867.45001654221</v>
      </c>
      <c r="EE22" s="1">
        <f t="shared" si="52"/>
        <v>108768.77551637679</v>
      </c>
      <c r="EF22" s="1">
        <f t="shared" si="52"/>
        <v>107681.08776121301</v>
      </c>
      <c r="EG22" s="1">
        <f t="shared" si="52"/>
        <v>106604.27688360088</v>
      </c>
      <c r="EH22" s="1">
        <f t="shared" si="52"/>
        <v>105538.23411476487</v>
      </c>
      <c r="EI22" s="1">
        <f t="shared" si="52"/>
        <v>104482.85177361722</v>
      </c>
      <c r="EJ22" s="1">
        <f t="shared" si="52"/>
        <v>103438.02325588105</v>
      </c>
      <c r="EK22" s="1">
        <f t="shared" si="52"/>
        <v>102403.64302332223</v>
      </c>
      <c r="EL22" s="1">
        <f t="shared" si="52"/>
        <v>101379.60659308902</v>
      </c>
      <c r="EM22" s="1">
        <f t="shared" si="52"/>
        <v>100365.81052715813</v>
      </c>
      <c r="EN22" s="1">
        <f t="shared" si="52"/>
        <v>99362.152421886552</v>
      </c>
      <c r="EO22" s="1">
        <f t="shared" si="52"/>
        <v>98368.53089766769</v>
      </c>
      <c r="EP22" s="1">
        <f t="shared" si="52"/>
        <v>97384.845588691009</v>
      </c>
      <c r="EQ22" s="1">
        <f t="shared" si="52"/>
        <v>96410.997132804099</v>
      </c>
      <c r="ER22" s="1">
        <f t="shared" si="52"/>
        <v>95446.887161476057</v>
      </c>
      <c r="ES22" s="1">
        <f t="shared" si="52"/>
        <v>94492.418289861293</v>
      </c>
      <c r="ET22" s="1">
        <f t="shared" si="52"/>
        <v>93547.49410696268</v>
      </c>
      <c r="EU22" s="1">
        <f t="shared" si="52"/>
        <v>92612.019165893056</v>
      </c>
      <c r="EV22" s="1">
        <f t="shared" si="52"/>
        <v>91685.898974234122</v>
      </c>
      <c r="EW22" s="1">
        <f t="shared" si="52"/>
        <v>90769.039984491785</v>
      </c>
      <c r="EX22" s="1">
        <f t="shared" ref="EX22:FZ22" si="53">+EW22*(1+$AB27)</f>
        <v>89861.349584646872</v>
      </c>
      <c r="EY22" s="1">
        <f t="shared" si="53"/>
        <v>88962.736088800404</v>
      </c>
      <c r="EZ22" s="1">
        <f t="shared" si="53"/>
        <v>88073.108727912404</v>
      </c>
      <c r="FA22" s="1">
        <f t="shared" si="53"/>
        <v>87192.377640633276</v>
      </c>
      <c r="FB22" s="1">
        <f t="shared" si="53"/>
        <v>86320.453864226947</v>
      </c>
      <c r="FC22" s="1">
        <f t="shared" si="53"/>
        <v>85457.249325584678</v>
      </c>
      <c r="FD22" s="1">
        <f t="shared" si="53"/>
        <v>84602.676832328827</v>
      </c>
      <c r="FE22" s="1">
        <f t="shared" si="53"/>
        <v>83756.650064005531</v>
      </c>
      <c r="FF22" s="1">
        <f t="shared" si="53"/>
        <v>82919.083563365479</v>
      </c>
      <c r="FG22" s="1">
        <f t="shared" si="53"/>
        <v>82089.892727731829</v>
      </c>
      <c r="FH22" s="1">
        <f t="shared" si="53"/>
        <v>81268.993800454511</v>
      </c>
      <c r="FI22" s="1">
        <f t="shared" si="53"/>
        <v>80456.30386244996</v>
      </c>
      <c r="FJ22" s="1">
        <f t="shared" si="53"/>
        <v>79651.740823825457</v>
      </c>
      <c r="FK22" s="1">
        <f t="shared" si="53"/>
        <v>78855.223415587199</v>
      </c>
      <c r="FL22" s="1">
        <f t="shared" si="53"/>
        <v>78066.671181431331</v>
      </c>
      <c r="FM22" s="1">
        <f t="shared" si="53"/>
        <v>77286.004469617023</v>
      </c>
      <c r="FN22" s="1">
        <f t="shared" si="53"/>
        <v>76513.144424920858</v>
      </c>
      <c r="FO22" s="1">
        <f t="shared" si="53"/>
        <v>75748.012980671643</v>
      </c>
      <c r="FP22" s="1">
        <f t="shared" si="53"/>
        <v>74990.532850864925</v>
      </c>
      <c r="FQ22" s="1">
        <f t="shared" si="53"/>
        <v>74240.62752235627</v>
      </c>
      <c r="FR22" s="1">
        <f t="shared" si="53"/>
        <v>73498.221247132708</v>
      </c>
      <c r="FS22" s="1">
        <f t="shared" si="53"/>
        <v>72763.239034661383</v>
      </c>
      <c r="FT22" s="1">
        <f t="shared" si="53"/>
        <v>72035.606644314772</v>
      </c>
      <c r="FU22" s="1">
        <f t="shared" si="53"/>
        <v>71315.25057787163</v>
      </c>
      <c r="FV22" s="1">
        <f t="shared" si="53"/>
        <v>70602.098072092907</v>
      </c>
      <c r="FW22" s="1">
        <f t="shared" si="53"/>
        <v>69896.077091371975</v>
      </c>
      <c r="FX22" s="1">
        <f t="shared" si="53"/>
        <v>69197.116320458255</v>
      </c>
      <c r="FY22" s="1">
        <f t="shared" si="53"/>
        <v>68505.145157253675</v>
      </c>
      <c r="FZ22" s="1">
        <f t="shared" si="53"/>
        <v>67820.093705681138</v>
      </c>
    </row>
    <row r="23" spans="4:182" s="4" customFormat="1" x14ac:dyDescent="0.25">
      <c r="D23" s="4" t="s">
        <v>18</v>
      </c>
      <c r="L23" s="4">
        <v>0.66</v>
      </c>
      <c r="M23" s="4">
        <v>0.76</v>
      </c>
      <c r="N23" s="4">
        <f>+N22/N24</f>
        <v>0.9699308579785505</v>
      </c>
      <c r="O23" s="4">
        <f t="shared" ref="O23:X23" si="54">+O22/O24</f>
        <v>1.0708803217419565</v>
      </c>
      <c r="P23" s="4">
        <f t="shared" si="54"/>
        <v>1.1835018646408837</v>
      </c>
      <c r="Q23" s="4">
        <f t="shared" si="54"/>
        <v>1.2940739616103345</v>
      </c>
      <c r="R23" s="4">
        <f t="shared" si="54"/>
        <v>1.3977221995527298</v>
      </c>
      <c r="S23" s="4">
        <f t="shared" si="54"/>
        <v>1.4923315077057155</v>
      </c>
      <c r="T23" s="4">
        <f t="shared" si="54"/>
        <v>1.5921644359713212</v>
      </c>
      <c r="U23" s="4">
        <f t="shared" si="54"/>
        <v>1.6974930577389113</v>
      </c>
      <c r="V23" s="4">
        <f t="shared" si="54"/>
        <v>1.8086033032273237</v>
      </c>
      <c r="W23" s="4">
        <f t="shared" si="54"/>
        <v>1.925795658493251</v>
      </c>
      <c r="X23" s="4">
        <f t="shared" si="54"/>
        <v>2.0493858995469338</v>
      </c>
    </row>
    <row r="24" spans="4:182" s="1" customFormat="1" x14ac:dyDescent="0.25">
      <c r="D24" s="1" t="s">
        <v>19</v>
      </c>
      <c r="L24" s="1">
        <f>+L22/L23</f>
        <v>172750</v>
      </c>
      <c r="M24" s="1">
        <f>+M22/M23</f>
        <v>161947.36842105264</v>
      </c>
      <c r="N24" s="1">
        <f>+M24</f>
        <v>161947.36842105264</v>
      </c>
      <c r="O24" s="1">
        <f t="shared" ref="O24:X24" si="55">+N24</f>
        <v>161947.36842105264</v>
      </c>
      <c r="P24" s="1">
        <f t="shared" si="55"/>
        <v>161947.36842105264</v>
      </c>
      <c r="Q24" s="1">
        <f t="shared" si="55"/>
        <v>161947.36842105264</v>
      </c>
      <c r="R24" s="1">
        <f t="shared" si="55"/>
        <v>161947.36842105264</v>
      </c>
      <c r="S24" s="1">
        <f t="shared" si="55"/>
        <v>161947.36842105264</v>
      </c>
      <c r="T24" s="1">
        <f t="shared" si="55"/>
        <v>161947.36842105264</v>
      </c>
      <c r="U24" s="1">
        <f t="shared" si="55"/>
        <v>161947.36842105264</v>
      </c>
      <c r="V24" s="1">
        <f t="shared" si="55"/>
        <v>161947.36842105264</v>
      </c>
      <c r="W24" s="1">
        <f t="shared" si="55"/>
        <v>161947.36842105264</v>
      </c>
      <c r="X24" s="1">
        <f t="shared" si="55"/>
        <v>161947.36842105264</v>
      </c>
    </row>
    <row r="25" spans="4:182" s="1" customFormat="1" x14ac:dyDescent="0.25">
      <c r="L25" s="6"/>
      <c r="M25" s="6"/>
    </row>
    <row r="26" spans="4:182" s="5" customFormat="1" x14ac:dyDescent="0.25">
      <c r="D26" s="5" t="s">
        <v>25</v>
      </c>
      <c r="L26" s="5">
        <f>+L7/L5</f>
        <v>0.86956369108122211</v>
      </c>
      <c r="M26" s="5">
        <f>+M7/M5</f>
        <v>0.87960775786316203</v>
      </c>
      <c r="N26" s="5">
        <f>+N7/N5</f>
        <v>0.88</v>
      </c>
      <c r="O26" s="5">
        <f t="shared" ref="O26:X26" si="56">+O7/O5</f>
        <v>0.88</v>
      </c>
      <c r="P26" s="5">
        <f t="shared" si="56"/>
        <v>0.88</v>
      </c>
      <c r="Q26" s="5">
        <f t="shared" si="56"/>
        <v>0.88</v>
      </c>
      <c r="R26" s="5">
        <f t="shared" si="56"/>
        <v>0.88</v>
      </c>
      <c r="S26" s="5">
        <f t="shared" si="56"/>
        <v>0.88</v>
      </c>
      <c r="T26" s="5">
        <f t="shared" si="56"/>
        <v>0.88</v>
      </c>
      <c r="U26" s="5">
        <f t="shared" si="56"/>
        <v>0.88</v>
      </c>
      <c r="V26" s="5">
        <f t="shared" si="56"/>
        <v>0.88</v>
      </c>
      <c r="W26" s="5">
        <f t="shared" si="56"/>
        <v>0.88</v>
      </c>
      <c r="X26" s="5">
        <f t="shared" si="56"/>
        <v>0.88</v>
      </c>
    </row>
    <row r="27" spans="4:182" s="5" customFormat="1" x14ac:dyDescent="0.25">
      <c r="D27" s="5" t="s">
        <v>26</v>
      </c>
      <c r="L27" s="5">
        <f>+L22/L5</f>
        <v>0.18193234602809369</v>
      </c>
      <c r="M27" s="5">
        <f>+M22/M5</f>
        <v>0.18331243241955134</v>
      </c>
      <c r="N27" s="5">
        <f>+N22/N5</f>
        <v>0.20138173076923077</v>
      </c>
      <c r="O27" s="5">
        <f t="shared" ref="O27:X27" si="57">+O22/O5</f>
        <v>0.21678281250000001</v>
      </c>
      <c r="P27" s="5">
        <f t="shared" si="57"/>
        <v>0.22548824999999997</v>
      </c>
      <c r="Q27" s="5">
        <f t="shared" si="57"/>
        <v>0.23285763624999994</v>
      </c>
      <c r="R27" s="5">
        <f t="shared" si="57"/>
        <v>0.23827098105394734</v>
      </c>
      <c r="S27" s="5">
        <f t="shared" si="57"/>
        <v>0.24228487266642856</v>
      </c>
      <c r="T27" s="5">
        <f t="shared" si="57"/>
        <v>0.2461838792210479</v>
      </c>
      <c r="U27" s="5">
        <f t="shared" si="57"/>
        <v>0.2499714443604</v>
      </c>
      <c r="V27" s="5">
        <f t="shared" si="57"/>
        <v>0.25365090339522334</v>
      </c>
      <c r="W27" s="5">
        <f t="shared" si="57"/>
        <v>0.25722548689248859</v>
      </c>
      <c r="X27" s="5">
        <f t="shared" si="57"/>
        <v>0.26069832413803107</v>
      </c>
      <c r="AA27" s="5" t="s">
        <v>29</v>
      </c>
      <c r="AB27" s="5">
        <v>-0.01</v>
      </c>
    </row>
    <row r="28" spans="4:182" s="5" customFormat="1" x14ac:dyDescent="0.25">
      <c r="D28" s="5" t="s">
        <v>27</v>
      </c>
      <c r="M28" s="5">
        <f>+M5/L5 -1</f>
        <v>7.1379902950267304E-2</v>
      </c>
      <c r="N28" s="5">
        <f>+N5/M5 -1</f>
        <v>0.16171349762146603</v>
      </c>
      <c r="O28" s="5">
        <f t="shared" ref="O28:X28" si="58">+O5/N5 -1</f>
        <v>2.564102564102555E-2</v>
      </c>
      <c r="P28" s="5">
        <f t="shared" si="58"/>
        <v>6.25E-2</v>
      </c>
      <c r="Q28" s="5">
        <f t="shared" si="58"/>
        <v>5.8823529411764719E-2</v>
      </c>
      <c r="R28" s="5">
        <f t="shared" si="58"/>
        <v>5.555555555555558E-2</v>
      </c>
      <c r="S28" s="5">
        <f t="shared" si="58"/>
        <v>5.0000000000000044E-2</v>
      </c>
      <c r="T28" s="5">
        <f t="shared" si="58"/>
        <v>5.0000000000000044E-2</v>
      </c>
      <c r="U28" s="5">
        <f t="shared" si="58"/>
        <v>5.0000000000000044E-2</v>
      </c>
      <c r="V28" s="5">
        <f t="shared" si="58"/>
        <v>5.0000000000000044E-2</v>
      </c>
      <c r="W28" s="5">
        <f t="shared" si="58"/>
        <v>5.0000000000000044E-2</v>
      </c>
      <c r="X28" s="5">
        <f t="shared" si="58"/>
        <v>5.0000000000000044E-2</v>
      </c>
      <c r="AA28" s="5" t="s">
        <v>30</v>
      </c>
      <c r="AB28" s="5">
        <v>0.09</v>
      </c>
    </row>
    <row r="29" spans="4:182" s="1" customFormat="1" x14ac:dyDescent="0.25">
      <c r="AA29" s="1" t="s">
        <v>31</v>
      </c>
      <c r="AB29" s="1">
        <f>NPV(AB28,N22:FZ22)</f>
        <v>2825331.7277775994</v>
      </c>
    </row>
    <row r="30" spans="4:182" s="1" customFormat="1" x14ac:dyDescent="0.25">
      <c r="AA30" s="1" t="s">
        <v>32</v>
      </c>
      <c r="AB30" s="1">
        <f>+N35-N36</f>
        <v>-969617</v>
      </c>
    </row>
    <row r="31" spans="4:182" s="1" customFormat="1" x14ac:dyDescent="0.25">
      <c r="D31" s="1" t="s">
        <v>20</v>
      </c>
      <c r="L31" s="1">
        <v>229865</v>
      </c>
      <c r="M31" s="1">
        <v>249178</v>
      </c>
      <c r="AA31" s="1" t="s">
        <v>34</v>
      </c>
      <c r="AB31" s="1">
        <f>+AB29+AB30</f>
        <v>1855714.7277775994</v>
      </c>
    </row>
    <row r="32" spans="4:182" s="1" customFormat="1" x14ac:dyDescent="0.25">
      <c r="D32" s="1" t="s">
        <v>21</v>
      </c>
      <c r="L32" s="1">
        <v>5607</v>
      </c>
      <c r="M32" s="1">
        <v>5373</v>
      </c>
      <c r="AA32" s="1" t="s">
        <v>33</v>
      </c>
      <c r="AB32" s="4">
        <f>+AB31/X24</f>
        <v>11.458751975227294</v>
      </c>
    </row>
    <row r="33" spans="4:28" s="1" customFormat="1" x14ac:dyDescent="0.25">
      <c r="D33" s="1" t="s">
        <v>22</v>
      </c>
      <c r="L33" s="1">
        <f>+L31-L32</f>
        <v>224258</v>
      </c>
      <c r="M33" s="1">
        <f>+M31-M32</f>
        <v>243805</v>
      </c>
    </row>
    <row r="34" spans="4:28" s="1" customFormat="1" x14ac:dyDescent="0.25">
      <c r="AA34" s="1" t="s">
        <v>35</v>
      </c>
      <c r="AB34" s="1">
        <v>920000</v>
      </c>
    </row>
    <row r="35" spans="4:28" s="1" customFormat="1" x14ac:dyDescent="0.25">
      <c r="D35" s="1" t="s">
        <v>23</v>
      </c>
      <c r="M35" s="1">
        <v>55265</v>
      </c>
      <c r="N35" s="1">
        <v>27872</v>
      </c>
      <c r="AA35" s="1" t="s">
        <v>36</v>
      </c>
      <c r="AB35" s="3">
        <f>+AB34/N22</f>
        <v>5.8569721045787837</v>
      </c>
    </row>
    <row r="36" spans="4:28" s="1" customFormat="1" x14ac:dyDescent="0.25">
      <c r="D36" s="1" t="s">
        <v>24</v>
      </c>
      <c r="M36" s="1">
        <f>329143+115490</f>
        <v>444633</v>
      </c>
      <c r="N36" s="1">
        <f>537427+460062</f>
        <v>997489</v>
      </c>
    </row>
    <row r="37" spans="4:28" s="7" customFormat="1" x14ac:dyDescent="0.25">
      <c r="D37" s="7" t="s">
        <v>28</v>
      </c>
      <c r="M37" s="7">
        <f>+M17/M36</f>
        <v>3.9349306056905356E-2</v>
      </c>
      <c r="N37" s="7">
        <f>+N17/N36</f>
        <v>4.0100692839720536E-2</v>
      </c>
    </row>
    <row r="38" spans="4:28" s="1" customFormat="1" x14ac:dyDescent="0.25"/>
    <row r="39" spans="4:28" s="1" customFormat="1" x14ac:dyDescent="0.25"/>
    <row r="40" spans="4:28" s="1" customFormat="1" x14ac:dyDescent="0.25"/>
    <row r="41" spans="4:28" s="1" customFormat="1" x14ac:dyDescent="0.25"/>
    <row r="42" spans="4:28" s="1" customFormat="1" x14ac:dyDescent="0.25"/>
    <row r="43" spans="4:28" s="1" customFormat="1" x14ac:dyDescent="0.25"/>
    <row r="44" spans="4:28" s="1" customFormat="1" x14ac:dyDescent="0.25"/>
    <row r="45" spans="4:28" s="1" customFormat="1" x14ac:dyDescent="0.25"/>
    <row r="46" spans="4:28" s="1" customFormat="1" x14ac:dyDescent="0.25"/>
    <row r="47" spans="4:28" s="1" customFormat="1" x14ac:dyDescent="0.25"/>
    <row r="48" spans="4:2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2025-11-22T23:42:21Z</dcterms:created>
  <dcterms:modified xsi:type="dcterms:W3CDTF">2025-11-23T00:34:45Z</dcterms:modified>
</cp:coreProperties>
</file>