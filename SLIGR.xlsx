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2E50414F-1C2D-4707-BB5C-97AAFFA36FB1}" xr6:coauthVersionLast="47" xr6:coauthVersionMax="47" xr10:uidLastSave="{00000000-0000-0000-0000-000000000000}"/>
  <bookViews>
    <workbookView xWindow="-120" yWindow="-120" windowWidth="29040" windowHeight="15840" activeTab="1" xr2:uid="{120B1658-482E-4A32-A788-9881360F575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2" i="1" l="1"/>
  <c r="V21" i="1"/>
  <c r="V20" i="1"/>
  <c r="U15" i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T15" i="1"/>
  <c r="K14" i="1"/>
  <c r="L14" i="1"/>
  <c r="M14" i="1"/>
  <c r="N14" i="1"/>
  <c r="O14" i="1"/>
  <c r="P14" i="1"/>
  <c r="Q14" i="1"/>
  <c r="R14" i="1"/>
  <c r="S14" i="1"/>
  <c r="J14" i="1"/>
  <c r="K9" i="1"/>
  <c r="L9" i="1"/>
  <c r="M9" i="1"/>
  <c r="N9" i="1"/>
  <c r="O9" i="1"/>
  <c r="P9" i="1"/>
  <c r="Q9" i="1"/>
  <c r="R9" i="1"/>
  <c r="S9" i="1"/>
  <c r="J18" i="1"/>
  <c r="I18" i="1"/>
  <c r="H18" i="1"/>
  <c r="G18" i="1"/>
  <c r="J9" i="1"/>
  <c r="G4" i="1"/>
  <c r="H4" i="1"/>
  <c r="K6" i="1"/>
  <c r="K7" i="1" s="1"/>
  <c r="L6" i="1"/>
  <c r="L7" i="1" s="1"/>
  <c r="M6" i="1"/>
  <c r="M7" i="1" s="1"/>
  <c r="M17" i="1" s="1"/>
  <c r="J6" i="1"/>
  <c r="N5" i="1"/>
  <c r="G17" i="1"/>
  <c r="I9" i="1"/>
  <c r="I4" i="1" s="1"/>
  <c r="I6" i="1"/>
  <c r="I7" i="1" s="1"/>
  <c r="I17" i="1" s="1"/>
  <c r="I5" i="1"/>
  <c r="K2" i="1"/>
  <c r="L2" i="1" s="1"/>
  <c r="M2" i="1" s="1"/>
  <c r="N2" i="1" s="1"/>
  <c r="O2" i="1" s="1"/>
  <c r="P2" i="1" s="1"/>
  <c r="Q2" i="1" s="1"/>
  <c r="R2" i="1" s="1"/>
  <c r="S2" i="1" s="1"/>
  <c r="G28" i="1"/>
  <c r="H28" i="1"/>
  <c r="C5" i="2"/>
  <c r="H23" i="1"/>
  <c r="G23" i="1"/>
  <c r="E2" i="1"/>
  <c r="D2" i="1" s="1"/>
  <c r="H7" i="1"/>
  <c r="H17" i="1" s="1"/>
  <c r="J7" i="1"/>
  <c r="J17" i="1" s="1"/>
  <c r="G7" i="1"/>
  <c r="G10" i="1" s="1"/>
  <c r="H2" i="1"/>
  <c r="I2" i="1" s="1"/>
  <c r="J2" i="1" s="1"/>
  <c r="L10" i="1" l="1"/>
  <c r="L17" i="1"/>
  <c r="G24" i="1"/>
  <c r="N6" i="1"/>
  <c r="O5" i="1"/>
  <c r="N7" i="1"/>
  <c r="N10" i="1" s="1"/>
  <c r="J10" i="1"/>
  <c r="J13" i="1" s="1"/>
  <c r="J15" i="1" s="1"/>
  <c r="J19" i="1" s="1"/>
  <c r="K10" i="1"/>
  <c r="K17" i="1"/>
  <c r="M10" i="1"/>
  <c r="N17" i="1"/>
  <c r="I10" i="1"/>
  <c r="I13" i="1" s="1"/>
  <c r="I15" i="1" s="1"/>
  <c r="I19" i="1" s="1"/>
  <c r="H24" i="1"/>
  <c r="H10" i="1"/>
  <c r="H13" i="1" s="1"/>
  <c r="H15" i="1" s="1"/>
  <c r="H19" i="1" s="1"/>
  <c r="G13" i="1"/>
  <c r="G15" i="1" s="1"/>
  <c r="G19" i="1" s="1"/>
  <c r="K13" i="1" l="1"/>
  <c r="K15" i="1" s="1"/>
  <c r="K19" i="1" s="1"/>
  <c r="K18" i="1"/>
  <c r="M13" i="1"/>
  <c r="M15" i="1" s="1"/>
  <c r="M19" i="1" s="1"/>
  <c r="M18" i="1"/>
  <c r="N13" i="1"/>
  <c r="N15" i="1" s="1"/>
  <c r="N19" i="1" s="1"/>
  <c r="N18" i="1"/>
  <c r="L13" i="1"/>
  <c r="L15" i="1" s="1"/>
  <c r="L19" i="1" s="1"/>
  <c r="L18" i="1"/>
  <c r="P5" i="1"/>
  <c r="O6" i="1"/>
  <c r="O7" i="1"/>
  <c r="O10" i="1" l="1"/>
  <c r="O17" i="1"/>
  <c r="P6" i="1"/>
  <c r="Q5" i="1"/>
  <c r="P7" i="1"/>
  <c r="O13" i="1" l="1"/>
  <c r="O15" i="1" s="1"/>
  <c r="O19" i="1" s="1"/>
  <c r="O18" i="1"/>
  <c r="P10" i="1"/>
  <c r="P17" i="1"/>
  <c r="Q6" i="1"/>
  <c r="Q7" i="1"/>
  <c r="R5" i="1"/>
  <c r="P13" i="1" l="1"/>
  <c r="P15" i="1" s="1"/>
  <c r="P19" i="1" s="1"/>
  <c r="P18" i="1"/>
  <c r="R6" i="1"/>
  <c r="S5" i="1"/>
  <c r="R7" i="1"/>
  <c r="Q10" i="1"/>
  <c r="Q17" i="1"/>
  <c r="Q13" i="1" l="1"/>
  <c r="Q15" i="1" s="1"/>
  <c r="Q19" i="1" s="1"/>
  <c r="Q18" i="1"/>
  <c r="R10" i="1"/>
  <c r="R17" i="1"/>
  <c r="S6" i="1"/>
  <c r="S7" i="1" s="1"/>
  <c r="R13" i="1" l="1"/>
  <c r="R15" i="1" s="1"/>
  <c r="R19" i="1" s="1"/>
  <c r="R18" i="1"/>
  <c r="S17" i="1"/>
  <c r="S10" i="1"/>
  <c r="S13" i="1" l="1"/>
  <c r="S15" i="1" s="1"/>
  <c r="S19" i="1" s="1"/>
  <c r="S18" i="1"/>
</calcChain>
</file>

<file path=xl/sharedStrings.xml><?xml version="1.0" encoding="utf-8"?>
<sst xmlns="http://schemas.openxmlformats.org/spreadsheetml/2006/main" count="29" uniqueCount="29">
  <si>
    <t>Revenue</t>
  </si>
  <si>
    <t>COGS</t>
  </si>
  <si>
    <t>Gross Profit</t>
  </si>
  <si>
    <t>Operating Costs</t>
  </si>
  <si>
    <t>Operating Income</t>
  </si>
  <si>
    <t>Finance</t>
  </si>
  <si>
    <t>Joint Venture</t>
  </si>
  <si>
    <t>Pretax</t>
  </si>
  <si>
    <t>Taxes</t>
  </si>
  <si>
    <t>net Income</t>
  </si>
  <si>
    <t>Other Income</t>
  </si>
  <si>
    <t>Gross Margin</t>
  </si>
  <si>
    <t>Net Margin</t>
  </si>
  <si>
    <t>CFFO</t>
  </si>
  <si>
    <t>CapEx</t>
  </si>
  <si>
    <t>FCF</t>
  </si>
  <si>
    <t>Price</t>
  </si>
  <si>
    <t>Shares</t>
  </si>
  <si>
    <t>Mcap</t>
  </si>
  <si>
    <t>Cash</t>
  </si>
  <si>
    <t>PP&amp;E</t>
  </si>
  <si>
    <t>Debt</t>
  </si>
  <si>
    <t>FCF Yield</t>
  </si>
  <si>
    <t>Operating Margin</t>
  </si>
  <si>
    <t>Terminal</t>
  </si>
  <si>
    <t>Discount</t>
  </si>
  <si>
    <t>NPV</t>
  </si>
  <si>
    <t>Net Cash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</si>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</sst>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5" fontId="0" fillId="0" borderId="0" xfId="1" applyNumberFormat="1" applyFont="1"/>
    <xf numFmtId="9" fontId="0" fillId="0" borderId="0" xfId="1" applyNumberFormat="1" applyFont="1"/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16329</xdr:colOff>
      <xdr:row>3</xdr:row>
      <xdr:rowOff>130629</xdr:rowOff>
    </xdr:from>
    <xdr:to>
      <xdr:col>8</xdr:col>
      <xdr:colOff>27215</xdr:colOff>
      <xdr:row>28</xdr:row>
      <xdr:rowOff>157843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84AE293-C6D7-5E7D-F279-CBCDF0BC7EA6}"/>
            </a:ext>
          </a:extLst>
        </xdr:cNvPr>
        <xdr:cNvCxnSpPr/>
      </xdr:nvCxnSpPr>
      <xdr:spPr>
        <a:xfrm>
          <a:off x="4996543" y="702129"/>
          <a:ext cx="10886" cy="45992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2E09-1A91-448B-A92A-E2D7F99E585A}">
  <dimension ref="B3:C5"/>
  <sheetViews>
    <sheetView zoomScale="175" zoomScaleNormal="175" workbookViewId="0">
      <selection activeCell="B22" sqref="B22"/>
    </sheetView>
  </sheetViews>
  <sheetFormatPr defaultRowHeight="15" x14ac:dyDescent="0.25"/>
  <sheetData>
    <row r="3" spans="2:3" x14ac:dyDescent="0.25">
      <c r="B3" t="s">
        <v>16</v>
      </c>
      <c r="C3">
        <v>9.69</v>
      </c>
    </row>
    <row r="4" spans="2:3" x14ac:dyDescent="0.25">
      <c r="B4" t="s">
        <v>17</v>
      </c>
      <c r="C4">
        <v>44.255015</v>
      </c>
    </row>
    <row r="5" spans="2:3" x14ac:dyDescent="0.25">
      <c r="B5" t="s">
        <v>18</v>
      </c>
      <c r="C5" s="1">
        <f>+C3*C4</f>
        <v>428.83109535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A975-C5AB-4351-AA94-3C7F3B51C8C9}">
  <dimension ref="B2:CH110"/>
  <sheetViews>
    <sheetView tabSelected="1" zoomScale="175" zoomScaleNormal="175" workbookViewId="0">
      <pane xSplit="2" ySplit="2" topLeftCell="I19" activePane="bottomRight" state="frozen"/>
      <selection pane="topRight" activeCell="C1" sqref="C1"/>
      <selection pane="bottomLeft" activeCell="A3" sqref="A3"/>
      <selection pane="bottomRight" activeCell="U23" sqref="U23"/>
    </sheetView>
  </sheetViews>
  <sheetFormatPr defaultRowHeight="15" x14ac:dyDescent="0.25"/>
  <cols>
    <col min="1" max="1" width="2.85546875" customWidth="1"/>
    <col min="2" max="2" width="17" bestFit="1" customWidth="1"/>
  </cols>
  <sheetData>
    <row r="2" spans="2:86" x14ac:dyDescent="0.25">
      <c r="D2">
        <f>+E2-1</f>
        <v>2020</v>
      </c>
      <c r="E2">
        <f>+F2-1</f>
        <v>2021</v>
      </c>
      <c r="F2">
        <v>2022</v>
      </c>
      <c r="G2">
        <v>2023</v>
      </c>
      <c r="H2">
        <f>+G2+1</f>
        <v>2024</v>
      </c>
      <c r="I2">
        <f t="shared" ref="I2:S2" si="0">+H2+1</f>
        <v>2025</v>
      </c>
      <c r="J2">
        <f t="shared" si="0"/>
        <v>2026</v>
      </c>
      <c r="K2">
        <f t="shared" si="0"/>
        <v>2027</v>
      </c>
      <c r="L2">
        <f t="shared" si="0"/>
        <v>2028</v>
      </c>
      <c r="M2">
        <f t="shared" si="0"/>
        <v>2029</v>
      </c>
      <c r="N2">
        <f t="shared" si="0"/>
        <v>2030</v>
      </c>
      <c r="O2">
        <f t="shared" si="0"/>
        <v>2031</v>
      </c>
      <c r="P2">
        <f t="shared" si="0"/>
        <v>2032</v>
      </c>
      <c r="Q2">
        <f t="shared" si="0"/>
        <v>2033</v>
      </c>
      <c r="R2">
        <f t="shared" si="0"/>
        <v>2034</v>
      </c>
      <c r="S2">
        <f t="shared" si="0"/>
        <v>2035</v>
      </c>
    </row>
    <row r="3" spans="2:86" s="1" customFormat="1" x14ac:dyDescent="0.25"/>
    <row r="4" spans="2:86" s="1" customFormat="1" x14ac:dyDescent="0.25">
      <c r="G4" s="6">
        <f>+G9/G5</f>
        <v>0.26407834907310246</v>
      </c>
      <c r="H4" s="6">
        <f>+H9/H5</f>
        <v>0.25121107266435988</v>
      </c>
      <c r="I4" s="6">
        <f>+I9/I5</f>
        <v>0.28705882352941176</v>
      </c>
    </row>
    <row r="5" spans="2:86" s="2" customFormat="1" x14ac:dyDescent="0.25">
      <c r="B5" s="2" t="s">
        <v>0</v>
      </c>
      <c r="D5" s="2">
        <v>1950</v>
      </c>
      <c r="E5" s="2">
        <v>1900</v>
      </c>
      <c r="F5" s="2">
        <v>2480</v>
      </c>
      <c r="G5" s="2">
        <v>2859</v>
      </c>
      <c r="H5" s="2">
        <v>2890</v>
      </c>
      <c r="I5" s="2">
        <f>1275*2</f>
        <v>2550</v>
      </c>
      <c r="J5" s="2">
        <v>2800</v>
      </c>
      <c r="K5" s="2">
        <v>2920</v>
      </c>
      <c r="L5" s="2">
        <v>2940</v>
      </c>
      <c r="M5" s="2">
        <v>3000</v>
      </c>
      <c r="N5" s="2">
        <f>+M5*1.02</f>
        <v>3060</v>
      </c>
      <c r="O5" s="2">
        <f t="shared" ref="O5:S5" si="1">+N5*1.02</f>
        <v>3121.2000000000003</v>
      </c>
      <c r="P5" s="2">
        <f t="shared" si="1"/>
        <v>3183.6240000000003</v>
      </c>
      <c r="Q5" s="2">
        <f t="shared" si="1"/>
        <v>3247.2964800000004</v>
      </c>
      <c r="R5" s="2">
        <f t="shared" si="1"/>
        <v>3312.2424096000004</v>
      </c>
      <c r="S5" s="2">
        <f t="shared" si="1"/>
        <v>3378.4872577920005</v>
      </c>
    </row>
    <row r="6" spans="2:86" s="1" customFormat="1" x14ac:dyDescent="0.25">
      <c r="B6" s="1" t="s">
        <v>1</v>
      </c>
      <c r="G6" s="1">
        <v>2097</v>
      </c>
      <c r="H6" s="1">
        <v>2125</v>
      </c>
      <c r="I6" s="1">
        <f>900*2</f>
        <v>1800</v>
      </c>
      <c r="J6" s="1">
        <f>+J5*0.7</f>
        <v>1959.9999999999998</v>
      </c>
      <c r="K6" s="1">
        <f t="shared" ref="K6:S6" si="2">+K5*0.7</f>
        <v>2043.9999999999998</v>
      </c>
      <c r="L6" s="1">
        <f t="shared" si="2"/>
        <v>2058</v>
      </c>
      <c r="M6" s="1">
        <f t="shared" si="2"/>
        <v>2100</v>
      </c>
      <c r="N6" s="1">
        <f t="shared" si="2"/>
        <v>2142</v>
      </c>
      <c r="O6" s="1">
        <f t="shared" si="2"/>
        <v>2184.84</v>
      </c>
      <c r="P6" s="1">
        <f t="shared" si="2"/>
        <v>2228.5367999999999</v>
      </c>
      <c r="Q6" s="1">
        <f t="shared" si="2"/>
        <v>2273.107536</v>
      </c>
      <c r="R6" s="1">
        <f t="shared" si="2"/>
        <v>2318.5696867199999</v>
      </c>
      <c r="S6" s="1">
        <f t="shared" si="2"/>
        <v>2364.9410804544</v>
      </c>
    </row>
    <row r="7" spans="2:86" s="1" customFormat="1" x14ac:dyDescent="0.25">
      <c r="B7" s="1" t="s">
        <v>2</v>
      </c>
      <c r="G7" s="1">
        <f>+G5-G6</f>
        <v>762</v>
      </c>
      <c r="H7" s="1">
        <f t="shared" ref="H7:J7" si="3">+H5-H6</f>
        <v>765</v>
      </c>
      <c r="I7" s="1">
        <f t="shared" si="3"/>
        <v>750</v>
      </c>
      <c r="J7" s="1">
        <f t="shared" si="3"/>
        <v>840.00000000000023</v>
      </c>
      <c r="K7" s="1">
        <f t="shared" ref="K7" si="4">+K5-K6</f>
        <v>876.00000000000023</v>
      </c>
      <c r="L7" s="1">
        <f t="shared" ref="L7" si="5">+L5-L6</f>
        <v>882</v>
      </c>
      <c r="M7" s="1">
        <f t="shared" ref="M7" si="6">+M5-M6</f>
        <v>900</v>
      </c>
      <c r="N7" s="1">
        <f t="shared" ref="N7" si="7">+N5-N6</f>
        <v>918</v>
      </c>
      <c r="O7" s="1">
        <f t="shared" ref="O7" si="8">+O5-O6</f>
        <v>936.36000000000013</v>
      </c>
      <c r="P7" s="1">
        <f t="shared" ref="P7" si="9">+P5-P6</f>
        <v>955.08720000000039</v>
      </c>
      <c r="Q7" s="1">
        <f t="shared" ref="Q7" si="10">+Q5-Q6</f>
        <v>974.18894400000045</v>
      </c>
      <c r="R7" s="1">
        <f t="shared" ref="R7" si="11">+R5-R6</f>
        <v>993.67272288000049</v>
      </c>
      <c r="S7" s="1">
        <f t="shared" ref="S7" si="12">+S5-S6</f>
        <v>1013.5461773376005</v>
      </c>
    </row>
    <row r="8" spans="2:86" s="1" customFormat="1" x14ac:dyDescent="0.25">
      <c r="B8" s="1" t="s">
        <v>10</v>
      </c>
      <c r="G8" s="1">
        <v>8</v>
      </c>
      <c r="H8" s="1">
        <v>4</v>
      </c>
      <c r="I8" s="1">
        <v>2</v>
      </c>
      <c r="J8" s="1">
        <v>4</v>
      </c>
      <c r="K8" s="1">
        <v>4</v>
      </c>
      <c r="L8" s="1">
        <v>4</v>
      </c>
      <c r="M8" s="1">
        <v>4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4</v>
      </c>
    </row>
    <row r="9" spans="2:86" s="1" customFormat="1" x14ac:dyDescent="0.25">
      <c r="B9" s="1" t="s">
        <v>3</v>
      </c>
      <c r="G9" s="1">
        <v>755</v>
      </c>
      <c r="H9" s="1">
        <v>726</v>
      </c>
      <c r="I9" s="1">
        <f>366*2</f>
        <v>732</v>
      </c>
      <c r="J9" s="1">
        <f>+J5*0.28</f>
        <v>784.00000000000011</v>
      </c>
      <c r="K9" s="1">
        <f t="shared" ref="K9:S9" si="13">+K5*0.28</f>
        <v>817.6</v>
      </c>
      <c r="L9" s="1">
        <f t="shared" si="13"/>
        <v>823.2</v>
      </c>
      <c r="M9" s="1">
        <f t="shared" si="13"/>
        <v>840.00000000000011</v>
      </c>
      <c r="N9" s="1">
        <f t="shared" si="13"/>
        <v>856.80000000000007</v>
      </c>
      <c r="O9" s="1">
        <f t="shared" si="13"/>
        <v>873.93600000000015</v>
      </c>
      <c r="P9" s="1">
        <f t="shared" si="13"/>
        <v>891.4147200000001</v>
      </c>
      <c r="Q9" s="1">
        <f t="shared" si="13"/>
        <v>909.24301440000022</v>
      </c>
      <c r="R9" s="1">
        <f t="shared" si="13"/>
        <v>927.4278746880002</v>
      </c>
      <c r="S9" s="1">
        <f t="shared" si="13"/>
        <v>945.97643218176017</v>
      </c>
    </row>
    <row r="10" spans="2:86" s="1" customFormat="1" x14ac:dyDescent="0.25">
      <c r="B10" s="1" t="s">
        <v>4</v>
      </c>
      <c r="G10" s="1">
        <f>+G7-G9+G8</f>
        <v>15</v>
      </c>
      <c r="H10" s="1">
        <f>+H7-H9+H8</f>
        <v>43</v>
      </c>
      <c r="I10" s="1">
        <f>+I7-I9+I8</f>
        <v>20</v>
      </c>
      <c r="J10" s="1">
        <f>+J7-J9+J8</f>
        <v>60.000000000000114</v>
      </c>
      <c r="K10" s="1">
        <f t="shared" ref="K10:S10" si="14">+K7-K9+K8</f>
        <v>62.400000000000205</v>
      </c>
      <c r="L10" s="1">
        <f t="shared" si="14"/>
        <v>62.799999999999955</v>
      </c>
      <c r="M10" s="1">
        <f t="shared" si="14"/>
        <v>63.999999999999886</v>
      </c>
      <c r="N10" s="1">
        <f t="shared" si="14"/>
        <v>65.199999999999932</v>
      </c>
      <c r="O10" s="1">
        <f t="shared" si="14"/>
        <v>66.423999999999978</v>
      </c>
      <c r="P10" s="1">
        <f t="shared" si="14"/>
        <v>67.672480000000292</v>
      </c>
      <c r="Q10" s="1">
        <f t="shared" si="14"/>
        <v>68.945929600000227</v>
      </c>
      <c r="R10" s="1">
        <f t="shared" si="14"/>
        <v>70.244848192000291</v>
      </c>
      <c r="S10" s="1">
        <f t="shared" si="14"/>
        <v>71.569745155840337</v>
      </c>
    </row>
    <row r="11" spans="2:86" s="1" customFormat="1" x14ac:dyDescent="0.25">
      <c r="B11" s="1" t="s">
        <v>5</v>
      </c>
      <c r="G11" s="1">
        <v>16</v>
      </c>
      <c r="H11" s="1">
        <v>18</v>
      </c>
      <c r="I11" s="1">
        <v>14</v>
      </c>
      <c r="J11" s="1">
        <v>15</v>
      </c>
      <c r="K11" s="1">
        <v>15</v>
      </c>
      <c r="L11" s="1">
        <v>15</v>
      </c>
      <c r="M11" s="1">
        <v>15</v>
      </c>
      <c r="N11" s="1">
        <v>15</v>
      </c>
      <c r="O11" s="1">
        <v>15</v>
      </c>
      <c r="P11" s="1">
        <v>15</v>
      </c>
      <c r="Q11" s="1">
        <v>15</v>
      </c>
      <c r="R11" s="1">
        <v>15</v>
      </c>
      <c r="S11" s="1">
        <v>15</v>
      </c>
    </row>
    <row r="12" spans="2:86" s="1" customFormat="1" x14ac:dyDescent="0.25">
      <c r="B12" s="1" t="s">
        <v>6</v>
      </c>
      <c r="G12" s="1">
        <v>7</v>
      </c>
      <c r="H12" s="1">
        <v>4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</row>
    <row r="13" spans="2:86" s="1" customFormat="1" x14ac:dyDescent="0.25">
      <c r="B13" s="1" t="s">
        <v>7</v>
      </c>
      <c r="G13" s="1">
        <f>+G10-G11+G12</f>
        <v>6</v>
      </c>
      <c r="H13" s="1">
        <f t="shared" ref="H13:J13" si="15">+H10-H11+H12</f>
        <v>29</v>
      </c>
      <c r="I13" s="1">
        <f t="shared" si="15"/>
        <v>8</v>
      </c>
      <c r="J13" s="1">
        <f t="shared" si="15"/>
        <v>47.000000000000114</v>
      </c>
      <c r="K13" s="1">
        <f t="shared" ref="K13" si="16">+K10-K11+K12</f>
        <v>49.400000000000205</v>
      </c>
      <c r="L13" s="1">
        <f t="shared" ref="L13" si="17">+L10-L11+L12</f>
        <v>49.799999999999955</v>
      </c>
      <c r="M13" s="1">
        <f t="shared" ref="M13" si="18">+M10-M11+M12</f>
        <v>50.999999999999886</v>
      </c>
      <c r="N13" s="1">
        <f t="shared" ref="N13" si="19">+N10-N11+N12</f>
        <v>52.199999999999932</v>
      </c>
      <c r="O13" s="1">
        <f t="shared" ref="O13" si="20">+O10-O11+O12</f>
        <v>53.423999999999978</v>
      </c>
      <c r="P13" s="1">
        <f t="shared" ref="P13" si="21">+P10-P11+P12</f>
        <v>54.672480000000292</v>
      </c>
      <c r="Q13" s="1">
        <f t="shared" ref="Q13" si="22">+Q10-Q11+Q12</f>
        <v>55.945929600000227</v>
      </c>
      <c r="R13" s="1">
        <f t="shared" ref="R13" si="23">+R10-R11+R12</f>
        <v>57.244848192000291</v>
      </c>
      <c r="S13" s="1">
        <f t="shared" ref="S13" si="24">+S10-S11+S12</f>
        <v>58.569745155840337</v>
      </c>
    </row>
    <row r="14" spans="2:86" s="1" customFormat="1" x14ac:dyDescent="0.25">
      <c r="B14" s="1" t="s">
        <v>8</v>
      </c>
      <c r="G14" s="1">
        <v>0</v>
      </c>
      <c r="H14" s="1">
        <v>5</v>
      </c>
      <c r="I14" s="1">
        <v>0</v>
      </c>
      <c r="J14" s="1">
        <f>+J13*0.258</f>
        <v>12.12600000000003</v>
      </c>
      <c r="K14" s="1">
        <f t="shared" ref="K14:S14" si="25">+K13*0.258</f>
        <v>12.745200000000054</v>
      </c>
      <c r="L14" s="1">
        <f t="shared" si="25"/>
        <v>12.848399999999989</v>
      </c>
      <c r="M14" s="1">
        <f t="shared" si="25"/>
        <v>13.157999999999971</v>
      </c>
      <c r="N14" s="1">
        <f t="shared" si="25"/>
        <v>13.467599999999983</v>
      </c>
      <c r="O14" s="1">
        <f t="shared" si="25"/>
        <v>13.783391999999994</v>
      </c>
      <c r="P14" s="1">
        <f t="shared" si="25"/>
        <v>14.105499840000075</v>
      </c>
      <c r="Q14" s="1">
        <f t="shared" si="25"/>
        <v>14.434049836800058</v>
      </c>
      <c r="R14" s="1">
        <f t="shared" si="25"/>
        <v>14.769170833536075</v>
      </c>
      <c r="S14" s="1">
        <f t="shared" si="25"/>
        <v>15.110994250206808</v>
      </c>
    </row>
    <row r="15" spans="2:86" s="2" customFormat="1" x14ac:dyDescent="0.25">
      <c r="B15" s="2" t="s">
        <v>9</v>
      </c>
      <c r="G15" s="2">
        <f>+G13-G14</f>
        <v>6</v>
      </c>
      <c r="H15" s="2">
        <f t="shared" ref="H15:J15" si="26">+H13-H14</f>
        <v>24</v>
      </c>
      <c r="I15" s="2">
        <f t="shared" si="26"/>
        <v>8</v>
      </c>
      <c r="J15" s="2">
        <f t="shared" si="26"/>
        <v>34.87400000000008</v>
      </c>
      <c r="K15" s="2">
        <f t="shared" ref="K15" si="27">+K13-K14</f>
        <v>36.654800000000151</v>
      </c>
      <c r="L15" s="2">
        <f t="shared" ref="L15" si="28">+L13-L14</f>
        <v>36.951599999999964</v>
      </c>
      <c r="M15" s="2">
        <f t="shared" ref="M15" si="29">+M13-M14</f>
        <v>37.841999999999913</v>
      </c>
      <c r="N15" s="2">
        <f t="shared" ref="N15" si="30">+N13-N14</f>
        <v>38.732399999999949</v>
      </c>
      <c r="O15" s="2">
        <f t="shared" ref="O15" si="31">+O13-O14</f>
        <v>39.640607999999986</v>
      </c>
      <c r="P15" s="2">
        <f t="shared" ref="P15" si="32">+P13-P14</f>
        <v>40.566980160000213</v>
      </c>
      <c r="Q15" s="2">
        <f t="shared" ref="Q15" si="33">+Q13-Q14</f>
        <v>41.51187976320017</v>
      </c>
      <c r="R15" s="2">
        <f t="shared" ref="R15" si="34">+R13-R14</f>
        <v>42.475677358464218</v>
      </c>
      <c r="S15" s="2">
        <f t="shared" ref="S15" si="35">+S13-S14</f>
        <v>43.458750905633529</v>
      </c>
      <c r="T15" s="2">
        <f>+S15*(1+$V18)</f>
        <v>43.024163396577194</v>
      </c>
      <c r="U15" s="2">
        <f t="shared" ref="U15:CF15" si="36">+T15*(1+$V18)</f>
        <v>42.593921762611423</v>
      </c>
      <c r="V15" s="2">
        <f t="shared" si="36"/>
        <v>42.167982544985307</v>
      </c>
      <c r="W15" s="2">
        <f t="shared" si="36"/>
        <v>41.746302719535457</v>
      </c>
      <c r="X15" s="2">
        <f t="shared" si="36"/>
        <v>41.328839692340104</v>
      </c>
      <c r="Y15" s="2">
        <f t="shared" si="36"/>
        <v>40.915551295416705</v>
      </c>
      <c r="Z15" s="2">
        <f t="shared" si="36"/>
        <v>40.50639578246254</v>
      </c>
      <c r="AA15" s="2">
        <f t="shared" si="36"/>
        <v>40.101331824637917</v>
      </c>
      <c r="AB15" s="2">
        <f t="shared" si="36"/>
        <v>39.70031850639154</v>
      </c>
      <c r="AC15" s="2">
        <f t="shared" si="36"/>
        <v>39.303315321327624</v>
      </c>
      <c r="AD15" s="2">
        <f t="shared" si="36"/>
        <v>38.91028216811435</v>
      </c>
      <c r="AE15" s="2">
        <f t="shared" si="36"/>
        <v>38.521179346433208</v>
      </c>
      <c r="AF15" s="2">
        <f t="shared" si="36"/>
        <v>38.135967552968879</v>
      </c>
      <c r="AG15" s="2">
        <f t="shared" si="36"/>
        <v>37.754607877439192</v>
      </c>
      <c r="AH15" s="2">
        <f t="shared" si="36"/>
        <v>37.377061798664798</v>
      </c>
      <c r="AI15" s="2">
        <f t="shared" si="36"/>
        <v>37.003291180678147</v>
      </c>
      <c r="AJ15" s="2">
        <f t="shared" si="36"/>
        <v>36.633258268871366</v>
      </c>
      <c r="AK15" s="2">
        <f t="shared" si="36"/>
        <v>36.266925686182653</v>
      </c>
      <c r="AL15" s="2">
        <f t="shared" si="36"/>
        <v>35.904256429320824</v>
      </c>
      <c r="AM15" s="2">
        <f t="shared" si="36"/>
        <v>35.545213865027613</v>
      </c>
      <c r="AN15" s="2">
        <f t="shared" si="36"/>
        <v>35.189761726377334</v>
      </c>
      <c r="AO15" s="2">
        <f t="shared" si="36"/>
        <v>34.837864109113561</v>
      </c>
      <c r="AP15" s="2">
        <f t="shared" si="36"/>
        <v>34.489485468022423</v>
      </c>
      <c r="AQ15" s="2">
        <f t="shared" si="36"/>
        <v>34.144590613342196</v>
      </c>
      <c r="AR15" s="2">
        <f t="shared" si="36"/>
        <v>33.803144707208773</v>
      </c>
      <c r="AS15" s="2">
        <f t="shared" si="36"/>
        <v>33.465113260136683</v>
      </c>
      <c r="AT15" s="2">
        <f t="shared" si="36"/>
        <v>33.130462127535317</v>
      </c>
      <c r="AU15" s="2">
        <f t="shared" si="36"/>
        <v>32.799157506259967</v>
      </c>
      <c r="AV15" s="2">
        <f t="shared" si="36"/>
        <v>32.471165931197369</v>
      </c>
      <c r="AW15" s="2">
        <f t="shared" si="36"/>
        <v>32.146454271885396</v>
      </c>
      <c r="AX15" s="2">
        <f t="shared" si="36"/>
        <v>31.824989729166543</v>
      </c>
      <c r="AY15" s="2">
        <f t="shared" si="36"/>
        <v>31.506739831874878</v>
      </c>
      <c r="AZ15" s="2">
        <f t="shared" si="36"/>
        <v>31.191672433556128</v>
      </c>
      <c r="BA15" s="2">
        <f t="shared" si="36"/>
        <v>30.879755709220568</v>
      </c>
      <c r="BB15" s="2">
        <f t="shared" si="36"/>
        <v>30.570958152128362</v>
      </c>
      <c r="BC15" s="2">
        <f t="shared" si="36"/>
        <v>30.265248570607078</v>
      </c>
      <c r="BD15" s="2">
        <f t="shared" si="36"/>
        <v>29.962596084901008</v>
      </c>
      <c r="BE15" s="2">
        <f t="shared" si="36"/>
        <v>29.662970124051999</v>
      </c>
      <c r="BF15" s="2">
        <f t="shared" si="36"/>
        <v>29.366340422811479</v>
      </c>
      <c r="BG15" s="2">
        <f t="shared" si="36"/>
        <v>29.072677018583363</v>
      </c>
      <c r="BH15" s="2">
        <f t="shared" si="36"/>
        <v>28.781950248397528</v>
      </c>
      <c r="BI15" s="2">
        <f t="shared" si="36"/>
        <v>28.494130745913552</v>
      </c>
      <c r="BJ15" s="2">
        <f t="shared" si="36"/>
        <v>28.209189438454416</v>
      </c>
      <c r="BK15" s="2">
        <f t="shared" si="36"/>
        <v>27.927097544069873</v>
      </c>
      <c r="BL15" s="2">
        <f t="shared" si="36"/>
        <v>27.647826568629174</v>
      </c>
      <c r="BM15" s="2">
        <f t="shared" si="36"/>
        <v>27.371348302942881</v>
      </c>
      <c r="BN15" s="2">
        <f t="shared" si="36"/>
        <v>27.097634819913452</v>
      </c>
      <c r="BO15" s="2">
        <f t="shared" si="36"/>
        <v>26.826658471714317</v>
      </c>
      <c r="BP15" s="2">
        <f t="shared" si="36"/>
        <v>26.558391886997175</v>
      </c>
      <c r="BQ15" s="2">
        <f t="shared" si="36"/>
        <v>26.292807968127203</v>
      </c>
      <c r="BR15" s="2">
        <f t="shared" si="36"/>
        <v>26.029879888445929</v>
      </c>
      <c r="BS15" s="2">
        <f t="shared" si="36"/>
        <v>25.76958108956147</v>
      </c>
      <c r="BT15" s="2">
        <f t="shared" si="36"/>
        <v>25.511885278665854</v>
      </c>
      <c r="BU15" s="2">
        <f t="shared" si="36"/>
        <v>25.256766425879196</v>
      </c>
      <c r="BV15" s="2">
        <f t="shared" si="36"/>
        <v>25.004198761620405</v>
      </c>
      <c r="BW15" s="2">
        <f t="shared" si="36"/>
        <v>24.754156774004201</v>
      </c>
      <c r="BX15" s="2">
        <f t="shared" si="36"/>
        <v>24.506615206264158</v>
      </c>
      <c r="BY15" s="2">
        <f t="shared" si="36"/>
        <v>24.261549054201517</v>
      </c>
      <c r="BZ15" s="2">
        <f t="shared" si="36"/>
        <v>24.018933563659502</v>
      </c>
      <c r="CA15" s="2">
        <f t="shared" si="36"/>
        <v>23.778744228022905</v>
      </c>
      <c r="CB15" s="2">
        <f t="shared" si="36"/>
        <v>23.540956785742676</v>
      </c>
      <c r="CC15" s="2">
        <f t="shared" si="36"/>
        <v>23.305547217885248</v>
      </c>
      <c r="CD15" s="2">
        <f t="shared" si="36"/>
        <v>23.072491745706397</v>
      </c>
      <c r="CE15" s="2">
        <f t="shared" si="36"/>
        <v>22.841766828249334</v>
      </c>
      <c r="CF15" s="2">
        <f t="shared" si="36"/>
        <v>22.613349159966841</v>
      </c>
      <c r="CG15" s="2">
        <f t="shared" ref="CG15:CH15" si="37">+CF15*(1+$V18)</f>
        <v>22.387215668367173</v>
      </c>
      <c r="CH15" s="2">
        <f t="shared" si="37"/>
        <v>22.1633435116835</v>
      </c>
    </row>
    <row r="16" spans="2:86" s="1" customFormat="1" x14ac:dyDescent="0.25"/>
    <row r="17" spans="2:22" s="3" customFormat="1" x14ac:dyDescent="0.25">
      <c r="B17" s="3" t="s">
        <v>11</v>
      </c>
      <c r="G17" s="3">
        <f>+G7/G5</f>
        <v>0.26652675760755506</v>
      </c>
      <c r="H17" s="3">
        <f>+H7/H5</f>
        <v>0.26470588235294118</v>
      </c>
      <c r="I17" s="3">
        <f>+I7/I5</f>
        <v>0.29411764705882354</v>
      </c>
      <c r="J17" s="3">
        <f t="shared" ref="J17:S17" si="38">+J7/J5</f>
        <v>0.3000000000000001</v>
      </c>
      <c r="K17" s="3">
        <f t="shared" si="38"/>
        <v>0.3000000000000001</v>
      </c>
      <c r="L17" s="3">
        <f t="shared" si="38"/>
        <v>0.3</v>
      </c>
      <c r="M17" s="3">
        <f t="shared" si="38"/>
        <v>0.3</v>
      </c>
      <c r="N17" s="3">
        <f t="shared" si="38"/>
        <v>0.3</v>
      </c>
      <c r="O17" s="3">
        <f t="shared" si="38"/>
        <v>0.3</v>
      </c>
      <c r="P17" s="3">
        <f t="shared" si="38"/>
        <v>0.3000000000000001</v>
      </c>
      <c r="Q17" s="3">
        <f t="shared" si="38"/>
        <v>0.3000000000000001</v>
      </c>
      <c r="R17" s="3">
        <f t="shared" si="38"/>
        <v>0.3000000000000001</v>
      </c>
      <c r="S17" s="3">
        <f t="shared" si="38"/>
        <v>0.3000000000000001</v>
      </c>
    </row>
    <row r="18" spans="2:22" s="4" customFormat="1" x14ac:dyDescent="0.25">
      <c r="B18" s="4" t="s">
        <v>23</v>
      </c>
      <c r="G18" s="4">
        <f>+G10/G5</f>
        <v>5.246589716684155E-3</v>
      </c>
      <c r="H18" s="4">
        <f>+H10/H5</f>
        <v>1.4878892733564015E-2</v>
      </c>
      <c r="I18" s="4">
        <f>+I10/I5</f>
        <v>7.8431372549019607E-3</v>
      </c>
      <c r="J18" s="4">
        <f t="shared" ref="J18:S18" si="39">+J10/J5</f>
        <v>2.142857142857147E-2</v>
      </c>
      <c r="K18" s="4">
        <f t="shared" si="39"/>
        <v>2.1369863013698701E-2</v>
      </c>
      <c r="L18" s="4">
        <f t="shared" si="39"/>
        <v>2.1360544217687058E-2</v>
      </c>
      <c r="M18" s="4">
        <f t="shared" si="39"/>
        <v>2.1333333333333294E-2</v>
      </c>
      <c r="N18" s="4">
        <f t="shared" si="39"/>
        <v>2.1307189542483639E-2</v>
      </c>
      <c r="O18" s="4">
        <f t="shared" si="39"/>
        <v>2.128155837498397E-2</v>
      </c>
      <c r="P18" s="4">
        <f t="shared" si="39"/>
        <v>2.1256429779396149E-2</v>
      </c>
      <c r="Q18" s="4">
        <f t="shared" si="39"/>
        <v>2.1231793901368753E-2</v>
      </c>
      <c r="R18" s="4">
        <f t="shared" si="39"/>
        <v>2.1207641079773305E-2</v>
      </c>
      <c r="S18" s="4">
        <f t="shared" si="39"/>
        <v>2.118396184291502E-2</v>
      </c>
      <c r="U18" s="4" t="s">
        <v>24</v>
      </c>
      <c r="V18" s="4">
        <v>-0.01</v>
      </c>
    </row>
    <row r="19" spans="2:22" s="4" customFormat="1" x14ac:dyDescent="0.25">
      <c r="B19" s="4" t="s">
        <v>12</v>
      </c>
      <c r="G19" s="4">
        <f>+G15/G5</f>
        <v>2.0986358866736622E-3</v>
      </c>
      <c r="H19" s="4">
        <f>+H15/H5</f>
        <v>8.3044982698961944E-3</v>
      </c>
      <c r="I19" s="4">
        <f>+I15/I5</f>
        <v>3.1372549019607842E-3</v>
      </c>
      <c r="J19" s="4">
        <f t="shared" ref="J19:S19" si="40">+J15/J5</f>
        <v>1.2455000000000029E-2</v>
      </c>
      <c r="K19" s="4">
        <f t="shared" si="40"/>
        <v>1.2553013698630188E-2</v>
      </c>
      <c r="L19" s="4">
        <f t="shared" si="40"/>
        <v>1.2568571428571417E-2</v>
      </c>
      <c r="M19" s="4">
        <f t="shared" si="40"/>
        <v>1.2613999999999971E-2</v>
      </c>
      <c r="N19" s="4">
        <f t="shared" si="40"/>
        <v>1.2657647058823513E-2</v>
      </c>
      <c r="O19" s="4">
        <f t="shared" si="40"/>
        <v>1.2700438292964239E-2</v>
      </c>
      <c r="P19" s="4">
        <f t="shared" si="40"/>
        <v>1.2742390483298345E-2</v>
      </c>
      <c r="Q19" s="4">
        <f t="shared" si="40"/>
        <v>1.278352008166503E-2</v>
      </c>
      <c r="R19" s="4">
        <f t="shared" si="40"/>
        <v>1.2823843217318671E-2</v>
      </c>
      <c r="S19" s="4">
        <f t="shared" si="40"/>
        <v>1.2863375703253608E-2</v>
      </c>
      <c r="U19" s="4" t="s">
        <v>25</v>
      </c>
      <c r="V19" s="4">
        <v>0.08</v>
      </c>
    </row>
    <row r="20" spans="2:22" s="1" customFormat="1" x14ac:dyDescent="0.25">
      <c r="U20" s="1" t="s">
        <v>26</v>
      </c>
      <c r="V20" s="1">
        <f>NPV(V19,I15:CH15)</f>
        <v>452.27690251096061</v>
      </c>
    </row>
    <row r="21" spans="2:22" s="1" customFormat="1" x14ac:dyDescent="0.25">
      <c r="B21" s="1" t="s">
        <v>13</v>
      </c>
      <c r="G21" s="1">
        <v>142</v>
      </c>
      <c r="H21" s="1">
        <v>97</v>
      </c>
      <c r="U21" s="1" t="s">
        <v>27</v>
      </c>
      <c r="V21" s="1">
        <f>+H26-H28</f>
        <v>-120</v>
      </c>
    </row>
    <row r="22" spans="2:22" s="1" customFormat="1" x14ac:dyDescent="0.25">
      <c r="B22" s="1" t="s">
        <v>14</v>
      </c>
      <c r="G22" s="1">
        <v>64</v>
      </c>
      <c r="H22" s="1">
        <v>42</v>
      </c>
      <c r="U22" s="1" t="s">
        <v>28</v>
      </c>
      <c r="V22" s="1">
        <f>+V20+V21</f>
        <v>332.27690251096061</v>
      </c>
    </row>
    <row r="23" spans="2:22" s="1" customFormat="1" x14ac:dyDescent="0.25">
      <c r="B23" s="1" t="s">
        <v>15</v>
      </c>
      <c r="G23" s="1">
        <f>+G21-G22</f>
        <v>78</v>
      </c>
      <c r="H23" s="1">
        <f>+H21-H22</f>
        <v>55</v>
      </c>
    </row>
    <row r="24" spans="2:22" s="1" customFormat="1" x14ac:dyDescent="0.25">
      <c r="B24" s="1" t="s">
        <v>22</v>
      </c>
      <c r="G24" s="5">
        <f>+G23/Sheet2!$C5</f>
        <v>0.18188979494674604</v>
      </c>
      <c r="H24" s="5">
        <f>+H23/Sheet2!$C5</f>
        <v>0.12825562464193632</v>
      </c>
    </row>
    <row r="25" spans="2:22" s="1" customFormat="1" x14ac:dyDescent="0.25"/>
    <row r="26" spans="2:22" s="1" customFormat="1" x14ac:dyDescent="0.25">
      <c r="B26" s="1" t="s">
        <v>19</v>
      </c>
      <c r="G26" s="1">
        <v>32</v>
      </c>
      <c r="H26" s="1">
        <v>78</v>
      </c>
    </row>
    <row r="27" spans="2:22" s="1" customFormat="1" x14ac:dyDescent="0.25">
      <c r="B27" s="1" t="s">
        <v>20</v>
      </c>
      <c r="G27" s="1">
        <v>296</v>
      </c>
      <c r="H27" s="1">
        <v>303</v>
      </c>
    </row>
    <row r="28" spans="2:22" s="1" customFormat="1" x14ac:dyDescent="0.25">
      <c r="B28" s="1" t="s">
        <v>21</v>
      </c>
      <c r="G28" s="1">
        <f>100+101</f>
        <v>201</v>
      </c>
      <c r="H28" s="1">
        <f>74+124</f>
        <v>198</v>
      </c>
    </row>
    <row r="29" spans="2:22" s="1" customFormat="1" x14ac:dyDescent="0.25"/>
    <row r="30" spans="2:22" s="1" customFormat="1" x14ac:dyDescent="0.25"/>
    <row r="31" spans="2:22" s="1" customFormat="1" x14ac:dyDescent="0.25"/>
    <row r="32" spans="2:2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2025-12-12T16:58:46Z</dcterms:created>
  <dcterms:modified xsi:type="dcterms:W3CDTF">2025-12-12T17:19:03Z</dcterms:modified>
</cp:coreProperties>
</file>