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A9215B7D-3617-4315-A7F7-EF8399A1B06C}" xr6:coauthVersionLast="47" xr6:coauthVersionMax="47" xr10:uidLastSave="{00000000-0000-0000-0000-000000000000}"/>
  <bookViews>
    <workbookView xWindow="-28920" yWindow="-120" windowWidth="29040" windowHeight="15840" activeTab="1" xr2:uid="{1F10DB79-5658-4C03-97AD-709CE03FB24D}"/>
  </bookViews>
  <sheets>
    <sheet name="main" sheetId="2" r:id="rId1"/>
    <sheet name="Model" sheetId="1" r:id="rId2"/>
    <sheet name="Detailed Production" sheetId="5" r:id="rId3"/>
    <sheet name="Graphs" sheetId="3" r:id="rId4"/>
    <sheet name="Map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2" l="1"/>
  <c r="D14" i="2"/>
  <c r="FL43" i="1"/>
  <c r="G19" i="1"/>
  <c r="H19" i="1" s="1"/>
  <c r="I19" i="1" s="1"/>
  <c r="J19" i="1" s="1"/>
  <c r="K19" i="1" s="1"/>
  <c r="L19" i="1" s="1"/>
  <c r="M19" i="1" s="1"/>
  <c r="N19" i="1" s="1"/>
  <c r="O19" i="1" s="1"/>
  <c r="E57" i="1"/>
  <c r="D57" i="1"/>
  <c r="G37" i="1" l="1"/>
  <c r="H37" i="1" s="1"/>
  <c r="I37" i="1" s="1"/>
  <c r="J37" i="1" s="1"/>
  <c r="K37" i="1" s="1"/>
  <c r="L37" i="1" s="1"/>
  <c r="M37" i="1" s="1"/>
  <c r="N37" i="1" s="1"/>
  <c r="O37" i="1" s="1"/>
  <c r="F34" i="1"/>
  <c r="G34" i="1" s="1"/>
  <c r="H34" i="1" s="1"/>
  <c r="I34" i="1" s="1"/>
  <c r="J34" i="1" s="1"/>
  <c r="K34" i="1" s="1"/>
  <c r="L34" i="1" s="1"/>
  <c r="M34" i="1" s="1"/>
  <c r="N34" i="1" s="1"/>
  <c r="O34" i="1" s="1"/>
  <c r="F16" i="1"/>
  <c r="G16" i="1" s="1"/>
  <c r="K15" i="1"/>
  <c r="L15" i="1" s="1"/>
  <c r="G5" i="1"/>
  <c r="G10" i="1" s="1"/>
  <c r="G27" i="1" s="1"/>
  <c r="H5" i="1"/>
  <c r="H10" i="1" s="1"/>
  <c r="H27" i="1" s="1"/>
  <c r="I5" i="1"/>
  <c r="I10" i="1" s="1"/>
  <c r="I27" i="1" s="1"/>
  <c r="J5" i="1"/>
  <c r="J10" i="1" s="1"/>
  <c r="J27" i="1" s="1"/>
  <c r="K5" i="1"/>
  <c r="K10" i="1" s="1"/>
  <c r="L5" i="1"/>
  <c r="L10" i="1" s="1"/>
  <c r="M5" i="1"/>
  <c r="M10" i="1" s="1"/>
  <c r="N5" i="1"/>
  <c r="N10" i="1" s="1"/>
  <c r="O5" i="1"/>
  <c r="O10" i="1" s="1"/>
  <c r="G6" i="1"/>
  <c r="G11" i="1" s="1"/>
  <c r="H6" i="1"/>
  <c r="H11" i="1" s="1"/>
  <c r="I6" i="1"/>
  <c r="I11" i="1" s="1"/>
  <c r="J6" i="1"/>
  <c r="J11" i="1" s="1"/>
  <c r="K6" i="1"/>
  <c r="K11" i="1" s="1"/>
  <c r="L6" i="1"/>
  <c r="L11" i="1" s="1"/>
  <c r="M6" i="1"/>
  <c r="M11" i="1" s="1"/>
  <c r="N6" i="1"/>
  <c r="N11" i="1" s="1"/>
  <c r="O6" i="1"/>
  <c r="O11" i="1" s="1"/>
  <c r="I31" i="5"/>
  <c r="J31" i="5"/>
  <c r="K31" i="5"/>
  <c r="L31" i="5"/>
  <c r="M31" i="5"/>
  <c r="N31" i="5"/>
  <c r="O31" i="5"/>
  <c r="P31" i="5"/>
  <c r="Q31" i="5"/>
  <c r="H31" i="5"/>
  <c r="G31" i="5"/>
  <c r="Q4" i="5"/>
  <c r="H5" i="5"/>
  <c r="H4" i="5" s="1"/>
  <c r="I5" i="5"/>
  <c r="I4" i="5" s="1"/>
  <c r="J5" i="5"/>
  <c r="J4" i="5" s="1"/>
  <c r="K5" i="5"/>
  <c r="K4" i="5" s="1"/>
  <c r="L5" i="5"/>
  <c r="L4" i="5" s="1"/>
  <c r="M5" i="5"/>
  <c r="M4" i="5" s="1"/>
  <c r="N5" i="5"/>
  <c r="N4" i="5" s="1"/>
  <c r="O5" i="5"/>
  <c r="O4" i="5" s="1"/>
  <c r="P5" i="5"/>
  <c r="P4" i="5" s="1"/>
  <c r="Q5" i="5"/>
  <c r="H6" i="5"/>
  <c r="I6" i="5"/>
  <c r="J6" i="5"/>
  <c r="K6" i="5"/>
  <c r="L6" i="5"/>
  <c r="M6" i="5"/>
  <c r="N6" i="5"/>
  <c r="O6" i="5"/>
  <c r="P6" i="5"/>
  <c r="Q6" i="5"/>
  <c r="E4" i="5"/>
  <c r="F4" i="5"/>
  <c r="G4" i="5"/>
  <c r="D4" i="5"/>
  <c r="E6" i="5"/>
  <c r="F6" i="5"/>
  <c r="G6" i="5"/>
  <c r="D6" i="5"/>
  <c r="E21" i="5"/>
  <c r="D31" i="5"/>
  <c r="I21" i="5"/>
  <c r="J21" i="5"/>
  <c r="K21" i="5"/>
  <c r="L21" i="5"/>
  <c r="M21" i="5"/>
  <c r="N21" i="5"/>
  <c r="O21" i="5"/>
  <c r="P21" i="5"/>
  <c r="Q21" i="5"/>
  <c r="H21" i="5"/>
  <c r="D21" i="5"/>
  <c r="F21" i="5"/>
  <c r="G21" i="5"/>
  <c r="G16" i="5"/>
  <c r="G11" i="5"/>
  <c r="G2" i="1"/>
  <c r="H2" i="1" s="1"/>
  <c r="I2" i="1" s="1"/>
  <c r="J2" i="1" s="1"/>
  <c r="K2" i="1" s="1"/>
  <c r="L2" i="1" s="1"/>
  <c r="M2" i="1" s="1"/>
  <c r="N2" i="1" s="1"/>
  <c r="O2" i="1" s="1"/>
  <c r="F7" i="1"/>
  <c r="F12" i="1" s="1"/>
  <c r="F29" i="1" s="1"/>
  <c r="J39" i="5"/>
  <c r="K39" i="5" s="1"/>
  <c r="L39" i="5" s="1"/>
  <c r="M39" i="5" s="1"/>
  <c r="N39" i="5" s="1"/>
  <c r="O39" i="5" s="1"/>
  <c r="P39" i="5" s="1"/>
  <c r="Q39" i="5" s="1"/>
  <c r="L37" i="5"/>
  <c r="M37" i="5" s="1"/>
  <c r="N37" i="5" s="1"/>
  <c r="O37" i="5" s="1"/>
  <c r="P37" i="5" s="1"/>
  <c r="Q37" i="5" s="1"/>
  <c r="J35" i="5"/>
  <c r="K35" i="5" s="1"/>
  <c r="L35" i="5" s="1"/>
  <c r="M35" i="5" s="1"/>
  <c r="N35" i="5" s="1"/>
  <c r="O35" i="5" s="1"/>
  <c r="P35" i="5" s="1"/>
  <c r="Q35" i="5" s="1"/>
  <c r="L36" i="5"/>
  <c r="M36" i="5" s="1"/>
  <c r="N36" i="5" s="1"/>
  <c r="O36" i="5" s="1"/>
  <c r="P36" i="5" s="1"/>
  <c r="Q36" i="5" s="1"/>
  <c r="M29" i="5"/>
  <c r="N29" i="5" s="1"/>
  <c r="O29" i="5" s="1"/>
  <c r="P29" i="5" s="1"/>
  <c r="Q29" i="5" s="1"/>
  <c r="L29" i="5"/>
  <c r="J28" i="5"/>
  <c r="K28" i="5" s="1"/>
  <c r="L28" i="5" s="1"/>
  <c r="M28" i="5" s="1"/>
  <c r="N28" i="5" s="1"/>
  <c r="O28" i="5" s="1"/>
  <c r="P28" i="5" s="1"/>
  <c r="Q28" i="5" s="1"/>
  <c r="I28" i="5"/>
  <c r="J27" i="5"/>
  <c r="K27" i="5" s="1"/>
  <c r="L27" i="5" s="1"/>
  <c r="M27" i="5" s="1"/>
  <c r="N27" i="5" s="1"/>
  <c r="O27" i="5" s="1"/>
  <c r="P27" i="5" s="1"/>
  <c r="Q27" i="5" s="1"/>
  <c r="I26" i="5"/>
  <c r="J26" i="5" s="1"/>
  <c r="H25" i="5"/>
  <c r="I25" i="5" s="1"/>
  <c r="J25" i="5" s="1"/>
  <c r="K25" i="5" s="1"/>
  <c r="L25" i="5" s="1"/>
  <c r="M25" i="5" s="1"/>
  <c r="N25" i="5" s="1"/>
  <c r="O25" i="5" s="1"/>
  <c r="P25" i="5" s="1"/>
  <c r="Q25" i="5" s="1"/>
  <c r="N24" i="5"/>
  <c r="I19" i="5"/>
  <c r="J19" i="5" s="1"/>
  <c r="K19" i="5" s="1"/>
  <c r="L19" i="5" s="1"/>
  <c r="I18" i="5"/>
  <c r="H16" i="5"/>
  <c r="I11" i="5"/>
  <c r="J11" i="5"/>
  <c r="K11" i="5"/>
  <c r="L11" i="5"/>
  <c r="M11" i="5"/>
  <c r="N11" i="5"/>
  <c r="O11" i="5"/>
  <c r="P11" i="5"/>
  <c r="Q11" i="5"/>
  <c r="H11" i="5"/>
  <c r="I2" i="5"/>
  <c r="J2" i="5" s="1"/>
  <c r="K2" i="5" s="1"/>
  <c r="L2" i="5" s="1"/>
  <c r="M2" i="5" s="1"/>
  <c r="N2" i="5" s="1"/>
  <c r="O2" i="5" s="1"/>
  <c r="P2" i="5" s="1"/>
  <c r="Q2" i="5" s="1"/>
  <c r="E5" i="5"/>
  <c r="F5" i="5"/>
  <c r="G5" i="5"/>
  <c r="D5" i="5"/>
  <c r="D65" i="1"/>
  <c r="D66" i="1" s="1"/>
  <c r="E65" i="1"/>
  <c r="D5" i="2"/>
  <c r="D7" i="2" s="1"/>
  <c r="E66" i="1" l="1"/>
  <c r="R48" i="1"/>
  <c r="D8" i="2" s="1"/>
  <c r="D9" i="2" s="1"/>
  <c r="M15" i="1"/>
  <c r="L27" i="1"/>
  <c r="H16" i="1"/>
  <c r="G28" i="1"/>
  <c r="D68" i="1"/>
  <c r="E68" i="1"/>
  <c r="F65" i="1"/>
  <c r="K27" i="1"/>
  <c r="G7" i="1"/>
  <c r="G4" i="1" s="1"/>
  <c r="F5" i="1"/>
  <c r="J18" i="5"/>
  <c r="K18" i="5" s="1"/>
  <c r="O24" i="5"/>
  <c r="K26" i="5"/>
  <c r="L26" i="5" s="1"/>
  <c r="M26" i="5" s="1"/>
  <c r="I16" i="5"/>
  <c r="L18" i="5"/>
  <c r="M18" i="5" s="1"/>
  <c r="K16" i="5"/>
  <c r="J16" i="5"/>
  <c r="F39" i="1" l="1"/>
  <c r="G65" i="1"/>
  <c r="I16" i="1"/>
  <c r="H28" i="1"/>
  <c r="N15" i="1"/>
  <c r="M27" i="1"/>
  <c r="H7" i="1"/>
  <c r="G12" i="1"/>
  <c r="F10" i="1"/>
  <c r="F27" i="1" s="1"/>
  <c r="F6" i="1"/>
  <c r="F11" i="1" s="1"/>
  <c r="F28" i="1" s="1"/>
  <c r="P24" i="5"/>
  <c r="M16" i="5"/>
  <c r="N18" i="5"/>
  <c r="N26" i="5"/>
  <c r="L16" i="5"/>
  <c r="J16" i="1" l="1"/>
  <c r="I28" i="1"/>
  <c r="H65" i="1"/>
  <c r="G39" i="1"/>
  <c r="G9" i="1"/>
  <c r="G33" i="1" s="1"/>
  <c r="G29" i="1"/>
  <c r="G30" i="1" s="1"/>
  <c r="G32" i="1" s="1"/>
  <c r="O15" i="1"/>
  <c r="O27" i="1" s="1"/>
  <c r="N27" i="1"/>
  <c r="F4" i="1"/>
  <c r="F9" i="1"/>
  <c r="F33" i="1" s="1"/>
  <c r="I7" i="1"/>
  <c r="H12" i="1"/>
  <c r="H4" i="1"/>
  <c r="O18" i="5"/>
  <c r="N16" i="5"/>
  <c r="Q24" i="5"/>
  <c r="O26" i="5"/>
  <c r="G38" i="1" l="1"/>
  <c r="H9" i="1"/>
  <c r="H33" i="1" s="1"/>
  <c r="H29" i="1"/>
  <c r="H30" i="1" s="1"/>
  <c r="H32" i="1" s="1"/>
  <c r="I65" i="1"/>
  <c r="H39" i="1"/>
  <c r="K16" i="1"/>
  <c r="J28" i="1"/>
  <c r="J7" i="1"/>
  <c r="I12" i="1"/>
  <c r="I4" i="1"/>
  <c r="P18" i="5"/>
  <c r="O16" i="5"/>
  <c r="P26" i="5"/>
  <c r="H38" i="1" l="1"/>
  <c r="H47" i="1" s="1"/>
  <c r="G41" i="1"/>
  <c r="G42" i="1" s="1"/>
  <c r="G47" i="1"/>
  <c r="L16" i="1"/>
  <c r="K28" i="1"/>
  <c r="J65" i="1"/>
  <c r="I39" i="1"/>
  <c r="I9" i="1"/>
  <c r="I33" i="1" s="1"/>
  <c r="I29" i="1"/>
  <c r="I30" i="1" s="1"/>
  <c r="I32" i="1" s="1"/>
  <c r="K7" i="1"/>
  <c r="J12" i="1"/>
  <c r="J4" i="1"/>
  <c r="P16" i="5"/>
  <c r="Q18" i="5"/>
  <c r="Q16" i="5" s="1"/>
  <c r="H41" i="1" l="1"/>
  <c r="H42" i="1" s="1"/>
  <c r="H43" i="1"/>
  <c r="H49" i="1"/>
  <c r="G43" i="1"/>
  <c r="G49" i="1"/>
  <c r="I38" i="1"/>
  <c r="K65" i="1"/>
  <c r="J39" i="1"/>
  <c r="J9" i="1"/>
  <c r="J33" i="1" s="1"/>
  <c r="J29" i="1"/>
  <c r="J30" i="1" s="1"/>
  <c r="J32" i="1" s="1"/>
  <c r="J38" i="1" s="1"/>
  <c r="M16" i="1"/>
  <c r="L28" i="1"/>
  <c r="L7" i="1"/>
  <c r="K12" i="1"/>
  <c r="K4" i="1"/>
  <c r="G44" i="1" l="1"/>
  <c r="G45" i="1" s="1"/>
  <c r="H44" i="1"/>
  <c r="H45" i="1"/>
  <c r="I41" i="1"/>
  <c r="I42" i="1" s="1"/>
  <c r="I47" i="1"/>
  <c r="G51" i="1"/>
  <c r="G48" i="1"/>
  <c r="J41" i="1"/>
  <c r="J42" i="1" s="1"/>
  <c r="J47" i="1"/>
  <c r="H51" i="1"/>
  <c r="H48" i="1"/>
  <c r="N16" i="1"/>
  <c r="M28" i="1"/>
  <c r="K9" i="1"/>
  <c r="K33" i="1" s="1"/>
  <c r="K29" i="1"/>
  <c r="K30" i="1" s="1"/>
  <c r="K32" i="1" s="1"/>
  <c r="L65" i="1"/>
  <c r="K39" i="1"/>
  <c r="M7" i="1"/>
  <c r="L12" i="1"/>
  <c r="L4" i="1"/>
  <c r="G54" i="1" l="1"/>
  <c r="G55" i="1" s="1"/>
  <c r="G57" i="1"/>
  <c r="H54" i="1"/>
  <c r="H55" i="1" s="1"/>
  <c r="H57" i="1"/>
  <c r="J43" i="1"/>
  <c r="J49" i="1"/>
  <c r="I43" i="1"/>
  <c r="I49" i="1"/>
  <c r="K38" i="1"/>
  <c r="L9" i="1"/>
  <c r="L33" i="1" s="1"/>
  <c r="L29" i="1"/>
  <c r="L30" i="1" s="1"/>
  <c r="L32" i="1" s="1"/>
  <c r="M65" i="1"/>
  <c r="L39" i="1"/>
  <c r="O16" i="1"/>
  <c r="O28" i="1" s="1"/>
  <c r="N28" i="1"/>
  <c r="N7" i="1"/>
  <c r="M12" i="1"/>
  <c r="M4" i="1"/>
  <c r="J44" i="1" l="1"/>
  <c r="J45" i="1"/>
  <c r="I44" i="1"/>
  <c r="I45" i="1" s="1"/>
  <c r="K41" i="1"/>
  <c r="K42" i="1" s="1"/>
  <c r="K47" i="1"/>
  <c r="I51" i="1"/>
  <c r="I48" i="1"/>
  <c r="J51" i="1"/>
  <c r="J48" i="1"/>
  <c r="L38" i="1"/>
  <c r="M9" i="1"/>
  <c r="M33" i="1" s="1"/>
  <c r="M29" i="1"/>
  <c r="M30" i="1" s="1"/>
  <c r="M32" i="1" s="1"/>
  <c r="N65" i="1"/>
  <c r="M39" i="1"/>
  <c r="O7" i="1"/>
  <c r="N12" i="1"/>
  <c r="N4" i="1"/>
  <c r="L41" i="1" l="1"/>
  <c r="L42" i="1" s="1"/>
  <c r="L47" i="1"/>
  <c r="I54" i="1"/>
  <c r="I55" i="1" s="1"/>
  <c r="I57" i="1"/>
  <c r="J54" i="1"/>
  <c r="J55" i="1" s="1"/>
  <c r="J57" i="1"/>
  <c r="K43" i="1"/>
  <c r="K49" i="1"/>
  <c r="M38" i="1"/>
  <c r="N9" i="1"/>
  <c r="N33" i="1" s="1"/>
  <c r="N29" i="1"/>
  <c r="N30" i="1" s="1"/>
  <c r="N32" i="1" s="1"/>
  <c r="O65" i="1"/>
  <c r="O39" i="1" s="1"/>
  <c r="N39" i="1"/>
  <c r="O12" i="1"/>
  <c r="O4" i="1"/>
  <c r="K44" i="1" l="1"/>
  <c r="K45" i="1"/>
  <c r="K51" i="1"/>
  <c r="K48" i="1"/>
  <c r="M41" i="1"/>
  <c r="M42" i="1" s="1"/>
  <c r="M47" i="1"/>
  <c r="L43" i="1"/>
  <c r="L49" i="1"/>
  <c r="O9" i="1"/>
  <c r="O33" i="1" s="1"/>
  <c r="O29" i="1"/>
  <c r="O30" i="1" s="1"/>
  <c r="O32" i="1" s="1"/>
  <c r="N38" i="1"/>
  <c r="L44" i="1" l="1"/>
  <c r="L45" i="1"/>
  <c r="N41" i="1"/>
  <c r="N47" i="1"/>
  <c r="L51" i="1"/>
  <c r="L48" i="1"/>
  <c r="M43" i="1"/>
  <c r="M49" i="1"/>
  <c r="K54" i="1"/>
  <c r="K55" i="1" s="1"/>
  <c r="K57" i="1"/>
  <c r="O38" i="1"/>
  <c r="N42" i="1"/>
  <c r="M44" i="1" l="1"/>
  <c r="M45" i="1"/>
  <c r="M51" i="1"/>
  <c r="M48" i="1"/>
  <c r="O41" i="1"/>
  <c r="O42" i="1" s="1"/>
  <c r="O47" i="1"/>
  <c r="L54" i="1"/>
  <c r="L55" i="1" s="1"/>
  <c r="L57" i="1"/>
  <c r="N43" i="1"/>
  <c r="N49" i="1"/>
  <c r="N44" i="1" l="1"/>
  <c r="N45" i="1" s="1"/>
  <c r="N51" i="1"/>
  <c r="N48" i="1"/>
  <c r="O43" i="1"/>
  <c r="O49" i="1"/>
  <c r="M54" i="1"/>
  <c r="M55" i="1" s="1"/>
  <c r="M57" i="1"/>
  <c r="O44" i="1" l="1"/>
  <c r="O45" i="1" s="1"/>
  <c r="O51" i="1"/>
  <c r="O48" i="1"/>
  <c r="N54" i="1"/>
  <c r="N55" i="1" s="1"/>
  <c r="N57" i="1"/>
  <c r="O54" i="1" l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CF55" i="1" s="1"/>
  <c r="CG55" i="1" s="1"/>
  <c r="CH55" i="1" s="1"/>
  <c r="CI55" i="1" s="1"/>
  <c r="CJ55" i="1" s="1"/>
  <c r="CK55" i="1" s="1"/>
  <c r="CL55" i="1" s="1"/>
  <c r="CM55" i="1" s="1"/>
  <c r="CN55" i="1" s="1"/>
  <c r="CO55" i="1" s="1"/>
  <c r="CP55" i="1" s="1"/>
  <c r="CQ55" i="1" s="1"/>
  <c r="CR55" i="1" s="1"/>
  <c r="CS55" i="1" s="1"/>
  <c r="CT55" i="1" s="1"/>
  <c r="CU55" i="1" s="1"/>
  <c r="CV55" i="1" s="1"/>
  <c r="CW55" i="1" s="1"/>
  <c r="CX55" i="1" s="1"/>
  <c r="CY55" i="1" s="1"/>
  <c r="CZ55" i="1" s="1"/>
  <c r="DA55" i="1" s="1"/>
  <c r="DB55" i="1" s="1"/>
  <c r="DC55" i="1" s="1"/>
  <c r="DD55" i="1" s="1"/>
  <c r="DE55" i="1" s="1"/>
  <c r="DF55" i="1" s="1"/>
  <c r="DG55" i="1" s="1"/>
  <c r="DH55" i="1" s="1"/>
  <c r="DI55" i="1" s="1"/>
  <c r="DJ55" i="1" s="1"/>
  <c r="DK55" i="1" s="1"/>
  <c r="DL55" i="1" s="1"/>
  <c r="DM55" i="1" s="1"/>
  <c r="DN55" i="1" s="1"/>
  <c r="DO55" i="1" s="1"/>
  <c r="DP55" i="1" s="1"/>
  <c r="DQ55" i="1" s="1"/>
  <c r="DR55" i="1" s="1"/>
  <c r="DS55" i="1" s="1"/>
  <c r="DT55" i="1" s="1"/>
  <c r="DU55" i="1" s="1"/>
  <c r="DV55" i="1" s="1"/>
  <c r="DW55" i="1" s="1"/>
  <c r="DX55" i="1" s="1"/>
  <c r="DY55" i="1" s="1"/>
  <c r="DZ55" i="1" s="1"/>
  <c r="EA55" i="1" s="1"/>
  <c r="EB55" i="1" s="1"/>
  <c r="EC55" i="1" s="1"/>
  <c r="ED55" i="1" s="1"/>
  <c r="EE55" i="1" s="1"/>
  <c r="EF55" i="1" s="1"/>
  <c r="EG55" i="1" s="1"/>
  <c r="EH55" i="1" s="1"/>
  <c r="EI55" i="1" s="1"/>
  <c r="EJ55" i="1" s="1"/>
  <c r="EK55" i="1" s="1"/>
  <c r="EL55" i="1" s="1"/>
  <c r="EM55" i="1" s="1"/>
  <c r="EN55" i="1" s="1"/>
  <c r="EO55" i="1" s="1"/>
  <c r="EP55" i="1" s="1"/>
  <c r="EQ55" i="1" s="1"/>
  <c r="ER55" i="1" s="1"/>
  <c r="ES55" i="1" s="1"/>
  <c r="ET55" i="1" s="1"/>
  <c r="EU55" i="1" s="1"/>
  <c r="EV55" i="1" s="1"/>
  <c r="EW55" i="1" s="1"/>
  <c r="EX55" i="1" s="1"/>
  <c r="EY55" i="1" s="1"/>
  <c r="EZ55" i="1" s="1"/>
  <c r="FA55" i="1" s="1"/>
  <c r="FB55" i="1" s="1"/>
  <c r="FC55" i="1" s="1"/>
  <c r="FD55" i="1" s="1"/>
  <c r="FE55" i="1" s="1"/>
  <c r="FF55" i="1" s="1"/>
  <c r="FG55" i="1" s="1"/>
  <c r="FH55" i="1" s="1"/>
  <c r="O57" i="1"/>
  <c r="E60" i="1" l="1"/>
  <c r="E61" i="1" s="1"/>
  <c r="D60" i="1"/>
  <c r="D61" i="1" s="1"/>
  <c r="E54" i="1"/>
  <c r="D54" i="1"/>
  <c r="F30" i="1"/>
  <c r="F32" i="1" s="1"/>
  <c r="F38" i="1" s="1"/>
  <c r="F47" i="1" s="1"/>
  <c r="E30" i="1"/>
  <c r="E32" i="1" s="1"/>
  <c r="E38" i="1" s="1"/>
  <c r="E47" i="1" s="1"/>
  <c r="D30" i="1"/>
  <c r="D32" i="1" s="1"/>
  <c r="D38" i="1" s="1"/>
  <c r="D47" i="1" s="1"/>
  <c r="E31" i="5"/>
  <c r="F31" i="5"/>
  <c r="E16" i="5"/>
  <c r="F16" i="5"/>
  <c r="D16" i="5"/>
  <c r="F11" i="5"/>
  <c r="E11" i="5"/>
  <c r="D11" i="5"/>
  <c r="F21" i="1"/>
  <c r="E21" i="1"/>
  <c r="D21" i="1"/>
  <c r="E4" i="1"/>
  <c r="D4" i="1"/>
  <c r="E9" i="1"/>
  <c r="D9" i="1"/>
  <c r="E2" i="1"/>
  <c r="D59" i="1" l="1"/>
  <c r="D55" i="1"/>
  <c r="E59" i="1"/>
  <c r="E55" i="1"/>
  <c r="D11" i="2"/>
  <c r="D12" i="2" s="1"/>
  <c r="F41" i="1"/>
  <c r="E41" i="1"/>
  <c r="D41" i="1"/>
  <c r="G60" i="1" l="1"/>
  <c r="G61" i="1" s="1"/>
  <c r="G59" i="1"/>
  <c r="F42" i="1"/>
  <c r="D43" i="1"/>
  <c r="D49" i="1"/>
  <c r="E43" i="1"/>
  <c r="E49" i="1"/>
  <c r="F43" i="1" l="1"/>
  <c r="F49" i="1"/>
  <c r="H60" i="1"/>
  <c r="H61" i="1" s="1"/>
  <c r="H59" i="1"/>
  <c r="E48" i="1"/>
  <c r="E45" i="1"/>
  <c r="D45" i="1"/>
  <c r="D48" i="1"/>
  <c r="F48" i="1" l="1"/>
  <c r="F44" i="1"/>
  <c r="F45" i="1" s="1"/>
  <c r="F51" i="1" s="1"/>
  <c r="I60" i="1"/>
  <c r="I61" i="1" s="1"/>
  <c r="I59" i="1"/>
  <c r="F57" i="1" l="1"/>
  <c r="F60" i="1" s="1"/>
  <c r="F61" i="1" s="1"/>
  <c r="F54" i="1"/>
  <c r="J60" i="1"/>
  <c r="J61" i="1" s="1"/>
  <c r="J59" i="1"/>
  <c r="F59" i="1" l="1"/>
  <c r="F55" i="1"/>
  <c r="R47" i="1" s="1"/>
  <c r="R49" i="1" s="1"/>
  <c r="R50" i="1" s="1"/>
  <c r="R51" i="1" s="1"/>
  <c r="K60" i="1"/>
  <c r="K61" i="1" s="1"/>
  <c r="K59" i="1"/>
  <c r="L60" i="1" l="1"/>
  <c r="L61" i="1" s="1"/>
  <c r="L59" i="1"/>
  <c r="M60" i="1" l="1"/>
  <c r="M61" i="1" s="1"/>
  <c r="M59" i="1"/>
  <c r="N60" i="1" l="1"/>
  <c r="N61" i="1" s="1"/>
  <c r="N59" i="1"/>
  <c r="O59" i="1" l="1"/>
  <c r="O60" i="1"/>
  <c r="O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4" authorId="0" shapeId="0" xr:uid="{861EB225-0595-42FE-AB5A-B14520388482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kboepd</t>
        </r>
      </text>
    </comment>
    <comment ref="B9" authorId="0" shapeId="0" xr:uid="{71CBD01E-9E87-4C13-8A73-FB833255BA2C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mmboe
</t>
        </r>
      </text>
    </comment>
    <comment ref="B19" authorId="0" shapeId="0" xr:uid="{AB34D580-B41D-42A6-840C-DD768E55C0F9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USD/boe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8" authorId="0" shapeId="0" xr:uid="{51B46E04-D11F-4D98-9841-4D076FFCB172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PPF / Greater Ekofisk “Previously Produced Fields” (gas + condensate) – online Q4 2028
Castberg Isflak tie-in – online Q4 2028
Goliat Ridge / Zagato tie-back – targeted 2029
Fram Sør – online end-2029, 75% oil / 25% gas, peak ~20 kboepd net to Vår</t>
        </r>
      </text>
    </comment>
    <comment ref="B12" authorId="0" shapeId="0" xr:uid="{D3E37823-E095-43CD-BA31-051ADA47491F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life to 2045+</t>
        </r>
      </text>
    </comment>
    <comment ref="B41" authorId="0" shapeId="0" xr:uid="{BB3D548B-48EA-40CB-90E9-EDF61A1CA5F7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Per mill. Exp. Hours
</t>
        </r>
      </text>
    </comment>
    <comment ref="B43" authorId="0" shapeId="0" xr:uid="{1A1DA5C6-71F8-4FE5-A411-59911E893F45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kg CO2/boe
</t>
        </r>
      </text>
    </comment>
  </commentList>
</comments>
</file>

<file path=xl/sharedStrings.xml><?xml version="1.0" encoding="utf-8"?>
<sst xmlns="http://schemas.openxmlformats.org/spreadsheetml/2006/main" count="134" uniqueCount="98">
  <si>
    <t>Production</t>
  </si>
  <si>
    <t>Oil</t>
  </si>
  <si>
    <t>Gas</t>
  </si>
  <si>
    <t>NGL</t>
  </si>
  <si>
    <t>Sales</t>
  </si>
  <si>
    <t>Realized Price</t>
  </si>
  <si>
    <t>Production Cost</t>
  </si>
  <si>
    <t>Dividend</t>
  </si>
  <si>
    <t>Price</t>
  </si>
  <si>
    <t>Shares</t>
  </si>
  <si>
    <t>MC</t>
  </si>
  <si>
    <t>Net Cash</t>
  </si>
  <si>
    <t>EV</t>
  </si>
  <si>
    <t>Dividend pS</t>
  </si>
  <si>
    <t>Q125</t>
  </si>
  <si>
    <t>Q225</t>
  </si>
  <si>
    <t>Q325</t>
  </si>
  <si>
    <t>Q425</t>
  </si>
  <si>
    <t>Dev. CapEx</t>
  </si>
  <si>
    <t>Exp. CapEx</t>
  </si>
  <si>
    <t>Balder Area</t>
  </si>
  <si>
    <t>North Sea</t>
  </si>
  <si>
    <t>Norwegian Sea</t>
  </si>
  <si>
    <t>Balder/Ringhorne</t>
  </si>
  <si>
    <t>Grane/Svalin</t>
  </si>
  <si>
    <t>Breidablikk</t>
  </si>
  <si>
    <t>Barents Sea</t>
  </si>
  <si>
    <t>Goliat</t>
  </si>
  <si>
    <t>Johan Castberg</t>
  </si>
  <si>
    <t>Snohvit</t>
  </si>
  <si>
    <t>Ekofisk Area</t>
  </si>
  <si>
    <t>Snorre</t>
  </si>
  <si>
    <t>Gjoa Area</t>
  </si>
  <si>
    <t>Gudrun</t>
  </si>
  <si>
    <t>Statfjord Area</t>
  </si>
  <si>
    <t>Fram</t>
  </si>
  <si>
    <t>Sleipner Area</t>
  </si>
  <si>
    <t>Other</t>
  </si>
  <si>
    <t>Asgard Area</t>
  </si>
  <si>
    <t>Mikkel</t>
  </si>
  <si>
    <t>Tyrihans</t>
  </si>
  <si>
    <t>Halten Ost</t>
  </si>
  <si>
    <t>Orman Lange</t>
  </si>
  <si>
    <t>Fenja</t>
  </si>
  <si>
    <t>Njord Area</t>
  </si>
  <si>
    <t>Total Injury 12M</t>
  </si>
  <si>
    <t>Serious Incident</t>
  </si>
  <si>
    <t>CO2 emissions</t>
  </si>
  <si>
    <t>Petro Revenue</t>
  </si>
  <si>
    <t>Other Income</t>
  </si>
  <si>
    <t>Total Revenue</t>
  </si>
  <si>
    <t>Exploration Cost</t>
  </si>
  <si>
    <t>D&amp;A</t>
  </si>
  <si>
    <t>Other expenses</t>
  </si>
  <si>
    <t>Operating Income</t>
  </si>
  <si>
    <t>Net Finance</t>
  </si>
  <si>
    <t>Net exchange</t>
  </si>
  <si>
    <t>Pretax</t>
  </si>
  <si>
    <t>Taxes</t>
  </si>
  <si>
    <t>Net Income</t>
  </si>
  <si>
    <t>Impairment, net</t>
  </si>
  <si>
    <t>Hybrid Capital Div.</t>
  </si>
  <si>
    <t>Shareholder</t>
  </si>
  <si>
    <t>Operating Margin</t>
  </si>
  <si>
    <t>Net Income Margin</t>
  </si>
  <si>
    <t>CFFO</t>
  </si>
  <si>
    <t>FCF</t>
  </si>
  <si>
    <t>Maint. CapEx</t>
  </si>
  <si>
    <t>Dividends Paid</t>
  </si>
  <si>
    <t>Per Share</t>
  </si>
  <si>
    <t>Yield</t>
  </si>
  <si>
    <t>USD</t>
  </si>
  <si>
    <t>Price USD</t>
  </si>
  <si>
    <t>FY25</t>
  </si>
  <si>
    <t>Cash</t>
  </si>
  <si>
    <t>PP&amp;E</t>
  </si>
  <si>
    <t>Debt</t>
  </si>
  <si>
    <t>NAV</t>
  </si>
  <si>
    <t>Mix</t>
  </si>
  <si>
    <t>Total</t>
  </si>
  <si>
    <t>kboepd</t>
  </si>
  <si>
    <t>Total Oil</t>
  </si>
  <si>
    <t>Total Gas</t>
  </si>
  <si>
    <t>new Oil</t>
  </si>
  <si>
    <t>new Gas</t>
  </si>
  <si>
    <t>Cost of Debt</t>
  </si>
  <si>
    <t>Ratio</t>
  </si>
  <si>
    <t>Dividend Policy</t>
  </si>
  <si>
    <t>Discount</t>
  </si>
  <si>
    <t>Terminal</t>
  </si>
  <si>
    <t>NPV</t>
  </si>
  <si>
    <t>Value</t>
  </si>
  <si>
    <t>FCFF</t>
  </si>
  <si>
    <t>Upside</t>
  </si>
  <si>
    <t>EV/FCF</t>
  </si>
  <si>
    <t>FCF Yield</t>
  </si>
  <si>
    <t>Div Yield</t>
  </si>
  <si>
    <t>Fwd 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</si>
</sst>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%"/>
    <numFmt numFmtId="167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164" fontId="0" fillId="0" borderId="0" xfId="0" applyNumberFormat="1"/>
    <xf numFmtId="4" fontId="0" fillId="0" borderId="0" xfId="0" applyNumberFormat="1"/>
    <xf numFmtId="9" fontId="0" fillId="0" borderId="0" xfId="1" applyFont="1"/>
    <xf numFmtId="2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" fontId="0" fillId="0" borderId="0" xfId="0" applyNumberFormat="1"/>
    <xf numFmtId="1" fontId="2" fillId="0" borderId="0" xfId="0" applyNumberFormat="1" applyFont="1"/>
    <xf numFmtId="167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Production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57-459A-A36C-21AABA7C56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57-459A-A36C-21AABA7C56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57-459A-A36C-21AABA7C5668}"/>
              </c:ext>
            </c:extLst>
          </c:dPt>
          <c:cat>
            <c:strRef>
              <c:f>Model!$B$5:$B$7</c:f>
              <c:strCache>
                <c:ptCount val="3"/>
                <c:pt idx="0">
                  <c:v>Oil</c:v>
                </c:pt>
                <c:pt idx="1">
                  <c:v>Gas</c:v>
                </c:pt>
                <c:pt idx="2">
                  <c:v>NGL</c:v>
                </c:pt>
              </c:strCache>
            </c:strRef>
          </c:cat>
          <c:val>
            <c:numRef>
              <c:f>Model!$E$5:$E$7</c:f>
              <c:numCache>
                <c:formatCode>#,##0</c:formatCode>
                <c:ptCount val="3"/>
                <c:pt idx="0">
                  <c:v>214</c:v>
                </c:pt>
                <c:pt idx="1">
                  <c:v>101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57-459A-A36C-21AABA7C5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604157</xdr:colOff>
      <xdr:row>2</xdr:row>
      <xdr:rowOff>185487</xdr:rowOff>
    </xdr:from>
    <xdr:to>
      <xdr:col>4</xdr:col>
      <xdr:colOff>609170</xdr:colOff>
      <xdr:row>66</xdr:row>
      <xdr:rowOff>10026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8BD144A-47FD-A96E-C324-108442ED0C4E}"/>
            </a:ext>
          </a:extLst>
        </xdr:cNvPr>
        <xdr:cNvCxnSpPr/>
      </xdr:nvCxnSpPr>
      <xdr:spPr>
        <a:xfrm flipH="1">
          <a:off x="4365171" y="566487"/>
          <a:ext cx="5013" cy="120165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5953</xdr:colOff>
      <xdr:row>9</xdr:row>
      <xdr:rowOff>107157</xdr:rowOff>
    </xdr:from>
    <xdr:to>
      <xdr:col>7</xdr:col>
      <xdr:colOff>11904</xdr:colOff>
      <xdr:row>39</xdr:row>
      <xdr:rowOff>59531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AF87EB7-078B-0896-97E7-9B7C8F841A1A}"/>
            </a:ext>
          </a:extLst>
        </xdr:cNvPr>
        <xdr:cNvCxnSpPr/>
      </xdr:nvCxnSpPr>
      <xdr:spPr>
        <a:xfrm flipH="1">
          <a:off x="4441031" y="1250157"/>
          <a:ext cx="5951" cy="56673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136922</xdr:colOff>
      <xdr:row>0</xdr:row>
      <xdr:rowOff>178594</xdr:rowOff>
    </xdr:from>
    <xdr:to>
      <xdr:col>8</xdr:col>
      <xdr:colOff>23813</xdr:colOff>
      <xdr:row>11</xdr:row>
      <xdr:rowOff>172641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FE0DE8-33EE-4E92-99D5-C733182A5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97682</xdr:colOff>
      <xdr:row>44</xdr:row>
      <xdr:rowOff>18000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7EE0F-07C2-4EEC-A3AA-787ADE584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2882" cy="840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ckut\Desktop\Stonks\Portfolio\Portfolio.xlsx" TargetMode="External"/><Relationship Id="rId1" Type="http://schemas.openxmlformats.org/officeDocument/2006/relationships/externalLinkPath" Target="/Users/mckut/Desktop/Stonks/Portfolio/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Equity Portfolio"/>
      <sheetName val="Bond Portfolio"/>
      <sheetName val="Yields"/>
      <sheetName val="Track Record"/>
      <sheetName val="2024"/>
      <sheetName val="2025"/>
      <sheetName val="Portfolio"/>
    </sheetNames>
    <definedNames>
      <definedName name="EURNOK" refersTo="='Summary'!$G$7"/>
      <definedName name="EURUSD" refersTo="='Summary'!$G$4"/>
    </definedNames>
    <sheetDataSet>
      <sheetData sheetId="0">
        <row r="4">
          <cell r="G4">
            <v>1.1771630048751831</v>
          </cell>
        </row>
        <row r="7">
          <cell r="G7">
            <v>11.25454044342041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EA0D-989F-4FFC-B1F7-46C550470660}">
  <dimension ref="C4:F18"/>
  <sheetViews>
    <sheetView zoomScale="190" zoomScaleNormal="190" workbookViewId="0">
      <selection activeCell="D5" sqref="D5"/>
    </sheetView>
  </sheetViews>
  <sheetFormatPr defaultRowHeight="15" x14ac:dyDescent="0.25"/>
  <cols>
    <col min="4" max="6" width="9.140625" style="2"/>
  </cols>
  <sheetData>
    <row r="4" spans="3:5" x14ac:dyDescent="0.25">
      <c r="C4" t="s">
        <v>8</v>
      </c>
      <c r="D4" s="2">
        <v>34.299999999999997</v>
      </c>
    </row>
    <row r="5" spans="3:5" x14ac:dyDescent="0.25">
      <c r="C5" t="s">
        <v>72</v>
      </c>
      <c r="D5" s="5">
        <f>+(D4/[1]!EURNOK)*[1]!EURUSD</f>
        <v>3.5875912721806116</v>
      </c>
    </row>
    <row r="6" spans="3:5" x14ac:dyDescent="0.25">
      <c r="C6" t="s">
        <v>9</v>
      </c>
      <c r="D6" s="2">
        <v>2496.406246</v>
      </c>
    </row>
    <row r="7" spans="3:5" x14ac:dyDescent="0.25">
      <c r="C7" t="s">
        <v>10</v>
      </c>
      <c r="D7" s="2">
        <f>+D5*D6</f>
        <v>8956.0852599667651</v>
      </c>
    </row>
    <row r="8" spans="3:5" x14ac:dyDescent="0.25">
      <c r="C8" t="s">
        <v>11</v>
      </c>
      <c r="D8" s="2">
        <f>+Model!R48</f>
        <v>-5242.0000000000009</v>
      </c>
      <c r="E8" s="2" t="s">
        <v>73</v>
      </c>
    </row>
    <row r="9" spans="3:5" x14ac:dyDescent="0.25">
      <c r="C9" t="s">
        <v>12</v>
      </c>
      <c r="D9" s="2">
        <f>+D7-D8</f>
        <v>14198.085259966767</v>
      </c>
    </row>
    <row r="11" spans="3:5" x14ac:dyDescent="0.25">
      <c r="C11" t="s">
        <v>94</v>
      </c>
      <c r="D11" s="4">
        <f>+D9/Model!E54</f>
        <v>7.9434291484652375</v>
      </c>
    </row>
    <row r="12" spans="3:5" x14ac:dyDescent="0.25">
      <c r="C12" t="s">
        <v>95</v>
      </c>
      <c r="D12" s="9">
        <f>1/D11</f>
        <v>0.1258902145798344</v>
      </c>
    </row>
    <row r="14" spans="3:5" x14ac:dyDescent="0.25">
      <c r="C14" t="s">
        <v>97</v>
      </c>
      <c r="D14" s="13">
        <f>1.21*4</f>
        <v>4.84</v>
      </c>
    </row>
    <row r="15" spans="3:5" x14ac:dyDescent="0.25">
      <c r="C15" t="s">
        <v>96</v>
      </c>
      <c r="D15" s="9">
        <f>+D14/D4</f>
        <v>0.14110787172011663</v>
      </c>
    </row>
    <row r="18" spans="4:4" x14ac:dyDescent="0.25">
      <c r="D1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53EA-E4C7-46EE-BAFD-108FE62E31B5}">
  <dimension ref="A1:FL167"/>
  <sheetViews>
    <sheetView tabSelected="1" zoomScale="175" zoomScaleNormal="175" workbookViewId="0">
      <pane xSplit="2" ySplit="2" topLeftCell="I41" activePane="bottomRight" state="frozen"/>
      <selection pane="topRight" activeCell="C1" sqref="C1"/>
      <selection pane="bottomLeft" activeCell="A3" sqref="A3"/>
      <selection pane="bottomRight" activeCell="R50" sqref="R50"/>
    </sheetView>
  </sheetViews>
  <sheetFormatPr defaultRowHeight="15" x14ac:dyDescent="0.25"/>
  <cols>
    <col min="1" max="1" width="2.85546875" customWidth="1"/>
    <col min="2" max="2" width="17" bestFit="1" customWidth="1"/>
  </cols>
  <sheetData>
    <row r="1" spans="1:15" x14ac:dyDescent="0.25">
      <c r="A1" t="s">
        <v>71</v>
      </c>
    </row>
    <row r="2" spans="1:15" x14ac:dyDescent="0.25">
      <c r="D2">
        <v>2024</v>
      </c>
      <c r="E2">
        <f>+D2+1</f>
        <v>2025</v>
      </c>
      <c r="F2">
        <v>2026</v>
      </c>
      <c r="G2">
        <f>+F2+1</f>
        <v>2027</v>
      </c>
      <c r="H2">
        <f t="shared" ref="H2:O2" si="0">+G2+1</f>
        <v>2028</v>
      </c>
      <c r="I2">
        <f t="shared" si="0"/>
        <v>2029</v>
      </c>
      <c r="J2">
        <f t="shared" si="0"/>
        <v>2030</v>
      </c>
      <c r="K2">
        <f t="shared" si="0"/>
        <v>2031</v>
      </c>
      <c r="L2">
        <f t="shared" si="0"/>
        <v>2032</v>
      </c>
      <c r="M2">
        <f t="shared" si="0"/>
        <v>2033</v>
      </c>
      <c r="N2">
        <f t="shared" si="0"/>
        <v>2034</v>
      </c>
      <c r="O2">
        <f t="shared" si="0"/>
        <v>2035</v>
      </c>
    </row>
    <row r="3" spans="1:15" s="2" customFormat="1" x14ac:dyDescent="0.25"/>
    <row r="4" spans="1:15" s="3" customFormat="1" x14ac:dyDescent="0.25">
      <c r="B4" s="3" t="s">
        <v>0</v>
      </c>
      <c r="D4" s="3">
        <f>+SUM(D5:D7)</f>
        <v>280</v>
      </c>
      <c r="E4" s="3">
        <f>+SUM(E5:E7)</f>
        <v>333</v>
      </c>
      <c r="F4" s="3">
        <f>+F5+F6+F7</f>
        <v>437.5</v>
      </c>
      <c r="G4" s="3">
        <f t="shared" ref="G4:O4" si="1">+G5+G6+G7</f>
        <v>436.5</v>
      </c>
      <c r="H4" s="3">
        <f t="shared" si="1"/>
        <v>422</v>
      </c>
      <c r="I4" s="3">
        <f t="shared" si="1"/>
        <v>416.5</v>
      </c>
      <c r="J4" s="3">
        <f t="shared" si="1"/>
        <v>400.29999999999995</v>
      </c>
      <c r="K4" s="3">
        <f t="shared" si="1"/>
        <v>373.9</v>
      </c>
      <c r="L4" s="3">
        <f t="shared" si="1"/>
        <v>359</v>
      </c>
      <c r="M4" s="3">
        <f t="shared" si="1"/>
        <v>323.10000000000002</v>
      </c>
      <c r="N4" s="3">
        <f t="shared" si="1"/>
        <v>297.2</v>
      </c>
      <c r="O4" s="3">
        <f t="shared" si="1"/>
        <v>271.8</v>
      </c>
    </row>
    <row r="5" spans="1:15" s="2" customFormat="1" x14ac:dyDescent="0.25">
      <c r="B5" s="2" t="s">
        <v>1</v>
      </c>
      <c r="D5" s="2">
        <v>161</v>
      </c>
      <c r="E5" s="2">
        <v>214</v>
      </c>
      <c r="F5" s="2">
        <f>+'Detailed Production'!H5</f>
        <v>282.5</v>
      </c>
      <c r="G5" s="2">
        <f>+'Detailed Production'!I5</f>
        <v>283</v>
      </c>
      <c r="H5" s="2">
        <f>+'Detailed Production'!J5</f>
        <v>274.75</v>
      </c>
      <c r="I5" s="2">
        <f>+'Detailed Production'!K5</f>
        <v>275.5</v>
      </c>
      <c r="J5" s="2">
        <f>+'Detailed Production'!L5</f>
        <v>267.14999999999998</v>
      </c>
      <c r="K5" s="2">
        <f>+'Detailed Production'!M5</f>
        <v>250.8</v>
      </c>
      <c r="L5" s="2">
        <f>+'Detailed Production'!N5</f>
        <v>245.45</v>
      </c>
      <c r="M5" s="2">
        <f>+'Detailed Production'!O5</f>
        <v>219.1</v>
      </c>
      <c r="N5" s="2">
        <f>+'Detailed Production'!P5</f>
        <v>202.75</v>
      </c>
      <c r="O5" s="2">
        <f>+'Detailed Production'!Q5</f>
        <v>186.65</v>
      </c>
    </row>
    <row r="6" spans="1:15" s="2" customFormat="1" x14ac:dyDescent="0.25">
      <c r="B6" s="2" t="s">
        <v>2</v>
      </c>
      <c r="D6" s="2">
        <v>100</v>
      </c>
      <c r="E6" s="2">
        <v>101</v>
      </c>
      <c r="F6" s="2">
        <f>+'Detailed Production'!H6</f>
        <v>137.5</v>
      </c>
      <c r="G6" s="2">
        <f>+'Detailed Production'!I6</f>
        <v>136.5</v>
      </c>
      <c r="H6" s="2">
        <f>+'Detailed Production'!J6</f>
        <v>130.75</v>
      </c>
      <c r="I6" s="2">
        <f>+'Detailed Production'!K6</f>
        <v>125</v>
      </c>
      <c r="J6" s="2">
        <f>+'Detailed Production'!L6</f>
        <v>117.65</v>
      </c>
      <c r="K6" s="2">
        <f>+'Detailed Production'!M6</f>
        <v>108.1</v>
      </c>
      <c r="L6" s="2">
        <f>+'Detailed Production'!N6</f>
        <v>99.05</v>
      </c>
      <c r="M6" s="2">
        <f>+'Detailed Production'!O6</f>
        <v>90</v>
      </c>
      <c r="N6" s="2">
        <f>+'Detailed Production'!P6</f>
        <v>80.95</v>
      </c>
      <c r="O6" s="2">
        <f>+'Detailed Production'!Q6</f>
        <v>72.150000000000006</v>
      </c>
    </row>
    <row r="7" spans="1:15" s="2" customFormat="1" x14ac:dyDescent="0.25">
      <c r="B7" s="2" t="s">
        <v>3</v>
      </c>
      <c r="D7" s="2">
        <v>19</v>
      </c>
      <c r="E7" s="2">
        <v>18</v>
      </c>
      <c r="F7" s="2">
        <f>+E7-0.5</f>
        <v>17.5</v>
      </c>
      <c r="G7" s="2">
        <f t="shared" ref="G7:O7" si="2">+F7-0.5</f>
        <v>17</v>
      </c>
      <c r="H7" s="2">
        <f t="shared" si="2"/>
        <v>16.5</v>
      </c>
      <c r="I7" s="2">
        <f t="shared" si="2"/>
        <v>16</v>
      </c>
      <c r="J7" s="2">
        <f t="shared" si="2"/>
        <v>15.5</v>
      </c>
      <c r="K7" s="2">
        <f t="shared" si="2"/>
        <v>15</v>
      </c>
      <c r="L7" s="2">
        <f t="shared" si="2"/>
        <v>14.5</v>
      </c>
      <c r="M7" s="2">
        <f t="shared" si="2"/>
        <v>14</v>
      </c>
      <c r="N7" s="2">
        <f t="shared" si="2"/>
        <v>13.5</v>
      </c>
      <c r="O7" s="2">
        <f t="shared" si="2"/>
        <v>13</v>
      </c>
    </row>
    <row r="8" spans="1:15" s="2" customFormat="1" x14ac:dyDescent="0.25"/>
    <row r="9" spans="1:15" s="3" customFormat="1" x14ac:dyDescent="0.25">
      <c r="B9" s="3" t="s">
        <v>4</v>
      </c>
      <c r="D9" s="3">
        <f>+SUM(D10:D12)</f>
        <v>97.699999999999989</v>
      </c>
      <c r="E9" s="3">
        <f>+SUM(E10:E12)</f>
        <v>116.1</v>
      </c>
      <c r="F9" s="3">
        <f>+SUM(F10:F12)</f>
        <v>149.91249999999999</v>
      </c>
      <c r="G9" s="3">
        <f t="shared" ref="G9:O9" si="3">+SUM(G10:G12)</f>
        <v>149.6045</v>
      </c>
      <c r="H9" s="3">
        <f t="shared" si="3"/>
        <v>144.65224999999998</v>
      </c>
      <c r="I9" s="3">
        <f t="shared" si="3"/>
        <v>142.85000000000002</v>
      </c>
      <c r="J9" s="3">
        <f t="shared" si="3"/>
        <v>137.32995</v>
      </c>
      <c r="K9" s="3">
        <f t="shared" si="3"/>
        <v>128.2773</v>
      </c>
      <c r="L9" s="3">
        <f t="shared" si="3"/>
        <v>123.24114999999998</v>
      </c>
      <c r="M9" s="3">
        <f t="shared" si="3"/>
        <v>110.85499999999999</v>
      </c>
      <c r="N9" s="3">
        <f t="shared" si="3"/>
        <v>101.96884999999999</v>
      </c>
      <c r="O9" s="3">
        <f t="shared" si="3"/>
        <v>93.253450000000015</v>
      </c>
    </row>
    <row r="10" spans="1:15" s="2" customFormat="1" x14ac:dyDescent="0.25">
      <c r="B10" s="2" t="s">
        <v>1</v>
      </c>
      <c r="D10" s="2">
        <v>56.3</v>
      </c>
      <c r="E10" s="2">
        <v>77.3</v>
      </c>
      <c r="F10" s="2">
        <f>+F5*0.35</f>
        <v>98.875</v>
      </c>
      <c r="G10" s="2">
        <f t="shared" ref="G10:O10" si="4">+G5*0.35</f>
        <v>99.05</v>
      </c>
      <c r="H10" s="2">
        <f t="shared" si="4"/>
        <v>96.162499999999994</v>
      </c>
      <c r="I10" s="2">
        <f t="shared" si="4"/>
        <v>96.424999999999997</v>
      </c>
      <c r="J10" s="2">
        <f t="shared" si="4"/>
        <v>93.502499999999984</v>
      </c>
      <c r="K10" s="2">
        <f t="shared" si="4"/>
        <v>87.78</v>
      </c>
      <c r="L10" s="2">
        <f t="shared" si="4"/>
        <v>85.907499999999985</v>
      </c>
      <c r="M10" s="2">
        <f t="shared" si="4"/>
        <v>76.684999999999988</v>
      </c>
      <c r="N10" s="2">
        <f t="shared" si="4"/>
        <v>70.962499999999991</v>
      </c>
      <c r="O10" s="2">
        <f t="shared" si="4"/>
        <v>65.327500000000001</v>
      </c>
    </row>
    <row r="11" spans="1:15" s="2" customFormat="1" x14ac:dyDescent="0.25">
      <c r="B11" s="2" t="s">
        <v>2</v>
      </c>
      <c r="D11" s="2">
        <v>33.4</v>
      </c>
      <c r="E11" s="2">
        <v>33.4</v>
      </c>
      <c r="F11" s="2">
        <f>+F6*0.333</f>
        <v>45.787500000000001</v>
      </c>
      <c r="G11" s="2">
        <f t="shared" ref="G11:O11" si="5">+G6*0.333</f>
        <v>45.454500000000003</v>
      </c>
      <c r="H11" s="2">
        <f t="shared" si="5"/>
        <v>43.539750000000005</v>
      </c>
      <c r="I11" s="2">
        <f t="shared" si="5"/>
        <v>41.625</v>
      </c>
      <c r="J11" s="2">
        <f t="shared" si="5"/>
        <v>39.177450000000007</v>
      </c>
      <c r="K11" s="2">
        <f t="shared" si="5"/>
        <v>35.997300000000003</v>
      </c>
      <c r="L11" s="2">
        <f t="shared" si="5"/>
        <v>32.983650000000004</v>
      </c>
      <c r="M11" s="2">
        <f t="shared" si="5"/>
        <v>29.970000000000002</v>
      </c>
      <c r="N11" s="2">
        <f t="shared" si="5"/>
        <v>26.956350000000004</v>
      </c>
      <c r="O11" s="2">
        <f t="shared" si="5"/>
        <v>24.025950000000002</v>
      </c>
    </row>
    <row r="12" spans="1:15" s="2" customFormat="1" x14ac:dyDescent="0.25">
      <c r="B12" s="2" t="s">
        <v>3</v>
      </c>
      <c r="D12" s="2">
        <v>8</v>
      </c>
      <c r="E12" s="2">
        <v>5.4</v>
      </c>
      <c r="F12" s="2">
        <f>+F7*0.3</f>
        <v>5.25</v>
      </c>
      <c r="G12" s="2">
        <f t="shared" ref="G12:O12" si="6">+G7*0.3</f>
        <v>5.0999999999999996</v>
      </c>
      <c r="H12" s="2">
        <f t="shared" si="6"/>
        <v>4.95</v>
      </c>
      <c r="I12" s="2">
        <f t="shared" si="6"/>
        <v>4.8</v>
      </c>
      <c r="J12" s="2">
        <f t="shared" si="6"/>
        <v>4.6499999999999995</v>
      </c>
      <c r="K12" s="2">
        <f t="shared" si="6"/>
        <v>4.5</v>
      </c>
      <c r="L12" s="2">
        <f t="shared" si="6"/>
        <v>4.3499999999999996</v>
      </c>
      <c r="M12" s="2">
        <f t="shared" si="6"/>
        <v>4.2</v>
      </c>
      <c r="N12" s="2">
        <f t="shared" si="6"/>
        <v>4.05</v>
      </c>
      <c r="O12" s="2">
        <f t="shared" si="6"/>
        <v>3.9</v>
      </c>
    </row>
    <row r="13" spans="1:15" s="2" customFormat="1" x14ac:dyDescent="0.25">
      <c r="D13" s="12"/>
      <c r="E13" s="12"/>
    </row>
    <row r="14" spans="1:15" s="3" customFormat="1" x14ac:dyDescent="0.25">
      <c r="B14" s="3" t="s">
        <v>5</v>
      </c>
    </row>
    <row r="15" spans="1:15" s="2" customFormat="1" x14ac:dyDescent="0.25">
      <c r="B15" s="2" t="s">
        <v>1</v>
      </c>
      <c r="D15" s="2">
        <v>81</v>
      </c>
      <c r="E15" s="2">
        <v>68.3</v>
      </c>
      <c r="F15" s="2">
        <v>70</v>
      </c>
      <c r="G15" s="2">
        <v>72</v>
      </c>
      <c r="H15" s="2">
        <v>75</v>
      </c>
      <c r="I15" s="2">
        <v>78</v>
      </c>
      <c r="J15" s="2">
        <v>80</v>
      </c>
      <c r="K15" s="2">
        <f>+J15*1.02</f>
        <v>81.599999999999994</v>
      </c>
      <c r="L15" s="2">
        <f t="shared" ref="L15:O15" si="7">+K15*1.02</f>
        <v>83.231999999999999</v>
      </c>
      <c r="M15" s="2">
        <f t="shared" si="7"/>
        <v>84.896640000000005</v>
      </c>
      <c r="N15" s="2">
        <f t="shared" si="7"/>
        <v>86.594572800000009</v>
      </c>
      <c r="O15" s="2">
        <f t="shared" si="7"/>
        <v>88.326464256000008</v>
      </c>
    </row>
    <row r="16" spans="1:15" s="2" customFormat="1" x14ac:dyDescent="0.25">
      <c r="B16" s="2" t="s">
        <v>2</v>
      </c>
      <c r="D16" s="2">
        <v>72.599999999999994</v>
      </c>
      <c r="E16" s="2">
        <v>74.7</v>
      </c>
      <c r="F16" s="2">
        <f>+E16*1.02</f>
        <v>76.194000000000003</v>
      </c>
      <c r="G16" s="2">
        <f t="shared" ref="G16:O16" si="8">+F16*1.02</f>
        <v>77.717880000000008</v>
      </c>
      <c r="H16" s="2">
        <f t="shared" si="8"/>
        <v>79.272237600000011</v>
      </c>
      <c r="I16" s="2">
        <f t="shared" si="8"/>
        <v>80.857682352000012</v>
      </c>
      <c r="J16" s="2">
        <f t="shared" si="8"/>
        <v>82.47483599904001</v>
      </c>
      <c r="K16" s="2">
        <f t="shared" si="8"/>
        <v>84.124332719020813</v>
      </c>
      <c r="L16" s="2">
        <f t="shared" si="8"/>
        <v>85.806819373401225</v>
      </c>
      <c r="M16" s="2">
        <f t="shared" si="8"/>
        <v>87.522955760869252</v>
      </c>
      <c r="N16" s="2">
        <f t="shared" si="8"/>
        <v>89.273414876086633</v>
      </c>
      <c r="O16" s="2">
        <f t="shared" si="8"/>
        <v>91.058883173608365</v>
      </c>
    </row>
    <row r="17" spans="2:15" s="2" customFormat="1" x14ac:dyDescent="0.25">
      <c r="B17" s="2" t="s">
        <v>3</v>
      </c>
      <c r="D17" s="2">
        <v>47.3</v>
      </c>
      <c r="E17" s="2">
        <v>43.3</v>
      </c>
      <c r="F17" s="2">
        <v>40</v>
      </c>
      <c r="G17" s="2">
        <v>40</v>
      </c>
      <c r="H17" s="2">
        <v>40</v>
      </c>
      <c r="I17" s="2">
        <v>40</v>
      </c>
      <c r="J17" s="2">
        <v>40</v>
      </c>
      <c r="K17" s="2">
        <v>40</v>
      </c>
      <c r="L17" s="2">
        <v>40</v>
      </c>
      <c r="M17" s="2">
        <v>40</v>
      </c>
      <c r="N17" s="2">
        <v>40</v>
      </c>
      <c r="O17" s="2">
        <v>40</v>
      </c>
    </row>
    <row r="18" spans="2:15" s="2" customFormat="1" x14ac:dyDescent="0.25"/>
    <row r="19" spans="2:15" s="2" customFormat="1" x14ac:dyDescent="0.25">
      <c r="B19" s="2" t="s">
        <v>6</v>
      </c>
      <c r="D19" s="2">
        <v>12.8</v>
      </c>
      <c r="E19" s="2">
        <v>11.1</v>
      </c>
      <c r="F19" s="2">
        <v>10</v>
      </c>
      <c r="G19" s="2">
        <f>+F19*1.05</f>
        <v>10.5</v>
      </c>
      <c r="H19" s="2">
        <f t="shared" ref="H19:O19" si="9">+G19*1.05</f>
        <v>11.025</v>
      </c>
      <c r="I19" s="2">
        <f t="shared" si="9"/>
        <v>11.576250000000002</v>
      </c>
      <c r="J19" s="2">
        <f t="shared" si="9"/>
        <v>12.155062500000001</v>
      </c>
      <c r="K19" s="2">
        <f t="shared" si="9"/>
        <v>12.762815625000002</v>
      </c>
      <c r="L19" s="2">
        <f t="shared" si="9"/>
        <v>13.400956406250003</v>
      </c>
      <c r="M19" s="2">
        <f t="shared" si="9"/>
        <v>14.071004226562504</v>
      </c>
      <c r="N19" s="2">
        <f t="shared" si="9"/>
        <v>14.774554437890631</v>
      </c>
      <c r="O19" s="2">
        <f t="shared" si="9"/>
        <v>15.513282159785163</v>
      </c>
    </row>
    <row r="20" spans="2:15" s="5" customFormat="1" x14ac:dyDescent="0.25">
      <c r="B20" s="5" t="s">
        <v>13</v>
      </c>
      <c r="D20" s="5">
        <v>0.43</v>
      </c>
      <c r="E20" s="5">
        <v>0.47</v>
      </c>
    </row>
    <row r="21" spans="2:15" s="2" customFormat="1" x14ac:dyDescent="0.25">
      <c r="B21" s="2" t="s">
        <v>7</v>
      </c>
      <c r="D21" s="2">
        <f>+D20*main!$D$6</f>
        <v>1073.4546857800001</v>
      </c>
      <c r="E21" s="2">
        <f>+E20*main!$D$6</f>
        <v>1173.31093562</v>
      </c>
      <c r="F21" s="2">
        <f>300*4</f>
        <v>1200</v>
      </c>
    </row>
    <row r="22" spans="2:15" s="2" customFormat="1" x14ac:dyDescent="0.25"/>
    <row r="23" spans="2:15" s="2" customFormat="1" x14ac:dyDescent="0.25">
      <c r="B23" s="2" t="s">
        <v>18</v>
      </c>
      <c r="F23" s="2">
        <v>2600</v>
      </c>
    </row>
    <row r="24" spans="2:15" s="2" customFormat="1" x14ac:dyDescent="0.25">
      <c r="B24" s="2" t="s">
        <v>19</v>
      </c>
      <c r="F24" s="2">
        <v>275</v>
      </c>
    </row>
    <row r="25" spans="2:15" s="2" customFormat="1" x14ac:dyDescent="0.25"/>
    <row r="27" spans="2:15" s="2" customFormat="1" x14ac:dyDescent="0.25">
      <c r="B27" s="2" t="s">
        <v>1</v>
      </c>
      <c r="D27" s="2">
        <v>4558</v>
      </c>
      <c r="E27" s="2">
        <v>5274</v>
      </c>
      <c r="F27" s="2">
        <f>+F15*F10</f>
        <v>6921.25</v>
      </c>
      <c r="G27" s="2">
        <f t="shared" ref="G27:O27" si="10">+G15*G10</f>
        <v>7131.5999999999995</v>
      </c>
      <c r="H27" s="2">
        <f t="shared" si="10"/>
        <v>7212.1875</v>
      </c>
      <c r="I27" s="2">
        <f t="shared" si="10"/>
        <v>7521.15</v>
      </c>
      <c r="J27" s="2">
        <f t="shared" si="10"/>
        <v>7480.1999999999989</v>
      </c>
      <c r="K27" s="2">
        <f t="shared" si="10"/>
        <v>7162.848</v>
      </c>
      <c r="L27" s="2">
        <f t="shared" si="10"/>
        <v>7150.2530399999987</v>
      </c>
      <c r="M27" s="2">
        <f t="shared" si="10"/>
        <v>6510.2988383999991</v>
      </c>
      <c r="N27" s="2">
        <f t="shared" si="10"/>
        <v>6144.9673723200003</v>
      </c>
      <c r="O27" s="2">
        <f t="shared" si="10"/>
        <v>5770.1470936838405</v>
      </c>
    </row>
    <row r="28" spans="2:15" s="2" customFormat="1" x14ac:dyDescent="0.25">
      <c r="B28" s="2" t="s">
        <v>2</v>
      </c>
      <c r="D28" s="2">
        <v>2428</v>
      </c>
      <c r="E28" s="2">
        <v>2457</v>
      </c>
      <c r="F28" s="2">
        <f>+F16*F11</f>
        <v>3488.7327750000004</v>
      </c>
      <c r="G28" s="2">
        <f t="shared" ref="G28:O28" si="11">+G16*G11</f>
        <v>3532.6273764600005</v>
      </c>
      <c r="H28" s="2">
        <f t="shared" si="11"/>
        <v>3451.4934070446011</v>
      </c>
      <c r="I28" s="2">
        <f t="shared" si="11"/>
        <v>3365.7010279020005</v>
      </c>
      <c r="J28" s="2">
        <f t="shared" si="11"/>
        <v>3231.1537636105909</v>
      </c>
      <c r="K28" s="2">
        <f t="shared" si="11"/>
        <v>3028.2488421864082</v>
      </c>
      <c r="L28" s="2">
        <f t="shared" si="11"/>
        <v>2830.2220978254859</v>
      </c>
      <c r="M28" s="2">
        <f t="shared" si="11"/>
        <v>2623.0629841532518</v>
      </c>
      <c r="N28" s="2">
        <f t="shared" si="11"/>
        <v>2406.4854170949984</v>
      </c>
      <c r="O28" s="2">
        <f t="shared" si="11"/>
        <v>2187.7761741849558</v>
      </c>
    </row>
    <row r="29" spans="2:15" s="2" customFormat="1" x14ac:dyDescent="0.25">
      <c r="B29" s="2" t="s">
        <v>3</v>
      </c>
      <c r="D29" s="2">
        <v>379</v>
      </c>
      <c r="E29" s="2">
        <v>235</v>
      </c>
      <c r="F29" s="2">
        <f>+F17*F12</f>
        <v>210</v>
      </c>
      <c r="G29" s="2">
        <f t="shared" ref="G29:O29" si="12">+G17*G12</f>
        <v>204</v>
      </c>
      <c r="H29" s="2">
        <f t="shared" si="12"/>
        <v>198</v>
      </c>
      <c r="I29" s="2">
        <f t="shared" si="12"/>
        <v>192</v>
      </c>
      <c r="J29" s="2">
        <f t="shared" si="12"/>
        <v>185.99999999999997</v>
      </c>
      <c r="K29" s="2">
        <f t="shared" si="12"/>
        <v>180</v>
      </c>
      <c r="L29" s="2">
        <f t="shared" si="12"/>
        <v>174</v>
      </c>
      <c r="M29" s="2">
        <f t="shared" si="12"/>
        <v>168</v>
      </c>
      <c r="N29" s="2">
        <f t="shared" si="12"/>
        <v>162</v>
      </c>
      <c r="O29" s="2">
        <f t="shared" si="12"/>
        <v>156</v>
      </c>
    </row>
    <row r="30" spans="2:15" s="3" customFormat="1" x14ac:dyDescent="0.25">
      <c r="B30" s="3" t="s">
        <v>48</v>
      </c>
      <c r="D30" s="3">
        <f>+SUM(D27:D29)</f>
        <v>7365</v>
      </c>
      <c r="E30" s="3">
        <f>+SUM(E27:E29)</f>
        <v>7966</v>
      </c>
      <c r="F30" s="3">
        <f>+SUM(F27:F29)</f>
        <v>10619.982775</v>
      </c>
      <c r="G30" s="3">
        <f t="shared" ref="G30:O30" si="13">+SUM(G27:G29)</f>
        <v>10868.22737646</v>
      </c>
      <c r="H30" s="3">
        <f t="shared" si="13"/>
        <v>10861.680907044602</v>
      </c>
      <c r="I30" s="3">
        <f t="shared" si="13"/>
        <v>11078.851027902001</v>
      </c>
      <c r="J30" s="3">
        <f t="shared" si="13"/>
        <v>10897.35376361059</v>
      </c>
      <c r="K30" s="3">
        <f t="shared" si="13"/>
        <v>10371.096842186409</v>
      </c>
      <c r="L30" s="3">
        <f t="shared" si="13"/>
        <v>10154.475137825484</v>
      </c>
      <c r="M30" s="3">
        <f t="shared" si="13"/>
        <v>9301.3618225532518</v>
      </c>
      <c r="N30" s="3">
        <f t="shared" si="13"/>
        <v>8713.4527894149978</v>
      </c>
      <c r="O30" s="3">
        <f t="shared" si="13"/>
        <v>8113.9232678687968</v>
      </c>
    </row>
    <row r="31" spans="2:15" s="2" customFormat="1" x14ac:dyDescent="0.25">
      <c r="B31" s="2" t="s">
        <v>49</v>
      </c>
      <c r="D31" s="2">
        <v>77.7</v>
      </c>
      <c r="E31" s="2">
        <v>130</v>
      </c>
      <c r="F31" s="2">
        <v>100</v>
      </c>
      <c r="G31" s="2">
        <v>100</v>
      </c>
      <c r="H31" s="2">
        <v>100</v>
      </c>
      <c r="I31" s="2">
        <v>100</v>
      </c>
      <c r="J31" s="2">
        <v>100</v>
      </c>
      <c r="K31" s="2">
        <v>100</v>
      </c>
      <c r="L31" s="2">
        <v>100</v>
      </c>
      <c r="M31" s="2">
        <v>100</v>
      </c>
      <c r="N31" s="2">
        <v>100</v>
      </c>
      <c r="O31" s="2">
        <v>100</v>
      </c>
    </row>
    <row r="32" spans="2:15" s="2" customFormat="1" x14ac:dyDescent="0.25">
      <c r="B32" s="2" t="s">
        <v>50</v>
      </c>
      <c r="D32" s="2">
        <f>+D30+D31</f>
        <v>7442.7</v>
      </c>
      <c r="E32" s="2">
        <f>+E30+E31</f>
        <v>8096</v>
      </c>
      <c r="F32" s="2">
        <f>+F30+F31</f>
        <v>10719.982775</v>
      </c>
      <c r="G32" s="2">
        <f t="shared" ref="G32:O32" si="14">+G30+G31</f>
        <v>10968.22737646</v>
      </c>
      <c r="H32" s="2">
        <f t="shared" si="14"/>
        <v>10961.680907044602</v>
      </c>
      <c r="I32" s="2">
        <f t="shared" si="14"/>
        <v>11178.851027902001</v>
      </c>
      <c r="J32" s="2">
        <f t="shared" si="14"/>
        <v>10997.35376361059</v>
      </c>
      <c r="K32" s="2">
        <f t="shared" si="14"/>
        <v>10471.096842186409</v>
      </c>
      <c r="L32" s="2">
        <f t="shared" si="14"/>
        <v>10254.475137825484</v>
      </c>
      <c r="M32" s="2">
        <f t="shared" si="14"/>
        <v>9401.3618225532518</v>
      </c>
      <c r="N32" s="2">
        <f t="shared" si="14"/>
        <v>8813.4527894149978</v>
      </c>
      <c r="O32" s="2">
        <f t="shared" si="14"/>
        <v>8213.9232678687968</v>
      </c>
    </row>
    <row r="33" spans="2:168" s="2" customFormat="1" x14ac:dyDescent="0.25">
      <c r="B33" s="2" t="s">
        <v>6</v>
      </c>
      <c r="D33" s="2">
        <v>1402.9</v>
      </c>
      <c r="E33" s="2">
        <v>1295</v>
      </c>
      <c r="F33" s="2">
        <f>+F19*F9</f>
        <v>1499.125</v>
      </c>
      <c r="G33" s="2">
        <f t="shared" ref="G33:O33" si="15">+G19*G9</f>
        <v>1570.84725</v>
      </c>
      <c r="H33" s="2">
        <f t="shared" si="15"/>
        <v>1594.7910562499999</v>
      </c>
      <c r="I33" s="2">
        <f t="shared" si="15"/>
        <v>1653.6673125000004</v>
      </c>
      <c r="J33" s="2">
        <f t="shared" si="15"/>
        <v>1669.2541253718753</v>
      </c>
      <c r="K33" s="2">
        <f t="shared" si="15"/>
        <v>1637.1795287728128</v>
      </c>
      <c r="L33" s="2">
        <f t="shared" si="15"/>
        <v>1651.5492786061172</v>
      </c>
      <c r="M33" s="2">
        <f t="shared" si="15"/>
        <v>1559.8411735355862</v>
      </c>
      <c r="N33" s="2">
        <f t="shared" si="15"/>
        <v>1506.5443252941038</v>
      </c>
      <c r="O33" s="2">
        <f t="shared" si="15"/>
        <v>1446.667082223418</v>
      </c>
    </row>
    <row r="34" spans="2:168" s="2" customFormat="1" x14ac:dyDescent="0.25">
      <c r="B34" s="2" t="s">
        <v>51</v>
      </c>
      <c r="D34" s="2">
        <v>192.4</v>
      </c>
      <c r="E34" s="2">
        <v>245.4</v>
      </c>
      <c r="F34" s="2">
        <f>+E34*1.03</f>
        <v>252.762</v>
      </c>
      <c r="G34" s="2">
        <f t="shared" ref="G34:O34" si="16">+F34*1.03</f>
        <v>260.34485999999998</v>
      </c>
      <c r="H34" s="2">
        <f t="shared" si="16"/>
        <v>268.15520579999998</v>
      </c>
      <c r="I34" s="2">
        <f t="shared" si="16"/>
        <v>276.19986197399999</v>
      </c>
      <c r="J34" s="2">
        <f t="shared" si="16"/>
        <v>284.48585783322</v>
      </c>
      <c r="K34" s="2">
        <f t="shared" si="16"/>
        <v>293.02043356821662</v>
      </c>
      <c r="L34" s="2">
        <f t="shared" si="16"/>
        <v>301.81104657526311</v>
      </c>
      <c r="M34" s="2">
        <f t="shared" si="16"/>
        <v>310.865377972521</v>
      </c>
      <c r="N34" s="2">
        <f t="shared" si="16"/>
        <v>320.19133931169665</v>
      </c>
      <c r="O34" s="2">
        <f t="shared" si="16"/>
        <v>329.79707949104755</v>
      </c>
    </row>
    <row r="35" spans="2:168" s="2" customFormat="1" x14ac:dyDescent="0.25">
      <c r="B35" s="2" t="s">
        <v>52</v>
      </c>
      <c r="D35" s="2">
        <v>1915.9</v>
      </c>
      <c r="E35" s="2">
        <v>2710.1</v>
      </c>
      <c r="F35" s="2">
        <v>3000</v>
      </c>
      <c r="G35" s="2">
        <v>3000</v>
      </c>
      <c r="H35" s="2">
        <v>3000</v>
      </c>
      <c r="I35" s="2">
        <v>3000</v>
      </c>
      <c r="J35" s="2">
        <v>3000</v>
      </c>
      <c r="K35" s="2">
        <v>3000</v>
      </c>
      <c r="L35" s="2">
        <v>3000</v>
      </c>
      <c r="M35" s="2">
        <v>3000</v>
      </c>
      <c r="N35" s="2">
        <v>3000</v>
      </c>
      <c r="O35" s="2">
        <v>3000</v>
      </c>
    </row>
    <row r="36" spans="2:168" s="2" customFormat="1" x14ac:dyDescent="0.25">
      <c r="B36" s="2" t="s">
        <v>60</v>
      </c>
      <c r="D36" s="2">
        <v>-3.8</v>
      </c>
      <c r="E36" s="2">
        <v>550.6</v>
      </c>
    </row>
    <row r="37" spans="2:168" s="2" customFormat="1" x14ac:dyDescent="0.25">
      <c r="B37" s="2" t="s">
        <v>53</v>
      </c>
      <c r="D37" s="2">
        <v>144.6</v>
      </c>
      <c r="E37" s="2">
        <v>211</v>
      </c>
      <c r="F37" s="2">
        <v>200</v>
      </c>
      <c r="G37" s="2">
        <f>+F37*1.02</f>
        <v>204</v>
      </c>
      <c r="H37" s="2">
        <f t="shared" ref="H37:O37" si="17">+G37*1.02</f>
        <v>208.08</v>
      </c>
      <c r="I37" s="2">
        <f t="shared" si="17"/>
        <v>212.24160000000001</v>
      </c>
      <c r="J37" s="2">
        <f t="shared" si="17"/>
        <v>216.48643200000001</v>
      </c>
      <c r="K37" s="2">
        <f t="shared" si="17"/>
        <v>220.81616064000002</v>
      </c>
      <c r="L37" s="2">
        <f t="shared" si="17"/>
        <v>225.23248385280002</v>
      </c>
      <c r="M37" s="2">
        <f t="shared" si="17"/>
        <v>229.73713352985601</v>
      </c>
      <c r="N37" s="2">
        <f t="shared" si="17"/>
        <v>234.33187620045314</v>
      </c>
      <c r="O37" s="2">
        <f t="shared" si="17"/>
        <v>239.0185137244622</v>
      </c>
    </row>
    <row r="38" spans="2:168" s="3" customFormat="1" x14ac:dyDescent="0.25">
      <c r="B38" s="3" t="s">
        <v>54</v>
      </c>
      <c r="D38" s="3">
        <f>+D32-D33-D34-D35+D36-D37</f>
        <v>3783.0999999999995</v>
      </c>
      <c r="E38" s="3">
        <f>+E32-E33-E34-E35+E36-E37</f>
        <v>4185.1000000000004</v>
      </c>
      <c r="F38" s="3">
        <f>+F32-F33-F34-F35+F36-F37</f>
        <v>5768.0957749999998</v>
      </c>
      <c r="G38" s="3">
        <f t="shared" ref="G38:O38" si="18">+G32-G33-G34-G35+G36-G37</f>
        <v>5933.0352664599995</v>
      </c>
      <c r="H38" s="3">
        <f t="shared" si="18"/>
        <v>5890.6546449946018</v>
      </c>
      <c r="I38" s="3">
        <f t="shared" si="18"/>
        <v>6036.7422534280004</v>
      </c>
      <c r="J38" s="3">
        <f t="shared" si="18"/>
        <v>5827.1273484054946</v>
      </c>
      <c r="K38" s="3">
        <f t="shared" si="18"/>
        <v>5320.080719205379</v>
      </c>
      <c r="L38" s="3">
        <f t="shared" si="18"/>
        <v>5075.8823287913037</v>
      </c>
      <c r="M38" s="3">
        <f t="shared" si="18"/>
        <v>4300.9181375152893</v>
      </c>
      <c r="N38" s="3">
        <f t="shared" si="18"/>
        <v>3752.385248608744</v>
      </c>
      <c r="O38" s="3">
        <f t="shared" si="18"/>
        <v>3198.4405924298685</v>
      </c>
    </row>
    <row r="39" spans="2:168" s="2" customFormat="1" x14ac:dyDescent="0.25">
      <c r="B39" s="2" t="s">
        <v>55</v>
      </c>
      <c r="D39" s="2">
        <v>-106.9</v>
      </c>
      <c r="E39" s="2">
        <v>-310</v>
      </c>
      <c r="F39" s="2">
        <f>-F65*F68</f>
        <v>-311.94975000000005</v>
      </c>
      <c r="G39" s="2">
        <f t="shared" ref="G39:O39" si="19">-G65*G68</f>
        <v>-294.79251375000007</v>
      </c>
      <c r="H39" s="2">
        <f t="shared" si="19"/>
        <v>-288.89666347500008</v>
      </c>
      <c r="I39" s="2">
        <f t="shared" si="19"/>
        <v>-288.89666347500008</v>
      </c>
      <c r="J39" s="2">
        <f t="shared" si="19"/>
        <v>-265.42380956765635</v>
      </c>
      <c r="K39" s="2">
        <f t="shared" si="19"/>
        <v>-238.88142861089068</v>
      </c>
      <c r="L39" s="2">
        <f t="shared" si="19"/>
        <v>-250.82550004143519</v>
      </c>
      <c r="M39" s="2">
        <f t="shared" si="19"/>
        <v>-263.366775043507</v>
      </c>
      <c r="N39" s="2">
        <f t="shared" si="19"/>
        <v>-276.53511379568232</v>
      </c>
      <c r="O39" s="2">
        <f t="shared" si="19"/>
        <v>-290.36186948546646</v>
      </c>
    </row>
    <row r="40" spans="2:168" s="2" customFormat="1" x14ac:dyDescent="0.25">
      <c r="B40" s="2" t="s">
        <v>56</v>
      </c>
      <c r="D40" s="2">
        <v>-370.4</v>
      </c>
      <c r="E40" s="2">
        <v>431.8</v>
      </c>
    </row>
    <row r="41" spans="2:168" s="2" customFormat="1" x14ac:dyDescent="0.25">
      <c r="B41" s="2" t="s">
        <v>57</v>
      </c>
      <c r="D41" s="2">
        <f>+D38+D39+D40</f>
        <v>3305.7999999999993</v>
      </c>
      <c r="E41" s="2">
        <f t="shared" ref="E41:F41" si="20">+E38+E39+E40</f>
        <v>4306.9000000000005</v>
      </c>
      <c r="F41" s="2">
        <f t="shared" si="20"/>
        <v>5456.146025</v>
      </c>
      <c r="G41" s="2">
        <f t="shared" ref="G41" si="21">+G38+G39+G40</f>
        <v>5638.2427527099999</v>
      </c>
      <c r="H41" s="2">
        <f t="shared" ref="H41" si="22">+H38+H39+H40</f>
        <v>5601.7579815196013</v>
      </c>
      <c r="I41" s="2">
        <f t="shared" ref="I41" si="23">+I38+I39+I40</f>
        <v>5747.8455899529999</v>
      </c>
      <c r="J41" s="2">
        <f t="shared" ref="J41" si="24">+J38+J39+J40</f>
        <v>5561.7035388378381</v>
      </c>
      <c r="K41" s="2">
        <f t="shared" ref="K41" si="25">+K38+K39+K40</f>
        <v>5081.199290594488</v>
      </c>
      <c r="L41" s="2">
        <f t="shared" ref="L41" si="26">+L38+L39+L40</f>
        <v>4825.0568287498681</v>
      </c>
      <c r="M41" s="2">
        <f t="shared" ref="M41" si="27">+M38+M39+M40</f>
        <v>4037.5513624717823</v>
      </c>
      <c r="N41" s="2">
        <f t="shared" ref="N41" si="28">+N38+N39+N40</f>
        <v>3475.8501348130617</v>
      </c>
      <c r="O41" s="2">
        <f t="shared" ref="O41" si="29">+O38+O39+O40</f>
        <v>2908.0787229444022</v>
      </c>
    </row>
    <row r="42" spans="2:168" s="2" customFormat="1" x14ac:dyDescent="0.25">
      <c r="B42" s="2" t="s">
        <v>58</v>
      </c>
      <c r="D42" s="2">
        <v>2986</v>
      </c>
      <c r="E42" s="2">
        <v>3460.1</v>
      </c>
      <c r="F42" s="2">
        <f>+F41*0.78</f>
        <v>4255.7938995000004</v>
      </c>
      <c r="G42" s="2">
        <f t="shared" ref="G42:O42" si="30">+G41*0.78</f>
        <v>4397.8293471138004</v>
      </c>
      <c r="H42" s="2">
        <f t="shared" si="30"/>
        <v>4369.3712255852888</v>
      </c>
      <c r="I42" s="2">
        <f t="shared" si="30"/>
        <v>4483.3195601633397</v>
      </c>
      <c r="J42" s="2">
        <f t="shared" si="30"/>
        <v>4338.1287602935136</v>
      </c>
      <c r="K42" s="2">
        <f t="shared" si="30"/>
        <v>3963.3354466637006</v>
      </c>
      <c r="L42" s="2">
        <f t="shared" si="30"/>
        <v>3763.5443264248975</v>
      </c>
      <c r="M42" s="2">
        <f t="shared" si="30"/>
        <v>3149.2900627279905</v>
      </c>
      <c r="N42" s="2">
        <f t="shared" si="30"/>
        <v>2711.1631051541881</v>
      </c>
      <c r="O42" s="2">
        <f t="shared" si="30"/>
        <v>2268.3014038966339</v>
      </c>
    </row>
    <row r="43" spans="2:168" s="3" customFormat="1" x14ac:dyDescent="0.25">
      <c r="B43" s="3" t="s">
        <v>59</v>
      </c>
      <c r="D43" s="3">
        <f>+D41-D42</f>
        <v>319.79999999999927</v>
      </c>
      <c r="E43" s="3">
        <f t="shared" ref="E43:F43" si="31">+E41-E42</f>
        <v>846.80000000000064</v>
      </c>
      <c r="F43" s="3">
        <f t="shared" si="31"/>
        <v>1200.3521254999996</v>
      </c>
      <c r="G43" s="3">
        <f t="shared" ref="G43" si="32">+G41-G42</f>
        <v>1240.4134055961995</v>
      </c>
      <c r="H43" s="3">
        <f t="shared" ref="H43" si="33">+H41-H42</f>
        <v>1232.3867559343125</v>
      </c>
      <c r="I43" s="3">
        <f t="shared" ref="I43" si="34">+I41-I42</f>
        <v>1264.5260297896602</v>
      </c>
      <c r="J43" s="3">
        <f t="shared" ref="J43" si="35">+J41-J42</f>
        <v>1223.5747785443245</v>
      </c>
      <c r="K43" s="3">
        <f t="shared" ref="K43" si="36">+K41-K42</f>
        <v>1117.8638439307874</v>
      </c>
      <c r="L43" s="3">
        <f t="shared" ref="L43" si="37">+L41-L42</f>
        <v>1061.5125023249707</v>
      </c>
      <c r="M43" s="3">
        <f t="shared" ref="M43" si="38">+M41-M42</f>
        <v>888.26129974379182</v>
      </c>
      <c r="N43" s="3">
        <f t="shared" ref="N43" si="39">+N41-N42</f>
        <v>764.6870296588736</v>
      </c>
      <c r="O43" s="3">
        <f t="shared" ref="O43" si="40">+O41-O42</f>
        <v>639.77731904776829</v>
      </c>
      <c r="FL43" s="3">
        <f>+FK43*(1+$R46)</f>
        <v>0</v>
      </c>
    </row>
    <row r="44" spans="2:168" s="2" customFormat="1" x14ac:dyDescent="0.25">
      <c r="B44" s="2" t="s">
        <v>61</v>
      </c>
      <c r="D44" s="2">
        <v>15.6</v>
      </c>
      <c r="E44" s="2">
        <v>61.3</v>
      </c>
      <c r="F44" s="2">
        <f>+F43*0.06</f>
        <v>72.021127529999973</v>
      </c>
      <c r="G44" s="2">
        <f t="shared" ref="G44:O44" si="41">+G43*0.06</f>
        <v>74.424804335771967</v>
      </c>
      <c r="H44" s="2">
        <f t="shared" si="41"/>
        <v>73.943205356058755</v>
      </c>
      <c r="I44" s="2">
        <f t="shared" si="41"/>
        <v>75.871561787379605</v>
      </c>
      <c r="J44" s="2">
        <f t="shared" si="41"/>
        <v>73.414486712659468</v>
      </c>
      <c r="K44" s="2">
        <f t="shared" si="41"/>
        <v>67.071830635847249</v>
      </c>
      <c r="L44" s="2">
        <f t="shared" si="41"/>
        <v>63.690750139498242</v>
      </c>
      <c r="M44" s="2">
        <f t="shared" si="41"/>
        <v>53.29567798462751</v>
      </c>
      <c r="N44" s="2">
        <f t="shared" si="41"/>
        <v>45.881221779532417</v>
      </c>
      <c r="O44" s="2">
        <f t="shared" si="41"/>
        <v>38.386639142866095</v>
      </c>
    </row>
    <row r="45" spans="2:168" s="2" customFormat="1" x14ac:dyDescent="0.25">
      <c r="B45" s="2" t="s">
        <v>62</v>
      </c>
      <c r="D45" s="2">
        <f>+D43-D44</f>
        <v>304.19999999999925</v>
      </c>
      <c r="E45" s="2">
        <f>+E43-E44</f>
        <v>785.50000000000068</v>
      </c>
      <c r="F45" s="2">
        <f>+F43-F44</f>
        <v>1128.3309979699995</v>
      </c>
      <c r="G45" s="2">
        <f t="shared" ref="G45:O45" si="42">+G43-G44</f>
        <v>1165.9886012604275</v>
      </c>
      <c r="H45" s="2">
        <f t="shared" si="42"/>
        <v>1158.4435505782537</v>
      </c>
      <c r="I45" s="2">
        <f t="shared" si="42"/>
        <v>1188.6544680022807</v>
      </c>
      <c r="J45" s="2">
        <f t="shared" si="42"/>
        <v>1150.1602918316651</v>
      </c>
      <c r="K45" s="2">
        <f t="shared" si="42"/>
        <v>1050.7920132949403</v>
      </c>
      <c r="L45" s="2">
        <f t="shared" si="42"/>
        <v>997.82175218547241</v>
      </c>
      <c r="M45" s="2">
        <f t="shared" si="42"/>
        <v>834.96562175916426</v>
      </c>
      <c r="N45" s="2">
        <f t="shared" si="42"/>
        <v>718.80580787934116</v>
      </c>
      <c r="O45" s="2">
        <f t="shared" si="42"/>
        <v>601.39067990490219</v>
      </c>
      <c r="Q45" s="6" t="s">
        <v>88</v>
      </c>
      <c r="R45" s="6">
        <v>0.1</v>
      </c>
    </row>
    <row r="46" spans="2:168" s="2" customFormat="1" x14ac:dyDescent="0.25">
      <c r="D46" s="5"/>
      <c r="E46" s="5"/>
      <c r="Q46" s="6" t="s">
        <v>89</v>
      </c>
      <c r="R46" s="6">
        <v>0.01</v>
      </c>
    </row>
    <row r="47" spans="2:168" s="6" customFormat="1" x14ac:dyDescent="0.25">
      <c r="B47" s="6" t="s">
        <v>63</v>
      </c>
      <c r="D47" s="6">
        <f>+D38/D32</f>
        <v>0.50829672027624373</v>
      </c>
      <c r="E47" s="6">
        <f>+E38/E32</f>
        <v>0.51693428853754941</v>
      </c>
      <c r="F47" s="6">
        <f>+F38/F32</f>
        <v>0.53806950030290501</v>
      </c>
      <c r="G47" s="6">
        <f t="shared" ref="G47:O47" si="43">+G38/G32</f>
        <v>0.54092927351173214</v>
      </c>
      <c r="H47" s="6">
        <f t="shared" si="43"/>
        <v>0.53738607198544985</v>
      </c>
      <c r="I47" s="6">
        <f t="shared" si="43"/>
        <v>0.540014554121932</v>
      </c>
      <c r="J47" s="6">
        <f t="shared" si="43"/>
        <v>0.52986631817619767</v>
      </c>
      <c r="K47" s="6">
        <f t="shared" si="43"/>
        <v>0.50807291722979842</v>
      </c>
      <c r="L47" s="6">
        <f t="shared" si="43"/>
        <v>0.49499191919321106</v>
      </c>
      <c r="M47" s="6">
        <f t="shared" si="43"/>
        <v>0.4574782056784229</v>
      </c>
      <c r="N47" s="6">
        <f t="shared" si="43"/>
        <v>0.42575654947801816</v>
      </c>
      <c r="O47" s="6">
        <f t="shared" si="43"/>
        <v>0.3893925579925393</v>
      </c>
      <c r="Q47" s="2" t="s">
        <v>90</v>
      </c>
      <c r="R47" s="2">
        <f>NPV(R45,F55:FX55)</f>
        <v>17223.699698146404</v>
      </c>
    </row>
    <row r="48" spans="2:168" s="6" customFormat="1" x14ac:dyDescent="0.25">
      <c r="B48" s="6" t="s">
        <v>64</v>
      </c>
      <c r="D48" s="6">
        <f>+D43/D30</f>
        <v>4.3421588594704588E-2</v>
      </c>
      <c r="E48" s="6">
        <f>+E43/E30</f>
        <v>0.10630178257594786</v>
      </c>
      <c r="F48" s="6">
        <f>+F43/F30</f>
        <v>0.11302769043333025</v>
      </c>
      <c r="G48" s="6">
        <f t="shared" ref="G48:O48" si="44">+G43/G30</f>
        <v>0.11413208084722894</v>
      </c>
      <c r="H48" s="6">
        <f t="shared" si="44"/>
        <v>0.11346188186535831</v>
      </c>
      <c r="I48" s="6">
        <f t="shared" si="44"/>
        <v>0.11413873393594347</v>
      </c>
      <c r="J48" s="6">
        <f t="shared" si="44"/>
        <v>0.11228182594477147</v>
      </c>
      <c r="K48" s="6">
        <f t="shared" si="44"/>
        <v>0.10778646279568653</v>
      </c>
      <c r="L48" s="6">
        <f t="shared" si="44"/>
        <v>0.10453642240659292</v>
      </c>
      <c r="M48" s="6">
        <f t="shared" si="44"/>
        <v>9.5497983702773695E-2</v>
      </c>
      <c r="N48" s="6">
        <f t="shared" si="44"/>
        <v>8.7759358791477768E-2</v>
      </c>
      <c r="O48" s="6">
        <f t="shared" si="44"/>
        <v>7.8849318378606287E-2</v>
      </c>
      <c r="Q48" s="2" t="s">
        <v>74</v>
      </c>
      <c r="R48" s="2">
        <f>+E63-E65</f>
        <v>-5242.0000000000009</v>
      </c>
    </row>
    <row r="49" spans="2:164" s="6" customFormat="1" x14ac:dyDescent="0.25">
      <c r="B49" s="6" t="s">
        <v>58</v>
      </c>
      <c r="D49" s="6">
        <f>+D42/D41</f>
        <v>0.90326093532579121</v>
      </c>
      <c r="E49" s="6">
        <f>+E42/E41</f>
        <v>0.80338526550419087</v>
      </c>
      <c r="F49" s="6">
        <f>+F42/F41</f>
        <v>0.78</v>
      </c>
      <c r="G49" s="6">
        <f t="shared" ref="G49:O49" si="45">+G42/G41</f>
        <v>0.78000000000000014</v>
      </c>
      <c r="H49" s="6">
        <f t="shared" si="45"/>
        <v>0.77999999999999992</v>
      </c>
      <c r="I49" s="6">
        <f t="shared" si="45"/>
        <v>0.77999999999999992</v>
      </c>
      <c r="J49" s="6">
        <f t="shared" si="45"/>
        <v>0.77999999999999992</v>
      </c>
      <c r="K49" s="6">
        <f t="shared" si="45"/>
        <v>0.78</v>
      </c>
      <c r="L49" s="6">
        <f t="shared" si="45"/>
        <v>0.78</v>
      </c>
      <c r="M49" s="6">
        <f t="shared" si="45"/>
        <v>0.78</v>
      </c>
      <c r="N49" s="6">
        <f t="shared" si="45"/>
        <v>0.78</v>
      </c>
      <c r="O49" s="6">
        <f t="shared" si="45"/>
        <v>0.78</v>
      </c>
      <c r="Q49" s="2" t="s">
        <v>91</v>
      </c>
      <c r="R49" s="2">
        <f>+R47+R48</f>
        <v>11981.699698146404</v>
      </c>
    </row>
    <row r="50" spans="2:164" s="2" customFormat="1" x14ac:dyDescent="0.25">
      <c r="Q50" s="2" t="s">
        <v>8</v>
      </c>
      <c r="R50" s="5">
        <f>+R49/main!D6</f>
        <v>4.7995792821559871</v>
      </c>
    </row>
    <row r="51" spans="2:164" s="2" customFormat="1" x14ac:dyDescent="0.25">
      <c r="B51" s="2" t="s">
        <v>65</v>
      </c>
      <c r="D51" s="2">
        <v>3407.9</v>
      </c>
      <c r="E51" s="2">
        <v>4607.1000000000004</v>
      </c>
      <c r="F51" s="2">
        <f>+F45+F35</f>
        <v>4128.3309979699998</v>
      </c>
      <c r="G51" s="2">
        <f t="shared" ref="G51:O51" si="46">+G43+G35</f>
        <v>4240.4134055961995</v>
      </c>
      <c r="H51" s="2">
        <f t="shared" si="46"/>
        <v>4232.3867559343125</v>
      </c>
      <c r="I51" s="2">
        <f t="shared" si="46"/>
        <v>4264.5260297896602</v>
      </c>
      <c r="J51" s="2">
        <f t="shared" si="46"/>
        <v>4223.5747785443245</v>
      </c>
      <c r="K51" s="2">
        <f t="shared" si="46"/>
        <v>4117.863843930787</v>
      </c>
      <c r="L51" s="2">
        <f t="shared" si="46"/>
        <v>4061.5125023249707</v>
      </c>
      <c r="M51" s="2">
        <f t="shared" si="46"/>
        <v>3888.2612997437918</v>
      </c>
      <c r="N51" s="2">
        <f t="shared" si="46"/>
        <v>3764.6870296588736</v>
      </c>
      <c r="O51" s="2">
        <f t="shared" si="46"/>
        <v>3639.7773190477683</v>
      </c>
      <c r="Q51" s="2" t="s">
        <v>93</v>
      </c>
      <c r="R51" s="6">
        <f>+R50/main!D5 -1</f>
        <v>0.3378277841663675</v>
      </c>
    </row>
    <row r="52" spans="2:164" s="2" customFormat="1" x14ac:dyDescent="0.25">
      <c r="B52" s="2" t="s">
        <v>19</v>
      </c>
      <c r="D52" s="2">
        <v>310.5</v>
      </c>
      <c r="E52" s="2">
        <v>363.1</v>
      </c>
      <c r="F52" s="2">
        <v>380</v>
      </c>
      <c r="G52" s="2">
        <v>400</v>
      </c>
      <c r="H52" s="2">
        <v>400</v>
      </c>
      <c r="I52" s="2">
        <v>400</v>
      </c>
      <c r="J52" s="2">
        <v>400</v>
      </c>
      <c r="K52" s="2">
        <v>400</v>
      </c>
      <c r="L52" s="2">
        <v>400</v>
      </c>
      <c r="M52" s="2">
        <v>400</v>
      </c>
      <c r="N52" s="2">
        <v>400</v>
      </c>
      <c r="O52" s="2">
        <v>400</v>
      </c>
    </row>
    <row r="53" spans="2:164" s="2" customFormat="1" x14ac:dyDescent="0.25">
      <c r="B53" s="2" t="s">
        <v>67</v>
      </c>
      <c r="D53" s="2">
        <v>2564</v>
      </c>
      <c r="E53" s="2">
        <v>2456.6</v>
      </c>
      <c r="F53" s="2">
        <v>2500</v>
      </c>
      <c r="G53" s="2">
        <v>2500</v>
      </c>
      <c r="H53" s="2">
        <v>2500</v>
      </c>
      <c r="I53" s="2">
        <v>2500</v>
      </c>
      <c r="J53" s="2">
        <v>2000</v>
      </c>
      <c r="K53" s="2">
        <v>2000</v>
      </c>
      <c r="L53" s="2">
        <v>2000</v>
      </c>
      <c r="M53" s="2">
        <v>2000</v>
      </c>
      <c r="N53" s="2">
        <v>2000</v>
      </c>
      <c r="O53" s="2">
        <v>2000</v>
      </c>
    </row>
    <row r="54" spans="2:164" s="3" customFormat="1" x14ac:dyDescent="0.25">
      <c r="B54" s="3" t="s">
        <v>66</v>
      </c>
      <c r="D54" s="3">
        <f>+D51-D52-D53</f>
        <v>533.40000000000009</v>
      </c>
      <c r="E54" s="3">
        <f>+E51-E52-E53</f>
        <v>1787.4</v>
      </c>
      <c r="F54" s="3">
        <f>+F51-F52-F53</f>
        <v>1248.3309979699998</v>
      </c>
      <c r="G54" s="3">
        <f t="shared" ref="G54:O54" si="47">+G51-G52-G53</f>
        <v>1340.4134055961995</v>
      </c>
      <c r="H54" s="3">
        <f t="shared" si="47"/>
        <v>1332.3867559343125</v>
      </c>
      <c r="I54" s="3">
        <f t="shared" si="47"/>
        <v>1364.5260297896602</v>
      </c>
      <c r="J54" s="3">
        <f t="shared" si="47"/>
        <v>1823.5747785443245</v>
      </c>
      <c r="K54" s="3">
        <f t="shared" si="47"/>
        <v>1717.863843930787</v>
      </c>
      <c r="L54" s="3">
        <f t="shared" si="47"/>
        <v>1661.5125023249707</v>
      </c>
      <c r="M54" s="3">
        <f t="shared" si="47"/>
        <v>1488.2612997437918</v>
      </c>
      <c r="N54" s="3">
        <f t="shared" si="47"/>
        <v>1364.6870296588736</v>
      </c>
      <c r="O54" s="3">
        <f t="shared" si="47"/>
        <v>1239.7773190477683</v>
      </c>
    </row>
    <row r="55" spans="2:164" s="2" customFormat="1" x14ac:dyDescent="0.25">
      <c r="B55" s="2" t="s">
        <v>92</v>
      </c>
      <c r="D55" s="2">
        <f>+D54-D39</f>
        <v>640.30000000000007</v>
      </c>
      <c r="E55" s="2">
        <f t="shared" ref="E55:O55" si="48">+E54-E39</f>
        <v>2097.4</v>
      </c>
      <c r="F55" s="2">
        <f t="shared" si="48"/>
        <v>1560.2807479699998</v>
      </c>
      <c r="G55" s="2">
        <f t="shared" si="48"/>
        <v>1635.2059193461996</v>
      </c>
      <c r="H55" s="2">
        <f t="shared" si="48"/>
        <v>1621.2834194093125</v>
      </c>
      <c r="I55" s="2">
        <f t="shared" si="48"/>
        <v>1653.4226932646602</v>
      </c>
      <c r="J55" s="2">
        <f t="shared" si="48"/>
        <v>2088.998588111981</v>
      </c>
      <c r="K55" s="2">
        <f t="shared" si="48"/>
        <v>1956.7452725416777</v>
      </c>
      <c r="L55" s="2">
        <f t="shared" si="48"/>
        <v>1912.3380023664058</v>
      </c>
      <c r="M55" s="2">
        <f t="shared" si="48"/>
        <v>1751.6280747872988</v>
      </c>
      <c r="N55" s="2">
        <f t="shared" si="48"/>
        <v>1641.2221434545559</v>
      </c>
      <c r="O55" s="2">
        <f t="shared" si="48"/>
        <v>1530.1391885332348</v>
      </c>
      <c r="P55" s="2">
        <f t="shared" ref="P55:AU55" si="49">+O55*(1+$R46)</f>
        <v>1545.4405804185672</v>
      </c>
      <c r="Q55" s="2">
        <f t="shared" si="49"/>
        <v>1560.8949862227528</v>
      </c>
      <c r="R55" s="2">
        <f t="shared" si="49"/>
        <v>1576.5039360849803</v>
      </c>
      <c r="S55" s="2">
        <f t="shared" si="49"/>
        <v>1592.2689754458302</v>
      </c>
      <c r="T55" s="2">
        <f t="shared" si="49"/>
        <v>1608.1916652002885</v>
      </c>
      <c r="U55" s="2">
        <f t="shared" si="49"/>
        <v>1624.2735818522915</v>
      </c>
      <c r="V55" s="2">
        <f t="shared" si="49"/>
        <v>1640.5163176708145</v>
      </c>
      <c r="W55" s="2">
        <f t="shared" si="49"/>
        <v>1656.9214808475226</v>
      </c>
      <c r="X55" s="2">
        <f t="shared" si="49"/>
        <v>1673.4906956559978</v>
      </c>
      <c r="Y55" s="2">
        <f t="shared" si="49"/>
        <v>1690.2256026125579</v>
      </c>
      <c r="Z55" s="2">
        <f t="shared" si="49"/>
        <v>1707.1278586386834</v>
      </c>
      <c r="AA55" s="2">
        <f t="shared" si="49"/>
        <v>1724.1991372250702</v>
      </c>
      <c r="AB55" s="2">
        <f t="shared" si="49"/>
        <v>1741.441128597321</v>
      </c>
      <c r="AC55" s="2">
        <f t="shared" si="49"/>
        <v>1758.8555398832943</v>
      </c>
      <c r="AD55" s="2">
        <f t="shared" si="49"/>
        <v>1776.4440952821274</v>
      </c>
      <c r="AE55" s="2">
        <f t="shared" si="49"/>
        <v>1794.2085362349487</v>
      </c>
      <c r="AF55" s="2">
        <f t="shared" si="49"/>
        <v>1812.1506215972981</v>
      </c>
      <c r="AG55" s="2">
        <f t="shared" si="49"/>
        <v>1830.272127813271</v>
      </c>
      <c r="AH55" s="2">
        <f t="shared" si="49"/>
        <v>1848.5748490914038</v>
      </c>
      <c r="AI55" s="2">
        <f t="shared" si="49"/>
        <v>1867.060597582318</v>
      </c>
      <c r="AJ55" s="2">
        <f t="shared" si="49"/>
        <v>1885.7312035581413</v>
      </c>
      <c r="AK55" s="2">
        <f t="shared" si="49"/>
        <v>1904.5885155937226</v>
      </c>
      <c r="AL55" s="2">
        <f t="shared" si="49"/>
        <v>1923.6344007496598</v>
      </c>
      <c r="AM55" s="2">
        <f t="shared" si="49"/>
        <v>1942.8707447571564</v>
      </c>
      <c r="AN55" s="2">
        <f t="shared" si="49"/>
        <v>1962.2994522047279</v>
      </c>
      <c r="AO55" s="2">
        <f t="shared" si="49"/>
        <v>1981.9224467267752</v>
      </c>
      <c r="AP55" s="2">
        <f t="shared" si="49"/>
        <v>2001.741671194043</v>
      </c>
      <c r="AQ55" s="2">
        <f t="shared" si="49"/>
        <v>2021.7590879059835</v>
      </c>
      <c r="AR55" s="2">
        <f t="shared" si="49"/>
        <v>2041.9766787850433</v>
      </c>
      <c r="AS55" s="2">
        <f t="shared" si="49"/>
        <v>2062.3964455728938</v>
      </c>
      <c r="AT55" s="2">
        <f t="shared" si="49"/>
        <v>2083.0204100286228</v>
      </c>
      <c r="AU55" s="2">
        <f t="shared" si="49"/>
        <v>2103.850614128909</v>
      </c>
      <c r="AV55" s="2">
        <f t="shared" ref="AV55:CA55" si="50">+AU55*(1+$R46)</f>
        <v>2124.889120270198</v>
      </c>
      <c r="AW55" s="2">
        <f t="shared" si="50"/>
        <v>2146.1380114729</v>
      </c>
      <c r="AX55" s="2">
        <f t="shared" si="50"/>
        <v>2167.5993915876288</v>
      </c>
      <c r="AY55" s="2">
        <f t="shared" si="50"/>
        <v>2189.2753855035053</v>
      </c>
      <c r="AZ55" s="2">
        <f t="shared" si="50"/>
        <v>2211.1681393585404</v>
      </c>
      <c r="BA55" s="2">
        <f t="shared" si="50"/>
        <v>2233.2798207521259</v>
      </c>
      <c r="BB55" s="2">
        <f t="shared" si="50"/>
        <v>2255.6126189596471</v>
      </c>
      <c r="BC55" s="2">
        <f t="shared" si="50"/>
        <v>2278.1687451492435</v>
      </c>
      <c r="BD55" s="2">
        <f t="shared" si="50"/>
        <v>2300.9504326007359</v>
      </c>
      <c r="BE55" s="2">
        <f t="shared" si="50"/>
        <v>2323.9599369267435</v>
      </c>
      <c r="BF55" s="2">
        <f t="shared" si="50"/>
        <v>2347.199536296011</v>
      </c>
      <c r="BG55" s="2">
        <f t="shared" si="50"/>
        <v>2370.6715316589712</v>
      </c>
      <c r="BH55" s="2">
        <f t="shared" si="50"/>
        <v>2394.3782469755611</v>
      </c>
      <c r="BI55" s="2">
        <f t="shared" si="50"/>
        <v>2418.3220294453167</v>
      </c>
      <c r="BJ55" s="2">
        <f t="shared" si="50"/>
        <v>2442.5052497397701</v>
      </c>
      <c r="BK55" s="2">
        <f t="shared" si="50"/>
        <v>2466.9303022371678</v>
      </c>
      <c r="BL55" s="2">
        <f t="shared" si="50"/>
        <v>2491.5996052595397</v>
      </c>
      <c r="BM55" s="2">
        <f t="shared" si="50"/>
        <v>2516.515601312135</v>
      </c>
      <c r="BN55" s="2">
        <f t="shared" si="50"/>
        <v>2541.6807573252563</v>
      </c>
      <c r="BO55" s="2">
        <f t="shared" si="50"/>
        <v>2567.0975648985091</v>
      </c>
      <c r="BP55" s="2">
        <f t="shared" si="50"/>
        <v>2592.768540547494</v>
      </c>
      <c r="BQ55" s="2">
        <f t="shared" si="50"/>
        <v>2618.6962259529691</v>
      </c>
      <c r="BR55" s="2">
        <f t="shared" si="50"/>
        <v>2644.8831882124987</v>
      </c>
      <c r="BS55" s="2">
        <f t="shared" si="50"/>
        <v>2671.3320200946237</v>
      </c>
      <c r="BT55" s="2">
        <f t="shared" si="50"/>
        <v>2698.04534029557</v>
      </c>
      <c r="BU55" s="2">
        <f t="shared" si="50"/>
        <v>2725.0257936985258</v>
      </c>
      <c r="BV55" s="2">
        <f t="shared" si="50"/>
        <v>2752.2760516355111</v>
      </c>
      <c r="BW55" s="2">
        <f t="shared" si="50"/>
        <v>2779.7988121518661</v>
      </c>
      <c r="BX55" s="2">
        <f t="shared" si="50"/>
        <v>2807.5968002733848</v>
      </c>
      <c r="BY55" s="2">
        <f t="shared" si="50"/>
        <v>2835.6727682761189</v>
      </c>
      <c r="BZ55" s="2">
        <f t="shared" si="50"/>
        <v>2864.02949595888</v>
      </c>
      <c r="CA55" s="2">
        <f t="shared" si="50"/>
        <v>2892.6697909184691</v>
      </c>
      <c r="CB55" s="2">
        <f t="shared" ref="CB55:DG55" si="51">+CA55*(1+$R46)</f>
        <v>2921.596488827654</v>
      </c>
      <c r="CC55" s="2">
        <f t="shared" si="51"/>
        <v>2950.8124537159306</v>
      </c>
      <c r="CD55" s="2">
        <f t="shared" si="51"/>
        <v>2980.3205782530899</v>
      </c>
      <c r="CE55" s="2">
        <f t="shared" si="51"/>
        <v>3010.1237840356207</v>
      </c>
      <c r="CF55" s="2">
        <f t="shared" si="51"/>
        <v>3040.2250218759768</v>
      </c>
      <c r="CG55" s="2">
        <f t="shared" si="51"/>
        <v>3070.6272720947368</v>
      </c>
      <c r="CH55" s="2">
        <f t="shared" si="51"/>
        <v>3101.333544815684</v>
      </c>
      <c r="CI55" s="2">
        <f t="shared" si="51"/>
        <v>3132.3468802638408</v>
      </c>
      <c r="CJ55" s="2">
        <f t="shared" si="51"/>
        <v>3163.670349066479</v>
      </c>
      <c r="CK55" s="2">
        <f t="shared" si="51"/>
        <v>3195.3070525571438</v>
      </c>
      <c r="CL55" s="2">
        <f t="shared" si="51"/>
        <v>3227.2601230827154</v>
      </c>
      <c r="CM55" s="2">
        <f t="shared" si="51"/>
        <v>3259.5327243135425</v>
      </c>
      <c r="CN55" s="2">
        <f t="shared" si="51"/>
        <v>3292.1280515566782</v>
      </c>
      <c r="CO55" s="2">
        <f t="shared" si="51"/>
        <v>3325.0493320722449</v>
      </c>
      <c r="CP55" s="2">
        <f t="shared" si="51"/>
        <v>3358.2998253929673</v>
      </c>
      <c r="CQ55" s="2">
        <f t="shared" si="51"/>
        <v>3391.8828236468971</v>
      </c>
      <c r="CR55" s="2">
        <f t="shared" si="51"/>
        <v>3425.801651883366</v>
      </c>
      <c r="CS55" s="2">
        <f t="shared" si="51"/>
        <v>3460.0596684021998</v>
      </c>
      <c r="CT55" s="2">
        <f t="shared" si="51"/>
        <v>3494.6602650862219</v>
      </c>
      <c r="CU55" s="2">
        <f t="shared" si="51"/>
        <v>3529.606867737084</v>
      </c>
      <c r="CV55" s="2">
        <f t="shared" si="51"/>
        <v>3564.9029364144549</v>
      </c>
      <c r="CW55" s="2">
        <f t="shared" si="51"/>
        <v>3600.5519657785994</v>
      </c>
      <c r="CX55" s="2">
        <f t="shared" si="51"/>
        <v>3636.5574854363854</v>
      </c>
      <c r="CY55" s="2">
        <f t="shared" si="51"/>
        <v>3672.9230602907492</v>
      </c>
      <c r="CZ55" s="2">
        <f t="shared" si="51"/>
        <v>3709.6522908936568</v>
      </c>
      <c r="DA55" s="2">
        <f t="shared" si="51"/>
        <v>3746.7488138025933</v>
      </c>
      <c r="DB55" s="2">
        <f t="shared" si="51"/>
        <v>3784.2163019406194</v>
      </c>
      <c r="DC55" s="2">
        <f t="shared" si="51"/>
        <v>3822.0584649600255</v>
      </c>
      <c r="DD55" s="2">
        <f t="shared" si="51"/>
        <v>3860.2790496096259</v>
      </c>
      <c r="DE55" s="2">
        <f t="shared" si="51"/>
        <v>3898.8818401057219</v>
      </c>
      <c r="DF55" s="2">
        <f t="shared" si="51"/>
        <v>3937.8706585067794</v>
      </c>
      <c r="DG55" s="2">
        <f t="shared" si="51"/>
        <v>3977.2493650918473</v>
      </c>
      <c r="DH55" s="2">
        <f t="shared" ref="DH55:EM55" si="52">+DG55*(1+$R46)</f>
        <v>4017.0218587427657</v>
      </c>
      <c r="DI55" s="2">
        <f t="shared" si="52"/>
        <v>4057.1920773301936</v>
      </c>
      <c r="DJ55" s="2">
        <f t="shared" si="52"/>
        <v>4097.7639981034954</v>
      </c>
      <c r="DK55" s="2">
        <f t="shared" si="52"/>
        <v>4138.7416380845307</v>
      </c>
      <c r="DL55" s="2">
        <f t="shared" si="52"/>
        <v>4180.1290544653757</v>
      </c>
      <c r="DM55" s="2">
        <f t="shared" si="52"/>
        <v>4221.9303450100297</v>
      </c>
      <c r="DN55" s="2">
        <f t="shared" si="52"/>
        <v>4264.1496484601303</v>
      </c>
      <c r="DO55" s="2">
        <f t="shared" si="52"/>
        <v>4306.791144944732</v>
      </c>
      <c r="DP55" s="2">
        <f t="shared" si="52"/>
        <v>4349.8590563941789</v>
      </c>
      <c r="DQ55" s="2">
        <f t="shared" si="52"/>
        <v>4393.3576469581203</v>
      </c>
      <c r="DR55" s="2">
        <f t="shared" si="52"/>
        <v>4437.2912234277019</v>
      </c>
      <c r="DS55" s="2">
        <f t="shared" si="52"/>
        <v>4481.6641356619793</v>
      </c>
      <c r="DT55" s="2">
        <f t="shared" si="52"/>
        <v>4526.4807770185989</v>
      </c>
      <c r="DU55" s="2">
        <f t="shared" si="52"/>
        <v>4571.745584788785</v>
      </c>
      <c r="DV55" s="2">
        <f t="shared" si="52"/>
        <v>4617.4630406366732</v>
      </c>
      <c r="DW55" s="2">
        <f t="shared" si="52"/>
        <v>4663.6376710430404</v>
      </c>
      <c r="DX55" s="2">
        <f t="shared" si="52"/>
        <v>4710.2740477534708</v>
      </c>
      <c r="DY55" s="2">
        <f t="shared" si="52"/>
        <v>4757.3767882310058</v>
      </c>
      <c r="DZ55" s="2">
        <f t="shared" si="52"/>
        <v>4804.9505561133155</v>
      </c>
      <c r="EA55" s="2">
        <f t="shared" si="52"/>
        <v>4853.0000616744492</v>
      </c>
      <c r="EB55" s="2">
        <f t="shared" si="52"/>
        <v>4901.5300622911936</v>
      </c>
      <c r="EC55" s="2">
        <f t="shared" si="52"/>
        <v>4950.5453629141057</v>
      </c>
      <c r="ED55" s="2">
        <f t="shared" si="52"/>
        <v>5000.0508165432466</v>
      </c>
      <c r="EE55" s="2">
        <f t="shared" si="52"/>
        <v>5050.0513247086792</v>
      </c>
      <c r="EF55" s="2">
        <f t="shared" si="52"/>
        <v>5100.5518379557661</v>
      </c>
      <c r="EG55" s="2">
        <f t="shared" si="52"/>
        <v>5151.5573563353237</v>
      </c>
      <c r="EH55" s="2">
        <f t="shared" si="52"/>
        <v>5203.0729298986771</v>
      </c>
      <c r="EI55" s="2">
        <f t="shared" si="52"/>
        <v>5255.1036591976635</v>
      </c>
      <c r="EJ55" s="2">
        <f t="shared" si="52"/>
        <v>5307.6546957896398</v>
      </c>
      <c r="EK55" s="2">
        <f t="shared" si="52"/>
        <v>5360.7312427475363</v>
      </c>
      <c r="EL55" s="2">
        <f t="shared" si="52"/>
        <v>5414.3385551750116</v>
      </c>
      <c r="EM55" s="2">
        <f t="shared" si="52"/>
        <v>5468.4819407267614</v>
      </c>
      <c r="EN55" s="2">
        <f t="shared" ref="EN55:FH55" si="53">+EM55*(1+$R46)</f>
        <v>5523.1667601340287</v>
      </c>
      <c r="EO55" s="2">
        <f t="shared" si="53"/>
        <v>5578.3984277353693</v>
      </c>
      <c r="EP55" s="2">
        <f t="shared" si="53"/>
        <v>5634.182412012723</v>
      </c>
      <c r="EQ55" s="2">
        <f t="shared" si="53"/>
        <v>5690.5242361328501</v>
      </c>
      <c r="ER55" s="2">
        <f t="shared" si="53"/>
        <v>5747.4294784941785</v>
      </c>
      <c r="ES55" s="2">
        <f t="shared" si="53"/>
        <v>5804.9037732791203</v>
      </c>
      <c r="ET55" s="2">
        <f t="shared" si="53"/>
        <v>5862.9528110119118</v>
      </c>
      <c r="EU55" s="2">
        <f t="shared" si="53"/>
        <v>5921.582339122031</v>
      </c>
      <c r="EV55" s="2">
        <f t="shared" si="53"/>
        <v>5980.7981625132516</v>
      </c>
      <c r="EW55" s="2">
        <f t="shared" si="53"/>
        <v>6040.6061441383845</v>
      </c>
      <c r="EX55" s="2">
        <f t="shared" si="53"/>
        <v>6101.0122055797683</v>
      </c>
      <c r="EY55" s="2">
        <f t="shared" si="53"/>
        <v>6162.0223276355664</v>
      </c>
      <c r="EZ55" s="2">
        <f t="shared" si="53"/>
        <v>6223.6425509119217</v>
      </c>
      <c r="FA55" s="2">
        <f t="shared" si="53"/>
        <v>6285.8789764210414</v>
      </c>
      <c r="FB55" s="2">
        <f t="shared" si="53"/>
        <v>6348.7377661852515</v>
      </c>
      <c r="FC55" s="2">
        <f t="shared" si="53"/>
        <v>6412.2251438471039</v>
      </c>
      <c r="FD55" s="2">
        <f t="shared" si="53"/>
        <v>6476.3473952855747</v>
      </c>
      <c r="FE55" s="2">
        <f t="shared" si="53"/>
        <v>6541.1108692384305</v>
      </c>
      <c r="FF55" s="2">
        <f t="shared" si="53"/>
        <v>6606.5219779308145</v>
      </c>
      <c r="FG55" s="2">
        <f t="shared" si="53"/>
        <v>6672.5871977101224</v>
      </c>
      <c r="FH55" s="2">
        <f t="shared" si="53"/>
        <v>6739.313069687224</v>
      </c>
    </row>
    <row r="56" spans="2:164" s="2" customFormat="1" x14ac:dyDescent="0.25"/>
    <row r="57" spans="2:164" s="2" customFormat="1" x14ac:dyDescent="0.25">
      <c r="B57" s="2" t="s">
        <v>87</v>
      </c>
      <c r="D57" s="2">
        <f>+D51*0.3</f>
        <v>1022.37</v>
      </c>
      <c r="E57" s="2">
        <f>+E51*0.3</f>
        <v>1382.13</v>
      </c>
      <c r="F57" s="2">
        <f>+F51*0.3</f>
        <v>1238.4992993909998</v>
      </c>
      <c r="G57" s="2">
        <f t="shared" ref="G57:O57" si="54">+G51*0.3</f>
        <v>1272.1240216788599</v>
      </c>
      <c r="H57" s="2">
        <f t="shared" si="54"/>
        <v>1269.7160267802938</v>
      </c>
      <c r="I57" s="2">
        <f t="shared" si="54"/>
        <v>1279.357808936898</v>
      </c>
      <c r="J57" s="2">
        <f t="shared" si="54"/>
        <v>1267.0724335632974</v>
      </c>
      <c r="K57" s="2">
        <f t="shared" si="54"/>
        <v>1235.359153179236</v>
      </c>
      <c r="L57" s="2">
        <f t="shared" si="54"/>
        <v>1218.4537506974912</v>
      </c>
      <c r="M57" s="2">
        <f t="shared" si="54"/>
        <v>1166.4783899231375</v>
      </c>
      <c r="N57" s="2">
        <f t="shared" si="54"/>
        <v>1129.4061088976621</v>
      </c>
      <c r="O57" s="2">
        <f t="shared" si="54"/>
        <v>1091.9331957143304</v>
      </c>
    </row>
    <row r="58" spans="2:164" s="2" customFormat="1" x14ac:dyDescent="0.25">
      <c r="B58" s="2" t="s">
        <v>68</v>
      </c>
      <c r="D58" s="2">
        <v>1080</v>
      </c>
      <c r="E58" s="2">
        <v>1170</v>
      </c>
      <c r="F58" s="2">
        <v>1200</v>
      </c>
      <c r="G58" s="2">
        <v>1200</v>
      </c>
      <c r="H58" s="2">
        <v>1200</v>
      </c>
      <c r="I58" s="2">
        <v>1200</v>
      </c>
      <c r="J58" s="2">
        <v>1200</v>
      </c>
      <c r="K58" s="2">
        <v>1200</v>
      </c>
      <c r="L58" s="2">
        <v>1200</v>
      </c>
      <c r="M58" s="2">
        <v>1100</v>
      </c>
      <c r="N58" s="2">
        <v>1100</v>
      </c>
      <c r="O58" s="2">
        <v>1100</v>
      </c>
    </row>
    <row r="59" spans="2:164" s="6" customFormat="1" x14ac:dyDescent="0.25">
      <c r="B59" s="6" t="s">
        <v>86</v>
      </c>
      <c r="D59" s="6">
        <f>+D58/D54</f>
        <v>2.0247469066366701</v>
      </c>
      <c r="E59" s="6">
        <f t="shared" ref="E59:O59" si="55">+E58/E54</f>
        <v>0.65458207452165151</v>
      </c>
      <c r="F59" s="6">
        <f t="shared" si="55"/>
        <v>0.96128350730007162</v>
      </c>
      <c r="G59" s="6">
        <f t="shared" si="55"/>
        <v>0.89524619418906415</v>
      </c>
      <c r="H59" s="6">
        <f t="shared" si="55"/>
        <v>0.90063939367103762</v>
      </c>
      <c r="I59" s="6">
        <f t="shared" si="55"/>
        <v>0.87942624310727024</v>
      </c>
      <c r="J59" s="6">
        <f t="shared" si="55"/>
        <v>0.65804814484103824</v>
      </c>
      <c r="K59" s="6">
        <f t="shared" si="55"/>
        <v>0.69854197364919235</v>
      </c>
      <c r="L59" s="6">
        <f t="shared" si="55"/>
        <v>0.72223350611014259</v>
      </c>
      <c r="M59" s="6">
        <f t="shared" si="55"/>
        <v>0.73911751934244874</v>
      </c>
      <c r="N59" s="6">
        <f t="shared" si="55"/>
        <v>0.80604561785493301</v>
      </c>
      <c r="O59" s="6">
        <f t="shared" si="55"/>
        <v>0.88725610889935735</v>
      </c>
    </row>
    <row r="60" spans="2:164" s="7" customFormat="1" x14ac:dyDescent="0.25">
      <c r="B60" s="7" t="s">
        <v>69</v>
      </c>
      <c r="D60" s="7">
        <f>+D58/main!$D$6</f>
        <v>0.43262189466577711</v>
      </c>
      <c r="E60" s="7">
        <f>+E58/main!$D$6</f>
        <v>0.4686737192212585</v>
      </c>
      <c r="F60" s="7">
        <f>+F58/main!$D$6</f>
        <v>0.48069099407308563</v>
      </c>
      <c r="G60" s="7">
        <f>+G58/main!$D$6</f>
        <v>0.48069099407308563</v>
      </c>
      <c r="H60" s="7">
        <f>+H58/main!$D$6</f>
        <v>0.48069099407308563</v>
      </c>
      <c r="I60" s="7">
        <f>+I58/main!$D$6</f>
        <v>0.48069099407308563</v>
      </c>
      <c r="J60" s="7">
        <f>+J58/main!$D$6</f>
        <v>0.48069099407308563</v>
      </c>
      <c r="K60" s="7">
        <f>+K58/main!$D$6</f>
        <v>0.48069099407308563</v>
      </c>
      <c r="L60" s="7">
        <f>+L58/main!$D$6</f>
        <v>0.48069099407308563</v>
      </c>
      <c r="M60" s="7">
        <f>+M58/main!$D$6</f>
        <v>0.44063341123366184</v>
      </c>
      <c r="N60" s="7">
        <f>+N58/main!$D$6</f>
        <v>0.44063341123366184</v>
      </c>
      <c r="O60" s="7">
        <f>+O58/main!$D$6</f>
        <v>0.44063341123366184</v>
      </c>
    </row>
    <row r="61" spans="2:164" s="9" customFormat="1" x14ac:dyDescent="0.25">
      <c r="B61" s="9" t="s">
        <v>70</v>
      </c>
      <c r="D61" s="9">
        <f>+D60/main!$D$5</f>
        <v>0.12058840091971253</v>
      </c>
      <c r="E61" s="9">
        <f>+E60/main!$D$5</f>
        <v>0.13063743432968858</v>
      </c>
      <c r="F61" s="9">
        <f>+F60/main!$D$5</f>
        <v>0.1339871121330139</v>
      </c>
      <c r="G61" s="9">
        <f>+G60/main!$D$5</f>
        <v>0.1339871121330139</v>
      </c>
      <c r="H61" s="9">
        <f>+H60/main!$D$5</f>
        <v>0.1339871121330139</v>
      </c>
      <c r="I61" s="9">
        <f>+I60/main!$D$5</f>
        <v>0.1339871121330139</v>
      </c>
      <c r="J61" s="9">
        <f>+J60/main!$D$5</f>
        <v>0.1339871121330139</v>
      </c>
      <c r="K61" s="9">
        <f>+K60/main!$D$5</f>
        <v>0.1339871121330139</v>
      </c>
      <c r="L61" s="9">
        <f>+L60/main!$D$5</f>
        <v>0.1339871121330139</v>
      </c>
      <c r="M61" s="9">
        <f>+M60/main!$D$5</f>
        <v>0.12282151945526275</v>
      </c>
      <c r="N61" s="9">
        <f>+N60/main!$D$5</f>
        <v>0.12282151945526275</v>
      </c>
      <c r="O61" s="9">
        <f>+O60/main!$D$5</f>
        <v>0.12282151945526275</v>
      </c>
    </row>
    <row r="62" spans="2:164" s="2" customFormat="1" x14ac:dyDescent="0.25"/>
    <row r="63" spans="2:164" s="2" customFormat="1" x14ac:dyDescent="0.25">
      <c r="B63" s="2" t="s">
        <v>74</v>
      </c>
      <c r="D63" s="2">
        <v>278.89999999999998</v>
      </c>
      <c r="E63" s="2">
        <v>699.9</v>
      </c>
    </row>
    <row r="64" spans="2:164" s="2" customFormat="1" x14ac:dyDescent="0.25">
      <c r="B64" s="2" t="s">
        <v>75</v>
      </c>
      <c r="D64" s="2">
        <v>16737.099999999999</v>
      </c>
      <c r="E64" s="2">
        <v>19975.8</v>
      </c>
    </row>
    <row r="65" spans="2:15" s="2" customFormat="1" x14ac:dyDescent="0.25">
      <c r="B65" s="2" t="s">
        <v>76</v>
      </c>
      <c r="D65" s="2">
        <f>5082.2+54.7</f>
        <v>5136.8999999999996</v>
      </c>
      <c r="E65" s="2">
        <f>5842.3+99.6</f>
        <v>5941.9000000000005</v>
      </c>
      <c r="F65" s="2">
        <f>+E65*1.05</f>
        <v>6238.9950000000008</v>
      </c>
      <c r="G65" s="2">
        <f t="shared" ref="G65:O65" si="56">+F65*1.05</f>
        <v>6550.9447500000015</v>
      </c>
      <c r="H65" s="2">
        <f t="shared" si="56"/>
        <v>6878.4919875000014</v>
      </c>
      <c r="I65" s="2">
        <f t="shared" si="56"/>
        <v>7222.4165868750015</v>
      </c>
      <c r="J65" s="2">
        <f t="shared" si="56"/>
        <v>7583.5374162187518</v>
      </c>
      <c r="K65" s="2">
        <f t="shared" si="56"/>
        <v>7962.7142870296893</v>
      </c>
      <c r="L65" s="2">
        <f t="shared" si="56"/>
        <v>8360.8500013811736</v>
      </c>
      <c r="M65" s="2">
        <f t="shared" si="56"/>
        <v>8778.8925014502329</v>
      </c>
      <c r="N65" s="2">
        <f t="shared" si="56"/>
        <v>9217.8371265227452</v>
      </c>
      <c r="O65" s="2">
        <f t="shared" si="56"/>
        <v>9678.7289828488829</v>
      </c>
    </row>
    <row r="66" spans="2:15" s="3" customFormat="1" x14ac:dyDescent="0.25">
      <c r="B66" s="3" t="s">
        <v>77</v>
      </c>
      <c r="D66" s="3">
        <f>+D63+D64-D65</f>
        <v>11879.1</v>
      </c>
      <c r="E66" s="3">
        <f>+E63+E64-E65</f>
        <v>14733.8</v>
      </c>
    </row>
    <row r="67" spans="2:15" s="2" customFormat="1" x14ac:dyDescent="0.25"/>
    <row r="68" spans="2:15" s="9" customFormat="1" x14ac:dyDescent="0.25">
      <c r="B68" s="9" t="s">
        <v>85</v>
      </c>
      <c r="D68" s="9">
        <f>-D39/D65</f>
        <v>2.0810216278300146E-2</v>
      </c>
      <c r="E68" s="9">
        <f>-E39/E65</f>
        <v>5.2171864218515961E-2</v>
      </c>
      <c r="F68" s="9">
        <v>0.05</v>
      </c>
      <c r="G68" s="9">
        <v>4.4999999999999998E-2</v>
      </c>
      <c r="H68" s="9">
        <v>4.2000000000000003E-2</v>
      </c>
      <c r="I68" s="9">
        <v>0.04</v>
      </c>
      <c r="J68" s="9">
        <v>3.5000000000000003E-2</v>
      </c>
      <c r="K68" s="9">
        <v>0.03</v>
      </c>
      <c r="L68" s="9">
        <v>0.03</v>
      </c>
      <c r="M68" s="9">
        <v>0.03</v>
      </c>
      <c r="N68" s="9">
        <v>0.03</v>
      </c>
      <c r="O68" s="9">
        <v>0.03</v>
      </c>
    </row>
    <row r="69" spans="2:15" s="2" customFormat="1" x14ac:dyDescent="0.25"/>
    <row r="70" spans="2:15" s="2" customFormat="1" x14ac:dyDescent="0.25"/>
    <row r="71" spans="2:15" s="2" customFormat="1" x14ac:dyDescent="0.25"/>
    <row r="72" spans="2:15" s="2" customFormat="1" x14ac:dyDescent="0.25"/>
    <row r="73" spans="2:15" s="2" customFormat="1" x14ac:dyDescent="0.25"/>
    <row r="74" spans="2:15" s="2" customFormat="1" x14ac:dyDescent="0.25"/>
    <row r="75" spans="2:15" s="2" customFormat="1" x14ac:dyDescent="0.25"/>
    <row r="76" spans="2:15" s="2" customFormat="1" x14ac:dyDescent="0.25"/>
    <row r="77" spans="2:15" s="2" customFormat="1" x14ac:dyDescent="0.25"/>
    <row r="78" spans="2:15" s="2" customFormat="1" x14ac:dyDescent="0.25"/>
    <row r="79" spans="2:15" s="2" customFormat="1" x14ac:dyDescent="0.25"/>
    <row r="80" spans="2:15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</sheetData>
  <phoneticPr fontId="5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F7A5-0D2B-4658-8D36-7618E4610276}">
  <dimension ref="A1:Q43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0" sqref="O10"/>
    </sheetView>
  </sheetViews>
  <sheetFormatPr defaultRowHeight="15" x14ac:dyDescent="0.25"/>
  <cols>
    <col min="1" max="1" width="4.140625" bestFit="1" customWidth="1"/>
    <col min="2" max="2" width="16.85546875" bestFit="1" customWidth="1"/>
    <col min="8" max="8" width="9.140625" style="10"/>
  </cols>
  <sheetData>
    <row r="1" spans="1:17" x14ac:dyDescent="0.25">
      <c r="A1" t="s">
        <v>80</v>
      </c>
    </row>
    <row r="2" spans="1:17" x14ac:dyDescent="0.25">
      <c r="D2" t="s">
        <v>14</v>
      </c>
      <c r="E2" t="s">
        <v>15</v>
      </c>
      <c r="F2" t="s">
        <v>16</v>
      </c>
      <c r="G2" t="s">
        <v>17</v>
      </c>
      <c r="H2" s="10">
        <v>2026</v>
      </c>
      <c r="I2" s="10">
        <f>+H2+1</f>
        <v>2027</v>
      </c>
      <c r="J2" s="10">
        <f t="shared" ref="J2:Q2" si="0">+I2+1</f>
        <v>2028</v>
      </c>
      <c r="K2" s="10">
        <f t="shared" si="0"/>
        <v>2029</v>
      </c>
      <c r="L2" s="10">
        <f t="shared" si="0"/>
        <v>2030</v>
      </c>
      <c r="M2" s="10">
        <f t="shared" si="0"/>
        <v>2031</v>
      </c>
      <c r="N2" s="10">
        <f t="shared" si="0"/>
        <v>2032</v>
      </c>
      <c r="O2" s="10">
        <f t="shared" si="0"/>
        <v>2033</v>
      </c>
      <c r="P2" s="10">
        <f t="shared" si="0"/>
        <v>2034</v>
      </c>
      <c r="Q2" s="10">
        <f t="shared" si="0"/>
        <v>2035</v>
      </c>
    </row>
    <row r="3" spans="1:17" s="2" customFormat="1" x14ac:dyDescent="0.25">
      <c r="H3" s="10"/>
    </row>
    <row r="4" spans="1:17" s="3" customFormat="1" x14ac:dyDescent="0.25">
      <c r="B4" s="3" t="s">
        <v>79</v>
      </c>
      <c r="D4" s="11">
        <f>+D5+D6</f>
        <v>272</v>
      </c>
      <c r="E4" s="11">
        <f t="shared" ref="E4:G4" si="1">+E5+E6</f>
        <v>289</v>
      </c>
      <c r="F4" s="11">
        <f t="shared" si="1"/>
        <v>368</v>
      </c>
      <c r="G4" s="11">
        <f t="shared" si="1"/>
        <v>401</v>
      </c>
      <c r="H4" s="11">
        <f t="shared" ref="H4" si="2">+H5+H6</f>
        <v>420</v>
      </c>
      <c r="I4" s="11">
        <f t="shared" ref="I4" si="3">+I5+I6</f>
        <v>419.5</v>
      </c>
      <c r="J4" s="11">
        <f t="shared" ref="J4" si="4">+J5+J6</f>
        <v>405.5</v>
      </c>
      <c r="K4" s="11">
        <f t="shared" ref="K4" si="5">+K5+K6</f>
        <v>400.5</v>
      </c>
      <c r="L4" s="11">
        <f t="shared" ref="L4" si="6">+L5+L6</f>
        <v>384.79999999999995</v>
      </c>
      <c r="M4" s="11">
        <f t="shared" ref="M4" si="7">+M5+M6</f>
        <v>358.9</v>
      </c>
      <c r="N4" s="11">
        <f t="shared" ref="N4" si="8">+N5+N6</f>
        <v>344.5</v>
      </c>
      <c r="O4" s="11">
        <f t="shared" ref="O4" si="9">+O5+O6</f>
        <v>309.10000000000002</v>
      </c>
      <c r="P4" s="11">
        <f t="shared" ref="P4" si="10">+P5+P6</f>
        <v>283.7</v>
      </c>
      <c r="Q4" s="11">
        <f t="shared" ref="Q4" si="11">+Q5+Q6</f>
        <v>258.8</v>
      </c>
    </row>
    <row r="5" spans="1:17" s="2" customFormat="1" x14ac:dyDescent="0.25">
      <c r="B5" s="2" t="s">
        <v>81</v>
      </c>
      <c r="D5" s="10">
        <f>+SUM(D12:D15)+D17+D18+D22+D23+D27+D26/2+D29/2+D37+D38/2+D39/2</f>
        <v>155.5</v>
      </c>
      <c r="E5" s="10">
        <f t="shared" ref="E5:G5" si="12">+SUM(E12:E15)+E17+E18+E22+E23+E27+E26/2+E29/2+E37+E38/2+E39/2</f>
        <v>167.5</v>
      </c>
      <c r="F5" s="10">
        <f t="shared" si="12"/>
        <v>248.5</v>
      </c>
      <c r="G5" s="10">
        <f t="shared" si="12"/>
        <v>252</v>
      </c>
      <c r="H5" s="10">
        <f t="shared" ref="H5:Q5" si="13">+SUM(H12:H15)+H17+H18+H22+H23+H27+H26/2+H29/2+H37+H38/2+H39/2</f>
        <v>282.5</v>
      </c>
      <c r="I5" s="10">
        <f t="shared" si="13"/>
        <v>283</v>
      </c>
      <c r="J5" s="10">
        <f t="shared" si="13"/>
        <v>274.75</v>
      </c>
      <c r="K5" s="10">
        <f t="shared" si="13"/>
        <v>275.5</v>
      </c>
      <c r="L5" s="10">
        <f t="shared" si="13"/>
        <v>267.14999999999998</v>
      </c>
      <c r="M5" s="10">
        <f t="shared" si="13"/>
        <v>250.8</v>
      </c>
      <c r="N5" s="10">
        <f t="shared" si="13"/>
        <v>245.45</v>
      </c>
      <c r="O5" s="10">
        <f t="shared" si="13"/>
        <v>219.1</v>
      </c>
      <c r="P5" s="10">
        <f t="shared" si="13"/>
        <v>202.75</v>
      </c>
      <c r="Q5" s="10">
        <f t="shared" si="13"/>
        <v>186.65</v>
      </c>
    </row>
    <row r="6" spans="1:17" s="2" customFormat="1" x14ac:dyDescent="0.25">
      <c r="B6" s="2" t="s">
        <v>82</v>
      </c>
      <c r="D6" s="10">
        <f>+D19+D24+D25+D26/2+D28+D29/2+D32+D33+D34+D35+D36+D38/2+D39/2</f>
        <v>116.5</v>
      </c>
      <c r="E6" s="10">
        <f t="shared" ref="E6:G6" si="14">+E19+E24+E25+E26/2+E28+E29/2+E32+E33+E34+E35+E36+E38/2+E39/2</f>
        <v>121.5</v>
      </c>
      <c r="F6" s="10">
        <f t="shared" si="14"/>
        <v>119.5</v>
      </c>
      <c r="G6" s="10">
        <f t="shared" si="14"/>
        <v>149</v>
      </c>
      <c r="H6" s="10">
        <f t="shared" ref="H6:Q6" si="15">+H19+H24+H25+H26/2+H28+H29/2+H32+H33+H34+H35+H36+H38/2+H39/2</f>
        <v>137.5</v>
      </c>
      <c r="I6" s="10">
        <f t="shared" si="15"/>
        <v>136.5</v>
      </c>
      <c r="J6" s="10">
        <f t="shared" si="15"/>
        <v>130.75</v>
      </c>
      <c r="K6" s="10">
        <f t="shared" si="15"/>
        <v>125</v>
      </c>
      <c r="L6" s="10">
        <f t="shared" si="15"/>
        <v>117.65</v>
      </c>
      <c r="M6" s="10">
        <f t="shared" si="15"/>
        <v>108.1</v>
      </c>
      <c r="N6" s="10">
        <f t="shared" si="15"/>
        <v>99.05</v>
      </c>
      <c r="O6" s="10">
        <f t="shared" si="15"/>
        <v>90</v>
      </c>
      <c r="P6" s="10">
        <f t="shared" si="15"/>
        <v>80.95</v>
      </c>
      <c r="Q6" s="10">
        <f t="shared" si="15"/>
        <v>72.150000000000006</v>
      </c>
    </row>
    <row r="7" spans="1:17" s="2" customFormat="1" x14ac:dyDescent="0.25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s="2" customFormat="1" x14ac:dyDescent="0.25">
      <c r="B8" s="2" t="s">
        <v>83</v>
      </c>
      <c r="D8" s="10"/>
      <c r="E8" s="10"/>
      <c r="F8" s="10"/>
      <c r="G8" s="10"/>
      <c r="H8" s="10"/>
      <c r="I8" s="10"/>
      <c r="J8" s="10">
        <v>0.5</v>
      </c>
      <c r="K8" s="10">
        <v>8.75</v>
      </c>
      <c r="L8" s="10">
        <v>31</v>
      </c>
      <c r="M8" s="10">
        <v>31.75</v>
      </c>
      <c r="N8" s="10">
        <v>29.13</v>
      </c>
      <c r="O8" s="10">
        <v>26.5</v>
      </c>
      <c r="P8" s="10">
        <v>23.88</v>
      </c>
      <c r="Q8" s="10">
        <v>21.25</v>
      </c>
    </row>
    <row r="9" spans="1:17" s="2" customFormat="1" x14ac:dyDescent="0.25">
      <c r="B9" s="2" t="s">
        <v>84</v>
      </c>
      <c r="D9" s="10"/>
      <c r="E9" s="10"/>
      <c r="F9" s="10"/>
      <c r="G9" s="10"/>
      <c r="H9" s="10"/>
      <c r="I9" s="10"/>
      <c r="J9" s="10">
        <v>3</v>
      </c>
      <c r="K9" s="10">
        <v>14.25</v>
      </c>
      <c r="L9" s="10">
        <v>19</v>
      </c>
      <c r="M9" s="10">
        <v>17.25</v>
      </c>
      <c r="N9" s="10">
        <v>15.38</v>
      </c>
      <c r="O9" s="10">
        <v>13.5</v>
      </c>
      <c r="P9" s="10">
        <v>11.63</v>
      </c>
      <c r="Q9" s="10">
        <v>9.75</v>
      </c>
    </row>
    <row r="10" spans="1:17" s="2" customFormat="1" x14ac:dyDescent="0.25">
      <c r="H10" s="10"/>
    </row>
    <row r="11" spans="1:17" s="1" customFormat="1" x14ac:dyDescent="0.25">
      <c r="B11" s="1" t="s">
        <v>20</v>
      </c>
      <c r="D11" s="1">
        <f>+SUM(D12:D14)</f>
        <v>64</v>
      </c>
      <c r="E11" s="1">
        <f>+SUM(E12:E14)</f>
        <v>63</v>
      </c>
      <c r="F11" s="1">
        <f>+SUM(F12:F14)</f>
        <v>97</v>
      </c>
      <c r="G11" s="1">
        <f>+SUM(G12:G14)</f>
        <v>114</v>
      </c>
      <c r="H11" s="1">
        <f>+SUM(H12:H14)</f>
        <v>128</v>
      </c>
      <c r="I11" s="1">
        <f t="shared" ref="I11:Q11" si="16">+SUM(I12:I14)</f>
        <v>132</v>
      </c>
      <c r="J11" s="1">
        <f t="shared" si="16"/>
        <v>130</v>
      </c>
      <c r="K11" s="1">
        <f t="shared" si="16"/>
        <v>125</v>
      </c>
      <c r="L11" s="1">
        <f t="shared" si="16"/>
        <v>119</v>
      </c>
      <c r="M11" s="1">
        <f t="shared" si="16"/>
        <v>112</v>
      </c>
      <c r="N11" s="1">
        <f t="shared" si="16"/>
        <v>115.5</v>
      </c>
      <c r="O11" s="1">
        <f t="shared" si="16"/>
        <v>99</v>
      </c>
      <c r="P11" s="1">
        <f t="shared" si="16"/>
        <v>92.5</v>
      </c>
      <c r="Q11" s="1">
        <f t="shared" si="16"/>
        <v>86</v>
      </c>
    </row>
    <row r="12" spans="1:17" x14ac:dyDescent="0.25">
      <c r="A12" t="s">
        <v>1</v>
      </c>
      <c r="B12" t="s">
        <v>23</v>
      </c>
      <c r="D12">
        <v>25</v>
      </c>
      <c r="E12">
        <v>27</v>
      </c>
      <c r="F12">
        <v>59</v>
      </c>
      <c r="G12">
        <v>81</v>
      </c>
      <c r="H12" s="10">
        <v>95</v>
      </c>
      <c r="I12">
        <v>100</v>
      </c>
      <c r="J12">
        <v>100</v>
      </c>
      <c r="K12">
        <v>97</v>
      </c>
      <c r="L12">
        <v>93</v>
      </c>
      <c r="M12">
        <v>88</v>
      </c>
      <c r="N12">
        <v>93</v>
      </c>
      <c r="O12">
        <v>78</v>
      </c>
      <c r="P12">
        <v>73</v>
      </c>
      <c r="Q12">
        <v>68</v>
      </c>
    </row>
    <row r="13" spans="1:17" x14ac:dyDescent="0.25">
      <c r="A13" t="s">
        <v>1</v>
      </c>
      <c r="B13" t="s">
        <v>24</v>
      </c>
      <c r="D13">
        <v>12</v>
      </c>
      <c r="E13">
        <v>10</v>
      </c>
      <c r="F13">
        <v>11</v>
      </c>
      <c r="G13">
        <v>6</v>
      </c>
      <c r="H13" s="10">
        <v>9</v>
      </c>
      <c r="I13">
        <v>8</v>
      </c>
      <c r="J13">
        <v>7</v>
      </c>
      <c r="K13">
        <v>6</v>
      </c>
      <c r="L13">
        <v>5</v>
      </c>
      <c r="M13">
        <v>4</v>
      </c>
      <c r="N13">
        <v>3.5</v>
      </c>
      <c r="O13">
        <v>3</v>
      </c>
      <c r="P13">
        <v>2.5</v>
      </c>
      <c r="Q13">
        <v>2</v>
      </c>
    </row>
    <row r="14" spans="1:17" x14ac:dyDescent="0.25">
      <c r="A14" t="s">
        <v>1</v>
      </c>
      <c r="B14" t="s">
        <v>25</v>
      </c>
      <c r="D14">
        <v>27</v>
      </c>
      <c r="E14">
        <v>26</v>
      </c>
      <c r="F14">
        <v>27</v>
      </c>
      <c r="G14">
        <v>27</v>
      </c>
      <c r="H14" s="10">
        <v>24</v>
      </c>
      <c r="I14">
        <v>24</v>
      </c>
      <c r="J14">
        <v>23</v>
      </c>
      <c r="K14">
        <v>22</v>
      </c>
      <c r="L14">
        <v>21</v>
      </c>
      <c r="M14">
        <v>20</v>
      </c>
      <c r="N14">
        <v>19</v>
      </c>
      <c r="O14">
        <v>18</v>
      </c>
      <c r="P14">
        <v>17</v>
      </c>
      <c r="Q14">
        <v>16</v>
      </c>
    </row>
    <row r="16" spans="1:17" s="1" customFormat="1" x14ac:dyDescent="0.25">
      <c r="B16" s="1" t="s">
        <v>26</v>
      </c>
      <c r="D16" s="1">
        <f>+SUM(D17:D19)</f>
        <v>27</v>
      </c>
      <c r="E16" s="1">
        <f t="shared" ref="E16:F16" si="17">+SUM(E17:E19)</f>
        <v>37</v>
      </c>
      <c r="F16" s="1">
        <f t="shared" si="17"/>
        <v>89</v>
      </c>
      <c r="G16" s="1">
        <f>+SUM(G17:G19)</f>
        <v>79</v>
      </c>
      <c r="H16" s="1">
        <f>+SUM(H17:H19)</f>
        <v>94</v>
      </c>
      <c r="I16" s="1">
        <f t="shared" ref="I16:Q16" si="18">+SUM(I17:I19)</f>
        <v>94</v>
      </c>
      <c r="J16" s="1">
        <f t="shared" si="18"/>
        <v>93</v>
      </c>
      <c r="K16" s="1">
        <f t="shared" si="18"/>
        <v>97</v>
      </c>
      <c r="L16" s="1">
        <f t="shared" si="18"/>
        <v>98</v>
      </c>
      <c r="M16" s="1">
        <f t="shared" si="18"/>
        <v>93</v>
      </c>
      <c r="N16" s="1">
        <f t="shared" si="18"/>
        <v>88.5</v>
      </c>
      <c r="O16" s="1">
        <f t="shared" si="18"/>
        <v>84</v>
      </c>
      <c r="P16" s="1">
        <f t="shared" si="18"/>
        <v>79.5</v>
      </c>
      <c r="Q16" s="1">
        <f t="shared" si="18"/>
        <v>75</v>
      </c>
    </row>
    <row r="17" spans="1:17" x14ac:dyDescent="0.25">
      <c r="A17" t="s">
        <v>1</v>
      </c>
      <c r="B17" t="s">
        <v>27</v>
      </c>
      <c r="D17">
        <v>14</v>
      </c>
      <c r="E17">
        <v>13</v>
      </c>
      <c r="F17">
        <v>16</v>
      </c>
      <c r="G17">
        <v>15</v>
      </c>
      <c r="H17" s="10">
        <v>16</v>
      </c>
      <c r="I17">
        <v>16</v>
      </c>
      <c r="J17">
        <v>15</v>
      </c>
      <c r="K17">
        <v>19</v>
      </c>
      <c r="L17">
        <v>20</v>
      </c>
      <c r="M17">
        <v>19</v>
      </c>
      <c r="N17">
        <v>18</v>
      </c>
      <c r="O17">
        <v>17</v>
      </c>
      <c r="P17">
        <v>16</v>
      </c>
      <c r="Q17">
        <v>15</v>
      </c>
    </row>
    <row r="18" spans="1:17" x14ac:dyDescent="0.25">
      <c r="A18" t="s">
        <v>1</v>
      </c>
      <c r="B18" t="s">
        <v>28</v>
      </c>
      <c r="E18">
        <v>20</v>
      </c>
      <c r="F18">
        <v>64</v>
      </c>
      <c r="G18">
        <v>47</v>
      </c>
      <c r="H18" s="10">
        <v>66</v>
      </c>
      <c r="I18" s="10">
        <f>+H18+0</f>
        <v>66</v>
      </c>
      <c r="J18" s="10">
        <f t="shared" ref="J18:L18" si="19">+I18+0</f>
        <v>66</v>
      </c>
      <c r="K18" s="10">
        <f t="shared" si="19"/>
        <v>66</v>
      </c>
      <c r="L18" s="10">
        <f t="shared" si="19"/>
        <v>66</v>
      </c>
      <c r="M18" s="10">
        <f>+L18-3</f>
        <v>63</v>
      </c>
      <c r="N18" s="10">
        <f t="shared" ref="N18:Q18" si="20">+M18-3</f>
        <v>60</v>
      </c>
      <c r="O18" s="10">
        <f t="shared" si="20"/>
        <v>57</v>
      </c>
      <c r="P18" s="10">
        <f t="shared" si="20"/>
        <v>54</v>
      </c>
      <c r="Q18" s="10">
        <f t="shared" si="20"/>
        <v>51</v>
      </c>
    </row>
    <row r="19" spans="1:17" x14ac:dyDescent="0.25">
      <c r="A19" t="s">
        <v>2</v>
      </c>
      <c r="B19" t="s">
        <v>29</v>
      </c>
      <c r="D19">
        <v>13</v>
      </c>
      <c r="E19">
        <v>4</v>
      </c>
      <c r="F19">
        <v>9</v>
      </c>
      <c r="G19">
        <v>17</v>
      </c>
      <c r="H19" s="10">
        <v>12</v>
      </c>
      <c r="I19" s="10">
        <f>+H19+0</f>
        <v>12</v>
      </c>
      <c r="J19" s="10">
        <f>+I19+0</f>
        <v>12</v>
      </c>
      <c r="K19" s="10">
        <f>+J19+0</f>
        <v>12</v>
      </c>
      <c r="L19" s="10">
        <f>+K19+0</f>
        <v>12</v>
      </c>
      <c r="M19">
        <v>11</v>
      </c>
      <c r="N19">
        <v>10.5</v>
      </c>
      <c r="O19">
        <v>10</v>
      </c>
      <c r="P19">
        <v>9.5</v>
      </c>
      <c r="Q19">
        <v>9</v>
      </c>
    </row>
    <row r="21" spans="1:17" s="11" customFormat="1" x14ac:dyDescent="0.25">
      <c r="B21" s="11" t="s">
        <v>21</v>
      </c>
      <c r="D21" s="11">
        <f>+SUM(D22:D29)</f>
        <v>91</v>
      </c>
      <c r="E21" s="11">
        <f>+SUM(E22:E29)</f>
        <v>84</v>
      </c>
      <c r="F21" s="11">
        <f>+SUM(F22:F29)</f>
        <v>80</v>
      </c>
      <c r="G21" s="11">
        <f>+SUM(G22:G29)</f>
        <v>92</v>
      </c>
      <c r="H21" s="11">
        <f>+SUM(H22:H29)</f>
        <v>85</v>
      </c>
      <c r="I21" s="11">
        <f t="shared" ref="I21:Q21" si="21">+SUM(I22:I29)</f>
        <v>80.5</v>
      </c>
      <c r="J21" s="11">
        <f t="shared" si="21"/>
        <v>75</v>
      </c>
      <c r="K21" s="11">
        <f t="shared" si="21"/>
        <v>76.5</v>
      </c>
      <c r="L21" s="11">
        <f t="shared" si="21"/>
        <v>72.8</v>
      </c>
      <c r="M21" s="11">
        <f t="shared" si="21"/>
        <v>66.899999999999991</v>
      </c>
      <c r="N21" s="11">
        <f t="shared" si="21"/>
        <v>61</v>
      </c>
      <c r="O21" s="11">
        <f t="shared" si="21"/>
        <v>54.099999999999994</v>
      </c>
      <c r="P21" s="11">
        <f t="shared" si="21"/>
        <v>47.2</v>
      </c>
      <c r="Q21" s="11">
        <f t="shared" si="21"/>
        <v>40.799999999999997</v>
      </c>
    </row>
    <row r="22" spans="1:17" x14ac:dyDescent="0.25">
      <c r="A22" t="s">
        <v>1</v>
      </c>
      <c r="B22" t="s">
        <v>30</v>
      </c>
      <c r="D22">
        <v>21</v>
      </c>
      <c r="E22">
        <v>15</v>
      </c>
      <c r="F22">
        <v>21</v>
      </c>
      <c r="G22">
        <v>21</v>
      </c>
      <c r="H22" s="10">
        <v>19</v>
      </c>
      <c r="I22">
        <v>18</v>
      </c>
      <c r="J22">
        <v>17</v>
      </c>
      <c r="K22">
        <v>22</v>
      </c>
      <c r="L22">
        <v>23</v>
      </c>
      <c r="M22">
        <v>22</v>
      </c>
      <c r="N22">
        <v>21</v>
      </c>
      <c r="O22">
        <v>19</v>
      </c>
      <c r="P22">
        <v>17</v>
      </c>
      <c r="Q22">
        <v>15</v>
      </c>
    </row>
    <row r="23" spans="1:17" x14ac:dyDescent="0.25">
      <c r="A23" t="s">
        <v>1</v>
      </c>
      <c r="B23" t="s">
        <v>31</v>
      </c>
      <c r="D23">
        <v>16</v>
      </c>
      <c r="E23">
        <v>17</v>
      </c>
      <c r="F23">
        <v>16</v>
      </c>
      <c r="G23">
        <v>16</v>
      </c>
      <c r="H23" s="10">
        <v>16</v>
      </c>
      <c r="I23">
        <v>16</v>
      </c>
      <c r="J23">
        <v>15</v>
      </c>
      <c r="K23">
        <v>15</v>
      </c>
      <c r="L23">
        <v>14</v>
      </c>
      <c r="M23">
        <v>13</v>
      </c>
      <c r="N23">
        <v>12</v>
      </c>
      <c r="O23">
        <v>11</v>
      </c>
      <c r="P23">
        <v>10</v>
      </c>
      <c r="Q23">
        <v>9</v>
      </c>
    </row>
    <row r="24" spans="1:17" x14ac:dyDescent="0.25">
      <c r="A24" t="s">
        <v>2</v>
      </c>
      <c r="B24" t="s">
        <v>32</v>
      </c>
      <c r="D24">
        <v>15</v>
      </c>
      <c r="E24">
        <v>15</v>
      </c>
      <c r="F24">
        <v>11</v>
      </c>
      <c r="G24">
        <v>16</v>
      </c>
      <c r="H24" s="10">
        <v>14</v>
      </c>
      <c r="I24">
        <v>13</v>
      </c>
      <c r="J24">
        <v>12</v>
      </c>
      <c r="K24">
        <v>11</v>
      </c>
      <c r="L24">
        <v>10</v>
      </c>
      <c r="M24">
        <v>9</v>
      </c>
      <c r="N24">
        <f>+M24-1</f>
        <v>8</v>
      </c>
      <c r="O24">
        <f>+N24-1</f>
        <v>7</v>
      </c>
      <c r="P24">
        <f>+O24-1</f>
        <v>6</v>
      </c>
      <c r="Q24">
        <f>+P24-1</f>
        <v>5</v>
      </c>
    </row>
    <row r="25" spans="1:17" x14ac:dyDescent="0.25">
      <c r="A25" t="s">
        <v>2</v>
      </c>
      <c r="B25" t="s">
        <v>33</v>
      </c>
      <c r="D25">
        <v>6</v>
      </c>
      <c r="E25">
        <v>7</v>
      </c>
      <c r="F25">
        <v>4</v>
      </c>
      <c r="G25">
        <v>6</v>
      </c>
      <c r="H25" s="10">
        <f>+G25-0.5</f>
        <v>5.5</v>
      </c>
      <c r="I25" s="10">
        <f t="shared" ref="I25:Q25" si="22">+H25-0.5</f>
        <v>5</v>
      </c>
      <c r="J25" s="10">
        <f t="shared" si="22"/>
        <v>4.5</v>
      </c>
      <c r="K25" s="10">
        <f t="shared" si="22"/>
        <v>4</v>
      </c>
      <c r="L25" s="10">
        <f t="shared" si="22"/>
        <v>3.5</v>
      </c>
      <c r="M25" s="10">
        <f t="shared" si="22"/>
        <v>3</v>
      </c>
      <c r="N25" s="10">
        <f t="shared" si="22"/>
        <v>2.5</v>
      </c>
      <c r="O25" s="10">
        <f t="shared" si="22"/>
        <v>2</v>
      </c>
      <c r="P25" s="10">
        <f t="shared" si="22"/>
        <v>1.5</v>
      </c>
      <c r="Q25" s="10">
        <f t="shared" si="22"/>
        <v>1</v>
      </c>
    </row>
    <row r="26" spans="1:17" x14ac:dyDescent="0.25">
      <c r="A26" t="s">
        <v>78</v>
      </c>
      <c r="B26" t="s">
        <v>34</v>
      </c>
      <c r="D26">
        <v>12</v>
      </c>
      <c r="E26">
        <v>10</v>
      </c>
      <c r="F26">
        <v>10</v>
      </c>
      <c r="G26">
        <v>10</v>
      </c>
      <c r="H26" s="10">
        <v>10</v>
      </c>
      <c r="I26" s="10">
        <f t="shared" ref="I26:P26" si="23">+H26-1</f>
        <v>9</v>
      </c>
      <c r="J26" s="10">
        <f t="shared" si="23"/>
        <v>8</v>
      </c>
      <c r="K26" s="10">
        <f t="shared" si="23"/>
        <v>7</v>
      </c>
      <c r="L26" s="10">
        <f t="shared" si="23"/>
        <v>6</v>
      </c>
      <c r="M26" s="10">
        <f t="shared" si="23"/>
        <v>5</v>
      </c>
      <c r="N26" s="10">
        <f t="shared" si="23"/>
        <v>4</v>
      </c>
      <c r="O26" s="10">
        <f t="shared" si="23"/>
        <v>3</v>
      </c>
      <c r="P26" s="10">
        <f t="shared" si="23"/>
        <v>2</v>
      </c>
      <c r="Q26" s="10">
        <v>1.5</v>
      </c>
    </row>
    <row r="27" spans="1:17" x14ac:dyDescent="0.25">
      <c r="A27" t="s">
        <v>1</v>
      </c>
      <c r="B27" t="s">
        <v>35</v>
      </c>
      <c r="D27">
        <v>13</v>
      </c>
      <c r="E27">
        <v>12</v>
      </c>
      <c r="F27">
        <v>11</v>
      </c>
      <c r="G27">
        <v>13</v>
      </c>
      <c r="H27" s="10">
        <v>12</v>
      </c>
      <c r="I27">
        <v>11</v>
      </c>
      <c r="J27">
        <f>+I27-1</f>
        <v>10</v>
      </c>
      <c r="K27">
        <f t="shared" ref="K27:Q27" si="24">+J27-1</f>
        <v>9</v>
      </c>
      <c r="L27">
        <f t="shared" si="24"/>
        <v>8</v>
      </c>
      <c r="M27">
        <f t="shared" si="24"/>
        <v>7</v>
      </c>
      <c r="N27">
        <f t="shared" si="24"/>
        <v>6</v>
      </c>
      <c r="O27">
        <f t="shared" si="24"/>
        <v>5</v>
      </c>
      <c r="P27">
        <f t="shared" si="24"/>
        <v>4</v>
      </c>
      <c r="Q27">
        <f t="shared" si="24"/>
        <v>3</v>
      </c>
    </row>
    <row r="28" spans="1:17" x14ac:dyDescent="0.25">
      <c r="A28" t="s">
        <v>2</v>
      </c>
      <c r="B28" t="s">
        <v>36</v>
      </c>
      <c r="D28">
        <v>3</v>
      </c>
      <c r="E28">
        <v>3</v>
      </c>
      <c r="F28">
        <v>2</v>
      </c>
      <c r="G28">
        <v>4</v>
      </c>
      <c r="H28" s="10">
        <v>3.5</v>
      </c>
      <c r="I28" s="10">
        <f>+H28+0</f>
        <v>3.5</v>
      </c>
      <c r="J28" s="10">
        <f>+I28+0</f>
        <v>3.5</v>
      </c>
      <c r="K28" s="10">
        <f>+J28+0</f>
        <v>3.5</v>
      </c>
      <c r="L28" s="10">
        <f>+K28+0</f>
        <v>3.5</v>
      </c>
      <c r="M28" s="10">
        <f>+L28-0.2</f>
        <v>3.3</v>
      </c>
      <c r="N28" s="10">
        <f>+M28-0.2</f>
        <v>3.0999999999999996</v>
      </c>
      <c r="O28" s="10">
        <f>+N28-0.2</f>
        <v>2.8999999999999995</v>
      </c>
      <c r="P28" s="10">
        <f>+O28-0.2</f>
        <v>2.6999999999999993</v>
      </c>
      <c r="Q28" s="10">
        <f>+P28-0.2</f>
        <v>2.4999999999999991</v>
      </c>
    </row>
    <row r="29" spans="1:17" x14ac:dyDescent="0.25">
      <c r="A29" t="s">
        <v>78</v>
      </c>
      <c r="B29" t="s">
        <v>37</v>
      </c>
      <c r="D29">
        <v>5</v>
      </c>
      <c r="E29">
        <v>5</v>
      </c>
      <c r="F29">
        <v>5</v>
      </c>
      <c r="G29">
        <v>6</v>
      </c>
      <c r="H29" s="10">
        <v>5</v>
      </c>
      <c r="I29" s="10">
        <v>5</v>
      </c>
      <c r="J29" s="10">
        <v>5</v>
      </c>
      <c r="K29" s="10">
        <v>5</v>
      </c>
      <c r="L29" s="10">
        <f>+K29-0.2</f>
        <v>4.8</v>
      </c>
      <c r="M29" s="10">
        <f t="shared" ref="M29:Q29" si="25">+L29-0.2</f>
        <v>4.5999999999999996</v>
      </c>
      <c r="N29" s="10">
        <f t="shared" si="25"/>
        <v>4.3999999999999995</v>
      </c>
      <c r="O29" s="10">
        <f t="shared" si="25"/>
        <v>4.1999999999999993</v>
      </c>
      <c r="P29" s="10">
        <f t="shared" si="25"/>
        <v>3.9999999999999991</v>
      </c>
      <c r="Q29" s="10">
        <f t="shared" si="25"/>
        <v>3.7999999999999989</v>
      </c>
    </row>
    <row r="31" spans="1:17" s="11" customFormat="1" x14ac:dyDescent="0.25">
      <c r="B31" s="11" t="s">
        <v>22</v>
      </c>
      <c r="D31" s="11">
        <f>+SUM(D32:D39)</f>
        <v>90</v>
      </c>
      <c r="E31" s="11">
        <f t="shared" ref="E31:F31" si="26">+SUM(E32:E39)</f>
        <v>105</v>
      </c>
      <c r="F31" s="11">
        <f t="shared" si="26"/>
        <v>102</v>
      </c>
      <c r="G31" s="11">
        <f>+SUM(G32:G39)</f>
        <v>116</v>
      </c>
      <c r="H31" s="11">
        <f>+SUM(H32:H39)</f>
        <v>113</v>
      </c>
      <c r="I31" s="11">
        <f t="shared" ref="I31:Q31" si="27">+SUM(I32:I39)</f>
        <v>113</v>
      </c>
      <c r="J31" s="11">
        <f t="shared" si="27"/>
        <v>107.5</v>
      </c>
      <c r="K31" s="11">
        <f t="shared" si="27"/>
        <v>102</v>
      </c>
      <c r="L31" s="11">
        <f t="shared" si="27"/>
        <v>95</v>
      </c>
      <c r="M31" s="11">
        <f t="shared" si="27"/>
        <v>87</v>
      </c>
      <c r="N31" s="11">
        <f t="shared" si="27"/>
        <v>79.5</v>
      </c>
      <c r="O31" s="11">
        <f t="shared" si="27"/>
        <v>72</v>
      </c>
      <c r="P31" s="11">
        <f t="shared" si="27"/>
        <v>64.5</v>
      </c>
      <c r="Q31" s="11">
        <f t="shared" si="27"/>
        <v>57</v>
      </c>
    </row>
    <row r="32" spans="1:17" x14ac:dyDescent="0.25">
      <c r="A32" t="s">
        <v>2</v>
      </c>
      <c r="B32" t="s">
        <v>38</v>
      </c>
      <c r="D32">
        <v>32</v>
      </c>
      <c r="E32">
        <v>36</v>
      </c>
      <c r="F32">
        <v>36</v>
      </c>
      <c r="G32">
        <v>45</v>
      </c>
      <c r="H32" s="10">
        <v>42</v>
      </c>
      <c r="I32">
        <v>43</v>
      </c>
      <c r="J32">
        <v>43</v>
      </c>
      <c r="K32">
        <v>42</v>
      </c>
      <c r="L32">
        <v>41</v>
      </c>
      <c r="M32">
        <v>39</v>
      </c>
      <c r="N32">
        <v>37</v>
      </c>
      <c r="O32">
        <v>35</v>
      </c>
      <c r="P32">
        <v>33</v>
      </c>
      <c r="Q32">
        <v>31</v>
      </c>
    </row>
    <row r="33" spans="1:17" x14ac:dyDescent="0.25">
      <c r="A33" t="s">
        <v>2</v>
      </c>
      <c r="B33" t="s">
        <v>39</v>
      </c>
      <c r="D33">
        <v>10</v>
      </c>
      <c r="E33">
        <v>10</v>
      </c>
      <c r="F33">
        <v>7</v>
      </c>
      <c r="G33">
        <v>13</v>
      </c>
      <c r="H33" s="10">
        <v>11</v>
      </c>
      <c r="I33">
        <v>11</v>
      </c>
      <c r="J33">
        <v>10</v>
      </c>
      <c r="K33">
        <v>10</v>
      </c>
      <c r="L33">
        <v>9</v>
      </c>
      <c r="M33">
        <v>8</v>
      </c>
      <c r="N33">
        <v>7</v>
      </c>
      <c r="O33">
        <v>6</v>
      </c>
      <c r="P33">
        <v>5</v>
      </c>
      <c r="Q33">
        <v>4</v>
      </c>
    </row>
    <row r="34" spans="1:17" x14ac:dyDescent="0.25">
      <c r="A34" t="s">
        <v>2</v>
      </c>
      <c r="B34" t="s">
        <v>40</v>
      </c>
      <c r="D34">
        <v>13</v>
      </c>
      <c r="E34">
        <v>13</v>
      </c>
      <c r="F34">
        <v>11</v>
      </c>
      <c r="G34">
        <v>11</v>
      </c>
      <c r="H34" s="10">
        <v>12</v>
      </c>
      <c r="I34">
        <v>12</v>
      </c>
      <c r="J34">
        <v>11</v>
      </c>
      <c r="K34">
        <v>10</v>
      </c>
      <c r="L34">
        <v>9</v>
      </c>
      <c r="M34">
        <v>8</v>
      </c>
      <c r="N34">
        <v>7</v>
      </c>
      <c r="O34">
        <v>6</v>
      </c>
      <c r="P34">
        <v>5</v>
      </c>
      <c r="Q34">
        <v>4</v>
      </c>
    </row>
    <row r="35" spans="1:17" x14ac:dyDescent="0.25">
      <c r="A35" t="s">
        <v>2</v>
      </c>
      <c r="B35" t="s">
        <v>41</v>
      </c>
      <c r="D35">
        <v>1</v>
      </c>
      <c r="E35">
        <v>11</v>
      </c>
      <c r="F35">
        <v>13</v>
      </c>
      <c r="G35">
        <v>7</v>
      </c>
      <c r="H35" s="10">
        <v>10</v>
      </c>
      <c r="I35" s="10">
        <v>10</v>
      </c>
      <c r="J35" s="10">
        <f>+I35-1</f>
        <v>9</v>
      </c>
      <c r="K35" s="10">
        <f t="shared" ref="K35:Q35" si="28">+J35-1</f>
        <v>8</v>
      </c>
      <c r="L35" s="10">
        <f t="shared" si="28"/>
        <v>7</v>
      </c>
      <c r="M35" s="10">
        <f t="shared" si="28"/>
        <v>6</v>
      </c>
      <c r="N35" s="10">
        <f t="shared" si="28"/>
        <v>5</v>
      </c>
      <c r="O35" s="10">
        <f t="shared" si="28"/>
        <v>4</v>
      </c>
      <c r="P35" s="10">
        <f t="shared" si="28"/>
        <v>3</v>
      </c>
      <c r="Q35" s="10">
        <f t="shared" si="28"/>
        <v>2</v>
      </c>
    </row>
    <row r="36" spans="1:17" x14ac:dyDescent="0.25">
      <c r="A36" t="s">
        <v>2</v>
      </c>
      <c r="B36" t="s">
        <v>42</v>
      </c>
      <c r="D36">
        <v>8</v>
      </c>
      <c r="E36">
        <v>6</v>
      </c>
      <c r="F36">
        <v>10</v>
      </c>
      <c r="G36">
        <v>11</v>
      </c>
      <c r="H36" s="10">
        <v>10</v>
      </c>
      <c r="I36" s="10">
        <v>10</v>
      </c>
      <c r="J36" s="10">
        <v>10</v>
      </c>
      <c r="K36" s="10">
        <v>10</v>
      </c>
      <c r="L36" s="10">
        <f>+K36-0.5</f>
        <v>9.5</v>
      </c>
      <c r="M36" s="10">
        <f t="shared" ref="M36:Q36" si="29">+L36-0.5</f>
        <v>9</v>
      </c>
      <c r="N36" s="10">
        <f t="shared" si="29"/>
        <v>8.5</v>
      </c>
      <c r="O36" s="10">
        <f t="shared" si="29"/>
        <v>8</v>
      </c>
      <c r="P36" s="10">
        <f t="shared" si="29"/>
        <v>7.5</v>
      </c>
      <c r="Q36" s="10">
        <f t="shared" si="29"/>
        <v>7</v>
      </c>
    </row>
    <row r="37" spans="1:17" x14ac:dyDescent="0.25">
      <c r="A37" t="s">
        <v>1</v>
      </c>
      <c r="B37" t="s">
        <v>43</v>
      </c>
      <c r="D37">
        <v>12</v>
      </c>
      <c r="E37">
        <v>11</v>
      </c>
      <c r="F37">
        <v>7</v>
      </c>
      <c r="G37">
        <v>7</v>
      </c>
      <c r="H37" s="10">
        <v>8</v>
      </c>
      <c r="I37">
        <v>7</v>
      </c>
      <c r="J37">
        <v>6</v>
      </c>
      <c r="K37">
        <v>5</v>
      </c>
      <c r="L37">
        <f>+K37-1</f>
        <v>4</v>
      </c>
      <c r="M37">
        <f>+L37-1</f>
        <v>3</v>
      </c>
      <c r="N37">
        <f>+M37-0.5</f>
        <v>2.5</v>
      </c>
      <c r="O37">
        <f>+N37-0.5</f>
        <v>2</v>
      </c>
      <c r="P37">
        <f>+O37-0.5</f>
        <v>1.5</v>
      </c>
      <c r="Q37">
        <f>+P37-0.5</f>
        <v>1</v>
      </c>
    </row>
    <row r="38" spans="1:17" x14ac:dyDescent="0.25">
      <c r="A38" t="s">
        <v>78</v>
      </c>
      <c r="B38" t="s">
        <v>44</v>
      </c>
      <c r="D38">
        <v>6</v>
      </c>
      <c r="E38">
        <v>9</v>
      </c>
      <c r="F38">
        <v>10</v>
      </c>
      <c r="G38">
        <v>13</v>
      </c>
      <c r="H38" s="10">
        <v>11</v>
      </c>
      <c r="I38">
        <v>11</v>
      </c>
      <c r="J38">
        <v>10</v>
      </c>
      <c r="K38">
        <v>9</v>
      </c>
      <c r="L38">
        <v>8</v>
      </c>
      <c r="M38">
        <v>7</v>
      </c>
      <c r="N38">
        <v>6</v>
      </c>
      <c r="O38">
        <v>5</v>
      </c>
      <c r="P38">
        <v>4</v>
      </c>
      <c r="Q38">
        <v>3</v>
      </c>
    </row>
    <row r="39" spans="1:17" x14ac:dyDescent="0.25">
      <c r="A39" t="s">
        <v>78</v>
      </c>
      <c r="B39" t="s">
        <v>37</v>
      </c>
      <c r="D39">
        <v>8</v>
      </c>
      <c r="E39">
        <v>9</v>
      </c>
      <c r="F39">
        <v>8</v>
      </c>
      <c r="G39">
        <v>9</v>
      </c>
      <c r="H39" s="10">
        <v>9</v>
      </c>
      <c r="I39">
        <v>9</v>
      </c>
      <c r="J39">
        <f>+I39-0.5</f>
        <v>8.5</v>
      </c>
      <c r="K39">
        <f t="shared" ref="K39:Q39" si="30">+J39-0.5</f>
        <v>8</v>
      </c>
      <c r="L39">
        <f t="shared" si="30"/>
        <v>7.5</v>
      </c>
      <c r="M39">
        <f t="shared" si="30"/>
        <v>7</v>
      </c>
      <c r="N39">
        <f t="shared" si="30"/>
        <v>6.5</v>
      </c>
      <c r="O39">
        <f t="shared" si="30"/>
        <v>6</v>
      </c>
      <c r="P39">
        <f t="shared" si="30"/>
        <v>5.5</v>
      </c>
      <c r="Q39">
        <f t="shared" si="30"/>
        <v>5</v>
      </c>
    </row>
    <row r="41" spans="1:17" s="8" customFormat="1" x14ac:dyDescent="0.25">
      <c r="B41" s="8" t="s">
        <v>45</v>
      </c>
      <c r="D41" s="8">
        <v>3.3</v>
      </c>
      <c r="E41" s="8">
        <v>2.7</v>
      </c>
      <c r="F41" s="8">
        <v>3</v>
      </c>
      <c r="G41" s="8">
        <v>3</v>
      </c>
      <c r="H41" s="10"/>
    </row>
    <row r="42" spans="1:17" x14ac:dyDescent="0.25">
      <c r="B42" t="s">
        <v>46</v>
      </c>
      <c r="D42">
        <v>0</v>
      </c>
      <c r="E42">
        <v>0</v>
      </c>
      <c r="F42">
        <v>0</v>
      </c>
      <c r="G42">
        <v>0</v>
      </c>
    </row>
    <row r="43" spans="1:17" x14ac:dyDescent="0.25">
      <c r="B43" t="s">
        <v>47</v>
      </c>
      <c r="D43">
        <v>9.9</v>
      </c>
      <c r="E43">
        <v>10.6</v>
      </c>
      <c r="F43">
        <v>9.5</v>
      </c>
      <c r="G43">
        <v>8.6</v>
      </c>
    </row>
  </sheetData>
  <phoneticPr fontId="5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D133-56E1-457B-B4BE-D37B42B282EC}">
  <dimension ref="C3:D6"/>
  <sheetViews>
    <sheetView zoomScale="85" zoomScaleNormal="85" workbookViewId="0">
      <selection activeCell="L3" sqref="L3"/>
    </sheetView>
  </sheetViews>
  <sheetFormatPr defaultRowHeight="15" x14ac:dyDescent="0.25"/>
  <cols>
    <col min="3" max="3" width="10.7109375" bestFit="1" customWidth="1"/>
  </cols>
  <sheetData>
    <row r="3" spans="3:4" x14ac:dyDescent="0.25">
      <c r="D3" s="2"/>
    </row>
    <row r="4" spans="3:4" x14ac:dyDescent="0.25">
      <c r="C4" s="2"/>
      <c r="D4" s="6"/>
    </row>
    <row r="5" spans="3:4" x14ac:dyDescent="0.25">
      <c r="C5" s="2"/>
      <c r="D5" s="6"/>
    </row>
    <row r="6" spans="3:4" x14ac:dyDescent="0.25">
      <c r="C6" s="2"/>
      <c r="D6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FD14-F4E6-47EF-9958-F9FC95D4F34B}">
  <dimension ref="A1"/>
  <sheetViews>
    <sheetView topLeftCell="A22" zoomScale="160" zoomScaleNormal="160" workbookViewId="0">
      <selection activeCell="B45" sqref="B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Detailed Production</vt:lpstr>
      <vt:lpstr>Graphs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2026-02-17T13:53:13Z</dcterms:created>
  <dcterms:modified xsi:type="dcterms:W3CDTF">2026-03-04T22:17:36Z</dcterms:modified>
</cp:coreProperties>
</file>