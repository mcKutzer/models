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DABF4CC7-B07A-40A2-BE17-A0D500CB5C87}" xr6:coauthVersionLast="47" xr6:coauthVersionMax="47" xr10:uidLastSave="{00000000-0000-0000-0000-000000000000}"/>
  <bookViews>
    <workbookView xWindow="-120" yWindow="-120" windowWidth="29040" windowHeight="15840" xr2:uid="{39BF9263-2D6B-4D5D-AF54-617A41593C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2" i="1" l="1"/>
  <c r="Q39" i="1"/>
  <c r="R39" i="1" s="1"/>
  <c r="H39" i="1"/>
  <c r="I39" i="1"/>
  <c r="J39" i="1"/>
  <c r="K39" i="1"/>
  <c r="L39" i="1"/>
  <c r="M39" i="1"/>
  <c r="N39" i="1"/>
  <c r="O39" i="1"/>
  <c r="P39" i="1"/>
  <c r="G39" i="1"/>
  <c r="H37" i="1"/>
  <c r="I37" i="1"/>
  <c r="J37" i="1"/>
  <c r="K37" i="1"/>
  <c r="L37" i="1"/>
  <c r="M37" i="1"/>
  <c r="N37" i="1"/>
  <c r="O37" i="1"/>
  <c r="P37" i="1"/>
  <c r="G37" i="1"/>
  <c r="H35" i="1"/>
  <c r="I35" i="1"/>
  <c r="J35" i="1"/>
  <c r="K35" i="1"/>
  <c r="L35" i="1"/>
  <c r="M35" i="1"/>
  <c r="N35" i="1"/>
  <c r="O35" i="1"/>
  <c r="P35" i="1"/>
  <c r="G35" i="1"/>
  <c r="H25" i="1"/>
  <c r="I25" i="1"/>
  <c r="J25" i="1"/>
  <c r="K25" i="1"/>
  <c r="L25" i="1"/>
  <c r="M25" i="1"/>
  <c r="N25" i="1"/>
  <c r="O25" i="1"/>
  <c r="P25" i="1"/>
  <c r="G25" i="1"/>
  <c r="H24" i="1"/>
  <c r="I24" i="1"/>
  <c r="J24" i="1"/>
  <c r="K24" i="1"/>
  <c r="L24" i="1"/>
  <c r="M24" i="1"/>
  <c r="N24" i="1"/>
  <c r="O24" i="1"/>
  <c r="P24" i="1"/>
  <c r="G24" i="1"/>
  <c r="H22" i="1"/>
  <c r="I22" i="1"/>
  <c r="J22" i="1"/>
  <c r="K22" i="1"/>
  <c r="L22" i="1"/>
  <c r="M22" i="1"/>
  <c r="N22" i="1"/>
  <c r="O22" i="1"/>
  <c r="P22" i="1"/>
  <c r="G22" i="1"/>
  <c r="H19" i="1"/>
  <c r="I19" i="1" s="1"/>
  <c r="H20" i="1"/>
  <c r="I20" i="1"/>
  <c r="J20" i="1" s="1"/>
  <c r="K20" i="1" s="1"/>
  <c r="L20" i="1" s="1"/>
  <c r="M20" i="1" s="1"/>
  <c r="N20" i="1" s="1"/>
  <c r="O20" i="1" s="1"/>
  <c r="P20" i="1" s="1"/>
  <c r="G20" i="1"/>
  <c r="G19" i="1"/>
  <c r="H21" i="1"/>
  <c r="H23" i="1" s="1"/>
  <c r="H15" i="1"/>
  <c r="I15" i="1"/>
  <c r="J15" i="1"/>
  <c r="K15" i="1"/>
  <c r="L15" i="1"/>
  <c r="M15" i="1"/>
  <c r="N15" i="1"/>
  <c r="O15" i="1"/>
  <c r="P15" i="1"/>
  <c r="P51" i="1" s="1"/>
  <c r="G15" i="1"/>
  <c r="H14" i="1"/>
  <c r="I14" i="1" s="1"/>
  <c r="G14" i="1"/>
  <c r="G50" i="1" s="1"/>
  <c r="H13" i="1"/>
  <c r="I13" i="1" s="1"/>
  <c r="G13" i="1"/>
  <c r="G49" i="1" s="1"/>
  <c r="H49" i="1"/>
  <c r="G51" i="1"/>
  <c r="H51" i="1"/>
  <c r="I51" i="1"/>
  <c r="J51" i="1"/>
  <c r="K51" i="1"/>
  <c r="L51" i="1"/>
  <c r="M51" i="1"/>
  <c r="N51" i="1"/>
  <c r="O51" i="1"/>
  <c r="F49" i="1"/>
  <c r="F50" i="1"/>
  <c r="F51" i="1"/>
  <c r="E50" i="1"/>
  <c r="E51" i="1"/>
  <c r="E49" i="1"/>
  <c r="H10" i="1"/>
  <c r="I10" i="1"/>
  <c r="J10" i="1"/>
  <c r="K10" i="1"/>
  <c r="L10" i="1"/>
  <c r="M10" i="1"/>
  <c r="N10" i="1"/>
  <c r="O10" i="1"/>
  <c r="P10" i="1"/>
  <c r="G10" i="1"/>
  <c r="H9" i="1"/>
  <c r="I9" i="1"/>
  <c r="J9" i="1"/>
  <c r="K9" i="1"/>
  <c r="L9" i="1"/>
  <c r="M9" i="1"/>
  <c r="N9" i="1"/>
  <c r="O9" i="1"/>
  <c r="P9" i="1"/>
  <c r="G9" i="1"/>
  <c r="O11" i="1"/>
  <c r="H8" i="1"/>
  <c r="I8" i="1"/>
  <c r="J8" i="1"/>
  <c r="K8" i="1"/>
  <c r="L8" i="1"/>
  <c r="M8" i="1"/>
  <c r="N8" i="1"/>
  <c r="O8" i="1"/>
  <c r="P8" i="1"/>
  <c r="G8" i="1"/>
  <c r="G11" i="1" s="1"/>
  <c r="F48" i="1"/>
  <c r="F47" i="1"/>
  <c r="F46" i="1"/>
  <c r="E48" i="1"/>
  <c r="E47" i="1"/>
  <c r="E46" i="1"/>
  <c r="H29" i="1"/>
  <c r="I29" i="1"/>
  <c r="J29" i="1"/>
  <c r="K29" i="1"/>
  <c r="L29" i="1"/>
  <c r="M29" i="1"/>
  <c r="N29" i="1"/>
  <c r="O29" i="1"/>
  <c r="P29" i="1"/>
  <c r="H30" i="1"/>
  <c r="I30" i="1"/>
  <c r="J30" i="1"/>
  <c r="K30" i="1"/>
  <c r="L30" i="1"/>
  <c r="M30" i="1"/>
  <c r="N30" i="1"/>
  <c r="O30" i="1"/>
  <c r="P30" i="1"/>
  <c r="H31" i="1"/>
  <c r="I31" i="1"/>
  <c r="J31" i="1"/>
  <c r="K31" i="1"/>
  <c r="L31" i="1"/>
  <c r="M31" i="1"/>
  <c r="N31" i="1"/>
  <c r="O31" i="1"/>
  <c r="P31" i="1"/>
  <c r="H32" i="1"/>
  <c r="I32" i="1"/>
  <c r="J32" i="1"/>
  <c r="K32" i="1"/>
  <c r="L32" i="1"/>
  <c r="M32" i="1"/>
  <c r="N32" i="1"/>
  <c r="O32" i="1"/>
  <c r="P32" i="1"/>
  <c r="G32" i="1"/>
  <c r="G31" i="1"/>
  <c r="G30" i="1"/>
  <c r="G29" i="1"/>
  <c r="H5" i="1"/>
  <c r="I5" i="1" s="1"/>
  <c r="J5" i="1" s="1"/>
  <c r="K5" i="1" s="1"/>
  <c r="L5" i="1" s="1"/>
  <c r="M5" i="1" s="1"/>
  <c r="N5" i="1" s="1"/>
  <c r="O5" i="1" s="1"/>
  <c r="P5" i="1" s="1"/>
  <c r="H6" i="1"/>
  <c r="I6" i="1" s="1"/>
  <c r="J6" i="1" s="1"/>
  <c r="K6" i="1" s="1"/>
  <c r="L6" i="1" s="1"/>
  <c r="M6" i="1" s="1"/>
  <c r="N6" i="1" s="1"/>
  <c r="O6" i="1" s="1"/>
  <c r="P6" i="1" s="1"/>
  <c r="G6" i="1"/>
  <c r="G5" i="1"/>
  <c r="P4" i="1"/>
  <c r="O4" i="1"/>
  <c r="N4" i="1"/>
  <c r="M4" i="1"/>
  <c r="L4" i="1"/>
  <c r="K4" i="1"/>
  <c r="J4" i="1"/>
  <c r="I4" i="1"/>
  <c r="H4" i="1"/>
  <c r="G4" i="1"/>
  <c r="F32" i="1"/>
  <c r="F31" i="1"/>
  <c r="F30" i="1"/>
  <c r="F29" i="1"/>
  <c r="H7" i="1"/>
  <c r="H11" i="1"/>
  <c r="I11" i="1"/>
  <c r="J11" i="1"/>
  <c r="K11" i="1"/>
  <c r="L11" i="1"/>
  <c r="M11" i="1"/>
  <c r="N11" i="1"/>
  <c r="F44" i="1"/>
  <c r="E44" i="1"/>
  <c r="F43" i="1"/>
  <c r="E43" i="1"/>
  <c r="F37" i="1"/>
  <c r="F38" i="1" s="1"/>
  <c r="F39" i="1" s="1"/>
  <c r="E37" i="1"/>
  <c r="E38" i="1" s="1"/>
  <c r="E39" i="1" s="1"/>
  <c r="F16" i="1"/>
  <c r="E16" i="1"/>
  <c r="F7" i="1"/>
  <c r="G7" i="1"/>
  <c r="F11" i="1"/>
  <c r="E11" i="1"/>
  <c r="E7" i="1"/>
  <c r="F2" i="1"/>
  <c r="G2" i="1" s="1"/>
  <c r="H2" i="1" s="1"/>
  <c r="I2" i="1" s="1"/>
  <c r="J2" i="1" s="1"/>
  <c r="K2" i="1" s="1"/>
  <c r="L2" i="1" s="1"/>
  <c r="M2" i="1" s="1"/>
  <c r="N2" i="1" s="1"/>
  <c r="O2" i="1" s="1"/>
  <c r="P2" i="1" s="1"/>
  <c r="S39" i="1" l="1"/>
  <c r="T39" i="1" s="1"/>
  <c r="U39" i="1" s="1"/>
  <c r="V39" i="1" s="1"/>
  <c r="W39" i="1" s="1"/>
  <c r="X39" i="1" s="1"/>
  <c r="Y39" i="1" s="1"/>
  <c r="Z39" i="1" s="1"/>
  <c r="AA39" i="1" s="1"/>
  <c r="AB39" i="1" s="1"/>
  <c r="AC39" i="1" s="1"/>
  <c r="AD39" i="1" s="1"/>
  <c r="AE39" i="1" s="1"/>
  <c r="AF39" i="1" s="1"/>
  <c r="AG39" i="1" s="1"/>
  <c r="AH39" i="1" s="1"/>
  <c r="AI39" i="1" s="1"/>
  <c r="AJ39" i="1" s="1"/>
  <c r="AK39" i="1" s="1"/>
  <c r="AL39" i="1" s="1"/>
  <c r="AM39" i="1" s="1"/>
  <c r="AN39" i="1" s="1"/>
  <c r="AO39" i="1" s="1"/>
  <c r="AP39" i="1" s="1"/>
  <c r="AQ39" i="1" s="1"/>
  <c r="AR39" i="1" s="1"/>
  <c r="AS39" i="1" s="1"/>
  <c r="AT39" i="1" s="1"/>
  <c r="AU39" i="1" s="1"/>
  <c r="AV39" i="1" s="1"/>
  <c r="AW39" i="1" s="1"/>
  <c r="AX39" i="1" s="1"/>
  <c r="AY39" i="1" s="1"/>
  <c r="AZ39" i="1" s="1"/>
  <c r="BA39" i="1" s="1"/>
  <c r="BB39" i="1" s="1"/>
  <c r="BC39" i="1" s="1"/>
  <c r="BD39" i="1" s="1"/>
  <c r="BE39" i="1" s="1"/>
  <c r="BF39" i="1" s="1"/>
  <c r="BG39" i="1" s="1"/>
  <c r="BH39" i="1" s="1"/>
  <c r="BI39" i="1" s="1"/>
  <c r="BJ39" i="1" s="1"/>
  <c r="BK39" i="1" s="1"/>
  <c r="BL39" i="1" s="1"/>
  <c r="BM39" i="1" s="1"/>
  <c r="BN39" i="1" s="1"/>
  <c r="BO39" i="1" s="1"/>
  <c r="BP39" i="1" s="1"/>
  <c r="BQ39" i="1" s="1"/>
  <c r="BR39" i="1" s="1"/>
  <c r="BS39" i="1" s="1"/>
  <c r="BT39" i="1" s="1"/>
  <c r="BU39" i="1" s="1"/>
  <c r="BV39" i="1" s="1"/>
  <c r="BW39" i="1" s="1"/>
  <c r="BX39" i="1" s="1"/>
  <c r="BY39" i="1" s="1"/>
  <c r="BZ39" i="1" s="1"/>
  <c r="CA39" i="1" s="1"/>
  <c r="CB39" i="1" s="1"/>
  <c r="CC39" i="1" s="1"/>
  <c r="CD39" i="1" s="1"/>
  <c r="CE39" i="1" s="1"/>
  <c r="CF39" i="1" s="1"/>
  <c r="CG39" i="1" s="1"/>
  <c r="CH39" i="1" s="1"/>
  <c r="CI39" i="1" s="1"/>
  <c r="CJ39" i="1" s="1"/>
  <c r="CK39" i="1" s="1"/>
  <c r="CL39" i="1" s="1"/>
  <c r="CM39" i="1" s="1"/>
  <c r="CN39" i="1" s="1"/>
  <c r="CO39" i="1" s="1"/>
  <c r="CP39" i="1" s="1"/>
  <c r="CQ39" i="1" s="1"/>
  <c r="CR39" i="1" s="1"/>
  <c r="CS39" i="1" s="1"/>
  <c r="CT39" i="1" s="1"/>
  <c r="CU39" i="1" s="1"/>
  <c r="CV39" i="1" s="1"/>
  <c r="CW39" i="1" s="1"/>
  <c r="CX39" i="1" s="1"/>
  <c r="CY39" i="1" s="1"/>
  <c r="CZ39" i="1" s="1"/>
  <c r="DA39" i="1" s="1"/>
  <c r="DB39" i="1" s="1"/>
  <c r="DC39" i="1" s="1"/>
  <c r="DD39" i="1" s="1"/>
  <c r="DE39" i="1" s="1"/>
  <c r="DF39" i="1" s="1"/>
  <c r="DG39" i="1" s="1"/>
  <c r="DH39" i="1" s="1"/>
  <c r="DI39" i="1" s="1"/>
  <c r="DJ39" i="1" s="1"/>
  <c r="DK39" i="1" s="1"/>
  <c r="DL39" i="1" s="1"/>
  <c r="DM39" i="1" s="1"/>
  <c r="DN39" i="1" s="1"/>
  <c r="DO39" i="1" s="1"/>
  <c r="DP39" i="1" s="1"/>
  <c r="DQ39" i="1" s="1"/>
  <c r="DR39" i="1" s="1"/>
  <c r="DS39" i="1" s="1"/>
  <c r="DT39" i="1" s="1"/>
  <c r="DU39" i="1" s="1"/>
  <c r="DV39" i="1" s="1"/>
  <c r="DW39" i="1" s="1"/>
  <c r="DX39" i="1" s="1"/>
  <c r="DY39" i="1" s="1"/>
  <c r="DZ39" i="1" s="1"/>
  <c r="EA39" i="1" s="1"/>
  <c r="EB39" i="1" s="1"/>
  <c r="EC39" i="1" s="1"/>
  <c r="I21" i="1"/>
  <c r="I23" i="1" s="1"/>
  <c r="J19" i="1"/>
  <c r="J14" i="1"/>
  <c r="I50" i="1"/>
  <c r="H50" i="1"/>
  <c r="J13" i="1"/>
  <c r="I49" i="1"/>
  <c r="P11" i="1"/>
  <c r="G12" i="1"/>
  <c r="G17" i="1" s="1"/>
  <c r="G21" i="1" s="1"/>
  <c r="G23" i="1" s="1"/>
  <c r="I7" i="1"/>
  <c r="I12" i="1"/>
  <c r="I17" i="1" s="1"/>
  <c r="H12" i="1"/>
  <c r="H17" i="1" s="1"/>
  <c r="F12" i="1"/>
  <c r="E12" i="1"/>
  <c r="S31" i="1" l="1"/>
  <c r="S33" i="1" s="1"/>
  <c r="S35" i="1" s="1"/>
  <c r="K19" i="1"/>
  <c r="J21" i="1"/>
  <c r="J23" i="1" s="1"/>
  <c r="K14" i="1"/>
  <c r="J50" i="1"/>
  <c r="J49" i="1"/>
  <c r="K13" i="1"/>
  <c r="J7" i="1"/>
  <c r="J12" i="1" s="1"/>
  <c r="J17" i="1" s="1"/>
  <c r="E17" i="1"/>
  <c r="E27" i="1"/>
  <c r="F17" i="1"/>
  <c r="F27" i="1"/>
  <c r="K21" i="1" l="1"/>
  <c r="K23" i="1" s="1"/>
  <c r="L19" i="1"/>
  <c r="L14" i="1"/>
  <c r="K50" i="1"/>
  <c r="K49" i="1"/>
  <c r="L13" i="1"/>
  <c r="K7" i="1"/>
  <c r="K12" i="1" s="1"/>
  <c r="K17" i="1" s="1"/>
  <c r="F28" i="1"/>
  <c r="F21" i="1"/>
  <c r="F23" i="1" s="1"/>
  <c r="F25" i="1" s="1"/>
  <c r="E21" i="1"/>
  <c r="E23" i="1" s="1"/>
  <c r="E25" i="1" s="1"/>
  <c r="E28" i="1"/>
  <c r="L21" i="1" l="1"/>
  <c r="L23" i="1" s="1"/>
  <c r="M19" i="1"/>
  <c r="M14" i="1"/>
  <c r="L50" i="1"/>
  <c r="L49" i="1"/>
  <c r="M13" i="1"/>
  <c r="L7" i="1"/>
  <c r="L12" i="1" s="1"/>
  <c r="L17" i="1" s="1"/>
  <c r="M21" i="1" l="1"/>
  <c r="M23" i="1" s="1"/>
  <c r="N19" i="1"/>
  <c r="N14" i="1"/>
  <c r="M50" i="1"/>
  <c r="M49" i="1"/>
  <c r="N13" i="1"/>
  <c r="M7" i="1"/>
  <c r="M12" i="1" s="1"/>
  <c r="M17" i="1" s="1"/>
  <c r="N21" i="1" l="1"/>
  <c r="N23" i="1" s="1"/>
  <c r="O19" i="1"/>
  <c r="O14" i="1"/>
  <c r="N50" i="1"/>
  <c r="N49" i="1"/>
  <c r="O13" i="1"/>
  <c r="N7" i="1"/>
  <c r="N12" i="1" s="1"/>
  <c r="N17" i="1" s="1"/>
  <c r="O21" i="1" l="1"/>
  <c r="O23" i="1" s="1"/>
  <c r="P19" i="1"/>
  <c r="P21" i="1" s="1"/>
  <c r="P23" i="1" s="1"/>
  <c r="O50" i="1"/>
  <c r="P14" i="1"/>
  <c r="P50" i="1" s="1"/>
  <c r="O49" i="1"/>
  <c r="P13" i="1"/>
  <c r="P49" i="1" s="1"/>
  <c r="P7" i="1"/>
  <c r="P12" i="1" s="1"/>
  <c r="O7" i="1"/>
  <c r="O12" i="1" s="1"/>
  <c r="O17" i="1" s="1"/>
  <c r="P17" i="1" l="1"/>
</calcChain>
</file>

<file path=xl/sharedStrings.xml><?xml version="1.0" encoding="utf-8"?>
<sst xmlns="http://schemas.openxmlformats.org/spreadsheetml/2006/main" count="51" uniqueCount="41">
  <si>
    <t>Software license</t>
  </si>
  <si>
    <t>Cloude</t>
  </si>
  <si>
    <t>Service</t>
  </si>
  <si>
    <t>Total Revenue</t>
  </si>
  <si>
    <t>Cost of cloud</t>
  </si>
  <si>
    <t>Cost of software</t>
  </si>
  <si>
    <t>Cost of service</t>
  </si>
  <si>
    <t>Total COGS</t>
  </si>
  <si>
    <t>Gross Profit</t>
  </si>
  <si>
    <t>R&amp;D</t>
  </si>
  <si>
    <t>S&amp;M</t>
  </si>
  <si>
    <t>G&amp;A</t>
  </si>
  <si>
    <t>Operating Income</t>
  </si>
  <si>
    <t>Finance income</t>
  </si>
  <si>
    <t>Finance cost</t>
  </si>
  <si>
    <t>Pretax</t>
  </si>
  <si>
    <t>Taxes</t>
  </si>
  <si>
    <t>Net Income</t>
  </si>
  <si>
    <t>Other expenses</t>
  </si>
  <si>
    <t>Other Income</t>
  </si>
  <si>
    <t>Minority</t>
  </si>
  <si>
    <t>Company Income</t>
  </si>
  <si>
    <t>Gross Margin</t>
  </si>
  <si>
    <t>Operating Margin</t>
  </si>
  <si>
    <t>CFFO</t>
  </si>
  <si>
    <t>CapEx</t>
  </si>
  <si>
    <t>FCF</t>
  </si>
  <si>
    <t>SBC</t>
  </si>
  <si>
    <t>Adj. FCF</t>
  </si>
  <si>
    <t>Cash</t>
  </si>
  <si>
    <t>PP&amp;E</t>
  </si>
  <si>
    <t>Debt</t>
  </si>
  <si>
    <t>NAV</t>
  </si>
  <si>
    <t>Revenue Y/Y</t>
  </si>
  <si>
    <t>Discount</t>
  </si>
  <si>
    <t>Terminal</t>
  </si>
  <si>
    <t>NPV</t>
  </si>
  <si>
    <t>Net Cash</t>
  </si>
  <si>
    <t>Value</t>
  </si>
  <si>
    <t>Share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</si>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</sst>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3" fontId="0" fillId="0" borderId="0" xfId="0" applyNumberFormat="1" applyFont="1"/>
    <xf numFmtId="9" fontId="0" fillId="0" borderId="0" xfId="1" applyFont="1"/>
    <xf numFmtId="164" fontId="0" fillId="0" borderId="0" xfId="1" applyNumberFormat="1" applyFont="1"/>
    <xf numFmtId="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5013</xdr:colOff>
      <xdr:row>2</xdr:row>
      <xdr:rowOff>180474</xdr:rowOff>
    </xdr:from>
    <xdr:to>
      <xdr:col>6</xdr:col>
      <xdr:colOff>5013</xdr:colOff>
      <xdr:row>40</xdr:row>
      <xdr:rowOff>20053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C64EA16-9C05-9C38-ED7A-53B0150D67A2}"/>
            </a:ext>
          </a:extLst>
        </xdr:cNvPr>
        <xdr:cNvCxnSpPr/>
      </xdr:nvCxnSpPr>
      <xdr:spPr>
        <a:xfrm>
          <a:off x="3784934" y="561474"/>
          <a:ext cx="0" cy="593557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00F9-9104-484F-ACB8-05DE12B1A28C}">
  <dimension ref="B2:EC108"/>
  <sheetViews>
    <sheetView tabSelected="1" zoomScale="175" zoomScaleNormal="175" workbookViewId="0">
      <pane xSplit="2" ySplit="2" topLeftCell="D16" activePane="bottomRight" state="frozen"/>
      <selection pane="topRight" activeCell="C1" sqref="C1"/>
      <selection pane="bottomLeft" activeCell="A3" sqref="A3"/>
      <selection pane="bottomRight" activeCell="N33" sqref="N33"/>
    </sheetView>
  </sheetViews>
  <sheetFormatPr defaultRowHeight="15" x14ac:dyDescent="0.25"/>
  <cols>
    <col min="1" max="1" width="3" customWidth="1"/>
    <col min="2" max="2" width="17" bestFit="1" customWidth="1"/>
  </cols>
  <sheetData>
    <row r="2" spans="2:16" x14ac:dyDescent="0.25">
      <c r="E2">
        <v>2024</v>
      </c>
      <c r="F2">
        <f>+E2+1</f>
        <v>2025</v>
      </c>
      <c r="G2">
        <f t="shared" ref="G2:P2" si="0">+F2+1</f>
        <v>2026</v>
      </c>
      <c r="H2">
        <f t="shared" si="0"/>
        <v>2027</v>
      </c>
      <c r="I2">
        <f t="shared" si="0"/>
        <v>2028</v>
      </c>
      <c r="J2">
        <f t="shared" si="0"/>
        <v>2029</v>
      </c>
      <c r="K2">
        <f t="shared" si="0"/>
        <v>2030</v>
      </c>
      <c r="L2">
        <f t="shared" si="0"/>
        <v>2031</v>
      </c>
      <c r="M2">
        <f t="shared" si="0"/>
        <v>2032</v>
      </c>
      <c r="N2">
        <f t="shared" si="0"/>
        <v>2033</v>
      </c>
      <c r="O2">
        <f t="shared" si="0"/>
        <v>2034</v>
      </c>
      <c r="P2">
        <f t="shared" si="0"/>
        <v>2035</v>
      </c>
    </row>
    <row r="3" spans="2:16" s="1" customFormat="1" x14ac:dyDescent="0.25"/>
    <row r="4" spans="2:16" s="1" customFormat="1" x14ac:dyDescent="0.25">
      <c r="B4" s="1" t="s">
        <v>1</v>
      </c>
      <c r="E4" s="1">
        <v>17141</v>
      </c>
      <c r="F4" s="1">
        <v>21023</v>
      </c>
      <c r="G4" s="1">
        <f>+F4*1.2</f>
        <v>25227.599999999999</v>
      </c>
      <c r="H4" s="1">
        <f>+G4*1.18</f>
        <v>29768.567999999996</v>
      </c>
      <c r="I4" s="1">
        <f>+H4*1.15</f>
        <v>34233.85319999999</v>
      </c>
      <c r="J4" s="1">
        <f>+I4*1.12</f>
        <v>38341.915583999995</v>
      </c>
      <c r="K4" s="1">
        <f>+J4*1.12</f>
        <v>42942.94545408</v>
      </c>
      <c r="L4" s="1">
        <f>+K4*1.1</f>
        <v>47237.239999488003</v>
      </c>
      <c r="M4" s="1">
        <f>+L4*1.1</f>
        <v>51960.963999436804</v>
      </c>
      <c r="N4" s="1">
        <f>+M4*1.08</f>
        <v>56117.841119391749</v>
      </c>
      <c r="O4" s="1">
        <f>+N4*1.08</f>
        <v>60607.268408943091</v>
      </c>
      <c r="P4" s="1">
        <f>+O4*1.08</f>
        <v>65455.849881658542</v>
      </c>
    </row>
    <row r="5" spans="2:16" s="1" customFormat="1" x14ac:dyDescent="0.25">
      <c r="B5" s="1" t="s">
        <v>0</v>
      </c>
      <c r="E5" s="1">
        <v>12689</v>
      </c>
      <c r="F5" s="1">
        <v>11515</v>
      </c>
      <c r="G5" s="1">
        <f>+F5*1.02</f>
        <v>11745.300000000001</v>
      </c>
      <c r="H5" s="1">
        <f t="shared" ref="H5:P5" si="1">+G5*1.02</f>
        <v>11980.206000000002</v>
      </c>
      <c r="I5" s="1">
        <f t="shared" si="1"/>
        <v>12219.810120000002</v>
      </c>
      <c r="J5" s="1">
        <f t="shared" si="1"/>
        <v>12464.206322400003</v>
      </c>
      <c r="K5" s="1">
        <f t="shared" si="1"/>
        <v>12713.490448848004</v>
      </c>
      <c r="L5" s="1">
        <f t="shared" si="1"/>
        <v>12967.760257824964</v>
      </c>
      <c r="M5" s="1">
        <f t="shared" si="1"/>
        <v>13227.115462981465</v>
      </c>
      <c r="N5" s="1">
        <f t="shared" si="1"/>
        <v>13491.657772241095</v>
      </c>
      <c r="O5" s="1">
        <f t="shared" si="1"/>
        <v>13761.490927685916</v>
      </c>
      <c r="P5" s="1">
        <f t="shared" si="1"/>
        <v>14036.720746239635</v>
      </c>
    </row>
    <row r="6" spans="2:16" s="1" customFormat="1" x14ac:dyDescent="0.25">
      <c r="B6" s="1" t="s">
        <v>2</v>
      </c>
      <c r="E6" s="1">
        <v>4346</v>
      </c>
      <c r="F6" s="1">
        <v>4262</v>
      </c>
      <c r="G6" s="1">
        <f>+F6*1.02</f>
        <v>4347.24</v>
      </c>
      <c r="H6" s="1">
        <f t="shared" ref="H6:P6" si="2">+G6*1.02</f>
        <v>4434.1848</v>
      </c>
      <c r="I6" s="1">
        <f t="shared" si="2"/>
        <v>4522.8684960000001</v>
      </c>
      <c r="J6" s="1">
        <f t="shared" si="2"/>
        <v>4613.3258659200001</v>
      </c>
      <c r="K6" s="1">
        <f t="shared" si="2"/>
        <v>4705.5923832384005</v>
      </c>
      <c r="L6" s="1">
        <f t="shared" si="2"/>
        <v>4799.7042309031685</v>
      </c>
      <c r="M6" s="1">
        <f t="shared" si="2"/>
        <v>4895.698315521232</v>
      </c>
      <c r="N6" s="1">
        <f t="shared" si="2"/>
        <v>4993.6122818316571</v>
      </c>
      <c r="O6" s="1">
        <f t="shared" si="2"/>
        <v>5093.4845274682903</v>
      </c>
      <c r="P6" s="1">
        <f t="shared" si="2"/>
        <v>5195.3542180176564</v>
      </c>
    </row>
    <row r="7" spans="2:16" s="2" customFormat="1" x14ac:dyDescent="0.25">
      <c r="B7" s="2" t="s">
        <v>3</v>
      </c>
      <c r="E7" s="2">
        <f>+SUM(E4:E6)</f>
        <v>34176</v>
      </c>
      <c r="F7" s="2">
        <f t="shared" ref="F7:G7" si="3">+SUM(F4:F6)</f>
        <v>36800</v>
      </c>
      <c r="G7" s="2">
        <f t="shared" si="3"/>
        <v>41320.14</v>
      </c>
      <c r="H7" s="2">
        <f t="shared" ref="H7" si="4">+SUM(H4:H6)</f>
        <v>46182.9588</v>
      </c>
      <c r="I7" s="2">
        <f t="shared" ref="I7" si="5">+SUM(I4:I6)</f>
        <v>50976.531815999995</v>
      </c>
      <c r="J7" s="2">
        <f t="shared" ref="J7" si="6">+SUM(J4:J6)</f>
        <v>55419.447772319996</v>
      </c>
      <c r="K7" s="2">
        <f t="shared" ref="K7" si="7">+SUM(K4:K6)</f>
        <v>60362.028286166402</v>
      </c>
      <c r="L7" s="2">
        <f t="shared" ref="L7" si="8">+SUM(L4:L6)</f>
        <v>65004.704488216135</v>
      </c>
      <c r="M7" s="2">
        <f t="shared" ref="M7" si="9">+SUM(M4:M6)</f>
        <v>70083.777777939496</v>
      </c>
      <c r="N7" s="2">
        <f t="shared" ref="N7" si="10">+SUM(N4:N6)</f>
        <v>74603.111173464495</v>
      </c>
      <c r="O7" s="2">
        <f t="shared" ref="O7:P7" si="11">+SUM(O4:O6)</f>
        <v>79462.243864097298</v>
      </c>
      <c r="P7" s="2">
        <f t="shared" si="11"/>
        <v>84687.924845915841</v>
      </c>
    </row>
    <row r="8" spans="2:16" s="1" customFormat="1" x14ac:dyDescent="0.25">
      <c r="B8" s="1" t="s">
        <v>4</v>
      </c>
      <c r="E8" s="1">
        <v>4660</v>
      </c>
      <c r="F8" s="1">
        <v>5416</v>
      </c>
      <c r="G8" s="1">
        <f>+G4*0.25</f>
        <v>6306.9</v>
      </c>
      <c r="H8" s="1">
        <f t="shared" ref="H8:P8" si="12">+H4*0.25</f>
        <v>7442.1419999999989</v>
      </c>
      <c r="I8" s="1">
        <f t="shared" si="12"/>
        <v>8558.4632999999976</v>
      </c>
      <c r="J8" s="1">
        <f t="shared" si="12"/>
        <v>9585.4788959999987</v>
      </c>
      <c r="K8" s="1">
        <f t="shared" si="12"/>
        <v>10735.73636352</v>
      </c>
      <c r="L8" s="1">
        <f t="shared" si="12"/>
        <v>11809.309999872001</v>
      </c>
      <c r="M8" s="1">
        <f t="shared" si="12"/>
        <v>12990.240999859201</v>
      </c>
      <c r="N8" s="1">
        <f t="shared" si="12"/>
        <v>14029.460279847937</v>
      </c>
      <c r="O8" s="1">
        <f t="shared" si="12"/>
        <v>15151.817102235773</v>
      </c>
      <c r="P8" s="1">
        <f t="shared" si="12"/>
        <v>16363.962470414635</v>
      </c>
    </row>
    <row r="9" spans="2:16" s="1" customFormat="1" x14ac:dyDescent="0.25">
      <c r="B9" s="1" t="s">
        <v>5</v>
      </c>
      <c r="E9" s="1">
        <v>1262</v>
      </c>
      <c r="F9" s="1">
        <v>1249</v>
      </c>
      <c r="G9" s="1">
        <f>+G5*0.1</f>
        <v>1174.5300000000002</v>
      </c>
      <c r="H9" s="1">
        <f t="shared" ref="H9:P9" si="13">+H5*0.1</f>
        <v>1198.0206000000003</v>
      </c>
      <c r="I9" s="1">
        <f t="shared" si="13"/>
        <v>1221.9810120000002</v>
      </c>
      <c r="J9" s="1">
        <f t="shared" si="13"/>
        <v>1246.4206322400005</v>
      </c>
      <c r="K9" s="1">
        <f t="shared" si="13"/>
        <v>1271.3490448848006</v>
      </c>
      <c r="L9" s="1">
        <f t="shared" si="13"/>
        <v>1296.7760257824966</v>
      </c>
      <c r="M9" s="1">
        <f t="shared" si="13"/>
        <v>1322.7115462981465</v>
      </c>
      <c r="N9" s="1">
        <f t="shared" si="13"/>
        <v>1349.1657772241097</v>
      </c>
      <c r="O9" s="1">
        <f t="shared" si="13"/>
        <v>1376.1490927685918</v>
      </c>
      <c r="P9" s="1">
        <f t="shared" si="13"/>
        <v>1403.6720746239635</v>
      </c>
    </row>
    <row r="10" spans="2:16" s="1" customFormat="1" x14ac:dyDescent="0.25">
      <c r="B10" s="1" t="s">
        <v>6</v>
      </c>
      <c r="E10" s="1">
        <v>3321</v>
      </c>
      <c r="F10" s="1">
        <v>3193</v>
      </c>
      <c r="G10" s="1">
        <f>+G6*0.75</f>
        <v>3260.43</v>
      </c>
      <c r="H10" s="1">
        <f t="shared" ref="H10:P10" si="14">+H6*0.75</f>
        <v>3325.6386000000002</v>
      </c>
      <c r="I10" s="1">
        <f t="shared" si="14"/>
        <v>3392.1513720000003</v>
      </c>
      <c r="J10" s="1">
        <f t="shared" si="14"/>
        <v>3459.9943994400001</v>
      </c>
      <c r="K10" s="1">
        <f t="shared" si="14"/>
        <v>3529.1942874288006</v>
      </c>
      <c r="L10" s="1">
        <f t="shared" si="14"/>
        <v>3599.7781731773766</v>
      </c>
      <c r="M10" s="1">
        <f t="shared" si="14"/>
        <v>3671.7737366409237</v>
      </c>
      <c r="N10" s="1">
        <f t="shared" si="14"/>
        <v>3745.2092113737426</v>
      </c>
      <c r="O10" s="1">
        <f t="shared" si="14"/>
        <v>3820.1133956012177</v>
      </c>
      <c r="P10" s="1">
        <f t="shared" si="14"/>
        <v>3896.5156635132425</v>
      </c>
    </row>
    <row r="11" spans="2:16" s="1" customFormat="1" x14ac:dyDescent="0.25">
      <c r="B11" s="1" t="s">
        <v>7</v>
      </c>
      <c r="E11" s="1">
        <f>+SUM(E8:E10)</f>
        <v>9243</v>
      </c>
      <c r="F11" s="1">
        <f t="shared" ref="F11:G11" si="15">+SUM(F8:F10)</f>
        <v>9858</v>
      </c>
      <c r="G11" s="1">
        <f t="shared" si="15"/>
        <v>10741.86</v>
      </c>
      <c r="H11" s="1">
        <f t="shared" ref="H11" si="16">+SUM(H8:H10)</f>
        <v>11965.8012</v>
      </c>
      <c r="I11" s="1">
        <f t="shared" ref="I11" si="17">+SUM(I8:I10)</f>
        <v>13172.595683999998</v>
      </c>
      <c r="J11" s="1">
        <f t="shared" ref="J11" si="18">+SUM(J8:J10)</f>
        <v>14291.893927679999</v>
      </c>
      <c r="K11" s="1">
        <f t="shared" ref="K11" si="19">+SUM(K8:K10)</f>
        <v>15536.2796958336</v>
      </c>
      <c r="L11" s="1">
        <f t="shared" ref="L11" si="20">+SUM(L8:L10)</f>
        <v>16705.864198831874</v>
      </c>
      <c r="M11" s="1">
        <f t="shared" ref="M11" si="21">+SUM(M8:M10)</f>
        <v>17984.72628279827</v>
      </c>
      <c r="N11" s="1">
        <f t="shared" ref="N11" si="22">+SUM(N8:N10)</f>
        <v>19123.83526844579</v>
      </c>
      <c r="O11" s="1">
        <f t="shared" ref="O11:P11" si="23">+SUM(O8:O10)</f>
        <v>20348.079590605583</v>
      </c>
      <c r="P11" s="1">
        <f t="shared" si="23"/>
        <v>21664.150208551844</v>
      </c>
    </row>
    <row r="12" spans="2:16" s="1" customFormat="1" x14ac:dyDescent="0.25">
      <c r="B12" s="1" t="s">
        <v>8</v>
      </c>
      <c r="E12" s="1">
        <f>+E7-E11</f>
        <v>24933</v>
      </c>
      <c r="F12" s="1">
        <f t="shared" ref="F12:G12" si="24">+F7-F11</f>
        <v>26942</v>
      </c>
      <c r="G12" s="1">
        <f t="shared" si="24"/>
        <v>30578.28</v>
      </c>
      <c r="H12" s="1">
        <f t="shared" ref="H12" si="25">+H7-H11</f>
        <v>34217.157599999999</v>
      </c>
      <c r="I12" s="1">
        <f t="shared" ref="I12" si="26">+I7-I11</f>
        <v>37803.936131999995</v>
      </c>
      <c r="J12" s="1">
        <f t="shared" ref="J12" si="27">+J7-J11</f>
        <v>41127.553844639995</v>
      </c>
      <c r="K12" s="1">
        <f t="shared" ref="K12" si="28">+K7-K11</f>
        <v>44825.748590332805</v>
      </c>
      <c r="L12" s="1">
        <f t="shared" ref="L12" si="29">+L7-L11</f>
        <v>48298.840289384258</v>
      </c>
      <c r="M12" s="1">
        <f t="shared" ref="M12" si="30">+M7-M11</f>
        <v>52099.051495141226</v>
      </c>
      <c r="N12" s="1">
        <f t="shared" ref="N12" si="31">+N7-N11</f>
        <v>55479.275905018701</v>
      </c>
      <c r="O12" s="1">
        <f t="shared" ref="O12:P12" si="32">+O7-O11</f>
        <v>59114.164273491711</v>
      </c>
      <c r="P12" s="1">
        <f t="shared" si="32"/>
        <v>63023.774637363997</v>
      </c>
    </row>
    <row r="13" spans="2:16" s="1" customFormat="1" x14ac:dyDescent="0.25">
      <c r="B13" s="1" t="s">
        <v>9</v>
      </c>
      <c r="E13" s="1">
        <v>6514</v>
      </c>
      <c r="F13" s="1">
        <v>6633</v>
      </c>
      <c r="G13" s="1">
        <f>+F13*(1+G32*0.666666666666667)</f>
        <v>7176.1537793478265</v>
      </c>
      <c r="H13" s="1">
        <f t="shared" ref="H13:P13" si="33">+G13*(1+H32*0.666666666666667)</f>
        <v>7739.1776140509292</v>
      </c>
      <c r="I13" s="1">
        <f t="shared" si="33"/>
        <v>8274.7043384920617</v>
      </c>
      <c r="J13" s="1">
        <f t="shared" si="33"/>
        <v>8755.4983382619412</v>
      </c>
      <c r="K13" s="1">
        <f t="shared" si="33"/>
        <v>9276.0707752578728</v>
      </c>
      <c r="L13" s="1">
        <f t="shared" si="33"/>
        <v>9751.7096745191866</v>
      </c>
      <c r="M13" s="1">
        <f t="shared" si="33"/>
        <v>10259.669301205036</v>
      </c>
      <c r="N13" s="1">
        <f t="shared" si="33"/>
        <v>10700.730628757819</v>
      </c>
      <c r="O13" s="1">
        <f t="shared" si="33"/>
        <v>11165.378543069353</v>
      </c>
      <c r="P13" s="1">
        <f t="shared" si="33"/>
        <v>11654.891578611208</v>
      </c>
    </row>
    <row r="14" spans="2:16" s="1" customFormat="1" x14ac:dyDescent="0.25">
      <c r="B14" s="1" t="s">
        <v>10</v>
      </c>
      <c r="E14" s="1">
        <v>9090</v>
      </c>
      <c r="F14" s="1">
        <v>8879</v>
      </c>
      <c r="G14" s="1">
        <f>+F14*(1+G32*0.7)</f>
        <v>9642.4246234239126</v>
      </c>
      <c r="H14" s="1">
        <f t="shared" ref="H14:P14" si="34">+G14*(1+H32*0.7)</f>
        <v>10436.772237334662</v>
      </c>
      <c r="I14" s="1">
        <f t="shared" si="34"/>
        <v>11195.073605408068</v>
      </c>
      <c r="J14" s="1">
        <f t="shared" si="34"/>
        <v>11878.076912365545</v>
      </c>
      <c r="K14" s="1">
        <f t="shared" si="34"/>
        <v>12619.618874514879</v>
      </c>
      <c r="L14" s="1">
        <f t="shared" si="34"/>
        <v>13299.055336870346</v>
      </c>
      <c r="M14" s="1">
        <f t="shared" si="34"/>
        <v>14026.430595173491</v>
      </c>
      <c r="N14" s="1">
        <f t="shared" si="34"/>
        <v>14659.573995158904</v>
      </c>
      <c r="O14" s="1">
        <f t="shared" si="34"/>
        <v>15327.950553148547</v>
      </c>
      <c r="P14" s="1">
        <f t="shared" si="34"/>
        <v>16033.559696064072</v>
      </c>
    </row>
    <row r="15" spans="2:16" s="1" customFormat="1" x14ac:dyDescent="0.25">
      <c r="B15" s="1" t="s">
        <v>11</v>
      </c>
      <c r="E15" s="1">
        <v>1435</v>
      </c>
      <c r="F15" s="1">
        <v>1548</v>
      </c>
      <c r="G15" s="1">
        <f>+G7*0.042</f>
        <v>1735.44588</v>
      </c>
      <c r="H15" s="1">
        <f t="shared" ref="H15:P15" si="35">+H7*0.042</f>
        <v>1939.6842696000001</v>
      </c>
      <c r="I15" s="1">
        <f t="shared" si="35"/>
        <v>2141.014336272</v>
      </c>
      <c r="J15" s="1">
        <f t="shared" si="35"/>
        <v>2327.6168064374401</v>
      </c>
      <c r="K15" s="1">
        <f t="shared" si="35"/>
        <v>2535.2051880189892</v>
      </c>
      <c r="L15" s="1">
        <f t="shared" si="35"/>
        <v>2730.1975885050779</v>
      </c>
      <c r="M15" s="1">
        <f t="shared" si="35"/>
        <v>2943.5186666734589</v>
      </c>
      <c r="N15" s="1">
        <f t="shared" si="35"/>
        <v>3133.330669285509</v>
      </c>
      <c r="O15" s="1">
        <f t="shared" si="35"/>
        <v>3337.4142422920868</v>
      </c>
      <c r="P15" s="1">
        <f t="shared" si="35"/>
        <v>3556.8928435284656</v>
      </c>
    </row>
    <row r="16" spans="2:16" s="1" customFormat="1" x14ac:dyDescent="0.25">
      <c r="B16" s="1" t="s">
        <v>18</v>
      </c>
      <c r="E16" s="1">
        <f>3144+85</f>
        <v>3229</v>
      </c>
      <c r="F16" s="1">
        <f>3+49</f>
        <v>52</v>
      </c>
      <c r="G16" s="1">
        <v>50</v>
      </c>
      <c r="H16" s="1">
        <v>50</v>
      </c>
      <c r="I16" s="1">
        <v>50</v>
      </c>
      <c r="J16" s="1">
        <v>50</v>
      </c>
      <c r="K16" s="1">
        <v>50</v>
      </c>
      <c r="L16" s="1">
        <v>50</v>
      </c>
      <c r="M16" s="1">
        <v>50</v>
      </c>
      <c r="N16" s="1">
        <v>50</v>
      </c>
      <c r="O16" s="1">
        <v>50</v>
      </c>
      <c r="P16" s="1">
        <v>50</v>
      </c>
    </row>
    <row r="17" spans="2:19" s="2" customFormat="1" x14ac:dyDescent="0.25">
      <c r="B17" s="2" t="s">
        <v>12</v>
      </c>
      <c r="E17" s="2">
        <f>+E12-E13-E14-E15-E16</f>
        <v>4665</v>
      </c>
      <c r="F17" s="2">
        <f t="shared" ref="F17:G17" si="36">+F12-F13-F14-F15-F16</f>
        <v>9830</v>
      </c>
      <c r="G17" s="2">
        <f t="shared" si="36"/>
        <v>11974.25571722826</v>
      </c>
      <c r="H17" s="2">
        <f t="shared" ref="H17" si="37">+H12-H13-H14-H15-H16</f>
        <v>14051.523479014408</v>
      </c>
      <c r="I17" s="2">
        <f t="shared" ref="I17" si="38">+I12-I13-I14-I15-I16</f>
        <v>16143.143851827863</v>
      </c>
      <c r="J17" s="2">
        <f t="shared" ref="J17" si="39">+J12-J13-J14-J15-J16</f>
        <v>18116.361787575072</v>
      </c>
      <c r="K17" s="2">
        <f t="shared" ref="K17" si="40">+K12-K13-K14-K15-K16</f>
        <v>20344.853752541061</v>
      </c>
      <c r="L17" s="2">
        <f t="shared" ref="L17" si="41">+L12-L13-L14-L15-L16</f>
        <v>22467.877689489644</v>
      </c>
      <c r="M17" s="2">
        <f t="shared" ref="M17" si="42">+M12-M13-M14-M15-M16</f>
        <v>24819.432932089236</v>
      </c>
      <c r="N17" s="2">
        <f t="shared" ref="N17" si="43">+N12-N13-N14-N15-N16</f>
        <v>26935.64061181647</v>
      </c>
      <c r="O17" s="2">
        <f t="shared" ref="O17:P17" si="44">+O12-O13-O14-O15-O16</f>
        <v>29233.420934981725</v>
      </c>
      <c r="P17" s="2">
        <f t="shared" si="44"/>
        <v>31728.430519160258</v>
      </c>
    </row>
    <row r="18" spans="2:19" s="3" customFormat="1" x14ac:dyDescent="0.25">
      <c r="B18" s="3" t="s">
        <v>19</v>
      </c>
      <c r="E18" s="3">
        <v>-298</v>
      </c>
      <c r="F18" s="3">
        <v>118</v>
      </c>
    </row>
    <row r="19" spans="2:19" s="1" customFormat="1" x14ac:dyDescent="0.25">
      <c r="B19" s="1" t="s">
        <v>13</v>
      </c>
      <c r="E19" s="1">
        <v>1429</v>
      </c>
      <c r="F19" s="1">
        <v>1911</v>
      </c>
      <c r="G19" s="1">
        <f>+F19*1.05</f>
        <v>2006.5500000000002</v>
      </c>
      <c r="H19" s="1">
        <f t="shared" ref="H19:P19" si="45">+G19*1.05</f>
        <v>2106.8775000000001</v>
      </c>
      <c r="I19" s="1">
        <f t="shared" si="45"/>
        <v>2212.2213750000001</v>
      </c>
      <c r="J19" s="1">
        <f t="shared" si="45"/>
        <v>2322.83244375</v>
      </c>
      <c r="K19" s="1">
        <f t="shared" si="45"/>
        <v>2438.9740659375002</v>
      </c>
      <c r="L19" s="1">
        <f t="shared" si="45"/>
        <v>2560.9227692343752</v>
      </c>
      <c r="M19" s="1">
        <f t="shared" si="45"/>
        <v>2688.968907696094</v>
      </c>
      <c r="N19" s="1">
        <f t="shared" si="45"/>
        <v>2823.4173530808989</v>
      </c>
      <c r="O19" s="1">
        <f t="shared" si="45"/>
        <v>2964.5882207349441</v>
      </c>
      <c r="P19" s="1">
        <f t="shared" si="45"/>
        <v>3112.8176317716916</v>
      </c>
    </row>
    <row r="20" spans="2:19" s="1" customFormat="1" x14ac:dyDescent="0.25">
      <c r="B20" s="1" t="s">
        <v>14</v>
      </c>
      <c r="E20" s="1">
        <v>1031</v>
      </c>
      <c r="F20" s="1">
        <v>1377</v>
      </c>
      <c r="G20" s="1">
        <f>+F20*1.05</f>
        <v>1445.8500000000001</v>
      </c>
      <c r="H20" s="1">
        <f t="shared" ref="H20:P20" si="46">+G20*1.05</f>
        <v>1518.1425000000002</v>
      </c>
      <c r="I20" s="1">
        <f t="shared" si="46"/>
        <v>1594.0496250000003</v>
      </c>
      <c r="J20" s="1">
        <f t="shared" si="46"/>
        <v>1673.7521062500005</v>
      </c>
      <c r="K20" s="1">
        <f t="shared" si="46"/>
        <v>1757.4397115625006</v>
      </c>
      <c r="L20" s="1">
        <f t="shared" si="46"/>
        <v>1845.3116971406257</v>
      </c>
      <c r="M20" s="1">
        <f t="shared" si="46"/>
        <v>1937.5772819976571</v>
      </c>
      <c r="N20" s="1">
        <f t="shared" si="46"/>
        <v>2034.4561460975401</v>
      </c>
      <c r="O20" s="1">
        <f t="shared" si="46"/>
        <v>2136.1789534024174</v>
      </c>
      <c r="P20" s="1">
        <f t="shared" si="46"/>
        <v>2242.9879010725385</v>
      </c>
    </row>
    <row r="21" spans="2:19" s="1" customFormat="1" x14ac:dyDescent="0.25">
      <c r="B21" s="1" t="s">
        <v>15</v>
      </c>
      <c r="E21" s="1">
        <f>+E17+E18+E19-E20</f>
        <v>4765</v>
      </c>
      <c r="F21" s="1">
        <f>+F17+F18+F19-F20</f>
        <v>10482</v>
      </c>
      <c r="G21" s="1">
        <f t="shared" ref="G21" si="47">+G17+G19-G20</f>
        <v>12534.95571722826</v>
      </c>
      <c r="H21" s="1">
        <f t="shared" ref="H21" si="48">+H17+H19-H20</f>
        <v>14640.258479014408</v>
      </c>
      <c r="I21" s="1">
        <f t="shared" ref="I21" si="49">+I17+I19-I20</f>
        <v>16761.315601827864</v>
      </c>
      <c r="J21" s="1">
        <f t="shared" ref="J21" si="50">+J17+J19-J20</f>
        <v>18765.442125075071</v>
      </c>
      <c r="K21" s="1">
        <f t="shared" ref="K21" si="51">+K17+K19-K20</f>
        <v>21026.38810691606</v>
      </c>
      <c r="L21" s="1">
        <f t="shared" ref="L21" si="52">+L17+L19-L20</f>
        <v>23183.48876158339</v>
      </c>
      <c r="M21" s="1">
        <f t="shared" ref="M21" si="53">+M17+M19-M20</f>
        <v>25570.824557787673</v>
      </c>
      <c r="N21" s="1">
        <f t="shared" ref="N21" si="54">+N17+N19-N20</f>
        <v>27724.601818799827</v>
      </c>
      <c r="O21" s="1">
        <f t="shared" ref="O21" si="55">+O17+O19-O20</f>
        <v>30061.83020231425</v>
      </c>
      <c r="P21" s="1">
        <f t="shared" ref="P21" si="56">+P17+P19-P20</f>
        <v>32598.26024985941</v>
      </c>
    </row>
    <row r="22" spans="2:19" s="1" customFormat="1" x14ac:dyDescent="0.25">
      <c r="B22" s="1" t="s">
        <v>16</v>
      </c>
      <c r="E22" s="1">
        <v>1614</v>
      </c>
      <c r="F22" s="1">
        <v>2991</v>
      </c>
      <c r="G22" s="1">
        <f>+G21*0.274</f>
        <v>3434.5778665205435</v>
      </c>
      <c r="H22" s="1">
        <f t="shared" ref="H22:P22" si="57">+H21*0.274</f>
        <v>4011.4308232499484</v>
      </c>
      <c r="I22" s="1">
        <f t="shared" si="57"/>
        <v>4592.6004749008353</v>
      </c>
      <c r="J22" s="1">
        <f t="shared" si="57"/>
        <v>5141.7311422705698</v>
      </c>
      <c r="K22" s="1">
        <f t="shared" si="57"/>
        <v>5761.2303412950005</v>
      </c>
      <c r="L22" s="1">
        <f t="shared" si="57"/>
        <v>6352.2759206738492</v>
      </c>
      <c r="M22" s="1">
        <f t="shared" si="57"/>
        <v>7006.4059288338231</v>
      </c>
      <c r="N22" s="1">
        <f t="shared" si="57"/>
        <v>7596.5408983511534</v>
      </c>
      <c r="O22" s="1">
        <f t="shared" si="57"/>
        <v>8236.9414754341051</v>
      </c>
      <c r="P22" s="1">
        <f t="shared" si="57"/>
        <v>8931.9233084614789</v>
      </c>
    </row>
    <row r="23" spans="2:19" s="2" customFormat="1" x14ac:dyDescent="0.25">
      <c r="B23" s="2" t="s">
        <v>17</v>
      </c>
      <c r="E23" s="2">
        <f>+E21-E22</f>
        <v>3151</v>
      </c>
      <c r="F23" s="2">
        <f t="shared" ref="F23:G23" si="58">+F21-F22</f>
        <v>7491</v>
      </c>
      <c r="G23" s="2">
        <f t="shared" si="58"/>
        <v>9100.3778507077168</v>
      </c>
      <c r="H23" s="2">
        <f t="shared" ref="H23" si="59">+H21-H22</f>
        <v>10628.82765576446</v>
      </c>
      <c r="I23" s="2">
        <f t="shared" ref="I23" si="60">+I21-I22</f>
        <v>12168.715126927029</v>
      </c>
      <c r="J23" s="2">
        <f t="shared" ref="J23" si="61">+J21-J22</f>
        <v>13623.710982804501</v>
      </c>
      <c r="K23" s="2">
        <f t="shared" ref="K23" si="62">+K21-K22</f>
        <v>15265.157765621059</v>
      </c>
      <c r="L23" s="2">
        <f t="shared" ref="L23" si="63">+L21-L22</f>
        <v>16831.212840909542</v>
      </c>
      <c r="M23" s="2">
        <f t="shared" ref="M23" si="64">+M21-M22</f>
        <v>18564.418628953848</v>
      </c>
      <c r="N23" s="2">
        <f t="shared" ref="N23" si="65">+N21-N22</f>
        <v>20128.060920448675</v>
      </c>
      <c r="O23" s="2">
        <f t="shared" ref="O23" si="66">+O21-O22</f>
        <v>21824.888726880145</v>
      </c>
      <c r="P23" s="2">
        <f t="shared" ref="P23" si="67">+P21-P22</f>
        <v>23666.336941397931</v>
      </c>
    </row>
    <row r="24" spans="2:19" s="1" customFormat="1" x14ac:dyDescent="0.25">
      <c r="B24" s="1" t="s">
        <v>20</v>
      </c>
      <c r="E24" s="1">
        <v>26</v>
      </c>
      <c r="F24" s="1">
        <v>165</v>
      </c>
      <c r="G24" s="1">
        <f>+G23*0.01</f>
        <v>91.003778507077172</v>
      </c>
      <c r="H24" s="1">
        <f t="shared" ref="H24:P24" si="68">+H23*0.01</f>
        <v>106.28827655764461</v>
      </c>
      <c r="I24" s="1">
        <f t="shared" si="68"/>
        <v>121.68715126927029</v>
      </c>
      <c r="J24" s="1">
        <f t="shared" si="68"/>
        <v>136.23710982804502</v>
      </c>
      <c r="K24" s="1">
        <f t="shared" si="68"/>
        <v>152.65157765621061</v>
      </c>
      <c r="L24" s="1">
        <f t="shared" si="68"/>
        <v>168.31212840909544</v>
      </c>
      <c r="M24" s="1">
        <f t="shared" si="68"/>
        <v>185.64418628953848</v>
      </c>
      <c r="N24" s="1">
        <f t="shared" si="68"/>
        <v>201.28060920448675</v>
      </c>
      <c r="O24" s="1">
        <f t="shared" si="68"/>
        <v>218.24888726880144</v>
      </c>
      <c r="P24" s="1">
        <f t="shared" si="68"/>
        <v>236.66336941397932</v>
      </c>
    </row>
    <row r="25" spans="2:19" s="1" customFormat="1" x14ac:dyDescent="0.25">
      <c r="B25" s="1" t="s">
        <v>21</v>
      </c>
      <c r="E25" s="1">
        <f>+E23-E24</f>
        <v>3125</v>
      </c>
      <c r="F25" s="1">
        <f>+F23-F24</f>
        <v>7326</v>
      </c>
      <c r="G25" s="1">
        <f>+G23-G24</f>
        <v>9009.3740722006405</v>
      </c>
      <c r="H25" s="1">
        <f t="shared" ref="H25:P25" si="69">+H23-H24</f>
        <v>10522.539379206815</v>
      </c>
      <c r="I25" s="1">
        <f t="shared" si="69"/>
        <v>12047.027975657758</v>
      </c>
      <c r="J25" s="1">
        <f t="shared" si="69"/>
        <v>13487.473872976456</v>
      </c>
      <c r="K25" s="1">
        <f t="shared" si="69"/>
        <v>15112.506187964849</v>
      </c>
      <c r="L25" s="1">
        <f t="shared" si="69"/>
        <v>16662.900712500446</v>
      </c>
      <c r="M25" s="1">
        <f t="shared" si="69"/>
        <v>18378.774442664311</v>
      </c>
      <c r="N25" s="1">
        <f t="shared" si="69"/>
        <v>19926.780311244187</v>
      </c>
      <c r="O25" s="1">
        <f t="shared" si="69"/>
        <v>21606.639839611344</v>
      </c>
      <c r="P25" s="1">
        <f t="shared" si="69"/>
        <v>23429.673571983953</v>
      </c>
    </row>
    <row r="26" spans="2:19" s="1" customFormat="1" x14ac:dyDescent="0.25">
      <c r="E26" s="5"/>
      <c r="F26" s="5"/>
    </row>
    <row r="27" spans="2:19" s="4" customFormat="1" x14ac:dyDescent="0.25">
      <c r="B27" s="4" t="s">
        <v>22</v>
      </c>
      <c r="E27" s="4">
        <f>+E12/E7</f>
        <v>0.72954705056179781</v>
      </c>
      <c r="F27" s="4">
        <f>+F12/F7</f>
        <v>0.7321195652173913</v>
      </c>
    </row>
    <row r="28" spans="2:19" s="4" customFormat="1" x14ac:dyDescent="0.25">
      <c r="B28" s="4" t="s">
        <v>23</v>
      </c>
      <c r="E28" s="4">
        <f>+E17/E7</f>
        <v>0.136499297752809</v>
      </c>
      <c r="F28" s="4">
        <f>+F17/F7</f>
        <v>0.26711956521739133</v>
      </c>
    </row>
    <row r="29" spans="2:19" s="4" customFormat="1" x14ac:dyDescent="0.25">
      <c r="B29" s="1" t="s">
        <v>1</v>
      </c>
      <c r="F29" s="4">
        <f>+F4/E4 -1</f>
        <v>0.22647453474126356</v>
      </c>
      <c r="G29" s="4">
        <f>+G4/F4 -1</f>
        <v>0.19999999999999996</v>
      </c>
      <c r="H29" s="4">
        <f t="shared" ref="H29:P29" si="70">+H4/G4 -1</f>
        <v>0.17999999999999994</v>
      </c>
      <c r="I29" s="4">
        <f t="shared" si="70"/>
        <v>0.14999999999999991</v>
      </c>
      <c r="J29" s="4">
        <f t="shared" si="70"/>
        <v>0.12000000000000011</v>
      </c>
      <c r="K29" s="4">
        <f t="shared" si="70"/>
        <v>0.12000000000000011</v>
      </c>
      <c r="L29" s="4">
        <f t="shared" si="70"/>
        <v>0.10000000000000009</v>
      </c>
      <c r="M29" s="4">
        <f t="shared" si="70"/>
        <v>0.10000000000000009</v>
      </c>
      <c r="N29" s="4">
        <f t="shared" si="70"/>
        <v>8.0000000000000071E-2</v>
      </c>
      <c r="O29" s="4">
        <f t="shared" si="70"/>
        <v>8.0000000000000071E-2</v>
      </c>
      <c r="P29" s="4">
        <f t="shared" si="70"/>
        <v>8.0000000000000071E-2</v>
      </c>
      <c r="R29" s="4" t="s">
        <v>34</v>
      </c>
      <c r="S29" s="4">
        <v>0.1</v>
      </c>
    </row>
    <row r="30" spans="2:19" s="4" customFormat="1" x14ac:dyDescent="0.25">
      <c r="B30" s="1" t="s">
        <v>0</v>
      </c>
      <c r="F30" s="4">
        <f>+F5/E5 -1</f>
        <v>-9.2521081251477622E-2</v>
      </c>
      <c r="G30" s="4">
        <f>+G5/F5 -1</f>
        <v>2.0000000000000018E-2</v>
      </c>
      <c r="H30" s="4">
        <f t="shared" ref="H30:P30" si="71">+H5/G5 -1</f>
        <v>2.0000000000000018E-2</v>
      </c>
      <c r="I30" s="4">
        <f t="shared" si="71"/>
        <v>2.0000000000000018E-2</v>
      </c>
      <c r="J30" s="4">
        <f t="shared" si="71"/>
        <v>2.0000000000000018E-2</v>
      </c>
      <c r="K30" s="4">
        <f t="shared" si="71"/>
        <v>2.0000000000000018E-2</v>
      </c>
      <c r="L30" s="4">
        <f t="shared" si="71"/>
        <v>2.0000000000000018E-2</v>
      </c>
      <c r="M30" s="4">
        <f t="shared" si="71"/>
        <v>2.0000000000000018E-2</v>
      </c>
      <c r="N30" s="4">
        <f t="shared" si="71"/>
        <v>2.0000000000000018E-2</v>
      </c>
      <c r="O30" s="4">
        <f t="shared" si="71"/>
        <v>2.0000000000000018E-2</v>
      </c>
      <c r="P30" s="4">
        <f t="shared" si="71"/>
        <v>2.0000000000000018E-2</v>
      </c>
      <c r="R30" s="4" t="s">
        <v>35</v>
      </c>
      <c r="S30" s="4">
        <v>0.03</v>
      </c>
    </row>
    <row r="31" spans="2:19" s="4" customFormat="1" x14ac:dyDescent="0.25">
      <c r="B31" s="1" t="s">
        <v>2</v>
      </c>
      <c r="F31" s="4">
        <f>+F6/E6 -1</f>
        <v>-1.9328117809479961E-2</v>
      </c>
      <c r="G31" s="4">
        <f>+G6/F6 -1</f>
        <v>2.0000000000000018E-2</v>
      </c>
      <c r="H31" s="4">
        <f t="shared" ref="H31:P31" si="72">+H6/G6 -1</f>
        <v>2.0000000000000018E-2</v>
      </c>
      <c r="I31" s="4">
        <f t="shared" si="72"/>
        <v>2.0000000000000018E-2</v>
      </c>
      <c r="J31" s="4">
        <f t="shared" si="72"/>
        <v>2.0000000000000018E-2</v>
      </c>
      <c r="K31" s="4">
        <f t="shared" si="72"/>
        <v>2.0000000000000018E-2</v>
      </c>
      <c r="L31" s="4">
        <f t="shared" si="72"/>
        <v>2.0000000000000018E-2</v>
      </c>
      <c r="M31" s="4">
        <f t="shared" si="72"/>
        <v>2.0000000000000018E-2</v>
      </c>
      <c r="N31" s="4">
        <f t="shared" si="72"/>
        <v>2.0000000000000018E-2</v>
      </c>
      <c r="O31" s="4">
        <f t="shared" si="72"/>
        <v>2.0000000000000018E-2</v>
      </c>
      <c r="P31" s="4">
        <f t="shared" si="72"/>
        <v>2.0000000000000018E-2</v>
      </c>
      <c r="R31" s="4" t="s">
        <v>36</v>
      </c>
      <c r="S31" s="1">
        <f>NPV(S29,G39:EJ39)</f>
        <v>205163.03935097976</v>
      </c>
    </row>
    <row r="32" spans="2:19" s="4" customFormat="1" x14ac:dyDescent="0.25">
      <c r="B32" s="4" t="s">
        <v>33</v>
      </c>
      <c r="F32" s="4">
        <f>+F7/E7 -1</f>
        <v>7.6779026217228541E-2</v>
      </c>
      <c r="G32" s="4">
        <f>+G7/F7 -1</f>
        <v>0.12282989130434774</v>
      </c>
      <c r="H32" s="4">
        <f t="shared" ref="H32:P32" si="73">+H7/G7 -1</f>
        <v>0.11768640667722807</v>
      </c>
      <c r="I32" s="4">
        <f t="shared" si="73"/>
        <v>0.10379527731774507</v>
      </c>
      <c r="J32" s="4">
        <f t="shared" si="73"/>
        <v>8.7156104937792245E-2</v>
      </c>
      <c r="K32" s="4">
        <f t="shared" si="73"/>
        <v>8.9184947027116435E-2</v>
      </c>
      <c r="L32" s="4">
        <f t="shared" si="73"/>
        <v>7.6913853524596121E-2</v>
      </c>
      <c r="M32" s="4">
        <f t="shared" si="73"/>
        <v>7.8133933993101756E-2</v>
      </c>
      <c r="N32" s="4">
        <f t="shared" si="73"/>
        <v>6.4484728689205406E-2</v>
      </c>
      <c r="O32" s="4">
        <f t="shared" si="73"/>
        <v>6.5133110592861421E-2</v>
      </c>
      <c r="P32" s="4">
        <f t="shared" si="73"/>
        <v>6.5763068442365125E-2</v>
      </c>
      <c r="R32" s="4" t="s">
        <v>37</v>
      </c>
      <c r="S32" s="1">
        <f>+F41-F43</f>
        <v>149</v>
      </c>
    </row>
    <row r="33" spans="2:133" s="1" customFormat="1" x14ac:dyDescent="0.25">
      <c r="R33" s="1" t="s">
        <v>38</v>
      </c>
      <c r="S33" s="1">
        <f>+S31+S32</f>
        <v>205312.03935097976</v>
      </c>
    </row>
    <row r="34" spans="2:133" s="1" customFormat="1" x14ac:dyDescent="0.25">
      <c r="B34" s="1" t="s">
        <v>27</v>
      </c>
      <c r="E34" s="1">
        <v>2385</v>
      </c>
      <c r="F34" s="1">
        <v>1695</v>
      </c>
      <c r="R34" s="1" t="s">
        <v>39</v>
      </c>
      <c r="S34" s="1">
        <v>1166.504232</v>
      </c>
    </row>
    <row r="35" spans="2:133" s="2" customFormat="1" x14ac:dyDescent="0.25">
      <c r="B35" s="2" t="s">
        <v>24</v>
      </c>
      <c r="E35" s="2">
        <v>5207</v>
      </c>
      <c r="F35" s="2">
        <v>9156</v>
      </c>
      <c r="G35" s="2">
        <f>+G25</f>
        <v>9009.3740722006405</v>
      </c>
      <c r="H35" s="2">
        <f t="shared" ref="H35:P35" si="74">+H25</f>
        <v>10522.539379206815</v>
      </c>
      <c r="I35" s="2">
        <f t="shared" si="74"/>
        <v>12047.027975657758</v>
      </c>
      <c r="J35" s="2">
        <f t="shared" si="74"/>
        <v>13487.473872976456</v>
      </c>
      <c r="K35" s="2">
        <f t="shared" si="74"/>
        <v>15112.506187964849</v>
      </c>
      <c r="L35" s="2">
        <f t="shared" si="74"/>
        <v>16662.900712500446</v>
      </c>
      <c r="M35" s="2">
        <f t="shared" si="74"/>
        <v>18378.774442664311</v>
      </c>
      <c r="N35" s="2">
        <f t="shared" si="74"/>
        <v>19926.780311244187</v>
      </c>
      <c r="O35" s="2">
        <f t="shared" si="74"/>
        <v>21606.639839611344</v>
      </c>
      <c r="P35" s="2">
        <f t="shared" si="74"/>
        <v>23429.673571983953</v>
      </c>
      <c r="R35" s="2" t="s">
        <v>40</v>
      </c>
      <c r="S35" s="1">
        <f>+S33/S34</f>
        <v>176.00625331548713</v>
      </c>
    </row>
    <row r="36" spans="2:133" s="1" customFormat="1" x14ac:dyDescent="0.25">
      <c r="B36" s="1" t="s">
        <v>25</v>
      </c>
      <c r="E36" s="1">
        <v>797</v>
      </c>
      <c r="F36" s="1">
        <v>739</v>
      </c>
      <c r="G36" s="1">
        <v>800</v>
      </c>
      <c r="H36" s="1">
        <v>800</v>
      </c>
      <c r="I36" s="1">
        <v>800</v>
      </c>
      <c r="J36" s="1">
        <v>800</v>
      </c>
      <c r="K36" s="1">
        <v>800</v>
      </c>
      <c r="L36" s="1">
        <v>800</v>
      </c>
      <c r="M36" s="1">
        <v>800</v>
      </c>
      <c r="N36" s="1">
        <v>800</v>
      </c>
      <c r="O36" s="1">
        <v>800</v>
      </c>
      <c r="P36" s="1">
        <v>800</v>
      </c>
    </row>
    <row r="37" spans="2:133" s="1" customFormat="1" x14ac:dyDescent="0.25">
      <c r="B37" s="1" t="s">
        <v>26</v>
      </c>
      <c r="E37" s="1">
        <f>+E35-E36</f>
        <v>4410</v>
      </c>
      <c r="F37" s="1">
        <f>+F35-F36</f>
        <v>8417</v>
      </c>
      <c r="G37" s="1">
        <f>+G35-G36</f>
        <v>8209.3740722006405</v>
      </c>
      <c r="H37" s="1">
        <f t="shared" ref="H37:P37" si="75">+H35-H36</f>
        <v>9722.5393792068153</v>
      </c>
      <c r="I37" s="1">
        <f t="shared" si="75"/>
        <v>11247.027975657758</v>
      </c>
      <c r="J37" s="1">
        <f t="shared" si="75"/>
        <v>12687.473872976456</v>
      </c>
      <c r="K37" s="1">
        <f t="shared" si="75"/>
        <v>14312.506187964849</v>
      </c>
      <c r="L37" s="1">
        <f t="shared" si="75"/>
        <v>15862.900712500446</v>
      </c>
      <c r="M37" s="1">
        <f t="shared" si="75"/>
        <v>17578.774442664311</v>
      </c>
      <c r="N37" s="1">
        <f t="shared" si="75"/>
        <v>19126.780311244187</v>
      </c>
      <c r="O37" s="1">
        <f t="shared" si="75"/>
        <v>20806.639839611344</v>
      </c>
      <c r="P37" s="1">
        <f t="shared" si="75"/>
        <v>22629.673571983953</v>
      </c>
    </row>
    <row r="38" spans="2:133" s="1" customFormat="1" x14ac:dyDescent="0.25">
      <c r="B38" s="1" t="s">
        <v>28</v>
      </c>
      <c r="E38" s="1">
        <f>+E37-E34</f>
        <v>2025</v>
      </c>
      <c r="F38" s="1">
        <f>+F37-F34</f>
        <v>6722</v>
      </c>
    </row>
    <row r="39" spans="2:133" s="1" customFormat="1" x14ac:dyDescent="0.25">
      <c r="B39" s="1" t="s">
        <v>26</v>
      </c>
      <c r="E39" s="1">
        <f>+E38+E20-E19</f>
        <v>1627</v>
      </c>
      <c r="F39" s="1">
        <f>+F38+F20-F19</f>
        <v>6188</v>
      </c>
      <c r="G39" s="1">
        <f>+G37+G20-G19</f>
        <v>7648.6740722006407</v>
      </c>
      <c r="H39" s="1">
        <f t="shared" ref="H39:P39" si="76">+H37+H20-H19</f>
        <v>9133.8043792068147</v>
      </c>
      <c r="I39" s="1">
        <f t="shared" si="76"/>
        <v>10628.856225657757</v>
      </c>
      <c r="J39" s="1">
        <f t="shared" si="76"/>
        <v>12038.393535476456</v>
      </c>
      <c r="K39" s="1">
        <f t="shared" si="76"/>
        <v>13630.971833589849</v>
      </c>
      <c r="L39" s="1">
        <f t="shared" si="76"/>
        <v>15147.289640406698</v>
      </c>
      <c r="M39" s="1">
        <f t="shared" si="76"/>
        <v>16827.382816965874</v>
      </c>
      <c r="N39" s="1">
        <f t="shared" si="76"/>
        <v>18337.81910426083</v>
      </c>
      <c r="O39" s="1">
        <f t="shared" si="76"/>
        <v>19978.230572278815</v>
      </c>
      <c r="P39" s="1">
        <f t="shared" si="76"/>
        <v>21759.843841284797</v>
      </c>
      <c r="Q39" s="1">
        <f>+P39*(1+$S30)</f>
        <v>22412.639156523343</v>
      </c>
      <c r="R39" s="1">
        <f t="shared" ref="R39:CC39" si="77">+Q39*(1+$S30)</f>
        <v>23085.018331219042</v>
      </c>
      <c r="S39" s="1">
        <f t="shared" si="77"/>
        <v>23777.568881155614</v>
      </c>
      <c r="T39" s="1">
        <f t="shared" si="77"/>
        <v>24490.895947590281</v>
      </c>
      <c r="U39" s="1">
        <f t="shared" si="77"/>
        <v>25225.622826017989</v>
      </c>
      <c r="V39" s="1">
        <f t="shared" si="77"/>
        <v>25982.39151079853</v>
      </c>
      <c r="W39" s="1">
        <f t="shared" si="77"/>
        <v>26761.863256122488</v>
      </c>
      <c r="X39" s="1">
        <f t="shared" si="77"/>
        <v>27564.719153806163</v>
      </c>
      <c r="Y39" s="1">
        <f t="shared" si="77"/>
        <v>28391.660728420349</v>
      </c>
      <c r="Z39" s="1">
        <f t="shared" si="77"/>
        <v>29243.410550272962</v>
      </c>
      <c r="AA39" s="1">
        <f t="shared" si="77"/>
        <v>30120.712866781152</v>
      </c>
      <c r="AB39" s="1">
        <f t="shared" si="77"/>
        <v>31024.334252784589</v>
      </c>
      <c r="AC39" s="1">
        <f t="shared" si="77"/>
        <v>31955.064280368126</v>
      </c>
      <c r="AD39" s="1">
        <f t="shared" si="77"/>
        <v>32913.716208779173</v>
      </c>
      <c r="AE39" s="1">
        <f t="shared" si="77"/>
        <v>33901.127695042553</v>
      </c>
      <c r="AF39" s="1">
        <f t="shared" si="77"/>
        <v>34918.161525893833</v>
      </c>
      <c r="AG39" s="1">
        <f t="shared" si="77"/>
        <v>35965.706371670647</v>
      </c>
      <c r="AH39" s="1">
        <f t="shared" si="77"/>
        <v>37044.677562820769</v>
      </c>
      <c r="AI39" s="1">
        <f t="shared" si="77"/>
        <v>38156.017889705392</v>
      </c>
      <c r="AJ39" s="1">
        <f t="shared" si="77"/>
        <v>39300.698426396557</v>
      </c>
      <c r="AK39" s="1">
        <f t="shared" si="77"/>
        <v>40479.719379188457</v>
      </c>
      <c r="AL39" s="1">
        <f t="shared" si="77"/>
        <v>41694.11096056411</v>
      </c>
      <c r="AM39" s="1">
        <f t="shared" si="77"/>
        <v>42944.934289381032</v>
      </c>
      <c r="AN39" s="1">
        <f t="shared" si="77"/>
        <v>44233.282318062462</v>
      </c>
      <c r="AO39" s="1">
        <f t="shared" si="77"/>
        <v>45560.280787604337</v>
      </c>
      <c r="AP39" s="1">
        <f t="shared" si="77"/>
        <v>46927.089211232465</v>
      </c>
      <c r="AQ39" s="1">
        <f t="shared" si="77"/>
        <v>48334.901887569438</v>
      </c>
      <c r="AR39" s="1">
        <f t="shared" si="77"/>
        <v>49784.94894419652</v>
      </c>
      <c r="AS39" s="1">
        <f t="shared" si="77"/>
        <v>51278.497412522418</v>
      </c>
      <c r="AT39" s="1">
        <f t="shared" si="77"/>
        <v>52816.852334898089</v>
      </c>
      <c r="AU39" s="1">
        <f t="shared" si="77"/>
        <v>54401.357904945035</v>
      </c>
      <c r="AV39" s="1">
        <f t="shared" si="77"/>
        <v>56033.398642093387</v>
      </c>
      <c r="AW39" s="1">
        <f t="shared" si="77"/>
        <v>57714.400601356188</v>
      </c>
      <c r="AX39" s="1">
        <f t="shared" si="77"/>
        <v>59445.832619396875</v>
      </c>
      <c r="AY39" s="1">
        <f t="shared" si="77"/>
        <v>61229.207597978784</v>
      </c>
      <c r="AZ39" s="1">
        <f t="shared" si="77"/>
        <v>63066.083825918147</v>
      </c>
      <c r="BA39" s="1">
        <f t="shared" si="77"/>
        <v>64958.066340695696</v>
      </c>
      <c r="BB39" s="1">
        <f t="shared" si="77"/>
        <v>66906.808330916567</v>
      </c>
      <c r="BC39" s="1">
        <f t="shared" si="77"/>
        <v>68914.012580844064</v>
      </c>
      <c r="BD39" s="1">
        <f t="shared" si="77"/>
        <v>70981.43295826939</v>
      </c>
      <c r="BE39" s="1">
        <f t="shared" si="77"/>
        <v>73110.87594701747</v>
      </c>
      <c r="BF39" s="1">
        <f t="shared" si="77"/>
        <v>75304.202225428002</v>
      </c>
      <c r="BG39" s="1">
        <f t="shared" si="77"/>
        <v>77563.328292190839</v>
      </c>
      <c r="BH39" s="1">
        <f t="shared" si="77"/>
        <v>79890.228140956562</v>
      </c>
      <c r="BI39" s="1">
        <f t="shared" si="77"/>
        <v>82286.93498518526</v>
      </c>
      <c r="BJ39" s="1">
        <f t="shared" si="77"/>
        <v>84755.543034740826</v>
      </c>
      <c r="BK39" s="1">
        <f t="shared" si="77"/>
        <v>87298.209325783057</v>
      </c>
      <c r="BL39" s="1">
        <f t="shared" si="77"/>
        <v>89917.155605556545</v>
      </c>
      <c r="BM39" s="1">
        <f t="shared" si="77"/>
        <v>92614.670273723241</v>
      </c>
      <c r="BN39" s="1">
        <f t="shared" si="77"/>
        <v>95393.110381934937</v>
      </c>
      <c r="BO39" s="1">
        <f t="shared" si="77"/>
        <v>98254.903693392989</v>
      </c>
      <c r="BP39" s="1">
        <f t="shared" si="77"/>
        <v>101202.55080419478</v>
      </c>
      <c r="BQ39" s="1">
        <f t="shared" si="77"/>
        <v>104238.62732832062</v>
      </c>
      <c r="BR39" s="1">
        <f t="shared" si="77"/>
        <v>107365.78614817024</v>
      </c>
      <c r="BS39" s="1">
        <f t="shared" si="77"/>
        <v>110586.75973261535</v>
      </c>
      <c r="BT39" s="1">
        <f t="shared" si="77"/>
        <v>113904.36252459382</v>
      </c>
      <c r="BU39" s="1">
        <f t="shared" si="77"/>
        <v>117321.49340033163</v>
      </c>
      <c r="BV39" s="1">
        <f t="shared" si="77"/>
        <v>120841.13820234158</v>
      </c>
      <c r="BW39" s="1">
        <f t="shared" si="77"/>
        <v>124466.37234841182</v>
      </c>
      <c r="BX39" s="1">
        <f t="shared" si="77"/>
        <v>128200.36351886418</v>
      </c>
      <c r="BY39" s="1">
        <f t="shared" si="77"/>
        <v>132046.37442443011</v>
      </c>
      <c r="BZ39" s="1">
        <f t="shared" si="77"/>
        <v>136007.76565716302</v>
      </c>
      <c r="CA39" s="1">
        <f t="shared" si="77"/>
        <v>140087.9986268779</v>
      </c>
      <c r="CB39" s="1">
        <f t="shared" si="77"/>
        <v>144290.63858568424</v>
      </c>
      <c r="CC39" s="1">
        <f t="shared" si="77"/>
        <v>148619.35774325478</v>
      </c>
      <c r="CD39" s="1">
        <f t="shared" ref="CD39:EC39" si="78">+CC39*(1+$S30)</f>
        <v>153077.93847555242</v>
      </c>
      <c r="CE39" s="1">
        <f t="shared" si="78"/>
        <v>157670.27662981901</v>
      </c>
      <c r="CF39" s="1">
        <f t="shared" si="78"/>
        <v>162400.38492871358</v>
      </c>
      <c r="CG39" s="1">
        <f t="shared" si="78"/>
        <v>167272.396476575</v>
      </c>
      <c r="CH39" s="1">
        <f t="shared" si="78"/>
        <v>172290.56837087226</v>
      </c>
      <c r="CI39" s="1">
        <f t="shared" si="78"/>
        <v>177459.28542199844</v>
      </c>
      <c r="CJ39" s="1">
        <f t="shared" si="78"/>
        <v>182783.06398465839</v>
      </c>
      <c r="CK39" s="1">
        <f t="shared" si="78"/>
        <v>188266.55590419815</v>
      </c>
      <c r="CL39" s="1">
        <f t="shared" si="78"/>
        <v>193914.5525813241</v>
      </c>
      <c r="CM39" s="1">
        <f t="shared" si="78"/>
        <v>199731.98915876381</v>
      </c>
      <c r="CN39" s="1">
        <f t="shared" si="78"/>
        <v>205723.94883352672</v>
      </c>
      <c r="CO39" s="1">
        <f t="shared" si="78"/>
        <v>211895.66729853253</v>
      </c>
      <c r="CP39" s="1">
        <f t="shared" si="78"/>
        <v>218252.53731748852</v>
      </c>
      <c r="CQ39" s="1">
        <f t="shared" si="78"/>
        <v>224800.11343701318</v>
      </c>
      <c r="CR39" s="1">
        <f t="shared" si="78"/>
        <v>231544.11684012358</v>
      </c>
      <c r="CS39" s="1">
        <f t="shared" si="78"/>
        <v>238490.44034532728</v>
      </c>
      <c r="CT39" s="1">
        <f t="shared" si="78"/>
        <v>245645.15355568711</v>
      </c>
      <c r="CU39" s="1">
        <f t="shared" si="78"/>
        <v>253014.50816235773</v>
      </c>
      <c r="CV39" s="1">
        <f t="shared" si="78"/>
        <v>260604.94340722848</v>
      </c>
      <c r="CW39" s="1">
        <f t="shared" si="78"/>
        <v>268423.09170944535</v>
      </c>
      <c r="CX39" s="1">
        <f t="shared" si="78"/>
        <v>276475.7844607287</v>
      </c>
      <c r="CY39" s="1">
        <f t="shared" si="78"/>
        <v>284770.05799455056</v>
      </c>
      <c r="CZ39" s="1">
        <f t="shared" si="78"/>
        <v>293313.15973438707</v>
      </c>
      <c r="DA39" s="1">
        <f t="shared" si="78"/>
        <v>302112.55452641868</v>
      </c>
      <c r="DB39" s="1">
        <f t="shared" si="78"/>
        <v>311175.93116221123</v>
      </c>
      <c r="DC39" s="1">
        <f t="shared" si="78"/>
        <v>320511.20909707755</v>
      </c>
      <c r="DD39" s="1">
        <f t="shared" si="78"/>
        <v>330126.54536998988</v>
      </c>
      <c r="DE39" s="1">
        <f t="shared" si="78"/>
        <v>340030.34173108957</v>
      </c>
      <c r="DF39" s="1">
        <f t="shared" si="78"/>
        <v>350231.25198302226</v>
      </c>
      <c r="DG39" s="1">
        <f t="shared" si="78"/>
        <v>360738.18954251293</v>
      </c>
      <c r="DH39" s="1">
        <f t="shared" si="78"/>
        <v>371560.33522878832</v>
      </c>
      <c r="DI39" s="1">
        <f t="shared" si="78"/>
        <v>382707.14528565196</v>
      </c>
      <c r="DJ39" s="1">
        <f t="shared" si="78"/>
        <v>394188.35964422155</v>
      </c>
      <c r="DK39" s="1">
        <f t="shared" si="78"/>
        <v>406014.01043354819</v>
      </c>
      <c r="DL39" s="1">
        <f t="shared" si="78"/>
        <v>418194.43074655463</v>
      </c>
      <c r="DM39" s="1">
        <f t="shared" si="78"/>
        <v>430740.26366895129</v>
      </c>
      <c r="DN39" s="1">
        <f t="shared" si="78"/>
        <v>443662.47157901985</v>
      </c>
      <c r="DO39" s="1">
        <f t="shared" si="78"/>
        <v>456972.34572639049</v>
      </c>
      <c r="DP39" s="1">
        <f t="shared" si="78"/>
        <v>470681.51609818224</v>
      </c>
      <c r="DQ39" s="1">
        <f t="shared" si="78"/>
        <v>484801.96158112772</v>
      </c>
      <c r="DR39" s="1">
        <f t="shared" si="78"/>
        <v>499346.02042856155</v>
      </c>
      <c r="DS39" s="1">
        <f t="shared" si="78"/>
        <v>514326.40104141843</v>
      </c>
      <c r="DT39" s="1">
        <f t="shared" si="78"/>
        <v>529756.19307266094</v>
      </c>
      <c r="DU39" s="1">
        <f t="shared" si="78"/>
        <v>545648.87886484084</v>
      </c>
      <c r="DV39" s="1">
        <f t="shared" si="78"/>
        <v>562018.34523078613</v>
      </c>
      <c r="DW39" s="1">
        <f t="shared" si="78"/>
        <v>578878.89558770973</v>
      </c>
      <c r="DX39" s="1">
        <f t="shared" si="78"/>
        <v>596245.26245534106</v>
      </c>
      <c r="DY39" s="1">
        <f t="shared" si="78"/>
        <v>614132.62032900134</v>
      </c>
      <c r="DZ39" s="1">
        <f t="shared" si="78"/>
        <v>632556.59893887141</v>
      </c>
      <c r="EA39" s="1">
        <f t="shared" si="78"/>
        <v>651533.29690703761</v>
      </c>
      <c r="EB39" s="1">
        <f t="shared" si="78"/>
        <v>671079.29581424873</v>
      </c>
      <c r="EC39" s="1">
        <f t="shared" si="78"/>
        <v>691211.67468867626</v>
      </c>
    </row>
    <row r="40" spans="2:133" s="1" customFormat="1" x14ac:dyDescent="0.25"/>
    <row r="41" spans="2:133" s="1" customFormat="1" x14ac:dyDescent="0.25">
      <c r="B41" s="1" t="s">
        <v>29</v>
      </c>
      <c r="E41" s="1">
        <v>9609</v>
      </c>
      <c r="F41" s="1">
        <v>8220</v>
      </c>
    </row>
    <row r="42" spans="2:133" s="1" customFormat="1" x14ac:dyDescent="0.25">
      <c r="B42" s="1" t="s">
        <v>30</v>
      </c>
      <c r="E42" s="1">
        <v>4493</v>
      </c>
      <c r="F42" s="1">
        <v>4497</v>
      </c>
    </row>
    <row r="43" spans="2:133" s="1" customFormat="1" x14ac:dyDescent="0.25">
      <c r="B43" s="1" t="s">
        <v>31</v>
      </c>
      <c r="E43" s="1">
        <f>7169+4277</f>
        <v>11446</v>
      </c>
      <c r="F43" s="1">
        <f>2050+6021</f>
        <v>8071</v>
      </c>
    </row>
    <row r="44" spans="2:133" s="1" customFormat="1" x14ac:dyDescent="0.25">
      <c r="B44" s="1" t="s">
        <v>32</v>
      </c>
      <c r="E44" s="1">
        <f>+E41+E42-E43</f>
        <v>2656</v>
      </c>
      <c r="F44" s="1">
        <f>+F41+F42-F43</f>
        <v>4646</v>
      </c>
    </row>
    <row r="45" spans="2:133" s="1" customFormat="1" x14ac:dyDescent="0.25"/>
    <row r="46" spans="2:133" s="4" customFormat="1" x14ac:dyDescent="0.25">
      <c r="B46" s="1" t="s">
        <v>4</v>
      </c>
      <c r="E46" s="4">
        <f>+E8/E4</f>
        <v>0.2718627851350563</v>
      </c>
      <c r="F46" s="4">
        <f>+F8/F4</f>
        <v>0.25762260381486946</v>
      </c>
    </row>
    <row r="47" spans="2:133" s="4" customFormat="1" x14ac:dyDescent="0.25">
      <c r="B47" s="1" t="s">
        <v>5</v>
      </c>
      <c r="E47" s="4">
        <f>+E9/E5</f>
        <v>9.9456221924501542E-2</v>
      </c>
      <c r="F47" s="4">
        <f>+F9/F5</f>
        <v>0.1084672166739036</v>
      </c>
    </row>
    <row r="48" spans="2:133" s="1" customFormat="1" x14ac:dyDescent="0.25">
      <c r="B48" s="1" t="s">
        <v>6</v>
      </c>
      <c r="E48" s="4">
        <f>+E10/E6</f>
        <v>0.76415094339622647</v>
      </c>
      <c r="F48" s="4">
        <f>+F10/F6</f>
        <v>0.74917878930079773</v>
      </c>
    </row>
    <row r="49" spans="2:16" s="4" customFormat="1" x14ac:dyDescent="0.25">
      <c r="B49" s="4" t="s">
        <v>9</v>
      </c>
      <c r="E49" s="4">
        <f>+E13/E$7</f>
        <v>0.19060159176029962</v>
      </c>
      <c r="F49" s="4">
        <f>+F13/F$7</f>
        <v>0.18024456521739129</v>
      </c>
      <c r="G49" s="4">
        <f t="shared" ref="G49:P49" si="79">+G13/G$7</f>
        <v>0.17367205869456945</v>
      </c>
      <c r="H49" s="4">
        <f t="shared" si="79"/>
        <v>0.16757647875196183</v>
      </c>
      <c r="I49" s="4">
        <f t="shared" si="79"/>
        <v>0.16232379967235985</v>
      </c>
      <c r="J49" s="4">
        <f t="shared" si="79"/>
        <v>0.15798602638972875</v>
      </c>
      <c r="K49" s="4">
        <f t="shared" si="79"/>
        <v>0.15367394102930992</v>
      </c>
      <c r="L49" s="4">
        <f t="shared" si="79"/>
        <v>0.15001544505577974</v>
      </c>
      <c r="M49" s="4">
        <f t="shared" si="79"/>
        <v>0.14639149923842298</v>
      </c>
      <c r="N49" s="4">
        <f t="shared" si="79"/>
        <v>0.1434354474021447</v>
      </c>
      <c r="O49" s="4">
        <f t="shared" si="79"/>
        <v>0.14051174495103963</v>
      </c>
      <c r="P49" s="4">
        <f t="shared" si="79"/>
        <v>0.13762164558662318</v>
      </c>
    </row>
    <row r="50" spans="2:16" s="4" customFormat="1" x14ac:dyDescent="0.25">
      <c r="B50" s="4" t="s">
        <v>10</v>
      </c>
      <c r="E50" s="4">
        <f t="shared" ref="E50:F51" si="80">+E14/E$7</f>
        <v>0.2659761235955056</v>
      </c>
      <c r="F50" s="4">
        <f t="shared" si="80"/>
        <v>0.24127717391304349</v>
      </c>
      <c r="G50" s="4">
        <f t="shared" ref="G50:P50" si="81">+G14/G$7</f>
        <v>0.2333589533681133</v>
      </c>
      <c r="H50" s="4">
        <f t="shared" si="81"/>
        <v>0.22598751809151435</v>
      </c>
      <c r="I50" s="4">
        <f t="shared" si="81"/>
        <v>0.21961230406605009</v>
      </c>
      <c r="J50" s="4">
        <f t="shared" si="81"/>
        <v>0.21433048126290088</v>
      </c>
      <c r="K50" s="4">
        <f t="shared" si="81"/>
        <v>0.20906552070595361</v>
      </c>
      <c r="L50" s="4">
        <f t="shared" si="81"/>
        <v>0.20458604406518238</v>
      </c>
      <c r="M50" s="4">
        <f t="shared" si="81"/>
        <v>0.20013804962991932</v>
      </c>
      <c r="N50" s="4">
        <f t="shared" si="81"/>
        <v>0.19650083977158789</v>
      </c>
      <c r="O50" s="4">
        <f t="shared" si="81"/>
        <v>0.19289601964127312</v>
      </c>
      <c r="P50" s="4">
        <f t="shared" si="81"/>
        <v>0.18932521637808564</v>
      </c>
    </row>
    <row r="51" spans="2:16" s="4" customFormat="1" x14ac:dyDescent="0.25">
      <c r="B51" s="4" t="s">
        <v>11</v>
      </c>
      <c r="E51" s="6">
        <f t="shared" si="80"/>
        <v>4.1988529962546817E-2</v>
      </c>
      <c r="F51" s="6">
        <f t="shared" si="80"/>
        <v>4.2065217391304345E-2</v>
      </c>
      <c r="G51" s="4">
        <f t="shared" ref="G51:P51" si="82">+G15/G$7</f>
        <v>4.2000000000000003E-2</v>
      </c>
      <c r="H51" s="4">
        <f t="shared" si="82"/>
        <v>4.2000000000000003E-2</v>
      </c>
      <c r="I51" s="4">
        <f t="shared" si="82"/>
        <v>4.2000000000000003E-2</v>
      </c>
      <c r="J51" s="4">
        <f t="shared" si="82"/>
        <v>4.2000000000000003E-2</v>
      </c>
      <c r="K51" s="4">
        <f t="shared" si="82"/>
        <v>4.200000000000001E-2</v>
      </c>
      <c r="L51" s="4">
        <f t="shared" si="82"/>
        <v>4.2000000000000003E-2</v>
      </c>
      <c r="M51" s="4">
        <f t="shared" si="82"/>
        <v>4.2000000000000003E-2</v>
      </c>
      <c r="N51" s="4">
        <f t="shared" si="82"/>
        <v>4.2000000000000003E-2</v>
      </c>
      <c r="O51" s="4">
        <f t="shared" si="82"/>
        <v>4.2000000000000003E-2</v>
      </c>
      <c r="P51" s="4">
        <f t="shared" si="82"/>
        <v>4.2000000000000003E-2</v>
      </c>
    </row>
    <row r="52" spans="2:16" s="1" customFormat="1" x14ac:dyDescent="0.25"/>
    <row r="53" spans="2:16" s="1" customFormat="1" x14ac:dyDescent="0.25"/>
    <row r="54" spans="2:16" s="1" customFormat="1" x14ac:dyDescent="0.25"/>
    <row r="55" spans="2:16" s="1" customFormat="1" x14ac:dyDescent="0.25"/>
    <row r="56" spans="2:16" s="1" customFormat="1" x14ac:dyDescent="0.25"/>
    <row r="57" spans="2:16" s="1" customFormat="1" x14ac:dyDescent="0.25"/>
    <row r="58" spans="2:16" s="1" customFormat="1" x14ac:dyDescent="0.25"/>
    <row r="59" spans="2:16" s="1" customFormat="1" x14ac:dyDescent="0.25"/>
    <row r="60" spans="2:16" s="1" customFormat="1" x14ac:dyDescent="0.25"/>
    <row r="61" spans="2:16" s="1" customFormat="1" x14ac:dyDescent="0.25"/>
    <row r="62" spans="2:16" s="1" customFormat="1" x14ac:dyDescent="0.25"/>
    <row r="63" spans="2:16" s="1" customFormat="1" x14ac:dyDescent="0.25"/>
    <row r="64" spans="2:16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2026-02-13T00:13:44Z</dcterms:created>
  <dcterms:modified xsi:type="dcterms:W3CDTF">2026-02-13T00:44:45Z</dcterms:modified>
</cp:coreProperties>
</file>