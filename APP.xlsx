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39A4977-855B-41CE-9476-0164115E495C}" xr6:coauthVersionLast="47" xr6:coauthVersionMax="47" xr10:uidLastSave="{00000000-0000-0000-0000-000000000000}"/>
  <bookViews>
    <workbookView xWindow="-120" yWindow="-120" windowWidth="29040" windowHeight="15840" xr2:uid="{1B757C5A-C145-4056-BFD7-5357B54C67B7}"/>
  </bookViews>
  <sheets>
    <sheet name="Main" sheetId="2" r:id="rId1"/>
    <sheet name="Base" sheetId="1" r:id="rId2"/>
    <sheet name="Bull" sheetId="3" r:id="rId3"/>
    <sheet name="Bea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  <c r="D13" i="2"/>
  <c r="D12" i="2"/>
  <c r="G38" i="4"/>
  <c r="F38" i="4"/>
  <c r="G37" i="4"/>
  <c r="F37" i="4"/>
  <c r="G33" i="4"/>
  <c r="F33" i="4"/>
  <c r="G32" i="4"/>
  <c r="F32" i="4"/>
  <c r="G31" i="4"/>
  <c r="F31" i="4"/>
  <c r="G29" i="4"/>
  <c r="F29" i="4"/>
  <c r="G28" i="4"/>
  <c r="F28" i="4"/>
  <c r="G22" i="4"/>
  <c r="I12" i="4"/>
  <c r="J12" i="4" s="1"/>
  <c r="K12" i="4" s="1"/>
  <c r="L12" i="4" s="1"/>
  <c r="M12" i="4" s="1"/>
  <c r="N12" i="4" s="1"/>
  <c r="O12" i="4" s="1"/>
  <c r="P12" i="4" s="1"/>
  <c r="Q12" i="4" s="1"/>
  <c r="H12" i="4"/>
  <c r="G11" i="4"/>
  <c r="G21" i="4" s="1"/>
  <c r="F11" i="4"/>
  <c r="F21" i="4" s="1"/>
  <c r="E11" i="4"/>
  <c r="E14" i="4" s="1"/>
  <c r="E16" i="4" s="1"/>
  <c r="H9" i="4"/>
  <c r="I9" i="4" s="1"/>
  <c r="J9" i="4" s="1"/>
  <c r="K9" i="4" s="1"/>
  <c r="L9" i="4" s="1"/>
  <c r="M9" i="4" s="1"/>
  <c r="N9" i="4" s="1"/>
  <c r="O9" i="4" s="1"/>
  <c r="P9" i="4" s="1"/>
  <c r="Q9" i="4" s="1"/>
  <c r="H8" i="4"/>
  <c r="I8" i="4" s="1"/>
  <c r="J8" i="4" s="1"/>
  <c r="K8" i="4" s="1"/>
  <c r="L8" i="4" s="1"/>
  <c r="M8" i="4" s="1"/>
  <c r="N8" i="4" s="1"/>
  <c r="O8" i="4" s="1"/>
  <c r="P8" i="4" s="1"/>
  <c r="Q8" i="4" s="1"/>
  <c r="G7" i="4"/>
  <c r="G20" i="4" s="1"/>
  <c r="F7" i="4"/>
  <c r="F20" i="4" s="1"/>
  <c r="E7" i="4"/>
  <c r="D7" i="4"/>
  <c r="D11" i="4" s="1"/>
  <c r="D14" i="4" s="1"/>
  <c r="D16" i="4" s="1"/>
  <c r="H5" i="4"/>
  <c r="H6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E2" i="4"/>
  <c r="J5" i="3"/>
  <c r="K5" i="3" s="1"/>
  <c r="L5" i="3" s="1"/>
  <c r="M5" i="3" s="1"/>
  <c r="N5" i="3" s="1"/>
  <c r="O5" i="3" s="1"/>
  <c r="P5" i="3" s="1"/>
  <c r="Q5" i="3" s="1"/>
  <c r="I5" i="3"/>
  <c r="H5" i="3"/>
  <c r="G38" i="3"/>
  <c r="F38" i="3"/>
  <c r="G37" i="3"/>
  <c r="F37" i="3"/>
  <c r="G33" i="3"/>
  <c r="F33" i="3"/>
  <c r="G32" i="3"/>
  <c r="F32" i="3"/>
  <c r="G31" i="3"/>
  <c r="F31" i="3"/>
  <c r="G29" i="3"/>
  <c r="F29" i="3"/>
  <c r="G28" i="3"/>
  <c r="F28" i="3"/>
  <c r="G22" i="3"/>
  <c r="I12" i="3"/>
  <c r="J12" i="3" s="1"/>
  <c r="K12" i="3" s="1"/>
  <c r="L12" i="3" s="1"/>
  <c r="M12" i="3" s="1"/>
  <c r="N12" i="3" s="1"/>
  <c r="O12" i="3" s="1"/>
  <c r="P12" i="3" s="1"/>
  <c r="Q12" i="3" s="1"/>
  <c r="H12" i="3"/>
  <c r="E11" i="3"/>
  <c r="E14" i="3" s="1"/>
  <c r="E16" i="3" s="1"/>
  <c r="D11" i="3"/>
  <c r="D14" i="3" s="1"/>
  <c r="D16" i="3" s="1"/>
  <c r="G7" i="3"/>
  <c r="G20" i="3" s="1"/>
  <c r="F7" i="3"/>
  <c r="F20" i="3" s="1"/>
  <c r="E7" i="3"/>
  <c r="D7" i="3"/>
  <c r="H6" i="3"/>
  <c r="E2" i="3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T24" i="1"/>
  <c r="T23" i="1"/>
  <c r="T22" i="1"/>
  <c r="S16" i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R16" i="1"/>
  <c r="I17" i="1"/>
  <c r="J17" i="1"/>
  <c r="K17" i="1"/>
  <c r="L17" i="1"/>
  <c r="M17" i="1"/>
  <c r="N17" i="1"/>
  <c r="O17" i="1"/>
  <c r="P17" i="1"/>
  <c r="Q17" i="1"/>
  <c r="H17" i="1"/>
  <c r="I15" i="1"/>
  <c r="J15" i="1"/>
  <c r="K15" i="1"/>
  <c r="L15" i="1"/>
  <c r="M15" i="1"/>
  <c r="N15" i="1"/>
  <c r="O15" i="1"/>
  <c r="P15" i="1"/>
  <c r="Q15" i="1"/>
  <c r="H15" i="1"/>
  <c r="I12" i="1"/>
  <c r="J12" i="1" s="1"/>
  <c r="K12" i="1" s="1"/>
  <c r="L12" i="1" s="1"/>
  <c r="M12" i="1" s="1"/>
  <c r="N12" i="1" s="1"/>
  <c r="O12" i="1" s="1"/>
  <c r="P12" i="1" s="1"/>
  <c r="Q12" i="1" s="1"/>
  <c r="H12" i="1"/>
  <c r="F38" i="1"/>
  <c r="G38" i="1"/>
  <c r="G37" i="1"/>
  <c r="F37" i="1"/>
  <c r="I9" i="1"/>
  <c r="J9" i="1" s="1"/>
  <c r="K9" i="1" s="1"/>
  <c r="L9" i="1" s="1"/>
  <c r="M9" i="1" s="1"/>
  <c r="N9" i="1" s="1"/>
  <c r="O9" i="1" s="1"/>
  <c r="P9" i="1" s="1"/>
  <c r="Q9" i="1" s="1"/>
  <c r="H9" i="1"/>
  <c r="I10" i="1"/>
  <c r="J10" i="1"/>
  <c r="K10" i="1"/>
  <c r="L10" i="1"/>
  <c r="M10" i="1"/>
  <c r="N10" i="1"/>
  <c r="O10" i="1"/>
  <c r="P10" i="1"/>
  <c r="Q10" i="1"/>
  <c r="H10" i="1"/>
  <c r="I8" i="1"/>
  <c r="J8" i="1" s="1"/>
  <c r="K8" i="1" s="1"/>
  <c r="L8" i="1" s="1"/>
  <c r="M8" i="1" s="1"/>
  <c r="N8" i="1" s="1"/>
  <c r="O8" i="1" s="1"/>
  <c r="P8" i="1" s="1"/>
  <c r="Q8" i="1" s="1"/>
  <c r="H8" i="1"/>
  <c r="G31" i="1"/>
  <c r="G32" i="1"/>
  <c r="G33" i="1"/>
  <c r="F32" i="1"/>
  <c r="F33" i="1"/>
  <c r="F31" i="1"/>
  <c r="I20" i="1"/>
  <c r="J20" i="1"/>
  <c r="K20" i="1"/>
  <c r="L20" i="1"/>
  <c r="M20" i="1"/>
  <c r="N20" i="1"/>
  <c r="O20" i="1"/>
  <c r="P20" i="1"/>
  <c r="Q20" i="1"/>
  <c r="H20" i="1"/>
  <c r="I6" i="1"/>
  <c r="J6" i="1"/>
  <c r="K6" i="1"/>
  <c r="L6" i="1"/>
  <c r="M6" i="1"/>
  <c r="N6" i="1"/>
  <c r="O6" i="1"/>
  <c r="P6" i="1"/>
  <c r="Q6" i="1"/>
  <c r="H6" i="1"/>
  <c r="I22" i="1"/>
  <c r="J22" i="1"/>
  <c r="K22" i="1"/>
  <c r="L22" i="1"/>
  <c r="M22" i="1"/>
  <c r="N22" i="1"/>
  <c r="O22" i="1"/>
  <c r="P22" i="1"/>
  <c r="Q22" i="1"/>
  <c r="H22" i="1"/>
  <c r="Q5" i="1"/>
  <c r="Q7" i="1" s="1"/>
  <c r="P5" i="1"/>
  <c r="P7" i="1" s="1"/>
  <c r="O5" i="1"/>
  <c r="N5" i="1"/>
  <c r="M5" i="1"/>
  <c r="L5" i="1"/>
  <c r="L7" i="1" s="1"/>
  <c r="K5" i="1"/>
  <c r="J5" i="1"/>
  <c r="J7" i="1" s="1"/>
  <c r="I5" i="1"/>
  <c r="I7" i="1" s="1"/>
  <c r="I11" i="1" s="1"/>
  <c r="I14" i="1" s="1"/>
  <c r="I16" i="1" s="1"/>
  <c r="H5" i="1"/>
  <c r="G22" i="1"/>
  <c r="K7" i="1"/>
  <c r="C6" i="2"/>
  <c r="C5" i="2"/>
  <c r="C4" i="2"/>
  <c r="F29" i="1"/>
  <c r="G28" i="1"/>
  <c r="G29" i="1" s="1"/>
  <c r="C8" i="2" s="1"/>
  <c r="C9" i="2" s="1"/>
  <c r="F28" i="1"/>
  <c r="D7" i="1"/>
  <c r="D11" i="1" s="1"/>
  <c r="D14" i="1" s="1"/>
  <c r="D16" i="1" s="1"/>
  <c r="E7" i="1"/>
  <c r="E11" i="1" s="1"/>
  <c r="E14" i="1" s="1"/>
  <c r="E16" i="1" s="1"/>
  <c r="G7" i="1"/>
  <c r="G11" i="1" s="1"/>
  <c r="G14" i="1" s="1"/>
  <c r="G16" i="1" s="1"/>
  <c r="G17" i="1" s="1"/>
  <c r="F7" i="1"/>
  <c r="F11" i="1" s="1"/>
  <c r="F14" i="1" s="1"/>
  <c r="F16" i="1" s="1"/>
  <c r="F17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16" i="2" l="1"/>
  <c r="H7" i="4"/>
  <c r="I5" i="4"/>
  <c r="H10" i="4"/>
  <c r="F14" i="4"/>
  <c r="F16" i="4" s="1"/>
  <c r="F17" i="4" s="1"/>
  <c r="G14" i="4"/>
  <c r="G16" i="4" s="1"/>
  <c r="G17" i="4" s="1"/>
  <c r="H8" i="3"/>
  <c r="H9" i="3"/>
  <c r="H7" i="3"/>
  <c r="H10" i="3"/>
  <c r="F11" i="3"/>
  <c r="G11" i="3"/>
  <c r="I21" i="1"/>
  <c r="K11" i="1"/>
  <c r="Q11" i="1"/>
  <c r="L11" i="1"/>
  <c r="J11" i="1"/>
  <c r="P11" i="1"/>
  <c r="H7" i="1"/>
  <c r="H11" i="1" s="1"/>
  <c r="N7" i="1"/>
  <c r="N11" i="1" s="1"/>
  <c r="O7" i="1"/>
  <c r="O11" i="1" s="1"/>
  <c r="M7" i="1"/>
  <c r="M11" i="1" s="1"/>
  <c r="F20" i="1"/>
  <c r="G20" i="1"/>
  <c r="F21" i="1"/>
  <c r="G21" i="1"/>
  <c r="I6" i="4" l="1"/>
  <c r="I10" i="4"/>
  <c r="I7" i="4"/>
  <c r="J5" i="4"/>
  <c r="H20" i="4"/>
  <c r="H11" i="4"/>
  <c r="F21" i="3"/>
  <c r="F14" i="3"/>
  <c r="F16" i="3" s="1"/>
  <c r="F17" i="3" s="1"/>
  <c r="I8" i="3"/>
  <c r="I10" i="3"/>
  <c r="I6" i="3"/>
  <c r="I7" i="3" s="1"/>
  <c r="I9" i="3"/>
  <c r="G21" i="3"/>
  <c r="G14" i="3"/>
  <c r="G16" i="3" s="1"/>
  <c r="G17" i="3" s="1"/>
  <c r="H20" i="3"/>
  <c r="H11" i="3"/>
  <c r="M14" i="1"/>
  <c r="M16" i="1" s="1"/>
  <c r="M21" i="1"/>
  <c r="O14" i="1"/>
  <c r="O16" i="1" s="1"/>
  <c r="O21" i="1"/>
  <c r="L14" i="1"/>
  <c r="L16" i="1" s="1"/>
  <c r="L21" i="1"/>
  <c r="Q14" i="1"/>
  <c r="Q16" i="1" s="1"/>
  <c r="Q21" i="1"/>
  <c r="N14" i="1"/>
  <c r="N16" i="1" s="1"/>
  <c r="N21" i="1"/>
  <c r="P14" i="1"/>
  <c r="P16" i="1" s="1"/>
  <c r="P21" i="1"/>
  <c r="K14" i="1"/>
  <c r="K16" i="1" s="1"/>
  <c r="K21" i="1"/>
  <c r="J14" i="1"/>
  <c r="J16" i="1" s="1"/>
  <c r="J21" i="1"/>
  <c r="H14" i="1"/>
  <c r="H16" i="1" s="1"/>
  <c r="H21" i="1"/>
  <c r="H21" i="4" l="1"/>
  <c r="H14" i="4"/>
  <c r="J10" i="4"/>
  <c r="K5" i="4"/>
  <c r="J6" i="4"/>
  <c r="J7" i="4" s="1"/>
  <c r="I20" i="4"/>
  <c r="I11" i="4"/>
  <c r="H21" i="3"/>
  <c r="H14" i="3"/>
  <c r="I20" i="3"/>
  <c r="I11" i="3"/>
  <c r="J20" i="4" l="1"/>
  <c r="J11" i="4"/>
  <c r="H15" i="4"/>
  <c r="H16" i="4" s="1"/>
  <c r="I21" i="4"/>
  <c r="I14" i="4"/>
  <c r="K6" i="4"/>
  <c r="K7" i="4" s="1"/>
  <c r="K10" i="4"/>
  <c r="L5" i="4"/>
  <c r="H15" i="3"/>
  <c r="H16" i="3" s="1"/>
  <c r="I21" i="3"/>
  <c r="I14" i="3"/>
  <c r="H17" i="4" l="1"/>
  <c r="M5" i="4"/>
  <c r="L10" i="4"/>
  <c r="L6" i="4"/>
  <c r="L7" i="4" s="1"/>
  <c r="J21" i="4"/>
  <c r="J14" i="4"/>
  <c r="K20" i="4"/>
  <c r="K11" i="4"/>
  <c r="I15" i="4"/>
  <c r="I16" i="4" s="1"/>
  <c r="H17" i="3"/>
  <c r="I15" i="3"/>
  <c r="I16" i="3" s="1"/>
  <c r="I17" i="4" l="1"/>
  <c r="L11" i="4"/>
  <c r="L20" i="4"/>
  <c r="J15" i="4"/>
  <c r="J16" i="4" s="1"/>
  <c r="M10" i="4"/>
  <c r="N5" i="4"/>
  <c r="M6" i="4"/>
  <c r="M7" i="4" s="1"/>
  <c r="K21" i="4"/>
  <c r="K14" i="4"/>
  <c r="I17" i="3"/>
  <c r="M20" i="4" l="1"/>
  <c r="M11" i="4"/>
  <c r="J17" i="4"/>
  <c r="O5" i="4"/>
  <c r="N10" i="4"/>
  <c r="N6" i="4"/>
  <c r="N7" i="4" s="1"/>
  <c r="K15" i="4"/>
  <c r="K16" i="4" s="1"/>
  <c r="L21" i="4"/>
  <c r="L14" i="4"/>
  <c r="K17" i="4" l="1"/>
  <c r="N11" i="4"/>
  <c r="N20" i="4"/>
  <c r="L15" i="4"/>
  <c r="L16" i="4" s="1"/>
  <c r="L17" i="4" s="1"/>
  <c r="M21" i="4"/>
  <c r="M14" i="4"/>
  <c r="P5" i="4"/>
  <c r="O10" i="4"/>
  <c r="O6" i="4"/>
  <c r="O7" i="4" s="1"/>
  <c r="O20" i="4" l="1"/>
  <c r="O11" i="4"/>
  <c r="Q5" i="4"/>
  <c r="P6" i="4"/>
  <c r="P7" i="4" s="1"/>
  <c r="P10" i="4"/>
  <c r="M15" i="4"/>
  <c r="M16" i="4" s="1"/>
  <c r="M17" i="4" s="1"/>
  <c r="N21" i="4"/>
  <c r="N14" i="4"/>
  <c r="P20" i="4" l="1"/>
  <c r="P11" i="4"/>
  <c r="N15" i="4"/>
  <c r="N16" i="4" s="1"/>
  <c r="N17" i="4" s="1"/>
  <c r="O21" i="4"/>
  <c r="O14" i="4"/>
  <c r="Q6" i="4"/>
  <c r="Q7" i="4" s="1"/>
  <c r="Q10" i="4"/>
  <c r="Q20" i="4" l="1"/>
  <c r="Q11" i="4"/>
  <c r="O15" i="4"/>
  <c r="O16" i="4"/>
  <c r="O17" i="4" s="1"/>
  <c r="P21" i="4"/>
  <c r="P14" i="4"/>
  <c r="J9" i="3"/>
  <c r="K9" i="3" s="1"/>
  <c r="L9" i="3" s="1"/>
  <c r="M9" i="3" s="1"/>
  <c r="N9" i="3" s="1"/>
  <c r="O9" i="3" s="1"/>
  <c r="P9" i="3" s="1"/>
  <c r="Q9" i="3" s="1"/>
  <c r="J8" i="3"/>
  <c r="K8" i="3" s="1"/>
  <c r="L8" i="3" s="1"/>
  <c r="M8" i="3" s="1"/>
  <c r="N8" i="3" s="1"/>
  <c r="O8" i="3" s="1"/>
  <c r="P8" i="3" s="1"/>
  <c r="Q8" i="3" s="1"/>
  <c r="J6" i="3"/>
  <c r="Q21" i="4" l="1"/>
  <c r="Q14" i="4"/>
  <c r="P15" i="4"/>
  <c r="P16" i="4" s="1"/>
  <c r="P17" i="4" s="1"/>
  <c r="J10" i="3"/>
  <c r="J7" i="3"/>
  <c r="Q15" i="4" l="1"/>
  <c r="Q16" i="4" s="1"/>
  <c r="J20" i="3"/>
  <c r="J11" i="3"/>
  <c r="K10" i="3"/>
  <c r="K6" i="3"/>
  <c r="K7" i="3" s="1"/>
  <c r="R16" i="4" l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EM16" i="4" s="1"/>
  <c r="EN16" i="4" s="1"/>
  <c r="EO16" i="4" s="1"/>
  <c r="EP16" i="4" s="1"/>
  <c r="EQ16" i="4" s="1"/>
  <c r="ER16" i="4" s="1"/>
  <c r="ES16" i="4" s="1"/>
  <c r="ET16" i="4" s="1"/>
  <c r="EU16" i="4" s="1"/>
  <c r="EV16" i="4" s="1"/>
  <c r="EW16" i="4" s="1"/>
  <c r="EX16" i="4" s="1"/>
  <c r="EY16" i="4" s="1"/>
  <c r="EZ16" i="4" s="1"/>
  <c r="FA16" i="4" s="1"/>
  <c r="FB16" i="4" s="1"/>
  <c r="FC16" i="4" s="1"/>
  <c r="FD16" i="4" s="1"/>
  <c r="FE16" i="4" s="1"/>
  <c r="T22" i="4" s="1"/>
  <c r="T23" i="4" s="1"/>
  <c r="T24" i="4" s="1"/>
  <c r="Q17" i="4"/>
  <c r="K11" i="3"/>
  <c r="K20" i="3"/>
  <c r="J21" i="3"/>
  <c r="J14" i="3"/>
  <c r="L10" i="3"/>
  <c r="L6" i="3"/>
  <c r="L7" i="3" s="1"/>
  <c r="L20" i="3" l="1"/>
  <c r="L11" i="3"/>
  <c r="J15" i="3"/>
  <c r="J16" i="3" s="1"/>
  <c r="M10" i="3"/>
  <c r="M6" i="3"/>
  <c r="M7" i="3" s="1"/>
  <c r="K21" i="3"/>
  <c r="K14" i="3"/>
  <c r="J17" i="3" l="1"/>
  <c r="K15" i="3"/>
  <c r="K16" i="3" s="1"/>
  <c r="M20" i="3"/>
  <c r="M11" i="3"/>
  <c r="L14" i="3"/>
  <c r="L21" i="3"/>
  <c r="N6" i="3"/>
  <c r="N7" i="3" s="1"/>
  <c r="N10" i="3"/>
  <c r="N11" i="3" l="1"/>
  <c r="N20" i="3"/>
  <c r="K17" i="3"/>
  <c r="L15" i="3"/>
  <c r="L16" i="3" s="1"/>
  <c r="L17" i="3" s="1"/>
  <c r="O10" i="3"/>
  <c r="O6" i="3"/>
  <c r="O7" i="3" s="1"/>
  <c r="M21" i="3"/>
  <c r="M14" i="3"/>
  <c r="O11" i="3" l="1"/>
  <c r="O20" i="3"/>
  <c r="P10" i="3"/>
  <c r="P6" i="3"/>
  <c r="P7" i="3" s="1"/>
  <c r="M15" i="3"/>
  <c r="M16" i="3" s="1"/>
  <c r="M17" i="3" s="1"/>
  <c r="N21" i="3"/>
  <c r="N14" i="3"/>
  <c r="P20" i="3" l="1"/>
  <c r="P11" i="3"/>
  <c r="N15" i="3"/>
  <c r="N16" i="3" s="1"/>
  <c r="Q6" i="3"/>
  <c r="Q7" i="3" s="1"/>
  <c r="Q10" i="3"/>
  <c r="O21" i="3"/>
  <c r="O14" i="3"/>
  <c r="N17" i="3" l="1"/>
  <c r="O15" i="3"/>
  <c r="O16" i="3" s="1"/>
  <c r="O17" i="3" s="1"/>
  <c r="Q20" i="3"/>
  <c r="Q11" i="3"/>
  <c r="P14" i="3"/>
  <c r="P21" i="3"/>
  <c r="Q21" i="3" l="1"/>
  <c r="Q14" i="3"/>
  <c r="P15" i="3"/>
  <c r="P16" i="3" s="1"/>
  <c r="P17" i="3" s="1"/>
  <c r="Q15" i="3" l="1"/>
  <c r="Q16" i="3" s="1"/>
  <c r="Q17" i="3" l="1"/>
  <c r="R16" i="3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EG16" i="3" s="1"/>
  <c r="EH16" i="3" s="1"/>
  <c r="EI16" i="3" s="1"/>
  <c r="EJ16" i="3" s="1"/>
  <c r="EK16" i="3" s="1"/>
  <c r="EL16" i="3" s="1"/>
  <c r="EM16" i="3" s="1"/>
  <c r="EN16" i="3" s="1"/>
  <c r="EO16" i="3" s="1"/>
  <c r="EP16" i="3" s="1"/>
  <c r="EQ16" i="3" s="1"/>
  <c r="ER16" i="3" s="1"/>
  <c r="ES16" i="3" s="1"/>
  <c r="ET16" i="3" s="1"/>
  <c r="EU16" i="3" s="1"/>
  <c r="EV16" i="3" s="1"/>
  <c r="EW16" i="3" s="1"/>
  <c r="EX16" i="3" s="1"/>
  <c r="EY16" i="3" s="1"/>
  <c r="EZ16" i="3" s="1"/>
  <c r="FA16" i="3" s="1"/>
  <c r="FB16" i="3" s="1"/>
  <c r="FC16" i="3" s="1"/>
  <c r="FD16" i="3" s="1"/>
  <c r="FE16" i="3" s="1"/>
  <c r="T22" i="3" s="1"/>
  <c r="T23" i="3" s="1"/>
  <c r="T24" i="3" s="1"/>
</calcChain>
</file>

<file path=xl/sharedStrings.xml><?xml version="1.0" encoding="utf-8"?>
<sst xmlns="http://schemas.openxmlformats.org/spreadsheetml/2006/main" count="119" uniqueCount="43">
  <si>
    <t>Revenue</t>
  </si>
  <si>
    <t>COGS</t>
  </si>
  <si>
    <t>Gross profit</t>
  </si>
  <si>
    <t>S&amp;M</t>
  </si>
  <si>
    <t>R&amp;D</t>
  </si>
  <si>
    <t>G&amp;A</t>
  </si>
  <si>
    <t>Operating Income</t>
  </si>
  <si>
    <t>Interest Expense</t>
  </si>
  <si>
    <t>Other income, net</t>
  </si>
  <si>
    <t>Pretax</t>
  </si>
  <si>
    <t>Taxes</t>
  </si>
  <si>
    <t>Net Income</t>
  </si>
  <si>
    <t>Gross margin</t>
  </si>
  <si>
    <t>Operating Margin</t>
  </si>
  <si>
    <t>Shares</t>
  </si>
  <si>
    <t>EPS</t>
  </si>
  <si>
    <t>CFFO</t>
  </si>
  <si>
    <t>CapEx</t>
  </si>
  <si>
    <t>FCF</t>
  </si>
  <si>
    <t>D&amp;A</t>
  </si>
  <si>
    <t>SBC</t>
  </si>
  <si>
    <t>Adj. FCF</t>
  </si>
  <si>
    <t>Price</t>
  </si>
  <si>
    <t>MC</t>
  </si>
  <si>
    <t>Net Cash</t>
  </si>
  <si>
    <t>EV</t>
  </si>
  <si>
    <t>EV/FCF</t>
  </si>
  <si>
    <t>FCF Yield</t>
  </si>
  <si>
    <t>Revenue Y/Y</t>
  </si>
  <si>
    <t>Cash</t>
  </si>
  <si>
    <t>Debt</t>
  </si>
  <si>
    <t>Net Debt</t>
  </si>
  <si>
    <t>Cost of Debt</t>
  </si>
  <si>
    <t>Discount</t>
  </si>
  <si>
    <t>Terminal</t>
  </si>
  <si>
    <t>NPV</t>
  </si>
  <si>
    <t>Value</t>
  </si>
  <si>
    <t>Bull</t>
  </si>
  <si>
    <t>Bear</t>
  </si>
  <si>
    <t>Base</t>
  </si>
  <si>
    <t>Case</t>
  </si>
  <si>
    <t>Weight</t>
  </si>
  <si>
    <t>Prob.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</si>
</sst>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0.0%"/>
    <numFmt numFmtId="172" formatCode="#,##0.000"/>
    <numFmt numFmtId="173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2" fillId="0" borderId="0" xfId="0" applyNumberFormat="1" applyFont="1"/>
    <xf numFmtId="1" fontId="0" fillId="0" borderId="0" xfId="0" applyNumberFormat="1"/>
    <xf numFmtId="171" fontId="0" fillId="0" borderId="0" xfId="1" applyNumberFormat="1" applyFont="1"/>
    <xf numFmtId="9" fontId="0" fillId="0" borderId="0" xfId="1" applyNumberFormat="1" applyFont="1"/>
    <xf numFmtId="172" fontId="0" fillId="0" borderId="0" xfId="0" applyNumberFormat="1"/>
    <xf numFmtId="17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601265</xdr:colOff>
      <xdr:row>3</xdr:row>
      <xdr:rowOff>208359</xdr:rowOff>
    </xdr:from>
    <xdr:to>
      <xdr:col>7</xdr:col>
      <xdr:colOff>5953</xdr:colOff>
      <xdr:row>31</xdr:row>
      <xdr:rowOff>23813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12521E7-945D-4D26-7E8F-D049F1F2C79F}"/>
            </a:ext>
          </a:extLst>
        </xdr:cNvPr>
        <xdr:cNvCxnSpPr/>
      </xdr:nvCxnSpPr>
      <xdr:spPr>
        <a:xfrm flipH="1">
          <a:off x="4351734" y="833437"/>
          <a:ext cx="11907" cy="53875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601265</xdr:colOff>
      <xdr:row>3</xdr:row>
      <xdr:rowOff>208359</xdr:rowOff>
    </xdr:from>
    <xdr:to>
      <xdr:col>7</xdr:col>
      <xdr:colOff>5953</xdr:colOff>
      <xdr:row>31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082E4E-DDB6-4011-86FC-314BEFA7894B}"/>
            </a:ext>
          </a:extLst>
        </xdr:cNvPr>
        <xdr:cNvCxnSpPr/>
      </xdr:nvCxnSpPr>
      <xdr:spPr>
        <a:xfrm flipH="1">
          <a:off x="4363640" y="837009"/>
          <a:ext cx="14288" cy="56257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601265</xdr:colOff>
      <xdr:row>3</xdr:row>
      <xdr:rowOff>208359</xdr:rowOff>
    </xdr:from>
    <xdr:to>
      <xdr:col>7</xdr:col>
      <xdr:colOff>5953</xdr:colOff>
      <xdr:row>31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05BEEC-E371-49D9-95EB-5B46267773EF}"/>
            </a:ext>
          </a:extLst>
        </xdr:cNvPr>
        <xdr:cNvCxnSpPr/>
      </xdr:nvCxnSpPr>
      <xdr:spPr>
        <a:xfrm flipH="1">
          <a:off x="4392215" y="760809"/>
          <a:ext cx="42863" cy="51685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87DD-8AD6-4851-A36C-A15CC8BAFC35}">
  <dimension ref="B2:D16"/>
  <sheetViews>
    <sheetView tabSelected="1" zoomScale="190" zoomScaleNormal="190" workbookViewId="0">
      <selection activeCell="C14" sqref="C14"/>
    </sheetView>
  </sheetViews>
  <sheetFormatPr defaultRowHeight="16.5" x14ac:dyDescent="0.25"/>
  <cols>
    <col min="3" max="3" width="11.28515625" bestFit="1" customWidth="1"/>
  </cols>
  <sheetData>
    <row r="2" spans="2:4" x14ac:dyDescent="0.25">
      <c r="B2" t="s">
        <v>22</v>
      </c>
      <c r="C2">
        <v>392.5</v>
      </c>
    </row>
    <row r="3" spans="2:4" x14ac:dyDescent="0.25">
      <c r="B3" t="s">
        <v>14</v>
      </c>
      <c r="C3">
        <v>338000</v>
      </c>
    </row>
    <row r="4" spans="2:4" x14ac:dyDescent="0.25">
      <c r="B4" t="s">
        <v>23</v>
      </c>
      <c r="C4" s="2">
        <f>+C2*C3</f>
        <v>132665000</v>
      </c>
    </row>
    <row r="5" spans="2:4" x14ac:dyDescent="0.25">
      <c r="B5" t="s">
        <v>24</v>
      </c>
      <c r="C5">
        <f>2487096-3512987</f>
        <v>-1025891</v>
      </c>
    </row>
    <row r="6" spans="2:4" x14ac:dyDescent="0.25">
      <c r="B6" t="s">
        <v>25</v>
      </c>
      <c r="C6" s="2">
        <f>+C4-C5</f>
        <v>133690891</v>
      </c>
    </row>
    <row r="8" spans="2:4" x14ac:dyDescent="0.25">
      <c r="B8" t="s">
        <v>26</v>
      </c>
      <c r="C8" s="6">
        <f>+C6/Base!G29</f>
        <v>35.819446703220891</v>
      </c>
    </row>
    <row r="9" spans="2:4" x14ac:dyDescent="0.25">
      <c r="B9" t="s">
        <v>27</v>
      </c>
      <c r="C9" s="7">
        <f>1/C8</f>
        <v>2.7917795835469446E-2</v>
      </c>
    </row>
    <row r="11" spans="2:4" ht="15" x14ac:dyDescent="0.25">
      <c r="B11" s="1" t="s">
        <v>40</v>
      </c>
      <c r="C11" s="1" t="s">
        <v>41</v>
      </c>
      <c r="D11" s="1" t="s">
        <v>25</v>
      </c>
    </row>
    <row r="12" spans="2:4" x14ac:dyDescent="0.25">
      <c r="B12" t="s">
        <v>38</v>
      </c>
      <c r="C12" s="4">
        <v>0.3</v>
      </c>
      <c r="D12">
        <f>+C12*Bear!T24</f>
        <v>59.971813164673051</v>
      </c>
    </row>
    <row r="13" spans="2:4" x14ac:dyDescent="0.25">
      <c r="B13" t="s">
        <v>39</v>
      </c>
      <c r="C13" s="4">
        <v>0.5</v>
      </c>
      <c r="D13">
        <f>+C13*Base!T24</f>
        <v>221.11024602151423</v>
      </c>
    </row>
    <row r="14" spans="2:4" x14ac:dyDescent="0.25">
      <c r="B14" t="s">
        <v>37</v>
      </c>
      <c r="C14" s="4">
        <v>0.2</v>
      </c>
      <c r="D14">
        <f>+C14*Bull!T24</f>
        <v>142.84285760006887</v>
      </c>
    </row>
    <row r="16" spans="2:4" x14ac:dyDescent="0.25">
      <c r="B16" t="s">
        <v>42</v>
      </c>
      <c r="C16" s="6">
        <f>+SUM(D12:D14)</f>
        <v>423.92491678625618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A005-2B3B-4F86-A94D-62EC87B1E199}">
  <dimension ref="B2:FE108"/>
  <sheetViews>
    <sheetView zoomScale="160" zoomScaleNormal="160" workbookViewId="0">
      <pane xSplit="2" ySplit="2" topLeftCell="L12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6.5" x14ac:dyDescent="0.25"/>
  <cols>
    <col min="1" max="1" width="2.85546875" customWidth="1"/>
    <col min="2" max="2" width="17" bestFit="1" customWidth="1"/>
    <col min="10" max="19" width="10.28515625" bestFit="1" customWidth="1"/>
    <col min="20" max="20" width="11.85546875" bestFit="1" customWidth="1"/>
    <col min="21" max="28" width="10.28515625" bestFit="1" customWidth="1"/>
  </cols>
  <sheetData>
    <row r="2" spans="2:161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>+G2+1</f>
        <v>2026</v>
      </c>
      <c r="I2">
        <f t="shared" ref="I2:Q2" si="0">+H2+1</f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61" s="2" customFormat="1" x14ac:dyDescent="0.25"/>
    <row r="4" spans="2:161" s="2" customFormat="1" x14ac:dyDescent="0.25"/>
    <row r="5" spans="2:161" s="3" customFormat="1" ht="15" x14ac:dyDescent="0.25">
      <c r="B5" s="3" t="s">
        <v>0</v>
      </c>
      <c r="F5" s="3">
        <v>3224058</v>
      </c>
      <c r="G5" s="3">
        <v>5480717</v>
      </c>
      <c r="H5" s="3">
        <f>+G5*1.3</f>
        <v>7124932.1000000006</v>
      </c>
      <c r="I5" s="3">
        <f>+H5*1.27</f>
        <v>9048663.7670000009</v>
      </c>
      <c r="J5" s="3">
        <f>+I5*1.24</f>
        <v>11220343.071080001</v>
      </c>
      <c r="K5" s="3">
        <f>+J5*1.2</f>
        <v>13464411.685296001</v>
      </c>
      <c r="L5" s="3">
        <f>+K5*1.17</f>
        <v>15753361.67179632</v>
      </c>
      <c r="M5" s="3">
        <f>+L5*1.15</f>
        <v>18116365.922565766</v>
      </c>
      <c r="N5" s="3">
        <f>+M5*1.13</f>
        <v>20471493.492499314</v>
      </c>
      <c r="O5" s="3">
        <f>+N5*1.11</f>
        <v>22723357.776674241</v>
      </c>
      <c r="P5" s="3">
        <f>+O5*1.1</f>
        <v>24995693.554341666</v>
      </c>
      <c r="Q5" s="3">
        <f>+P5*1.09</f>
        <v>27245305.974232417</v>
      </c>
    </row>
    <row r="6" spans="2:161" s="2" customFormat="1" x14ac:dyDescent="0.25">
      <c r="B6" s="2" t="s">
        <v>1</v>
      </c>
      <c r="F6" s="2">
        <v>520613</v>
      </c>
      <c r="G6" s="2">
        <v>665140</v>
      </c>
      <c r="H6" s="2">
        <f>+H5*0.12</f>
        <v>854991.85200000007</v>
      </c>
      <c r="I6" s="2">
        <f t="shared" ref="I6:Q6" si="1">+I5*0.12</f>
        <v>1085839.6520400001</v>
      </c>
      <c r="J6" s="2">
        <f t="shared" si="1"/>
        <v>1346441.1685296001</v>
      </c>
      <c r="K6" s="2">
        <f t="shared" si="1"/>
        <v>1615729.4022355201</v>
      </c>
      <c r="L6" s="2">
        <f t="shared" si="1"/>
        <v>1890403.4006155583</v>
      </c>
      <c r="M6" s="2">
        <f t="shared" si="1"/>
        <v>2173963.9107078919</v>
      </c>
      <c r="N6" s="2">
        <f t="shared" si="1"/>
        <v>2456579.2190999174</v>
      </c>
      <c r="O6" s="2">
        <f t="shared" si="1"/>
        <v>2726802.9332009088</v>
      </c>
      <c r="P6" s="2">
        <f t="shared" si="1"/>
        <v>2999483.2265209998</v>
      </c>
      <c r="Q6" s="2">
        <f t="shared" si="1"/>
        <v>3269436.71690789</v>
      </c>
    </row>
    <row r="7" spans="2:161" s="2" customFormat="1" x14ac:dyDescent="0.25">
      <c r="B7" s="2" t="s">
        <v>2</v>
      </c>
      <c r="D7" s="2">
        <f>+D5-D6</f>
        <v>0</v>
      </c>
      <c r="E7" s="2">
        <f>+E5-E6</f>
        <v>0</v>
      </c>
      <c r="F7" s="2">
        <f>+F5-F6</f>
        <v>2703445</v>
      </c>
      <c r="G7" s="2">
        <f t="shared" ref="G7:H7" si="2">+G5-G6</f>
        <v>4815577</v>
      </c>
      <c r="H7" s="2">
        <f t="shared" si="2"/>
        <v>6269940.2480000006</v>
      </c>
      <c r="I7" s="2">
        <f t="shared" ref="I7" si="3">+I5-I6</f>
        <v>7962824.1149600009</v>
      </c>
      <c r="J7" s="2">
        <f t="shared" ref="J7" si="4">+J5-J6</f>
        <v>9873901.9025504012</v>
      </c>
      <c r="K7" s="2">
        <f t="shared" ref="K7" si="5">+K5-K6</f>
        <v>11848682.28306048</v>
      </c>
      <c r="L7" s="2">
        <f t="shared" ref="L7" si="6">+L5-L6</f>
        <v>13862958.271180762</v>
      </c>
      <c r="M7" s="2">
        <f t="shared" ref="M7" si="7">+M5-M6</f>
        <v>15942402.011857875</v>
      </c>
      <c r="N7" s="2">
        <f t="shared" ref="N7" si="8">+N5-N6</f>
        <v>18014914.273399398</v>
      </c>
      <c r="O7" s="2">
        <f t="shared" ref="O7" si="9">+O5-O6</f>
        <v>19996554.84347333</v>
      </c>
      <c r="P7" s="2">
        <f t="shared" ref="P7" si="10">+P5-P6</f>
        <v>21996210.327820666</v>
      </c>
      <c r="Q7" s="2">
        <f t="shared" ref="Q7" si="11">+Q5-Q6</f>
        <v>23975869.257324528</v>
      </c>
    </row>
    <row r="8" spans="2:161" s="2" customFormat="1" x14ac:dyDescent="0.25">
      <c r="B8" s="2" t="s">
        <v>3</v>
      </c>
      <c r="F8" s="2">
        <v>252863</v>
      </c>
      <c r="G8" s="2">
        <v>203651</v>
      </c>
      <c r="H8" s="2">
        <f>+G8*(1+H22*0.666666666666667)</f>
        <v>244381.19999999998</v>
      </c>
      <c r="I8" s="2">
        <f t="shared" ref="I8:Q8" si="12">+H8*(1+I22*0.666666666666667)</f>
        <v>288369.81599999999</v>
      </c>
      <c r="J8" s="2">
        <f t="shared" si="12"/>
        <v>334508.98655999999</v>
      </c>
      <c r="K8" s="2">
        <f t="shared" si="12"/>
        <v>379110.18476799998</v>
      </c>
      <c r="L8" s="2">
        <f t="shared" si="12"/>
        <v>422076.00570837327</v>
      </c>
      <c r="M8" s="2">
        <f t="shared" si="12"/>
        <v>464283.60627921054</v>
      </c>
      <c r="N8" s="2">
        <f t="shared" si="12"/>
        <v>504521.51882340881</v>
      </c>
      <c r="O8" s="2">
        <f t="shared" si="12"/>
        <v>541519.76353712555</v>
      </c>
      <c r="P8" s="2">
        <f t="shared" si="12"/>
        <v>577621.08110626729</v>
      </c>
      <c r="Q8" s="2">
        <f t="shared" si="12"/>
        <v>612278.34597264335</v>
      </c>
    </row>
    <row r="9" spans="2:161" s="2" customFormat="1" x14ac:dyDescent="0.25">
      <c r="B9" s="2" t="s">
        <v>4</v>
      </c>
      <c r="F9" s="2">
        <v>374710</v>
      </c>
      <c r="G9" s="2">
        <v>226510</v>
      </c>
      <c r="H9" s="2">
        <f>+G9*(1+H22*0.666666666666667)</f>
        <v>271812</v>
      </c>
      <c r="I9" s="2">
        <f t="shared" ref="I9:Q9" si="13">+H9*(1+I22*0.666666666666667)</f>
        <v>320738.15999999997</v>
      </c>
      <c r="J9" s="2">
        <f t="shared" si="13"/>
        <v>372056.26559999993</v>
      </c>
      <c r="K9" s="2">
        <f t="shared" si="13"/>
        <v>421663.76767999993</v>
      </c>
      <c r="L9" s="2">
        <f t="shared" si="13"/>
        <v>469452.32801706658</v>
      </c>
      <c r="M9" s="2">
        <f t="shared" si="13"/>
        <v>516397.56081877317</v>
      </c>
      <c r="N9" s="2">
        <f t="shared" si="13"/>
        <v>561152.01608973346</v>
      </c>
      <c r="O9" s="2">
        <f t="shared" si="13"/>
        <v>602303.16393631394</v>
      </c>
      <c r="P9" s="2">
        <f t="shared" si="13"/>
        <v>642456.70819873491</v>
      </c>
      <c r="Q9" s="2">
        <f t="shared" si="13"/>
        <v>681004.11069065903</v>
      </c>
    </row>
    <row r="10" spans="2:161" s="2" customFormat="1" x14ac:dyDescent="0.25">
      <c r="B10" s="2" t="s">
        <v>5</v>
      </c>
      <c r="F10" s="2">
        <v>164916</v>
      </c>
      <c r="G10" s="2">
        <v>233502</v>
      </c>
      <c r="H10" s="2">
        <f>+H5*0.045</f>
        <v>320621.94450000004</v>
      </c>
      <c r="I10" s="2">
        <f t="shared" ref="I10:Q10" si="14">+I5*0.045</f>
        <v>407189.86951500003</v>
      </c>
      <c r="J10" s="2">
        <f t="shared" si="14"/>
        <v>504915.43819860002</v>
      </c>
      <c r="K10" s="2">
        <f t="shared" si="14"/>
        <v>605898.52583832003</v>
      </c>
      <c r="L10" s="2">
        <f t="shared" si="14"/>
        <v>708901.27523083438</v>
      </c>
      <c r="M10" s="2">
        <f t="shared" si="14"/>
        <v>815236.46651545947</v>
      </c>
      <c r="N10" s="2">
        <f t="shared" si="14"/>
        <v>921217.20716246916</v>
      </c>
      <c r="O10" s="2">
        <f t="shared" si="14"/>
        <v>1022551.0999503408</v>
      </c>
      <c r="P10" s="2">
        <f t="shared" si="14"/>
        <v>1124806.2099453749</v>
      </c>
      <c r="Q10" s="2">
        <f t="shared" si="14"/>
        <v>1226038.7688404587</v>
      </c>
    </row>
    <row r="11" spans="2:161" s="3" customFormat="1" ht="15" x14ac:dyDescent="0.25">
      <c r="B11" s="3" t="s">
        <v>6</v>
      </c>
      <c r="D11" s="3">
        <f>+D7-SUM(D8:D10)</f>
        <v>0</v>
      </c>
      <c r="E11" s="3">
        <f>+E7-SUM(E8:E10)</f>
        <v>0</v>
      </c>
      <c r="F11" s="3">
        <f>+F7-SUM(F8:F10)</f>
        <v>1910956</v>
      </c>
      <c r="G11" s="3">
        <f t="shared" ref="G11:H11" si="15">+G7-SUM(G8:G10)</f>
        <v>4151914</v>
      </c>
      <c r="H11" s="3">
        <f t="shared" si="15"/>
        <v>5433125.1035000011</v>
      </c>
      <c r="I11" s="3">
        <f t="shared" ref="I11" si="16">+I7-SUM(I8:I10)</f>
        <v>6946526.2694450011</v>
      </c>
      <c r="J11" s="3">
        <f t="shared" ref="J11" si="17">+J7-SUM(J8:J10)</f>
        <v>8662421.2121918015</v>
      </c>
      <c r="K11" s="3">
        <f t="shared" ref="K11" si="18">+K7-SUM(K8:K10)</f>
        <v>10442009.80477416</v>
      </c>
      <c r="L11" s="3">
        <f t="shared" ref="L11" si="19">+L7-SUM(L8:L10)</f>
        <v>12262528.662224488</v>
      </c>
      <c r="M11" s="3">
        <f t="shared" ref="M11" si="20">+M7-SUM(M8:M10)</f>
        <v>14146484.378244432</v>
      </c>
      <c r="N11" s="3">
        <f t="shared" ref="N11" si="21">+N7-SUM(N8:N10)</f>
        <v>16028023.531323787</v>
      </c>
      <c r="O11" s="3">
        <f t="shared" ref="O11" si="22">+O7-SUM(O8:O10)</f>
        <v>17830180.81604955</v>
      </c>
      <c r="P11" s="3">
        <f t="shared" ref="P11" si="23">+P7-SUM(P8:P10)</f>
        <v>19651326.328570288</v>
      </c>
      <c r="Q11" s="3">
        <f t="shared" ref="Q11" si="24">+Q7-SUM(Q8:Q10)</f>
        <v>21456548.031820767</v>
      </c>
    </row>
    <row r="12" spans="2:161" s="2" customFormat="1" x14ac:dyDescent="0.25">
      <c r="B12" s="2" t="s">
        <v>7</v>
      </c>
      <c r="F12" s="2">
        <v>317209</v>
      </c>
      <c r="G12" s="2">
        <v>207016</v>
      </c>
      <c r="H12" s="2">
        <f>+G12*0.98</f>
        <v>202875.68</v>
      </c>
      <c r="I12" s="2">
        <f t="shared" ref="I12:Q12" si="25">+H12*0.98</f>
        <v>198818.16639999999</v>
      </c>
      <c r="J12" s="2">
        <f t="shared" si="25"/>
        <v>194841.80307199998</v>
      </c>
      <c r="K12" s="2">
        <f t="shared" si="25"/>
        <v>190944.96701055998</v>
      </c>
      <c r="L12" s="2">
        <f t="shared" si="25"/>
        <v>187126.06767034877</v>
      </c>
      <c r="M12" s="2">
        <f t="shared" si="25"/>
        <v>183383.54631694179</v>
      </c>
      <c r="N12" s="2">
        <f t="shared" si="25"/>
        <v>179715.87539060295</v>
      </c>
      <c r="O12" s="2">
        <f t="shared" si="25"/>
        <v>176121.55788279089</v>
      </c>
      <c r="P12" s="2">
        <f t="shared" si="25"/>
        <v>172599.12672513508</v>
      </c>
      <c r="Q12" s="2">
        <f t="shared" si="25"/>
        <v>169147.14419063239</v>
      </c>
    </row>
    <row r="13" spans="2:161" s="2" customFormat="1" x14ac:dyDescent="0.25">
      <c r="B13" s="2" t="s">
        <v>8</v>
      </c>
      <c r="F13" s="2">
        <v>18196</v>
      </c>
      <c r="G13" s="2">
        <v>8012</v>
      </c>
      <c r="H13" s="2">
        <v>5000</v>
      </c>
      <c r="I13" s="2">
        <v>5000</v>
      </c>
      <c r="J13" s="2">
        <v>5000</v>
      </c>
      <c r="K13" s="2">
        <v>5000</v>
      </c>
      <c r="L13" s="2">
        <v>5000</v>
      </c>
      <c r="M13" s="2">
        <v>5000</v>
      </c>
      <c r="N13" s="2">
        <v>5000</v>
      </c>
      <c r="O13" s="2">
        <v>5000</v>
      </c>
      <c r="P13" s="2">
        <v>5000</v>
      </c>
      <c r="Q13" s="2">
        <v>5000</v>
      </c>
    </row>
    <row r="14" spans="2:161" s="2" customFormat="1" x14ac:dyDescent="0.25">
      <c r="B14" s="2" t="s">
        <v>9</v>
      </c>
      <c r="D14" s="2">
        <f>+D11-D12+D13</f>
        <v>0</v>
      </c>
      <c r="E14" s="2">
        <f>+E11-E12+E13</f>
        <v>0</v>
      </c>
      <c r="F14" s="2">
        <f>+F11-F12+F13</f>
        <v>1611943</v>
      </c>
      <c r="G14" s="2">
        <f t="shared" ref="G14:H14" si="26">+G11-G12+G13</f>
        <v>3952910</v>
      </c>
      <c r="H14" s="2">
        <f t="shared" si="26"/>
        <v>5235249.4235000014</v>
      </c>
      <c r="I14" s="2">
        <f t="shared" ref="I14" si="27">+I11-I12+I13</f>
        <v>6752708.1030450016</v>
      </c>
      <c r="J14" s="2">
        <f t="shared" ref="J14" si="28">+J11-J12+J13</f>
        <v>8472579.4091198016</v>
      </c>
      <c r="K14" s="2">
        <f t="shared" ref="K14" si="29">+K11-K12+K13</f>
        <v>10256064.8377636</v>
      </c>
      <c r="L14" s="2">
        <f t="shared" ref="L14" si="30">+L11-L12+L13</f>
        <v>12080402.594554139</v>
      </c>
      <c r="M14" s="2">
        <f t="shared" ref="M14" si="31">+M11-M12+M13</f>
        <v>13968100.831927489</v>
      </c>
      <c r="N14" s="2">
        <f t="shared" ref="N14" si="32">+N11-N12+N13</f>
        <v>15853307.655933185</v>
      </c>
      <c r="O14" s="2">
        <f t="shared" ref="O14" si="33">+O11-O12+O13</f>
        <v>17659059.25816676</v>
      </c>
      <c r="P14" s="2">
        <f t="shared" ref="P14" si="34">+P11-P12+P13</f>
        <v>19483727.201845154</v>
      </c>
      <c r="Q14" s="2">
        <f t="shared" ref="Q14" si="35">+Q11-Q12+Q13</f>
        <v>21292400.887630135</v>
      </c>
    </row>
    <row r="15" spans="2:161" s="2" customFormat="1" x14ac:dyDescent="0.25">
      <c r="B15" s="2" t="s">
        <v>10</v>
      </c>
      <c r="F15" s="2">
        <v>22419</v>
      </c>
      <c r="G15" s="2">
        <v>519715</v>
      </c>
      <c r="H15" s="2">
        <f>+H14*0.21</f>
        <v>1099402.3789350002</v>
      </c>
      <c r="I15" s="2">
        <f t="shared" ref="I15:Q15" si="36">+I14*0.21</f>
        <v>1418068.7016394504</v>
      </c>
      <c r="J15" s="2">
        <f t="shared" si="36"/>
        <v>1779241.6759151584</v>
      </c>
      <c r="K15" s="2">
        <f t="shared" si="36"/>
        <v>2153773.6159303561</v>
      </c>
      <c r="L15" s="2">
        <f t="shared" si="36"/>
        <v>2536884.544856369</v>
      </c>
      <c r="M15" s="2">
        <f t="shared" si="36"/>
        <v>2933301.1747047729</v>
      </c>
      <c r="N15" s="2">
        <f t="shared" si="36"/>
        <v>3329194.6077459687</v>
      </c>
      <c r="O15" s="2">
        <f t="shared" si="36"/>
        <v>3708402.4442150197</v>
      </c>
      <c r="P15" s="2">
        <f t="shared" si="36"/>
        <v>4091582.7123874822</v>
      </c>
      <c r="Q15" s="2">
        <f t="shared" si="36"/>
        <v>4471404.1864023283</v>
      </c>
    </row>
    <row r="16" spans="2:161" s="2" customFormat="1" x14ac:dyDescent="0.25">
      <c r="B16" s="2" t="s">
        <v>11</v>
      </c>
      <c r="D16" s="2">
        <f>+D14-D15</f>
        <v>0</v>
      </c>
      <c r="E16" s="2">
        <f>+E14-E15</f>
        <v>0</v>
      </c>
      <c r="F16" s="2">
        <f>+F14-F15</f>
        <v>1589524</v>
      </c>
      <c r="G16" s="2">
        <f t="shared" ref="G16:H16" si="37">+G14-G15</f>
        <v>3433195</v>
      </c>
      <c r="H16" s="2">
        <f t="shared" si="37"/>
        <v>4135847.0445650015</v>
      </c>
      <c r="I16" s="2">
        <f t="shared" ref="I16" si="38">+I14-I15</f>
        <v>5334639.4014055515</v>
      </c>
      <c r="J16" s="2">
        <f t="shared" ref="J16" si="39">+J14-J15</f>
        <v>6693337.7332046432</v>
      </c>
      <c r="K16" s="2">
        <f t="shared" ref="K16" si="40">+K14-K15</f>
        <v>8102291.221833244</v>
      </c>
      <c r="L16" s="2">
        <f t="shared" ref="L16" si="41">+L14-L15</f>
        <v>9543518.0496977698</v>
      </c>
      <c r="M16" s="2">
        <f t="shared" ref="M16" si="42">+M14-M15</f>
        <v>11034799.657222716</v>
      </c>
      <c r="N16" s="2">
        <f t="shared" ref="N16" si="43">+N14-N15</f>
        <v>12524113.048187215</v>
      </c>
      <c r="O16" s="2">
        <f t="shared" ref="O16" si="44">+O14-O15</f>
        <v>13950656.81395174</v>
      </c>
      <c r="P16" s="2">
        <f t="shared" ref="P16" si="45">+P14-P15</f>
        <v>15392144.489457672</v>
      </c>
      <c r="Q16" s="2">
        <f t="shared" ref="Q16" si="46">+Q14-Q15</f>
        <v>16820996.701227807</v>
      </c>
      <c r="R16" s="2">
        <f>+Q16*(1+$T21)</f>
        <v>17325626.602264643</v>
      </c>
      <c r="S16" s="2">
        <f t="shared" ref="S16:CD16" si="47">+R16*(1+$T21)</f>
        <v>17845395.400332581</v>
      </c>
      <c r="T16" s="2">
        <f t="shared" si="47"/>
        <v>18380757.262342557</v>
      </c>
      <c r="U16" s="2">
        <f t="shared" si="47"/>
        <v>18932179.980212834</v>
      </c>
      <c r="V16" s="2">
        <f t="shared" si="47"/>
        <v>19500145.379619218</v>
      </c>
      <c r="W16" s="2">
        <f t="shared" si="47"/>
        <v>20085149.741007794</v>
      </c>
      <c r="X16" s="2">
        <f t="shared" si="47"/>
        <v>20687704.233238026</v>
      </c>
      <c r="Y16" s="2">
        <f t="shared" si="47"/>
        <v>21308335.36023517</v>
      </c>
      <c r="Z16" s="2">
        <f t="shared" si="47"/>
        <v>21947585.421042226</v>
      </c>
      <c r="AA16" s="2">
        <f t="shared" si="47"/>
        <v>22606012.983673494</v>
      </c>
      <c r="AB16" s="2">
        <f t="shared" si="47"/>
        <v>23284193.373183701</v>
      </c>
      <c r="AC16" s="2">
        <f t="shared" si="47"/>
        <v>23982719.174379215</v>
      </c>
      <c r="AD16" s="2">
        <f t="shared" si="47"/>
        <v>24702200.749610592</v>
      </c>
      <c r="AE16" s="2">
        <f t="shared" si="47"/>
        <v>25443266.77209891</v>
      </c>
      <c r="AF16" s="2">
        <f t="shared" si="47"/>
        <v>26206564.775261879</v>
      </c>
      <c r="AG16" s="2">
        <f t="shared" si="47"/>
        <v>26992761.718519736</v>
      </c>
      <c r="AH16" s="2">
        <f t="shared" si="47"/>
        <v>27802544.570075329</v>
      </c>
      <c r="AI16" s="2">
        <f t="shared" si="47"/>
        <v>28636620.90717759</v>
      </c>
      <c r="AJ16" s="2">
        <f t="shared" si="47"/>
        <v>29495719.534392919</v>
      </c>
      <c r="AK16" s="2">
        <f t="shared" si="47"/>
        <v>30380591.120424706</v>
      </c>
      <c r="AL16" s="2">
        <f t="shared" si="47"/>
        <v>31292008.854037449</v>
      </c>
      <c r="AM16" s="2">
        <f t="shared" si="47"/>
        <v>32230769.119658574</v>
      </c>
      <c r="AN16" s="2">
        <f t="shared" si="47"/>
        <v>33197692.193248332</v>
      </c>
      <c r="AO16" s="2">
        <f t="shared" si="47"/>
        <v>34193622.959045783</v>
      </c>
      <c r="AP16" s="2">
        <f t="shared" si="47"/>
        <v>35219431.647817157</v>
      </c>
      <c r="AQ16" s="2">
        <f t="shared" si="47"/>
        <v>36276014.597251676</v>
      </c>
      <c r="AR16" s="2">
        <f t="shared" si="47"/>
        <v>37364295.035169229</v>
      </c>
      <c r="AS16" s="2">
        <f t="shared" si="47"/>
        <v>38485223.886224307</v>
      </c>
      <c r="AT16" s="2">
        <f t="shared" si="47"/>
        <v>39639780.602811038</v>
      </c>
      <c r="AU16" s="2">
        <f t="shared" si="47"/>
        <v>40828974.020895369</v>
      </c>
      <c r="AV16" s="2">
        <f t="shared" si="47"/>
        <v>42053843.24152223</v>
      </c>
      <c r="AW16" s="2">
        <f t="shared" si="47"/>
        <v>43315458.538767897</v>
      </c>
      <c r="AX16" s="2">
        <f t="shared" si="47"/>
        <v>44614922.294930935</v>
      </c>
      <c r="AY16" s="2">
        <f t="shared" si="47"/>
        <v>45953369.963778861</v>
      </c>
      <c r="AZ16" s="2">
        <f t="shared" si="47"/>
        <v>47331971.062692225</v>
      </c>
      <c r="BA16" s="2">
        <f t="shared" si="47"/>
        <v>48751930.194572993</v>
      </c>
      <c r="BB16" s="2">
        <f t="shared" si="47"/>
        <v>50214488.100410186</v>
      </c>
      <c r="BC16" s="2">
        <f t="shared" si="47"/>
        <v>51720922.743422493</v>
      </c>
      <c r="BD16" s="2">
        <f t="shared" si="47"/>
        <v>53272550.425725169</v>
      </c>
      <c r="BE16" s="2">
        <f t="shared" si="47"/>
        <v>54870726.938496925</v>
      </c>
      <c r="BF16" s="2">
        <f t="shared" si="47"/>
        <v>56516848.746651836</v>
      </c>
      <c r="BG16" s="2">
        <f t="shared" si="47"/>
        <v>58212354.209051393</v>
      </c>
      <c r="BH16" s="2">
        <f t="shared" si="47"/>
        <v>59958724.835322939</v>
      </c>
      <c r="BI16" s="2">
        <f t="shared" si="47"/>
        <v>61757486.58038263</v>
      </c>
      <c r="BJ16" s="2">
        <f t="shared" si="47"/>
        <v>63610211.177794114</v>
      </c>
      <c r="BK16" s="2">
        <f t="shared" si="47"/>
        <v>65518517.513127938</v>
      </c>
      <c r="BL16" s="2">
        <f t="shared" si="47"/>
        <v>67484073.038521782</v>
      </c>
      <c r="BM16" s="2">
        <f t="shared" si="47"/>
        <v>69508595.229677439</v>
      </c>
      <c r="BN16" s="2">
        <f t="shared" si="47"/>
        <v>71593853.08656776</v>
      </c>
      <c r="BO16" s="2">
        <f t="shared" si="47"/>
        <v>73741668.679164797</v>
      </c>
      <c r="BP16" s="2">
        <f t="shared" si="47"/>
        <v>75953918.739539742</v>
      </c>
      <c r="BQ16" s="2">
        <f t="shared" si="47"/>
        <v>78232536.301725939</v>
      </c>
      <c r="BR16" s="2">
        <f t="shared" si="47"/>
        <v>80579512.390777722</v>
      </c>
      <c r="BS16" s="2">
        <f t="shared" si="47"/>
        <v>82996897.762501061</v>
      </c>
      <c r="BT16" s="2">
        <f t="shared" si="47"/>
        <v>85486804.695376098</v>
      </c>
      <c r="BU16" s="2">
        <f t="shared" si="47"/>
        <v>88051408.836237386</v>
      </c>
      <c r="BV16" s="2">
        <f t="shared" si="47"/>
        <v>90692951.101324514</v>
      </c>
      <c r="BW16" s="2">
        <f t="shared" si="47"/>
        <v>93413739.634364247</v>
      </c>
      <c r="BX16" s="2">
        <f t="shared" si="47"/>
        <v>96216151.823395178</v>
      </c>
      <c r="BY16" s="2">
        <f t="shared" si="47"/>
        <v>99102636.378097042</v>
      </c>
      <c r="BZ16" s="2">
        <f t="shared" si="47"/>
        <v>102075715.46943995</v>
      </c>
      <c r="CA16" s="2">
        <f t="shared" si="47"/>
        <v>105137986.93352315</v>
      </c>
      <c r="CB16" s="2">
        <f t="shared" si="47"/>
        <v>108292126.54152885</v>
      </c>
      <c r="CC16" s="2">
        <f t="shared" si="47"/>
        <v>111540890.33777472</v>
      </c>
      <c r="CD16" s="2">
        <f t="shared" si="47"/>
        <v>114887117.04790796</v>
      </c>
      <c r="CE16" s="2">
        <f t="shared" ref="CE16:EP16" si="48">+CD16*(1+$T21)</f>
        <v>118333730.5593452</v>
      </c>
      <c r="CF16" s="2">
        <f t="shared" si="48"/>
        <v>121883742.47612555</v>
      </c>
      <c r="CG16" s="2">
        <f t="shared" si="48"/>
        <v>125540254.75040932</v>
      </c>
      <c r="CH16" s="2">
        <f t="shared" si="48"/>
        <v>129306462.3929216</v>
      </c>
      <c r="CI16" s="2">
        <f t="shared" si="48"/>
        <v>133185656.26470925</v>
      </c>
      <c r="CJ16" s="2">
        <f t="shared" si="48"/>
        <v>137181225.95265052</v>
      </c>
      <c r="CK16" s="2">
        <f t="shared" si="48"/>
        <v>141296662.73123005</v>
      </c>
      <c r="CL16" s="2">
        <f t="shared" si="48"/>
        <v>145535562.61316696</v>
      </c>
      <c r="CM16" s="2">
        <f t="shared" si="48"/>
        <v>149901629.49156198</v>
      </c>
      <c r="CN16" s="2">
        <f t="shared" si="48"/>
        <v>154398678.37630883</v>
      </c>
      <c r="CO16" s="2">
        <f t="shared" si="48"/>
        <v>159030638.7275981</v>
      </c>
      <c r="CP16" s="2">
        <f t="shared" si="48"/>
        <v>163801557.88942605</v>
      </c>
      <c r="CQ16" s="2">
        <f t="shared" si="48"/>
        <v>168715604.62610883</v>
      </c>
      <c r="CR16" s="2">
        <f t="shared" si="48"/>
        <v>173777072.7648921</v>
      </c>
      <c r="CS16" s="2">
        <f t="shared" si="48"/>
        <v>178990384.94783887</v>
      </c>
      <c r="CT16" s="2">
        <f t="shared" si="48"/>
        <v>184360096.49627405</v>
      </c>
      <c r="CU16" s="2">
        <f t="shared" si="48"/>
        <v>189890899.39116228</v>
      </c>
      <c r="CV16" s="2">
        <f t="shared" si="48"/>
        <v>195587626.37289715</v>
      </c>
      <c r="CW16" s="2">
        <f t="shared" si="48"/>
        <v>201455255.16408408</v>
      </c>
      <c r="CX16" s="2">
        <f t="shared" si="48"/>
        <v>207498912.81900659</v>
      </c>
      <c r="CY16" s="2">
        <f t="shared" si="48"/>
        <v>213723880.2035768</v>
      </c>
      <c r="CZ16" s="2">
        <f t="shared" si="48"/>
        <v>220135596.60968411</v>
      </c>
      <c r="DA16" s="2">
        <f t="shared" si="48"/>
        <v>226739664.50797462</v>
      </c>
      <c r="DB16" s="2">
        <f t="shared" si="48"/>
        <v>233541854.44321388</v>
      </c>
      <c r="DC16" s="2">
        <f t="shared" si="48"/>
        <v>240548110.07651031</v>
      </c>
      <c r="DD16" s="2">
        <f t="shared" si="48"/>
        <v>247764553.37880564</v>
      </c>
      <c r="DE16" s="2">
        <f t="shared" si="48"/>
        <v>255197489.9801698</v>
      </c>
      <c r="DF16" s="2">
        <f t="shared" si="48"/>
        <v>262853414.67957491</v>
      </c>
      <c r="DG16" s="2">
        <f t="shared" si="48"/>
        <v>270739017.11996216</v>
      </c>
      <c r="DH16" s="2">
        <f t="shared" si="48"/>
        <v>278861187.63356102</v>
      </c>
      <c r="DI16" s="2">
        <f t="shared" si="48"/>
        <v>287227023.26256788</v>
      </c>
      <c r="DJ16" s="2">
        <f t="shared" si="48"/>
        <v>295843833.96044493</v>
      </c>
      <c r="DK16" s="2">
        <f t="shared" si="48"/>
        <v>304719148.9792583</v>
      </c>
      <c r="DL16" s="2">
        <f t="shared" si="48"/>
        <v>313860723.44863605</v>
      </c>
      <c r="DM16" s="2">
        <f t="shared" si="48"/>
        <v>323276545.15209514</v>
      </c>
      <c r="DN16" s="2">
        <f t="shared" si="48"/>
        <v>332974841.50665802</v>
      </c>
      <c r="DO16" s="2">
        <f t="shared" si="48"/>
        <v>342964086.75185776</v>
      </c>
      <c r="DP16" s="2">
        <f t="shared" si="48"/>
        <v>353253009.35441351</v>
      </c>
      <c r="DQ16" s="2">
        <f t="shared" si="48"/>
        <v>363850599.63504595</v>
      </c>
      <c r="DR16" s="2">
        <f t="shared" si="48"/>
        <v>374766117.62409735</v>
      </c>
      <c r="DS16" s="2">
        <f t="shared" si="48"/>
        <v>386009101.15282029</v>
      </c>
      <c r="DT16" s="2">
        <f t="shared" si="48"/>
        <v>397589374.18740493</v>
      </c>
      <c r="DU16" s="2">
        <f t="shared" si="48"/>
        <v>409517055.41302711</v>
      </c>
      <c r="DV16" s="2">
        <f t="shared" si="48"/>
        <v>421802567.07541794</v>
      </c>
      <c r="DW16" s="2">
        <f t="shared" si="48"/>
        <v>434456644.08768046</v>
      </c>
      <c r="DX16" s="2">
        <f t="shared" si="48"/>
        <v>447490343.41031086</v>
      </c>
      <c r="DY16" s="2">
        <f t="shared" si="48"/>
        <v>460915053.7126202</v>
      </c>
      <c r="DZ16" s="2">
        <f t="shared" si="48"/>
        <v>474742505.32399881</v>
      </c>
      <c r="EA16" s="2">
        <f t="shared" si="48"/>
        <v>488984780.48371881</v>
      </c>
      <c r="EB16" s="2">
        <f t="shared" si="48"/>
        <v>503654323.89823037</v>
      </c>
      <c r="EC16" s="2">
        <f t="shared" si="48"/>
        <v>518763953.61517727</v>
      </c>
      <c r="ED16" s="2">
        <f t="shared" si="48"/>
        <v>534326872.22363263</v>
      </c>
      <c r="EE16" s="2">
        <f t="shared" si="48"/>
        <v>550356678.39034164</v>
      </c>
      <c r="EF16" s="2">
        <f t="shared" si="48"/>
        <v>566867378.74205196</v>
      </c>
      <c r="EG16" s="2">
        <f t="shared" si="48"/>
        <v>583873400.10431349</v>
      </c>
      <c r="EH16" s="2">
        <f t="shared" si="48"/>
        <v>601389602.10744286</v>
      </c>
      <c r="EI16" s="2">
        <f t="shared" si="48"/>
        <v>619431290.1706661</v>
      </c>
      <c r="EJ16" s="2">
        <f t="shared" si="48"/>
        <v>638014228.87578607</v>
      </c>
      <c r="EK16" s="2">
        <f t="shared" si="48"/>
        <v>657154655.74205971</v>
      </c>
      <c r="EL16" s="2">
        <f t="shared" si="48"/>
        <v>676869295.41432154</v>
      </c>
      <c r="EM16" s="2">
        <f t="shared" si="48"/>
        <v>697175374.27675116</v>
      </c>
      <c r="EN16" s="2">
        <f t="shared" si="48"/>
        <v>718090635.50505376</v>
      </c>
      <c r="EO16" s="2">
        <f t="shared" si="48"/>
        <v>739633354.57020545</v>
      </c>
      <c r="EP16" s="2">
        <f t="shared" si="48"/>
        <v>761822355.20731163</v>
      </c>
      <c r="EQ16" s="2">
        <f t="shared" ref="EQ16:FE16" si="49">+EP16*(1+$T21)</f>
        <v>784677025.86353099</v>
      </c>
      <c r="ER16" s="2">
        <f t="shared" si="49"/>
        <v>808217336.63943696</v>
      </c>
      <c r="ES16" s="2">
        <f t="shared" si="49"/>
        <v>832463856.73862004</v>
      </c>
      <c r="ET16" s="2">
        <f t="shared" si="49"/>
        <v>857437772.44077861</v>
      </c>
      <c r="EU16" s="2">
        <f t="shared" si="49"/>
        <v>883160905.61400199</v>
      </c>
      <c r="EV16" s="2">
        <f t="shared" si="49"/>
        <v>909655732.78242207</v>
      </c>
      <c r="EW16" s="2">
        <f t="shared" si="49"/>
        <v>936945404.76589477</v>
      </c>
      <c r="EX16" s="2">
        <f t="shared" si="49"/>
        <v>965053766.90887165</v>
      </c>
      <c r="EY16" s="2">
        <f t="shared" si="49"/>
        <v>994005379.91613781</v>
      </c>
      <c r="EZ16" s="2">
        <f t="shared" si="49"/>
        <v>1023825541.313622</v>
      </c>
      <c r="FA16" s="2">
        <f t="shared" si="49"/>
        <v>1054540307.5530307</v>
      </c>
      <c r="FB16" s="2">
        <f t="shared" si="49"/>
        <v>1086176516.7796216</v>
      </c>
      <c r="FC16" s="2">
        <f t="shared" si="49"/>
        <v>1118761812.2830102</v>
      </c>
      <c r="FD16" s="2">
        <f t="shared" si="49"/>
        <v>1152324666.6515005</v>
      </c>
      <c r="FE16" s="2">
        <f t="shared" si="49"/>
        <v>1186894406.6510456</v>
      </c>
    </row>
    <row r="17" spans="2:20" s="5" customFormat="1" ht="15" x14ac:dyDescent="0.25">
      <c r="B17" s="5" t="s">
        <v>15</v>
      </c>
      <c r="F17" s="5">
        <f>+F16/F18</f>
        <v>4.5701191461956023</v>
      </c>
      <c r="G17" s="5">
        <f>+G16/G18</f>
        <v>10.039462525952569</v>
      </c>
      <c r="H17" s="5">
        <f>+H16/H18</f>
        <v>12.094180906409923</v>
      </c>
      <c r="I17" s="5">
        <f t="shared" ref="I17:Q17" si="50">+I16/I18</f>
        <v>15.59972922012326</v>
      </c>
      <c r="J17" s="5">
        <f t="shared" si="50"/>
        <v>19.57287988187456</v>
      </c>
      <c r="K17" s="5">
        <f t="shared" si="50"/>
        <v>23.692988337670684</v>
      </c>
      <c r="L17" s="5">
        <f t="shared" si="50"/>
        <v>27.907471560949119</v>
      </c>
      <c r="M17" s="5">
        <f t="shared" si="50"/>
        <v>32.268326628718064</v>
      </c>
      <c r="N17" s="5">
        <f t="shared" si="50"/>
        <v>36.623426172433881</v>
      </c>
      <c r="O17" s="5">
        <f t="shared" si="50"/>
        <v>40.794972699218469</v>
      </c>
      <c r="P17" s="5">
        <f t="shared" si="50"/>
        <v>45.010218701809144</v>
      </c>
      <c r="Q17" s="5">
        <f t="shared" si="50"/>
        <v>49.188515662858748</v>
      </c>
    </row>
    <row r="18" spans="2:20" s="2" customFormat="1" x14ac:dyDescent="0.25">
      <c r="B18" s="2" t="s">
        <v>14</v>
      </c>
      <c r="F18" s="2">
        <v>347808</v>
      </c>
      <c r="G18" s="2">
        <v>341970</v>
      </c>
      <c r="H18" s="2">
        <v>341970</v>
      </c>
      <c r="I18" s="2">
        <v>341970</v>
      </c>
      <c r="J18" s="2">
        <v>341970</v>
      </c>
      <c r="K18" s="2">
        <v>341970</v>
      </c>
      <c r="L18" s="2">
        <v>341970</v>
      </c>
      <c r="M18" s="2">
        <v>341970</v>
      </c>
      <c r="N18" s="2">
        <v>341970</v>
      </c>
      <c r="O18" s="2">
        <v>341970</v>
      </c>
      <c r="P18" s="2">
        <v>341970</v>
      </c>
      <c r="Q18" s="2">
        <v>341970</v>
      </c>
    </row>
    <row r="19" spans="2:20" s="2" customFormat="1" x14ac:dyDescent="0.25">
      <c r="F19" s="9"/>
      <c r="G19" s="9"/>
    </row>
    <row r="20" spans="2:20" s="4" customFormat="1" x14ac:dyDescent="0.25">
      <c r="B20" s="4" t="s">
        <v>12</v>
      </c>
      <c r="F20" s="4">
        <f>+F7/F5</f>
        <v>0.83852244593614633</v>
      </c>
      <c r="G20" s="4">
        <f>+G7/G5</f>
        <v>0.87863996626718732</v>
      </c>
      <c r="H20" s="4">
        <f>+H7/H5</f>
        <v>0.88</v>
      </c>
      <c r="I20" s="4">
        <f t="shared" ref="I20:Q20" si="51">+I7/I5</f>
        <v>0.88</v>
      </c>
      <c r="J20" s="4">
        <f t="shared" si="51"/>
        <v>0.88</v>
      </c>
      <c r="K20" s="4">
        <f t="shared" si="51"/>
        <v>0.87999999999999989</v>
      </c>
      <c r="L20" s="4">
        <f t="shared" si="51"/>
        <v>0.88</v>
      </c>
      <c r="M20" s="4">
        <f t="shared" si="51"/>
        <v>0.88</v>
      </c>
      <c r="N20" s="4">
        <f t="shared" si="51"/>
        <v>0.88</v>
      </c>
      <c r="O20" s="4">
        <f t="shared" si="51"/>
        <v>0.87999999999999989</v>
      </c>
      <c r="P20" s="4">
        <f t="shared" si="51"/>
        <v>0.88</v>
      </c>
      <c r="Q20" s="4">
        <f t="shared" si="51"/>
        <v>0.88</v>
      </c>
      <c r="S20" s="4" t="s">
        <v>33</v>
      </c>
      <c r="T20" s="4">
        <v>0.1</v>
      </c>
    </row>
    <row r="21" spans="2:20" s="4" customFormat="1" x14ac:dyDescent="0.25">
      <c r="B21" s="4" t="s">
        <v>13</v>
      </c>
      <c r="F21" s="4">
        <f>+F11/F5</f>
        <v>0.59271762480699786</v>
      </c>
      <c r="G21" s="4">
        <f>+G11/G5</f>
        <v>0.75754942282186799</v>
      </c>
      <c r="H21" s="4">
        <f>+H11/H5</f>
        <v>0.762551141154033</v>
      </c>
      <c r="I21" s="4">
        <f t="shared" ref="I21:Q21" si="52">+I11/I5</f>
        <v>0.76768531225335346</v>
      </c>
      <c r="J21" s="4">
        <f t="shared" si="52"/>
        <v>0.77202819533378231</v>
      </c>
      <c r="K21" s="4">
        <f t="shared" si="52"/>
        <v>0.77552662892634983</v>
      </c>
      <c r="L21" s="4">
        <f t="shared" si="52"/>
        <v>0.77840710558803672</v>
      </c>
      <c r="M21" s="4">
        <f t="shared" si="52"/>
        <v>0.78086766621464376</v>
      </c>
      <c r="N21" s="4">
        <f t="shared" si="52"/>
        <v>0.78294353742175182</v>
      </c>
      <c r="O21" s="4">
        <f t="shared" si="52"/>
        <v>0.78466312026968188</v>
      </c>
      <c r="P21" s="4">
        <f t="shared" si="52"/>
        <v>0.78618848026150967</v>
      </c>
      <c r="Q21" s="4">
        <f t="shared" si="52"/>
        <v>0.78753191658458743</v>
      </c>
      <c r="S21" s="4" t="s">
        <v>34</v>
      </c>
      <c r="T21" s="4">
        <v>0.03</v>
      </c>
    </row>
    <row r="22" spans="2:20" s="4" customFormat="1" x14ac:dyDescent="0.25">
      <c r="B22" s="4" t="s">
        <v>28</v>
      </c>
      <c r="G22" s="4">
        <f>+G5/F5 -1</f>
        <v>0.69994367346989406</v>
      </c>
      <c r="H22" s="4">
        <f>+H5/G5 -1</f>
        <v>0.30000000000000004</v>
      </c>
      <c r="I22" s="4">
        <f t="shared" ref="I22:Q22" si="53">+I5/H5 -1</f>
        <v>0.27</v>
      </c>
      <c r="J22" s="4">
        <f t="shared" si="53"/>
        <v>0.24</v>
      </c>
      <c r="K22" s="4">
        <f t="shared" si="53"/>
        <v>0.19999999999999996</v>
      </c>
      <c r="L22" s="4">
        <f t="shared" si="53"/>
        <v>0.16999999999999993</v>
      </c>
      <c r="M22" s="4">
        <f t="shared" si="53"/>
        <v>0.14999999999999991</v>
      </c>
      <c r="N22" s="4">
        <f t="shared" si="53"/>
        <v>0.12999999999999989</v>
      </c>
      <c r="O22" s="4">
        <f t="shared" si="53"/>
        <v>0.1100000000000001</v>
      </c>
      <c r="P22" s="4">
        <f t="shared" si="53"/>
        <v>0.10000000000000009</v>
      </c>
      <c r="Q22" s="4">
        <f t="shared" si="53"/>
        <v>9.000000000000008E-2</v>
      </c>
      <c r="S22" s="4" t="s">
        <v>35</v>
      </c>
      <c r="T22" s="10">
        <f>NPV(T20,H16:FE16)</f>
        <v>152252032.66395444</v>
      </c>
    </row>
    <row r="23" spans="2:20" s="2" customFormat="1" x14ac:dyDescent="0.25">
      <c r="S23" s="2" t="s">
        <v>36</v>
      </c>
      <c r="T23" s="2">
        <f>+T22+Main!C5</f>
        <v>151226141.66395444</v>
      </c>
    </row>
    <row r="24" spans="2:20" s="2" customFormat="1" x14ac:dyDescent="0.25">
      <c r="B24" s="2" t="s">
        <v>19</v>
      </c>
      <c r="F24" s="2">
        <v>448680</v>
      </c>
      <c r="G24" s="2">
        <v>194778</v>
      </c>
      <c r="S24" s="2" t="s">
        <v>22</v>
      </c>
      <c r="T24" s="2">
        <f>+T23/Q18</f>
        <v>442.22049204302846</v>
      </c>
    </row>
    <row r="25" spans="2:20" s="2" customFormat="1" x14ac:dyDescent="0.25">
      <c r="B25" s="2" t="s">
        <v>20</v>
      </c>
      <c r="F25" s="2">
        <v>369367</v>
      </c>
      <c r="G25" s="2">
        <v>210421</v>
      </c>
    </row>
    <row r="26" spans="2:20" s="2" customFormat="1" x14ac:dyDescent="0.25">
      <c r="B26" s="2" t="s">
        <v>16</v>
      </c>
      <c r="F26" s="2">
        <v>2099011</v>
      </c>
      <c r="G26" s="2">
        <v>3971094</v>
      </c>
    </row>
    <row r="27" spans="2:20" s="2" customFormat="1" x14ac:dyDescent="0.25">
      <c r="B27" s="2" t="s">
        <v>17</v>
      </c>
      <c r="F27" s="2">
        <v>25553</v>
      </c>
      <c r="G27" s="2">
        <v>28318</v>
      </c>
    </row>
    <row r="28" spans="2:20" s="2" customFormat="1" x14ac:dyDescent="0.25">
      <c r="B28" s="2" t="s">
        <v>18</v>
      </c>
      <c r="F28" s="2">
        <f>+F26-F27</f>
        <v>2073458</v>
      </c>
      <c r="G28" s="2">
        <f>+G26-G27</f>
        <v>3942776</v>
      </c>
    </row>
    <row r="29" spans="2:20" s="2" customFormat="1" x14ac:dyDescent="0.25">
      <c r="B29" s="2" t="s">
        <v>21</v>
      </c>
      <c r="F29" s="2">
        <f>+F28-F25</f>
        <v>1704091</v>
      </c>
      <c r="G29" s="2">
        <f>+G28-G25</f>
        <v>3732355</v>
      </c>
    </row>
    <row r="30" spans="2:20" s="2" customFormat="1" x14ac:dyDescent="0.25"/>
    <row r="31" spans="2:20" s="4" customFormat="1" x14ac:dyDescent="0.25">
      <c r="B31" s="4" t="s">
        <v>3</v>
      </c>
      <c r="F31" s="4">
        <f>+F8/F$5</f>
        <v>7.8430040650633456E-2</v>
      </c>
      <c r="G31" s="4">
        <f>+G8/G$5</f>
        <v>3.7157729545240159E-2</v>
      </c>
    </row>
    <row r="32" spans="2:20" s="4" customFormat="1" x14ac:dyDescent="0.25">
      <c r="B32" s="4" t="s">
        <v>4</v>
      </c>
      <c r="F32" s="4">
        <f t="shared" ref="F32:G33" si="54">+F9/F$5</f>
        <v>0.11622309524208312</v>
      </c>
      <c r="G32" s="4">
        <f t="shared" si="54"/>
        <v>4.1328534204557545E-2</v>
      </c>
    </row>
    <row r="33" spans="2:7" s="4" customFormat="1" x14ac:dyDescent="0.25">
      <c r="B33" s="4" t="s">
        <v>5</v>
      </c>
      <c r="F33" s="8">
        <f t="shared" si="54"/>
        <v>5.1151685236431849E-2</v>
      </c>
      <c r="G33" s="8">
        <f t="shared" si="54"/>
        <v>4.2604279695521587E-2</v>
      </c>
    </row>
    <row r="34" spans="2:7" s="2" customFormat="1" x14ac:dyDescent="0.25"/>
    <row r="35" spans="2:7" s="2" customFormat="1" x14ac:dyDescent="0.25">
      <c r="B35" s="2" t="s">
        <v>29</v>
      </c>
      <c r="F35" s="2">
        <v>697030</v>
      </c>
      <c r="G35" s="2">
        <v>2487096</v>
      </c>
    </row>
    <row r="36" spans="2:7" s="2" customFormat="1" x14ac:dyDescent="0.25">
      <c r="B36" s="2" t="s">
        <v>30</v>
      </c>
      <c r="F36" s="2">
        <v>3508983</v>
      </c>
      <c r="G36" s="2">
        <v>3512987</v>
      </c>
    </row>
    <row r="37" spans="2:7" s="2" customFormat="1" x14ac:dyDescent="0.25">
      <c r="B37" s="2" t="s">
        <v>31</v>
      </c>
      <c r="F37" s="2">
        <f>+F36-F35</f>
        <v>2811953</v>
      </c>
      <c r="G37" s="2">
        <f>+G36-G35</f>
        <v>1025891</v>
      </c>
    </row>
    <row r="38" spans="2:7" s="2" customFormat="1" x14ac:dyDescent="0.25">
      <c r="B38" s="2" t="s">
        <v>32</v>
      </c>
      <c r="F38" s="4">
        <f>+F12/F36</f>
        <v>9.0399127040512881E-2</v>
      </c>
      <c r="G38" s="4">
        <f>+G12/G36</f>
        <v>5.8928769164246837E-2</v>
      </c>
    </row>
    <row r="39" spans="2:7" s="2" customFormat="1" x14ac:dyDescent="0.25"/>
    <row r="40" spans="2:7" s="2" customFormat="1" x14ac:dyDescent="0.25"/>
    <row r="41" spans="2:7" s="2" customFormat="1" x14ac:dyDescent="0.25"/>
    <row r="42" spans="2:7" s="2" customFormat="1" x14ac:dyDescent="0.25"/>
    <row r="43" spans="2:7" s="2" customFormat="1" x14ac:dyDescent="0.25"/>
    <row r="44" spans="2:7" s="2" customFormat="1" x14ac:dyDescent="0.25"/>
    <row r="45" spans="2:7" s="2" customFormat="1" x14ac:dyDescent="0.25"/>
    <row r="46" spans="2:7" s="2" customFormat="1" x14ac:dyDescent="0.25"/>
    <row r="47" spans="2:7" s="2" customFormat="1" x14ac:dyDescent="0.25"/>
    <row r="48" spans="2:7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9911-5D15-4516-A8D1-0DC75AA6F783}">
  <dimension ref="B2:FE108"/>
  <sheetViews>
    <sheetView zoomScale="145" zoomScaleNormal="145" workbookViewId="0">
      <pane xSplit="2" ySplit="2" topLeftCell="G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5"/>
  <cols>
    <col min="1" max="1" width="2.85546875" customWidth="1"/>
    <col min="2" max="2" width="17" bestFit="1" customWidth="1"/>
    <col min="6" max="9" width="9.5703125" bestFit="1" customWidth="1"/>
    <col min="10" max="19" width="10.5703125" bestFit="1" customWidth="1"/>
    <col min="20" max="20" width="12.140625" bestFit="1" customWidth="1"/>
    <col min="21" max="23" width="10.5703125" bestFit="1" customWidth="1"/>
    <col min="24" max="28" width="10.28515625" bestFit="1" customWidth="1"/>
  </cols>
  <sheetData>
    <row r="2" spans="2:161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>+G2+1</f>
        <v>2026</v>
      </c>
      <c r="I2">
        <f t="shared" ref="I2:Q2" si="0">+H2+1</f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61" s="2" customFormat="1" x14ac:dyDescent="0.25"/>
    <row r="4" spans="2:161" s="2" customFormat="1" x14ac:dyDescent="0.25"/>
    <row r="5" spans="2:161" s="3" customFormat="1" x14ac:dyDescent="0.25">
      <c r="B5" s="3" t="s">
        <v>0</v>
      </c>
      <c r="F5" s="3">
        <v>3224058</v>
      </c>
      <c r="G5" s="3">
        <v>5480717</v>
      </c>
      <c r="H5" s="3">
        <f>+G5*(1+H22)</f>
        <v>7398967.9500000002</v>
      </c>
      <c r="I5" s="3">
        <f t="shared" ref="I5:Q5" si="1">+H5*(1+I22)</f>
        <v>9840627.3735000007</v>
      </c>
      <c r="J5" s="3">
        <f t="shared" si="1"/>
        <v>12792815.585550001</v>
      </c>
      <c r="K5" s="3">
        <f t="shared" si="1"/>
        <v>16246875.793648502</v>
      </c>
      <c r="L5" s="3">
        <f t="shared" si="1"/>
        <v>20308594.742060628</v>
      </c>
      <c r="M5" s="3">
        <f t="shared" si="1"/>
        <v>24979571.532734573</v>
      </c>
      <c r="N5" s="3">
        <f t="shared" si="1"/>
        <v>29975485.839281488</v>
      </c>
      <c r="O5" s="3">
        <f t="shared" si="1"/>
        <v>35371073.290352151</v>
      </c>
      <c r="P5" s="3">
        <f t="shared" si="1"/>
        <v>41030445.016808495</v>
      </c>
      <c r="Q5" s="3">
        <f t="shared" si="1"/>
        <v>46774707.319161691</v>
      </c>
    </row>
    <row r="6" spans="2:161" s="2" customFormat="1" x14ac:dyDescent="0.25">
      <c r="B6" s="2" t="s">
        <v>1</v>
      </c>
      <c r="F6" s="2">
        <v>520613</v>
      </c>
      <c r="G6" s="2">
        <v>665140</v>
      </c>
      <c r="H6" s="2">
        <f>+H5*0.12</f>
        <v>887876.15399999998</v>
      </c>
      <c r="I6" s="2">
        <f t="shared" ref="I6:Q6" si="2">+I5*0.12</f>
        <v>1180875.2848199999</v>
      </c>
      <c r="J6" s="2">
        <f t="shared" si="2"/>
        <v>1535137.870266</v>
      </c>
      <c r="K6" s="2">
        <f t="shared" si="2"/>
        <v>1949625.0952378202</v>
      </c>
      <c r="L6" s="2">
        <f t="shared" si="2"/>
        <v>2437031.3690472753</v>
      </c>
      <c r="M6" s="2">
        <f t="shared" si="2"/>
        <v>2997548.5839281487</v>
      </c>
      <c r="N6" s="2">
        <f t="shared" si="2"/>
        <v>3597058.3007137785</v>
      </c>
      <c r="O6" s="2">
        <f t="shared" si="2"/>
        <v>4244528.7948422581</v>
      </c>
      <c r="P6" s="2">
        <f t="shared" si="2"/>
        <v>4923653.4020170188</v>
      </c>
      <c r="Q6" s="2">
        <f t="shared" si="2"/>
        <v>5612964.878299403</v>
      </c>
    </row>
    <row r="7" spans="2:161" s="2" customFormat="1" x14ac:dyDescent="0.25">
      <c r="B7" s="2" t="s">
        <v>2</v>
      </c>
      <c r="D7" s="2">
        <f>+D5-D6</f>
        <v>0</v>
      </c>
      <c r="E7" s="2">
        <f>+E5-E6</f>
        <v>0</v>
      </c>
      <c r="F7" s="2">
        <f>+F5-F6</f>
        <v>2703445</v>
      </c>
      <c r="G7" s="2">
        <f t="shared" ref="G7:Q7" si="3">+G5-G6</f>
        <v>4815577</v>
      </c>
      <c r="H7" s="2">
        <f t="shared" si="3"/>
        <v>6511091.7960000001</v>
      </c>
      <c r="I7" s="2">
        <f t="shared" si="3"/>
        <v>8659752.088680001</v>
      </c>
      <c r="J7" s="2">
        <f t="shared" si="3"/>
        <v>11257677.715284001</v>
      </c>
      <c r="K7" s="2">
        <f t="shared" si="3"/>
        <v>14297250.698410682</v>
      </c>
      <c r="L7" s="2">
        <f t="shared" si="3"/>
        <v>17871563.373013351</v>
      </c>
      <c r="M7" s="2">
        <f t="shared" si="3"/>
        <v>21982022.948806424</v>
      </c>
      <c r="N7" s="2">
        <f t="shared" si="3"/>
        <v>26378427.538567711</v>
      </c>
      <c r="O7" s="2">
        <f t="shared" si="3"/>
        <v>31126544.495509893</v>
      </c>
      <c r="P7" s="2">
        <f t="shared" si="3"/>
        <v>36106791.614791475</v>
      </c>
      <c r="Q7" s="2">
        <f t="shared" si="3"/>
        <v>41161742.440862291</v>
      </c>
    </row>
    <row r="8" spans="2:161" s="2" customFormat="1" x14ac:dyDescent="0.25">
      <c r="B8" s="2" t="s">
        <v>3</v>
      </c>
      <c r="F8" s="2">
        <v>252863</v>
      </c>
      <c r="G8" s="2">
        <v>203651</v>
      </c>
      <c r="H8" s="2">
        <f>+G8*(1+H22*0.666666666666667)</f>
        <v>251169.56666666668</v>
      </c>
      <c r="I8" s="2">
        <f t="shared" ref="I8:Q8" si="4">+H8*(1+I22*0.666666666666667)</f>
        <v>306426.87133333331</v>
      </c>
      <c r="J8" s="2">
        <f t="shared" si="4"/>
        <v>367712.24559999997</v>
      </c>
      <c r="K8" s="2">
        <f t="shared" si="4"/>
        <v>433900.44980799995</v>
      </c>
      <c r="L8" s="2">
        <f t="shared" si="4"/>
        <v>506217.19144266663</v>
      </c>
      <c r="M8" s="2">
        <f t="shared" si="4"/>
        <v>583837.1607972089</v>
      </c>
      <c r="N8" s="2">
        <f t="shared" si="4"/>
        <v>661682.11557017011</v>
      </c>
      <c r="O8" s="2">
        <f t="shared" si="4"/>
        <v>741083.96943859058</v>
      </c>
      <c r="P8" s="2">
        <f t="shared" si="4"/>
        <v>820132.92617870693</v>
      </c>
      <c r="Q8" s="2">
        <f t="shared" si="4"/>
        <v>896678.66595538624</v>
      </c>
    </row>
    <row r="9" spans="2:161" s="2" customFormat="1" x14ac:dyDescent="0.25">
      <c r="B9" s="2" t="s">
        <v>4</v>
      </c>
      <c r="F9" s="2">
        <v>374710</v>
      </c>
      <c r="G9" s="2">
        <v>226510</v>
      </c>
      <c r="H9" s="2">
        <f>+G9*(1+H22*0.666666666666667)</f>
        <v>279362.33333333337</v>
      </c>
      <c r="I9" s="2">
        <f t="shared" ref="I9:Q9" si="5">+H9*(1+I22*0.666666666666667)</f>
        <v>340822.04666666669</v>
      </c>
      <c r="J9" s="2">
        <f t="shared" si="5"/>
        <v>408986.45600000001</v>
      </c>
      <c r="K9" s="2">
        <f t="shared" si="5"/>
        <v>482604.01808000001</v>
      </c>
      <c r="L9" s="2">
        <f t="shared" si="5"/>
        <v>563038.02109333337</v>
      </c>
      <c r="M9" s="2">
        <f t="shared" si="5"/>
        <v>649370.51766097778</v>
      </c>
      <c r="N9" s="2">
        <f t="shared" si="5"/>
        <v>735953.25334910816</v>
      </c>
      <c r="O9" s="2">
        <f t="shared" si="5"/>
        <v>824267.64375100122</v>
      </c>
      <c r="P9" s="2">
        <f t="shared" si="5"/>
        <v>912189.52575110807</v>
      </c>
      <c r="Q9" s="2">
        <f t="shared" si="5"/>
        <v>997327.21482121141</v>
      </c>
    </row>
    <row r="10" spans="2:161" s="2" customFormat="1" x14ac:dyDescent="0.25">
      <c r="B10" s="2" t="s">
        <v>5</v>
      </c>
      <c r="F10" s="2">
        <v>164916</v>
      </c>
      <c r="G10" s="2">
        <v>233502</v>
      </c>
      <c r="H10" s="2">
        <f>+H5*0.045</f>
        <v>332953.55774999998</v>
      </c>
      <c r="I10" s="2">
        <f t="shared" ref="I10:Q10" si="6">+I5*0.045</f>
        <v>442828.23180750001</v>
      </c>
      <c r="J10" s="2">
        <f t="shared" si="6"/>
        <v>575676.70134975004</v>
      </c>
      <c r="K10" s="2">
        <f t="shared" si="6"/>
        <v>731109.41071418254</v>
      </c>
      <c r="L10" s="2">
        <f t="shared" si="6"/>
        <v>913886.76339272817</v>
      </c>
      <c r="M10" s="2">
        <f t="shared" si="6"/>
        <v>1124080.7189730557</v>
      </c>
      <c r="N10" s="2">
        <f t="shared" si="6"/>
        <v>1348896.8627676668</v>
      </c>
      <c r="O10" s="2">
        <f t="shared" si="6"/>
        <v>1591698.2980658468</v>
      </c>
      <c r="P10" s="2">
        <f t="shared" si="6"/>
        <v>1846370.0257563822</v>
      </c>
      <c r="Q10" s="2">
        <f t="shared" si="6"/>
        <v>2104861.829362276</v>
      </c>
    </row>
    <row r="11" spans="2:161" s="3" customFormat="1" x14ac:dyDescent="0.25">
      <c r="B11" s="3" t="s">
        <v>6</v>
      </c>
      <c r="D11" s="3">
        <f>+D7-SUM(D8:D10)</f>
        <v>0</v>
      </c>
      <c r="E11" s="3">
        <f>+E7-SUM(E8:E10)</f>
        <v>0</v>
      </c>
      <c r="F11" s="3">
        <f>+F7-SUM(F8:F10)</f>
        <v>1910956</v>
      </c>
      <c r="G11" s="3">
        <f t="shared" ref="G11:Q11" si="7">+G7-SUM(G8:G10)</f>
        <v>4151914</v>
      </c>
      <c r="H11" s="3">
        <f t="shared" si="7"/>
        <v>5647606.33825</v>
      </c>
      <c r="I11" s="3">
        <f t="shared" si="7"/>
        <v>7569674.9388725013</v>
      </c>
      <c r="J11" s="3">
        <f t="shared" si="7"/>
        <v>9905302.3123342507</v>
      </c>
      <c r="K11" s="3">
        <f t="shared" si="7"/>
        <v>12649636.8198085</v>
      </c>
      <c r="L11" s="3">
        <f t="shared" si="7"/>
        <v>15888421.397084624</v>
      </c>
      <c r="M11" s="3">
        <f t="shared" si="7"/>
        <v>19624734.55137518</v>
      </c>
      <c r="N11" s="3">
        <f t="shared" si="7"/>
        <v>23631895.306880765</v>
      </c>
      <c r="O11" s="3">
        <f t="shared" si="7"/>
        <v>27969494.584254455</v>
      </c>
      <c r="P11" s="3">
        <f t="shared" si="7"/>
        <v>32528099.137105279</v>
      </c>
      <c r="Q11" s="3">
        <f t="shared" si="7"/>
        <v>37162874.730723418</v>
      </c>
    </row>
    <row r="12" spans="2:161" s="2" customFormat="1" x14ac:dyDescent="0.25">
      <c r="B12" s="2" t="s">
        <v>7</v>
      </c>
      <c r="F12" s="2">
        <v>317209</v>
      </c>
      <c r="G12" s="2">
        <v>207016</v>
      </c>
      <c r="H12" s="2">
        <f>+G12*0.98</f>
        <v>202875.68</v>
      </c>
      <c r="I12" s="2">
        <f t="shared" ref="I12:Q12" si="8">+H12*0.98</f>
        <v>198818.16639999999</v>
      </c>
      <c r="J12" s="2">
        <f t="shared" si="8"/>
        <v>194841.80307199998</v>
      </c>
      <c r="K12" s="2">
        <f t="shared" si="8"/>
        <v>190944.96701055998</v>
      </c>
      <c r="L12" s="2">
        <f t="shared" si="8"/>
        <v>187126.06767034877</v>
      </c>
      <c r="M12" s="2">
        <f t="shared" si="8"/>
        <v>183383.54631694179</v>
      </c>
      <c r="N12" s="2">
        <f t="shared" si="8"/>
        <v>179715.87539060295</v>
      </c>
      <c r="O12" s="2">
        <f t="shared" si="8"/>
        <v>176121.55788279089</v>
      </c>
      <c r="P12" s="2">
        <f t="shared" si="8"/>
        <v>172599.12672513508</v>
      </c>
      <c r="Q12" s="2">
        <f t="shared" si="8"/>
        <v>169147.14419063239</v>
      </c>
    </row>
    <row r="13" spans="2:161" s="2" customFormat="1" x14ac:dyDescent="0.25">
      <c r="B13" s="2" t="s">
        <v>8</v>
      </c>
      <c r="F13" s="2">
        <v>18196</v>
      </c>
      <c r="G13" s="2">
        <v>8012</v>
      </c>
      <c r="H13" s="2">
        <v>5000</v>
      </c>
      <c r="I13" s="2">
        <v>5000</v>
      </c>
      <c r="J13" s="2">
        <v>5000</v>
      </c>
      <c r="K13" s="2">
        <v>5000</v>
      </c>
      <c r="L13" s="2">
        <v>5000</v>
      </c>
      <c r="M13" s="2">
        <v>5000</v>
      </c>
      <c r="N13" s="2">
        <v>5000</v>
      </c>
      <c r="O13" s="2">
        <v>5000</v>
      </c>
      <c r="P13" s="2">
        <v>5000</v>
      </c>
      <c r="Q13" s="2">
        <v>5000</v>
      </c>
    </row>
    <row r="14" spans="2:161" s="2" customFormat="1" x14ac:dyDescent="0.25">
      <c r="B14" s="2" t="s">
        <v>9</v>
      </c>
      <c r="D14" s="2">
        <f>+D11-D12+D13</f>
        <v>0</v>
      </c>
      <c r="E14" s="2">
        <f>+E11-E12+E13</f>
        <v>0</v>
      </c>
      <c r="F14" s="2">
        <f>+F11-F12+F13</f>
        <v>1611943</v>
      </c>
      <c r="G14" s="2">
        <f t="shared" ref="G14:Q14" si="9">+G11-G12+G13</f>
        <v>3952910</v>
      </c>
      <c r="H14" s="2">
        <f t="shared" si="9"/>
        <v>5449730.6582500003</v>
      </c>
      <c r="I14" s="2">
        <f t="shared" si="9"/>
        <v>7375856.7724725008</v>
      </c>
      <c r="J14" s="2">
        <f t="shared" si="9"/>
        <v>9715460.5092622507</v>
      </c>
      <c r="K14" s="2">
        <f t="shared" si="9"/>
        <v>12463691.85279794</v>
      </c>
      <c r="L14" s="2">
        <f t="shared" si="9"/>
        <v>15706295.329414275</v>
      </c>
      <c r="M14" s="2">
        <f t="shared" si="9"/>
        <v>19446351.00505824</v>
      </c>
      <c r="N14" s="2">
        <f t="shared" si="9"/>
        <v>23457179.431490161</v>
      </c>
      <c r="O14" s="2">
        <f t="shared" si="9"/>
        <v>27798373.026371665</v>
      </c>
      <c r="P14" s="2">
        <f t="shared" si="9"/>
        <v>32360500.010380145</v>
      </c>
      <c r="Q14" s="2">
        <f t="shared" si="9"/>
        <v>36998727.586532786</v>
      </c>
    </row>
    <row r="15" spans="2:161" s="2" customFormat="1" x14ac:dyDescent="0.25">
      <c r="B15" s="2" t="s">
        <v>10</v>
      </c>
      <c r="F15" s="2">
        <v>22419</v>
      </c>
      <c r="G15" s="2">
        <v>519715</v>
      </c>
      <c r="H15" s="2">
        <f>+H14*0.21</f>
        <v>1144443.4382325001</v>
      </c>
      <c r="I15" s="2">
        <f t="shared" ref="I15:Q15" si="10">+I14*0.21</f>
        <v>1548929.9222192252</v>
      </c>
      <c r="J15" s="2">
        <f t="shared" si="10"/>
        <v>2040246.7069450726</v>
      </c>
      <c r="K15" s="2">
        <f t="shared" si="10"/>
        <v>2617375.2890875675</v>
      </c>
      <c r="L15" s="2">
        <f t="shared" si="10"/>
        <v>3298322.0191769977</v>
      </c>
      <c r="M15" s="2">
        <f t="shared" si="10"/>
        <v>4083733.7110622302</v>
      </c>
      <c r="N15" s="2">
        <f t="shared" si="10"/>
        <v>4926007.6806129338</v>
      </c>
      <c r="O15" s="2">
        <f t="shared" si="10"/>
        <v>5837658.3355380492</v>
      </c>
      <c r="P15" s="2">
        <f t="shared" si="10"/>
        <v>6795705.0021798303</v>
      </c>
      <c r="Q15" s="2">
        <f t="shared" si="10"/>
        <v>7769732.7931718845</v>
      </c>
    </row>
    <row r="16" spans="2:161" s="2" customFormat="1" x14ac:dyDescent="0.25">
      <c r="B16" s="2" t="s">
        <v>11</v>
      </c>
      <c r="D16" s="2">
        <f>+D14-D15</f>
        <v>0</v>
      </c>
      <c r="E16" s="2">
        <f>+E14-E15</f>
        <v>0</v>
      </c>
      <c r="F16" s="2">
        <f>+F14-F15</f>
        <v>1589524</v>
      </c>
      <c r="G16" s="2">
        <f t="shared" ref="G16:Q16" si="11">+G14-G15</f>
        <v>3433195</v>
      </c>
      <c r="H16" s="2">
        <f t="shared" si="11"/>
        <v>4305287.2200175002</v>
      </c>
      <c r="I16" s="2">
        <f t="shared" si="11"/>
        <v>5826926.8502532756</v>
      </c>
      <c r="J16" s="2">
        <f t="shared" si="11"/>
        <v>7675213.8023171779</v>
      </c>
      <c r="K16" s="2">
        <f t="shared" si="11"/>
        <v>9846316.5637103729</v>
      </c>
      <c r="L16" s="2">
        <f t="shared" si="11"/>
        <v>12407973.310237277</v>
      </c>
      <c r="M16" s="2">
        <f t="shared" si="11"/>
        <v>15362617.29399601</v>
      </c>
      <c r="N16" s="2">
        <f t="shared" si="11"/>
        <v>18531171.750877228</v>
      </c>
      <c r="O16" s="2">
        <f t="shared" si="11"/>
        <v>21960714.690833617</v>
      </c>
      <c r="P16" s="2">
        <f t="shared" si="11"/>
        <v>25564795.008200314</v>
      </c>
      <c r="Q16" s="2">
        <f t="shared" si="11"/>
        <v>29228994.793360904</v>
      </c>
      <c r="R16" s="2">
        <f>+Q16*(1+$T21)</f>
        <v>30105864.637161732</v>
      </c>
      <c r="S16" s="2">
        <f t="shared" ref="S16:CD16" si="12">+R16*(1+$T21)</f>
        <v>31009040.576276585</v>
      </c>
      <c r="T16" s="2">
        <f t="shared" si="12"/>
        <v>31939311.793564882</v>
      </c>
      <c r="U16" s="2">
        <f t="shared" si="12"/>
        <v>32897491.147371829</v>
      </c>
      <c r="V16" s="2">
        <f t="shared" si="12"/>
        <v>33884415.881792985</v>
      </c>
      <c r="W16" s="2">
        <f t="shared" si="12"/>
        <v>34900948.358246773</v>
      </c>
      <c r="X16" s="2">
        <f t="shared" si="12"/>
        <v>35947976.808994174</v>
      </c>
      <c r="Y16" s="2">
        <f t="shared" si="12"/>
        <v>37026416.113264002</v>
      </c>
      <c r="Z16" s="2">
        <f t="shared" si="12"/>
        <v>38137208.596661925</v>
      </c>
      <c r="AA16" s="2">
        <f t="shared" si="12"/>
        <v>39281324.854561783</v>
      </c>
      <c r="AB16" s="2">
        <f t="shared" si="12"/>
        <v>40459764.600198641</v>
      </c>
      <c r="AC16" s="2">
        <f t="shared" si="12"/>
        <v>41673557.538204603</v>
      </c>
      <c r="AD16" s="2">
        <f t="shared" si="12"/>
        <v>42923764.264350742</v>
      </c>
      <c r="AE16" s="2">
        <f t="shared" si="12"/>
        <v>44211477.192281269</v>
      </c>
      <c r="AF16" s="2">
        <f t="shared" si="12"/>
        <v>45537821.508049704</v>
      </c>
      <c r="AG16" s="2">
        <f t="shared" si="12"/>
        <v>46903956.153291196</v>
      </c>
      <c r="AH16" s="2">
        <f t="shared" si="12"/>
        <v>48311074.837889932</v>
      </c>
      <c r="AI16" s="2">
        <f t="shared" si="12"/>
        <v>49760407.083026633</v>
      </c>
      <c r="AJ16" s="2">
        <f t="shared" si="12"/>
        <v>51253219.29551743</v>
      </c>
      <c r="AK16" s="2">
        <f t="shared" si="12"/>
        <v>52790815.87438295</v>
      </c>
      <c r="AL16" s="2">
        <f t="shared" si="12"/>
        <v>54374540.350614443</v>
      </c>
      <c r="AM16" s="2">
        <f t="shared" si="12"/>
        <v>56005776.561132878</v>
      </c>
      <c r="AN16" s="2">
        <f t="shared" si="12"/>
        <v>57685949.857966863</v>
      </c>
      <c r="AO16" s="2">
        <f t="shared" si="12"/>
        <v>59416528.353705868</v>
      </c>
      <c r="AP16" s="2">
        <f t="shared" si="12"/>
        <v>61199024.204317048</v>
      </c>
      <c r="AQ16" s="2">
        <f t="shared" si="12"/>
        <v>63034994.930446558</v>
      </c>
      <c r="AR16" s="2">
        <f t="shared" si="12"/>
        <v>64926044.778359957</v>
      </c>
      <c r="AS16" s="2">
        <f t="shared" si="12"/>
        <v>66873826.121710755</v>
      </c>
      <c r="AT16" s="2">
        <f t="shared" si="12"/>
        <v>68880040.905362085</v>
      </c>
      <c r="AU16" s="2">
        <f t="shared" si="12"/>
        <v>70946442.132522956</v>
      </c>
      <c r="AV16" s="2">
        <f t="shared" si="12"/>
        <v>73074835.39649865</v>
      </c>
      <c r="AW16" s="2">
        <f t="shared" si="12"/>
        <v>75267080.458393618</v>
      </c>
      <c r="AX16" s="2">
        <f t="shared" si="12"/>
        <v>77525092.872145429</v>
      </c>
      <c r="AY16" s="2">
        <f t="shared" si="12"/>
        <v>79850845.658309788</v>
      </c>
      <c r="AZ16" s="2">
        <f t="shared" si="12"/>
        <v>82246371.02805908</v>
      </c>
      <c r="BA16" s="2">
        <f t="shared" si="12"/>
        <v>84713762.158900857</v>
      </c>
      <c r="BB16" s="2">
        <f t="shared" si="12"/>
        <v>87255175.023667887</v>
      </c>
      <c r="BC16" s="2">
        <f t="shared" si="12"/>
        <v>89872830.274377927</v>
      </c>
      <c r="BD16" s="2">
        <f t="shared" si="12"/>
        <v>92569015.18260926</v>
      </c>
      <c r="BE16" s="2">
        <f t="shared" si="12"/>
        <v>95346085.638087541</v>
      </c>
      <c r="BF16" s="2">
        <f t="shared" si="12"/>
        <v>98206468.207230166</v>
      </c>
      <c r="BG16" s="2">
        <f t="shared" si="12"/>
        <v>101152662.25344707</v>
      </c>
      <c r="BH16" s="2">
        <f t="shared" si="12"/>
        <v>104187242.12105049</v>
      </c>
      <c r="BI16" s="2">
        <f t="shared" si="12"/>
        <v>107312859.38468201</v>
      </c>
      <c r="BJ16" s="2">
        <f t="shared" si="12"/>
        <v>110532245.16622248</v>
      </c>
      <c r="BK16" s="2">
        <f t="shared" si="12"/>
        <v>113848212.52120917</v>
      </c>
      <c r="BL16" s="2">
        <f t="shared" si="12"/>
        <v>117263658.89684545</v>
      </c>
      <c r="BM16" s="2">
        <f t="shared" si="12"/>
        <v>120781568.66375081</v>
      </c>
      <c r="BN16" s="2">
        <f t="shared" si="12"/>
        <v>124405015.72366334</v>
      </c>
      <c r="BO16" s="2">
        <f t="shared" si="12"/>
        <v>128137166.19537325</v>
      </c>
      <c r="BP16" s="2">
        <f t="shared" si="12"/>
        <v>131981281.18123445</v>
      </c>
      <c r="BQ16" s="2">
        <f t="shared" si="12"/>
        <v>135940719.61667147</v>
      </c>
      <c r="BR16" s="2">
        <f t="shared" si="12"/>
        <v>140018941.20517161</v>
      </c>
      <c r="BS16" s="2">
        <f t="shared" si="12"/>
        <v>144219509.44132677</v>
      </c>
      <c r="BT16" s="2">
        <f t="shared" si="12"/>
        <v>148546094.72456658</v>
      </c>
      <c r="BU16" s="2">
        <f t="shared" si="12"/>
        <v>153002477.56630358</v>
      </c>
      <c r="BV16" s="2">
        <f t="shared" si="12"/>
        <v>157592551.8932927</v>
      </c>
      <c r="BW16" s="2">
        <f t="shared" si="12"/>
        <v>162320328.45009148</v>
      </c>
      <c r="BX16" s="2">
        <f t="shared" si="12"/>
        <v>167189938.30359423</v>
      </c>
      <c r="BY16" s="2">
        <f t="shared" si="12"/>
        <v>172205636.45270208</v>
      </c>
      <c r="BZ16" s="2">
        <f t="shared" si="12"/>
        <v>177371805.54628316</v>
      </c>
      <c r="CA16" s="2">
        <f t="shared" si="12"/>
        <v>182692959.71267167</v>
      </c>
      <c r="CB16" s="2">
        <f t="shared" si="12"/>
        <v>188173748.50405183</v>
      </c>
      <c r="CC16" s="2">
        <f t="shared" si="12"/>
        <v>193818960.95917338</v>
      </c>
      <c r="CD16" s="2">
        <f t="shared" si="12"/>
        <v>199633529.78794858</v>
      </c>
      <c r="CE16" s="2">
        <f t="shared" ref="CE16:EP16" si="13">+CD16*(1+$T21)</f>
        <v>205622535.68158704</v>
      </c>
      <c r="CF16" s="2">
        <f t="shared" si="13"/>
        <v>211791211.75203466</v>
      </c>
      <c r="CG16" s="2">
        <f t="shared" si="13"/>
        <v>218144948.10459572</v>
      </c>
      <c r="CH16" s="2">
        <f t="shared" si="13"/>
        <v>224689296.5477336</v>
      </c>
      <c r="CI16" s="2">
        <f t="shared" si="13"/>
        <v>231429975.44416562</v>
      </c>
      <c r="CJ16" s="2">
        <f t="shared" si="13"/>
        <v>238372874.70749059</v>
      </c>
      <c r="CK16" s="2">
        <f t="shared" si="13"/>
        <v>245524060.94871533</v>
      </c>
      <c r="CL16" s="2">
        <f t="shared" si="13"/>
        <v>252889782.7771768</v>
      </c>
      <c r="CM16" s="2">
        <f t="shared" si="13"/>
        <v>260476476.26049212</v>
      </c>
      <c r="CN16" s="2">
        <f t="shared" si="13"/>
        <v>268290770.54830688</v>
      </c>
      <c r="CO16" s="2">
        <f t="shared" si="13"/>
        <v>276339493.66475612</v>
      </c>
      <c r="CP16" s="2">
        <f t="shared" si="13"/>
        <v>284629678.47469878</v>
      </c>
      <c r="CQ16" s="2">
        <f t="shared" si="13"/>
        <v>293168568.82893974</v>
      </c>
      <c r="CR16" s="2">
        <f t="shared" si="13"/>
        <v>301963625.89380795</v>
      </c>
      <c r="CS16" s="2">
        <f t="shared" si="13"/>
        <v>311022534.67062217</v>
      </c>
      <c r="CT16" s="2">
        <f t="shared" si="13"/>
        <v>320353210.71074086</v>
      </c>
      <c r="CU16" s="2">
        <f t="shared" si="13"/>
        <v>329963807.03206313</v>
      </c>
      <c r="CV16" s="2">
        <f t="shared" si="13"/>
        <v>339862721.243025</v>
      </c>
      <c r="CW16" s="2">
        <f t="shared" si="13"/>
        <v>350058602.88031578</v>
      </c>
      <c r="CX16" s="2">
        <f t="shared" si="13"/>
        <v>360560360.96672529</v>
      </c>
      <c r="CY16" s="2">
        <f t="shared" si="13"/>
        <v>371377171.79572707</v>
      </c>
      <c r="CZ16" s="2">
        <f t="shared" si="13"/>
        <v>382518486.94959891</v>
      </c>
      <c r="DA16" s="2">
        <f t="shared" si="13"/>
        <v>393994041.55808687</v>
      </c>
      <c r="DB16" s="2">
        <f t="shared" si="13"/>
        <v>405813862.80482948</v>
      </c>
      <c r="DC16" s="2">
        <f t="shared" si="13"/>
        <v>417988278.68897438</v>
      </c>
      <c r="DD16" s="2">
        <f t="shared" si="13"/>
        <v>430527927.04964364</v>
      </c>
      <c r="DE16" s="2">
        <f t="shared" si="13"/>
        <v>443443764.86113298</v>
      </c>
      <c r="DF16" s="2">
        <f t="shared" si="13"/>
        <v>456747077.80696696</v>
      </c>
      <c r="DG16" s="2">
        <f t="shared" si="13"/>
        <v>470449490.14117599</v>
      </c>
      <c r="DH16" s="2">
        <f t="shared" si="13"/>
        <v>484562974.8454113</v>
      </c>
      <c r="DI16" s="2">
        <f t="shared" si="13"/>
        <v>499099864.09077364</v>
      </c>
      <c r="DJ16" s="2">
        <f t="shared" si="13"/>
        <v>514072860.01349688</v>
      </c>
      <c r="DK16" s="2">
        <f t="shared" si="13"/>
        <v>529495045.81390178</v>
      </c>
      <c r="DL16" s="2">
        <f t="shared" si="13"/>
        <v>545379897.18831885</v>
      </c>
      <c r="DM16" s="2">
        <f t="shared" si="13"/>
        <v>561741294.10396838</v>
      </c>
      <c r="DN16" s="2">
        <f t="shared" si="13"/>
        <v>578593532.92708743</v>
      </c>
      <c r="DO16" s="2">
        <f t="shared" si="13"/>
        <v>595951338.91490006</v>
      </c>
      <c r="DP16" s="2">
        <f t="shared" si="13"/>
        <v>613829879.08234704</v>
      </c>
      <c r="DQ16" s="2">
        <f t="shared" si="13"/>
        <v>632244775.45481741</v>
      </c>
      <c r="DR16" s="2">
        <f t="shared" si="13"/>
        <v>651212118.71846199</v>
      </c>
      <c r="DS16" s="2">
        <f t="shared" si="13"/>
        <v>670748482.28001583</v>
      </c>
      <c r="DT16" s="2">
        <f t="shared" si="13"/>
        <v>690870936.7484163</v>
      </c>
      <c r="DU16" s="2">
        <f t="shared" si="13"/>
        <v>711597064.85086882</v>
      </c>
      <c r="DV16" s="2">
        <f t="shared" si="13"/>
        <v>732944976.79639494</v>
      </c>
      <c r="DW16" s="2">
        <f t="shared" si="13"/>
        <v>754933326.10028684</v>
      </c>
      <c r="DX16" s="2">
        <f t="shared" si="13"/>
        <v>777581325.88329542</v>
      </c>
      <c r="DY16" s="2">
        <f t="shared" si="13"/>
        <v>800908765.65979433</v>
      </c>
      <c r="DZ16" s="2">
        <f t="shared" si="13"/>
        <v>824936028.62958813</v>
      </c>
      <c r="EA16" s="2">
        <f t="shared" si="13"/>
        <v>849684109.4884758</v>
      </c>
      <c r="EB16" s="2">
        <f t="shared" si="13"/>
        <v>875174632.77313006</v>
      </c>
      <c r="EC16" s="2">
        <f t="shared" si="13"/>
        <v>901429871.75632393</v>
      </c>
      <c r="ED16" s="2">
        <f t="shared" si="13"/>
        <v>928472767.90901363</v>
      </c>
      <c r="EE16" s="2">
        <f t="shared" si="13"/>
        <v>956326950.94628406</v>
      </c>
      <c r="EF16" s="2">
        <f t="shared" si="13"/>
        <v>985016759.47467256</v>
      </c>
      <c r="EG16" s="2">
        <f t="shared" si="13"/>
        <v>1014567262.2589128</v>
      </c>
      <c r="EH16" s="2">
        <f t="shared" si="13"/>
        <v>1045004280.1266803</v>
      </c>
      <c r="EI16" s="2">
        <f t="shared" si="13"/>
        <v>1076354408.5304806</v>
      </c>
      <c r="EJ16" s="2">
        <f t="shared" si="13"/>
        <v>1108645040.7863951</v>
      </c>
      <c r="EK16" s="2">
        <f t="shared" si="13"/>
        <v>1141904392.0099869</v>
      </c>
      <c r="EL16" s="2">
        <f t="shared" si="13"/>
        <v>1176161523.7702866</v>
      </c>
      <c r="EM16" s="2">
        <f t="shared" si="13"/>
        <v>1211446369.4833951</v>
      </c>
      <c r="EN16" s="2">
        <f t="shared" si="13"/>
        <v>1247789760.5678971</v>
      </c>
      <c r="EO16" s="2">
        <f t="shared" si="13"/>
        <v>1285223453.3849339</v>
      </c>
      <c r="EP16" s="2">
        <f t="shared" si="13"/>
        <v>1323780156.9864819</v>
      </c>
      <c r="EQ16" s="2">
        <f t="shared" ref="EQ16:FE16" si="14">+EP16*(1+$T21)</f>
        <v>1363493561.6960764</v>
      </c>
      <c r="ER16" s="2">
        <f t="shared" si="14"/>
        <v>1404398368.5469587</v>
      </c>
      <c r="ES16" s="2">
        <f t="shared" si="14"/>
        <v>1446530319.6033676</v>
      </c>
      <c r="ET16" s="2">
        <f t="shared" si="14"/>
        <v>1489926229.1914687</v>
      </c>
      <c r="EU16" s="2">
        <f t="shared" si="14"/>
        <v>1534624016.0672128</v>
      </c>
      <c r="EV16" s="2">
        <f t="shared" si="14"/>
        <v>1580662736.5492291</v>
      </c>
      <c r="EW16" s="2">
        <f t="shared" si="14"/>
        <v>1628082618.6457062</v>
      </c>
      <c r="EX16" s="2">
        <f t="shared" si="14"/>
        <v>1676925097.2050774</v>
      </c>
      <c r="EY16" s="2">
        <f t="shared" si="14"/>
        <v>1727232850.1212299</v>
      </c>
      <c r="EZ16" s="2">
        <f t="shared" si="14"/>
        <v>1779049835.6248667</v>
      </c>
      <c r="FA16" s="2">
        <f t="shared" si="14"/>
        <v>1832421330.6936128</v>
      </c>
      <c r="FB16" s="2">
        <f t="shared" si="14"/>
        <v>1887393970.6144211</v>
      </c>
      <c r="FC16" s="2">
        <f t="shared" si="14"/>
        <v>1944015789.7328539</v>
      </c>
      <c r="FD16" s="2">
        <f t="shared" si="14"/>
        <v>2002336263.4248395</v>
      </c>
      <c r="FE16" s="2">
        <f t="shared" si="14"/>
        <v>2062406351.3275847</v>
      </c>
    </row>
    <row r="17" spans="2:20" s="5" customFormat="1" x14ac:dyDescent="0.25">
      <c r="B17" s="5" t="s">
        <v>15</v>
      </c>
      <c r="F17" s="5">
        <f>+F16/F18</f>
        <v>4.5701191461956023</v>
      </c>
      <c r="G17" s="5">
        <f>+G16/G18</f>
        <v>10.039462525952569</v>
      </c>
      <c r="H17" s="5">
        <f>+H16/H18</f>
        <v>12.589663479303741</v>
      </c>
      <c r="I17" s="5">
        <f t="shared" ref="I17:Q17" si="15">+I16/I18</f>
        <v>17.039292482537284</v>
      </c>
      <c r="J17" s="5">
        <f t="shared" si="15"/>
        <v>22.444114402775618</v>
      </c>
      <c r="K17" s="5">
        <f t="shared" si="15"/>
        <v>28.792925004270472</v>
      </c>
      <c r="L17" s="5">
        <f t="shared" si="15"/>
        <v>36.283806504188313</v>
      </c>
      <c r="M17" s="5">
        <f t="shared" si="15"/>
        <v>44.923874298903442</v>
      </c>
      <c r="N17" s="5">
        <f t="shared" si="15"/>
        <v>54.189466183809188</v>
      </c>
      <c r="O17" s="5">
        <f t="shared" si="15"/>
        <v>64.218249234826501</v>
      </c>
      <c r="P17" s="5">
        <f t="shared" si="15"/>
        <v>74.75742026552129</v>
      </c>
      <c r="Q17" s="5">
        <f t="shared" si="15"/>
        <v>85.472394635087596</v>
      </c>
    </row>
    <row r="18" spans="2:20" s="2" customFormat="1" x14ac:dyDescent="0.25">
      <c r="B18" s="2" t="s">
        <v>14</v>
      </c>
      <c r="F18" s="2">
        <v>347808</v>
      </c>
      <c r="G18" s="2">
        <v>341970</v>
      </c>
      <c r="H18" s="2">
        <v>341970</v>
      </c>
      <c r="I18" s="2">
        <v>341970</v>
      </c>
      <c r="J18" s="2">
        <v>341970</v>
      </c>
      <c r="K18" s="2">
        <v>341970</v>
      </c>
      <c r="L18" s="2">
        <v>341970</v>
      </c>
      <c r="M18" s="2">
        <v>341970</v>
      </c>
      <c r="N18" s="2">
        <v>341970</v>
      </c>
      <c r="O18" s="2">
        <v>341970</v>
      </c>
      <c r="P18" s="2">
        <v>341970</v>
      </c>
      <c r="Q18" s="2">
        <v>341970</v>
      </c>
    </row>
    <row r="19" spans="2:20" s="2" customFormat="1" x14ac:dyDescent="0.25">
      <c r="F19" s="9"/>
      <c r="G19" s="9"/>
    </row>
    <row r="20" spans="2:20" s="4" customFormat="1" x14ac:dyDescent="0.25">
      <c r="B20" s="4" t="s">
        <v>12</v>
      </c>
      <c r="F20" s="4">
        <f>+F7/F5</f>
        <v>0.83852244593614633</v>
      </c>
      <c r="G20" s="4">
        <f>+G7/G5</f>
        <v>0.87863996626718732</v>
      </c>
      <c r="H20" s="4">
        <f>+H7/H5</f>
        <v>0.88</v>
      </c>
      <c r="I20" s="4">
        <f t="shared" ref="I20:Q20" si="16">+I7/I5</f>
        <v>0.88</v>
      </c>
      <c r="J20" s="4">
        <f t="shared" si="16"/>
        <v>0.88</v>
      </c>
      <c r="K20" s="4">
        <f t="shared" si="16"/>
        <v>0.88</v>
      </c>
      <c r="L20" s="4">
        <f t="shared" si="16"/>
        <v>0.87999999999999989</v>
      </c>
      <c r="M20" s="4">
        <f t="shared" si="16"/>
        <v>0.88</v>
      </c>
      <c r="N20" s="4">
        <f t="shared" si="16"/>
        <v>0.88</v>
      </c>
      <c r="O20" s="4">
        <f t="shared" si="16"/>
        <v>0.88</v>
      </c>
      <c r="P20" s="4">
        <f t="shared" si="16"/>
        <v>0.88</v>
      </c>
      <c r="Q20" s="4">
        <f t="shared" si="16"/>
        <v>0.88</v>
      </c>
      <c r="S20" s="4" t="s">
        <v>33</v>
      </c>
      <c r="T20" s="4">
        <v>0.1</v>
      </c>
    </row>
    <row r="21" spans="2:20" s="4" customFormat="1" x14ac:dyDescent="0.25">
      <c r="B21" s="4" t="s">
        <v>13</v>
      </c>
      <c r="F21" s="4">
        <f>+F11/F5</f>
        <v>0.59271762480699786</v>
      </c>
      <c r="G21" s="4">
        <f>+G11/G5</f>
        <v>0.75754942282186799</v>
      </c>
      <c r="H21" s="4">
        <f>+H11/H5</f>
        <v>0.76329649978413538</v>
      </c>
      <c r="I21" s="4">
        <f t="shared" ref="I21:Q21" si="17">+I11/I5</f>
        <v>0.76922686446364308</v>
      </c>
      <c r="J21" s="4">
        <f t="shared" si="17"/>
        <v>0.77428633642797817</v>
      </c>
      <c r="K21" s="4">
        <f t="shared" si="17"/>
        <v>0.77858887951575928</v>
      </c>
      <c r="L21" s="4">
        <f t="shared" si="17"/>
        <v>0.78234962088137527</v>
      </c>
      <c r="M21" s="4">
        <f t="shared" si="17"/>
        <v>0.78563135182914867</v>
      </c>
      <c r="N21" s="4">
        <f t="shared" si="17"/>
        <v>0.78837405450530706</v>
      </c>
      <c r="O21" s="4">
        <f t="shared" si="17"/>
        <v>0.79074486529317278</v>
      </c>
      <c r="P21" s="4">
        <f t="shared" si="17"/>
        <v>0.79277958413026828</v>
      </c>
      <c r="Q21" s="4">
        <f t="shared" si="17"/>
        <v>0.79450790524774284</v>
      </c>
      <c r="S21" s="4" t="s">
        <v>34</v>
      </c>
      <c r="T21" s="4">
        <v>0.03</v>
      </c>
    </row>
    <row r="22" spans="2:20" s="4" customFormat="1" x14ac:dyDescent="0.25">
      <c r="B22" s="4" t="s">
        <v>28</v>
      </c>
      <c r="G22" s="4">
        <f>+G5/F5 -1</f>
        <v>0.69994367346989406</v>
      </c>
      <c r="H22" s="4">
        <v>0.35</v>
      </c>
      <c r="I22" s="4">
        <v>0.33</v>
      </c>
      <c r="J22" s="4">
        <v>0.3</v>
      </c>
      <c r="K22" s="4">
        <v>0.27</v>
      </c>
      <c r="L22" s="4">
        <v>0.25</v>
      </c>
      <c r="M22" s="4">
        <v>0.23</v>
      </c>
      <c r="N22" s="4">
        <v>0.2</v>
      </c>
      <c r="O22" s="4">
        <v>0.18</v>
      </c>
      <c r="P22" s="4">
        <v>0.16</v>
      </c>
      <c r="Q22" s="4">
        <v>0.14000000000000001</v>
      </c>
      <c r="S22" s="4" t="s">
        <v>35</v>
      </c>
      <c r="T22" s="10">
        <f>NPV(T20,H16:FE16)</f>
        <v>245265751.06747776</v>
      </c>
    </row>
    <row r="23" spans="2:20" s="2" customFormat="1" x14ac:dyDescent="0.25">
      <c r="S23" s="2" t="s">
        <v>36</v>
      </c>
      <c r="T23" s="2">
        <f>+T22+Main!C5</f>
        <v>244239860.06747776</v>
      </c>
    </row>
    <row r="24" spans="2:20" s="2" customFormat="1" x14ac:dyDescent="0.25">
      <c r="B24" s="2" t="s">
        <v>19</v>
      </c>
      <c r="F24" s="2">
        <v>448680</v>
      </c>
      <c r="G24" s="2">
        <v>194778</v>
      </c>
      <c r="S24" s="2" t="s">
        <v>22</v>
      </c>
      <c r="T24" s="2">
        <f>+T23/Q18</f>
        <v>714.21428800034437</v>
      </c>
    </row>
    <row r="25" spans="2:20" s="2" customFormat="1" x14ac:dyDescent="0.25">
      <c r="B25" s="2" t="s">
        <v>20</v>
      </c>
      <c r="F25" s="2">
        <v>369367</v>
      </c>
      <c r="G25" s="2">
        <v>210421</v>
      </c>
    </row>
    <row r="26" spans="2:20" s="2" customFormat="1" x14ac:dyDescent="0.25">
      <c r="B26" s="2" t="s">
        <v>16</v>
      </c>
      <c r="F26" s="2">
        <v>2099011</v>
      </c>
      <c r="G26" s="2">
        <v>3971094</v>
      </c>
    </row>
    <row r="27" spans="2:20" s="2" customFormat="1" x14ac:dyDescent="0.25">
      <c r="B27" s="2" t="s">
        <v>17</v>
      </c>
      <c r="F27" s="2">
        <v>25553</v>
      </c>
      <c r="G27" s="2">
        <v>28318</v>
      </c>
    </row>
    <row r="28" spans="2:20" s="2" customFormat="1" x14ac:dyDescent="0.25">
      <c r="B28" s="2" t="s">
        <v>18</v>
      </c>
      <c r="F28" s="2">
        <f>+F26-F27</f>
        <v>2073458</v>
      </c>
      <c r="G28" s="2">
        <f>+G26-G27</f>
        <v>3942776</v>
      </c>
    </row>
    <row r="29" spans="2:20" s="2" customFormat="1" x14ac:dyDescent="0.25">
      <c r="B29" s="2" t="s">
        <v>21</v>
      </c>
      <c r="F29" s="2">
        <f>+F28-F25</f>
        <v>1704091</v>
      </c>
      <c r="G29" s="2">
        <f>+G28-G25</f>
        <v>3732355</v>
      </c>
    </row>
    <row r="30" spans="2:20" s="2" customFormat="1" x14ac:dyDescent="0.25"/>
    <row r="31" spans="2:20" s="4" customFormat="1" x14ac:dyDescent="0.25">
      <c r="B31" s="4" t="s">
        <v>3</v>
      </c>
      <c r="F31" s="4">
        <f>+F8/F$5</f>
        <v>7.8430040650633456E-2</v>
      </c>
      <c r="G31" s="4">
        <f>+G8/G$5</f>
        <v>3.7157729545240159E-2</v>
      </c>
    </row>
    <row r="32" spans="2:20" s="4" customFormat="1" x14ac:dyDescent="0.25">
      <c r="B32" s="4" t="s">
        <v>4</v>
      </c>
      <c r="F32" s="4">
        <f t="shared" ref="F32:G33" si="18">+F9/F$5</f>
        <v>0.11622309524208312</v>
      </c>
      <c r="G32" s="4">
        <f t="shared" si="18"/>
        <v>4.1328534204557545E-2</v>
      </c>
    </row>
    <row r="33" spans="2:7" s="4" customFormat="1" x14ac:dyDescent="0.25">
      <c r="B33" s="4" t="s">
        <v>5</v>
      </c>
      <c r="F33" s="8">
        <f t="shared" si="18"/>
        <v>5.1151685236431849E-2</v>
      </c>
      <c r="G33" s="8">
        <f t="shared" si="18"/>
        <v>4.2604279695521587E-2</v>
      </c>
    </row>
    <row r="34" spans="2:7" s="2" customFormat="1" x14ac:dyDescent="0.25"/>
    <row r="35" spans="2:7" s="2" customFormat="1" x14ac:dyDescent="0.25">
      <c r="B35" s="2" t="s">
        <v>29</v>
      </c>
      <c r="F35" s="2">
        <v>697030</v>
      </c>
      <c r="G35" s="2">
        <v>2487096</v>
      </c>
    </row>
    <row r="36" spans="2:7" s="2" customFormat="1" x14ac:dyDescent="0.25">
      <c r="B36" s="2" t="s">
        <v>30</v>
      </c>
      <c r="F36" s="2">
        <v>3508983</v>
      </c>
      <c r="G36" s="2">
        <v>3512987</v>
      </c>
    </row>
    <row r="37" spans="2:7" s="2" customFormat="1" x14ac:dyDescent="0.25">
      <c r="B37" s="2" t="s">
        <v>31</v>
      </c>
      <c r="F37" s="2">
        <f>+F36-F35</f>
        <v>2811953</v>
      </c>
      <c r="G37" s="2">
        <f>+G36-G35</f>
        <v>1025891</v>
      </c>
    </row>
    <row r="38" spans="2:7" s="2" customFormat="1" x14ac:dyDescent="0.25">
      <c r="B38" s="2" t="s">
        <v>32</v>
      </c>
      <c r="F38" s="4">
        <f>+F12/F36</f>
        <v>9.0399127040512881E-2</v>
      </c>
      <c r="G38" s="4">
        <f>+G12/G36</f>
        <v>5.8928769164246837E-2</v>
      </c>
    </row>
    <row r="39" spans="2:7" s="2" customFormat="1" x14ac:dyDescent="0.25"/>
    <row r="40" spans="2:7" s="2" customFormat="1" x14ac:dyDescent="0.25"/>
    <row r="41" spans="2:7" s="2" customFormat="1" x14ac:dyDescent="0.25"/>
    <row r="42" spans="2:7" s="2" customFormat="1" x14ac:dyDescent="0.25"/>
    <row r="43" spans="2:7" s="2" customFormat="1" x14ac:dyDescent="0.25"/>
    <row r="44" spans="2:7" s="2" customFormat="1" x14ac:dyDescent="0.25"/>
    <row r="45" spans="2:7" s="2" customFormat="1" x14ac:dyDescent="0.25"/>
    <row r="46" spans="2:7" s="2" customFormat="1" x14ac:dyDescent="0.25"/>
    <row r="47" spans="2:7" s="2" customFormat="1" x14ac:dyDescent="0.25"/>
    <row r="48" spans="2:7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0D1C-8862-452C-968E-71510953837A}">
  <dimension ref="B2:FE108"/>
  <sheetViews>
    <sheetView zoomScale="145" zoomScaleNormal="145" workbookViewId="0">
      <pane xSplit="2" ySplit="2" topLeftCell="G9" activePane="bottomRight" state="frozen"/>
      <selection pane="topRight" activeCell="C1" sqref="C1"/>
      <selection pane="bottomLeft" activeCell="A3" sqref="A3"/>
      <selection pane="bottomRight" activeCell="T25" sqref="T25"/>
    </sheetView>
  </sheetViews>
  <sheetFormatPr defaultRowHeight="15" x14ac:dyDescent="0.25"/>
  <cols>
    <col min="1" max="1" width="2.85546875" customWidth="1"/>
    <col min="2" max="2" width="17" bestFit="1" customWidth="1"/>
    <col min="6" max="9" width="9.5703125" bestFit="1" customWidth="1"/>
    <col min="10" max="19" width="10.5703125" bestFit="1" customWidth="1"/>
    <col min="20" max="20" width="12.140625" bestFit="1" customWidth="1"/>
    <col min="21" max="23" width="10.5703125" bestFit="1" customWidth="1"/>
    <col min="24" max="28" width="10.28515625" bestFit="1" customWidth="1"/>
  </cols>
  <sheetData>
    <row r="2" spans="2:161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>+G2+1</f>
        <v>2026</v>
      </c>
      <c r="I2">
        <f t="shared" ref="I2:Q2" si="0">+H2+1</f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61" s="2" customFormat="1" x14ac:dyDescent="0.25"/>
    <row r="4" spans="2:161" s="2" customFormat="1" x14ac:dyDescent="0.25"/>
    <row r="5" spans="2:161" s="3" customFormat="1" x14ac:dyDescent="0.25">
      <c r="B5" s="3" t="s">
        <v>0</v>
      </c>
      <c r="F5" s="3">
        <v>3224058</v>
      </c>
      <c r="G5" s="3">
        <v>5480717</v>
      </c>
      <c r="H5" s="3">
        <f>+G5*(1+H22)</f>
        <v>6686474.7400000002</v>
      </c>
      <c r="I5" s="3">
        <f t="shared" ref="I5:Q5" si="1">+H5*(1+I22)</f>
        <v>7689445.9509999994</v>
      </c>
      <c r="J5" s="3">
        <f t="shared" si="1"/>
        <v>8304601.62708</v>
      </c>
      <c r="K5" s="3">
        <f t="shared" si="1"/>
        <v>8719831.7084340006</v>
      </c>
      <c r="L5" s="3">
        <f t="shared" si="1"/>
        <v>9068624.9767713603</v>
      </c>
      <c r="M5" s="3">
        <f t="shared" si="1"/>
        <v>9431369.9758422151</v>
      </c>
      <c r="N5" s="3">
        <f t="shared" si="1"/>
        <v>9808624.7748759035</v>
      </c>
      <c r="O5" s="3">
        <f t="shared" si="1"/>
        <v>10200969.76587094</v>
      </c>
      <c r="P5" s="3">
        <f t="shared" si="1"/>
        <v>10609008.556505779</v>
      </c>
      <c r="Q5" s="3">
        <f t="shared" si="1"/>
        <v>11033368.898766011</v>
      </c>
    </row>
    <row r="6" spans="2:161" s="2" customFormat="1" x14ac:dyDescent="0.25">
      <c r="B6" s="2" t="s">
        <v>1</v>
      </c>
      <c r="F6" s="2">
        <v>520613</v>
      </c>
      <c r="G6" s="2">
        <v>665140</v>
      </c>
      <c r="H6" s="2">
        <f>+H5*0.12</f>
        <v>802376.96880000003</v>
      </c>
      <c r="I6" s="2">
        <f t="shared" ref="I6:Q6" si="2">+I5*0.12</f>
        <v>922733.51411999995</v>
      </c>
      <c r="J6" s="2">
        <f t="shared" si="2"/>
        <v>996552.19524959999</v>
      </c>
      <c r="K6" s="2">
        <f t="shared" si="2"/>
        <v>1046379.80501208</v>
      </c>
      <c r="L6" s="2">
        <f t="shared" si="2"/>
        <v>1088234.9972125632</v>
      </c>
      <c r="M6" s="2">
        <f t="shared" si="2"/>
        <v>1131764.3971010658</v>
      </c>
      <c r="N6" s="2">
        <f t="shared" si="2"/>
        <v>1177034.9729851084</v>
      </c>
      <c r="O6" s="2">
        <f t="shared" si="2"/>
        <v>1224116.3719045126</v>
      </c>
      <c r="P6" s="2">
        <f t="shared" si="2"/>
        <v>1273081.0267806933</v>
      </c>
      <c r="Q6" s="2">
        <f t="shared" si="2"/>
        <v>1324004.2678519213</v>
      </c>
    </row>
    <row r="7" spans="2:161" s="2" customFormat="1" x14ac:dyDescent="0.25">
      <c r="B7" s="2" t="s">
        <v>2</v>
      </c>
      <c r="D7" s="2">
        <f>+D5-D6</f>
        <v>0</v>
      </c>
      <c r="E7" s="2">
        <f>+E5-E6</f>
        <v>0</v>
      </c>
      <c r="F7" s="2">
        <f>+F5-F6</f>
        <v>2703445</v>
      </c>
      <c r="G7" s="2">
        <f t="shared" ref="G7:Q7" si="3">+G5-G6</f>
        <v>4815577</v>
      </c>
      <c r="H7" s="2">
        <f t="shared" si="3"/>
        <v>5884097.7712000003</v>
      </c>
      <c r="I7" s="2">
        <f t="shared" si="3"/>
        <v>6766712.4368799999</v>
      </c>
      <c r="J7" s="2">
        <f t="shared" si="3"/>
        <v>7308049.4318303997</v>
      </c>
      <c r="K7" s="2">
        <f t="shared" si="3"/>
        <v>7673451.9034219207</v>
      </c>
      <c r="L7" s="2">
        <f t="shared" si="3"/>
        <v>7980389.9795587976</v>
      </c>
      <c r="M7" s="2">
        <f t="shared" si="3"/>
        <v>8299605.578741149</v>
      </c>
      <c r="N7" s="2">
        <f t="shared" si="3"/>
        <v>8631589.8018907942</v>
      </c>
      <c r="O7" s="2">
        <f t="shared" si="3"/>
        <v>8976853.3939664271</v>
      </c>
      <c r="P7" s="2">
        <f t="shared" si="3"/>
        <v>9335927.5297250859</v>
      </c>
      <c r="Q7" s="2">
        <f t="shared" si="3"/>
        <v>9709364.6309140902</v>
      </c>
    </row>
    <row r="8" spans="2:161" s="2" customFormat="1" x14ac:dyDescent="0.25">
      <c r="B8" s="2" t="s">
        <v>3</v>
      </c>
      <c r="F8" s="2">
        <v>252863</v>
      </c>
      <c r="G8" s="2">
        <v>203651</v>
      </c>
      <c r="H8" s="2">
        <f>+G8*(1+H22*0.666666666666667)</f>
        <v>233519.81333333335</v>
      </c>
      <c r="I8" s="2">
        <f t="shared" ref="I8:Q8" si="4">+H8*(1+I22*0.666666666666667)</f>
        <v>256871.79466666671</v>
      </c>
      <c r="J8" s="2">
        <f t="shared" si="4"/>
        <v>270571.62371555559</v>
      </c>
      <c r="K8" s="2">
        <f t="shared" si="4"/>
        <v>279590.67783940746</v>
      </c>
      <c r="L8" s="2">
        <f t="shared" si="4"/>
        <v>287046.4292484583</v>
      </c>
      <c r="M8" s="2">
        <f t="shared" si="4"/>
        <v>294701.00069508381</v>
      </c>
      <c r="N8" s="2">
        <f t="shared" si="4"/>
        <v>302559.6940469527</v>
      </c>
      <c r="O8" s="2">
        <f t="shared" si="4"/>
        <v>310627.95255487144</v>
      </c>
      <c r="P8" s="2">
        <f t="shared" si="4"/>
        <v>318911.36462300131</v>
      </c>
      <c r="Q8" s="2">
        <f t="shared" si="4"/>
        <v>327415.66767961468</v>
      </c>
    </row>
    <row r="9" spans="2:161" s="2" customFormat="1" x14ac:dyDescent="0.25">
      <c r="B9" s="2" t="s">
        <v>4</v>
      </c>
      <c r="F9" s="2">
        <v>374710</v>
      </c>
      <c r="G9" s="2">
        <v>226510</v>
      </c>
      <c r="H9" s="2">
        <f>+G9*(1+H22*0.666666666666667)</f>
        <v>259731.46666666667</v>
      </c>
      <c r="I9" s="2">
        <f t="shared" ref="I9:Q9" si="5">+H9*(1+I22*0.666666666666667)</f>
        <v>285704.61333333334</v>
      </c>
      <c r="J9" s="2">
        <f t="shared" si="5"/>
        <v>300942.1927111111</v>
      </c>
      <c r="K9" s="2">
        <f t="shared" si="5"/>
        <v>310973.59913481481</v>
      </c>
      <c r="L9" s="2">
        <f t="shared" si="5"/>
        <v>319266.2284450765</v>
      </c>
      <c r="M9" s="2">
        <f t="shared" si="5"/>
        <v>327779.99453694519</v>
      </c>
      <c r="N9" s="2">
        <f t="shared" si="5"/>
        <v>336520.79439126368</v>
      </c>
      <c r="O9" s="2">
        <f t="shared" si="5"/>
        <v>345494.68224169739</v>
      </c>
      <c r="P9" s="2">
        <f t="shared" si="5"/>
        <v>354707.87376814266</v>
      </c>
      <c r="Q9" s="2">
        <f t="shared" si="5"/>
        <v>364166.75040195975</v>
      </c>
    </row>
    <row r="10" spans="2:161" s="2" customFormat="1" x14ac:dyDescent="0.25">
      <c r="B10" s="2" t="s">
        <v>5</v>
      </c>
      <c r="F10" s="2">
        <v>164916</v>
      </c>
      <c r="G10" s="2">
        <v>233502</v>
      </c>
      <c r="H10" s="2">
        <f>+H5*0.045</f>
        <v>300891.36330000003</v>
      </c>
      <c r="I10" s="2">
        <f t="shared" ref="I10:Q10" si="6">+I5*0.045</f>
        <v>346025.06779499998</v>
      </c>
      <c r="J10" s="2">
        <f t="shared" si="6"/>
        <v>373707.07321860001</v>
      </c>
      <c r="K10" s="2">
        <f t="shared" si="6"/>
        <v>392392.42687953002</v>
      </c>
      <c r="L10" s="2">
        <f t="shared" si="6"/>
        <v>408088.12395471119</v>
      </c>
      <c r="M10" s="2">
        <f t="shared" si="6"/>
        <v>424411.64891289966</v>
      </c>
      <c r="N10" s="2">
        <f t="shared" si="6"/>
        <v>441388.11486941564</v>
      </c>
      <c r="O10" s="2">
        <f t="shared" si="6"/>
        <v>459043.63946419227</v>
      </c>
      <c r="P10" s="2">
        <f t="shared" si="6"/>
        <v>477405.38504276006</v>
      </c>
      <c r="Q10" s="2">
        <f t="shared" si="6"/>
        <v>496501.60044447047</v>
      </c>
    </row>
    <row r="11" spans="2:161" s="3" customFormat="1" x14ac:dyDescent="0.25">
      <c r="B11" s="3" t="s">
        <v>6</v>
      </c>
      <c r="D11" s="3">
        <f>+D7-SUM(D8:D10)</f>
        <v>0</v>
      </c>
      <c r="E11" s="3">
        <f>+E7-SUM(E8:E10)</f>
        <v>0</v>
      </c>
      <c r="F11" s="3">
        <f>+F7-SUM(F8:F10)</f>
        <v>1910956</v>
      </c>
      <c r="G11" s="3">
        <f t="shared" ref="G11:Q11" si="7">+G7-SUM(G8:G10)</f>
        <v>4151914</v>
      </c>
      <c r="H11" s="3">
        <f t="shared" si="7"/>
        <v>5089955.1279000007</v>
      </c>
      <c r="I11" s="3">
        <f t="shared" si="7"/>
        <v>5878110.9610850001</v>
      </c>
      <c r="J11" s="3">
        <f t="shared" si="7"/>
        <v>6362828.5421851333</v>
      </c>
      <c r="K11" s="3">
        <f t="shared" si="7"/>
        <v>6690495.1995681683</v>
      </c>
      <c r="L11" s="3">
        <f t="shared" si="7"/>
        <v>6965989.197910551</v>
      </c>
      <c r="M11" s="3">
        <f t="shared" si="7"/>
        <v>7252712.93459622</v>
      </c>
      <c r="N11" s="3">
        <f t="shared" si="7"/>
        <v>7551121.1985831624</v>
      </c>
      <c r="O11" s="3">
        <f t="shared" si="7"/>
        <v>7861687.1197056659</v>
      </c>
      <c r="P11" s="3">
        <f t="shared" si="7"/>
        <v>8184902.9062911822</v>
      </c>
      <c r="Q11" s="3">
        <f t="shared" si="7"/>
        <v>8521280.6123880446</v>
      </c>
    </row>
    <row r="12" spans="2:161" s="2" customFormat="1" x14ac:dyDescent="0.25">
      <c r="B12" s="2" t="s">
        <v>7</v>
      </c>
      <c r="F12" s="2">
        <v>317209</v>
      </c>
      <c r="G12" s="2">
        <v>207016</v>
      </c>
      <c r="H12" s="2">
        <f>+G12*0.98</f>
        <v>202875.68</v>
      </c>
      <c r="I12" s="2">
        <f t="shared" ref="I12:Q12" si="8">+H12*0.98</f>
        <v>198818.16639999999</v>
      </c>
      <c r="J12" s="2">
        <f t="shared" si="8"/>
        <v>194841.80307199998</v>
      </c>
      <c r="K12" s="2">
        <f t="shared" si="8"/>
        <v>190944.96701055998</v>
      </c>
      <c r="L12" s="2">
        <f t="shared" si="8"/>
        <v>187126.06767034877</v>
      </c>
      <c r="M12" s="2">
        <f t="shared" si="8"/>
        <v>183383.54631694179</v>
      </c>
      <c r="N12" s="2">
        <f t="shared" si="8"/>
        <v>179715.87539060295</v>
      </c>
      <c r="O12" s="2">
        <f t="shared" si="8"/>
        <v>176121.55788279089</v>
      </c>
      <c r="P12" s="2">
        <f t="shared" si="8"/>
        <v>172599.12672513508</v>
      </c>
      <c r="Q12" s="2">
        <f t="shared" si="8"/>
        <v>169147.14419063239</v>
      </c>
    </row>
    <row r="13" spans="2:161" s="2" customFormat="1" x14ac:dyDescent="0.25">
      <c r="B13" s="2" t="s">
        <v>8</v>
      </c>
      <c r="F13" s="2">
        <v>18196</v>
      </c>
      <c r="G13" s="2">
        <v>8012</v>
      </c>
      <c r="H13" s="2">
        <v>5000</v>
      </c>
      <c r="I13" s="2">
        <v>5000</v>
      </c>
      <c r="J13" s="2">
        <v>5000</v>
      </c>
      <c r="K13" s="2">
        <v>5000</v>
      </c>
      <c r="L13" s="2">
        <v>5000</v>
      </c>
      <c r="M13" s="2">
        <v>5000</v>
      </c>
      <c r="N13" s="2">
        <v>5000</v>
      </c>
      <c r="O13" s="2">
        <v>5000</v>
      </c>
      <c r="P13" s="2">
        <v>5000</v>
      </c>
      <c r="Q13" s="2">
        <v>5000</v>
      </c>
    </row>
    <row r="14" spans="2:161" s="2" customFormat="1" x14ac:dyDescent="0.25">
      <c r="B14" s="2" t="s">
        <v>9</v>
      </c>
      <c r="D14" s="2">
        <f>+D11-D12+D13</f>
        <v>0</v>
      </c>
      <c r="E14" s="2">
        <f>+E11-E12+E13</f>
        <v>0</v>
      </c>
      <c r="F14" s="2">
        <f>+F11-F12+F13</f>
        <v>1611943</v>
      </c>
      <c r="G14" s="2">
        <f t="shared" ref="G14:Q14" si="9">+G11-G12+G13</f>
        <v>3952910</v>
      </c>
      <c r="H14" s="2">
        <f t="shared" si="9"/>
        <v>4892079.447900001</v>
      </c>
      <c r="I14" s="2">
        <f t="shared" si="9"/>
        <v>5684292.7946850006</v>
      </c>
      <c r="J14" s="2">
        <f t="shared" si="9"/>
        <v>6172986.7391131334</v>
      </c>
      <c r="K14" s="2">
        <f t="shared" si="9"/>
        <v>6504550.2325576078</v>
      </c>
      <c r="L14" s="2">
        <f t="shared" si="9"/>
        <v>6783863.130240202</v>
      </c>
      <c r="M14" s="2">
        <f t="shared" si="9"/>
        <v>7074329.3882792778</v>
      </c>
      <c r="N14" s="2">
        <f t="shared" si="9"/>
        <v>7376405.3231925592</v>
      </c>
      <c r="O14" s="2">
        <f t="shared" si="9"/>
        <v>7690565.5618228754</v>
      </c>
      <c r="P14" s="2">
        <f t="shared" si="9"/>
        <v>8017303.7795660468</v>
      </c>
      <c r="Q14" s="2">
        <f t="shared" si="9"/>
        <v>8357133.4681974119</v>
      </c>
    </row>
    <row r="15" spans="2:161" s="2" customFormat="1" x14ac:dyDescent="0.25">
      <c r="B15" s="2" t="s">
        <v>10</v>
      </c>
      <c r="F15" s="2">
        <v>22419</v>
      </c>
      <c r="G15" s="2">
        <v>519715</v>
      </c>
      <c r="H15" s="2">
        <f>+H14*0.21</f>
        <v>1027336.6840590001</v>
      </c>
      <c r="I15" s="2">
        <f t="shared" ref="I15:Q15" si="10">+I14*0.21</f>
        <v>1193701.4868838501</v>
      </c>
      <c r="J15" s="2">
        <f t="shared" si="10"/>
        <v>1296327.2152137579</v>
      </c>
      <c r="K15" s="2">
        <f t="shared" si="10"/>
        <v>1365955.5488370976</v>
      </c>
      <c r="L15" s="2">
        <f t="shared" si="10"/>
        <v>1424611.2573504425</v>
      </c>
      <c r="M15" s="2">
        <f t="shared" si="10"/>
        <v>1485609.1715386482</v>
      </c>
      <c r="N15" s="2">
        <f t="shared" si="10"/>
        <v>1549045.1178704374</v>
      </c>
      <c r="O15" s="2">
        <f t="shared" si="10"/>
        <v>1615018.7679828038</v>
      </c>
      <c r="P15" s="2">
        <f t="shared" si="10"/>
        <v>1683633.7937088697</v>
      </c>
      <c r="Q15" s="2">
        <f t="shared" si="10"/>
        <v>1754998.0283214564</v>
      </c>
    </row>
    <row r="16" spans="2:161" s="2" customFormat="1" x14ac:dyDescent="0.25">
      <c r="B16" s="2" t="s">
        <v>11</v>
      </c>
      <c r="D16" s="2">
        <f>+D14-D15</f>
        <v>0</v>
      </c>
      <c r="E16" s="2">
        <f>+E14-E15</f>
        <v>0</v>
      </c>
      <c r="F16" s="2">
        <f>+F14-F15</f>
        <v>1589524</v>
      </c>
      <c r="G16" s="2">
        <f t="shared" ref="G16:Q16" si="11">+G14-G15</f>
        <v>3433195</v>
      </c>
      <c r="H16" s="2">
        <f t="shared" si="11"/>
        <v>3864742.7638410009</v>
      </c>
      <c r="I16" s="2">
        <f t="shared" si="11"/>
        <v>4490591.3078011507</v>
      </c>
      <c r="J16" s="2">
        <f t="shared" si="11"/>
        <v>4876659.5238993755</v>
      </c>
      <c r="K16" s="2">
        <f t="shared" si="11"/>
        <v>5138594.6837205105</v>
      </c>
      <c r="L16" s="2">
        <f t="shared" si="11"/>
        <v>5359251.872889759</v>
      </c>
      <c r="M16" s="2">
        <f t="shared" si="11"/>
        <v>5588720.2167406296</v>
      </c>
      <c r="N16" s="2">
        <f t="shared" si="11"/>
        <v>5827360.2053221222</v>
      </c>
      <c r="O16" s="2">
        <f t="shared" si="11"/>
        <v>6075546.7938400712</v>
      </c>
      <c r="P16" s="2">
        <f t="shared" si="11"/>
        <v>6333669.9858571775</v>
      </c>
      <c r="Q16" s="2">
        <f t="shared" si="11"/>
        <v>6602135.4398759557</v>
      </c>
      <c r="R16" s="2">
        <f>+Q16*(1+$T21)</f>
        <v>6800199.5030722348</v>
      </c>
      <c r="S16" s="2">
        <f t="shared" ref="S16:CD16" si="12">+R16*(1+$T21)</f>
        <v>7004205.4881644016</v>
      </c>
      <c r="T16" s="2">
        <f t="shared" si="12"/>
        <v>7214331.652809334</v>
      </c>
      <c r="U16" s="2">
        <f t="shared" si="12"/>
        <v>7430761.6023936141</v>
      </c>
      <c r="V16" s="2">
        <f t="shared" si="12"/>
        <v>7653684.4504654231</v>
      </c>
      <c r="W16" s="2">
        <f t="shared" si="12"/>
        <v>7883294.9839793863</v>
      </c>
      <c r="X16" s="2">
        <f t="shared" si="12"/>
        <v>8119793.8334987685</v>
      </c>
      <c r="Y16" s="2">
        <f t="shared" si="12"/>
        <v>8363387.6485037319</v>
      </c>
      <c r="Z16" s="2">
        <f t="shared" si="12"/>
        <v>8614289.2779588439</v>
      </c>
      <c r="AA16" s="2">
        <f t="shared" si="12"/>
        <v>8872717.95629761</v>
      </c>
      <c r="AB16" s="2">
        <f t="shared" si="12"/>
        <v>9138899.4949865378</v>
      </c>
      <c r="AC16" s="2">
        <f t="shared" si="12"/>
        <v>9413066.4798361342</v>
      </c>
      <c r="AD16" s="2">
        <f t="shared" si="12"/>
        <v>9695458.4742312189</v>
      </c>
      <c r="AE16" s="2">
        <f t="shared" si="12"/>
        <v>9986322.2284581549</v>
      </c>
      <c r="AF16" s="2">
        <f t="shared" si="12"/>
        <v>10285911.895311899</v>
      </c>
      <c r="AG16" s="2">
        <f t="shared" si="12"/>
        <v>10594489.252171258</v>
      </c>
      <c r="AH16" s="2">
        <f t="shared" si="12"/>
        <v>10912323.929736396</v>
      </c>
      <c r="AI16" s="2">
        <f t="shared" si="12"/>
        <v>11239693.647628488</v>
      </c>
      <c r="AJ16" s="2">
        <f t="shared" si="12"/>
        <v>11576884.457057344</v>
      </c>
      <c r="AK16" s="2">
        <f t="shared" si="12"/>
        <v>11924190.990769064</v>
      </c>
      <c r="AL16" s="2">
        <f t="shared" si="12"/>
        <v>12281916.720492136</v>
      </c>
      <c r="AM16" s="2">
        <f t="shared" si="12"/>
        <v>12650374.2221069</v>
      </c>
      <c r="AN16" s="2">
        <f t="shared" si="12"/>
        <v>13029885.448770108</v>
      </c>
      <c r="AO16" s="2">
        <f t="shared" si="12"/>
        <v>13420782.012233211</v>
      </c>
      <c r="AP16" s="2">
        <f t="shared" si="12"/>
        <v>13823405.472600207</v>
      </c>
      <c r="AQ16" s="2">
        <f t="shared" si="12"/>
        <v>14238107.636778213</v>
      </c>
      <c r="AR16" s="2">
        <f t="shared" si="12"/>
        <v>14665250.86588156</v>
      </c>
      <c r="AS16" s="2">
        <f t="shared" si="12"/>
        <v>15105208.391858008</v>
      </c>
      <c r="AT16" s="2">
        <f t="shared" si="12"/>
        <v>15558364.643613748</v>
      </c>
      <c r="AU16" s="2">
        <f t="shared" si="12"/>
        <v>16025115.582922161</v>
      </c>
      <c r="AV16" s="2">
        <f t="shared" si="12"/>
        <v>16505869.050409826</v>
      </c>
      <c r="AW16" s="2">
        <f t="shared" si="12"/>
        <v>17001045.12192212</v>
      </c>
      <c r="AX16" s="2">
        <f t="shared" si="12"/>
        <v>17511076.475579783</v>
      </c>
      <c r="AY16" s="2">
        <f t="shared" si="12"/>
        <v>18036408.769847177</v>
      </c>
      <c r="AZ16" s="2">
        <f t="shared" si="12"/>
        <v>18577501.032942593</v>
      </c>
      <c r="BA16" s="2">
        <f t="shared" si="12"/>
        <v>19134826.063930873</v>
      </c>
      <c r="BB16" s="2">
        <f t="shared" si="12"/>
        <v>19708870.845848799</v>
      </c>
      <c r="BC16" s="2">
        <f t="shared" si="12"/>
        <v>20300136.971224263</v>
      </c>
      <c r="BD16" s="2">
        <f t="shared" si="12"/>
        <v>20909141.08036099</v>
      </c>
      <c r="BE16" s="2">
        <f t="shared" si="12"/>
        <v>21536415.31277182</v>
      </c>
      <c r="BF16" s="2">
        <f t="shared" si="12"/>
        <v>22182507.772154976</v>
      </c>
      <c r="BG16" s="2">
        <f t="shared" si="12"/>
        <v>22847983.005319625</v>
      </c>
      <c r="BH16" s="2">
        <f t="shared" si="12"/>
        <v>23533422.495479215</v>
      </c>
      <c r="BI16" s="2">
        <f t="shared" si="12"/>
        <v>24239425.170343593</v>
      </c>
      <c r="BJ16" s="2">
        <f t="shared" si="12"/>
        <v>24966607.925453901</v>
      </c>
      <c r="BK16" s="2">
        <f t="shared" si="12"/>
        <v>25715606.163217518</v>
      </c>
      <c r="BL16" s="2">
        <f t="shared" si="12"/>
        <v>26487074.348114043</v>
      </c>
      <c r="BM16" s="2">
        <f t="shared" si="12"/>
        <v>27281686.578557465</v>
      </c>
      <c r="BN16" s="2">
        <f t="shared" si="12"/>
        <v>28100137.175914191</v>
      </c>
      <c r="BO16" s="2">
        <f t="shared" si="12"/>
        <v>28943141.291191619</v>
      </c>
      <c r="BP16" s="2">
        <f t="shared" si="12"/>
        <v>29811435.529927369</v>
      </c>
      <c r="BQ16" s="2">
        <f t="shared" si="12"/>
        <v>30705778.595825192</v>
      </c>
      <c r="BR16" s="2">
        <f t="shared" si="12"/>
        <v>31626951.953699946</v>
      </c>
      <c r="BS16" s="2">
        <f t="shared" si="12"/>
        <v>32575760.512310944</v>
      </c>
      <c r="BT16" s="2">
        <f t="shared" si="12"/>
        <v>33553033.327680275</v>
      </c>
      <c r="BU16" s="2">
        <f t="shared" si="12"/>
        <v>34559624.327510685</v>
      </c>
      <c r="BV16" s="2">
        <f t="shared" si="12"/>
        <v>35596413.057336003</v>
      </c>
      <c r="BW16" s="2">
        <f t="shared" si="12"/>
        <v>36664305.449056081</v>
      </c>
      <c r="BX16" s="2">
        <f t="shared" si="12"/>
        <v>37764234.612527765</v>
      </c>
      <c r="BY16" s="2">
        <f t="shared" si="12"/>
        <v>38897161.650903597</v>
      </c>
      <c r="BZ16" s="2">
        <f t="shared" si="12"/>
        <v>40064076.500430703</v>
      </c>
      <c r="CA16" s="2">
        <f t="shared" si="12"/>
        <v>41265998.795443624</v>
      </c>
      <c r="CB16" s="2">
        <f t="shared" si="12"/>
        <v>42503978.759306937</v>
      </c>
      <c r="CC16" s="2">
        <f t="shared" si="12"/>
        <v>43779098.122086145</v>
      </c>
      <c r="CD16" s="2">
        <f t="shared" si="12"/>
        <v>45092471.065748729</v>
      </c>
      <c r="CE16" s="2">
        <f t="shared" ref="CE16:EP16" si="13">+CD16*(1+$T21)</f>
        <v>46445245.197721191</v>
      </c>
      <c r="CF16" s="2">
        <f t="shared" si="13"/>
        <v>47838602.55365283</v>
      </c>
      <c r="CG16" s="2">
        <f t="shared" si="13"/>
        <v>49273760.63026242</v>
      </c>
      <c r="CH16" s="2">
        <f t="shared" si="13"/>
        <v>50751973.449170291</v>
      </c>
      <c r="CI16" s="2">
        <f t="shared" si="13"/>
        <v>52274532.652645402</v>
      </c>
      <c r="CJ16" s="2">
        <f t="shared" si="13"/>
        <v>53842768.632224768</v>
      </c>
      <c r="CK16" s="2">
        <f t="shared" si="13"/>
        <v>55458051.691191509</v>
      </c>
      <c r="CL16" s="2">
        <f t="shared" si="13"/>
        <v>57121793.241927259</v>
      </c>
      <c r="CM16" s="2">
        <f t="shared" si="13"/>
        <v>58835447.039185077</v>
      </c>
      <c r="CN16" s="2">
        <f t="shared" si="13"/>
        <v>60600510.450360633</v>
      </c>
      <c r="CO16" s="2">
        <f t="shared" si="13"/>
        <v>62418525.763871454</v>
      </c>
      <c r="CP16" s="2">
        <f t="shared" si="13"/>
        <v>64291081.536787599</v>
      </c>
      <c r="CQ16" s="2">
        <f t="shared" si="13"/>
        <v>66219813.982891232</v>
      </c>
      <c r="CR16" s="2">
        <f t="shared" si="13"/>
        <v>68206408.402377963</v>
      </c>
      <c r="CS16" s="2">
        <f t="shared" si="13"/>
        <v>70252600.654449299</v>
      </c>
      <c r="CT16" s="2">
        <f t="shared" si="13"/>
        <v>72360178.674082786</v>
      </c>
      <c r="CU16" s="2">
        <f t="shared" si="13"/>
        <v>74530984.034305274</v>
      </c>
      <c r="CV16" s="2">
        <f t="shared" si="13"/>
        <v>76766913.555334434</v>
      </c>
      <c r="CW16" s="2">
        <f t="shared" si="13"/>
        <v>79069920.961994469</v>
      </c>
      <c r="CX16" s="2">
        <f t="shared" si="13"/>
        <v>81442018.590854302</v>
      </c>
      <c r="CY16" s="2">
        <f t="shared" si="13"/>
        <v>83885279.14857994</v>
      </c>
      <c r="CZ16" s="2">
        <f t="shared" si="13"/>
        <v>86401837.523037344</v>
      </c>
      <c r="DA16" s="2">
        <f t="shared" si="13"/>
        <v>88993892.64872846</v>
      </c>
      <c r="DB16" s="2">
        <f t="shared" si="13"/>
        <v>91663709.428190321</v>
      </c>
      <c r="DC16" s="2">
        <f t="shared" si="13"/>
        <v>94413620.711036026</v>
      </c>
      <c r="DD16" s="2">
        <f t="shared" si="13"/>
        <v>97246029.332367107</v>
      </c>
      <c r="DE16" s="2">
        <f t="shared" si="13"/>
        <v>100163410.21233812</v>
      </c>
      <c r="DF16" s="2">
        <f t="shared" si="13"/>
        <v>103168312.51870826</v>
      </c>
      <c r="DG16" s="2">
        <f t="shared" si="13"/>
        <v>106263361.89426951</v>
      </c>
      <c r="DH16" s="2">
        <f t="shared" si="13"/>
        <v>109451262.7510976</v>
      </c>
      <c r="DI16" s="2">
        <f t="shared" si="13"/>
        <v>112734800.63363053</v>
      </c>
      <c r="DJ16" s="2">
        <f t="shared" si="13"/>
        <v>116116844.65263945</v>
      </c>
      <c r="DK16" s="2">
        <f t="shared" si="13"/>
        <v>119600349.99221863</v>
      </c>
      <c r="DL16" s="2">
        <f t="shared" si="13"/>
        <v>123188360.49198519</v>
      </c>
      <c r="DM16" s="2">
        <f t="shared" si="13"/>
        <v>126884011.30674474</v>
      </c>
      <c r="DN16" s="2">
        <f t="shared" si="13"/>
        <v>130690531.64594708</v>
      </c>
      <c r="DO16" s="2">
        <f t="shared" si="13"/>
        <v>134611247.5953255</v>
      </c>
      <c r="DP16" s="2">
        <f t="shared" si="13"/>
        <v>138649585.02318528</v>
      </c>
      <c r="DQ16" s="2">
        <f t="shared" si="13"/>
        <v>142809072.57388085</v>
      </c>
      <c r="DR16" s="2">
        <f t="shared" si="13"/>
        <v>147093344.75109729</v>
      </c>
      <c r="DS16" s="2">
        <f t="shared" si="13"/>
        <v>151506145.09363022</v>
      </c>
      <c r="DT16" s="2">
        <f t="shared" si="13"/>
        <v>156051329.44643915</v>
      </c>
      <c r="DU16" s="2">
        <f t="shared" si="13"/>
        <v>160732869.32983232</v>
      </c>
      <c r="DV16" s="2">
        <f t="shared" si="13"/>
        <v>165554855.40972728</v>
      </c>
      <c r="DW16" s="2">
        <f t="shared" si="13"/>
        <v>170521501.0720191</v>
      </c>
      <c r="DX16" s="2">
        <f t="shared" si="13"/>
        <v>175637146.10417968</v>
      </c>
      <c r="DY16" s="2">
        <f t="shared" si="13"/>
        <v>180906260.48730507</v>
      </c>
      <c r="DZ16" s="2">
        <f t="shared" si="13"/>
        <v>186333448.30192423</v>
      </c>
      <c r="EA16" s="2">
        <f t="shared" si="13"/>
        <v>191923451.75098196</v>
      </c>
      <c r="EB16" s="2">
        <f t="shared" si="13"/>
        <v>197681155.30351141</v>
      </c>
      <c r="EC16" s="2">
        <f t="shared" si="13"/>
        <v>203611589.96261677</v>
      </c>
      <c r="ED16" s="2">
        <f t="shared" si="13"/>
        <v>209719937.66149527</v>
      </c>
      <c r="EE16" s="2">
        <f t="shared" si="13"/>
        <v>216011535.79134014</v>
      </c>
      <c r="EF16" s="2">
        <f t="shared" si="13"/>
        <v>222491881.86508036</v>
      </c>
      <c r="EG16" s="2">
        <f t="shared" si="13"/>
        <v>229166638.32103276</v>
      </c>
      <c r="EH16" s="2">
        <f t="shared" si="13"/>
        <v>236041637.47066376</v>
      </c>
      <c r="EI16" s="2">
        <f t="shared" si="13"/>
        <v>243122886.59478366</v>
      </c>
      <c r="EJ16" s="2">
        <f t="shared" si="13"/>
        <v>250416573.19262719</v>
      </c>
      <c r="EK16" s="2">
        <f t="shared" si="13"/>
        <v>257929070.38840601</v>
      </c>
      <c r="EL16" s="2">
        <f t="shared" si="13"/>
        <v>265666942.5000582</v>
      </c>
      <c r="EM16" s="2">
        <f t="shared" si="13"/>
        <v>273636950.77505994</v>
      </c>
      <c r="EN16" s="2">
        <f t="shared" si="13"/>
        <v>281846059.29831177</v>
      </c>
      <c r="EO16" s="2">
        <f t="shared" si="13"/>
        <v>290301441.07726115</v>
      </c>
      <c r="EP16" s="2">
        <f t="shared" si="13"/>
        <v>299010484.30957901</v>
      </c>
      <c r="EQ16" s="2">
        <f t="shared" ref="EQ16:FE16" si="14">+EP16*(1+$T21)</f>
        <v>307980798.83886641</v>
      </c>
      <c r="ER16" s="2">
        <f t="shared" si="14"/>
        <v>317220222.80403239</v>
      </c>
      <c r="ES16" s="2">
        <f t="shared" si="14"/>
        <v>326736829.48815334</v>
      </c>
      <c r="ET16" s="2">
        <f t="shared" si="14"/>
        <v>336538934.37279797</v>
      </c>
      <c r="EU16" s="2">
        <f t="shared" si="14"/>
        <v>346635102.40398192</v>
      </c>
      <c r="EV16" s="2">
        <f t="shared" si="14"/>
        <v>357034155.4761014</v>
      </c>
      <c r="EW16" s="2">
        <f t="shared" si="14"/>
        <v>367745180.14038444</v>
      </c>
      <c r="EX16" s="2">
        <f t="shared" si="14"/>
        <v>378777535.54459596</v>
      </c>
      <c r="EY16" s="2">
        <f t="shared" si="14"/>
        <v>390140861.61093384</v>
      </c>
      <c r="EZ16" s="2">
        <f t="shared" si="14"/>
        <v>401845087.45926189</v>
      </c>
      <c r="FA16" s="2">
        <f t="shared" si="14"/>
        <v>413900440.08303976</v>
      </c>
      <c r="FB16" s="2">
        <f t="shared" si="14"/>
        <v>426317453.28553098</v>
      </c>
      <c r="FC16" s="2">
        <f t="shared" si="14"/>
        <v>439106976.88409692</v>
      </c>
      <c r="FD16" s="2">
        <f t="shared" si="14"/>
        <v>452280186.19061983</v>
      </c>
      <c r="FE16" s="2">
        <f t="shared" si="14"/>
        <v>465848591.77633846</v>
      </c>
    </row>
    <row r="17" spans="2:20" s="5" customFormat="1" x14ac:dyDescent="0.25">
      <c r="B17" s="5" t="s">
        <v>15</v>
      </c>
      <c r="F17" s="5">
        <f>+F16/F18</f>
        <v>4.5701191461956023</v>
      </c>
      <c r="G17" s="5">
        <f>+G16/G18</f>
        <v>10.039462525952569</v>
      </c>
      <c r="H17" s="5">
        <f>+H16/H18</f>
        <v>11.301408789779808</v>
      </c>
      <c r="I17" s="5">
        <f t="shared" ref="I17:Q17" si="15">+I16/I18</f>
        <v>13.131535830046936</v>
      </c>
      <c r="J17" s="5">
        <f t="shared" si="15"/>
        <v>14.260489294088298</v>
      </c>
      <c r="K17" s="5">
        <f t="shared" si="15"/>
        <v>15.026448763694214</v>
      </c>
      <c r="L17" s="5">
        <f t="shared" si="15"/>
        <v>15.671701824399097</v>
      </c>
      <c r="M17" s="5">
        <f t="shared" si="15"/>
        <v>16.342720755448227</v>
      </c>
      <c r="N17" s="5">
        <f t="shared" si="15"/>
        <v>17.040559713782269</v>
      </c>
      <c r="O17" s="5">
        <f t="shared" si="15"/>
        <v>17.76631515583259</v>
      </c>
      <c r="P17" s="5">
        <f t="shared" si="15"/>
        <v>18.52112754293411</v>
      </c>
      <c r="Q17" s="5">
        <f t="shared" si="15"/>
        <v>19.306183115115232</v>
      </c>
    </row>
    <row r="18" spans="2:20" s="2" customFormat="1" x14ac:dyDescent="0.25">
      <c r="B18" s="2" t="s">
        <v>14</v>
      </c>
      <c r="F18" s="2">
        <v>347808</v>
      </c>
      <c r="G18" s="2">
        <v>341970</v>
      </c>
      <c r="H18" s="2">
        <v>341970</v>
      </c>
      <c r="I18" s="2">
        <v>341970</v>
      </c>
      <c r="J18" s="2">
        <v>341970</v>
      </c>
      <c r="K18" s="2">
        <v>341970</v>
      </c>
      <c r="L18" s="2">
        <v>341970</v>
      </c>
      <c r="M18" s="2">
        <v>341970</v>
      </c>
      <c r="N18" s="2">
        <v>341970</v>
      </c>
      <c r="O18" s="2">
        <v>341970</v>
      </c>
      <c r="P18" s="2">
        <v>341970</v>
      </c>
      <c r="Q18" s="2">
        <v>341970</v>
      </c>
    </row>
    <row r="19" spans="2:20" s="2" customFormat="1" x14ac:dyDescent="0.25">
      <c r="F19" s="9"/>
      <c r="G19" s="9"/>
    </row>
    <row r="20" spans="2:20" s="4" customFormat="1" x14ac:dyDescent="0.25">
      <c r="B20" s="4" t="s">
        <v>12</v>
      </c>
      <c r="F20" s="4">
        <f>+F7/F5</f>
        <v>0.83852244593614633</v>
      </c>
      <c r="G20" s="4">
        <f>+G7/G5</f>
        <v>0.87863996626718732</v>
      </c>
      <c r="H20" s="4">
        <f>+H7/H5</f>
        <v>0.88</v>
      </c>
      <c r="I20" s="4">
        <f t="shared" ref="I20:Q20" si="16">+I7/I5</f>
        <v>0.88</v>
      </c>
      <c r="J20" s="4">
        <f t="shared" si="16"/>
        <v>0.88</v>
      </c>
      <c r="K20" s="4">
        <f t="shared" si="16"/>
        <v>0.88</v>
      </c>
      <c r="L20" s="4">
        <f t="shared" si="16"/>
        <v>0.88</v>
      </c>
      <c r="M20" s="4">
        <f t="shared" si="16"/>
        <v>0.88</v>
      </c>
      <c r="N20" s="4">
        <f t="shared" si="16"/>
        <v>0.87999999999999989</v>
      </c>
      <c r="O20" s="4">
        <f t="shared" si="16"/>
        <v>0.88</v>
      </c>
      <c r="P20" s="4">
        <f t="shared" si="16"/>
        <v>0.88</v>
      </c>
      <c r="Q20" s="4">
        <f t="shared" si="16"/>
        <v>0.88</v>
      </c>
      <c r="S20" s="4" t="s">
        <v>33</v>
      </c>
      <c r="T20" s="4">
        <v>0.1</v>
      </c>
    </row>
    <row r="21" spans="2:20" s="4" customFormat="1" x14ac:dyDescent="0.25">
      <c r="B21" s="4" t="s">
        <v>13</v>
      </c>
      <c r="F21" s="4">
        <f>+F11/F5</f>
        <v>0.59271762480699786</v>
      </c>
      <c r="G21" s="4">
        <f>+G11/G5</f>
        <v>0.75754942282186799</v>
      </c>
      <c r="H21" s="4">
        <f>+H11/H5</f>
        <v>0.7612314898089334</v>
      </c>
      <c r="I21" s="4">
        <f t="shared" ref="I21:Q21" si="17">+I11/I5</f>
        <v>0.76443881633897981</v>
      </c>
      <c r="J21" s="4">
        <f t="shared" si="17"/>
        <v>0.76618106778739992</v>
      </c>
      <c r="K21" s="4">
        <f t="shared" si="17"/>
        <v>0.76727343179077456</v>
      </c>
      <c r="L21" s="4">
        <f t="shared" si="17"/>
        <v>0.76814172112679024</v>
      </c>
      <c r="M21" s="4">
        <f t="shared" si="17"/>
        <v>0.76899887854824156</v>
      </c>
      <c r="N21" s="4">
        <f t="shared" si="17"/>
        <v>0.76984504677198207</v>
      </c>
      <c r="O21" s="4">
        <f t="shared" si="17"/>
        <v>0.77068036668516182</v>
      </c>
      <c r="P21" s="4">
        <f t="shared" si="17"/>
        <v>0.77150497736868551</v>
      </c>
      <c r="Q21" s="4">
        <f t="shared" si="17"/>
        <v>0.77231901612036902</v>
      </c>
      <c r="S21" s="4" t="s">
        <v>34</v>
      </c>
      <c r="T21" s="4">
        <v>0.03</v>
      </c>
    </row>
    <row r="22" spans="2:20" s="4" customFormat="1" x14ac:dyDescent="0.25">
      <c r="B22" s="4" t="s">
        <v>28</v>
      </c>
      <c r="G22" s="4">
        <f>+G5/F5 -1</f>
        <v>0.69994367346989406</v>
      </c>
      <c r="H22" s="4">
        <v>0.22</v>
      </c>
      <c r="I22" s="4">
        <v>0.15</v>
      </c>
      <c r="J22" s="4">
        <v>0.08</v>
      </c>
      <c r="K22" s="4">
        <v>0.05</v>
      </c>
      <c r="L22" s="4">
        <v>0.04</v>
      </c>
      <c r="M22" s="4">
        <v>0.04</v>
      </c>
      <c r="N22" s="4">
        <v>0.04</v>
      </c>
      <c r="O22" s="4">
        <v>0.04</v>
      </c>
      <c r="P22" s="4">
        <v>0.04</v>
      </c>
      <c r="Q22" s="4">
        <v>0.04</v>
      </c>
      <c r="S22" s="4" t="s">
        <v>35</v>
      </c>
      <c r="T22" s="10">
        <f>NPV(T20,H16:FE16)</f>
        <v>69387760.826410815</v>
      </c>
    </row>
    <row r="23" spans="2:20" s="2" customFormat="1" x14ac:dyDescent="0.25">
      <c r="S23" s="2" t="s">
        <v>36</v>
      </c>
      <c r="T23" s="2">
        <f>+T22+Main!C5</f>
        <v>68361869.826410815</v>
      </c>
    </row>
    <row r="24" spans="2:20" s="2" customFormat="1" x14ac:dyDescent="0.25">
      <c r="B24" s="2" t="s">
        <v>19</v>
      </c>
      <c r="F24" s="2">
        <v>448680</v>
      </c>
      <c r="G24" s="2">
        <v>194778</v>
      </c>
      <c r="S24" s="2" t="s">
        <v>22</v>
      </c>
      <c r="T24" s="2">
        <f>+T23/Q18</f>
        <v>199.90604388224352</v>
      </c>
    </row>
    <row r="25" spans="2:20" s="2" customFormat="1" x14ac:dyDescent="0.25">
      <c r="B25" s="2" t="s">
        <v>20</v>
      </c>
      <c r="F25" s="2">
        <v>369367</v>
      </c>
      <c r="G25" s="2">
        <v>210421</v>
      </c>
    </row>
    <row r="26" spans="2:20" s="2" customFormat="1" x14ac:dyDescent="0.25">
      <c r="B26" s="2" t="s">
        <v>16</v>
      </c>
      <c r="F26" s="2">
        <v>2099011</v>
      </c>
      <c r="G26" s="2">
        <v>3971094</v>
      </c>
    </row>
    <row r="27" spans="2:20" s="2" customFormat="1" x14ac:dyDescent="0.25">
      <c r="B27" s="2" t="s">
        <v>17</v>
      </c>
      <c r="F27" s="2">
        <v>25553</v>
      </c>
      <c r="G27" s="2">
        <v>28318</v>
      </c>
    </row>
    <row r="28" spans="2:20" s="2" customFormat="1" x14ac:dyDescent="0.25">
      <c r="B28" s="2" t="s">
        <v>18</v>
      </c>
      <c r="F28" s="2">
        <f>+F26-F27</f>
        <v>2073458</v>
      </c>
      <c r="G28" s="2">
        <f>+G26-G27</f>
        <v>3942776</v>
      </c>
    </row>
    <row r="29" spans="2:20" s="2" customFormat="1" x14ac:dyDescent="0.25">
      <c r="B29" s="2" t="s">
        <v>21</v>
      </c>
      <c r="F29" s="2">
        <f>+F28-F25</f>
        <v>1704091</v>
      </c>
      <c r="G29" s="2">
        <f>+G28-G25</f>
        <v>3732355</v>
      </c>
    </row>
    <row r="30" spans="2:20" s="2" customFormat="1" x14ac:dyDescent="0.25"/>
    <row r="31" spans="2:20" s="4" customFormat="1" x14ac:dyDescent="0.25">
      <c r="B31" s="4" t="s">
        <v>3</v>
      </c>
      <c r="F31" s="4">
        <f>+F8/F$5</f>
        <v>7.8430040650633456E-2</v>
      </c>
      <c r="G31" s="4">
        <f>+G8/G$5</f>
        <v>3.7157729545240159E-2</v>
      </c>
    </row>
    <row r="32" spans="2:20" s="4" customFormat="1" x14ac:dyDescent="0.25">
      <c r="B32" s="4" t="s">
        <v>4</v>
      </c>
      <c r="F32" s="4">
        <f t="shared" ref="F32:G33" si="18">+F9/F$5</f>
        <v>0.11622309524208312</v>
      </c>
      <c r="G32" s="4">
        <f t="shared" si="18"/>
        <v>4.1328534204557545E-2</v>
      </c>
    </row>
    <row r="33" spans="2:7" s="4" customFormat="1" x14ac:dyDescent="0.25">
      <c r="B33" s="4" t="s">
        <v>5</v>
      </c>
      <c r="F33" s="8">
        <f t="shared" si="18"/>
        <v>5.1151685236431849E-2</v>
      </c>
      <c r="G33" s="8">
        <f t="shared" si="18"/>
        <v>4.2604279695521587E-2</v>
      </c>
    </row>
    <row r="34" spans="2:7" s="2" customFormat="1" x14ac:dyDescent="0.25"/>
    <row r="35" spans="2:7" s="2" customFormat="1" x14ac:dyDescent="0.25">
      <c r="B35" s="2" t="s">
        <v>29</v>
      </c>
      <c r="F35" s="2">
        <v>697030</v>
      </c>
      <c r="G35" s="2">
        <v>2487096</v>
      </c>
    </row>
    <row r="36" spans="2:7" s="2" customFormat="1" x14ac:dyDescent="0.25">
      <c r="B36" s="2" t="s">
        <v>30</v>
      </c>
      <c r="F36" s="2">
        <v>3508983</v>
      </c>
      <c r="G36" s="2">
        <v>3512987</v>
      </c>
    </row>
    <row r="37" spans="2:7" s="2" customFormat="1" x14ac:dyDescent="0.25">
      <c r="B37" s="2" t="s">
        <v>31</v>
      </c>
      <c r="F37" s="2">
        <f>+F36-F35</f>
        <v>2811953</v>
      </c>
      <c r="G37" s="2">
        <f>+G36-G35</f>
        <v>1025891</v>
      </c>
    </row>
    <row r="38" spans="2:7" s="2" customFormat="1" x14ac:dyDescent="0.25">
      <c r="B38" s="2" t="s">
        <v>32</v>
      </c>
      <c r="F38" s="4">
        <f>+F12/F36</f>
        <v>9.0399127040512881E-2</v>
      </c>
      <c r="G38" s="4">
        <f>+G12/G36</f>
        <v>5.8928769164246837E-2</v>
      </c>
    </row>
    <row r="39" spans="2:7" s="2" customFormat="1" x14ac:dyDescent="0.25"/>
    <row r="40" spans="2:7" s="2" customFormat="1" x14ac:dyDescent="0.25"/>
    <row r="41" spans="2:7" s="2" customFormat="1" x14ac:dyDescent="0.25"/>
    <row r="42" spans="2:7" s="2" customFormat="1" x14ac:dyDescent="0.25"/>
    <row r="43" spans="2:7" s="2" customFormat="1" x14ac:dyDescent="0.25"/>
    <row r="44" spans="2:7" s="2" customFormat="1" x14ac:dyDescent="0.25"/>
    <row r="45" spans="2:7" s="2" customFormat="1" x14ac:dyDescent="0.25"/>
    <row r="46" spans="2:7" s="2" customFormat="1" x14ac:dyDescent="0.25"/>
    <row r="47" spans="2:7" s="2" customFormat="1" x14ac:dyDescent="0.25"/>
    <row r="48" spans="2:7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Base</vt:lpstr>
      <vt:lpstr>Bull</vt:lpstr>
      <vt:lpstr>Bear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2026-02-17T01:09:33Z</dcterms:created>
  <dcterms:modified xsi:type="dcterms:W3CDTF">2026-02-17T01:37:01Z</dcterms:modified>
</cp:coreProperties>
</file>