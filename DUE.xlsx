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4BD69457-8035-463B-95DA-54E0438AA632}" xr6:coauthVersionLast="47" xr6:coauthVersionMax="47" xr10:uidLastSave="{00000000-0000-0000-0000-000000000000}"/>
  <bookViews>
    <workbookView xWindow="28680" yWindow="-120" windowWidth="29040" windowHeight="15840" xr2:uid="{6CC7BA36-B373-466E-8CAC-80A31A78C282}"/>
  </bookViews>
  <sheets>
    <sheet name="Sheet1" sheetId="1" r:id="rId1"/>
  </sheets>
  <definedNames>
    <definedName name="TR">Sheet1!$AI$75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67" i="1" l="1"/>
  <c r="AA67" i="1" s="1"/>
  <c r="AB67" i="1" s="1"/>
  <c r="AC67" i="1" s="1"/>
  <c r="AD67" i="1" s="1"/>
  <c r="Y67" i="1"/>
  <c r="Y68" i="1"/>
  <c r="X68" i="1"/>
  <c r="V68" i="1"/>
  <c r="W68" i="1"/>
  <c r="Y61" i="1"/>
  <c r="X97" i="1"/>
  <c r="X90" i="1"/>
  <c r="Y58" i="1"/>
  <c r="Y57" i="1"/>
  <c r="X76" i="1"/>
  <c r="V78" i="1"/>
  <c r="V77" i="1"/>
  <c r="W78" i="1"/>
  <c r="W77" i="1"/>
  <c r="X78" i="1"/>
  <c r="X77" i="1"/>
  <c r="Y15" i="1"/>
  <c r="Y40" i="1" s="1"/>
  <c r="Y18" i="1"/>
  <c r="Z18" i="1" s="1"/>
  <c r="AA18" i="1" s="1"/>
  <c r="AB18" i="1" s="1"/>
  <c r="AC18" i="1" s="1"/>
  <c r="AD18" i="1" s="1"/>
  <c r="AE18" i="1" s="1"/>
  <c r="AF18" i="1" s="1"/>
  <c r="W13" i="1"/>
  <c r="X13" i="1"/>
  <c r="Y17" i="1"/>
  <c r="Z17" i="1" s="1"/>
  <c r="AA17" i="1" s="1"/>
  <c r="AB17" i="1" s="1"/>
  <c r="AC17" i="1" s="1"/>
  <c r="AD17" i="1" s="1"/>
  <c r="AE17" i="1" s="1"/>
  <c r="AF17" i="1" s="1"/>
  <c r="R40" i="1"/>
  <c r="S40" i="1"/>
  <c r="X44" i="1"/>
  <c r="T44" i="1" s="1"/>
  <c r="X42" i="1"/>
  <c r="T42" i="1" s="1"/>
  <c r="X41" i="1"/>
  <c r="X40" i="1"/>
  <c r="T40" i="1" s="1"/>
  <c r="X14" i="1"/>
  <c r="X23" i="1" s="1"/>
  <c r="W14" i="1"/>
  <c r="W23" i="1" s="1"/>
  <c r="X99" i="1"/>
  <c r="W99" i="1"/>
  <c r="X49" i="1"/>
  <c r="V81" i="1"/>
  <c r="W81" i="1"/>
  <c r="X82" i="1"/>
  <c r="X53" i="1"/>
  <c r="X72" i="1" s="1"/>
  <c r="D51" i="1"/>
  <c r="W47" i="1"/>
  <c r="V47" i="1"/>
  <c r="T47" i="1"/>
  <c r="U47" i="1"/>
  <c r="S47" i="1"/>
  <c r="W39" i="1"/>
  <c r="V39" i="1"/>
  <c r="U2" i="1"/>
  <c r="T2" i="1" s="1"/>
  <c r="S2" i="1" s="1"/>
  <c r="R2" i="1" s="1"/>
  <c r="Q2" i="1" s="1"/>
  <c r="P2" i="1" s="1"/>
  <c r="O2" i="1" s="1"/>
  <c r="N2" i="1" s="1"/>
  <c r="M2" i="1" s="1"/>
  <c r="L2" i="1" s="1"/>
  <c r="K2" i="1" s="1"/>
  <c r="J2" i="1" s="1"/>
  <c r="X70" i="1"/>
  <c r="Y70" i="1" s="1"/>
  <c r="Z70" i="1" s="1"/>
  <c r="AA70" i="1" s="1"/>
  <c r="AB70" i="1" s="1"/>
  <c r="AC70" i="1" s="1"/>
  <c r="AD70" i="1" s="1"/>
  <c r="AE70" i="1" s="1"/>
  <c r="AF70" i="1" s="1"/>
  <c r="X43" i="1"/>
  <c r="T43" i="1" s="1"/>
  <c r="T16" i="1"/>
  <c r="T17" i="1"/>
  <c r="S16" i="1"/>
  <c r="S17" i="1"/>
  <c r="S18" i="1"/>
  <c r="S22" i="1"/>
  <c r="S15" i="1"/>
  <c r="V36" i="1"/>
  <c r="S36" i="1" s="1"/>
  <c r="V124" i="1"/>
  <c r="V125" i="1"/>
  <c r="V126" i="1"/>
  <c r="V127" i="1"/>
  <c r="V128" i="1"/>
  <c r="W125" i="1"/>
  <c r="W126" i="1"/>
  <c r="W127" i="1"/>
  <c r="W128" i="1"/>
  <c r="W124" i="1"/>
  <c r="V117" i="1"/>
  <c r="V118" i="1"/>
  <c r="V119" i="1"/>
  <c r="V120" i="1"/>
  <c r="V121" i="1"/>
  <c r="W118" i="1"/>
  <c r="W119" i="1"/>
  <c r="W120" i="1"/>
  <c r="W121" i="1"/>
  <c r="W117" i="1"/>
  <c r="W108" i="1"/>
  <c r="V108" i="1"/>
  <c r="V33" i="1"/>
  <c r="S33" i="1" s="1"/>
  <c r="V34" i="1"/>
  <c r="S34" i="1" s="1"/>
  <c r="V35" i="1"/>
  <c r="S35" i="1" s="1"/>
  <c r="V37" i="1"/>
  <c r="S37" i="1" s="1"/>
  <c r="W34" i="1"/>
  <c r="T34" i="1" s="1"/>
  <c r="W35" i="1"/>
  <c r="T35" i="1" s="1"/>
  <c r="W36" i="1"/>
  <c r="T36" i="1" s="1"/>
  <c r="W37" i="1"/>
  <c r="T37" i="1" s="1"/>
  <c r="W33" i="1"/>
  <c r="R41" i="1"/>
  <c r="R42" i="1"/>
  <c r="R43" i="1"/>
  <c r="R44" i="1"/>
  <c r="S41" i="1"/>
  <c r="S42" i="1"/>
  <c r="S43" i="1"/>
  <c r="S44" i="1"/>
  <c r="V97" i="1"/>
  <c r="W97" i="1"/>
  <c r="V85" i="1"/>
  <c r="W85" i="1"/>
  <c r="V92" i="1"/>
  <c r="W92" i="1"/>
  <c r="V90" i="1"/>
  <c r="V96" i="1" s="1"/>
  <c r="W90" i="1"/>
  <c r="W96" i="1" s="1"/>
  <c r="W82" i="1"/>
  <c r="V82" i="1"/>
  <c r="W75" i="1"/>
  <c r="W53" i="1"/>
  <c r="W59" i="1" s="1"/>
  <c r="W63" i="1" s="1"/>
  <c r="W65" i="1" s="1"/>
  <c r="V53" i="1"/>
  <c r="V59" i="1" s="1"/>
  <c r="V63" i="1" s="1"/>
  <c r="V65" i="1" s="1"/>
  <c r="W2" i="1"/>
  <c r="X2" i="1" s="1"/>
  <c r="Y2" i="1" s="1"/>
  <c r="Z2" i="1" s="1"/>
  <c r="AA2" i="1" s="1"/>
  <c r="AB2" i="1" s="1"/>
  <c r="AC2" i="1" s="1"/>
  <c r="AD2" i="1" s="1"/>
  <c r="AE2" i="1" s="1"/>
  <c r="AF2" i="1" s="1"/>
  <c r="AE67" i="1" l="1"/>
  <c r="AF67" i="1" s="1"/>
  <c r="AF68" i="1" s="1"/>
  <c r="AD68" i="1"/>
  <c r="AE68" i="1"/>
  <c r="AC68" i="1"/>
  <c r="AB68" i="1"/>
  <c r="AA68" i="1"/>
  <c r="Z68" i="1"/>
  <c r="V74" i="1"/>
  <c r="W74" i="1"/>
  <c r="X96" i="1"/>
  <c r="Y90" i="1"/>
  <c r="Z90" i="1" s="1"/>
  <c r="AA90" i="1" s="1"/>
  <c r="AB90" i="1" s="1"/>
  <c r="AC90" i="1" s="1"/>
  <c r="AD90" i="1" s="1"/>
  <c r="AE90" i="1" s="1"/>
  <c r="AF90" i="1" s="1"/>
  <c r="Y42" i="1"/>
  <c r="Y62" i="1"/>
  <c r="Z62" i="1"/>
  <c r="AA62" i="1" s="1"/>
  <c r="AB62" i="1" s="1"/>
  <c r="AC62" i="1" s="1"/>
  <c r="AD62" i="1" s="1"/>
  <c r="AE62" i="1" s="1"/>
  <c r="AF62" i="1" s="1"/>
  <c r="Z15" i="1"/>
  <c r="Z40" i="1"/>
  <c r="X59" i="1"/>
  <c r="W73" i="1"/>
  <c r="W49" i="1"/>
  <c r="W76" i="1" s="1"/>
  <c r="V73" i="1"/>
  <c r="W69" i="1"/>
  <c r="Y16" i="1"/>
  <c r="V50" i="1"/>
  <c r="V49" i="1" s="1"/>
  <c r="V76" i="1" s="1"/>
  <c r="T18" i="1"/>
  <c r="T22" i="1"/>
  <c r="T41" i="1"/>
  <c r="Z42" i="1"/>
  <c r="T15" i="1"/>
  <c r="Y22" i="1"/>
  <c r="T33" i="1"/>
  <c r="W93" i="1"/>
  <c r="V93" i="1"/>
  <c r="V94" i="1"/>
  <c r="W94" i="1"/>
  <c r="W72" i="1"/>
  <c r="V72" i="1"/>
  <c r="Y50" i="1" l="1"/>
  <c r="Z22" i="1"/>
  <c r="AA22" i="1" s="1"/>
  <c r="AB22" i="1" s="1"/>
  <c r="AC22" i="1" s="1"/>
  <c r="AD22" i="1" s="1"/>
  <c r="AE22" i="1" s="1"/>
  <c r="AF22" i="1" s="1"/>
  <c r="Y44" i="1"/>
  <c r="Z16" i="1"/>
  <c r="Y41" i="1"/>
  <c r="Y51" i="1"/>
  <c r="AA15" i="1"/>
  <c r="Z51" i="1"/>
  <c r="X75" i="1"/>
  <c r="X47" i="1"/>
  <c r="AA42" i="1"/>
  <c r="Z55" i="1" l="1"/>
  <c r="Z56" i="1"/>
  <c r="Y56" i="1"/>
  <c r="Y78" i="1" s="1"/>
  <c r="Y49" i="1"/>
  <c r="Y54" i="1" s="1"/>
  <c r="Y76" i="1" s="1"/>
  <c r="Y55" i="1"/>
  <c r="Y77" i="1" s="1"/>
  <c r="Z50" i="1"/>
  <c r="Z52" i="1"/>
  <c r="Z53" i="1" s="1"/>
  <c r="AA16" i="1"/>
  <c r="AA51" i="1" s="1"/>
  <c r="Z41" i="1"/>
  <c r="Y52" i="1"/>
  <c r="Y53" i="1" s="1"/>
  <c r="AB15" i="1"/>
  <c r="AA40" i="1"/>
  <c r="X63" i="1"/>
  <c r="X65" i="1" s="1"/>
  <c r="X73" i="1"/>
  <c r="Z44" i="1"/>
  <c r="AA55" i="1" l="1"/>
  <c r="AA56" i="1"/>
  <c r="Z72" i="1"/>
  <c r="Z49" i="1"/>
  <c r="Z54" i="1" s="1"/>
  <c r="Z59" i="1" s="1"/>
  <c r="AA50" i="1"/>
  <c r="Y72" i="1"/>
  <c r="Y59" i="1"/>
  <c r="AA52" i="1"/>
  <c r="AA53" i="1" s="1"/>
  <c r="AA41" i="1"/>
  <c r="AB16" i="1"/>
  <c r="AC15" i="1"/>
  <c r="AB51" i="1"/>
  <c r="AB40" i="1"/>
  <c r="AB42" i="1"/>
  <c r="Y43" i="1"/>
  <c r="Y75" i="1"/>
  <c r="Z43" i="1"/>
  <c r="AA75" i="1"/>
  <c r="X74" i="1"/>
  <c r="X69" i="1"/>
  <c r="AA43" i="1"/>
  <c r="AA44" i="1"/>
  <c r="AA72" i="1" l="1"/>
  <c r="AB55" i="1"/>
  <c r="AB56" i="1"/>
  <c r="AA49" i="1"/>
  <c r="AA54" i="1" s="1"/>
  <c r="AA59" i="1" s="1"/>
  <c r="AD15" i="1"/>
  <c r="AC40" i="1"/>
  <c r="AB52" i="1"/>
  <c r="AB53" i="1" s="1"/>
  <c r="AC16" i="1"/>
  <c r="AB41" i="1"/>
  <c r="AC42" i="1"/>
  <c r="Y73" i="1"/>
  <c r="Z75" i="1"/>
  <c r="AB75" i="1"/>
  <c r="Z73" i="1"/>
  <c r="AB43" i="1"/>
  <c r="AB44" i="1"/>
  <c r="AB72" i="1" l="1"/>
  <c r="AB50" i="1"/>
  <c r="AE15" i="1"/>
  <c r="AD40" i="1"/>
  <c r="AD16" i="1"/>
  <c r="AC41" i="1"/>
  <c r="AC51" i="1"/>
  <c r="AD42" i="1"/>
  <c r="AC75" i="1"/>
  <c r="AA73" i="1"/>
  <c r="AC43" i="1"/>
  <c r="AC44" i="1"/>
  <c r="AC55" i="1" l="1"/>
  <c r="AC56" i="1"/>
  <c r="AB49" i="1"/>
  <c r="AB54" i="1" s="1"/>
  <c r="AB59" i="1" s="1"/>
  <c r="AB73" i="1" s="1"/>
  <c r="AE16" i="1"/>
  <c r="AD41" i="1"/>
  <c r="AC52" i="1"/>
  <c r="AC53" i="1" s="1"/>
  <c r="AD51" i="1"/>
  <c r="AF15" i="1"/>
  <c r="AE51" i="1"/>
  <c r="AE40" i="1"/>
  <c r="AF42" i="1"/>
  <c r="AE42" i="1"/>
  <c r="AD43" i="1"/>
  <c r="AD44" i="1"/>
  <c r="AD75" i="1" l="1"/>
  <c r="AD55" i="1"/>
  <c r="AD56" i="1"/>
  <c r="AE56" i="1"/>
  <c r="AE55" i="1"/>
  <c r="AC72" i="1"/>
  <c r="AC50" i="1"/>
  <c r="AD52" i="1"/>
  <c r="AD53" i="1" s="1"/>
  <c r="AE52" i="1"/>
  <c r="AE53" i="1" s="1"/>
  <c r="AF40" i="1"/>
  <c r="AF16" i="1"/>
  <c r="AF41" i="1" s="1"/>
  <c r="AE41" i="1"/>
  <c r="AF43" i="1"/>
  <c r="AE43" i="1"/>
  <c r="AF44" i="1"/>
  <c r="AE44" i="1"/>
  <c r="AC49" i="1" l="1"/>
  <c r="AC54" i="1" s="1"/>
  <c r="AC59" i="1" s="1"/>
  <c r="AC73" i="1" s="1"/>
  <c r="AE72" i="1"/>
  <c r="AD72" i="1"/>
  <c r="AF51" i="1"/>
  <c r="AF75" i="1" s="1"/>
  <c r="AE75" i="1"/>
  <c r="AF56" i="1" l="1"/>
  <c r="AF55" i="1"/>
  <c r="AD50" i="1"/>
  <c r="AD49" i="1" s="1"/>
  <c r="AF52" i="1"/>
  <c r="AF53" i="1" s="1"/>
  <c r="AF72" i="1" l="1"/>
  <c r="AE50" i="1"/>
  <c r="AE49" i="1" s="1"/>
  <c r="AD54" i="1"/>
  <c r="AD59" i="1" s="1"/>
  <c r="AD73" i="1" s="1"/>
  <c r="AF50" i="1" l="1"/>
  <c r="AF49" i="1" s="1"/>
  <c r="AF54" i="1" s="1"/>
  <c r="AF59" i="1" s="1"/>
  <c r="AF73" i="1" s="1"/>
  <c r="AE54" i="1"/>
  <c r="AE59" i="1" s="1"/>
  <c r="AE73" i="1" s="1"/>
  <c r="Z61" i="1"/>
  <c r="AA61" i="1" s="1"/>
  <c r="Y63" i="1"/>
  <c r="Y64" i="1" s="1"/>
  <c r="AB61" i="1" l="1"/>
  <c r="AA63" i="1"/>
  <c r="Z63" i="1"/>
  <c r="Z64" i="1" s="1"/>
  <c r="Y65" i="1"/>
  <c r="Y84" i="1" s="1"/>
  <c r="AB63" i="1"/>
  <c r="AC61" i="1"/>
  <c r="AA64" i="1"/>
  <c r="AA65" i="1" s="1"/>
  <c r="Z65" i="1" l="1"/>
  <c r="Z69" i="1" s="1"/>
  <c r="Z84" i="1"/>
  <c r="AA84" i="1" s="1"/>
  <c r="Z74" i="1"/>
  <c r="Y74" i="1"/>
  <c r="Y69" i="1"/>
  <c r="AA74" i="1"/>
  <c r="AA69" i="1"/>
  <c r="AB64" i="1"/>
  <c r="AB65" i="1" s="1"/>
  <c r="AC63" i="1"/>
  <c r="AD61" i="1"/>
  <c r="AB84" i="1" l="1"/>
  <c r="AB74" i="1"/>
  <c r="AB69" i="1"/>
  <c r="AD63" i="1"/>
  <c r="AE61" i="1"/>
  <c r="AC64" i="1"/>
  <c r="AC65" i="1" s="1"/>
  <c r="AC84" i="1" l="1"/>
  <c r="AC74" i="1"/>
  <c r="AC69" i="1"/>
  <c r="AF61" i="1"/>
  <c r="AF63" i="1" s="1"/>
  <c r="AE63" i="1"/>
  <c r="AD64" i="1"/>
  <c r="AD65" i="1" s="1"/>
  <c r="AD84" i="1" l="1"/>
  <c r="AD69" i="1"/>
  <c r="AD74" i="1"/>
  <c r="AF64" i="1"/>
  <c r="AF65" i="1" s="1"/>
  <c r="AE64" i="1"/>
  <c r="AE65" i="1" s="1"/>
  <c r="AE84" i="1" l="1"/>
  <c r="AF84" i="1" s="1"/>
  <c r="AG68" i="1"/>
  <c r="AH68" i="1" s="1"/>
  <c r="AI68" i="1" s="1"/>
  <c r="AJ68" i="1" s="1"/>
  <c r="AK68" i="1" s="1"/>
  <c r="AL68" i="1" s="1"/>
  <c r="AM68" i="1" s="1"/>
  <c r="AN68" i="1" s="1"/>
  <c r="AO68" i="1" s="1"/>
  <c r="AP68" i="1" s="1"/>
  <c r="AQ68" i="1" s="1"/>
  <c r="AR68" i="1" s="1"/>
  <c r="AS68" i="1" s="1"/>
  <c r="AT68" i="1" s="1"/>
  <c r="AU68" i="1" s="1"/>
  <c r="AV68" i="1" s="1"/>
  <c r="AW68" i="1" s="1"/>
  <c r="AX68" i="1" s="1"/>
  <c r="AY68" i="1" s="1"/>
  <c r="AZ68" i="1" s="1"/>
  <c r="BA68" i="1" s="1"/>
  <c r="BB68" i="1" s="1"/>
  <c r="BC68" i="1" s="1"/>
  <c r="BD68" i="1" s="1"/>
  <c r="BE68" i="1" s="1"/>
  <c r="BF68" i="1" s="1"/>
  <c r="BG68" i="1" s="1"/>
  <c r="BH68" i="1" s="1"/>
  <c r="BI68" i="1" s="1"/>
  <c r="BJ68" i="1" s="1"/>
  <c r="BK68" i="1" s="1"/>
  <c r="BL68" i="1" s="1"/>
  <c r="BM68" i="1" s="1"/>
  <c r="BN68" i="1" s="1"/>
  <c r="BO68" i="1" s="1"/>
  <c r="BP68" i="1" s="1"/>
  <c r="BQ68" i="1" s="1"/>
  <c r="BR68" i="1" s="1"/>
  <c r="BS68" i="1" s="1"/>
  <c r="BT68" i="1" s="1"/>
  <c r="BU68" i="1" s="1"/>
  <c r="BV68" i="1" s="1"/>
  <c r="BW68" i="1" s="1"/>
  <c r="BX68" i="1" s="1"/>
  <c r="BY68" i="1" s="1"/>
  <c r="BZ68" i="1" s="1"/>
  <c r="CA68" i="1" s="1"/>
  <c r="CB68" i="1" s="1"/>
  <c r="CC68" i="1" s="1"/>
  <c r="CD68" i="1" s="1"/>
  <c r="CE68" i="1" s="1"/>
  <c r="CF68" i="1" s="1"/>
  <c r="CG68" i="1" s="1"/>
  <c r="CH68" i="1" s="1"/>
  <c r="CI68" i="1" s="1"/>
  <c r="CJ68" i="1" s="1"/>
  <c r="CK68" i="1" s="1"/>
  <c r="CL68" i="1" s="1"/>
  <c r="CM68" i="1" s="1"/>
  <c r="CN68" i="1" s="1"/>
  <c r="CO68" i="1" s="1"/>
  <c r="CP68" i="1" s="1"/>
  <c r="CQ68" i="1" s="1"/>
  <c r="CR68" i="1" s="1"/>
  <c r="CS68" i="1" s="1"/>
  <c r="CT68" i="1" s="1"/>
  <c r="CU68" i="1" s="1"/>
  <c r="CV68" i="1" s="1"/>
  <c r="CW68" i="1" s="1"/>
  <c r="CX68" i="1" s="1"/>
  <c r="CY68" i="1" s="1"/>
  <c r="CZ68" i="1" s="1"/>
  <c r="DA68" i="1" s="1"/>
  <c r="DB68" i="1" s="1"/>
  <c r="DC68" i="1" s="1"/>
  <c r="DD68" i="1" s="1"/>
  <c r="DE68" i="1" s="1"/>
  <c r="DF68" i="1" s="1"/>
  <c r="DG68" i="1" s="1"/>
  <c r="DH68" i="1" s="1"/>
  <c r="DI68" i="1" s="1"/>
  <c r="DJ68" i="1" s="1"/>
  <c r="DK68" i="1" s="1"/>
  <c r="DL68" i="1" s="1"/>
  <c r="DM68" i="1" s="1"/>
  <c r="DN68" i="1" s="1"/>
  <c r="DO68" i="1" s="1"/>
  <c r="DP68" i="1" s="1"/>
  <c r="DQ68" i="1" s="1"/>
  <c r="DR68" i="1" s="1"/>
  <c r="DS68" i="1" s="1"/>
  <c r="DT68" i="1" s="1"/>
  <c r="DU68" i="1" s="1"/>
  <c r="AF69" i="1"/>
  <c r="AF74" i="1"/>
  <c r="AE74" i="1"/>
  <c r="AE69" i="1"/>
  <c r="DV68" i="1" l="1"/>
  <c r="DW68" i="1" s="1"/>
  <c r="DX68" i="1" s="1"/>
  <c r="DY68" i="1" s="1"/>
  <c r="DZ68" i="1" s="1"/>
  <c r="EA68" i="1" s="1"/>
  <c r="AI76" i="1"/>
  <c r="AI77" i="1" s="1"/>
  <c r="AI79" i="1" l="1"/>
</calcChain>
</file>

<file path=xl/sharedStrings.xml><?xml version="1.0" encoding="utf-8"?>
<sst xmlns="http://schemas.openxmlformats.org/spreadsheetml/2006/main" count="120" uniqueCount="81">
  <si>
    <t>Revenue</t>
  </si>
  <si>
    <t>COGS</t>
  </si>
  <si>
    <t>Gross Profit</t>
  </si>
  <si>
    <t>Selling</t>
  </si>
  <si>
    <t>G&amp;A</t>
  </si>
  <si>
    <t>R&amp;D</t>
  </si>
  <si>
    <t>Other Income</t>
  </si>
  <si>
    <t>Other Expenses</t>
  </si>
  <si>
    <t>EBIT</t>
  </si>
  <si>
    <t>Venture</t>
  </si>
  <si>
    <t>Interest Income</t>
  </si>
  <si>
    <t>Interest Expense</t>
  </si>
  <si>
    <t>Pretax</t>
  </si>
  <si>
    <t>Taxes</t>
  </si>
  <si>
    <t>Net Income</t>
  </si>
  <si>
    <t xml:space="preserve">Minority </t>
  </si>
  <si>
    <t>Company Income</t>
  </si>
  <si>
    <t>Gross Margin</t>
  </si>
  <si>
    <t>Net Margin</t>
  </si>
  <si>
    <t>Revenue Y/Y</t>
  </si>
  <si>
    <t>CFFO</t>
  </si>
  <si>
    <t>CapEx</t>
  </si>
  <si>
    <t>FCF</t>
  </si>
  <si>
    <t>Cash</t>
  </si>
  <si>
    <t>Inventory</t>
  </si>
  <si>
    <t>PP&amp;E</t>
  </si>
  <si>
    <t>AR</t>
  </si>
  <si>
    <t>Debt</t>
  </si>
  <si>
    <t>AP</t>
  </si>
  <si>
    <t>Liabilities</t>
  </si>
  <si>
    <t>NAV</t>
  </si>
  <si>
    <t>Finance</t>
  </si>
  <si>
    <t>Net Cash</t>
  </si>
  <si>
    <t>Cost of Debt</t>
  </si>
  <si>
    <t>Yield</t>
  </si>
  <si>
    <t>Paint and Final Assembly Systems</t>
  </si>
  <si>
    <t>Clean Tech Systems</t>
  </si>
  <si>
    <t>Application Tech</t>
  </si>
  <si>
    <t>Industrial Automation Systems</t>
  </si>
  <si>
    <t>Woodworking Machinery Systems</t>
  </si>
  <si>
    <t>EBIT Margin</t>
  </si>
  <si>
    <t>5-6% Growth until 2030</t>
  </si>
  <si>
    <t>8% EBIT Margin Goal</t>
  </si>
  <si>
    <t>Service</t>
  </si>
  <si>
    <t>Products</t>
  </si>
  <si>
    <t>Product Revenue</t>
  </si>
  <si>
    <t>Service Revenue</t>
  </si>
  <si>
    <t>Employees</t>
  </si>
  <si>
    <t>Corporate Center</t>
  </si>
  <si>
    <t>Revenue per Employee</t>
  </si>
  <si>
    <t>EBIT per Employee</t>
  </si>
  <si>
    <t>Service of Revenue</t>
  </si>
  <si>
    <t>Discount</t>
  </si>
  <si>
    <t>Terminal</t>
  </si>
  <si>
    <t>NPV</t>
  </si>
  <si>
    <t>Price</t>
  </si>
  <si>
    <t>EPS</t>
  </si>
  <si>
    <t>Shares</t>
  </si>
  <si>
    <t>Revenue by Region</t>
  </si>
  <si>
    <t>Revenue by Division</t>
  </si>
  <si>
    <t>Germany</t>
  </si>
  <si>
    <t>Europe (ex. Germany)</t>
  </si>
  <si>
    <t>Americas</t>
  </si>
  <si>
    <t>China</t>
  </si>
  <si>
    <t>Asia (ex. China)</t>
  </si>
  <si>
    <t xml:space="preserve">Total Big Auto CapEx </t>
  </si>
  <si>
    <t>H1 23</t>
  </si>
  <si>
    <t>H2 23</t>
  </si>
  <si>
    <t>H2 24</t>
  </si>
  <si>
    <t>H1 24</t>
  </si>
  <si>
    <t>Aufträge</t>
  </si>
  <si>
    <t>Auftragseingang</t>
  </si>
  <si>
    <t>Current</t>
  </si>
  <si>
    <t>Diff</t>
  </si>
  <si>
    <t xml:space="preserve">    Auto</t>
  </si>
  <si>
    <t xml:space="preserve">    Pharma</t>
  </si>
  <si>
    <t xml:space="preserve">    Electronics</t>
  </si>
  <si>
    <t>Personalaufwand</t>
  </si>
  <si>
    <t>Expenses</t>
  </si>
  <si>
    <t>Selling %</t>
  </si>
  <si>
    <t>Discontinued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</si>
</sst>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164" fontId="0" fillId="0" borderId="0" xfId="1" applyNumberFormat="1" applyFon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3" fontId="0" fillId="0" borderId="0" xfId="1" applyNumberFormat="1" applyFont="1"/>
    <xf numFmtId="9" fontId="0" fillId="0" borderId="0" xfId="1" applyFont="1"/>
    <xf numFmtId="3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636985</xdr:colOff>
      <xdr:row>13</xdr:row>
      <xdr:rowOff>0</xdr:rowOff>
    </xdr:from>
    <xdr:to>
      <xdr:col>24</xdr:col>
      <xdr:colOff>53578</xdr:colOff>
      <xdr:row>113</xdr:row>
      <xdr:rowOff>23812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5BAD6B4-A253-D3A1-AD66-967EB0D55867}"/>
            </a:ext>
          </a:extLst>
        </xdr:cNvPr>
        <xdr:cNvCxnSpPr/>
      </xdr:nvCxnSpPr>
      <xdr:spPr>
        <a:xfrm flipH="1">
          <a:off x="14751844" y="2476500"/>
          <a:ext cx="71437" cy="183118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2950B-1753-4E1B-B7C9-72A5D0B22319}">
  <dimension ref="B1:EA157"/>
  <sheetViews>
    <sheetView tabSelected="1" zoomScale="160" zoomScaleNormal="160" workbookViewId="0">
      <pane xSplit="2" ySplit="2" topLeftCell="V63" activePane="bottomRight" state="frozen"/>
      <selection pane="topRight" activeCell="C1" sqref="C1"/>
      <selection pane="bottomLeft" activeCell="A3" sqref="A3"/>
      <selection pane="bottomRight" activeCell="AH72" sqref="AH72"/>
    </sheetView>
  </sheetViews>
  <sheetFormatPr defaultRowHeight="15" x14ac:dyDescent="0.25"/>
  <cols>
    <col min="1" max="1" width="2.85546875" customWidth="1"/>
    <col min="2" max="2" width="16.140625" customWidth="1"/>
    <col min="22" max="22" width="9.85546875" customWidth="1"/>
    <col min="23" max="32" width="10" customWidth="1"/>
  </cols>
  <sheetData>
    <row r="1" spans="2:32" x14ac:dyDescent="0.25">
      <c r="B1" t="s">
        <v>41</v>
      </c>
    </row>
    <row r="2" spans="2:32" x14ac:dyDescent="0.25">
      <c r="B2" t="s">
        <v>42</v>
      </c>
      <c r="C2" t="s">
        <v>66</v>
      </c>
      <c r="D2" t="s">
        <v>67</v>
      </c>
      <c r="E2" t="s">
        <v>69</v>
      </c>
      <c r="F2" t="s">
        <v>68</v>
      </c>
      <c r="J2">
        <f t="shared" ref="J2:O2" si="0">+K2-1</f>
        <v>2010</v>
      </c>
      <c r="K2">
        <f t="shared" si="0"/>
        <v>2011</v>
      </c>
      <c r="L2">
        <f t="shared" si="0"/>
        <v>2012</v>
      </c>
      <c r="M2">
        <f t="shared" si="0"/>
        <v>2013</v>
      </c>
      <c r="N2">
        <f t="shared" si="0"/>
        <v>2014</v>
      </c>
      <c r="O2">
        <f t="shared" si="0"/>
        <v>2015</v>
      </c>
      <c r="P2">
        <f t="shared" ref="P2:T2" si="1">+Q2-1</f>
        <v>2016</v>
      </c>
      <c r="Q2">
        <f t="shared" si="1"/>
        <v>2017</v>
      </c>
      <c r="R2">
        <f t="shared" si="1"/>
        <v>2018</v>
      </c>
      <c r="S2">
        <f t="shared" si="1"/>
        <v>2019</v>
      </c>
      <c r="T2">
        <f t="shared" si="1"/>
        <v>2020</v>
      </c>
      <c r="U2">
        <f>+V2-1</f>
        <v>2021</v>
      </c>
      <c r="V2">
        <v>2022</v>
      </c>
      <c r="W2">
        <f>+V2+1</f>
        <v>2023</v>
      </c>
      <c r="X2">
        <f>+W2+1</f>
        <v>2024</v>
      </c>
      <c r="Y2">
        <f>+X2+1</f>
        <v>2025</v>
      </c>
      <c r="Z2">
        <f t="shared" ref="Z2:AF2" si="2">+Y2+1</f>
        <v>2026</v>
      </c>
      <c r="AA2">
        <f t="shared" si="2"/>
        <v>2027</v>
      </c>
      <c r="AB2">
        <f t="shared" si="2"/>
        <v>2028</v>
      </c>
      <c r="AC2">
        <f t="shared" si="2"/>
        <v>2029</v>
      </c>
      <c r="AD2">
        <f t="shared" si="2"/>
        <v>2030</v>
      </c>
      <c r="AE2">
        <f t="shared" si="2"/>
        <v>2031</v>
      </c>
      <c r="AF2">
        <f t="shared" si="2"/>
        <v>2032</v>
      </c>
    </row>
    <row r="3" spans="2:32" s="1" customFormat="1" x14ac:dyDescent="0.25"/>
    <row r="4" spans="2:32" s="1" customFormat="1" x14ac:dyDescent="0.25">
      <c r="B4" s="1" t="s">
        <v>71</v>
      </c>
      <c r="C4" s="1">
        <v>2587100</v>
      </c>
      <c r="E4" s="1">
        <v>2792100</v>
      </c>
    </row>
    <row r="5" spans="2:32" s="1" customFormat="1" x14ac:dyDescent="0.25">
      <c r="B5" s="1" t="s">
        <v>70</v>
      </c>
      <c r="C5" s="1">
        <v>4410900</v>
      </c>
      <c r="E5" s="1">
        <v>4571500</v>
      </c>
    </row>
    <row r="6" spans="2:32" s="1" customFormat="1" x14ac:dyDescent="0.25"/>
    <row r="7" spans="2:32" s="1" customFormat="1" x14ac:dyDescent="0.25">
      <c r="B7" s="2" t="s">
        <v>58</v>
      </c>
    </row>
    <row r="8" spans="2:32" s="1" customFormat="1" x14ac:dyDescent="0.25">
      <c r="B8" s="1" t="s">
        <v>60</v>
      </c>
      <c r="V8" s="1">
        <v>640.1</v>
      </c>
      <c r="W8" s="1">
        <v>752.7</v>
      </c>
    </row>
    <row r="9" spans="2:32" s="1" customFormat="1" x14ac:dyDescent="0.25">
      <c r="B9" s="1" t="s">
        <v>61</v>
      </c>
      <c r="V9" s="1">
        <v>1192.0999999999999</v>
      </c>
      <c r="W9" s="1">
        <v>1339.3</v>
      </c>
    </row>
    <row r="10" spans="2:32" s="1" customFormat="1" x14ac:dyDescent="0.25">
      <c r="B10" s="1" t="s">
        <v>62</v>
      </c>
      <c r="V10" s="1">
        <v>1275.0999999999999</v>
      </c>
      <c r="W10" s="1">
        <v>1427.8</v>
      </c>
    </row>
    <row r="11" spans="2:32" s="1" customFormat="1" x14ac:dyDescent="0.25">
      <c r="B11" s="1" t="s">
        <v>63</v>
      </c>
      <c r="V11" s="1">
        <v>823.2</v>
      </c>
      <c r="W11" s="1">
        <v>749.7</v>
      </c>
    </row>
    <row r="12" spans="2:32" s="1" customFormat="1" x14ac:dyDescent="0.25">
      <c r="B12" s="1" t="s">
        <v>64</v>
      </c>
      <c r="V12" s="1">
        <v>330.5</v>
      </c>
      <c r="W12" s="1">
        <v>357.8</v>
      </c>
    </row>
    <row r="13" spans="2:32" s="1" customFormat="1" x14ac:dyDescent="0.25">
      <c r="W13" s="5">
        <f>+W18/V18 -1</f>
        <v>0.31882116543871408</v>
      </c>
      <c r="X13" s="5">
        <f>+X18/W18 -1</f>
        <v>0.29575080413069221</v>
      </c>
    </row>
    <row r="14" spans="2:32" s="1" customFormat="1" x14ac:dyDescent="0.25">
      <c r="B14" s="2" t="s">
        <v>59</v>
      </c>
      <c r="S14" s="1" t="s">
        <v>19</v>
      </c>
      <c r="W14" s="9">
        <f>+SUM(W15:W22)</f>
        <v>4674.6000000000004</v>
      </c>
      <c r="X14" s="1">
        <f>+SUM(X15:X18)+X22</f>
        <v>4739.7</v>
      </c>
    </row>
    <row r="15" spans="2:32" s="1" customFormat="1" x14ac:dyDescent="0.25">
      <c r="B15" s="1" t="s">
        <v>35</v>
      </c>
      <c r="E15" s="1">
        <v>17300</v>
      </c>
      <c r="S15" s="3">
        <f t="shared" ref="S15:T22" si="3">+W15/V15 -1</f>
        <v>7.6667982629293308E-2</v>
      </c>
      <c r="T15" s="3">
        <f t="shared" si="3"/>
        <v>2.1780580815488504E-2</v>
      </c>
      <c r="V15" s="1">
        <v>1266.5</v>
      </c>
      <c r="W15" s="9">
        <v>1363.6</v>
      </c>
      <c r="X15" s="1">
        <v>1393.3</v>
      </c>
      <c r="Y15" s="1">
        <f>+X15*0.99</f>
        <v>1379.367</v>
      </c>
      <c r="Z15" s="1">
        <f t="shared" ref="Z15:AF15" si="4">+Y15*0.99</f>
        <v>1365.5733299999999</v>
      </c>
      <c r="AA15" s="1">
        <f t="shared" si="4"/>
        <v>1351.9175966999999</v>
      </c>
      <c r="AB15" s="1">
        <f t="shared" si="4"/>
        <v>1338.398420733</v>
      </c>
      <c r="AC15" s="1">
        <f t="shared" si="4"/>
        <v>1325.0144365256699</v>
      </c>
      <c r="AD15" s="1">
        <f t="shared" si="4"/>
        <v>1311.7642921604131</v>
      </c>
      <c r="AE15" s="1">
        <f t="shared" si="4"/>
        <v>1298.646649238809</v>
      </c>
      <c r="AF15" s="1">
        <f t="shared" si="4"/>
        <v>1285.660182746421</v>
      </c>
    </row>
    <row r="16" spans="2:32" s="1" customFormat="1" x14ac:dyDescent="0.25">
      <c r="B16" s="1" t="s">
        <v>37</v>
      </c>
      <c r="S16" s="3">
        <f t="shared" si="3"/>
        <v>9.642857142857153E-2</v>
      </c>
      <c r="T16" s="3">
        <f t="shared" si="3"/>
        <v>9.2671009771986945E-2</v>
      </c>
      <c r="V16" s="1">
        <v>560</v>
      </c>
      <c r="W16" s="9">
        <v>614</v>
      </c>
      <c r="X16" s="1">
        <v>670.9</v>
      </c>
      <c r="Y16" s="1">
        <f>+X16*1.05</f>
        <v>704.44500000000005</v>
      </c>
      <c r="Z16" s="1">
        <f>+Y16*1.05</f>
        <v>739.66725000000008</v>
      </c>
      <c r="AA16" s="1">
        <f t="shared" ref="AA16:AB16" si="5">+Z16*1.05</f>
        <v>776.65061250000008</v>
      </c>
      <c r="AB16" s="1">
        <f t="shared" si="5"/>
        <v>815.48314312500008</v>
      </c>
      <c r="AC16" s="1">
        <f>+AB16*1.04</f>
        <v>848.10246885000015</v>
      </c>
      <c r="AD16" s="1">
        <f>+AC16*1.03</f>
        <v>873.54554291550016</v>
      </c>
      <c r="AE16" s="1">
        <f t="shared" ref="AE16:AF16" si="6">+AD16*1.03</f>
        <v>899.75190920296518</v>
      </c>
      <c r="AF16" s="1">
        <f t="shared" si="6"/>
        <v>926.74446647905415</v>
      </c>
    </row>
    <row r="17" spans="2:32" s="1" customFormat="1" x14ac:dyDescent="0.25">
      <c r="B17" s="1" t="s">
        <v>36</v>
      </c>
      <c r="S17" s="3">
        <f t="shared" si="3"/>
        <v>6.9333333333333247E-2</v>
      </c>
      <c r="T17" s="3">
        <f t="shared" si="3"/>
        <v>3.2003325020781404E-2</v>
      </c>
      <c r="V17" s="1">
        <v>450</v>
      </c>
      <c r="W17" s="9">
        <v>481.2</v>
      </c>
      <c r="X17" s="1">
        <v>496.6</v>
      </c>
      <c r="Y17" s="1">
        <f>+X17*1.02</f>
        <v>506.53200000000004</v>
      </c>
      <c r="Z17" s="1">
        <f t="shared" ref="Z17:AF17" si="7">+Y17*1.02</f>
        <v>516.66264000000001</v>
      </c>
      <c r="AA17" s="1">
        <f t="shared" si="7"/>
        <v>526.99589279999998</v>
      </c>
      <c r="AB17" s="1">
        <f t="shared" si="7"/>
        <v>537.53581065599997</v>
      </c>
      <c r="AC17" s="1">
        <f t="shared" si="7"/>
        <v>548.28652686911994</v>
      </c>
      <c r="AD17" s="1">
        <f t="shared" si="7"/>
        <v>559.25225740650239</v>
      </c>
      <c r="AE17" s="1">
        <f t="shared" si="7"/>
        <v>570.43730255463242</v>
      </c>
      <c r="AF17" s="1">
        <f t="shared" si="7"/>
        <v>581.84604860572506</v>
      </c>
    </row>
    <row r="18" spans="2:32" s="1" customFormat="1" x14ac:dyDescent="0.25">
      <c r="B18" s="1" t="s">
        <v>38</v>
      </c>
      <c r="S18" s="3">
        <f t="shared" si="3"/>
        <v>0.31882116543871408</v>
      </c>
      <c r="T18" s="3">
        <f t="shared" si="3"/>
        <v>0.29575080413069221</v>
      </c>
      <c r="V18" s="1">
        <v>447.9</v>
      </c>
      <c r="W18" s="9">
        <v>590.70000000000005</v>
      </c>
      <c r="X18" s="1">
        <v>765.4</v>
      </c>
      <c r="Y18" s="1">
        <f>+X18*1.25</f>
        <v>956.75</v>
      </c>
      <c r="Z18" s="1">
        <f>+Y18*1.2</f>
        <v>1148.0999999999999</v>
      </c>
      <c r="AA18" s="1">
        <f>+Z18*1.15</f>
        <v>1320.3149999999998</v>
      </c>
      <c r="AB18" s="1">
        <f>+AA18*1.12</f>
        <v>1478.7528</v>
      </c>
      <c r="AC18" s="1">
        <f>+AB18*1.08</f>
        <v>1597.0530240000001</v>
      </c>
      <c r="AD18" s="1">
        <f>+AC18*1.06</f>
        <v>1692.8762054400001</v>
      </c>
      <c r="AE18" s="1">
        <f>+AD18*1.06</f>
        <v>1794.4487777664003</v>
      </c>
      <c r="AF18" s="1">
        <f>+AE18*1.06</f>
        <v>1902.1157044323845</v>
      </c>
    </row>
    <row r="19" spans="2:32" s="1" customFormat="1" x14ac:dyDescent="0.25">
      <c r="B19" s="1" t="s">
        <v>74</v>
      </c>
      <c r="S19" s="3"/>
      <c r="T19" s="3"/>
      <c r="W19" s="9"/>
    </row>
    <row r="20" spans="2:32" s="1" customFormat="1" x14ac:dyDescent="0.25">
      <c r="B20" s="1" t="s">
        <v>75</v>
      </c>
      <c r="S20" s="3"/>
      <c r="T20" s="3"/>
      <c r="W20" s="9"/>
    </row>
    <row r="21" spans="2:32" s="1" customFormat="1" x14ac:dyDescent="0.25">
      <c r="B21" s="1" t="s">
        <v>76</v>
      </c>
      <c r="S21" s="3"/>
      <c r="T21" s="3"/>
      <c r="W21" s="9"/>
    </row>
    <row r="22" spans="2:32" s="1" customFormat="1" x14ac:dyDescent="0.25">
      <c r="B22" s="1" t="s">
        <v>39</v>
      </c>
      <c r="S22" s="3">
        <f t="shared" si="3"/>
        <v>1.5687499999999854E-2</v>
      </c>
      <c r="T22" s="3">
        <f t="shared" si="3"/>
        <v>-0.13020737185403974</v>
      </c>
      <c r="V22" s="1">
        <v>1600</v>
      </c>
      <c r="W22" s="9">
        <v>1625.1</v>
      </c>
      <c r="X22" s="1">
        <v>1413.5</v>
      </c>
      <c r="Y22" s="1">
        <f>+X22*0.98</f>
        <v>1385.23</v>
      </c>
      <c r="Z22" s="1">
        <f t="shared" ref="Z22:AF22" si="8">+Y22*0.98</f>
        <v>1357.5254</v>
      </c>
      <c r="AA22" s="1">
        <f t="shared" si="8"/>
        <v>1330.374892</v>
      </c>
      <c r="AB22" s="1">
        <f t="shared" si="8"/>
        <v>1303.7673941600001</v>
      </c>
      <c r="AC22" s="1">
        <f t="shared" si="8"/>
        <v>1277.6920462768001</v>
      </c>
      <c r="AD22" s="1">
        <f t="shared" si="8"/>
        <v>1252.1382053512641</v>
      </c>
      <c r="AE22" s="1">
        <f t="shared" si="8"/>
        <v>1227.0954412442388</v>
      </c>
      <c r="AF22" s="1">
        <f t="shared" si="8"/>
        <v>1202.553532419354</v>
      </c>
    </row>
    <row r="23" spans="2:32" s="1" customFormat="1" x14ac:dyDescent="0.25">
      <c r="B23" s="1" t="s">
        <v>78</v>
      </c>
      <c r="S23" s="3"/>
      <c r="T23" s="3"/>
      <c r="W23" s="1">
        <f>+W14-W51/1000</f>
        <v>478.57099999999991</v>
      </c>
      <c r="X23" s="1">
        <f>+X14-X51/1000</f>
        <v>448.76400000000012</v>
      </c>
      <c r="Y23" s="1">
        <v>450</v>
      </c>
      <c r="Z23" s="1">
        <v>450</v>
      </c>
      <c r="AA23" s="1">
        <v>450</v>
      </c>
      <c r="AB23" s="1">
        <v>450</v>
      </c>
      <c r="AC23" s="1">
        <v>450</v>
      </c>
      <c r="AD23" s="1">
        <v>450</v>
      </c>
      <c r="AE23" s="1">
        <v>450</v>
      </c>
      <c r="AF23" s="1">
        <v>450</v>
      </c>
    </row>
    <row r="24" spans="2:32" s="1" customFormat="1" x14ac:dyDescent="0.25"/>
    <row r="25" spans="2:32" s="1" customFormat="1" x14ac:dyDescent="0.25">
      <c r="B25" s="2" t="s">
        <v>45</v>
      </c>
    </row>
    <row r="26" spans="2:32" s="1" customFormat="1" x14ac:dyDescent="0.25">
      <c r="B26" s="1" t="s">
        <v>35</v>
      </c>
      <c r="V26" s="1">
        <v>886.55</v>
      </c>
      <c r="W26" s="1">
        <v>940.9</v>
      </c>
    </row>
    <row r="27" spans="2:32" s="1" customFormat="1" x14ac:dyDescent="0.25">
      <c r="B27" s="1" t="s">
        <v>37</v>
      </c>
      <c r="V27" s="1">
        <v>360.43</v>
      </c>
      <c r="W27" s="1">
        <v>377.1</v>
      </c>
    </row>
    <row r="28" spans="2:32" s="1" customFormat="1" x14ac:dyDescent="0.25">
      <c r="B28" s="1" t="s">
        <v>36</v>
      </c>
      <c r="V28" s="1">
        <v>306</v>
      </c>
      <c r="W28" s="1">
        <v>323.3</v>
      </c>
    </row>
    <row r="29" spans="2:32" s="1" customFormat="1" x14ac:dyDescent="0.25">
      <c r="B29" s="1" t="s">
        <v>38</v>
      </c>
      <c r="V29" s="1">
        <v>335.92</v>
      </c>
      <c r="W29" s="1">
        <v>456.7</v>
      </c>
    </row>
    <row r="30" spans="2:32" s="1" customFormat="1" x14ac:dyDescent="0.25">
      <c r="B30" s="1" t="s">
        <v>39</v>
      </c>
      <c r="V30" s="1">
        <v>1232</v>
      </c>
      <c r="W30" s="1">
        <v>1259.5999999999999</v>
      </c>
    </row>
    <row r="31" spans="2:32" s="1" customFormat="1" x14ac:dyDescent="0.25"/>
    <row r="32" spans="2:32" s="1" customFormat="1" x14ac:dyDescent="0.25">
      <c r="B32" s="2" t="s">
        <v>46</v>
      </c>
      <c r="S32" s="1" t="s">
        <v>51</v>
      </c>
    </row>
    <row r="33" spans="2:32" s="1" customFormat="1" x14ac:dyDescent="0.25">
      <c r="B33" s="1" t="s">
        <v>35</v>
      </c>
      <c r="S33" s="3">
        <f t="shared" ref="S33:T36" si="9">+V33/V15</f>
        <v>0.30000000000000004</v>
      </c>
      <c r="T33" s="3">
        <f t="shared" si="9"/>
        <v>0.30998826635376941</v>
      </c>
      <c r="V33" s="1">
        <f t="shared" ref="V33:W36" si="10">+V15-V26</f>
        <v>379.95000000000005</v>
      </c>
      <c r="W33" s="1">
        <f t="shared" si="10"/>
        <v>422.69999999999993</v>
      </c>
    </row>
    <row r="34" spans="2:32" s="1" customFormat="1" x14ac:dyDescent="0.25">
      <c r="B34" s="1" t="s">
        <v>37</v>
      </c>
      <c r="S34" s="3">
        <f t="shared" si="9"/>
        <v>0.356375</v>
      </c>
      <c r="T34" s="3">
        <f t="shared" si="9"/>
        <v>0.38583061889250808</v>
      </c>
      <c r="V34" s="1">
        <f t="shared" si="10"/>
        <v>199.57</v>
      </c>
      <c r="W34" s="1">
        <f t="shared" si="10"/>
        <v>236.89999999999998</v>
      </c>
    </row>
    <row r="35" spans="2:32" s="1" customFormat="1" x14ac:dyDescent="0.25">
      <c r="B35" s="1" t="s">
        <v>36</v>
      </c>
      <c r="S35" s="3">
        <f t="shared" si="9"/>
        <v>0.32</v>
      </c>
      <c r="T35" s="3">
        <f t="shared" si="9"/>
        <v>0.32813798836242725</v>
      </c>
      <c r="V35" s="1">
        <f t="shared" si="10"/>
        <v>144</v>
      </c>
      <c r="W35" s="1">
        <f t="shared" si="10"/>
        <v>157.89999999999998</v>
      </c>
    </row>
    <row r="36" spans="2:32" s="1" customFormat="1" x14ac:dyDescent="0.25">
      <c r="B36" s="1" t="s">
        <v>38</v>
      </c>
      <c r="S36" s="3">
        <f t="shared" si="9"/>
        <v>0.2500111632060727</v>
      </c>
      <c r="T36" s="3">
        <f t="shared" si="9"/>
        <v>0.22684950059251743</v>
      </c>
      <c r="V36" s="1">
        <f t="shared" si="10"/>
        <v>111.97999999999996</v>
      </c>
      <c r="W36" s="1">
        <f t="shared" si="10"/>
        <v>134.00000000000006</v>
      </c>
    </row>
    <row r="37" spans="2:32" s="1" customFormat="1" x14ac:dyDescent="0.25">
      <c r="B37" s="1" t="s">
        <v>39</v>
      </c>
      <c r="S37" s="3">
        <f>+V37/V22</f>
        <v>0.23</v>
      </c>
      <c r="T37" s="3">
        <f>+W37/W22</f>
        <v>0.22490923635468588</v>
      </c>
      <c r="V37" s="1">
        <f>+V22-V30</f>
        <v>368</v>
      </c>
      <c r="W37" s="1">
        <f>+W22-W30</f>
        <v>365.5</v>
      </c>
    </row>
    <row r="38" spans="2:32" s="1" customFormat="1" x14ac:dyDescent="0.25"/>
    <row r="39" spans="2:32" s="2" customFormat="1" x14ac:dyDescent="0.25">
      <c r="B39" s="2" t="s">
        <v>8</v>
      </c>
      <c r="S39" s="2" t="s">
        <v>40</v>
      </c>
      <c r="V39" s="2">
        <f>+SUM(V40:V44)</f>
        <v>234</v>
      </c>
      <c r="W39" s="2">
        <f>+SUM(W40:W44)</f>
        <v>319.10000000000002</v>
      </c>
    </row>
    <row r="40" spans="2:32" s="1" customFormat="1" x14ac:dyDescent="0.25">
      <c r="B40" s="1" t="s">
        <v>35</v>
      </c>
      <c r="R40" s="3">
        <f t="shared" ref="R40:T43" si="11">+V40/V15</f>
        <v>4.09001184366364E-2</v>
      </c>
      <c r="S40" s="3">
        <f t="shared" si="11"/>
        <v>5.0601349369316519E-2</v>
      </c>
      <c r="T40" s="3">
        <f t="shared" si="11"/>
        <v>7.3999999999999996E-2</v>
      </c>
      <c r="V40" s="1">
        <v>51.8</v>
      </c>
      <c r="W40" s="1">
        <v>69</v>
      </c>
      <c r="X40" s="1">
        <f>+X15*0.074</f>
        <v>103.10419999999999</v>
      </c>
      <c r="Y40" s="1">
        <f>+Y15*0.075</f>
        <v>103.45252499999999</v>
      </c>
      <c r="Z40" s="1">
        <f t="shared" ref="Z40:AF40" si="12">+Z15*0.075</f>
        <v>102.41799974999999</v>
      </c>
      <c r="AA40" s="1">
        <f t="shared" si="12"/>
        <v>101.39381975249999</v>
      </c>
      <c r="AB40" s="1">
        <f t="shared" si="12"/>
        <v>100.379881554975</v>
      </c>
      <c r="AC40" s="1">
        <f t="shared" si="12"/>
        <v>99.376082739425243</v>
      </c>
      <c r="AD40" s="1">
        <f t="shared" si="12"/>
        <v>98.382321912030974</v>
      </c>
      <c r="AE40" s="1">
        <f t="shared" si="12"/>
        <v>97.398498692910678</v>
      </c>
      <c r="AF40" s="1">
        <f t="shared" si="12"/>
        <v>96.424513705981568</v>
      </c>
    </row>
    <row r="41" spans="2:32" s="1" customFormat="1" x14ac:dyDescent="0.25">
      <c r="B41" s="1" t="s">
        <v>37</v>
      </c>
      <c r="R41" s="3">
        <f t="shared" si="11"/>
        <v>8.7321428571428564E-2</v>
      </c>
      <c r="S41" s="3">
        <f t="shared" si="11"/>
        <v>9.8697068403908794E-2</v>
      </c>
      <c r="T41" s="3">
        <f t="shared" si="11"/>
        <v>0.10399999999999998</v>
      </c>
      <c r="V41" s="1">
        <v>48.9</v>
      </c>
      <c r="W41" s="1">
        <v>60.6</v>
      </c>
      <c r="X41" s="1">
        <f>+X16*0.104</f>
        <v>69.773599999999988</v>
      </c>
      <c r="Y41" s="1">
        <f>+Y16*0.1</f>
        <v>70.444500000000005</v>
      </c>
      <c r="Z41" s="1">
        <f t="shared" ref="Z41:AF41" si="13">+Z16*0.1</f>
        <v>73.966725000000011</v>
      </c>
      <c r="AA41" s="1">
        <f t="shared" si="13"/>
        <v>77.665061250000008</v>
      </c>
      <c r="AB41" s="1">
        <f t="shared" si="13"/>
        <v>81.548314312500011</v>
      </c>
      <c r="AC41" s="1">
        <f t="shared" si="13"/>
        <v>84.810246885000026</v>
      </c>
      <c r="AD41" s="1">
        <f t="shared" si="13"/>
        <v>87.354554291550016</v>
      </c>
      <c r="AE41" s="1">
        <f t="shared" si="13"/>
        <v>89.975190920296527</v>
      </c>
      <c r="AF41" s="1">
        <f t="shared" si="13"/>
        <v>92.674446647905427</v>
      </c>
    </row>
    <row r="42" spans="2:32" s="1" customFormat="1" x14ac:dyDescent="0.25">
      <c r="B42" s="1" t="s">
        <v>36</v>
      </c>
      <c r="R42" s="3">
        <f t="shared" si="11"/>
        <v>1.2888888888888889E-2</v>
      </c>
      <c r="S42" s="3">
        <f t="shared" si="11"/>
        <v>6.2967581047381552E-2</v>
      </c>
      <c r="T42" s="3">
        <f t="shared" si="11"/>
        <v>8.2000000000000003E-2</v>
      </c>
      <c r="V42" s="1">
        <v>5.8</v>
      </c>
      <c r="W42" s="1">
        <v>30.3</v>
      </c>
      <c r="X42" s="1">
        <f>+X17*0.082</f>
        <v>40.721200000000003</v>
      </c>
      <c r="Y42" s="1">
        <f>+Y17*0.08</f>
        <v>40.522560000000006</v>
      </c>
      <c r="Z42" s="1">
        <f t="shared" ref="Z42:AF42" si="14">+Z17*0.08</f>
        <v>41.333011200000001</v>
      </c>
      <c r="AA42" s="1">
        <f t="shared" si="14"/>
        <v>42.159671424000003</v>
      </c>
      <c r="AB42" s="1">
        <f t="shared" si="14"/>
        <v>43.002864852479995</v>
      </c>
      <c r="AC42" s="1">
        <f t="shared" si="14"/>
        <v>43.862922149529595</v>
      </c>
      <c r="AD42" s="1">
        <f t="shared" si="14"/>
        <v>44.74018059252019</v>
      </c>
      <c r="AE42" s="1">
        <f t="shared" si="14"/>
        <v>45.634984204370596</v>
      </c>
      <c r="AF42" s="1">
        <f t="shared" si="14"/>
        <v>46.547683888458003</v>
      </c>
    </row>
    <row r="43" spans="2:32" s="1" customFormat="1" x14ac:dyDescent="0.25">
      <c r="B43" s="1" t="s">
        <v>38</v>
      </c>
      <c r="R43" s="3">
        <f t="shared" si="11"/>
        <v>4.4652824291136414E-2</v>
      </c>
      <c r="S43" s="3">
        <f t="shared" si="11"/>
        <v>4.9940748264770608E-2</v>
      </c>
      <c r="T43" s="3">
        <f t="shared" si="11"/>
        <v>7.0000000000000007E-2</v>
      </c>
      <c r="V43" s="1">
        <v>20</v>
      </c>
      <c r="W43" s="1">
        <v>29.5</v>
      </c>
      <c r="X43" s="1">
        <f>+X18*0.07</f>
        <v>53.578000000000003</v>
      </c>
      <c r="Y43" s="1">
        <f>+Y18*0.072</f>
        <v>68.885999999999996</v>
      </c>
      <c r="Z43" s="1">
        <f>+Z18*0.074</f>
        <v>84.959399999999988</v>
      </c>
      <c r="AA43" s="1">
        <f>+AA18*0.075</f>
        <v>99.023624999999981</v>
      </c>
      <c r="AB43" s="1">
        <f>+AB18*0.077</f>
        <v>113.8639656</v>
      </c>
      <c r="AC43" s="1">
        <f>+AC18*0.08</f>
        <v>127.76424192</v>
      </c>
      <c r="AD43" s="1">
        <f>+AD18*0.08</f>
        <v>135.43009643520003</v>
      </c>
      <c r="AE43" s="1">
        <f>+AE18*0.08</f>
        <v>143.55590222131204</v>
      </c>
      <c r="AF43" s="1">
        <f>+AF18*0.08</f>
        <v>152.16925635459077</v>
      </c>
    </row>
    <row r="44" spans="2:32" s="1" customFormat="1" x14ac:dyDescent="0.25">
      <c r="B44" s="1" t="s">
        <v>39</v>
      </c>
      <c r="R44" s="3">
        <f>+V44/V22</f>
        <v>6.7187499999999997E-2</v>
      </c>
      <c r="S44" s="3">
        <f>+W44/W22</f>
        <v>7.9810473201649121E-2</v>
      </c>
      <c r="T44" s="3">
        <f>+X44/X22</f>
        <v>3.5999999999999997E-2</v>
      </c>
      <c r="V44" s="1">
        <v>107.5</v>
      </c>
      <c r="W44" s="1">
        <v>129.69999999999999</v>
      </c>
      <c r="X44" s="1">
        <f>+X22*0.036</f>
        <v>50.885999999999996</v>
      </c>
      <c r="Y44" s="1">
        <f>+Y22*0.03</f>
        <v>41.556899999999999</v>
      </c>
      <c r="Z44" s="1">
        <f>+Z22*0.04</f>
        <v>54.301016000000004</v>
      </c>
      <c r="AA44" s="1">
        <f>+AA22*0.05</f>
        <v>66.518744600000005</v>
      </c>
      <c r="AB44" s="1">
        <f>+AB22*0.06</f>
        <v>78.226043649600001</v>
      </c>
      <c r="AC44" s="1">
        <f>+AC22*0.07</f>
        <v>89.438443239376014</v>
      </c>
      <c r="AD44" s="1">
        <f>+AD22*0.08</f>
        <v>100.17105642810112</v>
      </c>
      <c r="AE44" s="1">
        <f>+AE22*0.08</f>
        <v>98.167635299539114</v>
      </c>
      <c r="AF44" s="1">
        <f>+AF22*0.08</f>
        <v>96.204282593548328</v>
      </c>
    </row>
    <row r="45" spans="2:32" s="1" customFormat="1" x14ac:dyDescent="0.25">
      <c r="S45" s="3"/>
      <c r="T45" s="3"/>
    </row>
    <row r="46" spans="2:32" s="1" customFormat="1" x14ac:dyDescent="0.25">
      <c r="B46" s="1" t="s">
        <v>65</v>
      </c>
      <c r="S46" s="7">
        <v>56000</v>
      </c>
      <c r="T46" s="7">
        <v>46900</v>
      </c>
      <c r="U46" s="1">
        <v>52200</v>
      </c>
      <c r="V46" s="1">
        <v>61900</v>
      </c>
      <c r="W46" s="1">
        <v>60200</v>
      </c>
      <c r="X46" s="1">
        <v>64500</v>
      </c>
    </row>
    <row r="47" spans="2:32" s="1" customFormat="1" x14ac:dyDescent="0.25">
      <c r="S47" s="3">
        <f>+S51/S46</f>
        <v>7.0026785714285708E-2</v>
      </c>
      <c r="T47" s="3">
        <f t="shared" ref="T47:U47" si="15">+T51/T46</f>
        <v>7.0891257995735618E-2</v>
      </c>
      <c r="U47" s="3">
        <f t="shared" si="15"/>
        <v>6.7752873563218394E-2</v>
      </c>
      <c r="V47" s="3">
        <f>+V51/V46 /1000</f>
        <v>6.9694119547657502E-2</v>
      </c>
      <c r="W47" s="3">
        <f>+W51/W46 /1000</f>
        <v>6.9701478405315612E-2</v>
      </c>
      <c r="X47" s="3">
        <f>+X51/X46 /1000</f>
        <v>6.6526139534883719E-2</v>
      </c>
    </row>
    <row r="48" spans="2:32" s="1" customFormat="1" x14ac:dyDescent="0.25">
      <c r="S48" s="3"/>
      <c r="T48" s="3"/>
      <c r="AC48" s="5"/>
      <c r="AD48" s="5"/>
    </row>
    <row r="49" spans="2:32" s="1" customFormat="1" x14ac:dyDescent="0.25">
      <c r="B49" s="1" t="s">
        <v>44</v>
      </c>
      <c r="V49" s="1">
        <f>+V51-V50</f>
        <v>3110566</v>
      </c>
      <c r="W49" s="1">
        <f>+W51-W50</f>
        <v>3046374</v>
      </c>
      <c r="X49" s="1">
        <f>+X51-X50</f>
        <v>3106682</v>
      </c>
      <c r="Y49" s="1">
        <f>+Y51-Y50</f>
        <v>3267916.0000000009</v>
      </c>
      <c r="Z49" s="1">
        <f t="shared" ref="Z49:AF49" si="16">+Z51-Z50</f>
        <v>3382503.6199999996</v>
      </c>
      <c r="AA49" s="1">
        <f t="shared" si="16"/>
        <v>3503935.1840000004</v>
      </c>
      <c r="AB49" s="1">
        <f t="shared" si="16"/>
        <v>3610902.9766739998</v>
      </c>
      <c r="AC49" s="1">
        <f t="shared" si="16"/>
        <v>3679630.0141845904</v>
      </c>
      <c r="AD49" s="1">
        <f t="shared" si="16"/>
        <v>3738694.4961813847</v>
      </c>
      <c r="AE49" s="1">
        <f t="shared" si="16"/>
        <v>3809965.8319163532</v>
      </c>
      <c r="AF49" s="1">
        <f t="shared" si="16"/>
        <v>3882870.0187247628</v>
      </c>
    </row>
    <row r="50" spans="2:32" s="1" customFormat="1" x14ac:dyDescent="0.25">
      <c r="B50" s="1" t="s">
        <v>43</v>
      </c>
      <c r="V50" s="1">
        <f>+SUM(V33:V37)*1000</f>
        <v>1203500</v>
      </c>
      <c r="W50" s="1">
        <v>1149655</v>
      </c>
      <c r="X50" s="1">
        <v>1184254</v>
      </c>
      <c r="Y50" s="1">
        <f>+X50+(+X49-W49)*0.5</f>
        <v>1214408</v>
      </c>
      <c r="Z50" s="1">
        <f t="shared" ref="Z50:AF50" si="17">+Y50+(+Y49-X49)*0.5</f>
        <v>1295025.0000000005</v>
      </c>
      <c r="AA50" s="1">
        <f t="shared" si="17"/>
        <v>1352318.8099999998</v>
      </c>
      <c r="AB50" s="1">
        <f t="shared" si="17"/>
        <v>1413034.5920000002</v>
      </c>
      <c r="AC50" s="1">
        <f t="shared" si="17"/>
        <v>1466518.4883369999</v>
      </c>
      <c r="AD50" s="1">
        <f t="shared" si="17"/>
        <v>1500882.0070922952</v>
      </c>
      <c r="AE50" s="1">
        <f t="shared" si="17"/>
        <v>1530414.2480906923</v>
      </c>
      <c r="AF50" s="1">
        <f t="shared" si="17"/>
        <v>1566049.9159581766</v>
      </c>
    </row>
    <row r="51" spans="2:32" s="2" customFormat="1" x14ac:dyDescent="0.25">
      <c r="B51" s="2" t="s">
        <v>0</v>
      </c>
      <c r="C51" s="2">
        <v>2134900</v>
      </c>
      <c r="D51" s="2">
        <f>+W51-C51</f>
        <v>2061129</v>
      </c>
      <c r="E51" s="2">
        <v>2281300</v>
      </c>
      <c r="J51" s="2">
        <v>1261.4000000000001</v>
      </c>
      <c r="K51" s="2">
        <v>1922</v>
      </c>
      <c r="L51" s="2">
        <v>2399</v>
      </c>
      <c r="M51" s="2">
        <v>2406</v>
      </c>
      <c r="N51" s="2">
        <v>2574.9</v>
      </c>
      <c r="O51" s="2">
        <v>3767.1</v>
      </c>
      <c r="P51" s="2">
        <v>3573.5</v>
      </c>
      <c r="Q51" s="2">
        <v>3713.2</v>
      </c>
      <c r="R51" s="2">
        <v>3869.8</v>
      </c>
      <c r="S51" s="2">
        <v>3921.5</v>
      </c>
      <c r="T51" s="2">
        <v>3324.8</v>
      </c>
      <c r="U51" s="2">
        <v>3536.7</v>
      </c>
      <c r="V51" s="2">
        <v>4314066</v>
      </c>
      <c r="W51" s="2">
        <v>4196029</v>
      </c>
      <c r="X51" s="2">
        <v>4290936</v>
      </c>
      <c r="Y51" s="2">
        <f>+SUM(Y15:Y22)*1000-Y23*1000</f>
        <v>4482324.0000000009</v>
      </c>
      <c r="Z51" s="2">
        <f t="shared" ref="Z51:AF51" si="18">+SUM(Z15:Z22)*1000-Z23*1000</f>
        <v>4677528.62</v>
      </c>
      <c r="AA51" s="2">
        <f t="shared" si="18"/>
        <v>4856253.9939999999</v>
      </c>
      <c r="AB51" s="2">
        <f t="shared" si="18"/>
        <v>5023937.568674</v>
      </c>
      <c r="AC51" s="2">
        <f t="shared" si="18"/>
        <v>5146148.5025215903</v>
      </c>
      <c r="AD51" s="2">
        <f t="shared" si="18"/>
        <v>5239576.5032736799</v>
      </c>
      <c r="AE51" s="2">
        <f t="shared" si="18"/>
        <v>5340380.0800070455</v>
      </c>
      <c r="AF51" s="2">
        <f t="shared" si="18"/>
        <v>5448919.9346829392</v>
      </c>
    </row>
    <row r="52" spans="2:32" s="1" customFormat="1" x14ac:dyDescent="0.25">
      <c r="B52" s="1" t="s">
        <v>1</v>
      </c>
      <c r="V52" s="1">
        <v>3375332</v>
      </c>
      <c r="W52" s="1">
        <v>3294777</v>
      </c>
      <c r="X52" s="1">
        <v>3387909</v>
      </c>
      <c r="Y52" s="1">
        <f>+Y51*0.79</f>
        <v>3541035.9600000009</v>
      </c>
      <c r="Z52" s="1">
        <f t="shared" ref="Z52:AF52" si="19">+Z51*0.79</f>
        <v>3695247.6098000002</v>
      </c>
      <c r="AA52" s="1">
        <f t="shared" si="19"/>
        <v>3836440.6552599999</v>
      </c>
      <c r="AB52" s="1">
        <f t="shared" si="19"/>
        <v>3968910.6792524601</v>
      </c>
      <c r="AC52" s="1">
        <f t="shared" si="19"/>
        <v>4065457.3169920566</v>
      </c>
      <c r="AD52" s="1">
        <f t="shared" si="19"/>
        <v>4139265.4375862074</v>
      </c>
      <c r="AE52" s="1">
        <f t="shared" si="19"/>
        <v>4218900.2632055664</v>
      </c>
      <c r="AF52" s="1">
        <f t="shared" si="19"/>
        <v>4304646.7483995222</v>
      </c>
    </row>
    <row r="53" spans="2:32" s="1" customFormat="1" x14ac:dyDescent="0.25">
      <c r="B53" s="1" t="s">
        <v>2</v>
      </c>
      <c r="V53" s="1">
        <f>+V51-V52</f>
        <v>938734</v>
      </c>
      <c r="W53" s="1">
        <f>+W51-W52</f>
        <v>901252</v>
      </c>
      <c r="X53" s="1">
        <f>+X51-X52</f>
        <v>903027</v>
      </c>
      <c r="Y53" s="1">
        <f>+Y51-Y52</f>
        <v>941288.04</v>
      </c>
      <c r="Z53" s="1">
        <f t="shared" ref="Z53:AF53" si="20">+Z51-Z52</f>
        <v>982281.0101999999</v>
      </c>
      <c r="AA53" s="1">
        <f t="shared" si="20"/>
        <v>1019813.33874</v>
      </c>
      <c r="AB53" s="1">
        <f t="shared" si="20"/>
        <v>1055026.8894215398</v>
      </c>
      <c r="AC53" s="1">
        <f t="shared" si="20"/>
        <v>1080691.1855295338</v>
      </c>
      <c r="AD53" s="1">
        <f t="shared" si="20"/>
        <v>1100311.0656874725</v>
      </c>
      <c r="AE53" s="1">
        <f t="shared" si="20"/>
        <v>1121479.8168014791</v>
      </c>
      <c r="AF53" s="1">
        <f t="shared" si="20"/>
        <v>1144273.186283417</v>
      </c>
    </row>
    <row r="54" spans="2:32" s="1" customFormat="1" x14ac:dyDescent="0.25">
      <c r="B54" s="1" t="s">
        <v>3</v>
      </c>
      <c r="V54" s="1">
        <v>382552</v>
      </c>
      <c r="W54" s="1">
        <v>378511</v>
      </c>
      <c r="X54" s="1">
        <v>374227</v>
      </c>
      <c r="Y54" s="1">
        <f>+Y49*0.12</f>
        <v>392149.9200000001</v>
      </c>
      <c r="Z54" s="1">
        <f t="shared" ref="Z54:AF54" si="21">+Z49*0.12</f>
        <v>405900.43439999997</v>
      </c>
      <c r="AA54" s="1">
        <f t="shared" si="21"/>
        <v>420472.22208000004</v>
      </c>
      <c r="AB54" s="1">
        <f t="shared" si="21"/>
        <v>433308.35720087995</v>
      </c>
      <c r="AC54" s="1">
        <f t="shared" si="21"/>
        <v>441555.60170215083</v>
      </c>
      <c r="AD54" s="1">
        <f t="shared" si="21"/>
        <v>448643.33954176615</v>
      </c>
      <c r="AE54" s="1">
        <f t="shared" si="21"/>
        <v>457195.89982996235</v>
      </c>
      <c r="AF54" s="1">
        <f t="shared" si="21"/>
        <v>465944.4022469715</v>
      </c>
    </row>
    <row r="55" spans="2:32" s="1" customFormat="1" x14ac:dyDescent="0.25">
      <c r="B55" s="1" t="s">
        <v>4</v>
      </c>
      <c r="V55" s="1">
        <v>217682</v>
      </c>
      <c r="W55" s="1">
        <v>233048</v>
      </c>
      <c r="X55" s="1">
        <v>259188</v>
      </c>
      <c r="Y55" s="1">
        <f>+Y51*0.06</f>
        <v>268939.44000000006</v>
      </c>
      <c r="Z55" s="1">
        <f t="shared" ref="Z55:AF55" si="22">+Z51*0.06</f>
        <v>280651.71720000001</v>
      </c>
      <c r="AA55" s="1">
        <f t="shared" si="22"/>
        <v>291375.23963999999</v>
      </c>
      <c r="AB55" s="1">
        <f t="shared" si="22"/>
        <v>301436.25412043999</v>
      </c>
      <c r="AC55" s="1">
        <f t="shared" si="22"/>
        <v>308768.91015129542</v>
      </c>
      <c r="AD55" s="1">
        <f t="shared" si="22"/>
        <v>314374.59019642079</v>
      </c>
      <c r="AE55" s="1">
        <f t="shared" si="22"/>
        <v>320422.80480042275</v>
      </c>
      <c r="AF55" s="1">
        <f t="shared" si="22"/>
        <v>326935.19608097634</v>
      </c>
    </row>
    <row r="56" spans="2:32" s="1" customFormat="1" x14ac:dyDescent="0.25">
      <c r="B56" s="1" t="s">
        <v>5</v>
      </c>
      <c r="V56" s="1">
        <v>136466</v>
      </c>
      <c r="W56" s="1">
        <v>148098</v>
      </c>
      <c r="X56" s="1">
        <v>136555</v>
      </c>
      <c r="Y56" s="1">
        <f>+Y51*0.03</f>
        <v>134469.72000000003</v>
      </c>
      <c r="Z56" s="1">
        <f t="shared" ref="Z56:AF56" si="23">+Z51*0.03</f>
        <v>140325.85860000001</v>
      </c>
      <c r="AA56" s="1">
        <f t="shared" si="23"/>
        <v>145687.61981999999</v>
      </c>
      <c r="AB56" s="1">
        <f t="shared" si="23"/>
        <v>150718.12706021999</v>
      </c>
      <c r="AC56" s="1">
        <f t="shared" si="23"/>
        <v>154384.45507564771</v>
      </c>
      <c r="AD56" s="1">
        <f t="shared" si="23"/>
        <v>157187.29509821039</v>
      </c>
      <c r="AE56" s="1">
        <f t="shared" si="23"/>
        <v>160211.40240021137</v>
      </c>
      <c r="AF56" s="1">
        <f t="shared" si="23"/>
        <v>163467.59804048817</v>
      </c>
    </row>
    <row r="57" spans="2:32" s="1" customFormat="1" x14ac:dyDescent="0.25">
      <c r="B57" s="1" t="s">
        <v>6</v>
      </c>
      <c r="V57" s="1">
        <v>48896</v>
      </c>
      <c r="W57" s="1">
        <v>51092</v>
      </c>
      <c r="X57" s="1">
        <v>103060</v>
      </c>
      <c r="Y57" s="1">
        <f>+AVERAGE(V57:X57)</f>
        <v>67682.666666666672</v>
      </c>
      <c r="Z57" s="1">
        <v>70000</v>
      </c>
      <c r="AA57" s="1">
        <v>70000</v>
      </c>
      <c r="AB57" s="1">
        <v>70000</v>
      </c>
      <c r="AC57" s="1">
        <v>70000</v>
      </c>
      <c r="AD57" s="1">
        <v>70000</v>
      </c>
      <c r="AE57" s="1">
        <v>70000</v>
      </c>
      <c r="AF57" s="1">
        <v>70000</v>
      </c>
    </row>
    <row r="58" spans="2:32" s="1" customFormat="1" x14ac:dyDescent="0.25">
      <c r="B58" s="1" t="s">
        <v>7</v>
      </c>
      <c r="V58" s="1">
        <v>45033</v>
      </c>
      <c r="W58" s="1">
        <v>52869</v>
      </c>
      <c r="X58" s="1">
        <v>83736</v>
      </c>
      <c r="Y58" s="1">
        <f>+AVERAGE(V58:X58)</f>
        <v>60546</v>
      </c>
      <c r="Z58" s="1">
        <v>60000</v>
      </c>
      <c r="AA58" s="1">
        <v>60000</v>
      </c>
      <c r="AB58" s="1">
        <v>60000</v>
      </c>
      <c r="AC58" s="1">
        <v>60000</v>
      </c>
      <c r="AD58" s="1">
        <v>60000</v>
      </c>
      <c r="AE58" s="1">
        <v>60000</v>
      </c>
      <c r="AF58" s="1">
        <v>60000</v>
      </c>
    </row>
    <row r="59" spans="2:32" s="1" customFormat="1" x14ac:dyDescent="0.25">
      <c r="B59" s="1" t="s">
        <v>8</v>
      </c>
      <c r="J59" s="1">
        <v>87.1</v>
      </c>
      <c r="K59" s="1">
        <v>161.80000000000001</v>
      </c>
      <c r="L59" s="1">
        <v>202.6</v>
      </c>
      <c r="M59" s="1">
        <v>226.5</v>
      </c>
      <c r="N59" s="1">
        <v>262.3</v>
      </c>
      <c r="O59" s="1">
        <v>267.8</v>
      </c>
      <c r="P59" s="1">
        <v>272.5</v>
      </c>
      <c r="Q59" s="1">
        <v>289</v>
      </c>
      <c r="R59" s="1">
        <v>294.39999999999998</v>
      </c>
      <c r="S59" s="1">
        <v>236.5</v>
      </c>
      <c r="T59" s="1">
        <v>99.5</v>
      </c>
      <c r="U59" s="1">
        <v>175.7</v>
      </c>
      <c r="V59" s="1">
        <f>+V53-V54-V55-V56+V57-V58</f>
        <v>205897</v>
      </c>
      <c r="W59" s="1">
        <f>+W53-W54-W55-W56+W57-W58</f>
        <v>139818</v>
      </c>
      <c r="X59" s="1">
        <f>+X53-X54-X55-X56+X57-X58</f>
        <v>152381</v>
      </c>
      <c r="Y59" s="1">
        <f>+Y53-Y54-Y55-Y56+Y57-Y58</f>
        <v>152865.62666666647</v>
      </c>
      <c r="Z59" s="1">
        <f t="shared" ref="Z59:AF59" si="24">+Z53-Z54-Z55-Z56+Z57-Z58</f>
        <v>165402.99999999997</v>
      </c>
      <c r="AA59" s="1">
        <f t="shared" si="24"/>
        <v>172278.25720000008</v>
      </c>
      <c r="AB59" s="1">
        <f t="shared" si="24"/>
        <v>179564.15103999991</v>
      </c>
      <c r="AC59" s="1">
        <f t="shared" si="24"/>
        <v>185982.21860043975</v>
      </c>
      <c r="AD59" s="1">
        <f t="shared" si="24"/>
        <v>190105.84085107519</v>
      </c>
      <c r="AE59" s="1">
        <f t="shared" si="24"/>
        <v>193649.70977088268</v>
      </c>
      <c r="AF59" s="1">
        <f t="shared" si="24"/>
        <v>197925.98991498104</v>
      </c>
    </row>
    <row r="60" spans="2:32" s="1" customFormat="1" x14ac:dyDescent="0.25">
      <c r="B60" s="1" t="s">
        <v>9</v>
      </c>
      <c r="V60" s="1">
        <v>1344</v>
      </c>
      <c r="W60" s="1">
        <v>4602</v>
      </c>
      <c r="X60" s="1">
        <v>786</v>
      </c>
      <c r="Y60" s="1">
        <v>2000</v>
      </c>
      <c r="Z60" s="1">
        <v>2000</v>
      </c>
      <c r="AA60" s="1">
        <v>2000</v>
      </c>
      <c r="AB60" s="1">
        <v>2000</v>
      </c>
      <c r="AC60" s="1">
        <v>2000</v>
      </c>
      <c r="AD60" s="1">
        <v>2000</v>
      </c>
      <c r="AE60" s="1">
        <v>2000</v>
      </c>
      <c r="AF60" s="1">
        <v>2000</v>
      </c>
    </row>
    <row r="61" spans="2:32" s="1" customFormat="1" x14ac:dyDescent="0.25">
      <c r="B61" s="1" t="s">
        <v>10</v>
      </c>
      <c r="V61" s="1">
        <v>11487</v>
      </c>
      <c r="W61" s="1">
        <v>32033</v>
      </c>
      <c r="X61" s="1">
        <v>35321</v>
      </c>
      <c r="Y61" s="1">
        <f>+X84*0.04</f>
        <v>33263.4</v>
      </c>
      <c r="Z61" s="1">
        <f t="shared" ref="Z61:AF61" si="25">+Y61*0.9</f>
        <v>29937.06</v>
      </c>
      <c r="AA61" s="1">
        <f t="shared" si="25"/>
        <v>26943.354000000003</v>
      </c>
      <c r="AB61" s="1">
        <f t="shared" si="25"/>
        <v>24249.018600000003</v>
      </c>
      <c r="AC61" s="1">
        <f t="shared" si="25"/>
        <v>21824.116740000005</v>
      </c>
      <c r="AD61" s="1">
        <f t="shared" si="25"/>
        <v>19641.705066000006</v>
      </c>
      <c r="AE61" s="1">
        <f t="shared" si="25"/>
        <v>17677.534559400006</v>
      </c>
      <c r="AF61" s="1">
        <f t="shared" si="25"/>
        <v>15909.781103460005</v>
      </c>
    </row>
    <row r="62" spans="2:32" s="1" customFormat="1" x14ac:dyDescent="0.25">
      <c r="B62" s="1" t="s">
        <v>11</v>
      </c>
      <c r="V62" s="1">
        <v>30620</v>
      </c>
      <c r="W62" s="1">
        <v>57577</v>
      </c>
      <c r="X62" s="1">
        <v>76135</v>
      </c>
      <c r="Y62" s="1">
        <f>+X90*0.06</f>
        <v>71584.14</v>
      </c>
      <c r="Z62" s="1">
        <f t="shared" ref="Z62:AF62" si="26">+Y62*0.95</f>
        <v>68004.93299999999</v>
      </c>
      <c r="AA62" s="1">
        <f t="shared" si="26"/>
        <v>64604.686349999989</v>
      </c>
      <c r="AB62" s="1">
        <f t="shared" si="26"/>
        <v>61374.45203249999</v>
      </c>
      <c r="AC62" s="1">
        <f t="shared" si="26"/>
        <v>58305.729430874992</v>
      </c>
      <c r="AD62" s="1">
        <f t="shared" si="26"/>
        <v>55390.442959331238</v>
      </c>
      <c r="AE62" s="1">
        <f t="shared" si="26"/>
        <v>52620.920811364675</v>
      </c>
      <c r="AF62" s="1">
        <f t="shared" si="26"/>
        <v>49989.874770796436</v>
      </c>
    </row>
    <row r="63" spans="2:32" s="1" customFormat="1" x14ac:dyDescent="0.25">
      <c r="B63" s="1" t="s">
        <v>12</v>
      </c>
      <c r="V63" s="1">
        <f>+V59+V60+V61-V62</f>
        <v>188108</v>
      </c>
      <c r="W63" s="1">
        <f>+W59+W60+W61-W62</f>
        <v>118876</v>
      </c>
      <c r="X63" s="1">
        <f t="shared" ref="X63" si="27">+X59+X60+X61-X62</f>
        <v>112353</v>
      </c>
      <c r="Y63" s="1">
        <f>+Y59+Y60+Y61-Y62</f>
        <v>116544.88666666647</v>
      </c>
      <c r="Z63" s="1">
        <f t="shared" ref="Z63" si="28">+Z59+Z60+Z61-Z62</f>
        <v>129335.12699999998</v>
      </c>
      <c r="AA63" s="1">
        <f t="shared" ref="AA63" si="29">+AA59+AA60+AA61-AA62</f>
        <v>136616.92485000007</v>
      </c>
      <c r="AB63" s="1">
        <f t="shared" ref="AB63" si="30">+AB59+AB60+AB61-AB62</f>
        <v>144438.71760749992</v>
      </c>
      <c r="AC63" s="1">
        <f t="shared" ref="AC63" si="31">+AC59+AC60+AC61-AC62</f>
        <v>151500.60590956477</v>
      </c>
      <c r="AD63" s="1">
        <f t="shared" ref="AD63" si="32">+AD59+AD60+AD61-AD62</f>
        <v>156357.10295774395</v>
      </c>
      <c r="AE63" s="1">
        <f t="shared" ref="AE63" si="33">+AE59+AE60+AE61-AE62</f>
        <v>160706.32351891801</v>
      </c>
      <c r="AF63" s="1">
        <f t="shared" ref="AF63" si="34">+AF59+AF60+AF61-AF62</f>
        <v>165845.89624764462</v>
      </c>
    </row>
    <row r="64" spans="2:32" s="1" customFormat="1" x14ac:dyDescent="0.25">
      <c r="B64" s="1" t="s">
        <v>13</v>
      </c>
      <c r="V64" s="1">
        <v>53851</v>
      </c>
      <c r="W64" s="1">
        <v>47865</v>
      </c>
      <c r="X64" s="1">
        <v>49952</v>
      </c>
      <c r="Y64" s="1">
        <f t="shared" ref="Y64:AF64" si="35">+Y63*0.3</f>
        <v>34963.465999999942</v>
      </c>
      <c r="Z64" s="1">
        <f t="shared" si="35"/>
        <v>38800.538099999991</v>
      </c>
      <c r="AA64" s="1">
        <f t="shared" si="35"/>
        <v>40985.077455000021</v>
      </c>
      <c r="AB64" s="1">
        <f t="shared" si="35"/>
        <v>43331.615282249972</v>
      </c>
      <c r="AC64" s="1">
        <f t="shared" si="35"/>
        <v>45450.18177286943</v>
      </c>
      <c r="AD64" s="1">
        <f t="shared" si="35"/>
        <v>46907.130887323183</v>
      </c>
      <c r="AE64" s="1">
        <f t="shared" si="35"/>
        <v>48211.897055675399</v>
      </c>
      <c r="AF64" s="1">
        <f t="shared" si="35"/>
        <v>49753.768874293382</v>
      </c>
    </row>
    <row r="65" spans="2:131" s="2" customFormat="1" x14ac:dyDescent="0.25">
      <c r="B65" s="2" t="s">
        <v>14</v>
      </c>
      <c r="V65" s="2">
        <f>+V63-V64</f>
        <v>134257</v>
      </c>
      <c r="W65" s="2">
        <f>+W63-W64</f>
        <v>71011</v>
      </c>
      <c r="X65" s="2">
        <f t="shared" ref="X65:Y65" si="36">+X63-X64</f>
        <v>62401</v>
      </c>
      <c r="Y65" s="2">
        <f t="shared" si="36"/>
        <v>81581.420666666527</v>
      </c>
      <c r="Z65" s="2">
        <f t="shared" ref="Z65" si="37">+Z63-Z64</f>
        <v>90534.588899999988</v>
      </c>
      <c r="AA65" s="2">
        <f t="shared" ref="AA65" si="38">+AA63-AA64</f>
        <v>95631.847395000048</v>
      </c>
      <c r="AB65" s="2">
        <f t="shared" ref="AB65" si="39">+AB63-AB64</f>
        <v>101107.10232524994</v>
      </c>
      <c r="AC65" s="2">
        <f t="shared" ref="AC65" si="40">+AC63-AC64</f>
        <v>106050.42413669534</v>
      </c>
      <c r="AD65" s="2">
        <f t="shared" ref="AD65" si="41">+AD63-AD64</f>
        <v>109449.97207042077</v>
      </c>
      <c r="AE65" s="2">
        <f t="shared" ref="AE65" si="42">+AE63-AE64</f>
        <v>112494.42646324262</v>
      </c>
      <c r="AF65" s="2">
        <f t="shared" ref="AF65" si="43">+AF63-AF64</f>
        <v>116092.12737335124</v>
      </c>
    </row>
    <row r="66" spans="2:131" s="1" customFormat="1" x14ac:dyDescent="0.25">
      <c r="B66" s="1" t="s">
        <v>15</v>
      </c>
      <c r="V66" s="1">
        <v>3230</v>
      </c>
      <c r="W66" s="1">
        <v>-1765</v>
      </c>
      <c r="X66" s="1">
        <v>611</v>
      </c>
      <c r="Y66" s="1">
        <v>2000</v>
      </c>
      <c r="Z66" s="1">
        <v>2000</v>
      </c>
      <c r="AA66" s="1">
        <v>2000</v>
      </c>
      <c r="AB66" s="1">
        <v>2000</v>
      </c>
      <c r="AC66" s="1">
        <v>2000</v>
      </c>
      <c r="AD66" s="1">
        <v>2000</v>
      </c>
      <c r="AE66" s="1">
        <v>2000</v>
      </c>
      <c r="AF66" s="1">
        <v>2000</v>
      </c>
    </row>
    <row r="67" spans="2:131" s="1" customFormat="1" x14ac:dyDescent="0.25">
      <c r="B67" s="1" t="s">
        <v>80</v>
      </c>
      <c r="W67" s="1">
        <v>39205</v>
      </c>
      <c r="X67" s="1">
        <v>39734</v>
      </c>
      <c r="Y67" s="1">
        <f>+X67*1.01</f>
        <v>40131.340000000004</v>
      </c>
      <c r="Z67" s="1">
        <f t="shared" ref="Z67:AF67" si="44">+Y67*1.01</f>
        <v>40532.653400000003</v>
      </c>
      <c r="AA67" s="1">
        <f t="shared" si="44"/>
        <v>40937.979934000003</v>
      </c>
      <c r="AB67" s="1">
        <f t="shared" si="44"/>
        <v>41347.359733340003</v>
      </c>
      <c r="AC67" s="1">
        <f t="shared" si="44"/>
        <v>41760.833330673406</v>
      </c>
      <c r="AD67" s="1">
        <f t="shared" si="44"/>
        <v>42178.441663980142</v>
      </c>
      <c r="AE67" s="1">
        <f t="shared" si="44"/>
        <v>42600.226080619941</v>
      </c>
      <c r="AF67" s="1">
        <f t="shared" si="44"/>
        <v>43026.22834142614</v>
      </c>
    </row>
    <row r="68" spans="2:131" s="1" customFormat="1" x14ac:dyDescent="0.25">
      <c r="B68" s="1" t="s">
        <v>16</v>
      </c>
      <c r="V68" s="1">
        <f>+V65-V66+V67</f>
        <v>131027</v>
      </c>
      <c r="W68" s="1">
        <f>+W65-W66+W67</f>
        <v>111981</v>
      </c>
      <c r="X68" s="1">
        <f>+X65-X66+X67</f>
        <v>101524</v>
      </c>
      <c r="Y68" s="1">
        <f>+Y65-Y66+Y67</f>
        <v>119712.76066666652</v>
      </c>
      <c r="Z68" s="1">
        <f t="shared" ref="Z68:AF68" si="45">+Z65-Z66+Z67</f>
        <v>129067.24229999998</v>
      </c>
      <c r="AA68" s="1">
        <f t="shared" si="45"/>
        <v>134569.82732900005</v>
      </c>
      <c r="AB68" s="1">
        <f t="shared" si="45"/>
        <v>140454.46205858994</v>
      </c>
      <c r="AC68" s="1">
        <f t="shared" si="45"/>
        <v>145811.25746736873</v>
      </c>
      <c r="AD68" s="1">
        <f t="shared" si="45"/>
        <v>149628.41373440091</v>
      </c>
      <c r="AE68" s="1">
        <f t="shared" si="45"/>
        <v>153094.65254386255</v>
      </c>
      <c r="AF68" s="1">
        <f t="shared" si="45"/>
        <v>157118.35571477737</v>
      </c>
      <c r="AG68" s="1">
        <f t="shared" ref="AG68:BL68" si="46">+AF68*(1+TR)</f>
        <v>158689.53927192514</v>
      </c>
      <c r="AH68" s="1">
        <f t="shared" si="46"/>
        <v>160276.43466464439</v>
      </c>
      <c r="AI68" s="1">
        <f t="shared" si="46"/>
        <v>161879.19901129082</v>
      </c>
      <c r="AJ68" s="1">
        <f t="shared" si="46"/>
        <v>163497.99100140375</v>
      </c>
      <c r="AK68" s="1">
        <f t="shared" si="46"/>
        <v>165132.9709114178</v>
      </c>
      <c r="AL68" s="1">
        <f t="shared" si="46"/>
        <v>166784.30062053198</v>
      </c>
      <c r="AM68" s="1">
        <f t="shared" si="46"/>
        <v>168452.14362673729</v>
      </c>
      <c r="AN68" s="1">
        <f t="shared" si="46"/>
        <v>170136.66506300468</v>
      </c>
      <c r="AO68" s="1">
        <f t="shared" si="46"/>
        <v>171838.03171363473</v>
      </c>
      <c r="AP68" s="1">
        <f t="shared" si="46"/>
        <v>173556.41203077108</v>
      </c>
      <c r="AQ68" s="1">
        <f t="shared" si="46"/>
        <v>175291.97615107879</v>
      </c>
      <c r="AR68" s="1">
        <f t="shared" si="46"/>
        <v>177044.89591258959</v>
      </c>
      <c r="AS68" s="1">
        <f t="shared" si="46"/>
        <v>178815.3448717155</v>
      </c>
      <c r="AT68" s="1">
        <f t="shared" si="46"/>
        <v>180603.49832043264</v>
      </c>
      <c r="AU68" s="1">
        <f t="shared" si="46"/>
        <v>182409.53330363697</v>
      </c>
      <c r="AV68" s="1">
        <f t="shared" si="46"/>
        <v>184233.62863667335</v>
      </c>
      <c r="AW68" s="1">
        <f t="shared" si="46"/>
        <v>186075.9649230401</v>
      </c>
      <c r="AX68" s="1">
        <f t="shared" si="46"/>
        <v>187936.7245722705</v>
      </c>
      <c r="AY68" s="1">
        <f t="shared" si="46"/>
        <v>189816.09181799321</v>
      </c>
      <c r="AZ68" s="1">
        <f t="shared" si="46"/>
        <v>191714.25273617313</v>
      </c>
      <c r="BA68" s="1">
        <f t="shared" si="46"/>
        <v>193631.39526353485</v>
      </c>
      <c r="BB68" s="1">
        <f t="shared" si="46"/>
        <v>195567.70921617022</v>
      </c>
      <c r="BC68" s="1">
        <f t="shared" si="46"/>
        <v>197523.38630833192</v>
      </c>
      <c r="BD68" s="1">
        <f t="shared" si="46"/>
        <v>199498.62017141524</v>
      </c>
      <c r="BE68" s="1">
        <f t="shared" si="46"/>
        <v>201493.60637312938</v>
      </c>
      <c r="BF68" s="1">
        <f t="shared" si="46"/>
        <v>203508.54243686068</v>
      </c>
      <c r="BG68" s="1">
        <f t="shared" si="46"/>
        <v>205543.6278612293</v>
      </c>
      <c r="BH68" s="1">
        <f t="shared" si="46"/>
        <v>207599.06413984159</v>
      </c>
      <c r="BI68" s="1">
        <f t="shared" si="46"/>
        <v>209675.05478124</v>
      </c>
      <c r="BJ68" s="1">
        <f t="shared" si="46"/>
        <v>211771.80532905241</v>
      </c>
      <c r="BK68" s="1">
        <f t="shared" si="46"/>
        <v>213889.52338234294</v>
      </c>
      <c r="BL68" s="1">
        <f t="shared" si="46"/>
        <v>216028.41861616637</v>
      </c>
      <c r="BM68" s="1">
        <f t="shared" ref="BM68:CR68" si="47">+BL68*(1+TR)</f>
        <v>218188.70280232804</v>
      </c>
      <c r="BN68" s="1">
        <f t="shared" si="47"/>
        <v>220370.58983035132</v>
      </c>
      <c r="BO68" s="1">
        <f t="shared" si="47"/>
        <v>222574.29572865483</v>
      </c>
      <c r="BP68" s="1">
        <f t="shared" si="47"/>
        <v>224800.03868594137</v>
      </c>
      <c r="BQ68" s="1">
        <f t="shared" si="47"/>
        <v>227048.03907280078</v>
      </c>
      <c r="BR68" s="1">
        <f t="shared" si="47"/>
        <v>229318.51946352879</v>
      </c>
      <c r="BS68" s="1">
        <f t="shared" si="47"/>
        <v>231611.70465816409</v>
      </c>
      <c r="BT68" s="1">
        <f t="shared" si="47"/>
        <v>233927.82170474573</v>
      </c>
      <c r="BU68" s="1">
        <f t="shared" si="47"/>
        <v>236267.09992179318</v>
      </c>
      <c r="BV68" s="1">
        <f t="shared" si="47"/>
        <v>238629.77092101111</v>
      </c>
      <c r="BW68" s="1">
        <f t="shared" si="47"/>
        <v>241016.06863022121</v>
      </c>
      <c r="BX68" s="1">
        <f t="shared" si="47"/>
        <v>243426.22931652342</v>
      </c>
      <c r="BY68" s="1">
        <f t="shared" si="47"/>
        <v>245860.49160968864</v>
      </c>
      <c r="BZ68" s="1">
        <f t="shared" si="47"/>
        <v>248319.09652578554</v>
      </c>
      <c r="CA68" s="1">
        <f t="shared" si="47"/>
        <v>250802.28749104339</v>
      </c>
      <c r="CB68" s="1">
        <f t="shared" si="47"/>
        <v>253310.31036595383</v>
      </c>
      <c r="CC68" s="1">
        <f t="shared" si="47"/>
        <v>255843.41346961338</v>
      </c>
      <c r="CD68" s="1">
        <f t="shared" si="47"/>
        <v>258401.84760430953</v>
      </c>
      <c r="CE68" s="1">
        <f t="shared" si="47"/>
        <v>260985.86608035263</v>
      </c>
      <c r="CF68" s="1">
        <f t="shared" si="47"/>
        <v>263595.72474115615</v>
      </c>
      <c r="CG68" s="1">
        <f t="shared" si="47"/>
        <v>266231.6819885677</v>
      </c>
      <c r="CH68" s="1">
        <f t="shared" si="47"/>
        <v>268893.99880845338</v>
      </c>
      <c r="CI68" s="1">
        <f t="shared" si="47"/>
        <v>271582.93879653793</v>
      </c>
      <c r="CJ68" s="1">
        <f t="shared" si="47"/>
        <v>274298.76818450331</v>
      </c>
      <c r="CK68" s="1">
        <f t="shared" si="47"/>
        <v>277041.75586634834</v>
      </c>
      <c r="CL68" s="1">
        <f t="shared" si="47"/>
        <v>279812.1734250118</v>
      </c>
      <c r="CM68" s="1">
        <f t="shared" si="47"/>
        <v>282610.29515926191</v>
      </c>
      <c r="CN68" s="1">
        <f t="shared" si="47"/>
        <v>285436.39811085456</v>
      </c>
      <c r="CO68" s="1">
        <f t="shared" si="47"/>
        <v>288290.76209196309</v>
      </c>
      <c r="CP68" s="1">
        <f t="shared" si="47"/>
        <v>291173.66971288272</v>
      </c>
      <c r="CQ68" s="1">
        <f t="shared" si="47"/>
        <v>294085.40641001158</v>
      </c>
      <c r="CR68" s="1">
        <f t="shared" si="47"/>
        <v>297026.26047411171</v>
      </c>
      <c r="CS68" s="1">
        <f t="shared" ref="CS68:EA68" si="48">+CR68*(1+TR)</f>
        <v>299996.52307885286</v>
      </c>
      <c r="CT68" s="1">
        <f t="shared" si="48"/>
        <v>302996.48830964137</v>
      </c>
      <c r="CU68" s="1">
        <f t="shared" si="48"/>
        <v>306026.45319273777</v>
      </c>
      <c r="CV68" s="1">
        <f t="shared" si="48"/>
        <v>309086.71772466513</v>
      </c>
      <c r="CW68" s="1">
        <f t="shared" si="48"/>
        <v>312177.58490191179</v>
      </c>
      <c r="CX68" s="1">
        <f t="shared" si="48"/>
        <v>315299.36075093091</v>
      </c>
      <c r="CY68" s="1">
        <f t="shared" si="48"/>
        <v>318452.35435844021</v>
      </c>
      <c r="CZ68" s="1">
        <f t="shared" si="48"/>
        <v>321636.8779020246</v>
      </c>
      <c r="DA68" s="1">
        <f t="shared" si="48"/>
        <v>324853.24668104487</v>
      </c>
      <c r="DB68" s="1">
        <f t="shared" si="48"/>
        <v>328101.7791478553</v>
      </c>
      <c r="DC68" s="1">
        <f t="shared" si="48"/>
        <v>331382.79693933384</v>
      </c>
      <c r="DD68" s="1">
        <f t="shared" si="48"/>
        <v>334696.62490872719</v>
      </c>
      <c r="DE68" s="1">
        <f t="shared" si="48"/>
        <v>338043.59115781449</v>
      </c>
      <c r="DF68" s="1">
        <f t="shared" si="48"/>
        <v>341424.02706939261</v>
      </c>
      <c r="DG68" s="1">
        <f t="shared" si="48"/>
        <v>344838.26734008652</v>
      </c>
      <c r="DH68" s="1">
        <f t="shared" si="48"/>
        <v>348286.65001348738</v>
      </c>
      <c r="DI68" s="1">
        <f t="shared" si="48"/>
        <v>351769.51651362225</v>
      </c>
      <c r="DJ68" s="1">
        <f t="shared" si="48"/>
        <v>355287.2116787585</v>
      </c>
      <c r="DK68" s="1">
        <f t="shared" si="48"/>
        <v>358840.08379554609</v>
      </c>
      <c r="DL68" s="1">
        <f t="shared" si="48"/>
        <v>362428.48463350156</v>
      </c>
      <c r="DM68" s="1">
        <f t="shared" si="48"/>
        <v>366052.76947983657</v>
      </c>
      <c r="DN68" s="1">
        <f t="shared" si="48"/>
        <v>369713.29717463494</v>
      </c>
      <c r="DO68" s="1">
        <f t="shared" si="48"/>
        <v>373410.43014638132</v>
      </c>
      <c r="DP68" s="1">
        <f t="shared" si="48"/>
        <v>377144.53444784513</v>
      </c>
      <c r="DQ68" s="1">
        <f t="shared" si="48"/>
        <v>380915.9797923236</v>
      </c>
      <c r="DR68" s="1">
        <f t="shared" si="48"/>
        <v>384725.13959024684</v>
      </c>
      <c r="DS68" s="1">
        <f t="shared" si="48"/>
        <v>388572.39098614932</v>
      </c>
      <c r="DT68" s="1">
        <f t="shared" si="48"/>
        <v>392458.11489601084</v>
      </c>
      <c r="DU68" s="1">
        <f t="shared" si="48"/>
        <v>396382.69604497094</v>
      </c>
      <c r="DV68" s="1">
        <f t="shared" si="48"/>
        <v>400346.52300542063</v>
      </c>
      <c r="DW68" s="1">
        <f t="shared" si="48"/>
        <v>404349.98823547486</v>
      </c>
      <c r="DX68" s="1">
        <f t="shared" si="48"/>
        <v>408393.48811782961</v>
      </c>
      <c r="DY68" s="1">
        <f t="shared" si="48"/>
        <v>412477.42299900792</v>
      </c>
      <c r="DZ68" s="1">
        <f t="shared" si="48"/>
        <v>416602.197228998</v>
      </c>
      <c r="EA68" s="1">
        <f t="shared" si="48"/>
        <v>420768.21920128801</v>
      </c>
    </row>
    <row r="69" spans="2:131" s="1" customFormat="1" x14ac:dyDescent="0.25">
      <c r="B69" s="1" t="s">
        <v>56</v>
      </c>
      <c r="W69" s="5">
        <f>+W68/W70</f>
        <v>1.6181739045993992</v>
      </c>
      <c r="X69" s="5">
        <f>+X68/X70</f>
        <v>1.4670657298162135</v>
      </c>
      <c r="Y69" s="5">
        <f t="shared" ref="Y69:AF69" si="49">+Y68/Y70</f>
        <v>1.7299011917946183</v>
      </c>
      <c r="Z69" s="5">
        <f t="shared" si="49"/>
        <v>1.8650774991156331</v>
      </c>
      <c r="AA69" s="5">
        <f t="shared" si="49"/>
        <v>1.9445922337738988</v>
      </c>
      <c r="AB69" s="5">
        <f t="shared" si="49"/>
        <v>2.0296277519200281</v>
      </c>
      <c r="AC69" s="5">
        <f t="shared" si="49"/>
        <v>2.1070357634823798</v>
      </c>
      <c r="AD69" s="5">
        <f t="shared" si="49"/>
        <v>2.1621953232388522</v>
      </c>
      <c r="AE69" s="5">
        <f t="shared" si="49"/>
        <v>2.2122839738901279</v>
      </c>
      <c r="AF69" s="5">
        <f t="shared" si="49"/>
        <v>2.2704282257813255</v>
      </c>
    </row>
    <row r="70" spans="2:131" s="1" customFormat="1" x14ac:dyDescent="0.25">
      <c r="B70" s="1" t="s">
        <v>57</v>
      </c>
      <c r="W70" s="1">
        <v>69202.080000000002</v>
      </c>
      <c r="X70" s="1">
        <f>+W70</f>
        <v>69202.080000000002</v>
      </c>
      <c r="Y70" s="1">
        <f t="shared" ref="Y70:AF70" si="50">+X70</f>
        <v>69202.080000000002</v>
      </c>
      <c r="Z70" s="1">
        <f t="shared" si="50"/>
        <v>69202.080000000002</v>
      </c>
      <c r="AA70" s="1">
        <f t="shared" si="50"/>
        <v>69202.080000000002</v>
      </c>
      <c r="AB70" s="1">
        <f t="shared" si="50"/>
        <v>69202.080000000002</v>
      </c>
      <c r="AC70" s="1">
        <f t="shared" si="50"/>
        <v>69202.080000000002</v>
      </c>
      <c r="AD70" s="1">
        <f t="shared" si="50"/>
        <v>69202.080000000002</v>
      </c>
      <c r="AE70" s="1">
        <f t="shared" si="50"/>
        <v>69202.080000000002</v>
      </c>
      <c r="AF70" s="1">
        <f t="shared" si="50"/>
        <v>69202.080000000002</v>
      </c>
    </row>
    <row r="71" spans="2:131" s="1" customFormat="1" x14ac:dyDescent="0.25">
      <c r="V71" s="6"/>
      <c r="W71" s="6"/>
      <c r="X71" s="6"/>
    </row>
    <row r="72" spans="2:131" s="3" customFormat="1" x14ac:dyDescent="0.25">
      <c r="B72" s="3" t="s">
        <v>17</v>
      </c>
      <c r="V72" s="3">
        <f>+V53/V51</f>
        <v>0.21759843266190179</v>
      </c>
      <c r="W72" s="3">
        <f>+W53/W51</f>
        <v>0.21478688540999122</v>
      </c>
      <c r="X72" s="3">
        <f>+X53/X51</f>
        <v>0.21044988785663549</v>
      </c>
      <c r="Y72" s="3">
        <f>+Y53/Y51</f>
        <v>0.20999999999999996</v>
      </c>
      <c r="Z72" s="3">
        <f t="shared" ref="Z72:AF72" si="51">+Z53/Z51</f>
        <v>0.20999999999999996</v>
      </c>
      <c r="AA72" s="3">
        <f t="shared" si="51"/>
        <v>0.21000000000000002</v>
      </c>
      <c r="AB72" s="3">
        <f t="shared" si="51"/>
        <v>0.20999999999999996</v>
      </c>
      <c r="AC72" s="3">
        <f t="shared" si="51"/>
        <v>0.20999999999999996</v>
      </c>
      <c r="AD72" s="3">
        <f t="shared" si="51"/>
        <v>0.20999999999999994</v>
      </c>
      <c r="AE72" s="3">
        <f t="shared" si="51"/>
        <v>0.20999999999999991</v>
      </c>
      <c r="AF72" s="3">
        <f t="shared" si="51"/>
        <v>0.20999999999999996</v>
      </c>
    </row>
    <row r="73" spans="2:131" s="3" customFormat="1" x14ac:dyDescent="0.25">
      <c r="B73" s="3" t="s">
        <v>40</v>
      </c>
      <c r="V73" s="3">
        <f>+V59/V51</f>
        <v>4.7726900793821886E-2</v>
      </c>
      <c r="W73" s="3">
        <f t="shared" ref="W73:AF73" si="52">+W59/W51</f>
        <v>3.3321504689314586E-2</v>
      </c>
      <c r="X73" s="3">
        <f t="shared" si="52"/>
        <v>3.5512298482195961E-2</v>
      </c>
      <c r="Y73" s="3">
        <f t="shared" si="52"/>
        <v>3.4104100164706178E-2</v>
      </c>
      <c r="Z73" s="3">
        <f t="shared" si="52"/>
        <v>3.5361194647270798E-2</v>
      </c>
      <c r="AA73" s="3">
        <f t="shared" si="52"/>
        <v>3.5475545021502859E-2</v>
      </c>
      <c r="AB73" s="3">
        <f t="shared" si="52"/>
        <v>3.5741716250545175E-2</v>
      </c>
      <c r="AC73" s="3">
        <f t="shared" si="52"/>
        <v>3.6140080005330061E-2</v>
      </c>
      <c r="AD73" s="3">
        <f t="shared" si="52"/>
        <v>3.6282672985554716E-2</v>
      </c>
      <c r="AE73" s="3">
        <f t="shared" si="52"/>
        <v>3.626140965057064E-2</v>
      </c>
      <c r="AF73" s="3">
        <f t="shared" si="52"/>
        <v>3.6323893962023852E-2</v>
      </c>
    </row>
    <row r="74" spans="2:131" s="3" customFormat="1" x14ac:dyDescent="0.25">
      <c r="B74" s="3" t="s">
        <v>18</v>
      </c>
      <c r="V74" s="3">
        <f>+V68/V51</f>
        <v>3.0372043450424727E-2</v>
      </c>
      <c r="W74" s="3">
        <f>+W68/W51</f>
        <v>2.6687375134919228E-2</v>
      </c>
      <c r="X74" s="3">
        <f>+X68/X51</f>
        <v>2.3660105860353078E-2</v>
      </c>
      <c r="Y74" s="3">
        <f t="shared" ref="Y74:AF74" si="53">+Y68/Y51</f>
        <v>2.6707743721039911E-2</v>
      </c>
      <c r="Z74" s="3">
        <f t="shared" si="53"/>
        <v>2.7593041707567358E-2</v>
      </c>
      <c r="AA74" s="3">
        <f t="shared" si="53"/>
        <v>2.7710623763761901E-2</v>
      </c>
      <c r="AB74" s="3">
        <f t="shared" si="53"/>
        <v>2.7957047662051458E-2</v>
      </c>
      <c r="AC74" s="3">
        <f t="shared" si="53"/>
        <v>2.8334055536081374E-2</v>
      </c>
      <c r="AD74" s="3">
        <f t="shared" si="53"/>
        <v>2.8557348793535754E-2</v>
      </c>
      <c r="AE74" s="3">
        <f t="shared" si="53"/>
        <v>2.8667370159103089E-2</v>
      </c>
      <c r="AF74" s="3">
        <f t="shared" si="53"/>
        <v>2.88347704862945E-2</v>
      </c>
      <c r="AH74" s="3" t="s">
        <v>52</v>
      </c>
      <c r="AI74" s="3">
        <v>0.1</v>
      </c>
    </row>
    <row r="75" spans="2:131" s="3" customFormat="1" x14ac:dyDescent="0.25">
      <c r="B75" s="3" t="s">
        <v>19</v>
      </c>
      <c r="W75" s="3">
        <f>+W51/V51 -1</f>
        <v>-2.7360962952351686E-2</v>
      </c>
      <c r="X75" s="3">
        <f>+X51/W51 -1</f>
        <v>2.2618289816395354E-2</v>
      </c>
      <c r="Y75" s="3">
        <f t="shared" ref="Y75:AF75" si="54">+Y51/X51 -1</f>
        <v>4.4602855880395476E-2</v>
      </c>
      <c r="Z75" s="3">
        <f t="shared" si="54"/>
        <v>4.3549868327233732E-2</v>
      </c>
      <c r="AA75" s="3">
        <f t="shared" si="54"/>
        <v>3.8209359796498754E-2</v>
      </c>
      <c r="AB75" s="3">
        <f t="shared" si="54"/>
        <v>3.4529407827757153E-2</v>
      </c>
      <c r="AC75" s="3">
        <f t="shared" si="54"/>
        <v>2.4325727017313614E-2</v>
      </c>
      <c r="AD75" s="3">
        <f t="shared" si="54"/>
        <v>1.8154936785502729E-2</v>
      </c>
      <c r="AE75" s="3">
        <f t="shared" si="54"/>
        <v>1.9238878689982641E-2</v>
      </c>
      <c r="AF75" s="3">
        <f t="shared" si="54"/>
        <v>2.0324368874462317E-2</v>
      </c>
      <c r="AH75" s="3" t="s">
        <v>53</v>
      </c>
      <c r="AI75" s="3">
        <v>0.01</v>
      </c>
    </row>
    <row r="76" spans="2:131" s="3" customFormat="1" x14ac:dyDescent="0.25">
      <c r="B76" s="3" t="s">
        <v>79</v>
      </c>
      <c r="V76" s="3">
        <f>+V54/V$49</f>
        <v>0.12298469153202343</v>
      </c>
      <c r="W76" s="3">
        <f>+W54/W$49</f>
        <v>0.12424968175279857</v>
      </c>
      <c r="X76" s="3">
        <f>+X54/X$49</f>
        <v>0.12045874022510189</v>
      </c>
      <c r="Y76" s="3">
        <f>+Y54/Y$51</f>
        <v>8.7488079844295061E-2</v>
      </c>
      <c r="AH76" s="1" t="s">
        <v>54</v>
      </c>
      <c r="AI76" s="1">
        <f>NPV(AI74,X68:DU68)</f>
        <v>1511977.4108480511</v>
      </c>
    </row>
    <row r="77" spans="2:131" s="3" customFormat="1" x14ac:dyDescent="0.25">
      <c r="B77" s="3" t="s">
        <v>4</v>
      </c>
      <c r="V77" s="3">
        <f t="shared" ref="V77:X78" si="55">+V55/V$51</f>
        <v>5.045866243121918E-2</v>
      </c>
      <c r="W77" s="3">
        <f t="shared" si="55"/>
        <v>5.554013091901891E-2</v>
      </c>
      <c r="X77" s="3">
        <f t="shared" si="55"/>
        <v>6.0403604248583528E-2</v>
      </c>
      <c r="Y77" s="3">
        <f>+Y55/Y$51</f>
        <v>0.06</v>
      </c>
      <c r="AH77" s="2" t="s">
        <v>55</v>
      </c>
      <c r="AI77" s="2">
        <f>+AI76/AF70</f>
        <v>21.84872782506033</v>
      </c>
    </row>
    <row r="78" spans="2:131" s="3" customFormat="1" x14ac:dyDescent="0.25">
      <c r="B78" s="3" t="s">
        <v>5</v>
      </c>
      <c r="V78" s="3">
        <f t="shared" si="55"/>
        <v>3.1632803021557854E-2</v>
      </c>
      <c r="W78" s="3">
        <f t="shared" si="55"/>
        <v>3.5294798963496202E-2</v>
      </c>
      <c r="X78" s="3">
        <f t="shared" si="55"/>
        <v>3.1824058899969608E-2</v>
      </c>
      <c r="Y78" s="3">
        <f>+Y56/Y$51</f>
        <v>0.03</v>
      </c>
      <c r="AH78" s="1" t="s">
        <v>72</v>
      </c>
      <c r="AI78" s="1">
        <v>20</v>
      </c>
    </row>
    <row r="79" spans="2:131" s="1" customFormat="1" x14ac:dyDescent="0.25">
      <c r="AH79" s="1" t="s">
        <v>73</v>
      </c>
      <c r="AI79" s="8">
        <f>+AI77/AI78 -1</f>
        <v>9.2436391253016392E-2</v>
      </c>
    </row>
    <row r="80" spans="2:131" s="1" customFormat="1" x14ac:dyDescent="0.25">
      <c r="B80" s="1" t="s">
        <v>20</v>
      </c>
      <c r="V80" s="1">
        <v>264704</v>
      </c>
      <c r="W80" s="1">
        <v>287494</v>
      </c>
      <c r="X80" s="1">
        <v>384265</v>
      </c>
    </row>
    <row r="81" spans="2:32" s="1" customFormat="1" x14ac:dyDescent="0.25">
      <c r="B81" s="1" t="s">
        <v>21</v>
      </c>
      <c r="V81" s="1">
        <f>26828+74933</f>
        <v>101761</v>
      </c>
      <c r="W81" s="1">
        <f>38176+78584</f>
        <v>116760</v>
      </c>
      <c r="X81" s="1">
        <v>115432</v>
      </c>
    </row>
    <row r="82" spans="2:32" s="2" customFormat="1" x14ac:dyDescent="0.25">
      <c r="B82" s="2" t="s">
        <v>22</v>
      </c>
      <c r="V82" s="2">
        <f>+V80-V81</f>
        <v>162943</v>
      </c>
      <c r="W82" s="2">
        <f>+W80-W81</f>
        <v>170734</v>
      </c>
      <c r="X82" s="2">
        <f>+X80-X81</f>
        <v>268833</v>
      </c>
    </row>
    <row r="83" spans="2:32" s="1" customFormat="1" x14ac:dyDescent="0.25"/>
    <row r="84" spans="2:32" s="1" customFormat="1" x14ac:dyDescent="0.25">
      <c r="B84" s="1" t="s">
        <v>23</v>
      </c>
      <c r="V84" s="1">
        <v>716103</v>
      </c>
      <c r="W84" s="1">
        <v>1037137</v>
      </c>
      <c r="X84" s="1">
        <v>831585</v>
      </c>
      <c r="Y84" s="1">
        <f>+X84+Y68</f>
        <v>951297.76066666655</v>
      </c>
      <c r="Z84" s="1">
        <f t="shared" ref="Z84:AF84" si="56">+Y84+Z68</f>
        <v>1080365.0029666666</v>
      </c>
      <c r="AA84" s="1">
        <f t="shared" si="56"/>
        <v>1214934.8302956666</v>
      </c>
      <c r="AB84" s="1">
        <f t="shared" si="56"/>
        <v>1355389.2923542566</v>
      </c>
      <c r="AC84" s="1">
        <f t="shared" si="56"/>
        <v>1501200.5498216255</v>
      </c>
      <c r="AD84" s="1">
        <f t="shared" si="56"/>
        <v>1650828.9635560263</v>
      </c>
      <c r="AE84" s="1">
        <f t="shared" si="56"/>
        <v>1803923.6160998889</v>
      </c>
      <c r="AF84" s="1">
        <f t="shared" si="56"/>
        <v>1961041.9718146664</v>
      </c>
    </row>
    <row r="85" spans="2:32" s="1" customFormat="1" x14ac:dyDescent="0.25">
      <c r="B85" s="1" t="s">
        <v>31</v>
      </c>
      <c r="V85" s="1">
        <f>616965+190516+79297+2240</f>
        <v>889018</v>
      </c>
      <c r="W85" s="1">
        <f>781426+39123+68795+1459</f>
        <v>890803</v>
      </c>
    </row>
    <row r="86" spans="2:32" s="1" customFormat="1" x14ac:dyDescent="0.25">
      <c r="B86" s="1" t="s">
        <v>26</v>
      </c>
      <c r="V86" s="1">
        <v>559190</v>
      </c>
      <c r="W86" s="1">
        <v>598650</v>
      </c>
    </row>
    <row r="87" spans="2:32" s="1" customFormat="1" x14ac:dyDescent="0.25">
      <c r="B87" s="1" t="s">
        <v>24</v>
      </c>
      <c r="V87" s="1">
        <v>852544</v>
      </c>
      <c r="W87" s="1">
        <v>781426</v>
      </c>
      <c r="X87" s="1">
        <v>627516</v>
      </c>
    </row>
    <row r="88" spans="2:32" s="1" customFormat="1" x14ac:dyDescent="0.25">
      <c r="B88" s="1" t="s">
        <v>25</v>
      </c>
      <c r="V88" s="1">
        <v>588525</v>
      </c>
      <c r="W88" s="1">
        <v>655161</v>
      </c>
      <c r="X88" s="1">
        <v>679591</v>
      </c>
    </row>
    <row r="89" spans="2:32" s="1" customFormat="1" x14ac:dyDescent="0.25"/>
    <row r="90" spans="2:32" s="1" customFormat="1" x14ac:dyDescent="0.25">
      <c r="B90" s="1" t="s">
        <v>27</v>
      </c>
      <c r="V90" s="1">
        <f>49959+756365</f>
        <v>806324</v>
      </c>
      <c r="W90" s="1">
        <f>953183+104852</f>
        <v>1058035</v>
      </c>
      <c r="X90" s="1">
        <f>54951+1138118</f>
        <v>1193069</v>
      </c>
      <c r="Y90" s="1">
        <f>+X90-50000</f>
        <v>1143069</v>
      </c>
      <c r="Z90" s="1">
        <f t="shared" ref="Z90:AF90" si="57">+Y90-50000</f>
        <v>1093069</v>
      </c>
      <c r="AA90" s="1">
        <f t="shared" si="57"/>
        <v>1043069</v>
      </c>
      <c r="AB90" s="1">
        <f t="shared" si="57"/>
        <v>993069</v>
      </c>
      <c r="AC90" s="1">
        <f t="shared" si="57"/>
        <v>943069</v>
      </c>
      <c r="AD90" s="1">
        <f t="shared" si="57"/>
        <v>893069</v>
      </c>
      <c r="AE90" s="1">
        <f t="shared" si="57"/>
        <v>843069</v>
      </c>
      <c r="AF90" s="1">
        <f t="shared" si="57"/>
        <v>793069</v>
      </c>
    </row>
    <row r="91" spans="2:32" s="1" customFormat="1" x14ac:dyDescent="0.25">
      <c r="B91" s="1" t="s">
        <v>28</v>
      </c>
      <c r="V91" s="1">
        <v>605731</v>
      </c>
      <c r="W91" s="1">
        <v>598988</v>
      </c>
    </row>
    <row r="92" spans="2:32" s="1" customFormat="1" x14ac:dyDescent="0.25">
      <c r="B92" s="1" t="s">
        <v>29</v>
      </c>
      <c r="V92" s="1">
        <f>153235+1038972+37841+354615+77652+130902</f>
        <v>1793217</v>
      </c>
      <c r="W92" s="1">
        <f>125508+370089+382080+922708+188451+61040</f>
        <v>2049876</v>
      </c>
    </row>
    <row r="93" spans="2:32" s="2" customFormat="1" x14ac:dyDescent="0.25">
      <c r="B93" s="2" t="s">
        <v>30</v>
      </c>
      <c r="V93" s="2">
        <f>+SUM(V84:V88)-SUM(V90:V92)</f>
        <v>400108</v>
      </c>
      <c r="W93" s="2">
        <f>+SUM(W84:W88)-SUM(W90:W92)</f>
        <v>256278</v>
      </c>
    </row>
    <row r="94" spans="2:32" s="1" customFormat="1" x14ac:dyDescent="0.25">
      <c r="B94" s="1" t="s">
        <v>32</v>
      </c>
      <c r="V94" s="1">
        <f>+V84-V90</f>
        <v>-90221</v>
      </c>
      <c r="W94" s="1">
        <f>+W84-W90</f>
        <v>-20898</v>
      </c>
    </row>
    <row r="95" spans="2:32" s="1" customFormat="1" x14ac:dyDescent="0.25"/>
    <row r="96" spans="2:32" s="3" customFormat="1" x14ac:dyDescent="0.25">
      <c r="B96" s="3" t="s">
        <v>33</v>
      </c>
      <c r="V96" s="3">
        <f>+V62/V90</f>
        <v>3.7974809133797333E-2</v>
      </c>
      <c r="W96" s="3">
        <f>+W62/W90</f>
        <v>5.4418804670922985E-2</v>
      </c>
      <c r="X96" s="3">
        <f>+X62/X90</f>
        <v>6.381441475723533E-2</v>
      </c>
    </row>
    <row r="97" spans="2:24" s="3" customFormat="1" x14ac:dyDescent="0.25">
      <c r="B97" s="3" t="s">
        <v>34</v>
      </c>
      <c r="V97" s="3">
        <f>+V61/V84</f>
        <v>1.604098851701501E-2</v>
      </c>
      <c r="W97" s="3">
        <f>+W61/W84</f>
        <v>3.0885987097172312E-2</v>
      </c>
      <c r="X97" s="3">
        <f>+X61/X84</f>
        <v>4.2474311104697654E-2</v>
      </c>
    </row>
    <row r="98" spans="2:24" s="1" customFormat="1" x14ac:dyDescent="0.25"/>
    <row r="99" spans="2:24" s="1" customFormat="1" x14ac:dyDescent="0.25">
      <c r="B99" s="2" t="s">
        <v>77</v>
      </c>
      <c r="W99" s="1">
        <f>+SUM(W100:W103)</f>
        <v>1325705</v>
      </c>
      <c r="X99" s="1">
        <f>+SUM(X100:X103)</f>
        <v>1401617</v>
      </c>
    </row>
    <row r="100" spans="2:24" s="1" customFormat="1" x14ac:dyDescent="0.25">
      <c r="B100" s="1" t="s">
        <v>1</v>
      </c>
      <c r="W100" s="1">
        <v>834112</v>
      </c>
      <c r="X100" s="1">
        <v>878484</v>
      </c>
    </row>
    <row r="101" spans="2:24" s="1" customFormat="1" x14ac:dyDescent="0.25">
      <c r="B101" s="1" t="s">
        <v>3</v>
      </c>
      <c r="W101" s="1">
        <v>259472</v>
      </c>
      <c r="X101" s="1">
        <v>262262</v>
      </c>
    </row>
    <row r="102" spans="2:24" s="1" customFormat="1" x14ac:dyDescent="0.25">
      <c r="B102" s="1" t="s">
        <v>5</v>
      </c>
      <c r="W102" s="1">
        <v>96871</v>
      </c>
      <c r="X102" s="1">
        <v>98643</v>
      </c>
    </row>
    <row r="103" spans="2:24" s="1" customFormat="1" x14ac:dyDescent="0.25">
      <c r="B103" s="1" t="s">
        <v>4</v>
      </c>
      <c r="W103" s="1">
        <v>135250</v>
      </c>
      <c r="X103" s="1">
        <v>162228</v>
      </c>
    </row>
    <row r="104" spans="2:24" s="1" customFormat="1" x14ac:dyDescent="0.25"/>
    <row r="105" spans="2:24" s="1" customFormat="1" x14ac:dyDescent="0.25"/>
    <row r="106" spans="2:24" s="1" customFormat="1" x14ac:dyDescent="0.25"/>
    <row r="107" spans="2:24" s="1" customFormat="1" x14ac:dyDescent="0.25"/>
    <row r="108" spans="2:24" s="2" customFormat="1" x14ac:dyDescent="0.25">
      <c r="B108" s="2" t="s">
        <v>47</v>
      </c>
      <c r="V108" s="2">
        <f>+SUM(V109:V114)</f>
        <v>18514</v>
      </c>
      <c r="W108" s="2">
        <f>+SUM(W109:W114)</f>
        <v>21597</v>
      </c>
    </row>
    <row r="109" spans="2:24" s="1" customFormat="1" x14ac:dyDescent="0.25">
      <c r="B109" s="1" t="s">
        <v>35</v>
      </c>
      <c r="V109" s="1">
        <v>4555</v>
      </c>
      <c r="W109" s="1">
        <v>4772</v>
      </c>
    </row>
    <row r="110" spans="2:24" s="1" customFormat="1" x14ac:dyDescent="0.25">
      <c r="B110" s="1" t="s">
        <v>37</v>
      </c>
      <c r="V110" s="1">
        <v>2040</v>
      </c>
      <c r="W110" s="1">
        <v>2084</v>
      </c>
    </row>
    <row r="111" spans="2:24" s="1" customFormat="1" x14ac:dyDescent="0.25">
      <c r="B111" s="1" t="s">
        <v>36</v>
      </c>
      <c r="V111" s="1">
        <v>1363</v>
      </c>
      <c r="W111" s="1">
        <v>1525</v>
      </c>
    </row>
    <row r="112" spans="2:24" s="1" customFormat="1" x14ac:dyDescent="0.25">
      <c r="B112" s="1" t="s">
        <v>38</v>
      </c>
      <c r="V112" s="1">
        <v>2591</v>
      </c>
      <c r="W112" s="1">
        <v>5240</v>
      </c>
    </row>
    <row r="113" spans="2:23" s="1" customFormat="1" x14ac:dyDescent="0.25">
      <c r="B113" s="1" t="s">
        <v>39</v>
      </c>
      <c r="V113" s="1">
        <v>7525</v>
      </c>
      <c r="W113" s="1">
        <v>7348</v>
      </c>
    </row>
    <row r="114" spans="2:23" s="1" customFormat="1" x14ac:dyDescent="0.25">
      <c r="B114" s="1" t="s">
        <v>48</v>
      </c>
      <c r="V114" s="1">
        <v>440</v>
      </c>
      <c r="W114" s="1">
        <v>628</v>
      </c>
    </row>
    <row r="115" spans="2:23" s="1" customFormat="1" x14ac:dyDescent="0.25"/>
    <row r="116" spans="2:23" s="1" customFormat="1" x14ac:dyDescent="0.25">
      <c r="B116" s="2" t="s">
        <v>49</v>
      </c>
    </row>
    <row r="117" spans="2:23" s="1" customFormat="1" x14ac:dyDescent="0.25">
      <c r="B117" s="1" t="s">
        <v>35</v>
      </c>
      <c r="V117" s="1">
        <f t="shared" ref="V117:W120" si="58">+V15/V109 *1000</f>
        <v>278.04610318331504</v>
      </c>
      <c r="W117" s="1">
        <f t="shared" si="58"/>
        <v>285.75020955574183</v>
      </c>
    </row>
    <row r="118" spans="2:23" s="1" customFormat="1" x14ac:dyDescent="0.25">
      <c r="B118" s="1" t="s">
        <v>37</v>
      </c>
      <c r="V118" s="1">
        <f t="shared" si="58"/>
        <v>274.50980392156868</v>
      </c>
      <c r="W118" s="1">
        <f t="shared" si="58"/>
        <v>294.62571976967371</v>
      </c>
    </row>
    <row r="119" spans="2:23" s="1" customFormat="1" x14ac:dyDescent="0.25">
      <c r="B119" s="1" t="s">
        <v>36</v>
      </c>
      <c r="V119" s="1">
        <f t="shared" si="58"/>
        <v>330.15407190022012</v>
      </c>
      <c r="W119" s="1">
        <f t="shared" si="58"/>
        <v>315.54098360655735</v>
      </c>
    </row>
    <row r="120" spans="2:23" s="1" customFormat="1" x14ac:dyDescent="0.25">
      <c r="B120" s="1" t="s">
        <v>38</v>
      </c>
      <c r="V120" s="1">
        <f t="shared" si="58"/>
        <v>172.86761868004629</v>
      </c>
      <c r="W120" s="1">
        <f t="shared" si="58"/>
        <v>112.7290076335878</v>
      </c>
    </row>
    <row r="121" spans="2:23" s="1" customFormat="1" x14ac:dyDescent="0.25">
      <c r="B121" s="1" t="s">
        <v>39</v>
      </c>
      <c r="V121" s="1">
        <f>+V22/V113 *1000</f>
        <v>212.62458471760797</v>
      </c>
      <c r="W121" s="1">
        <f>+W22/W113 *1000</f>
        <v>221.1622210125204</v>
      </c>
    </row>
    <row r="122" spans="2:23" s="1" customFormat="1" x14ac:dyDescent="0.25"/>
    <row r="123" spans="2:23" s="1" customFormat="1" x14ac:dyDescent="0.25">
      <c r="B123" s="2" t="s">
        <v>50</v>
      </c>
    </row>
    <row r="124" spans="2:23" s="1" customFormat="1" x14ac:dyDescent="0.25">
      <c r="B124" s="1" t="s">
        <v>35</v>
      </c>
      <c r="V124" s="4">
        <f t="shared" ref="V124:W128" si="59">+V40/V109 *1000</f>
        <v>11.37211855104281</v>
      </c>
      <c r="W124" s="4">
        <f t="shared" si="59"/>
        <v>14.459346186085499</v>
      </c>
    </row>
    <row r="125" spans="2:23" s="1" customFormat="1" x14ac:dyDescent="0.25">
      <c r="B125" s="1" t="s">
        <v>37</v>
      </c>
      <c r="V125" s="4">
        <f t="shared" si="59"/>
        <v>23.97058823529412</v>
      </c>
      <c r="W125" s="4">
        <f t="shared" si="59"/>
        <v>29.078694817658349</v>
      </c>
    </row>
    <row r="126" spans="2:23" s="1" customFormat="1" x14ac:dyDescent="0.25">
      <c r="B126" s="1" t="s">
        <v>36</v>
      </c>
      <c r="V126" s="4">
        <f t="shared" si="59"/>
        <v>4.2553191489361701</v>
      </c>
      <c r="W126" s="4">
        <f t="shared" si="59"/>
        <v>19.868852459016395</v>
      </c>
    </row>
    <row r="127" spans="2:23" s="1" customFormat="1" x14ac:dyDescent="0.25">
      <c r="B127" s="1" t="s">
        <v>38</v>
      </c>
      <c r="V127" s="4">
        <f t="shared" si="59"/>
        <v>7.7190274025472796</v>
      </c>
      <c r="W127" s="4">
        <f t="shared" si="59"/>
        <v>5.6297709923664119</v>
      </c>
    </row>
    <row r="128" spans="2:23" s="1" customFormat="1" x14ac:dyDescent="0.25">
      <c r="B128" s="1" t="s">
        <v>39</v>
      </c>
      <c r="V128" s="4">
        <f t="shared" si="59"/>
        <v>14.285714285714285</v>
      </c>
      <c r="W128" s="4">
        <f t="shared" si="59"/>
        <v>17.651061513336963</v>
      </c>
    </row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2024-08-17T13:49:19Z</dcterms:created>
  <dcterms:modified xsi:type="dcterms:W3CDTF">2026-02-06T00:44:12Z</dcterms:modified>
</cp:coreProperties>
</file>