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F485127-A809-4409-8432-88E5DB2E9232}" xr6:coauthVersionLast="47" xr6:coauthVersionMax="47" xr10:uidLastSave="{00000000-0000-0000-0000-000000000000}"/>
  <bookViews>
    <workbookView xWindow="-28920" yWindow="-120" windowWidth="29040" windowHeight="15840" xr2:uid="{18E004AD-9100-41AC-8A29-4E1D9EB13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0" i="1" l="1"/>
  <c r="Y27" i="1"/>
  <c r="Y26" i="1"/>
  <c r="V9" i="1"/>
  <c r="U9" i="1"/>
  <c r="T9" i="1"/>
  <c r="V5" i="1"/>
  <c r="U5" i="1"/>
  <c r="T5" i="1"/>
  <c r="S5" i="1"/>
  <c r="Y21" i="1"/>
  <c r="M11" i="1"/>
  <c r="N39" i="1"/>
  <c r="O39" i="1" s="1"/>
  <c r="P39" i="1" s="1"/>
  <c r="Q39" i="1" s="1"/>
  <c r="R39" i="1" s="1"/>
  <c r="S39" i="1" s="1"/>
  <c r="T39" i="1" s="1"/>
  <c r="U39" i="1" s="1"/>
  <c r="V39" i="1" s="1"/>
  <c r="L39" i="1"/>
  <c r="R5" i="1"/>
  <c r="Q5" i="1"/>
  <c r="Q6" i="1" s="1"/>
  <c r="P5" i="1"/>
  <c r="P6" i="1" s="1"/>
  <c r="O5" i="1"/>
  <c r="O6" i="1" s="1"/>
  <c r="N5" i="1"/>
  <c r="N6" i="1" s="1"/>
  <c r="O8" i="1"/>
  <c r="P8" i="1"/>
  <c r="Q8" i="1"/>
  <c r="R8" i="1"/>
  <c r="S8" i="1"/>
  <c r="T8" i="1"/>
  <c r="U8" i="1"/>
  <c r="V8" i="1"/>
  <c r="N8" i="1"/>
  <c r="S9" i="1"/>
  <c r="M19" i="1"/>
  <c r="M8" i="1"/>
  <c r="M27" i="1" s="1"/>
  <c r="N9" i="1"/>
  <c r="O9" i="1" s="1"/>
  <c r="P9" i="1" s="1"/>
  <c r="Q9" i="1" s="1"/>
  <c r="R9" i="1" s="1"/>
  <c r="M9" i="1"/>
  <c r="M28" i="1" s="1"/>
  <c r="N7" i="1"/>
  <c r="O7" i="1" s="1"/>
  <c r="N26" i="1"/>
  <c r="N28" i="1"/>
  <c r="M26" i="1"/>
  <c r="K26" i="1"/>
  <c r="K27" i="1"/>
  <c r="K28" i="1"/>
  <c r="J27" i="1"/>
  <c r="J28" i="1"/>
  <c r="J26" i="1"/>
  <c r="M18" i="1"/>
  <c r="M5" i="1"/>
  <c r="M6" i="1" s="1"/>
  <c r="Q20" i="1"/>
  <c r="R20" i="1"/>
  <c r="S20" i="1"/>
  <c r="T20" i="1"/>
  <c r="U20" i="1"/>
  <c r="V20" i="1"/>
  <c r="N20" i="1"/>
  <c r="R6" i="1"/>
  <c r="L36" i="1"/>
  <c r="L35" i="1"/>
  <c r="K23" i="1"/>
  <c r="K24" i="1" s="1"/>
  <c r="J23" i="1"/>
  <c r="J24" i="1" s="1"/>
  <c r="L15" i="1"/>
  <c r="L13" i="1"/>
  <c r="L11" i="1"/>
  <c r="L9" i="1"/>
  <c r="L28" i="1" s="1"/>
  <c r="L8" i="1"/>
  <c r="L27" i="1" s="1"/>
  <c r="L7" i="1"/>
  <c r="L26" i="1" s="1"/>
  <c r="L5" i="1"/>
  <c r="L4" i="1"/>
  <c r="M20" i="1" s="1"/>
  <c r="K6" i="1"/>
  <c r="J6" i="1"/>
  <c r="J10" i="1" s="1"/>
  <c r="J14" i="1" s="1"/>
  <c r="J16" i="1" s="1"/>
  <c r="K2" i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O27" i="1" l="1"/>
  <c r="N27" i="1"/>
  <c r="O28" i="1"/>
  <c r="P7" i="1"/>
  <c r="O26" i="1"/>
  <c r="M7" i="1"/>
  <c r="M10" i="1"/>
  <c r="M14" i="1" s="1"/>
  <c r="M16" i="1" s="1"/>
  <c r="M36" i="1" s="1"/>
  <c r="O10" i="1"/>
  <c r="O18" i="1"/>
  <c r="P10" i="1"/>
  <c r="P18" i="1"/>
  <c r="N10" i="1"/>
  <c r="N18" i="1"/>
  <c r="L20" i="1"/>
  <c r="R18" i="1"/>
  <c r="Q18" i="1"/>
  <c r="J18" i="1"/>
  <c r="S6" i="1"/>
  <c r="P20" i="1"/>
  <c r="O20" i="1"/>
  <c r="J19" i="1"/>
  <c r="K18" i="1"/>
  <c r="K10" i="1"/>
  <c r="K19" i="1" s="1"/>
  <c r="L6" i="1"/>
  <c r="N11" i="1" l="1"/>
  <c r="N14" i="1" s="1"/>
  <c r="O19" i="1"/>
  <c r="P19" i="1"/>
  <c r="N19" i="1"/>
  <c r="P27" i="1"/>
  <c r="P28" i="1"/>
  <c r="P26" i="1"/>
  <c r="Q7" i="1"/>
  <c r="S18" i="1"/>
  <c r="T6" i="1"/>
  <c r="L10" i="1"/>
  <c r="L18" i="1"/>
  <c r="K14" i="1"/>
  <c r="K16" i="1" s="1"/>
  <c r="N16" i="1" l="1"/>
  <c r="N36" i="1" s="1"/>
  <c r="O11" i="1" s="1"/>
  <c r="O14" i="1" s="1"/>
  <c r="O16" i="1" s="1"/>
  <c r="O36" i="1" s="1"/>
  <c r="P11" i="1" s="1"/>
  <c r="P14" i="1" s="1"/>
  <c r="Q27" i="1"/>
  <c r="Q28" i="1"/>
  <c r="Q26" i="1"/>
  <c r="R7" i="1"/>
  <c r="Q10" i="1"/>
  <c r="T18" i="1"/>
  <c r="U6" i="1"/>
  <c r="V6" i="1"/>
  <c r="L14" i="1"/>
  <c r="L16" i="1" s="1"/>
  <c r="L38" i="1" s="1"/>
  <c r="L19" i="1"/>
  <c r="P16" i="1" l="1"/>
  <c r="P36" i="1" s="1"/>
  <c r="Q11" i="1" s="1"/>
  <c r="Q14" i="1" s="1"/>
  <c r="Q19" i="1"/>
  <c r="R27" i="1"/>
  <c r="R28" i="1"/>
  <c r="R26" i="1"/>
  <c r="S7" i="1"/>
  <c r="R10" i="1"/>
  <c r="U18" i="1"/>
  <c r="V18" i="1"/>
  <c r="Q16" i="1" l="1"/>
  <c r="Q36" i="1" s="1"/>
  <c r="R11" i="1" s="1"/>
  <c r="R14" i="1" s="1"/>
  <c r="R19" i="1"/>
  <c r="S27" i="1"/>
  <c r="S28" i="1"/>
  <c r="S26" i="1"/>
  <c r="T7" i="1"/>
  <c r="S10" i="1"/>
  <c r="R15" i="1" l="1"/>
  <c r="R16" i="1" s="1"/>
  <c r="R36" i="1" s="1"/>
  <c r="S11" i="1" s="1"/>
  <c r="S14" i="1" s="1"/>
  <c r="S19" i="1"/>
  <c r="T27" i="1"/>
  <c r="T28" i="1"/>
  <c r="T26" i="1"/>
  <c r="U7" i="1"/>
  <c r="T10" i="1"/>
  <c r="S15" i="1" l="1"/>
  <c r="S16" i="1" s="1"/>
  <c r="S36" i="1" s="1"/>
  <c r="T11" i="1" s="1"/>
  <c r="T14" i="1" s="1"/>
  <c r="T19" i="1"/>
  <c r="U27" i="1"/>
  <c r="V27" i="1"/>
  <c r="U28" i="1"/>
  <c r="V28" i="1"/>
  <c r="V7" i="1"/>
  <c r="U26" i="1"/>
  <c r="U10" i="1"/>
  <c r="T15" i="1" l="1"/>
  <c r="T16" i="1" s="1"/>
  <c r="T36" i="1" s="1"/>
  <c r="U11" i="1" s="1"/>
  <c r="U14" i="1" s="1"/>
  <c r="U19" i="1"/>
  <c r="V26" i="1"/>
  <c r="V10" i="1"/>
  <c r="U15" i="1" l="1"/>
  <c r="U16" i="1" s="1"/>
  <c r="U36" i="1" s="1"/>
  <c r="V11" i="1" s="1"/>
  <c r="V14" i="1" s="1"/>
  <c r="V19" i="1"/>
  <c r="V15" i="1" l="1"/>
  <c r="V16" i="1" s="1"/>
  <c r="V36" i="1" l="1"/>
  <c r="W16" i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Y22" i="1" l="1"/>
  <c r="Y24" i="1" s="1"/>
</calcChain>
</file>

<file path=xl/sharedStrings.xml><?xml version="1.0" encoding="utf-8"?>
<sst xmlns="http://schemas.openxmlformats.org/spreadsheetml/2006/main" count="38" uniqueCount="35">
  <si>
    <t>Revenue</t>
  </si>
  <si>
    <t>COGS</t>
  </si>
  <si>
    <t>Gross Profit</t>
  </si>
  <si>
    <t>R&amp;D</t>
  </si>
  <si>
    <t>S&amp;M</t>
  </si>
  <si>
    <t>G&amp;A</t>
  </si>
  <si>
    <t>Operating Income</t>
  </si>
  <si>
    <t>Interest Income</t>
  </si>
  <si>
    <t>Interest Expenses</t>
  </si>
  <si>
    <t>Other income</t>
  </si>
  <si>
    <t>Pretax</t>
  </si>
  <si>
    <t>Taxes</t>
  </si>
  <si>
    <t>net Income</t>
  </si>
  <si>
    <t>Gross Margin</t>
  </si>
  <si>
    <t>Operating Margin</t>
  </si>
  <si>
    <t>CFFO</t>
  </si>
  <si>
    <t>CapEx</t>
  </si>
  <si>
    <t>FCF</t>
  </si>
  <si>
    <t>Cash</t>
  </si>
  <si>
    <t>Investments</t>
  </si>
  <si>
    <t>Inventory</t>
  </si>
  <si>
    <t>PP&amp;E</t>
  </si>
  <si>
    <t>Debt</t>
  </si>
  <si>
    <t>Equity</t>
  </si>
  <si>
    <t>Run rate</t>
  </si>
  <si>
    <t>Liquid Equity</t>
  </si>
  <si>
    <t>Revenue Y/Y</t>
  </si>
  <si>
    <t>Yield</t>
  </si>
  <si>
    <t>Discount</t>
  </si>
  <si>
    <t>Terminal</t>
  </si>
  <si>
    <t>NPV</t>
  </si>
  <si>
    <t>Net Cash</t>
  </si>
  <si>
    <t>Value</t>
  </si>
  <si>
    <t>Shares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</si>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</sst>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\-&quot;€&quot;\ 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5" fontId="0" fillId="0" borderId="0" xfId="1" applyNumberFormat="1" applyFont="1"/>
    <xf numFmtId="8" fontId="0" fillId="0" borderId="0" xfId="1" applyNumberFormat="1" applyFon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40106</xdr:colOff>
      <xdr:row>2</xdr:row>
      <xdr:rowOff>120316</xdr:rowOff>
    </xdr:from>
    <xdr:to>
      <xdr:col>12</xdr:col>
      <xdr:colOff>50132</xdr:colOff>
      <xdr:row>28</xdr:row>
      <xdr:rowOff>10026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3AB559C-0686-120D-D207-7BF6809668E9}"/>
            </a:ext>
          </a:extLst>
        </xdr:cNvPr>
        <xdr:cNvCxnSpPr/>
      </xdr:nvCxnSpPr>
      <xdr:spPr>
        <a:xfrm>
          <a:off x="7479632" y="501316"/>
          <a:ext cx="10026" cy="3890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F72F-D564-4C8B-9E94-D3C52D8A94B0}">
  <dimension ref="B2:DY130"/>
  <sheetViews>
    <sheetView tabSelected="1" zoomScale="190" zoomScaleNormal="190" workbookViewId="0">
      <pane xSplit="2" ySplit="2" topLeftCell="Q12" activePane="bottomRight" state="frozen"/>
      <selection pane="topRight" activeCell="C1" sqref="C1"/>
      <selection pane="bottomLeft" activeCell="A3" sqref="A3"/>
      <selection pane="bottomRight" activeCell="Y20" sqref="Y20"/>
    </sheetView>
  </sheetViews>
  <sheetFormatPr defaultRowHeight="15" x14ac:dyDescent="0.25"/>
  <cols>
    <col min="1" max="1" width="2.85546875" customWidth="1"/>
    <col min="2" max="2" width="17" bestFit="1" customWidth="1"/>
    <col min="25" max="25" width="13.28515625" bestFit="1" customWidth="1"/>
  </cols>
  <sheetData>
    <row r="2" spans="2:129" x14ac:dyDescent="0.25">
      <c r="J2">
        <v>2023</v>
      </c>
      <c r="K2">
        <f>+J2+1</f>
        <v>2024</v>
      </c>
      <c r="L2">
        <f>+K2+1</f>
        <v>2025</v>
      </c>
      <c r="M2">
        <f t="shared" ref="M2:V2" si="0">+L2+1</f>
        <v>2026</v>
      </c>
      <c r="N2">
        <f t="shared" si="0"/>
        <v>2027</v>
      </c>
      <c r="O2">
        <f t="shared" si="0"/>
        <v>2028</v>
      </c>
      <c r="P2">
        <f t="shared" si="0"/>
        <v>2029</v>
      </c>
      <c r="Q2">
        <f t="shared" si="0"/>
        <v>2030</v>
      </c>
      <c r="R2">
        <f t="shared" si="0"/>
        <v>2031</v>
      </c>
      <c r="S2">
        <f t="shared" si="0"/>
        <v>2032</v>
      </c>
      <c r="T2">
        <f t="shared" si="0"/>
        <v>2033</v>
      </c>
      <c r="U2">
        <f t="shared" si="0"/>
        <v>2034</v>
      </c>
      <c r="V2">
        <f t="shared" si="0"/>
        <v>2035</v>
      </c>
    </row>
    <row r="3" spans="2:129" s="1" customFormat="1" x14ac:dyDescent="0.25">
      <c r="K3" s="4"/>
      <c r="L3" s="4"/>
    </row>
    <row r="4" spans="2:129" s="2" customFormat="1" x14ac:dyDescent="0.25">
      <c r="B4" s="2" t="s">
        <v>0</v>
      </c>
      <c r="J4" s="2">
        <v>83279</v>
      </c>
      <c r="K4" s="2">
        <v>111101</v>
      </c>
      <c r="L4" s="2">
        <f>107206*1.33</f>
        <v>142583.98000000001</v>
      </c>
      <c r="M4" s="2">
        <v>200000</v>
      </c>
      <c r="N4" s="2">
        <v>275000</v>
      </c>
      <c r="O4" s="2">
        <v>370000</v>
      </c>
      <c r="P4" s="2">
        <v>480000</v>
      </c>
      <c r="Q4" s="2">
        <v>600000</v>
      </c>
      <c r="R4" s="2">
        <v>750000</v>
      </c>
      <c r="S4" s="2">
        <v>925000</v>
      </c>
      <c r="T4" s="2">
        <v>1150000</v>
      </c>
      <c r="U4" s="2">
        <v>1400000</v>
      </c>
      <c r="V4" s="2">
        <v>1750000</v>
      </c>
    </row>
    <row r="5" spans="2:129" s="1" customFormat="1" x14ac:dyDescent="0.25">
      <c r="B5" s="1" t="s">
        <v>1</v>
      </c>
      <c r="J5" s="1">
        <v>74965</v>
      </c>
      <c r="K5" s="1">
        <v>70641</v>
      </c>
      <c r="L5" s="1">
        <f>61222*1.33</f>
        <v>81425.260000000009</v>
      </c>
      <c r="M5" s="1">
        <f>+M4*0.55</f>
        <v>110000.00000000001</v>
      </c>
      <c r="N5" s="1">
        <f>+N4*0.54</f>
        <v>148500</v>
      </c>
      <c r="O5" s="1">
        <f>+O4*0.53</f>
        <v>196100</v>
      </c>
      <c r="P5" s="1">
        <f>+P4*0.52</f>
        <v>249600</v>
      </c>
      <c r="Q5" s="1">
        <f>+Q4*0.51</f>
        <v>306000</v>
      </c>
      <c r="R5" s="1">
        <f>+R4*0.5</f>
        <v>375000</v>
      </c>
      <c r="S5" s="1">
        <f>+S4*0.5</f>
        <v>462500</v>
      </c>
      <c r="T5" s="1">
        <f>+T4*0.5</f>
        <v>575000</v>
      </c>
      <c r="U5" s="1">
        <f>+U4*0.5</f>
        <v>700000</v>
      </c>
      <c r="V5" s="1">
        <f>+V4*0.5</f>
        <v>875000</v>
      </c>
    </row>
    <row r="6" spans="2:129" s="1" customFormat="1" x14ac:dyDescent="0.25">
      <c r="B6" s="1" t="s">
        <v>2</v>
      </c>
      <c r="J6" s="1">
        <f>+J4-J5</f>
        <v>8314</v>
      </c>
      <c r="K6" s="1">
        <f t="shared" ref="K6:M6" si="1">+K4-K5</f>
        <v>40460</v>
      </c>
      <c r="L6" s="1">
        <f t="shared" si="1"/>
        <v>61158.720000000001</v>
      </c>
      <c r="M6" s="1">
        <f t="shared" si="1"/>
        <v>89999.999999999985</v>
      </c>
      <c r="N6" s="1">
        <f t="shared" ref="N6" si="2">+N4-N5</f>
        <v>126500</v>
      </c>
      <c r="O6" s="1">
        <f t="shared" ref="O6" si="3">+O4-O5</f>
        <v>173900</v>
      </c>
      <c r="P6" s="1">
        <f t="shared" ref="P6" si="4">+P4-P5</f>
        <v>230400</v>
      </c>
      <c r="Q6" s="1">
        <f t="shared" ref="Q6" si="5">+Q4-Q5</f>
        <v>294000</v>
      </c>
      <c r="R6" s="1">
        <f t="shared" ref="R6" si="6">+R4-R5</f>
        <v>375000</v>
      </c>
      <c r="S6" s="1">
        <f t="shared" ref="S6" si="7">+S4-S5</f>
        <v>462500</v>
      </c>
      <c r="T6" s="1">
        <f t="shared" ref="T6" si="8">+T4-T5</f>
        <v>575000</v>
      </c>
      <c r="U6" s="1">
        <f t="shared" ref="U6" si="9">+U4-U5</f>
        <v>700000</v>
      </c>
      <c r="V6" s="1">
        <f t="shared" ref="V6" si="10">+V4-V5</f>
        <v>875000</v>
      </c>
    </row>
    <row r="7" spans="2:129" s="1" customFormat="1" x14ac:dyDescent="0.25">
      <c r="B7" s="1" t="s">
        <v>3</v>
      </c>
      <c r="J7" s="1">
        <v>91210</v>
      </c>
      <c r="K7" s="1">
        <v>58084</v>
      </c>
      <c r="L7" s="1">
        <f>49909*1.33</f>
        <v>66378.97</v>
      </c>
      <c r="M7" s="1">
        <f>+L7*(1+M20/2)</f>
        <v>79743.782334104428</v>
      </c>
      <c r="N7" s="1">
        <f t="shared" ref="N7:V7" si="11">+M7*(1+N20/2)</f>
        <v>94695.741521749005</v>
      </c>
      <c r="O7" s="1">
        <f t="shared" si="11"/>
        <v>111052.27869368748</v>
      </c>
      <c r="P7" s="1">
        <f t="shared" si="11"/>
        <v>127560.04985085723</v>
      </c>
      <c r="Q7" s="1">
        <f t="shared" si="11"/>
        <v>143505.0560822144</v>
      </c>
      <c r="R7" s="1">
        <f t="shared" si="11"/>
        <v>161443.18809249121</v>
      </c>
      <c r="S7" s="1">
        <f t="shared" si="11"/>
        <v>180278.22670328186</v>
      </c>
      <c r="T7" s="1">
        <f t="shared" si="11"/>
        <v>202203.9569780053</v>
      </c>
      <c r="U7" s="1">
        <f t="shared" si="11"/>
        <v>224182.64795387545</v>
      </c>
      <c r="V7" s="1">
        <f t="shared" si="11"/>
        <v>252205.47894810987</v>
      </c>
    </row>
    <row r="8" spans="2:129" s="1" customFormat="1" x14ac:dyDescent="0.25">
      <c r="B8" s="1" t="s">
        <v>4</v>
      </c>
      <c r="J8" s="1">
        <v>41639</v>
      </c>
      <c r="K8" s="1">
        <v>27852</v>
      </c>
      <c r="L8" s="1">
        <f>20842*1.33</f>
        <v>27719.86</v>
      </c>
      <c r="M8" s="1">
        <f>+L8*1.05</f>
        <v>29105.853000000003</v>
      </c>
      <c r="N8" s="1">
        <f>+N4*0.12</f>
        <v>33000</v>
      </c>
      <c r="O8" s="1">
        <f t="shared" ref="O8:V8" si="12">+O4*0.12</f>
        <v>44400</v>
      </c>
      <c r="P8" s="1">
        <f t="shared" si="12"/>
        <v>57600</v>
      </c>
      <c r="Q8" s="1">
        <f t="shared" si="12"/>
        <v>72000</v>
      </c>
      <c r="R8" s="1">
        <f t="shared" si="12"/>
        <v>90000</v>
      </c>
      <c r="S8" s="1">
        <f t="shared" si="12"/>
        <v>111000</v>
      </c>
      <c r="T8" s="1">
        <f t="shared" si="12"/>
        <v>138000</v>
      </c>
      <c r="U8" s="1">
        <f t="shared" si="12"/>
        <v>168000</v>
      </c>
      <c r="V8" s="1">
        <f t="shared" si="12"/>
        <v>210000</v>
      </c>
    </row>
    <row r="9" spans="2:129" s="1" customFormat="1" x14ac:dyDescent="0.25">
      <c r="B9" s="1" t="s">
        <v>5</v>
      </c>
      <c r="J9" s="1">
        <v>81982</v>
      </c>
      <c r="K9" s="1">
        <v>58701</v>
      </c>
      <c r="L9" s="1">
        <f>50136*1.33</f>
        <v>66680.88</v>
      </c>
      <c r="M9" s="1">
        <f>+L9*1.04</f>
        <v>69348.1152</v>
      </c>
      <c r="N9" s="1">
        <f t="shared" ref="N9:V9" si="13">+M9*1.04</f>
        <v>72122.039808000001</v>
      </c>
      <c r="O9" s="1">
        <f t="shared" si="13"/>
        <v>75006.921400320003</v>
      </c>
      <c r="P9" s="1">
        <f t="shared" si="13"/>
        <v>78007.198256332806</v>
      </c>
      <c r="Q9" s="1">
        <f t="shared" si="13"/>
        <v>81127.486186586117</v>
      </c>
      <c r="R9" s="1">
        <f t="shared" si="13"/>
        <v>84372.585634049567</v>
      </c>
      <c r="S9" s="1">
        <f t="shared" si="13"/>
        <v>87747.489059411557</v>
      </c>
      <c r="T9" s="1">
        <f>+T4*0.08</f>
        <v>92000</v>
      </c>
      <c r="U9" s="1">
        <f>+U4*0.08</f>
        <v>112000</v>
      </c>
      <c r="V9" s="1">
        <f>+V4*0.08</f>
        <v>140000</v>
      </c>
    </row>
    <row r="10" spans="2:129" s="2" customFormat="1" x14ac:dyDescent="0.25">
      <c r="B10" s="2" t="s">
        <v>6</v>
      </c>
      <c r="J10" s="2">
        <f>+J6-J7-J8-J9</f>
        <v>-206517</v>
      </c>
      <c r="K10" s="2">
        <f>+K6-K7-K8-K9</f>
        <v>-104177</v>
      </c>
      <c r="L10" s="2">
        <f t="shared" ref="L10:M10" si="14">+L6-L7-L8-L9</f>
        <v>-99620.99</v>
      </c>
      <c r="M10" s="2">
        <f t="shared" si="14"/>
        <v>-88197.750534104445</v>
      </c>
      <c r="N10" s="2">
        <f t="shared" ref="N10" si="15">+N6-N7-N8-N9</f>
        <v>-73317.781329749007</v>
      </c>
      <c r="O10" s="2">
        <f t="shared" ref="O10" si="16">+O6-O7-O8-O9</f>
        <v>-56559.200094007479</v>
      </c>
      <c r="P10" s="2">
        <f t="shared" ref="P10" si="17">+P6-P7-P8-P9</f>
        <v>-32767.24810719004</v>
      </c>
      <c r="Q10" s="2">
        <f t="shared" ref="Q10" si="18">+Q6-Q7-Q8-Q9</f>
        <v>-2632.5422688005201</v>
      </c>
      <c r="R10" s="2">
        <f t="shared" ref="R10" si="19">+R6-R7-R8-R9</f>
        <v>39184.226273459222</v>
      </c>
      <c r="S10" s="2">
        <f t="shared" ref="S10" si="20">+S6-S7-S8-S9</f>
        <v>83474.28423730658</v>
      </c>
      <c r="T10" s="2">
        <f t="shared" ref="T10" si="21">+T6-T7-T8-T9</f>
        <v>142796.0430219947</v>
      </c>
      <c r="U10" s="2">
        <f t="shared" ref="U10" si="22">+U6-U7-U8-U9</f>
        <v>195817.35204612452</v>
      </c>
      <c r="V10" s="2">
        <f t="shared" ref="V10" si="23">+V6-V7-V8-V9</f>
        <v>272794.5210518901</v>
      </c>
    </row>
    <row r="11" spans="2:129" s="1" customFormat="1" x14ac:dyDescent="0.25">
      <c r="B11" s="1" t="s">
        <v>7</v>
      </c>
      <c r="J11" s="1">
        <v>9038</v>
      </c>
      <c r="K11" s="1">
        <v>8846</v>
      </c>
      <c r="L11" s="1">
        <f>6739*1.33</f>
        <v>8962.8700000000008</v>
      </c>
      <c r="M11" s="1">
        <f>+L36*M39</f>
        <v>8558.130000000001</v>
      </c>
      <c r="N11" s="1">
        <f t="shared" ref="N11:V11" si="24">+M36*N39</f>
        <v>5788.2432813063451</v>
      </c>
      <c r="O11" s="1">
        <f t="shared" si="24"/>
        <v>3442.2094496108521</v>
      </c>
      <c r="P11" s="1">
        <f t="shared" si="24"/>
        <v>1600.6147770569698</v>
      </c>
      <c r="Q11" s="1">
        <f t="shared" si="24"/>
        <v>527.28261050231231</v>
      </c>
      <c r="R11" s="1">
        <f t="shared" si="24"/>
        <v>471.09852246187501</v>
      </c>
      <c r="S11" s="1">
        <f t="shared" si="24"/>
        <v>1525.1757983548041</v>
      </c>
      <c r="T11" s="1">
        <f t="shared" si="24"/>
        <v>3769.5366242909158</v>
      </c>
      <c r="U11" s="1">
        <f t="shared" si="24"/>
        <v>7630.0080900059138</v>
      </c>
      <c r="V11" s="1">
        <f t="shared" si="24"/>
        <v>12983.626293579338</v>
      </c>
    </row>
    <row r="12" spans="2:129" s="1" customFormat="1" x14ac:dyDescent="0.25">
      <c r="B12" s="1" t="s">
        <v>8</v>
      </c>
      <c r="J12" s="1">
        <v>9303</v>
      </c>
      <c r="K12" s="1">
        <v>1823</v>
      </c>
    </row>
    <row r="13" spans="2:129" s="1" customFormat="1" x14ac:dyDescent="0.25">
      <c r="B13" s="1" t="s">
        <v>9</v>
      </c>
      <c r="J13" s="1">
        <v>-130</v>
      </c>
      <c r="K13" s="1">
        <v>646</v>
      </c>
      <c r="L13" s="1">
        <f>453*1.33</f>
        <v>602.49</v>
      </c>
      <c r="M13" s="1">
        <v>500</v>
      </c>
      <c r="N13" s="1">
        <v>500</v>
      </c>
      <c r="O13" s="1">
        <v>500</v>
      </c>
      <c r="P13" s="1">
        <v>500</v>
      </c>
      <c r="Q13" s="1">
        <v>500</v>
      </c>
      <c r="R13" s="1">
        <v>500</v>
      </c>
      <c r="S13" s="1">
        <v>500</v>
      </c>
      <c r="T13" s="1">
        <v>500</v>
      </c>
      <c r="U13" s="1">
        <v>500</v>
      </c>
      <c r="V13" s="1">
        <v>500</v>
      </c>
    </row>
    <row r="14" spans="2:129" s="1" customFormat="1" x14ac:dyDescent="0.25">
      <c r="B14" s="1" t="s">
        <v>10</v>
      </c>
      <c r="J14" s="1">
        <f>+J10+J11-J12+J13</f>
        <v>-206912</v>
      </c>
      <c r="K14" s="1">
        <f t="shared" ref="K14:M14" si="25">+K10+K11-K12+K13</f>
        <v>-96508</v>
      </c>
      <c r="L14" s="1">
        <f t="shared" si="25"/>
        <v>-90055.63</v>
      </c>
      <c r="M14" s="1">
        <f t="shared" si="25"/>
        <v>-79139.620534104441</v>
      </c>
      <c r="N14" s="1">
        <f t="shared" ref="N14" si="26">+N10+N11-N12+N13</f>
        <v>-67029.538048442657</v>
      </c>
      <c r="O14" s="1">
        <f t="shared" ref="O14" si="27">+O10+O11-O12+O13</f>
        <v>-52616.990644396625</v>
      </c>
      <c r="P14" s="1">
        <f t="shared" ref="P14" si="28">+P10+P11-P12+P13</f>
        <v>-30666.633330133071</v>
      </c>
      <c r="Q14" s="1">
        <f t="shared" ref="Q14" si="29">+Q10+Q11-Q12+Q13</f>
        <v>-1605.2596582982078</v>
      </c>
      <c r="R14" s="1">
        <f t="shared" ref="R14" si="30">+R10+R11-R12+R13</f>
        <v>40155.3247959211</v>
      </c>
      <c r="S14" s="1">
        <f t="shared" ref="S14" si="31">+S10+S11-S12+S13</f>
        <v>85499.460035661381</v>
      </c>
      <c r="T14" s="1">
        <f t="shared" ref="T14" si="32">+T10+T11-T12+T13</f>
        <v>147065.57964628562</v>
      </c>
      <c r="U14" s="1">
        <f t="shared" ref="U14" si="33">+U10+U11-U12+U13</f>
        <v>203947.36013613045</v>
      </c>
      <c r="V14" s="1">
        <f t="shared" ref="V14" si="34">+V10+V11-V12+V13</f>
        <v>286278.14734546945</v>
      </c>
    </row>
    <row r="15" spans="2:129" s="1" customFormat="1" x14ac:dyDescent="0.25">
      <c r="B15" s="1" t="s">
        <v>11</v>
      </c>
      <c r="J15" s="1">
        <v>523</v>
      </c>
      <c r="K15" s="1">
        <v>537</v>
      </c>
      <c r="L15" s="1">
        <f>-3349*1.33</f>
        <v>-4454.17</v>
      </c>
      <c r="R15" s="1">
        <f t="shared" ref="N15:V15" si="35">+R14*0.25</f>
        <v>10038.831198980275</v>
      </c>
      <c r="S15" s="1">
        <f t="shared" si="35"/>
        <v>21374.865008915345</v>
      </c>
      <c r="T15" s="1">
        <f t="shared" si="35"/>
        <v>36766.394911571406</v>
      </c>
      <c r="U15" s="1">
        <f t="shared" si="35"/>
        <v>50986.840034032612</v>
      </c>
      <c r="V15" s="1">
        <f t="shared" si="35"/>
        <v>71569.536836367362</v>
      </c>
    </row>
    <row r="16" spans="2:129" s="1" customFormat="1" x14ac:dyDescent="0.25">
      <c r="B16" s="1" t="s">
        <v>12</v>
      </c>
      <c r="J16" s="1">
        <f>+J14-J15</f>
        <v>-207435</v>
      </c>
      <c r="K16" s="1">
        <f t="shared" ref="K16:M16" si="36">+K14-K15</f>
        <v>-97045</v>
      </c>
      <c r="L16" s="1">
        <f t="shared" si="36"/>
        <v>-85601.46</v>
      </c>
      <c r="M16" s="1">
        <f t="shared" si="36"/>
        <v>-79139.620534104441</v>
      </c>
      <c r="N16" s="1">
        <f t="shared" ref="N16" si="37">+N14-N15</f>
        <v>-67029.538048442657</v>
      </c>
      <c r="O16" s="1">
        <f t="shared" ref="O16" si="38">+O14-O15</f>
        <v>-52616.990644396625</v>
      </c>
      <c r="P16" s="1">
        <f t="shared" ref="P16" si="39">+P14-P15</f>
        <v>-30666.633330133071</v>
      </c>
      <c r="Q16" s="1">
        <f t="shared" ref="Q16" si="40">+Q14-Q15</f>
        <v>-1605.2596582982078</v>
      </c>
      <c r="R16" s="1">
        <f t="shared" ref="R16" si="41">+R14-R15</f>
        <v>30116.493596940825</v>
      </c>
      <c r="S16" s="1">
        <f t="shared" ref="S16" si="42">+S14-S15</f>
        <v>64124.595026746036</v>
      </c>
      <c r="T16" s="1">
        <f t="shared" ref="T16" si="43">+T14-T15</f>
        <v>110299.18473471422</v>
      </c>
      <c r="U16" s="1">
        <f t="shared" ref="U16" si="44">+U14-U15</f>
        <v>152960.52010209783</v>
      </c>
      <c r="V16" s="1">
        <f t="shared" ref="V16" si="45">+V14-V15</f>
        <v>214708.61050910209</v>
      </c>
      <c r="W16" s="1">
        <f>+V16*(1+$Y19)</f>
        <v>221149.86882437515</v>
      </c>
      <c r="X16" s="1">
        <f t="shared" ref="X16:CI16" si="46">+W16*(1+$Y19)</f>
        <v>227784.36488910642</v>
      </c>
      <c r="Y16" s="1">
        <f t="shared" si="46"/>
        <v>234617.89583577961</v>
      </c>
      <c r="Z16" s="1">
        <f t="shared" si="46"/>
        <v>241656.432710853</v>
      </c>
      <c r="AA16" s="1">
        <f t="shared" si="46"/>
        <v>248906.12569217858</v>
      </c>
      <c r="AB16" s="1">
        <f t="shared" si="46"/>
        <v>256373.30946294396</v>
      </c>
      <c r="AC16" s="1">
        <f t="shared" si="46"/>
        <v>264064.50874683226</v>
      </c>
      <c r="AD16" s="1">
        <f t="shared" si="46"/>
        <v>271986.44400923722</v>
      </c>
      <c r="AE16" s="1">
        <f t="shared" si="46"/>
        <v>280146.03732951434</v>
      </c>
      <c r="AF16" s="1">
        <f t="shared" si="46"/>
        <v>288550.41844939976</v>
      </c>
      <c r="AG16" s="1">
        <f t="shared" si="46"/>
        <v>297206.93100288179</v>
      </c>
      <c r="AH16" s="1">
        <f t="shared" si="46"/>
        <v>306123.13893296826</v>
      </c>
      <c r="AI16" s="1">
        <f t="shared" si="46"/>
        <v>315306.83310095733</v>
      </c>
      <c r="AJ16" s="1">
        <f t="shared" si="46"/>
        <v>324766.03809398605</v>
      </c>
      <c r="AK16" s="1">
        <f t="shared" si="46"/>
        <v>334509.01923680562</v>
      </c>
      <c r="AL16" s="1">
        <f t="shared" si="46"/>
        <v>344544.2898139098</v>
      </c>
      <c r="AM16" s="1">
        <f t="shared" si="46"/>
        <v>354880.61850832711</v>
      </c>
      <c r="AN16" s="1">
        <f t="shared" si="46"/>
        <v>365527.03706357692</v>
      </c>
      <c r="AO16" s="1">
        <f t="shared" si="46"/>
        <v>376492.84817548422</v>
      </c>
      <c r="AP16" s="1">
        <f t="shared" si="46"/>
        <v>387787.63362074876</v>
      </c>
      <c r="AQ16" s="1">
        <f t="shared" si="46"/>
        <v>399421.26262937125</v>
      </c>
      <c r="AR16" s="1">
        <f t="shared" si="46"/>
        <v>411403.90050825238</v>
      </c>
      <c r="AS16" s="1">
        <f t="shared" si="46"/>
        <v>423746.01752349996</v>
      </c>
      <c r="AT16" s="1">
        <f t="shared" si="46"/>
        <v>436458.39804920496</v>
      </c>
      <c r="AU16" s="1">
        <f t="shared" si="46"/>
        <v>449552.14999068109</v>
      </c>
      <c r="AV16" s="1">
        <f t="shared" si="46"/>
        <v>463038.71449040156</v>
      </c>
      <c r="AW16" s="1">
        <f t="shared" si="46"/>
        <v>476929.87592511362</v>
      </c>
      <c r="AX16" s="1">
        <f t="shared" si="46"/>
        <v>491237.77220286703</v>
      </c>
      <c r="AY16" s="1">
        <f t="shared" si="46"/>
        <v>505974.90536895307</v>
      </c>
      <c r="AZ16" s="1">
        <f t="shared" si="46"/>
        <v>521154.15253002167</v>
      </c>
      <c r="BA16" s="1">
        <f t="shared" si="46"/>
        <v>536788.77710592235</v>
      </c>
      <c r="BB16" s="1">
        <f t="shared" si="46"/>
        <v>552892.44041909999</v>
      </c>
      <c r="BC16" s="1">
        <f t="shared" si="46"/>
        <v>569479.21363167302</v>
      </c>
      <c r="BD16" s="1">
        <f t="shared" si="46"/>
        <v>586563.59004062321</v>
      </c>
      <c r="BE16" s="1">
        <f t="shared" si="46"/>
        <v>604160.49774184194</v>
      </c>
      <c r="BF16" s="1">
        <f t="shared" si="46"/>
        <v>622285.31267409725</v>
      </c>
      <c r="BG16" s="1">
        <f t="shared" si="46"/>
        <v>640953.87205432018</v>
      </c>
      <c r="BH16" s="1">
        <f t="shared" si="46"/>
        <v>660182.48821594985</v>
      </c>
      <c r="BI16" s="1">
        <f t="shared" si="46"/>
        <v>679987.96286242839</v>
      </c>
      <c r="BJ16" s="1">
        <f t="shared" si="46"/>
        <v>700387.6017483013</v>
      </c>
      <c r="BK16" s="1">
        <f t="shared" si="46"/>
        <v>721399.22980075039</v>
      </c>
      <c r="BL16" s="1">
        <f t="shared" si="46"/>
        <v>743041.20669477293</v>
      </c>
      <c r="BM16" s="1">
        <f t="shared" si="46"/>
        <v>765332.44289561617</v>
      </c>
      <c r="BN16" s="1">
        <f t="shared" si="46"/>
        <v>788292.41618248471</v>
      </c>
      <c r="BO16" s="1">
        <f t="shared" si="46"/>
        <v>811941.1886679593</v>
      </c>
      <c r="BP16" s="1">
        <f t="shared" si="46"/>
        <v>836299.42432799807</v>
      </c>
      <c r="BQ16" s="1">
        <f t="shared" si="46"/>
        <v>861388.40705783805</v>
      </c>
      <c r="BR16" s="1">
        <f t="shared" si="46"/>
        <v>887230.05926957319</v>
      </c>
      <c r="BS16" s="1">
        <f t="shared" si="46"/>
        <v>913846.96104766044</v>
      </c>
      <c r="BT16" s="1">
        <f t="shared" si="46"/>
        <v>941262.36987909023</v>
      </c>
      <c r="BU16" s="1">
        <f t="shared" si="46"/>
        <v>969500.24097546295</v>
      </c>
      <c r="BV16" s="1">
        <f t="shared" si="46"/>
        <v>998585.24820472684</v>
      </c>
      <c r="BW16" s="1">
        <f t="shared" si="46"/>
        <v>1028542.8056508687</v>
      </c>
      <c r="BX16" s="1">
        <f t="shared" si="46"/>
        <v>1059399.0898203948</v>
      </c>
      <c r="BY16" s="1">
        <f t="shared" si="46"/>
        <v>1091181.0625150066</v>
      </c>
      <c r="BZ16" s="1">
        <f t="shared" si="46"/>
        <v>1123916.4943904569</v>
      </c>
      <c r="CA16" s="1">
        <f t="shared" si="46"/>
        <v>1157633.9892221708</v>
      </c>
      <c r="CB16" s="1">
        <f t="shared" si="46"/>
        <v>1192363.0088988359</v>
      </c>
      <c r="CC16" s="1">
        <f t="shared" si="46"/>
        <v>1228133.899165801</v>
      </c>
      <c r="CD16" s="1">
        <f t="shared" si="46"/>
        <v>1264977.916140775</v>
      </c>
      <c r="CE16" s="1">
        <f t="shared" si="46"/>
        <v>1302927.2536249983</v>
      </c>
      <c r="CF16" s="1">
        <f t="shared" si="46"/>
        <v>1342015.0712337482</v>
      </c>
      <c r="CG16" s="1">
        <f t="shared" si="46"/>
        <v>1382275.5233707607</v>
      </c>
      <c r="CH16" s="1">
        <f t="shared" si="46"/>
        <v>1423743.7890718835</v>
      </c>
      <c r="CI16" s="1">
        <f t="shared" si="46"/>
        <v>1466456.1027440401</v>
      </c>
      <c r="CJ16" s="1">
        <f t="shared" ref="CJ16:DY16" si="47">+CI16*(1+$Y19)</f>
        <v>1510449.7858263613</v>
      </c>
      <c r="CK16" s="1">
        <f t="shared" si="47"/>
        <v>1555763.2794011522</v>
      </c>
      <c r="CL16" s="1">
        <f t="shared" si="47"/>
        <v>1602436.1777831868</v>
      </c>
      <c r="CM16" s="1">
        <f t="shared" si="47"/>
        <v>1650509.2631166824</v>
      </c>
      <c r="CN16" s="1">
        <f t="shared" si="47"/>
        <v>1700024.5410101828</v>
      </c>
      <c r="CO16" s="1">
        <f t="shared" si="47"/>
        <v>1751025.2772404884</v>
      </c>
      <c r="CP16" s="1">
        <f t="shared" si="47"/>
        <v>1803556.0355577031</v>
      </c>
      <c r="CQ16" s="1">
        <f t="shared" si="47"/>
        <v>1857662.7166244343</v>
      </c>
      <c r="CR16" s="1">
        <f t="shared" si="47"/>
        <v>1913392.5981231674</v>
      </c>
      <c r="CS16" s="1">
        <f t="shared" si="47"/>
        <v>1970794.3760668624</v>
      </c>
      <c r="CT16" s="1">
        <f t="shared" si="47"/>
        <v>2029918.2073488683</v>
      </c>
      <c r="CU16" s="1">
        <f t="shared" si="47"/>
        <v>2090815.7535693343</v>
      </c>
      <c r="CV16" s="1">
        <f t="shared" si="47"/>
        <v>2153540.2261764142</v>
      </c>
      <c r="CW16" s="1">
        <f t="shared" si="47"/>
        <v>2218146.4329617065</v>
      </c>
      <c r="CX16" s="1">
        <f t="shared" si="47"/>
        <v>2284690.8259505578</v>
      </c>
      <c r="CY16" s="1">
        <f t="shared" si="47"/>
        <v>2353231.5507290745</v>
      </c>
      <c r="CZ16" s="1">
        <f t="shared" si="47"/>
        <v>2423828.4972509467</v>
      </c>
      <c r="DA16" s="1">
        <f t="shared" si="47"/>
        <v>2496543.3521684753</v>
      </c>
      <c r="DB16" s="1">
        <f t="shared" si="47"/>
        <v>2571439.6527335295</v>
      </c>
      <c r="DC16" s="1">
        <f t="shared" si="47"/>
        <v>2648582.8423155355</v>
      </c>
      <c r="DD16" s="1">
        <f t="shared" si="47"/>
        <v>2728040.3275850015</v>
      </c>
      <c r="DE16" s="1">
        <f t="shared" si="47"/>
        <v>2809881.5374125517</v>
      </c>
      <c r="DF16" s="1">
        <f t="shared" si="47"/>
        <v>2894177.9835349284</v>
      </c>
      <c r="DG16" s="1">
        <f t="shared" si="47"/>
        <v>2981003.3230409762</v>
      </c>
      <c r="DH16" s="1">
        <f t="shared" si="47"/>
        <v>3070433.4227322056</v>
      </c>
      <c r="DI16" s="1">
        <f t="shared" si="47"/>
        <v>3162546.425414172</v>
      </c>
      <c r="DJ16" s="1">
        <f t="shared" si="47"/>
        <v>3257422.8181765974</v>
      </c>
      <c r="DK16" s="1">
        <f t="shared" si="47"/>
        <v>3355145.5027218955</v>
      </c>
      <c r="DL16" s="1">
        <f t="shared" si="47"/>
        <v>3455799.8678035522</v>
      </c>
      <c r="DM16" s="1">
        <f t="shared" si="47"/>
        <v>3559473.8638376589</v>
      </c>
      <c r="DN16" s="1">
        <f t="shared" si="47"/>
        <v>3666258.0797527889</v>
      </c>
      <c r="DO16" s="1">
        <f t="shared" si="47"/>
        <v>3776245.8221453726</v>
      </c>
      <c r="DP16" s="1">
        <f t="shared" si="47"/>
        <v>3889533.1968097338</v>
      </c>
      <c r="DQ16" s="1">
        <f t="shared" si="47"/>
        <v>4006219.1927140257</v>
      </c>
      <c r="DR16" s="1">
        <f t="shared" si="47"/>
        <v>4126405.7684954465</v>
      </c>
      <c r="DS16" s="1">
        <f t="shared" si="47"/>
        <v>4250197.9415503098</v>
      </c>
      <c r="DT16" s="1">
        <f t="shared" si="47"/>
        <v>4377703.8797968188</v>
      </c>
      <c r="DU16" s="1">
        <f t="shared" si="47"/>
        <v>4509034.996190724</v>
      </c>
      <c r="DV16" s="1">
        <f t="shared" si="47"/>
        <v>4644306.0460764458</v>
      </c>
      <c r="DW16" s="1">
        <f t="shared" si="47"/>
        <v>4783635.2274587397</v>
      </c>
      <c r="DX16" s="1">
        <f t="shared" si="47"/>
        <v>4927144.2842825018</v>
      </c>
      <c r="DY16" s="1">
        <f t="shared" si="47"/>
        <v>5074958.6128109768</v>
      </c>
    </row>
    <row r="17" spans="2:25" s="1" customFormat="1" x14ac:dyDescent="0.25"/>
    <row r="18" spans="2:25" s="3" customFormat="1" x14ac:dyDescent="0.25">
      <c r="B18" s="3" t="s">
        <v>13</v>
      </c>
      <c r="J18" s="3">
        <f>+J6/J4</f>
        <v>9.9833091175446392E-2</v>
      </c>
      <c r="K18" s="3">
        <f t="shared" ref="K18:V18" si="48">+K6/K4</f>
        <v>0.36417313975571775</v>
      </c>
      <c r="L18" s="3">
        <f t="shared" si="48"/>
        <v>0.42893121653638788</v>
      </c>
      <c r="M18" s="3">
        <f t="shared" si="48"/>
        <v>0.4499999999999999</v>
      </c>
      <c r="N18" s="3">
        <f t="shared" si="48"/>
        <v>0.46</v>
      </c>
      <c r="O18" s="3">
        <f t="shared" si="48"/>
        <v>0.47</v>
      </c>
      <c r="P18" s="3">
        <f t="shared" si="48"/>
        <v>0.48</v>
      </c>
      <c r="Q18" s="3">
        <f t="shared" si="48"/>
        <v>0.49</v>
      </c>
      <c r="R18" s="3">
        <f t="shared" si="48"/>
        <v>0.5</v>
      </c>
      <c r="S18" s="3">
        <f t="shared" si="48"/>
        <v>0.5</v>
      </c>
      <c r="T18" s="3">
        <f t="shared" si="48"/>
        <v>0.5</v>
      </c>
      <c r="U18" s="3">
        <f t="shared" si="48"/>
        <v>0.5</v>
      </c>
      <c r="V18" s="3">
        <f t="shared" si="48"/>
        <v>0.5</v>
      </c>
      <c r="X18" s="3" t="s">
        <v>28</v>
      </c>
      <c r="Y18" s="3">
        <v>0.08</v>
      </c>
    </row>
    <row r="19" spans="2:25" s="3" customFormat="1" x14ac:dyDescent="0.25">
      <c r="B19" s="3" t="s">
        <v>14</v>
      </c>
      <c r="J19" s="3">
        <f>+J10/J4</f>
        <v>-2.4798208431897599</v>
      </c>
      <c r="K19" s="3">
        <f t="shared" ref="K19:V19" si="49">+K10/K4</f>
        <v>-0.93767832872791423</v>
      </c>
      <c r="L19" s="3">
        <f t="shared" si="49"/>
        <v>-0.6986829095386452</v>
      </c>
      <c r="M19" s="3">
        <f t="shared" si="49"/>
        <v>-0.44098875267052223</v>
      </c>
      <c r="N19" s="3">
        <f t="shared" si="49"/>
        <v>-0.26661011392636003</v>
      </c>
      <c r="O19" s="3">
        <f t="shared" si="49"/>
        <v>-0.15286270295677698</v>
      </c>
      <c r="P19" s="3">
        <f t="shared" si="49"/>
        <v>-6.8265100223312586E-2</v>
      </c>
      <c r="Q19" s="3">
        <f t="shared" si="49"/>
        <v>-4.3875704480008668E-3</v>
      </c>
      <c r="R19" s="3">
        <f t="shared" si="49"/>
        <v>5.2245635031278964E-2</v>
      </c>
      <c r="S19" s="3">
        <f t="shared" si="49"/>
        <v>9.0242469445736842E-2</v>
      </c>
      <c r="T19" s="3">
        <f t="shared" si="49"/>
        <v>0.12417047219303887</v>
      </c>
      <c r="U19" s="3">
        <f t="shared" si="49"/>
        <v>0.13986953717580322</v>
      </c>
      <c r="V19" s="3">
        <f t="shared" si="49"/>
        <v>0.15588258345822292</v>
      </c>
      <c r="X19" s="3" t="s">
        <v>29</v>
      </c>
      <c r="Y19" s="3">
        <v>0.03</v>
      </c>
    </row>
    <row r="20" spans="2:25" s="3" customFormat="1" x14ac:dyDescent="0.25">
      <c r="B20" s="3" t="s">
        <v>26</v>
      </c>
      <c r="L20" s="3">
        <f>+L4/K4 -1</f>
        <v>0.28337260690722865</v>
      </c>
      <c r="M20" s="3">
        <f>+M4/L4 -1</f>
        <v>0.40268212459772812</v>
      </c>
      <c r="N20" s="3">
        <f>+N4/M4 -1</f>
        <v>0.375</v>
      </c>
      <c r="O20" s="3">
        <f>+O4/N4 -1</f>
        <v>0.34545454545454546</v>
      </c>
      <c r="P20" s="3">
        <f>+P4/O4 -1</f>
        <v>0.29729729729729737</v>
      </c>
      <c r="Q20" s="3">
        <f t="shared" ref="Q20:V20" si="50">+Q4/P4 -1</f>
        <v>0.25</v>
      </c>
      <c r="R20" s="3">
        <f t="shared" si="50"/>
        <v>0.25</v>
      </c>
      <c r="S20" s="3">
        <f t="shared" si="50"/>
        <v>0.23333333333333339</v>
      </c>
      <c r="T20" s="3">
        <f t="shared" si="50"/>
        <v>0.2432432432432432</v>
      </c>
      <c r="U20" s="3">
        <f t="shared" si="50"/>
        <v>0.21739130434782616</v>
      </c>
      <c r="V20" s="3">
        <f t="shared" si="50"/>
        <v>0.25</v>
      </c>
      <c r="X20" s="3" t="s">
        <v>30</v>
      </c>
      <c r="Y20" s="6">
        <f>NPV(Y18,M16:DZ16)</f>
        <v>2131667.8459456069</v>
      </c>
    </row>
    <row r="21" spans="2:25" s="1" customFormat="1" x14ac:dyDescent="0.25">
      <c r="X21" s="1" t="s">
        <v>31</v>
      </c>
      <c r="Y21" s="1">
        <f>+L36</f>
        <v>244518</v>
      </c>
    </row>
    <row r="22" spans="2:25" s="1" customFormat="1" x14ac:dyDescent="0.25">
      <c r="B22" s="1" t="s">
        <v>15</v>
      </c>
      <c r="J22" s="1">
        <v>-137890</v>
      </c>
      <c r="K22" s="1">
        <v>-33694</v>
      </c>
      <c r="X22" s="1" t="s">
        <v>32</v>
      </c>
      <c r="Y22" s="1">
        <f>+Y20+Y21</f>
        <v>2376185.8459456069</v>
      </c>
    </row>
    <row r="23" spans="2:25" s="1" customFormat="1" x14ac:dyDescent="0.25">
      <c r="B23" s="1" t="s">
        <v>16</v>
      </c>
      <c r="J23" s="1">
        <f>3006-560</f>
        <v>2446</v>
      </c>
      <c r="K23" s="1">
        <f>3756-668</f>
        <v>3088</v>
      </c>
      <c r="X23" s="1" t="s">
        <v>33</v>
      </c>
      <c r="Y23" s="1">
        <v>45225.055</v>
      </c>
    </row>
    <row r="24" spans="2:25" s="1" customFormat="1" x14ac:dyDescent="0.25">
      <c r="B24" s="1" t="s">
        <v>17</v>
      </c>
      <c r="J24" s="1">
        <f>+J22-J23</f>
        <v>-140336</v>
      </c>
      <c r="K24" s="1">
        <f>+K22-K23</f>
        <v>-36782</v>
      </c>
      <c r="X24" s="1" t="s">
        <v>34</v>
      </c>
      <c r="Y24" s="1">
        <f>+Y22/Y23</f>
        <v>52.541358898194972</v>
      </c>
    </row>
    <row r="25" spans="2:25" s="1" customFormat="1" x14ac:dyDescent="0.25"/>
    <row r="26" spans="2:25" s="3" customFormat="1" x14ac:dyDescent="0.25">
      <c r="B26" s="3" t="s">
        <v>3</v>
      </c>
      <c r="J26" s="3">
        <f>+J7/J$4</f>
        <v>1.0952340926283937</v>
      </c>
      <c r="K26" s="3">
        <f t="shared" ref="K26:L26" si="51">+K7/K$4</f>
        <v>0.52280357512533637</v>
      </c>
      <c r="L26" s="3">
        <f t="shared" si="51"/>
        <v>0.46554297334104433</v>
      </c>
      <c r="M26" s="3">
        <f t="shared" ref="M26:V26" si="52">+M7/M$4</f>
        <v>0.39871891167052215</v>
      </c>
      <c r="N26" s="3">
        <f t="shared" si="52"/>
        <v>0.34434815098817823</v>
      </c>
      <c r="O26" s="3">
        <f t="shared" si="52"/>
        <v>0.30014129376672288</v>
      </c>
      <c r="P26" s="3">
        <f t="shared" si="52"/>
        <v>0.26575010385595255</v>
      </c>
      <c r="Q26" s="3">
        <f t="shared" si="52"/>
        <v>0.23917509347035734</v>
      </c>
      <c r="R26" s="3">
        <f t="shared" si="52"/>
        <v>0.2152575841233216</v>
      </c>
      <c r="S26" s="3">
        <f t="shared" si="52"/>
        <v>0.19489538021976419</v>
      </c>
      <c r="T26" s="3">
        <f t="shared" si="52"/>
        <v>0.17582952780696112</v>
      </c>
      <c r="U26" s="3">
        <f t="shared" si="52"/>
        <v>0.16013046282419674</v>
      </c>
      <c r="V26" s="3">
        <f t="shared" si="52"/>
        <v>0.14411741654177707</v>
      </c>
      <c r="Y26" s="7">
        <f>+V16/Y23</f>
        <v>4.7475588588914279</v>
      </c>
    </row>
    <row r="27" spans="2:25" s="3" customFormat="1" x14ac:dyDescent="0.25">
      <c r="B27" s="3" t="s">
        <v>4</v>
      </c>
      <c r="J27" s="3">
        <f t="shared" ref="J27:L28" si="53">+J8/J$4</f>
        <v>0.4999939960854477</v>
      </c>
      <c r="K27" s="3">
        <f t="shared" si="53"/>
        <v>0.2506908128639706</v>
      </c>
      <c r="L27" s="3">
        <f t="shared" si="53"/>
        <v>0.19441076059175791</v>
      </c>
      <c r="M27" s="3">
        <f t="shared" ref="M27:V27" si="54">+M8/M$4</f>
        <v>0.14552926500000002</v>
      </c>
      <c r="N27" s="3">
        <f t="shared" si="54"/>
        <v>0.12</v>
      </c>
      <c r="O27" s="3">
        <f t="shared" si="54"/>
        <v>0.12</v>
      </c>
      <c r="P27" s="3">
        <f t="shared" si="54"/>
        <v>0.12</v>
      </c>
      <c r="Q27" s="3">
        <f t="shared" si="54"/>
        <v>0.12</v>
      </c>
      <c r="R27" s="3">
        <f t="shared" si="54"/>
        <v>0.12</v>
      </c>
      <c r="S27" s="3">
        <f t="shared" si="54"/>
        <v>0.12</v>
      </c>
      <c r="T27" s="3">
        <f t="shared" si="54"/>
        <v>0.12</v>
      </c>
      <c r="U27" s="3">
        <f t="shared" si="54"/>
        <v>0.12</v>
      </c>
      <c r="V27" s="3">
        <f t="shared" si="54"/>
        <v>0.12</v>
      </c>
      <c r="Y27" s="7">
        <f>+Y26*20</f>
        <v>94.951177177828555</v>
      </c>
    </row>
    <row r="28" spans="2:25" s="3" customFormat="1" x14ac:dyDescent="0.25">
      <c r="B28" s="3" t="s">
        <v>5</v>
      </c>
      <c r="J28" s="3">
        <f t="shared" si="53"/>
        <v>0.98442584565136471</v>
      </c>
      <c r="K28" s="3">
        <f t="shared" si="53"/>
        <v>0.52835708049432495</v>
      </c>
      <c r="L28" s="3">
        <f t="shared" si="53"/>
        <v>0.46766039214223082</v>
      </c>
      <c r="M28" s="3">
        <f t="shared" ref="M28:V28" si="55">+M9/M$4</f>
        <v>0.34674057600000002</v>
      </c>
      <c r="N28" s="3">
        <f t="shared" si="55"/>
        <v>0.26226196293818183</v>
      </c>
      <c r="O28" s="3">
        <f t="shared" si="55"/>
        <v>0.20272140919005407</v>
      </c>
      <c r="P28" s="3">
        <f t="shared" si="55"/>
        <v>0.16251499636736</v>
      </c>
      <c r="Q28" s="3">
        <f t="shared" si="55"/>
        <v>0.13521247697764352</v>
      </c>
      <c r="R28" s="3">
        <f t="shared" si="55"/>
        <v>0.11249678084539942</v>
      </c>
      <c r="S28" s="3">
        <f t="shared" si="55"/>
        <v>9.4862150334498976E-2</v>
      </c>
      <c r="T28" s="3">
        <f t="shared" si="55"/>
        <v>0.08</v>
      </c>
      <c r="U28" s="3">
        <f t="shared" si="55"/>
        <v>0.08</v>
      </c>
      <c r="V28" s="3">
        <f t="shared" si="55"/>
        <v>0.08</v>
      </c>
      <c r="Y28" s="7"/>
    </row>
    <row r="29" spans="2:25" s="1" customFormat="1" x14ac:dyDescent="0.25"/>
    <row r="30" spans="2:25" s="1" customFormat="1" x14ac:dyDescent="0.25">
      <c r="B30" s="1" t="s">
        <v>18</v>
      </c>
      <c r="L30" s="1">
        <v>87126</v>
      </c>
    </row>
    <row r="31" spans="2:25" s="1" customFormat="1" x14ac:dyDescent="0.25">
      <c r="B31" s="1" t="s">
        <v>19</v>
      </c>
      <c r="L31" s="1">
        <v>157392</v>
      </c>
    </row>
    <row r="32" spans="2:25" s="1" customFormat="1" x14ac:dyDescent="0.25">
      <c r="B32" s="1" t="s">
        <v>20</v>
      </c>
      <c r="L32" s="1">
        <v>16513</v>
      </c>
    </row>
    <row r="33" spans="2:22" s="1" customFormat="1" x14ac:dyDescent="0.25">
      <c r="B33" s="1" t="s">
        <v>21</v>
      </c>
      <c r="L33" s="1">
        <v>12864</v>
      </c>
    </row>
    <row r="34" spans="2:22" s="1" customFormat="1" x14ac:dyDescent="0.25">
      <c r="B34" s="1" t="s">
        <v>22</v>
      </c>
    </row>
    <row r="35" spans="2:22" s="1" customFormat="1" x14ac:dyDescent="0.25">
      <c r="B35" s="1" t="s">
        <v>23</v>
      </c>
      <c r="L35" s="1">
        <f>+L30+L31+L32+L33-L34</f>
        <v>273895</v>
      </c>
    </row>
    <row r="36" spans="2:22" s="1" customFormat="1" x14ac:dyDescent="0.25">
      <c r="B36" s="1" t="s">
        <v>25</v>
      </c>
      <c r="L36" s="1">
        <f>+L30+L31</f>
        <v>244518</v>
      </c>
      <c r="M36" s="1">
        <f>+L36+M16</f>
        <v>165378.37946589556</v>
      </c>
      <c r="N36" s="1">
        <f t="shared" ref="N36:V36" si="56">+M36+N16</f>
        <v>98348.841417452903</v>
      </c>
      <c r="O36" s="1">
        <f t="shared" si="56"/>
        <v>45731.850773056278</v>
      </c>
      <c r="P36" s="1">
        <f t="shared" si="56"/>
        <v>15065.217442923207</v>
      </c>
      <c r="Q36" s="1">
        <f t="shared" si="56"/>
        <v>13459.957784624999</v>
      </c>
      <c r="R36" s="1">
        <f t="shared" si="56"/>
        <v>43576.451381565828</v>
      </c>
      <c r="S36" s="1">
        <f t="shared" si="56"/>
        <v>107701.04640831187</v>
      </c>
      <c r="T36" s="1">
        <f t="shared" si="56"/>
        <v>218000.23114302609</v>
      </c>
      <c r="U36" s="1">
        <f t="shared" si="56"/>
        <v>370960.75124512392</v>
      </c>
      <c r="V36" s="1">
        <f t="shared" si="56"/>
        <v>585669.36175422603</v>
      </c>
    </row>
    <row r="37" spans="2:22" s="1" customFormat="1" x14ac:dyDescent="0.25"/>
    <row r="38" spans="2:22" s="4" customFormat="1" x14ac:dyDescent="0.25">
      <c r="B38" s="4" t="s">
        <v>24</v>
      </c>
      <c r="L38" s="4">
        <f>-L36/L16</f>
        <v>2.8564699714233845</v>
      </c>
    </row>
    <row r="39" spans="2:22" s="5" customFormat="1" x14ac:dyDescent="0.25">
      <c r="B39" s="5" t="s">
        <v>27</v>
      </c>
      <c r="L39" s="5">
        <f>+L11/L36</f>
        <v>3.6655256463736824E-2</v>
      </c>
      <c r="M39" s="5">
        <v>3.5000000000000003E-2</v>
      </c>
      <c r="N39" s="5">
        <f t="shared" ref="N39:V39" si="57">+M39</f>
        <v>3.5000000000000003E-2</v>
      </c>
      <c r="O39" s="5">
        <f t="shared" si="57"/>
        <v>3.5000000000000003E-2</v>
      </c>
      <c r="P39" s="5">
        <f t="shared" si="57"/>
        <v>3.5000000000000003E-2</v>
      </c>
      <c r="Q39" s="5">
        <f t="shared" si="57"/>
        <v>3.5000000000000003E-2</v>
      </c>
      <c r="R39" s="5">
        <f t="shared" si="57"/>
        <v>3.5000000000000003E-2</v>
      </c>
      <c r="S39" s="5">
        <f t="shared" si="57"/>
        <v>3.5000000000000003E-2</v>
      </c>
      <c r="T39" s="5">
        <f t="shared" si="57"/>
        <v>3.5000000000000003E-2</v>
      </c>
      <c r="U39" s="5">
        <f t="shared" si="57"/>
        <v>3.5000000000000003E-2</v>
      </c>
      <c r="V39" s="5">
        <f t="shared" si="57"/>
        <v>3.5000000000000003E-2</v>
      </c>
    </row>
    <row r="40" spans="2:22" s="1" customFormat="1" x14ac:dyDescent="0.25"/>
    <row r="41" spans="2:22" s="1" customFormat="1" x14ac:dyDescent="0.25"/>
    <row r="42" spans="2:22" s="1" customFormat="1" x14ac:dyDescent="0.25"/>
    <row r="43" spans="2:22" s="1" customFormat="1" x14ac:dyDescent="0.25"/>
    <row r="44" spans="2:22" s="1" customFormat="1" x14ac:dyDescent="0.25"/>
    <row r="45" spans="2:22" s="1" customFormat="1" x14ac:dyDescent="0.25"/>
    <row r="46" spans="2:22" s="1" customFormat="1" x14ac:dyDescent="0.25"/>
    <row r="47" spans="2:22" s="1" customFormat="1" x14ac:dyDescent="0.25"/>
    <row r="48" spans="2:22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2026-01-25T16:31:47Z</dcterms:created>
  <dcterms:modified xsi:type="dcterms:W3CDTF">2026-01-25T17:22:03Z</dcterms:modified>
</cp:coreProperties>
</file>