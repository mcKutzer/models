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6AD31AB-8A6B-4929-9B0C-0AE8631F6BCF}" xr6:coauthVersionLast="47" xr6:coauthVersionMax="47" xr10:uidLastSave="{00000000-0000-0000-0000-000000000000}"/>
  <bookViews>
    <workbookView xWindow="-120" yWindow="-120" windowWidth="29040" windowHeight="15840" xr2:uid="{D695870D-6371-4B53-8AB2-83669DA04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5" i="1" l="1"/>
  <c r="AB47" i="1"/>
  <c r="AB46" i="1"/>
  <c r="Z35" i="1" l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EE35" i="1" s="1"/>
  <c r="EF35" i="1" s="1"/>
  <c r="EG35" i="1" s="1"/>
  <c r="EH35" i="1" s="1"/>
  <c r="EI35" i="1" s="1"/>
  <c r="EJ35" i="1" s="1"/>
  <c r="EK35" i="1" s="1"/>
  <c r="EL35" i="1" s="1"/>
  <c r="EM35" i="1" s="1"/>
  <c r="EN35" i="1" s="1"/>
  <c r="EO35" i="1" s="1"/>
  <c r="EP35" i="1" s="1"/>
  <c r="EQ35" i="1" s="1"/>
  <c r="ER35" i="1" s="1"/>
  <c r="ES35" i="1" s="1"/>
  <c r="ET35" i="1" s="1"/>
  <c r="EU35" i="1" s="1"/>
  <c r="EV35" i="1" s="1"/>
  <c r="EW35" i="1" s="1"/>
  <c r="EX35" i="1" s="1"/>
  <c r="EY35" i="1" s="1"/>
  <c r="EZ35" i="1" s="1"/>
  <c r="FA35" i="1" s="1"/>
  <c r="FB35" i="1" s="1"/>
  <c r="FC35" i="1" s="1"/>
  <c r="FD35" i="1" s="1"/>
  <c r="FE35" i="1" s="1"/>
  <c r="FF35" i="1" s="1"/>
  <c r="FG35" i="1" s="1"/>
  <c r="FH35" i="1" s="1"/>
  <c r="FI35" i="1" s="1"/>
  <c r="FJ35" i="1" s="1"/>
  <c r="AB42" i="1"/>
  <c r="S34" i="1"/>
  <c r="Y34" i="1"/>
  <c r="X34" i="1"/>
  <c r="W34" i="1"/>
  <c r="V34" i="1"/>
  <c r="U34" i="1"/>
  <c r="T34" i="1"/>
  <c r="Q39" i="1"/>
  <c r="R39" i="1"/>
  <c r="S39" i="1"/>
  <c r="T39" i="1"/>
  <c r="U39" i="1"/>
  <c r="V39" i="1"/>
  <c r="W39" i="1"/>
  <c r="X39" i="1"/>
  <c r="Y39" i="1"/>
  <c r="Q40" i="1"/>
  <c r="R40" i="1"/>
  <c r="S40" i="1"/>
  <c r="T40" i="1"/>
  <c r="U40" i="1"/>
  <c r="V40" i="1"/>
  <c r="W40" i="1"/>
  <c r="X40" i="1"/>
  <c r="Y40" i="1"/>
  <c r="P40" i="1"/>
  <c r="P39" i="1"/>
  <c r="Q36" i="1"/>
  <c r="R36" i="1"/>
  <c r="P36" i="1"/>
  <c r="Q37" i="1"/>
  <c r="R37" i="1" s="1"/>
  <c r="S37" i="1" s="1"/>
  <c r="T37" i="1" s="1"/>
  <c r="U37" i="1" s="1"/>
  <c r="V37" i="1" s="1"/>
  <c r="W37" i="1" s="1"/>
  <c r="X37" i="1" s="1"/>
  <c r="Y37" i="1" s="1"/>
  <c r="P37" i="1"/>
  <c r="Q34" i="1"/>
  <c r="R34" i="1"/>
  <c r="P34" i="1"/>
  <c r="Q28" i="1"/>
  <c r="R28" i="1" s="1"/>
  <c r="P28" i="1"/>
  <c r="P52" i="1" s="1"/>
  <c r="Q27" i="1"/>
  <c r="R27" i="1"/>
  <c r="S27" i="1"/>
  <c r="S51" i="1" s="1"/>
  <c r="T27" i="1"/>
  <c r="T51" i="1" s="1"/>
  <c r="U27" i="1"/>
  <c r="U51" i="1" s="1"/>
  <c r="V27" i="1"/>
  <c r="V51" i="1" s="1"/>
  <c r="W27" i="1"/>
  <c r="W51" i="1" s="1"/>
  <c r="X27" i="1"/>
  <c r="Y27" i="1"/>
  <c r="Y51" i="1" s="1"/>
  <c r="P27" i="1"/>
  <c r="Q26" i="1"/>
  <c r="R26" i="1" s="1"/>
  <c r="P25" i="1"/>
  <c r="P49" i="1" s="1"/>
  <c r="P26" i="1"/>
  <c r="P50" i="1" s="1"/>
  <c r="R25" i="1"/>
  <c r="S25" i="1"/>
  <c r="T25" i="1"/>
  <c r="U25" i="1"/>
  <c r="V25" i="1"/>
  <c r="W25" i="1"/>
  <c r="X25" i="1"/>
  <c r="Y25" i="1"/>
  <c r="Q25" i="1"/>
  <c r="Q50" i="1"/>
  <c r="Q51" i="1"/>
  <c r="R51" i="1"/>
  <c r="X51" i="1"/>
  <c r="Q52" i="1"/>
  <c r="P51" i="1"/>
  <c r="Q24" i="1"/>
  <c r="R24" i="1" s="1"/>
  <c r="S24" i="1" s="1"/>
  <c r="P24" i="1"/>
  <c r="Q22" i="1"/>
  <c r="R22" i="1"/>
  <c r="S22" i="1"/>
  <c r="T22" i="1"/>
  <c r="U22" i="1"/>
  <c r="V22" i="1"/>
  <c r="W22" i="1"/>
  <c r="X22" i="1"/>
  <c r="Y22" i="1"/>
  <c r="P22" i="1"/>
  <c r="Q41" i="1"/>
  <c r="R41" i="1"/>
  <c r="S41" i="1"/>
  <c r="T41" i="1"/>
  <c r="U41" i="1"/>
  <c r="V41" i="1"/>
  <c r="W41" i="1"/>
  <c r="X41" i="1"/>
  <c r="Y41" i="1"/>
  <c r="P41" i="1"/>
  <c r="O41" i="1"/>
  <c r="O56" i="1"/>
  <c r="O8" i="1"/>
  <c r="P8" i="1" s="1"/>
  <c r="Q8" i="1" s="1"/>
  <c r="N8" i="1"/>
  <c r="O7" i="1"/>
  <c r="P7" i="1" s="1"/>
  <c r="N7" i="1"/>
  <c r="O6" i="1"/>
  <c r="P6" i="1" s="1"/>
  <c r="N6" i="1"/>
  <c r="N11" i="1" s="1"/>
  <c r="O20" i="1"/>
  <c r="N20" i="1"/>
  <c r="O19" i="1"/>
  <c r="N19" i="1"/>
  <c r="N10" i="1" s="1"/>
  <c r="O18" i="1"/>
  <c r="N18" i="1"/>
  <c r="O49" i="1"/>
  <c r="O50" i="1"/>
  <c r="O51" i="1"/>
  <c r="O52" i="1"/>
  <c r="N50" i="1"/>
  <c r="N51" i="1"/>
  <c r="N52" i="1"/>
  <c r="N49" i="1"/>
  <c r="N39" i="1"/>
  <c r="O46" i="1"/>
  <c r="O47" i="1" s="1"/>
  <c r="N46" i="1"/>
  <c r="N47" i="1" s="1"/>
  <c r="O34" i="1"/>
  <c r="N34" i="1"/>
  <c r="O23" i="1"/>
  <c r="O29" i="1" s="1"/>
  <c r="O33" i="1" s="1"/>
  <c r="O35" i="1" s="1"/>
  <c r="O36" i="1" s="1"/>
  <c r="N23" i="1"/>
  <c r="N29" i="1" s="1"/>
  <c r="N33" i="1" s="1"/>
  <c r="O13" i="1"/>
  <c r="N13" i="1"/>
  <c r="M2" i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AB41" i="1" l="1"/>
  <c r="AB43" i="1" s="1"/>
  <c r="AB44" i="1" s="1"/>
  <c r="R52" i="1"/>
  <c r="S28" i="1"/>
  <c r="S26" i="1"/>
  <c r="R50" i="1"/>
  <c r="R49" i="1"/>
  <c r="Q49" i="1"/>
  <c r="T24" i="1"/>
  <c r="U24" i="1" s="1"/>
  <c r="V24" i="1" s="1"/>
  <c r="W24" i="1" s="1"/>
  <c r="X24" i="1" s="1"/>
  <c r="Y24" i="1" s="1"/>
  <c r="O11" i="1"/>
  <c r="O10" i="1"/>
  <c r="O57" i="1"/>
  <c r="Q6" i="1"/>
  <c r="P5" i="1"/>
  <c r="P18" i="1"/>
  <c r="P19" i="1"/>
  <c r="Q7" i="1"/>
  <c r="R8" i="1"/>
  <c r="Q20" i="1"/>
  <c r="O58" i="1"/>
  <c r="P20" i="1"/>
  <c r="N16" i="1"/>
  <c r="O16" i="1"/>
  <c r="N15" i="1"/>
  <c r="O15" i="1"/>
  <c r="N14" i="1"/>
  <c r="O14" i="1"/>
  <c r="N40" i="1"/>
  <c r="O40" i="1"/>
  <c r="O39" i="1"/>
  <c r="N35" i="1"/>
  <c r="N36" i="1" s="1"/>
  <c r="T28" i="1" l="1"/>
  <c r="S52" i="1"/>
  <c r="T26" i="1"/>
  <c r="S50" i="1"/>
  <c r="S49" i="1"/>
  <c r="S8" i="1"/>
  <c r="R20" i="1"/>
  <c r="R7" i="1"/>
  <c r="Q19" i="1"/>
  <c r="P21" i="1"/>
  <c r="P23" i="1" s="1"/>
  <c r="P29" i="1" s="1"/>
  <c r="P33" i="1" s="1"/>
  <c r="P35" i="1" s="1"/>
  <c r="Q18" i="1"/>
  <c r="R6" i="1"/>
  <c r="Q5" i="1"/>
  <c r="T52" i="1" l="1"/>
  <c r="U28" i="1"/>
  <c r="U26" i="1"/>
  <c r="T50" i="1"/>
  <c r="T49" i="1"/>
  <c r="S7" i="1"/>
  <c r="R19" i="1"/>
  <c r="R18" i="1"/>
  <c r="S6" i="1"/>
  <c r="R5" i="1"/>
  <c r="Q21" i="1"/>
  <c r="Q23" i="1" s="1"/>
  <c r="Q29" i="1" s="1"/>
  <c r="Q33" i="1" s="1"/>
  <c r="Q35" i="1" s="1"/>
  <c r="T8" i="1"/>
  <c r="S20" i="1"/>
  <c r="U52" i="1" l="1"/>
  <c r="V28" i="1"/>
  <c r="U50" i="1"/>
  <c r="V26" i="1"/>
  <c r="U49" i="1"/>
  <c r="R21" i="1"/>
  <c r="R23" i="1" s="1"/>
  <c r="R29" i="1" s="1"/>
  <c r="R33" i="1" s="1"/>
  <c r="R35" i="1" s="1"/>
  <c r="U8" i="1"/>
  <c r="T20" i="1"/>
  <c r="S5" i="1"/>
  <c r="T6" i="1"/>
  <c r="S18" i="1"/>
  <c r="T7" i="1"/>
  <c r="S19" i="1"/>
  <c r="S21" i="1" s="1"/>
  <c r="S23" i="1" s="1"/>
  <c r="S29" i="1" s="1"/>
  <c r="S33" i="1" s="1"/>
  <c r="S35" i="1" s="1"/>
  <c r="S36" i="1" s="1"/>
  <c r="V52" i="1" l="1"/>
  <c r="W28" i="1"/>
  <c r="V50" i="1"/>
  <c r="W26" i="1"/>
  <c r="V49" i="1"/>
  <c r="U6" i="1"/>
  <c r="T5" i="1"/>
  <c r="T18" i="1"/>
  <c r="T19" i="1"/>
  <c r="T21" i="1" s="1"/>
  <c r="T23" i="1" s="1"/>
  <c r="T29" i="1" s="1"/>
  <c r="T33" i="1" s="1"/>
  <c r="T35" i="1" s="1"/>
  <c r="T36" i="1" s="1"/>
  <c r="U7" i="1"/>
  <c r="V8" i="1"/>
  <c r="U20" i="1"/>
  <c r="W52" i="1" l="1"/>
  <c r="X28" i="1"/>
  <c r="W50" i="1"/>
  <c r="X26" i="1"/>
  <c r="W49" i="1"/>
  <c r="U19" i="1"/>
  <c r="V7" i="1"/>
  <c r="W8" i="1"/>
  <c r="V20" i="1"/>
  <c r="U5" i="1"/>
  <c r="U18" i="1"/>
  <c r="U21" i="1" s="1"/>
  <c r="U23" i="1" s="1"/>
  <c r="U29" i="1" s="1"/>
  <c r="U33" i="1" s="1"/>
  <c r="U35" i="1" s="1"/>
  <c r="U36" i="1" s="1"/>
  <c r="V6" i="1"/>
  <c r="X52" i="1" l="1"/>
  <c r="Y28" i="1"/>
  <c r="Y52" i="1" s="1"/>
  <c r="X50" i="1"/>
  <c r="Y26" i="1"/>
  <c r="Y50" i="1" s="1"/>
  <c r="X49" i="1"/>
  <c r="Y49" i="1"/>
  <c r="X8" i="1"/>
  <c r="W20" i="1"/>
  <c r="W7" i="1"/>
  <c r="V19" i="1"/>
  <c r="V5" i="1"/>
  <c r="V18" i="1"/>
  <c r="V21" i="1" s="1"/>
  <c r="V23" i="1" s="1"/>
  <c r="V29" i="1" s="1"/>
  <c r="V33" i="1" s="1"/>
  <c r="V35" i="1" s="1"/>
  <c r="V36" i="1" s="1"/>
  <c r="W6" i="1"/>
  <c r="X6" i="1" l="1"/>
  <c r="W5" i="1"/>
  <c r="W18" i="1"/>
  <c r="Y8" i="1"/>
  <c r="Y20" i="1" s="1"/>
  <c r="X20" i="1"/>
  <c r="W19" i="1"/>
  <c r="X7" i="1"/>
  <c r="W21" i="1" l="1"/>
  <c r="W23" i="1" s="1"/>
  <c r="W29" i="1" s="1"/>
  <c r="W33" i="1" s="1"/>
  <c r="W35" i="1" s="1"/>
  <c r="W36" i="1" s="1"/>
  <c r="Y7" i="1"/>
  <c r="Y19" i="1" s="1"/>
  <c r="X19" i="1"/>
  <c r="X5" i="1"/>
  <c r="X18" i="1"/>
  <c r="X21" i="1" s="1"/>
  <c r="X23" i="1" s="1"/>
  <c r="X29" i="1" s="1"/>
  <c r="X33" i="1" s="1"/>
  <c r="X35" i="1" s="1"/>
  <c r="X36" i="1" s="1"/>
  <c r="Y6" i="1"/>
  <c r="Y5" i="1" l="1"/>
  <c r="Y18" i="1"/>
  <c r="Y21" i="1" s="1"/>
  <c r="Y23" i="1" s="1"/>
  <c r="Y29" i="1" s="1"/>
  <c r="Y33" i="1" s="1"/>
  <c r="Y35" i="1" s="1"/>
  <c r="Y36" i="1" s="1"/>
</calcChain>
</file>

<file path=xl/sharedStrings.xml><?xml version="1.0" encoding="utf-8"?>
<sst xmlns="http://schemas.openxmlformats.org/spreadsheetml/2006/main" count="63" uniqueCount="51">
  <si>
    <t>Trips</t>
  </si>
  <si>
    <t>Gross Bookings</t>
  </si>
  <si>
    <t>Revenue</t>
  </si>
  <si>
    <t>Booking Yield</t>
  </si>
  <si>
    <t>Mobility</t>
  </si>
  <si>
    <t>Delivery</t>
  </si>
  <si>
    <t>Freight</t>
  </si>
  <si>
    <t>COGS</t>
  </si>
  <si>
    <t>Gross Profit</t>
  </si>
  <si>
    <t>Support</t>
  </si>
  <si>
    <t>R&amp;D</t>
  </si>
  <si>
    <t>G&amp;A</t>
  </si>
  <si>
    <t>S&amp;M</t>
  </si>
  <si>
    <t>D&amp;A</t>
  </si>
  <si>
    <t>Operating income</t>
  </si>
  <si>
    <t>Interest expense</t>
  </si>
  <si>
    <t>Interest income</t>
  </si>
  <si>
    <t>Ohter income</t>
  </si>
  <si>
    <t>Pretax</t>
  </si>
  <si>
    <t>Taxes</t>
  </si>
  <si>
    <t>net Income</t>
  </si>
  <si>
    <t>Shares</t>
  </si>
  <si>
    <t>EPS</t>
  </si>
  <si>
    <t>Gross Margin</t>
  </si>
  <si>
    <t>Operating Margin</t>
  </si>
  <si>
    <t>CFFO</t>
  </si>
  <si>
    <t>SBC</t>
  </si>
  <si>
    <t>CapEx</t>
  </si>
  <si>
    <t>FCF</t>
  </si>
  <si>
    <t>Adj. FCF</t>
  </si>
  <si>
    <t>Stocks Bought</t>
  </si>
  <si>
    <t>Revenue/Trip</t>
  </si>
  <si>
    <t>Q124</t>
  </si>
  <si>
    <t>Q224</t>
  </si>
  <si>
    <t>Q324</t>
  </si>
  <si>
    <t>Q424</t>
  </si>
  <si>
    <t>Q125</t>
  </si>
  <si>
    <t>Q225</t>
  </si>
  <si>
    <t>Q325</t>
  </si>
  <si>
    <t>Q425</t>
  </si>
  <si>
    <t>Booking/Trip</t>
  </si>
  <si>
    <t>Booking Growth</t>
  </si>
  <si>
    <t>Revenue Y/Y</t>
  </si>
  <si>
    <t>Discount</t>
  </si>
  <si>
    <t>Terminal</t>
  </si>
  <si>
    <t>NPV</t>
  </si>
  <si>
    <t>Net Cash</t>
  </si>
  <si>
    <t>Value</t>
  </si>
  <si>
    <t>Price</t>
  </si>
  <si>
    <t>EV</t>
  </si>
  <si>
    <t>EV/E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</si>
</sst>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9" fontId="0" fillId="0" borderId="0" xfId="1" applyFont="1"/>
    <xf numFmtId="3" fontId="2" fillId="0" borderId="0" xfId="0" applyNumberFormat="1" applyFont="1"/>
    <xf numFmtId="9" fontId="2" fillId="0" borderId="0" xfId="1" applyFont="1"/>
    <xf numFmtId="4" fontId="2" fillId="0" borderId="0" xfId="0" applyNumberFormat="1" applyFont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35718</xdr:colOff>
      <xdr:row>3</xdr:row>
      <xdr:rowOff>11906</xdr:rowOff>
    </xdr:from>
    <xdr:to>
      <xdr:col>15</xdr:col>
      <xdr:colOff>53578</xdr:colOff>
      <xdr:row>54</xdr:row>
      <xdr:rowOff>29766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974CF9-F5EB-91F9-A725-E48DCEE9B600}"/>
            </a:ext>
          </a:extLst>
        </xdr:cNvPr>
        <xdr:cNvCxnSpPr/>
      </xdr:nvCxnSpPr>
      <xdr:spPr>
        <a:xfrm>
          <a:off x="9251156" y="583406"/>
          <a:ext cx="17860" cy="954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3C33-7766-4F44-88D9-AE4B1EA403DB}">
  <dimension ref="B2:FJ139"/>
  <sheetViews>
    <sheetView tabSelected="1" zoomScale="160" zoomScaleNormal="160" workbookViewId="0">
      <pane xSplit="2" ySplit="2" topLeftCell="N28" activePane="bottomRight" state="frozen"/>
      <selection pane="topRight" activeCell="C1" sqref="C1"/>
      <selection pane="bottomLeft" activeCell="A3" sqref="A3"/>
      <selection pane="bottomRight" activeCell="AB46" sqref="AB46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25" x14ac:dyDescent="0.25"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L2">
        <v>2022</v>
      </c>
      <c r="M2">
        <f t="shared" ref="M2:R2" si="0">+L2+1</f>
        <v>2023</v>
      </c>
      <c r="N2">
        <f t="shared" si="0"/>
        <v>2024</v>
      </c>
      <c r="O2">
        <f t="shared" si="0"/>
        <v>2025</v>
      </c>
      <c r="P2">
        <f t="shared" si="0"/>
        <v>2026</v>
      </c>
      <c r="Q2">
        <f t="shared" si="0"/>
        <v>2027</v>
      </c>
      <c r="R2">
        <f t="shared" si="0"/>
        <v>2028</v>
      </c>
      <c r="S2">
        <f t="shared" ref="S2:Y2" si="1">+R2+1</f>
        <v>2029</v>
      </c>
      <c r="T2">
        <f t="shared" si="1"/>
        <v>2030</v>
      </c>
      <c r="U2">
        <f t="shared" si="1"/>
        <v>2031</v>
      </c>
      <c r="V2">
        <f t="shared" si="1"/>
        <v>2032</v>
      </c>
      <c r="W2">
        <f t="shared" si="1"/>
        <v>2033</v>
      </c>
      <c r="X2">
        <f t="shared" si="1"/>
        <v>2034</v>
      </c>
      <c r="Y2">
        <f t="shared" si="1"/>
        <v>2035</v>
      </c>
    </row>
    <row r="3" spans="2:25" s="1" customFormat="1" x14ac:dyDescent="0.25"/>
    <row r="4" spans="2:25" s="1" customFormat="1" x14ac:dyDescent="0.25">
      <c r="B4" s="1" t="s">
        <v>0</v>
      </c>
      <c r="N4" s="1">
        <v>11273</v>
      </c>
      <c r="O4" s="1">
        <v>13567</v>
      </c>
    </row>
    <row r="5" spans="2:25" s="3" customFormat="1" x14ac:dyDescent="0.25">
      <c r="B5" s="3" t="s">
        <v>1</v>
      </c>
      <c r="N5" s="3">
        <v>162773</v>
      </c>
      <c r="O5" s="3">
        <v>193454</v>
      </c>
      <c r="P5" s="3">
        <f>+SUM(P6:P8)</f>
        <v>220692.31499999997</v>
      </c>
      <c r="Q5" s="3">
        <f t="shared" ref="Q5:Y5" si="2">+SUM(Q6:Q8)</f>
        <v>248694.81412499998</v>
      </c>
      <c r="R5" s="3">
        <f t="shared" si="2"/>
        <v>277914.28873162495</v>
      </c>
      <c r="S5" s="3">
        <f t="shared" si="2"/>
        <v>306572.38038736314</v>
      </c>
      <c r="T5" s="3">
        <f t="shared" si="2"/>
        <v>335229.41510755755</v>
      </c>
      <c r="U5" s="3">
        <f t="shared" si="2"/>
        <v>363314.01158033381</v>
      </c>
      <c r="V5" s="3">
        <f t="shared" si="2"/>
        <v>393792.62539423781</v>
      </c>
      <c r="W5" s="3">
        <f t="shared" si="2"/>
        <v>422985.01009954873</v>
      </c>
      <c r="X5" s="3">
        <f t="shared" si="2"/>
        <v>454376.72432063933</v>
      </c>
      <c r="Y5" s="3">
        <f t="shared" si="2"/>
        <v>488134.31868308771</v>
      </c>
    </row>
    <row r="6" spans="2:25" s="1" customFormat="1" x14ac:dyDescent="0.25">
      <c r="B6" s="1" t="s">
        <v>4</v>
      </c>
      <c r="C6" s="1">
        <v>18670</v>
      </c>
      <c r="D6" s="1">
        <v>20554</v>
      </c>
      <c r="E6" s="1">
        <v>21002</v>
      </c>
      <c r="F6" s="1">
        <v>22798</v>
      </c>
      <c r="G6" s="1">
        <v>21182</v>
      </c>
      <c r="H6" s="1">
        <v>23762</v>
      </c>
      <c r="I6" s="1">
        <v>25111</v>
      </c>
      <c r="J6" s="1">
        <v>27442</v>
      </c>
      <c r="N6" s="1">
        <f>+SUM(C6:F6)</f>
        <v>83024</v>
      </c>
      <c r="O6" s="1">
        <f>+SUM(G6:J6)</f>
        <v>97497</v>
      </c>
      <c r="P6" s="1">
        <f>+O6*1.13</f>
        <v>110171.60999999999</v>
      </c>
      <c r="Q6" s="1">
        <f>+P6*1.12</f>
        <v>123392.20319999999</v>
      </c>
      <c r="R6" s="1">
        <f>+Q6*1.11</f>
        <v>136965.34555200001</v>
      </c>
      <c r="S6" s="1">
        <f>+R6*1.1</f>
        <v>150661.88010720004</v>
      </c>
      <c r="T6" s="1">
        <f>+S6*1.09</f>
        <v>164221.44931684804</v>
      </c>
      <c r="U6" s="1">
        <f>+T6*1.08</f>
        <v>177359.16526219589</v>
      </c>
      <c r="V6" s="1">
        <f>+U6*1.08</f>
        <v>191547.89848317156</v>
      </c>
      <c r="W6" s="1">
        <f>+V6*1.07</f>
        <v>204956.25137699358</v>
      </c>
      <c r="X6" s="1">
        <f>+W6*1.07</f>
        <v>219303.18897338313</v>
      </c>
      <c r="Y6" s="1">
        <f>+X6*1.07</f>
        <v>234654.41220151997</v>
      </c>
    </row>
    <row r="7" spans="2:25" s="1" customFormat="1" x14ac:dyDescent="0.25">
      <c r="B7" s="1" t="s">
        <v>5</v>
      </c>
      <c r="C7" s="1">
        <v>17699</v>
      </c>
      <c r="D7" s="1">
        <v>18126</v>
      </c>
      <c r="E7" s="1">
        <v>18663</v>
      </c>
      <c r="F7" s="1">
        <v>20126</v>
      </c>
      <c r="G7" s="1">
        <v>20377</v>
      </c>
      <c r="H7" s="1">
        <v>21734</v>
      </c>
      <c r="I7" s="1">
        <v>23322</v>
      </c>
      <c r="J7" s="1">
        <v>25431</v>
      </c>
      <c r="N7" s="1">
        <f>+SUM(C7:F7)</f>
        <v>74614</v>
      </c>
      <c r="O7" s="1">
        <f>+SUM(G7:J7)</f>
        <v>90864</v>
      </c>
      <c r="P7" s="1">
        <f>+O7*1.16</f>
        <v>105402.23999999999</v>
      </c>
      <c r="Q7" s="1">
        <f>+P7*1.14</f>
        <v>120158.55359999998</v>
      </c>
      <c r="R7" s="1">
        <f>+Q7*1.13</f>
        <v>135779.16556799997</v>
      </c>
      <c r="S7" s="1">
        <f>+R7*1.11</f>
        <v>150714.87378047997</v>
      </c>
      <c r="T7" s="1">
        <f>+S7*1.1</f>
        <v>165786.36115852799</v>
      </c>
      <c r="U7" s="1">
        <f>+T7*1.09</f>
        <v>180707.13366279553</v>
      </c>
      <c r="V7" s="1">
        <f>+U7*1.09</f>
        <v>196970.77569244715</v>
      </c>
      <c r="W7" s="1">
        <f>+V7*1.08</f>
        <v>212728.43774784292</v>
      </c>
      <c r="X7" s="1">
        <f>+W7*1.08</f>
        <v>229746.71276767037</v>
      </c>
      <c r="Y7" s="1">
        <f>+X7*1.08</f>
        <v>248126.449789084</v>
      </c>
    </row>
    <row r="8" spans="2:25" s="1" customFormat="1" x14ac:dyDescent="0.25">
      <c r="B8" s="1" t="s">
        <v>6</v>
      </c>
      <c r="C8" s="1">
        <v>1282</v>
      </c>
      <c r="D8" s="1">
        <v>1272</v>
      </c>
      <c r="E8" s="1">
        <v>1308</v>
      </c>
      <c r="F8" s="1">
        <v>1273</v>
      </c>
      <c r="G8" s="1">
        <v>1259</v>
      </c>
      <c r="H8" s="1">
        <v>1260</v>
      </c>
      <c r="I8" s="1">
        <v>1307</v>
      </c>
      <c r="J8" s="1">
        <v>1267</v>
      </c>
      <c r="N8" s="1">
        <f>+SUM(C8:F8)</f>
        <v>5135</v>
      </c>
      <c r="O8" s="1">
        <f>+SUM(G8:J8)</f>
        <v>5093</v>
      </c>
      <c r="P8" s="1">
        <f>+O8*1.005</f>
        <v>5118.4649999999992</v>
      </c>
      <c r="Q8" s="1">
        <f t="shared" ref="Q8:Y8" si="3">+P8*1.005</f>
        <v>5144.0573249999989</v>
      </c>
      <c r="R8" s="1">
        <f t="shared" si="3"/>
        <v>5169.7776116249979</v>
      </c>
      <c r="S8" s="1">
        <f t="shared" si="3"/>
        <v>5195.6264996831223</v>
      </c>
      <c r="T8" s="1">
        <f t="shared" si="3"/>
        <v>5221.6046321815375</v>
      </c>
      <c r="U8" s="1">
        <f t="shared" si="3"/>
        <v>5247.712655342445</v>
      </c>
      <c r="V8" s="1">
        <f t="shared" si="3"/>
        <v>5273.9512186191569</v>
      </c>
      <c r="W8" s="1">
        <f t="shared" si="3"/>
        <v>5300.3209747122519</v>
      </c>
      <c r="X8" s="1">
        <f t="shared" si="3"/>
        <v>5326.8225795858125</v>
      </c>
      <c r="Y8" s="1">
        <f t="shared" si="3"/>
        <v>5353.4566924837409</v>
      </c>
    </row>
    <row r="9" spans="2:25" s="1" customFormat="1" x14ac:dyDescent="0.25"/>
    <row r="10" spans="2:25" s="7" customFormat="1" x14ac:dyDescent="0.25">
      <c r="B10" s="7" t="s">
        <v>31</v>
      </c>
      <c r="N10" s="7">
        <f>+SUM(N18:N19)/N4</f>
        <v>3.4451343919098734</v>
      </c>
      <c r="O10" s="7">
        <f>+SUM(O18:O19)/O4</f>
        <v>3.4582442691825754</v>
      </c>
    </row>
    <row r="11" spans="2:25" s="7" customFormat="1" x14ac:dyDescent="0.25">
      <c r="B11" s="7" t="s">
        <v>40</v>
      </c>
      <c r="N11" s="7">
        <f>+SUM(N6:N7)/N4</f>
        <v>13.983677814246429</v>
      </c>
      <c r="O11" s="7">
        <f>+SUM(O6:O7)/O4</f>
        <v>13.883762069728016</v>
      </c>
    </row>
    <row r="12" spans="2:25" s="1" customFormat="1" x14ac:dyDescent="0.25"/>
    <row r="13" spans="2:25" s="4" customFormat="1" x14ac:dyDescent="0.25">
      <c r="B13" s="4" t="s">
        <v>3</v>
      </c>
      <c r="N13" s="4">
        <f>+N21/N5</f>
        <v>0.27017994384818123</v>
      </c>
      <c r="O13" s="4">
        <f>+O21/O5</f>
        <v>0.26888562655721776</v>
      </c>
    </row>
    <row r="14" spans="2:25" s="2" customFormat="1" x14ac:dyDescent="0.25">
      <c r="B14" s="1" t="s">
        <v>4</v>
      </c>
      <c r="N14" s="2">
        <f t="shared" ref="N14:O16" si="4">+N18/N6</f>
        <v>0.30216563885141645</v>
      </c>
      <c r="O14" s="2">
        <f t="shared" si="4"/>
        <v>0.3043170559094126</v>
      </c>
    </row>
    <row r="15" spans="2:25" s="2" customFormat="1" x14ac:dyDescent="0.25">
      <c r="B15" s="1" t="s">
        <v>5</v>
      </c>
      <c r="N15" s="2">
        <f t="shared" si="4"/>
        <v>0.18428177017717853</v>
      </c>
      <c r="O15" s="2">
        <f t="shared" si="4"/>
        <v>0.18982215178728648</v>
      </c>
    </row>
    <row r="16" spans="2:25" s="2" customFormat="1" x14ac:dyDescent="0.25">
      <c r="B16" s="1" t="s">
        <v>6</v>
      </c>
      <c r="N16" s="2">
        <f t="shared" si="4"/>
        <v>1.0011684518013633</v>
      </c>
      <c r="O16" s="2">
        <f t="shared" si="4"/>
        <v>1.0011780875711762</v>
      </c>
    </row>
    <row r="17" spans="2:25" s="1" customFormat="1" x14ac:dyDescent="0.25">
      <c r="N17" s="6"/>
      <c r="O17" s="6"/>
    </row>
    <row r="18" spans="2:25" s="1" customFormat="1" x14ac:dyDescent="0.25">
      <c r="B18" s="1" t="s">
        <v>4</v>
      </c>
      <c r="C18" s="1">
        <v>5633</v>
      </c>
      <c r="D18" s="1">
        <v>6134</v>
      </c>
      <c r="E18" s="1">
        <v>6409</v>
      </c>
      <c r="F18" s="1">
        <v>6911</v>
      </c>
      <c r="G18" s="1">
        <v>6496</v>
      </c>
      <c r="H18" s="1">
        <v>7288</v>
      </c>
      <c r="I18" s="1">
        <v>7682</v>
      </c>
      <c r="J18" s="1">
        <v>8204</v>
      </c>
      <c r="N18" s="1">
        <f>+SUM(C18:F18)</f>
        <v>25087</v>
      </c>
      <c r="O18" s="1">
        <f>+SUM(G18:J18)</f>
        <v>29670</v>
      </c>
      <c r="P18" s="1">
        <f>+P6*0.3</f>
        <v>33051.482999999993</v>
      </c>
      <c r="Q18" s="1">
        <f t="shared" ref="Q18:Y18" si="5">+Q6*0.3</f>
        <v>37017.660959999994</v>
      </c>
      <c r="R18" s="1">
        <f t="shared" si="5"/>
        <v>41089.6036656</v>
      </c>
      <c r="S18" s="1">
        <f t="shared" si="5"/>
        <v>45198.564032160008</v>
      </c>
      <c r="T18" s="1">
        <f t="shared" si="5"/>
        <v>49266.434795054411</v>
      </c>
      <c r="U18" s="1">
        <f t="shared" si="5"/>
        <v>53207.749578658768</v>
      </c>
      <c r="V18" s="1">
        <f t="shared" si="5"/>
        <v>57464.369544951471</v>
      </c>
      <c r="W18" s="1">
        <f t="shared" si="5"/>
        <v>61486.875413098067</v>
      </c>
      <c r="X18" s="1">
        <f t="shared" si="5"/>
        <v>65790.956692014937</v>
      </c>
      <c r="Y18" s="1">
        <f t="shared" si="5"/>
        <v>70396.323660455993</v>
      </c>
    </row>
    <row r="19" spans="2:25" s="1" customFormat="1" x14ac:dyDescent="0.25">
      <c r="B19" s="1" t="s">
        <v>5</v>
      </c>
      <c r="C19" s="1">
        <v>3214</v>
      </c>
      <c r="D19" s="1">
        <v>3293</v>
      </c>
      <c r="E19" s="1">
        <v>3470</v>
      </c>
      <c r="F19" s="1">
        <v>3773</v>
      </c>
      <c r="G19" s="1">
        <v>3777</v>
      </c>
      <c r="H19" s="1">
        <v>4102</v>
      </c>
      <c r="I19" s="1">
        <v>4477</v>
      </c>
      <c r="J19" s="1">
        <v>4892</v>
      </c>
      <c r="N19" s="1">
        <f>+SUM(C19:F19)</f>
        <v>13750</v>
      </c>
      <c r="O19" s="1">
        <f>+SUM(G19:J19)</f>
        <v>17248</v>
      </c>
      <c r="P19" s="1">
        <f>+P7*0.19</f>
        <v>20026.425599999999</v>
      </c>
      <c r="Q19" s="1">
        <f t="shared" ref="Q19:Y19" si="6">+Q7*0.19</f>
        <v>22830.125183999997</v>
      </c>
      <c r="R19" s="1">
        <f t="shared" si="6"/>
        <v>25798.041457919993</v>
      </c>
      <c r="S19" s="1">
        <f t="shared" si="6"/>
        <v>28635.826018291194</v>
      </c>
      <c r="T19" s="1">
        <f t="shared" si="6"/>
        <v>31499.408620120317</v>
      </c>
      <c r="U19" s="1">
        <f t="shared" si="6"/>
        <v>34334.355395931154</v>
      </c>
      <c r="V19" s="1">
        <f t="shared" si="6"/>
        <v>37424.447381564962</v>
      </c>
      <c r="W19" s="1">
        <f t="shared" si="6"/>
        <v>40418.403172090155</v>
      </c>
      <c r="X19" s="1">
        <f t="shared" si="6"/>
        <v>43651.875425857368</v>
      </c>
      <c r="Y19" s="1">
        <f t="shared" si="6"/>
        <v>47144.025459925957</v>
      </c>
    </row>
    <row r="20" spans="2:25" s="1" customFormat="1" x14ac:dyDescent="0.25">
      <c r="B20" s="1" t="s">
        <v>6</v>
      </c>
      <c r="C20" s="1">
        <v>1284</v>
      </c>
      <c r="D20" s="1">
        <v>1273</v>
      </c>
      <c r="E20" s="1">
        <v>1309</v>
      </c>
      <c r="F20" s="1">
        <v>1275</v>
      </c>
      <c r="G20" s="1">
        <v>1260</v>
      </c>
      <c r="H20" s="1">
        <v>1261</v>
      </c>
      <c r="I20" s="1">
        <v>1308</v>
      </c>
      <c r="J20" s="1">
        <v>1270</v>
      </c>
      <c r="N20" s="1">
        <f>+SUM(C20:F20)</f>
        <v>5141</v>
      </c>
      <c r="O20" s="1">
        <f>+SUM(G20:J20)</f>
        <v>5099</v>
      </c>
      <c r="P20" s="1">
        <f>+P8</f>
        <v>5118.4649999999992</v>
      </c>
      <c r="Q20" s="1">
        <f t="shared" ref="Q20:Y20" si="7">+Q8</f>
        <v>5144.0573249999989</v>
      </c>
      <c r="R20" s="1">
        <f t="shared" si="7"/>
        <v>5169.7776116249979</v>
      </c>
      <c r="S20" s="1">
        <f t="shared" si="7"/>
        <v>5195.6264996831223</v>
      </c>
      <c r="T20" s="1">
        <f t="shared" si="7"/>
        <v>5221.6046321815375</v>
      </c>
      <c r="U20" s="1">
        <f t="shared" si="7"/>
        <v>5247.712655342445</v>
      </c>
      <c r="V20" s="1">
        <f t="shared" si="7"/>
        <v>5273.9512186191569</v>
      </c>
      <c r="W20" s="1">
        <f t="shared" si="7"/>
        <v>5300.3209747122519</v>
      </c>
      <c r="X20" s="1">
        <f t="shared" si="7"/>
        <v>5326.8225795858125</v>
      </c>
      <c r="Y20" s="1">
        <f t="shared" si="7"/>
        <v>5353.4566924837409</v>
      </c>
    </row>
    <row r="21" spans="2:25" s="3" customFormat="1" x14ac:dyDescent="0.25">
      <c r="B21" s="3" t="s">
        <v>2</v>
      </c>
      <c r="N21" s="3">
        <v>43978</v>
      </c>
      <c r="O21" s="3">
        <v>52017</v>
      </c>
      <c r="P21" s="3">
        <f>+P18+P19+P20</f>
        <v>58196.373599999992</v>
      </c>
      <c r="Q21" s="3">
        <f t="shared" ref="Q21:Y21" si="8">+Q18+Q19+Q20</f>
        <v>64991.843468999992</v>
      </c>
      <c r="R21" s="3">
        <f t="shared" si="8"/>
        <v>72057.422735144995</v>
      </c>
      <c r="S21" s="3">
        <f t="shared" si="8"/>
        <v>79030.016550134314</v>
      </c>
      <c r="T21" s="3">
        <f t="shared" si="8"/>
        <v>85987.448047356258</v>
      </c>
      <c r="U21" s="3">
        <f t="shared" si="8"/>
        <v>92789.817629932368</v>
      </c>
      <c r="V21" s="3">
        <f t="shared" si="8"/>
        <v>100162.76814513559</v>
      </c>
      <c r="W21" s="3">
        <f t="shared" si="8"/>
        <v>107205.59955990047</v>
      </c>
      <c r="X21" s="3">
        <f t="shared" si="8"/>
        <v>114769.65469745813</v>
      </c>
      <c r="Y21" s="3">
        <f t="shared" si="8"/>
        <v>122893.8058128657</v>
      </c>
    </row>
    <row r="22" spans="2:25" s="1" customFormat="1" x14ac:dyDescent="0.25">
      <c r="B22" s="1" t="s">
        <v>7</v>
      </c>
      <c r="N22" s="1">
        <v>26651</v>
      </c>
      <c r="O22" s="1">
        <v>31338</v>
      </c>
      <c r="P22" s="1">
        <f>+P21*0.6</f>
        <v>34917.824159999996</v>
      </c>
      <c r="Q22" s="1">
        <f t="shared" ref="Q22:Y22" si="9">+Q21*0.6</f>
        <v>38995.106081399994</v>
      </c>
      <c r="R22" s="1">
        <f t="shared" si="9"/>
        <v>43234.453641086999</v>
      </c>
      <c r="S22" s="1">
        <f t="shared" si="9"/>
        <v>47418.009930080589</v>
      </c>
      <c r="T22" s="1">
        <f t="shared" si="9"/>
        <v>51592.468828413752</v>
      </c>
      <c r="U22" s="1">
        <f t="shared" si="9"/>
        <v>55673.890577959421</v>
      </c>
      <c r="V22" s="1">
        <f t="shared" si="9"/>
        <v>60097.660887081351</v>
      </c>
      <c r="W22" s="1">
        <f t="shared" si="9"/>
        <v>64323.359735940277</v>
      </c>
      <c r="X22" s="1">
        <f t="shared" si="9"/>
        <v>68861.792818474874</v>
      </c>
      <c r="Y22" s="1">
        <f t="shared" si="9"/>
        <v>73736.283487719411</v>
      </c>
    </row>
    <row r="23" spans="2:25" s="1" customFormat="1" x14ac:dyDescent="0.25">
      <c r="B23" s="1" t="s">
        <v>8</v>
      </c>
      <c r="N23" s="1">
        <f>+N21-N22</f>
        <v>17327</v>
      </c>
      <c r="O23" s="1">
        <f t="shared" ref="O23:R23" si="10">+O21-O22</f>
        <v>20679</v>
      </c>
      <c r="P23" s="1">
        <f t="shared" si="10"/>
        <v>23278.549439999995</v>
      </c>
      <c r="Q23" s="1">
        <f t="shared" si="10"/>
        <v>25996.737387599998</v>
      </c>
      <c r="R23" s="1">
        <f t="shared" si="10"/>
        <v>28822.969094057997</v>
      </c>
      <c r="S23" s="1">
        <f t="shared" ref="S23" si="11">+S21-S22</f>
        <v>31612.006620053726</v>
      </c>
      <c r="T23" s="1">
        <f t="shared" ref="T23" si="12">+T21-T22</f>
        <v>34394.979218942506</v>
      </c>
      <c r="U23" s="1">
        <f t="shared" ref="U23" si="13">+U21-U22</f>
        <v>37115.927051972947</v>
      </c>
      <c r="V23" s="1">
        <f t="shared" ref="V23" si="14">+V21-V22</f>
        <v>40065.107258054239</v>
      </c>
      <c r="W23" s="1">
        <f t="shared" ref="W23" si="15">+W21-W22</f>
        <v>42882.23982396019</v>
      </c>
      <c r="X23" s="1">
        <f t="shared" ref="X23" si="16">+X21-X22</f>
        <v>45907.861878983254</v>
      </c>
      <c r="Y23" s="1">
        <f t="shared" ref="Y23" si="17">+Y21-Y22</f>
        <v>49157.522325146288</v>
      </c>
    </row>
    <row r="24" spans="2:25" s="1" customFormat="1" x14ac:dyDescent="0.25">
      <c r="B24" s="1" t="s">
        <v>9</v>
      </c>
      <c r="N24" s="1">
        <v>2732</v>
      </c>
      <c r="O24" s="1">
        <v>2854</v>
      </c>
      <c r="P24" s="1">
        <f>+O24*1.03</f>
        <v>2939.62</v>
      </c>
      <c r="Q24" s="1">
        <f t="shared" ref="Q24:S24" si="18">+P24*1.03</f>
        <v>3027.8085999999998</v>
      </c>
      <c r="R24" s="1">
        <f t="shared" si="18"/>
        <v>3118.6428579999997</v>
      </c>
      <c r="S24" s="1">
        <f t="shared" si="18"/>
        <v>3212.2021437399999</v>
      </c>
      <c r="T24" s="1">
        <f t="shared" ref="T24:Y24" si="19">+S24*1.02</f>
        <v>3276.4461866147999</v>
      </c>
      <c r="U24" s="1">
        <f t="shared" si="19"/>
        <v>3341.9751103470958</v>
      </c>
      <c r="V24" s="1">
        <f t="shared" si="19"/>
        <v>3408.8146125540379</v>
      </c>
      <c r="W24" s="1">
        <f t="shared" si="19"/>
        <v>3476.9909048051186</v>
      </c>
      <c r="X24" s="1">
        <f t="shared" si="19"/>
        <v>3546.530722901221</v>
      </c>
      <c r="Y24" s="1">
        <f t="shared" si="19"/>
        <v>3617.4613373592456</v>
      </c>
    </row>
    <row r="25" spans="2:25" s="1" customFormat="1" x14ac:dyDescent="0.25">
      <c r="B25" s="1" t="s">
        <v>12</v>
      </c>
      <c r="N25" s="1">
        <v>4337</v>
      </c>
      <c r="O25" s="1">
        <v>4898</v>
      </c>
      <c r="P25" s="1">
        <f>+O25*(1+P41*0.666666666666667)</f>
        <v>5285.906157510045</v>
      </c>
      <c r="Q25" s="1">
        <f>+Q21*0.09</f>
        <v>5849.2659122099994</v>
      </c>
      <c r="R25" s="1">
        <f t="shared" ref="R25:Y25" si="20">+R21*0.09</f>
        <v>6485.1680461630494</v>
      </c>
      <c r="S25" s="1">
        <f t="shared" si="20"/>
        <v>7112.7014895120883</v>
      </c>
      <c r="T25" s="1">
        <f t="shared" si="20"/>
        <v>7738.8703242620631</v>
      </c>
      <c r="U25" s="1">
        <f t="shared" si="20"/>
        <v>8351.0835866939124</v>
      </c>
      <c r="V25" s="1">
        <f t="shared" si="20"/>
        <v>9014.649133062203</v>
      </c>
      <c r="W25" s="1">
        <f t="shared" si="20"/>
        <v>9648.5039603910409</v>
      </c>
      <c r="X25" s="1">
        <f t="shared" si="20"/>
        <v>10329.268922771231</v>
      </c>
      <c r="Y25" s="1">
        <f t="shared" si="20"/>
        <v>11060.442523157912</v>
      </c>
    </row>
    <row r="26" spans="2:25" s="1" customFormat="1" x14ac:dyDescent="0.25">
      <c r="B26" s="1" t="s">
        <v>10</v>
      </c>
      <c r="N26" s="1">
        <v>3109</v>
      </c>
      <c r="O26" s="1">
        <v>3402</v>
      </c>
      <c r="P26" s="1">
        <f>+O26*(1+P41*0.666666666666667)</f>
        <v>3671.4276741219219</v>
      </c>
      <c r="Q26" s="1">
        <f t="shared" ref="Q26:Y26" si="21">+P26*(1+Q41*0.666666666666667)</f>
        <v>3957.2310050670235</v>
      </c>
      <c r="R26" s="1">
        <f t="shared" si="21"/>
        <v>4244.037552354087</v>
      </c>
      <c r="S26" s="1">
        <f t="shared" si="21"/>
        <v>4517.8187383848917</v>
      </c>
      <c r="T26" s="1">
        <f t="shared" si="21"/>
        <v>4782.9704344221291</v>
      </c>
      <c r="U26" s="1">
        <f t="shared" si="21"/>
        <v>5035.2206820749834</v>
      </c>
      <c r="V26" s="1">
        <f t="shared" si="21"/>
        <v>5301.9484608357061</v>
      </c>
      <c r="W26" s="1">
        <f t="shared" si="21"/>
        <v>5550.4821217354092</v>
      </c>
      <c r="X26" s="1">
        <f t="shared" si="21"/>
        <v>5811.5639618705491</v>
      </c>
      <c r="Y26" s="1">
        <f t="shared" si="21"/>
        <v>6085.8177790347518</v>
      </c>
    </row>
    <row r="27" spans="2:25" s="1" customFormat="1" x14ac:dyDescent="0.25">
      <c r="B27" s="1" t="s">
        <v>11</v>
      </c>
      <c r="N27" s="1">
        <v>3639</v>
      </c>
      <c r="O27" s="1">
        <v>3241</v>
      </c>
      <c r="P27" s="1">
        <f>+P21*0.06</f>
        <v>3491.7824159999996</v>
      </c>
      <c r="Q27" s="1">
        <f t="shared" ref="Q27:Y27" si="22">+Q21*0.06</f>
        <v>3899.5106081399995</v>
      </c>
      <c r="R27" s="1">
        <f t="shared" si="22"/>
        <v>4323.4453641086993</v>
      </c>
      <c r="S27" s="1">
        <f t="shared" si="22"/>
        <v>4741.8009930080589</v>
      </c>
      <c r="T27" s="1">
        <f t="shared" si="22"/>
        <v>5159.2468828413757</v>
      </c>
      <c r="U27" s="1">
        <f t="shared" si="22"/>
        <v>5567.3890577959419</v>
      </c>
      <c r="V27" s="1">
        <f t="shared" si="22"/>
        <v>6009.7660887081347</v>
      </c>
      <c r="W27" s="1">
        <f t="shared" si="22"/>
        <v>6432.3359735940276</v>
      </c>
      <c r="X27" s="1">
        <f t="shared" si="22"/>
        <v>6886.1792818474878</v>
      </c>
      <c r="Y27" s="1">
        <f t="shared" si="22"/>
        <v>7373.628348771942</v>
      </c>
    </row>
    <row r="28" spans="2:25" s="1" customFormat="1" x14ac:dyDescent="0.25">
      <c r="B28" s="1" t="s">
        <v>13</v>
      </c>
      <c r="N28" s="1">
        <v>711</v>
      </c>
      <c r="O28" s="1">
        <v>719</v>
      </c>
      <c r="P28" s="1">
        <f>+O28+10</f>
        <v>729</v>
      </c>
      <c r="Q28" s="1">
        <f t="shared" ref="Q28:Y28" si="23">+P28+10</f>
        <v>739</v>
      </c>
      <c r="R28" s="1">
        <f t="shared" si="23"/>
        <v>749</v>
      </c>
      <c r="S28" s="1">
        <f t="shared" si="23"/>
        <v>759</v>
      </c>
      <c r="T28" s="1">
        <f t="shared" si="23"/>
        <v>769</v>
      </c>
      <c r="U28" s="1">
        <f t="shared" si="23"/>
        <v>779</v>
      </c>
      <c r="V28" s="1">
        <f t="shared" si="23"/>
        <v>789</v>
      </c>
      <c r="W28" s="1">
        <f t="shared" si="23"/>
        <v>799</v>
      </c>
      <c r="X28" s="1">
        <f t="shared" si="23"/>
        <v>809</v>
      </c>
      <c r="Y28" s="1">
        <f t="shared" si="23"/>
        <v>819</v>
      </c>
    </row>
    <row r="29" spans="2:25" s="3" customFormat="1" x14ac:dyDescent="0.25">
      <c r="B29" s="3" t="s">
        <v>14</v>
      </c>
      <c r="N29" s="3">
        <f>+N23-SUM(N24:N28)</f>
        <v>2799</v>
      </c>
      <c r="O29" s="3">
        <f t="shared" ref="O29:R29" si="24">+O23-SUM(O24:O28)</f>
        <v>5565</v>
      </c>
      <c r="P29" s="3">
        <f t="shared" si="24"/>
        <v>7160.8131923680285</v>
      </c>
      <c r="Q29" s="3">
        <f t="shared" si="24"/>
        <v>8523.9212621829756</v>
      </c>
      <c r="R29" s="3">
        <f t="shared" si="24"/>
        <v>9902.6752734321635</v>
      </c>
      <c r="S29" s="3">
        <f t="shared" ref="S29" si="25">+S23-SUM(S24:S28)</f>
        <v>11268.483255408686</v>
      </c>
      <c r="T29" s="3">
        <f t="shared" ref="T29" si="26">+T23-SUM(T24:T28)</f>
        <v>12668.445390802139</v>
      </c>
      <c r="U29" s="3">
        <f t="shared" ref="U29" si="27">+U23-SUM(U24:U28)</f>
        <v>14041.258615061011</v>
      </c>
      <c r="V29" s="3">
        <f t="shared" ref="V29" si="28">+V23-SUM(V24:V28)</f>
        <v>15540.928962894155</v>
      </c>
      <c r="W29" s="3">
        <f t="shared" ref="W29" si="29">+W23-SUM(W24:W28)</f>
        <v>16974.92686343459</v>
      </c>
      <c r="X29" s="3">
        <f t="shared" ref="X29" si="30">+X23-SUM(X24:X28)</f>
        <v>18525.318989592764</v>
      </c>
      <c r="Y29" s="3">
        <f t="shared" ref="Y29" si="31">+Y23-SUM(Y24:Y28)</f>
        <v>20201.172336822438</v>
      </c>
    </row>
    <row r="30" spans="2:25" s="1" customFormat="1" x14ac:dyDescent="0.25">
      <c r="B30" s="1" t="s">
        <v>15</v>
      </c>
      <c r="N30" s="1">
        <v>523</v>
      </c>
      <c r="O30" s="1">
        <v>440</v>
      </c>
      <c r="P30" s="1">
        <v>400</v>
      </c>
      <c r="Q30" s="1">
        <v>400</v>
      </c>
      <c r="R30" s="1">
        <v>400</v>
      </c>
      <c r="S30" s="1">
        <v>400</v>
      </c>
      <c r="T30" s="1">
        <v>400</v>
      </c>
      <c r="U30" s="1">
        <v>400</v>
      </c>
      <c r="V30" s="1">
        <v>400</v>
      </c>
      <c r="W30" s="1">
        <v>400</v>
      </c>
      <c r="X30" s="1">
        <v>400</v>
      </c>
      <c r="Y30" s="1">
        <v>400</v>
      </c>
    </row>
    <row r="31" spans="2:25" s="1" customFormat="1" x14ac:dyDescent="0.25">
      <c r="B31" s="1" t="s">
        <v>16</v>
      </c>
      <c r="N31" s="1">
        <v>721</v>
      </c>
      <c r="O31" s="1">
        <v>743</v>
      </c>
      <c r="P31" s="1">
        <v>750</v>
      </c>
      <c r="Q31" s="1">
        <v>750</v>
      </c>
      <c r="R31" s="1">
        <v>750</v>
      </c>
      <c r="S31" s="1">
        <v>750</v>
      </c>
      <c r="T31" s="1">
        <v>750</v>
      </c>
      <c r="U31" s="1">
        <v>750</v>
      </c>
      <c r="V31" s="1">
        <v>750</v>
      </c>
      <c r="W31" s="1">
        <v>750</v>
      </c>
      <c r="X31" s="1">
        <v>750</v>
      </c>
      <c r="Y31" s="1">
        <v>750</v>
      </c>
    </row>
    <row r="32" spans="2:25" s="1" customFormat="1" x14ac:dyDescent="0.25">
      <c r="B32" s="1" t="s">
        <v>17</v>
      </c>
      <c r="N32" s="1">
        <v>1128</v>
      </c>
      <c r="O32" s="1">
        <v>-68</v>
      </c>
    </row>
    <row r="33" spans="2:166" s="1" customFormat="1" x14ac:dyDescent="0.25">
      <c r="B33" s="1" t="s">
        <v>18</v>
      </c>
      <c r="N33" s="1">
        <f>+N29-N30+N31+N32</f>
        <v>4125</v>
      </c>
      <c r="O33" s="1">
        <f t="shared" ref="O33:R33" si="32">+O29-O30+O31+O32</f>
        <v>5800</v>
      </c>
      <c r="P33" s="1">
        <f t="shared" si="32"/>
        <v>7510.8131923680285</v>
      </c>
      <c r="Q33" s="1">
        <f t="shared" si="32"/>
        <v>8873.9212621829756</v>
      </c>
      <c r="R33" s="1">
        <f t="shared" si="32"/>
        <v>10252.675273432164</v>
      </c>
      <c r="S33" s="1">
        <f t="shared" ref="S33" si="33">+S29-S30+S31+S32</f>
        <v>11618.483255408686</v>
      </c>
      <c r="T33" s="1">
        <f t="shared" ref="T33" si="34">+T29-T30+T31+T32</f>
        <v>13018.445390802139</v>
      </c>
      <c r="U33" s="1">
        <f t="shared" ref="U33" si="35">+U29-U30+U31+U32</f>
        <v>14391.258615061011</v>
      </c>
      <c r="V33" s="1">
        <f t="shared" ref="V33" si="36">+V29-V30+V31+V32</f>
        <v>15890.928962894155</v>
      </c>
      <c r="W33" s="1">
        <f t="shared" ref="W33" si="37">+W29-W30+W31+W32</f>
        <v>17324.92686343459</v>
      </c>
      <c r="X33" s="1">
        <f t="shared" ref="X33" si="38">+X29-X30+X31+X32</f>
        <v>18875.318989592764</v>
      </c>
      <c r="Y33" s="1">
        <f t="shared" ref="Y33" si="39">+Y29-Y30+Y31+Y32</f>
        <v>20551.172336822438</v>
      </c>
    </row>
    <row r="34" spans="2:166" s="1" customFormat="1" x14ac:dyDescent="0.25">
      <c r="B34" s="1" t="s">
        <v>19</v>
      </c>
      <c r="N34" s="1">
        <f>-5758+38</f>
        <v>-5720</v>
      </c>
      <c r="O34" s="1">
        <f>-4346+53</f>
        <v>-4293</v>
      </c>
      <c r="P34" s="1">
        <f>+P33*0.15</f>
        <v>1126.6219788552041</v>
      </c>
      <c r="Q34" s="1">
        <f t="shared" ref="Q34:R34" si="40">+Q33*0.15</f>
        <v>1331.0881893274463</v>
      </c>
      <c r="R34" s="1">
        <f t="shared" si="40"/>
        <v>1537.9012910148244</v>
      </c>
      <c r="S34" s="1">
        <f>+S33*0.17</f>
        <v>1975.1421534194767</v>
      </c>
      <c r="T34" s="1">
        <f t="shared" ref="T34:Y34" si="41">+T33*0.2</f>
        <v>2603.6890781604279</v>
      </c>
      <c r="U34" s="1">
        <f t="shared" si="41"/>
        <v>2878.2517230122025</v>
      </c>
      <c r="V34" s="1">
        <f t="shared" si="41"/>
        <v>3178.1857925788313</v>
      </c>
      <c r="W34" s="1">
        <f t="shared" si="41"/>
        <v>3464.9853726869183</v>
      </c>
      <c r="X34" s="1">
        <f t="shared" si="41"/>
        <v>3775.0637979185531</v>
      </c>
      <c r="Y34" s="1">
        <f t="shared" si="41"/>
        <v>4110.2344673644875</v>
      </c>
    </row>
    <row r="35" spans="2:166" s="1" customFormat="1" x14ac:dyDescent="0.25">
      <c r="B35" s="1" t="s">
        <v>20</v>
      </c>
      <c r="N35" s="1">
        <f>+N33-N34</f>
        <v>9845</v>
      </c>
      <c r="O35" s="1">
        <f t="shared" ref="O35:R35" si="42">+O33-O34</f>
        <v>10093</v>
      </c>
      <c r="P35" s="1">
        <f t="shared" si="42"/>
        <v>6384.1912135128241</v>
      </c>
      <c r="Q35" s="1">
        <f t="shared" si="42"/>
        <v>7542.8330728555293</v>
      </c>
      <c r="R35" s="1">
        <f t="shared" si="42"/>
        <v>8714.7739824173386</v>
      </c>
      <c r="S35" s="1">
        <f t="shared" ref="S35" si="43">+S33-S34</f>
        <v>9643.3411019892101</v>
      </c>
      <c r="T35" s="1">
        <f t="shared" ref="T35" si="44">+T33-T34</f>
        <v>10414.756312641712</v>
      </c>
      <c r="U35" s="1">
        <f t="shared" ref="U35" si="45">+U33-U34</f>
        <v>11513.006892048808</v>
      </c>
      <c r="V35" s="1">
        <f t="shared" ref="V35" si="46">+V33-V34</f>
        <v>12712.743170315323</v>
      </c>
      <c r="W35" s="1">
        <f t="shared" ref="W35" si="47">+W33-W34</f>
        <v>13859.941490747671</v>
      </c>
      <c r="X35" s="1">
        <f t="shared" ref="X35" si="48">+X33-X34</f>
        <v>15100.255191674212</v>
      </c>
      <c r="Y35" s="1">
        <f t="shared" ref="Y35" si="49">+Y33-Y34</f>
        <v>16440.93786945795</v>
      </c>
      <c r="Z35" s="1">
        <f>+Y35*(1+$AB40)</f>
        <v>17016.370694888978</v>
      </c>
      <c r="AA35" s="1">
        <f t="shared" ref="AA35:CL35" si="50">+Z35*(1+$AB40)</f>
        <v>17611.94366921009</v>
      </c>
      <c r="AB35" s="1">
        <f t="shared" si="50"/>
        <v>18228.361697632441</v>
      </c>
      <c r="AC35" s="1">
        <f t="shared" si="50"/>
        <v>18866.354357049575</v>
      </c>
      <c r="AD35" s="1">
        <f t="shared" si="50"/>
        <v>19526.67675954631</v>
      </c>
      <c r="AE35" s="1">
        <f t="shared" si="50"/>
        <v>20210.110446130428</v>
      </c>
      <c r="AF35" s="1">
        <f t="shared" si="50"/>
        <v>20917.464311744992</v>
      </c>
      <c r="AG35" s="1">
        <f t="shared" si="50"/>
        <v>21649.575562656064</v>
      </c>
      <c r="AH35" s="1">
        <f t="shared" si="50"/>
        <v>22407.310707349025</v>
      </c>
      <c r="AI35" s="1">
        <f t="shared" si="50"/>
        <v>23191.566582106239</v>
      </c>
      <c r="AJ35" s="1">
        <f t="shared" si="50"/>
        <v>24003.271412479957</v>
      </c>
      <c r="AK35" s="1">
        <f t="shared" si="50"/>
        <v>24843.385911916754</v>
      </c>
      <c r="AL35" s="1">
        <f t="shared" si="50"/>
        <v>25712.904418833838</v>
      </c>
      <c r="AM35" s="1">
        <f t="shared" si="50"/>
        <v>26612.856073493022</v>
      </c>
      <c r="AN35" s="1">
        <f t="shared" si="50"/>
        <v>27544.306036065274</v>
      </c>
      <c r="AO35" s="1">
        <f t="shared" si="50"/>
        <v>28508.356747327558</v>
      </c>
      <c r="AP35" s="1">
        <f t="shared" si="50"/>
        <v>29506.149233484019</v>
      </c>
      <c r="AQ35" s="1">
        <f t="shared" si="50"/>
        <v>30538.864456655956</v>
      </c>
      <c r="AR35" s="1">
        <f t="shared" si="50"/>
        <v>31607.724712638912</v>
      </c>
      <c r="AS35" s="1">
        <f t="shared" si="50"/>
        <v>32713.995077581272</v>
      </c>
      <c r="AT35" s="1">
        <f t="shared" si="50"/>
        <v>33858.984905296616</v>
      </c>
      <c r="AU35" s="1">
        <f t="shared" si="50"/>
        <v>35044.049376981995</v>
      </c>
      <c r="AV35" s="1">
        <f t="shared" si="50"/>
        <v>36270.591105176361</v>
      </c>
      <c r="AW35" s="1">
        <f t="shared" si="50"/>
        <v>37540.061793857531</v>
      </c>
      <c r="AX35" s="1">
        <f t="shared" si="50"/>
        <v>38853.963956642539</v>
      </c>
      <c r="AY35" s="1">
        <f t="shared" si="50"/>
        <v>40213.852695125024</v>
      </c>
      <c r="AZ35" s="1">
        <f t="shared" si="50"/>
        <v>41621.337539454398</v>
      </c>
      <c r="BA35" s="1">
        <f t="shared" si="50"/>
        <v>43078.084353335296</v>
      </c>
      <c r="BB35" s="1">
        <f t="shared" si="50"/>
        <v>44585.817305702025</v>
      </c>
      <c r="BC35" s="1">
        <f t="shared" si="50"/>
        <v>46146.320911401592</v>
      </c>
      <c r="BD35" s="1">
        <f t="shared" si="50"/>
        <v>47761.442143300643</v>
      </c>
      <c r="BE35" s="1">
        <f t="shared" si="50"/>
        <v>49433.092618316165</v>
      </c>
      <c r="BF35" s="1">
        <f t="shared" si="50"/>
        <v>51163.250859957225</v>
      </c>
      <c r="BG35" s="1">
        <f t="shared" si="50"/>
        <v>52953.964640055725</v>
      </c>
      <c r="BH35" s="1">
        <f t="shared" si="50"/>
        <v>54807.353402457673</v>
      </c>
      <c r="BI35" s="1">
        <f t="shared" si="50"/>
        <v>56725.610771543688</v>
      </c>
      <c r="BJ35" s="1">
        <f t="shared" si="50"/>
        <v>58711.007148547716</v>
      </c>
      <c r="BK35" s="1">
        <f t="shared" si="50"/>
        <v>60765.892398746881</v>
      </c>
      <c r="BL35" s="1">
        <f t="shared" si="50"/>
        <v>62892.698632703017</v>
      </c>
      <c r="BM35" s="1">
        <f t="shared" si="50"/>
        <v>65093.943084847619</v>
      </c>
      <c r="BN35" s="1">
        <f t="shared" si="50"/>
        <v>67372.231092817281</v>
      </c>
      <c r="BO35" s="1">
        <f t="shared" si="50"/>
        <v>69730.259181065878</v>
      </c>
      <c r="BP35" s="1">
        <f t="shared" si="50"/>
        <v>72170.818252403173</v>
      </c>
      <c r="BQ35" s="1">
        <f t="shared" si="50"/>
        <v>74696.796891237274</v>
      </c>
      <c r="BR35" s="1">
        <f t="shared" si="50"/>
        <v>77311.184782430573</v>
      </c>
      <c r="BS35" s="1">
        <f t="shared" si="50"/>
        <v>80017.07624981564</v>
      </c>
      <c r="BT35" s="1">
        <f t="shared" si="50"/>
        <v>82817.673918559187</v>
      </c>
      <c r="BU35" s="1">
        <f t="shared" si="50"/>
        <v>85716.292505708756</v>
      </c>
      <c r="BV35" s="1">
        <f t="shared" si="50"/>
        <v>88716.36274340855</v>
      </c>
      <c r="BW35" s="1">
        <f t="shared" si="50"/>
        <v>91821.435439427849</v>
      </c>
      <c r="BX35" s="1">
        <f t="shared" si="50"/>
        <v>95035.185679807822</v>
      </c>
      <c r="BY35" s="1">
        <f t="shared" si="50"/>
        <v>98361.417178601085</v>
      </c>
      <c r="BZ35" s="1">
        <f t="shared" si="50"/>
        <v>101804.06677985212</v>
      </c>
      <c r="CA35" s="1">
        <f t="shared" si="50"/>
        <v>105367.20911714694</v>
      </c>
      <c r="CB35" s="1">
        <f t="shared" si="50"/>
        <v>109055.06143624707</v>
      </c>
      <c r="CC35" s="1">
        <f t="shared" si="50"/>
        <v>112871.9885865157</v>
      </c>
      <c r="CD35" s="1">
        <f t="shared" si="50"/>
        <v>116822.50818704374</v>
      </c>
      <c r="CE35" s="1">
        <f t="shared" si="50"/>
        <v>120911.29597359027</v>
      </c>
      <c r="CF35" s="1">
        <f t="shared" si="50"/>
        <v>125143.19133266591</v>
      </c>
      <c r="CG35" s="1">
        <f t="shared" si="50"/>
        <v>129523.20302930921</v>
      </c>
      <c r="CH35" s="1">
        <f t="shared" si="50"/>
        <v>134056.51513533501</v>
      </c>
      <c r="CI35" s="1">
        <f t="shared" si="50"/>
        <v>138748.49316507173</v>
      </c>
      <c r="CJ35" s="1">
        <f t="shared" si="50"/>
        <v>143604.69042584923</v>
      </c>
      <c r="CK35" s="1">
        <f t="shared" si="50"/>
        <v>148630.85459075394</v>
      </c>
      <c r="CL35" s="1">
        <f t="shared" si="50"/>
        <v>153832.93450143031</v>
      </c>
      <c r="CM35" s="1">
        <f t="shared" ref="CM35:DV35" si="51">+CL35*(1+$AB40)</f>
        <v>159217.08720898035</v>
      </c>
      <c r="CN35" s="1">
        <f t="shared" si="51"/>
        <v>164789.68526129465</v>
      </c>
      <c r="CO35" s="1">
        <f t="shared" si="51"/>
        <v>170557.32424543996</v>
      </c>
      <c r="CP35" s="1">
        <f t="shared" si="51"/>
        <v>176526.83059403035</v>
      </c>
      <c r="CQ35" s="1">
        <f t="shared" si="51"/>
        <v>182705.26966482139</v>
      </c>
      <c r="CR35" s="1">
        <f t="shared" si="51"/>
        <v>189099.95410309013</v>
      </c>
      <c r="CS35" s="1">
        <f t="shared" si="51"/>
        <v>195718.45249669827</v>
      </c>
      <c r="CT35" s="1">
        <f t="shared" si="51"/>
        <v>202568.59833408269</v>
      </c>
      <c r="CU35" s="1">
        <f t="shared" si="51"/>
        <v>209658.49927577557</v>
      </c>
      <c r="CV35" s="1">
        <f t="shared" si="51"/>
        <v>216996.54675042769</v>
      </c>
      <c r="CW35" s="1">
        <f t="shared" si="51"/>
        <v>224591.42588669265</v>
      </c>
      <c r="CX35" s="1">
        <f t="shared" si="51"/>
        <v>232452.12579272687</v>
      </c>
      <c r="CY35" s="1">
        <f t="shared" si="51"/>
        <v>240587.95019547231</v>
      </c>
      <c r="CZ35" s="1">
        <f t="shared" si="51"/>
        <v>249008.52845231383</v>
      </c>
      <c r="DA35" s="1">
        <f t="shared" si="51"/>
        <v>257723.82694814479</v>
      </c>
      <c r="DB35" s="1">
        <f t="shared" si="51"/>
        <v>266744.16089132981</v>
      </c>
      <c r="DC35" s="1">
        <f t="shared" si="51"/>
        <v>276080.20652252634</v>
      </c>
      <c r="DD35" s="1">
        <f t="shared" si="51"/>
        <v>285743.01375081472</v>
      </c>
      <c r="DE35" s="1">
        <f t="shared" si="51"/>
        <v>295744.01923209318</v>
      </c>
      <c r="DF35" s="1">
        <f t="shared" si="51"/>
        <v>306095.05990521645</v>
      </c>
      <c r="DG35" s="1">
        <f t="shared" si="51"/>
        <v>316808.38700189901</v>
      </c>
      <c r="DH35" s="1">
        <f t="shared" si="51"/>
        <v>327896.68054696545</v>
      </c>
      <c r="DI35" s="1">
        <f t="shared" si="51"/>
        <v>339373.0643661092</v>
      </c>
      <c r="DJ35" s="1">
        <f t="shared" si="51"/>
        <v>351251.12161892297</v>
      </c>
      <c r="DK35" s="1">
        <f t="shared" si="51"/>
        <v>363544.91087558528</v>
      </c>
      <c r="DL35" s="1">
        <f t="shared" si="51"/>
        <v>376268.98275623075</v>
      </c>
      <c r="DM35" s="1">
        <f t="shared" si="51"/>
        <v>389438.39715269877</v>
      </c>
      <c r="DN35" s="1">
        <f t="shared" si="51"/>
        <v>403068.74105304322</v>
      </c>
      <c r="DO35" s="1">
        <f t="shared" si="51"/>
        <v>417176.14698989969</v>
      </c>
      <c r="DP35" s="1">
        <f t="shared" si="51"/>
        <v>431777.31213454617</v>
      </c>
      <c r="DQ35" s="1">
        <f t="shared" si="51"/>
        <v>446889.51805925526</v>
      </c>
      <c r="DR35" s="1">
        <f t="shared" si="51"/>
        <v>462530.65119132918</v>
      </c>
      <c r="DS35" s="1">
        <f t="shared" si="51"/>
        <v>478719.22398302564</v>
      </c>
      <c r="DT35" s="1">
        <f t="shared" si="51"/>
        <v>495474.39682243153</v>
      </c>
      <c r="DU35" s="1">
        <f t="shared" si="51"/>
        <v>512816.00071121659</v>
      </c>
      <c r="DV35" s="1">
        <f t="shared" si="51"/>
        <v>530764.56073610915</v>
      </c>
      <c r="DW35" s="1">
        <f>+DV35*(1+$AB40)</f>
        <v>549341.3203618729</v>
      </c>
      <c r="DX35" s="1">
        <f t="shared" ref="DX35:FJ35" si="52">+DW35*(1+$AB40)</f>
        <v>568568.26657453843</v>
      </c>
      <c r="DY35" s="1">
        <f t="shared" si="52"/>
        <v>588468.1559046472</v>
      </c>
      <c r="DZ35" s="1">
        <f t="shared" si="52"/>
        <v>609064.54136130982</v>
      </c>
      <c r="EA35" s="1">
        <f t="shared" si="52"/>
        <v>630381.8003089556</v>
      </c>
      <c r="EB35" s="1">
        <f t="shared" si="52"/>
        <v>652445.16331976897</v>
      </c>
      <c r="EC35" s="1">
        <f t="shared" si="52"/>
        <v>675280.74403596087</v>
      </c>
      <c r="ED35" s="1">
        <f t="shared" si="52"/>
        <v>698915.5700772194</v>
      </c>
      <c r="EE35" s="1">
        <f t="shared" si="52"/>
        <v>723377.61502992199</v>
      </c>
      <c r="EF35" s="1">
        <f t="shared" si="52"/>
        <v>748695.8315559692</v>
      </c>
      <c r="EG35" s="1">
        <f t="shared" si="52"/>
        <v>774900.18566042802</v>
      </c>
      <c r="EH35" s="1">
        <f t="shared" si="52"/>
        <v>802021.69215854292</v>
      </c>
      <c r="EI35" s="1">
        <f t="shared" si="52"/>
        <v>830092.45138409187</v>
      </c>
      <c r="EJ35" s="1">
        <f t="shared" si="52"/>
        <v>859145.68718253507</v>
      </c>
      <c r="EK35" s="1">
        <f t="shared" si="52"/>
        <v>889215.78623392375</v>
      </c>
      <c r="EL35" s="1">
        <f t="shared" si="52"/>
        <v>920338.33875211095</v>
      </c>
      <c r="EM35" s="1">
        <f t="shared" si="52"/>
        <v>952550.18060843472</v>
      </c>
      <c r="EN35" s="1">
        <f t="shared" si="52"/>
        <v>985889.43692972988</v>
      </c>
      <c r="EO35" s="1">
        <f t="shared" si="52"/>
        <v>1020395.5672222703</v>
      </c>
      <c r="EP35" s="1">
        <f t="shared" si="52"/>
        <v>1056109.4120750497</v>
      </c>
      <c r="EQ35" s="1">
        <f t="shared" si="52"/>
        <v>1093073.2414976764</v>
      </c>
      <c r="ER35" s="1">
        <f t="shared" si="52"/>
        <v>1131330.804950095</v>
      </c>
      <c r="ES35" s="1">
        <f t="shared" si="52"/>
        <v>1170927.3831233482</v>
      </c>
      <c r="ET35" s="1">
        <f t="shared" si="52"/>
        <v>1211909.8415326653</v>
      </c>
      <c r="EU35" s="1">
        <f t="shared" si="52"/>
        <v>1254326.6859863084</v>
      </c>
      <c r="EV35" s="1">
        <f t="shared" si="52"/>
        <v>1298228.1199958292</v>
      </c>
      <c r="EW35" s="1">
        <f t="shared" si="52"/>
        <v>1343666.104195683</v>
      </c>
      <c r="EX35" s="1">
        <f t="shared" si="52"/>
        <v>1390694.4178425318</v>
      </c>
      <c r="EY35" s="1">
        <f t="shared" si="52"/>
        <v>1439368.7224670204</v>
      </c>
      <c r="EZ35" s="1">
        <f t="shared" si="52"/>
        <v>1489746.627753366</v>
      </c>
      <c r="FA35" s="1">
        <f t="shared" si="52"/>
        <v>1541887.7597247337</v>
      </c>
      <c r="FB35" s="1">
        <f t="shared" si="52"/>
        <v>1595853.8313150993</v>
      </c>
      <c r="FC35" s="1">
        <f t="shared" si="52"/>
        <v>1651708.7154111275</v>
      </c>
      <c r="FD35" s="1">
        <f t="shared" si="52"/>
        <v>1709518.5204505168</v>
      </c>
      <c r="FE35" s="1">
        <f t="shared" si="52"/>
        <v>1769351.6686662848</v>
      </c>
      <c r="FF35" s="1">
        <f t="shared" si="52"/>
        <v>1831278.9770696047</v>
      </c>
      <c r="FG35" s="1">
        <f t="shared" si="52"/>
        <v>1895373.7412670406</v>
      </c>
      <c r="FH35" s="1">
        <f t="shared" si="52"/>
        <v>1961711.8222113869</v>
      </c>
      <c r="FI35" s="1">
        <f t="shared" si="52"/>
        <v>2030371.7359887853</v>
      </c>
      <c r="FJ35" s="1">
        <f t="shared" si="52"/>
        <v>2101434.7467483925</v>
      </c>
    </row>
    <row r="36" spans="2:166" s="5" customFormat="1" x14ac:dyDescent="0.25">
      <c r="B36" s="5" t="s">
        <v>22</v>
      </c>
      <c r="N36" s="5">
        <f>+N35/N37</f>
        <v>4.5779880846758072</v>
      </c>
      <c r="O36" s="5">
        <f>+O35/O37</f>
        <v>4.7615475666477494</v>
      </c>
      <c r="P36" s="5">
        <f>+P35/P37</f>
        <v>3.0118527828907093</v>
      </c>
      <c r="Q36" s="5">
        <f t="shared" ref="Q36:Y36" si="53">+Q35/Q37</f>
        <v>3.5584621483885277</v>
      </c>
      <c r="R36" s="5">
        <f t="shared" si="53"/>
        <v>4.1113455711745166</v>
      </c>
      <c r="S36" s="5">
        <f t="shared" si="53"/>
        <v>4.5494131931567372</v>
      </c>
      <c r="T36" s="5">
        <f t="shared" si="53"/>
        <v>4.9133416801435077</v>
      </c>
      <c r="U36" s="5">
        <f t="shared" si="53"/>
        <v>5.4314604133195052</v>
      </c>
      <c r="V36" s="5">
        <f t="shared" si="53"/>
        <v>5.9974567827239396</v>
      </c>
      <c r="W36" s="5">
        <f t="shared" si="53"/>
        <v>6.538667460532027</v>
      </c>
      <c r="X36" s="5">
        <f t="shared" si="53"/>
        <v>7.12380693190096</v>
      </c>
      <c r="Y36" s="5">
        <f t="shared" si="53"/>
        <v>7.7562972065515039</v>
      </c>
    </row>
    <row r="37" spans="2:166" s="1" customFormat="1" x14ac:dyDescent="0.25">
      <c r="B37" s="1" t="s">
        <v>21</v>
      </c>
      <c r="N37" s="1">
        <v>2150.5079999999998</v>
      </c>
      <c r="O37" s="1">
        <v>2119.6889999999999</v>
      </c>
      <c r="P37" s="1">
        <f>+O37+0</f>
        <v>2119.6889999999999</v>
      </c>
      <c r="Q37" s="1">
        <f t="shared" ref="Q37:Y37" si="54">+P37+0</f>
        <v>2119.6889999999999</v>
      </c>
      <c r="R37" s="1">
        <f t="shared" si="54"/>
        <v>2119.6889999999999</v>
      </c>
      <c r="S37" s="1">
        <f t="shared" si="54"/>
        <v>2119.6889999999999</v>
      </c>
      <c r="T37" s="1">
        <f t="shared" si="54"/>
        <v>2119.6889999999999</v>
      </c>
      <c r="U37" s="1">
        <f t="shared" si="54"/>
        <v>2119.6889999999999</v>
      </c>
      <c r="V37" s="1">
        <f t="shared" si="54"/>
        <v>2119.6889999999999</v>
      </c>
      <c r="W37" s="1">
        <f t="shared" si="54"/>
        <v>2119.6889999999999</v>
      </c>
      <c r="X37" s="1">
        <f t="shared" si="54"/>
        <v>2119.6889999999999</v>
      </c>
      <c r="Y37" s="1">
        <f t="shared" si="54"/>
        <v>2119.6889999999999</v>
      </c>
    </row>
    <row r="38" spans="2:166" s="1" customFormat="1" x14ac:dyDescent="0.25"/>
    <row r="39" spans="2:166" s="2" customFormat="1" x14ac:dyDescent="0.25">
      <c r="B39" s="2" t="s">
        <v>23</v>
      </c>
      <c r="N39" s="2">
        <f>+N23/N21</f>
        <v>0.39399245077083994</v>
      </c>
      <c r="O39" s="2">
        <f>+O23/O21</f>
        <v>0.39754311090604993</v>
      </c>
      <c r="P39" s="2">
        <f>+P23/P21</f>
        <v>0.39999999999999997</v>
      </c>
      <c r="Q39" s="2">
        <f t="shared" ref="Q39:Y39" si="55">+Q23/Q21</f>
        <v>0.4</v>
      </c>
      <c r="R39" s="2">
        <f t="shared" si="55"/>
        <v>0.39999999999999997</v>
      </c>
      <c r="S39" s="2">
        <f t="shared" si="55"/>
        <v>0.4</v>
      </c>
      <c r="T39" s="2">
        <f t="shared" si="55"/>
        <v>0.4</v>
      </c>
      <c r="U39" s="2">
        <f t="shared" si="55"/>
        <v>0.4</v>
      </c>
      <c r="V39" s="2">
        <f t="shared" si="55"/>
        <v>0.4</v>
      </c>
      <c r="W39" s="2">
        <f t="shared" si="55"/>
        <v>0.4</v>
      </c>
      <c r="X39" s="2">
        <f t="shared" si="55"/>
        <v>0.4</v>
      </c>
      <c r="Y39" s="2">
        <f t="shared" si="55"/>
        <v>0.40000000000000008</v>
      </c>
      <c r="AA39" s="2" t="s">
        <v>43</v>
      </c>
      <c r="AB39" s="2">
        <v>0.1</v>
      </c>
    </row>
    <row r="40" spans="2:166" s="2" customFormat="1" x14ac:dyDescent="0.25">
      <c r="B40" s="2" t="s">
        <v>24</v>
      </c>
      <c r="N40" s="2">
        <f>+N29/N21</f>
        <v>6.3645459093182949E-2</v>
      </c>
      <c r="O40" s="2">
        <f>+O29/O21</f>
        <v>0.10698425514735567</v>
      </c>
      <c r="P40" s="2">
        <f>+P29/P21</f>
        <v>0.12304569424868819</v>
      </c>
      <c r="Q40" s="2">
        <f t="shared" ref="Q40:Y40" si="56">+Q29/Q21</f>
        <v>0.13115370802258813</v>
      </c>
      <c r="R40" s="2">
        <f t="shared" si="56"/>
        <v>0.13742755288140873</v>
      </c>
      <c r="S40" s="2">
        <f t="shared" si="56"/>
        <v>0.14258485253207928</v>
      </c>
      <c r="T40" s="2">
        <f t="shared" si="56"/>
        <v>0.14732900764568788</v>
      </c>
      <c r="U40" s="2">
        <f t="shared" si="56"/>
        <v>0.15132326987709854</v>
      </c>
      <c r="V40" s="2">
        <f t="shared" si="56"/>
        <v>0.15515674387488362</v>
      </c>
      <c r="W40" s="2">
        <f t="shared" si="56"/>
        <v>0.15833992751423356</v>
      </c>
      <c r="X40" s="2">
        <f t="shared" si="56"/>
        <v>0.16141304109023388</v>
      </c>
      <c r="Y40" s="2">
        <f t="shared" si="56"/>
        <v>0.16437909301615578</v>
      </c>
      <c r="AA40" s="2" t="s">
        <v>44</v>
      </c>
      <c r="AB40" s="2">
        <v>3.5000000000000003E-2</v>
      </c>
    </row>
    <row r="41" spans="2:166" s="2" customFormat="1" x14ac:dyDescent="0.25">
      <c r="B41" s="2" t="s">
        <v>42</v>
      </c>
      <c r="O41" s="2">
        <f>+O21/N21 -1</f>
        <v>0.18279594342625849</v>
      </c>
      <c r="P41" s="2">
        <f>+P21/O21 -1</f>
        <v>0.11879527077686136</v>
      </c>
      <c r="Q41" s="2">
        <f t="shared" ref="Q41:Y41" si="57">+Q21/P21 -1</f>
        <v>0.1167679263953314</v>
      </c>
      <c r="R41" s="2">
        <f t="shared" si="57"/>
        <v>0.10871486157359378</v>
      </c>
      <c r="S41" s="2">
        <f t="shared" si="57"/>
        <v>9.6764407472882619E-2</v>
      </c>
      <c r="T41" s="2">
        <f t="shared" si="57"/>
        <v>8.8035303558469558E-2</v>
      </c>
      <c r="U41" s="2">
        <f t="shared" si="57"/>
        <v>7.9108866899152641E-2</v>
      </c>
      <c r="V41" s="2">
        <f t="shared" si="57"/>
        <v>7.9458616295683182E-2</v>
      </c>
      <c r="W41" s="2">
        <f t="shared" si="57"/>
        <v>7.0313865572882772E-2</v>
      </c>
      <c r="X41" s="2">
        <f t="shared" si="57"/>
        <v>7.0556530336191026E-2</v>
      </c>
      <c r="Y41" s="2">
        <f t="shared" si="57"/>
        <v>7.0786578009870871E-2</v>
      </c>
      <c r="AA41" s="2" t="s">
        <v>45</v>
      </c>
      <c r="AB41" s="1">
        <f>NPV(AB39,P35:FP35)</f>
        <v>164781.94795821176</v>
      </c>
    </row>
    <row r="42" spans="2:166" s="1" customFormat="1" x14ac:dyDescent="0.25">
      <c r="AA42" s="1" t="s">
        <v>46</v>
      </c>
      <c r="AB42" s="1">
        <f>7105+528-10521</f>
        <v>-2888</v>
      </c>
    </row>
    <row r="43" spans="2:166" s="1" customFormat="1" x14ac:dyDescent="0.25">
      <c r="B43" s="1" t="s">
        <v>26</v>
      </c>
      <c r="N43" s="1">
        <v>1796</v>
      </c>
      <c r="O43" s="1">
        <v>1826</v>
      </c>
      <c r="AA43" s="1" t="s">
        <v>47</v>
      </c>
      <c r="AB43" s="1">
        <f>+AB41+AB42</f>
        <v>161893.94795821176</v>
      </c>
    </row>
    <row r="44" spans="2:166" s="1" customFormat="1" x14ac:dyDescent="0.25">
      <c r="B44" s="1" t="s">
        <v>25</v>
      </c>
      <c r="N44" s="1">
        <v>7137</v>
      </c>
      <c r="O44" s="1">
        <v>10099</v>
      </c>
      <c r="AA44" s="1" t="s">
        <v>48</v>
      </c>
      <c r="AB44" s="1">
        <f>+AB43/Y37</f>
        <v>76.376274046905834</v>
      </c>
    </row>
    <row r="45" spans="2:166" s="1" customFormat="1" x14ac:dyDescent="0.25">
      <c r="B45" s="1" t="s">
        <v>27</v>
      </c>
      <c r="N45" s="1">
        <v>242</v>
      </c>
      <c r="O45" s="1">
        <v>336</v>
      </c>
      <c r="AB45" s="1">
        <f>+AB44*0.7</f>
        <v>53.463391832834084</v>
      </c>
    </row>
    <row r="46" spans="2:166" s="3" customFormat="1" x14ac:dyDescent="0.25">
      <c r="B46" s="3" t="s">
        <v>28</v>
      </c>
      <c r="N46" s="3">
        <f>+N44-N45</f>
        <v>6895</v>
      </c>
      <c r="O46" s="3">
        <f>+O44-O45</f>
        <v>9763</v>
      </c>
      <c r="AA46" s="1" t="s">
        <v>49</v>
      </c>
      <c r="AB46" s="1">
        <f>70*Y37-AB42</f>
        <v>151266.22999999998</v>
      </c>
    </row>
    <row r="47" spans="2:166" s="1" customFormat="1" x14ac:dyDescent="0.25">
      <c r="B47" s="1" t="s">
        <v>29</v>
      </c>
      <c r="N47" s="1">
        <f>+N46-N43</f>
        <v>5099</v>
      </c>
      <c r="O47" s="1">
        <f>+O46-O43</f>
        <v>7937</v>
      </c>
      <c r="AA47" s="1" t="s">
        <v>50</v>
      </c>
      <c r="AB47" s="1">
        <f>+AB46/P35</f>
        <v>23.693875221003534</v>
      </c>
    </row>
    <row r="48" spans="2:166" s="1" customFormat="1" x14ac:dyDescent="0.25">
      <c r="P48" s="2"/>
    </row>
    <row r="49" spans="2:25" s="2" customFormat="1" x14ac:dyDescent="0.25">
      <c r="B49" s="2" t="s">
        <v>12</v>
      </c>
      <c r="N49" s="2">
        <f>+N25/N$21</f>
        <v>9.8617490563463556E-2</v>
      </c>
      <c r="O49" s="2">
        <f>+O25/O$21</f>
        <v>9.4161524117115564E-2</v>
      </c>
      <c r="P49" s="2">
        <f>+P25/P$21</f>
        <v>9.0828789330441126E-2</v>
      </c>
      <c r="Q49" s="2">
        <f t="shared" ref="Q49:Y49" si="58">+Q25/Q$21</f>
        <v>0.09</v>
      </c>
      <c r="R49" s="2">
        <f t="shared" si="58"/>
        <v>0.09</v>
      </c>
      <c r="S49" s="2">
        <f t="shared" si="58"/>
        <v>0.09</v>
      </c>
      <c r="T49" s="2">
        <f t="shared" si="58"/>
        <v>0.09</v>
      </c>
      <c r="U49" s="2">
        <f t="shared" si="58"/>
        <v>0.09</v>
      </c>
      <c r="V49" s="2">
        <f t="shared" si="58"/>
        <v>0.09</v>
      </c>
      <c r="W49" s="2">
        <f t="shared" si="58"/>
        <v>8.9999999999999983E-2</v>
      </c>
      <c r="X49" s="2">
        <f t="shared" si="58"/>
        <v>0.09</v>
      </c>
      <c r="Y49" s="2">
        <f t="shared" si="58"/>
        <v>8.9999999999999983E-2</v>
      </c>
    </row>
    <row r="50" spans="2:25" s="2" customFormat="1" x14ac:dyDescent="0.25">
      <c r="B50" s="2" t="s">
        <v>10</v>
      </c>
      <c r="N50" s="2">
        <f t="shared" ref="N50:O52" si="59">+N26/N$21</f>
        <v>7.0694438128154985E-2</v>
      </c>
      <c r="O50" s="2">
        <f t="shared" si="59"/>
        <v>6.5401695599515544E-2</v>
      </c>
      <c r="P50" s="2">
        <f t="shared" ref="P50:Y50" si="60">+P26/P$21</f>
        <v>6.3086880625185943E-2</v>
      </c>
      <c r="Q50" s="2">
        <f t="shared" si="60"/>
        <v>6.08881175520826E-2</v>
      </c>
      <c r="R50" s="2">
        <f t="shared" si="60"/>
        <v>5.8897992618380413E-2</v>
      </c>
      <c r="S50" s="2">
        <f t="shared" si="60"/>
        <v>5.716585843707777E-2</v>
      </c>
      <c r="T50" s="2">
        <f t="shared" si="60"/>
        <v>5.5624053778034928E-2</v>
      </c>
      <c r="U50" s="2">
        <f t="shared" si="60"/>
        <v>5.4264797697486898E-2</v>
      </c>
      <c r="V50" s="2">
        <f t="shared" si="60"/>
        <v>5.293332601544315E-2</v>
      </c>
      <c r="W50" s="2">
        <f t="shared" si="60"/>
        <v>5.1774181055105353E-2</v>
      </c>
      <c r="X50" s="2">
        <f t="shared" si="60"/>
        <v>5.0636764371124847E-2</v>
      </c>
      <c r="Y50" s="2">
        <f t="shared" si="60"/>
        <v>4.9520948096455082E-2</v>
      </c>
    </row>
    <row r="51" spans="2:25" s="2" customFormat="1" x14ac:dyDescent="0.25">
      <c r="B51" s="2" t="s">
        <v>11</v>
      </c>
      <c r="N51" s="2">
        <f t="shared" si="59"/>
        <v>8.2745918413752326E-2</v>
      </c>
      <c r="O51" s="2">
        <f t="shared" si="59"/>
        <v>6.2306553626698964E-2</v>
      </c>
      <c r="P51" s="2">
        <f t="shared" ref="P51:Y51" si="61">+P27/P$21</f>
        <v>0.06</v>
      </c>
      <c r="Q51" s="2">
        <f t="shared" si="61"/>
        <v>0.06</v>
      </c>
      <c r="R51" s="2">
        <f t="shared" si="61"/>
        <v>0.06</v>
      </c>
      <c r="S51" s="2">
        <f t="shared" si="61"/>
        <v>0.06</v>
      </c>
      <c r="T51" s="2">
        <f t="shared" si="61"/>
        <v>6.0000000000000005E-2</v>
      </c>
      <c r="U51" s="2">
        <f t="shared" si="61"/>
        <v>0.06</v>
      </c>
      <c r="V51" s="2">
        <f t="shared" si="61"/>
        <v>5.9999999999999991E-2</v>
      </c>
      <c r="W51" s="2">
        <f t="shared" si="61"/>
        <v>0.06</v>
      </c>
      <c r="X51" s="2">
        <f t="shared" si="61"/>
        <v>0.06</v>
      </c>
      <c r="Y51" s="2">
        <f t="shared" si="61"/>
        <v>0.06</v>
      </c>
    </row>
    <row r="52" spans="2:25" s="2" customFormat="1" x14ac:dyDescent="0.25">
      <c r="B52" s="2" t="s">
        <v>13</v>
      </c>
      <c r="N52" s="2">
        <f t="shared" si="59"/>
        <v>1.6167174496339077E-2</v>
      </c>
      <c r="O52" s="2">
        <f t="shared" si="59"/>
        <v>1.382240421400696E-2</v>
      </c>
      <c r="P52" s="2">
        <f t="shared" ref="P52:Y52" si="62">+P28/P$21</f>
        <v>1.2526553716398579E-2</v>
      </c>
      <c r="Q52" s="2">
        <f t="shared" si="62"/>
        <v>1.137065761725147E-2</v>
      </c>
      <c r="R52" s="2">
        <f t="shared" si="62"/>
        <v>1.0394487778906999E-2</v>
      </c>
      <c r="S52" s="2">
        <f t="shared" si="62"/>
        <v>9.60394585667982E-3</v>
      </c>
      <c r="T52" s="2">
        <f t="shared" si="62"/>
        <v>8.943165746429468E-3</v>
      </c>
      <c r="U52" s="2">
        <f t="shared" si="62"/>
        <v>8.3953177180155197E-3</v>
      </c>
      <c r="V52" s="2">
        <f t="shared" si="62"/>
        <v>7.8771784627271989E-3</v>
      </c>
      <c r="W52" s="2">
        <f t="shared" si="62"/>
        <v>7.4529689053561389E-3</v>
      </c>
      <c r="X52" s="2">
        <f t="shared" si="62"/>
        <v>7.0489015770988234E-3</v>
      </c>
      <c r="Y52" s="2">
        <f t="shared" si="62"/>
        <v>6.6642903162028953E-3</v>
      </c>
    </row>
    <row r="53" spans="2:25" s="1" customFormat="1" x14ac:dyDescent="0.25"/>
    <row r="54" spans="2:25" s="1" customFormat="1" x14ac:dyDescent="0.25">
      <c r="B54" s="1" t="s">
        <v>30</v>
      </c>
      <c r="N54" s="1">
        <v>1252</v>
      </c>
      <c r="O54" s="1">
        <v>6523</v>
      </c>
    </row>
    <row r="55" spans="2:25" s="1" customFormat="1" x14ac:dyDescent="0.25"/>
    <row r="56" spans="2:25" s="1" customFormat="1" x14ac:dyDescent="0.25">
      <c r="B56" s="3" t="s">
        <v>41</v>
      </c>
      <c r="O56" s="2">
        <f>+O5/N5 -1</f>
        <v>0.18848949150043315</v>
      </c>
    </row>
    <row r="57" spans="2:25" s="1" customFormat="1" x14ac:dyDescent="0.25">
      <c r="B57" s="1" t="s">
        <v>4</v>
      </c>
      <c r="O57" s="2">
        <f>+O6/N6 -1</f>
        <v>0.17432308730005786</v>
      </c>
    </row>
    <row r="58" spans="2:25" s="1" customFormat="1" x14ac:dyDescent="0.25">
      <c r="B58" s="1" t="s">
        <v>5</v>
      </c>
      <c r="O58" s="2">
        <f>+O7/N7 -1</f>
        <v>0.21778754657302923</v>
      </c>
    </row>
    <row r="59" spans="2:25" s="1" customFormat="1" x14ac:dyDescent="0.25"/>
    <row r="60" spans="2:25" s="1" customFormat="1" x14ac:dyDescent="0.25"/>
    <row r="61" spans="2:25" s="1" customFormat="1" x14ac:dyDescent="0.25"/>
    <row r="62" spans="2:25" s="1" customFormat="1" x14ac:dyDescent="0.25"/>
    <row r="63" spans="2:25" s="1" customFormat="1" x14ac:dyDescent="0.25"/>
    <row r="64" spans="2:25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2026-02-14T21:57:22Z</dcterms:created>
  <dcterms:modified xsi:type="dcterms:W3CDTF">2026-02-17T17:06:13Z</dcterms:modified>
</cp:coreProperties>
</file>