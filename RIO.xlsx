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DB31B0FE-C875-4310-8B6D-BF1FDF06D68F}" xr6:coauthVersionLast="47" xr6:coauthVersionMax="47" xr10:uidLastSave="{00000000-0000-0000-0000-000000000000}"/>
  <bookViews>
    <workbookView xWindow="-28920" yWindow="-120" windowWidth="29040" windowHeight="15840" firstSheet="1" activeTab="1" xr2:uid="{566F83CE-0A18-410A-BF8B-66415B393B45}"/>
  </bookViews>
  <sheets>
    <sheet name="Sheet1" sheetId="1" r:id="rId1"/>
    <sheet name="Model" sheetId="2" r:id="rId2"/>
  </sheets>
  <definedNames>
    <definedName name="Current">Model!$U$70</definedName>
    <definedName name="Div">Model!$T$72</definedName>
    <definedName name="MV">Model!$U$65</definedName>
    <definedName name="Shares">Model!$S$72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0" i="2" l="1"/>
  <c r="U69" i="2"/>
  <c r="U66" i="2"/>
  <c r="K59" i="2"/>
  <c r="L59" i="2"/>
  <c r="M59" i="2"/>
  <c r="N59" i="2"/>
  <c r="O59" i="2"/>
  <c r="P59" i="2"/>
  <c r="J59" i="2"/>
  <c r="K46" i="2"/>
  <c r="L46" i="2"/>
  <c r="M46" i="2"/>
  <c r="N46" i="2"/>
  <c r="O46" i="2"/>
  <c r="P46" i="2"/>
  <c r="J46" i="2"/>
  <c r="K45" i="2"/>
  <c r="L45" i="2"/>
  <c r="M45" i="2"/>
  <c r="N45" i="2"/>
  <c r="O45" i="2"/>
  <c r="P45" i="2"/>
  <c r="J45" i="2"/>
  <c r="K7" i="2"/>
  <c r="L7" i="2" s="1"/>
  <c r="M7" i="2" s="1"/>
  <c r="N7" i="2" s="1"/>
  <c r="O7" i="2" s="1"/>
  <c r="P7" i="2" s="1"/>
  <c r="Q7" i="2" s="1"/>
  <c r="R7" i="2" s="1"/>
  <c r="J7" i="2"/>
  <c r="L12" i="2"/>
  <c r="M12" i="2" s="1"/>
  <c r="N12" i="2" s="1"/>
  <c r="O12" i="2" s="1"/>
  <c r="P12" i="2" s="1"/>
  <c r="Q12" i="2" s="1"/>
  <c r="R12" i="2" s="1"/>
  <c r="K12" i="2"/>
  <c r="H7" i="2"/>
  <c r="I7" i="2"/>
  <c r="K16" i="2"/>
  <c r="L16" i="2"/>
  <c r="M16" i="2"/>
  <c r="N16" i="2"/>
  <c r="O16" i="2"/>
  <c r="P16" i="2"/>
  <c r="Q16" i="2"/>
  <c r="R16" i="2"/>
  <c r="J16" i="2"/>
  <c r="L6" i="2"/>
  <c r="M6" i="2" s="1"/>
  <c r="N6" i="2" s="1"/>
  <c r="O6" i="2" s="1"/>
  <c r="P6" i="2" s="1"/>
  <c r="Q6" i="2" s="1"/>
  <c r="R6" i="2" s="1"/>
  <c r="K6" i="2"/>
  <c r="K11" i="2"/>
  <c r="L11" i="2"/>
  <c r="M11" i="2" s="1"/>
  <c r="N11" i="2" s="1"/>
  <c r="O11" i="2" s="1"/>
  <c r="P11" i="2" s="1"/>
  <c r="Q11" i="2" s="1"/>
  <c r="R11" i="2" s="1"/>
  <c r="J11" i="2"/>
  <c r="K15" i="2"/>
  <c r="L15" i="2"/>
  <c r="M15" i="2"/>
  <c r="N15" i="2"/>
  <c r="O15" i="2"/>
  <c r="P15" i="2"/>
  <c r="Q15" i="2"/>
  <c r="R15" i="2"/>
  <c r="J15" i="2"/>
  <c r="L5" i="2"/>
  <c r="M5" i="2" s="1"/>
  <c r="N5" i="2" s="1"/>
  <c r="O5" i="2" s="1"/>
  <c r="P5" i="2" s="1"/>
  <c r="Q5" i="2" s="1"/>
  <c r="R5" i="2" s="1"/>
  <c r="K5" i="2"/>
  <c r="P10" i="2"/>
  <c r="Q10" i="2" s="1"/>
  <c r="R10" i="2" s="1"/>
  <c r="O10" i="2"/>
  <c r="K10" i="2"/>
  <c r="L10" i="2" s="1"/>
  <c r="M10" i="2" s="1"/>
  <c r="N10" i="2" s="1"/>
  <c r="J10" i="2"/>
  <c r="N9" i="2"/>
  <c r="O9" i="2" s="1"/>
  <c r="P9" i="2" s="1"/>
  <c r="Q9" i="2" s="1"/>
  <c r="R9" i="2" s="1"/>
  <c r="M9" i="2"/>
  <c r="M14" i="2" s="1"/>
  <c r="K14" i="2"/>
  <c r="L14" i="2"/>
  <c r="O4" i="2"/>
  <c r="P4" i="2" s="1"/>
  <c r="Q4" i="2" s="1"/>
  <c r="R4" i="2" s="1"/>
  <c r="N4" i="2"/>
  <c r="M4" i="2"/>
  <c r="K9" i="2"/>
  <c r="L9" i="2" s="1"/>
  <c r="J9" i="2"/>
  <c r="J14" i="2" s="1"/>
  <c r="I37" i="2"/>
  <c r="I42" i="2" s="1"/>
  <c r="I36" i="2"/>
  <c r="I41" i="2" s="1"/>
  <c r="I35" i="2"/>
  <c r="I40" i="2" s="1"/>
  <c r="I34" i="2"/>
  <c r="I39" i="2" s="1"/>
  <c r="I12" i="2"/>
  <c r="H12" i="2"/>
  <c r="H10" i="2"/>
  <c r="I10" i="2"/>
  <c r="H9" i="2"/>
  <c r="I9" i="2"/>
  <c r="H87" i="2"/>
  <c r="I87" i="2"/>
  <c r="H88" i="2"/>
  <c r="I88" i="2"/>
  <c r="H86" i="2"/>
  <c r="I86" i="2"/>
  <c r="H85" i="2"/>
  <c r="I85" i="2"/>
  <c r="H80" i="2"/>
  <c r="H90" i="2" s="1"/>
  <c r="I80" i="2"/>
  <c r="I71" i="2"/>
  <c r="I67" i="2"/>
  <c r="I50" i="2"/>
  <c r="H76" i="2"/>
  <c r="H77" i="2" s="1"/>
  <c r="K17" i="2" l="1"/>
  <c r="J17" i="2"/>
  <c r="R14" i="2"/>
  <c r="Q14" i="2"/>
  <c r="P14" i="2"/>
  <c r="O14" i="2"/>
  <c r="N14" i="2"/>
  <c r="I90" i="2"/>
  <c r="J56" i="2"/>
  <c r="K56" i="2" s="1"/>
  <c r="L56" i="2" s="1"/>
  <c r="M56" i="2" s="1"/>
  <c r="N56" i="2" s="1"/>
  <c r="O56" i="2" s="1"/>
  <c r="P56" i="2" s="1"/>
  <c r="J55" i="2"/>
  <c r="G37" i="2"/>
  <c r="G42" i="2" s="1"/>
  <c r="G36" i="2"/>
  <c r="G41" i="2" s="1"/>
  <c r="G35" i="2"/>
  <c r="G40" i="2" s="1"/>
  <c r="G34" i="2"/>
  <c r="G39" i="2" s="1"/>
  <c r="H35" i="2"/>
  <c r="H40" i="2" s="1"/>
  <c r="H36" i="2"/>
  <c r="H41" i="2" s="1"/>
  <c r="H37" i="2"/>
  <c r="H42" i="2" s="1"/>
  <c r="H34" i="2"/>
  <c r="H39" i="2" s="1"/>
  <c r="F71" i="2"/>
  <c r="G71" i="2"/>
  <c r="F50" i="2"/>
  <c r="G50" i="2"/>
  <c r="H48" i="2"/>
  <c r="H50" i="2" s="1"/>
  <c r="H71" i="2"/>
  <c r="L17" i="2" l="1"/>
  <c r="J67" i="2"/>
  <c r="K55" i="2"/>
  <c r="J49" i="2"/>
  <c r="K49" i="2" s="1"/>
  <c r="L49" i="2" s="1"/>
  <c r="I47" i="2"/>
  <c r="I64" i="2" s="1"/>
  <c r="J47" i="2"/>
  <c r="J64" i="2" s="1"/>
  <c r="H67" i="2"/>
  <c r="F67" i="2"/>
  <c r="G67" i="2"/>
  <c r="F47" i="2"/>
  <c r="G47" i="2"/>
  <c r="G51" i="2" s="1"/>
  <c r="G58" i="2" s="1"/>
  <c r="M17" i="2" l="1"/>
  <c r="K67" i="2"/>
  <c r="L55" i="2"/>
  <c r="J50" i="2"/>
  <c r="J51" i="2" s="1"/>
  <c r="K47" i="2"/>
  <c r="K64" i="2" s="1"/>
  <c r="I51" i="2"/>
  <c r="K50" i="2"/>
  <c r="M49" i="2"/>
  <c r="L50" i="2"/>
  <c r="F51" i="2"/>
  <c r="G60" i="2"/>
  <c r="G74" i="2" s="1"/>
  <c r="H47" i="2"/>
  <c r="G64" i="2"/>
  <c r="F64" i="2"/>
  <c r="N17" i="2" l="1"/>
  <c r="F58" i="2"/>
  <c r="F60" i="2" s="1"/>
  <c r="J58" i="2"/>
  <c r="J60" i="2" s="1"/>
  <c r="I58" i="2"/>
  <c r="I60" i="2" s="1"/>
  <c r="L67" i="2"/>
  <c r="M55" i="2"/>
  <c r="K51" i="2"/>
  <c r="L47" i="2"/>
  <c r="L64" i="2" s="1"/>
  <c r="M50" i="2"/>
  <c r="N49" i="2"/>
  <c r="G65" i="2"/>
  <c r="H51" i="2"/>
  <c r="H58" i="2" s="1"/>
  <c r="H64" i="2"/>
  <c r="C5" i="1"/>
  <c r="C7" i="1" s="1"/>
  <c r="O17" i="2" l="1"/>
  <c r="I61" i="2"/>
  <c r="J61" i="2" s="1"/>
  <c r="K61" i="2" s="1"/>
  <c r="L61" i="2" s="1"/>
  <c r="M61" i="2" s="1"/>
  <c r="N61" i="2" s="1"/>
  <c r="O61" i="2" s="1"/>
  <c r="P61" i="2" s="1"/>
  <c r="I65" i="2"/>
  <c r="J62" i="2"/>
  <c r="J65" i="2"/>
  <c r="F74" i="2"/>
  <c r="F65" i="2"/>
  <c r="K58" i="2"/>
  <c r="K60" i="2" s="1"/>
  <c r="M67" i="2"/>
  <c r="N55" i="2"/>
  <c r="M47" i="2"/>
  <c r="M64" i="2" s="1"/>
  <c r="L51" i="2"/>
  <c r="N50" i="2"/>
  <c r="O49" i="2"/>
  <c r="H60" i="2"/>
  <c r="P17" i="2" l="1"/>
  <c r="K62" i="2"/>
  <c r="K65" i="2"/>
  <c r="N67" i="2"/>
  <c r="L58" i="2"/>
  <c r="L60" i="2" s="1"/>
  <c r="O55" i="2"/>
  <c r="H73" i="2"/>
  <c r="H62" i="2"/>
  <c r="H74" i="2"/>
  <c r="M51" i="2"/>
  <c r="N47" i="2"/>
  <c r="N64" i="2" s="1"/>
  <c r="P49" i="2"/>
  <c r="P50" i="2" s="1"/>
  <c r="O50" i="2"/>
  <c r="H65" i="2"/>
  <c r="R17" i="2" l="1"/>
  <c r="Q17" i="2"/>
  <c r="L62" i="2"/>
  <c r="L65" i="2"/>
  <c r="M58" i="2"/>
  <c r="M60" i="2" s="1"/>
  <c r="P67" i="2"/>
  <c r="O67" i="2"/>
  <c r="P55" i="2"/>
  <c r="J73" i="2"/>
  <c r="K73" i="2" s="1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AA73" i="2" s="1"/>
  <c r="AB73" i="2" s="1"/>
  <c r="AC73" i="2" s="1"/>
  <c r="AD73" i="2" s="1"/>
  <c r="AE73" i="2" s="1"/>
  <c r="AF73" i="2" s="1"/>
  <c r="AG73" i="2" s="1"/>
  <c r="AH73" i="2" s="1"/>
  <c r="AI73" i="2" s="1"/>
  <c r="AJ73" i="2" s="1"/>
  <c r="AK73" i="2" s="1"/>
  <c r="AL73" i="2" s="1"/>
  <c r="AM73" i="2" s="1"/>
  <c r="AN73" i="2" s="1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Y73" i="2" s="1"/>
  <c r="AZ73" i="2" s="1"/>
  <c r="BA73" i="2" s="1"/>
  <c r="BB73" i="2" s="1"/>
  <c r="BC73" i="2" s="1"/>
  <c r="BD73" i="2" s="1"/>
  <c r="BE73" i="2" s="1"/>
  <c r="BF73" i="2" s="1"/>
  <c r="BG73" i="2" s="1"/>
  <c r="BH73" i="2" s="1"/>
  <c r="BI73" i="2" s="1"/>
  <c r="BJ73" i="2" s="1"/>
  <c r="BK73" i="2" s="1"/>
  <c r="BL73" i="2" s="1"/>
  <c r="BM73" i="2" s="1"/>
  <c r="BN73" i="2" s="1"/>
  <c r="BO73" i="2" s="1"/>
  <c r="BP73" i="2" s="1"/>
  <c r="BQ73" i="2" s="1"/>
  <c r="BR73" i="2" s="1"/>
  <c r="BS73" i="2" s="1"/>
  <c r="BT73" i="2" s="1"/>
  <c r="BU73" i="2" s="1"/>
  <c r="BV73" i="2" s="1"/>
  <c r="BW73" i="2" s="1"/>
  <c r="BX73" i="2" s="1"/>
  <c r="BY73" i="2" s="1"/>
  <c r="BZ73" i="2" s="1"/>
  <c r="CA73" i="2" s="1"/>
  <c r="CB73" i="2" s="1"/>
  <c r="CC73" i="2" s="1"/>
  <c r="CD73" i="2" s="1"/>
  <c r="CE73" i="2" s="1"/>
  <c r="CF73" i="2" s="1"/>
  <c r="I74" i="2"/>
  <c r="N51" i="2"/>
  <c r="O47" i="2"/>
  <c r="O64" i="2" s="1"/>
  <c r="M62" i="2" l="1"/>
  <c r="M65" i="2"/>
  <c r="N58" i="2"/>
  <c r="N60" i="2" s="1"/>
  <c r="W65" i="2"/>
  <c r="J74" i="2"/>
  <c r="P47" i="2"/>
  <c r="P64" i="2" s="1"/>
  <c r="O51" i="2"/>
  <c r="N62" i="2" l="1"/>
  <c r="N65" i="2"/>
  <c r="O58" i="2"/>
  <c r="O60" i="2" s="1"/>
  <c r="K74" i="2"/>
  <c r="P51" i="2"/>
  <c r="O62" i="2" l="1"/>
  <c r="O65" i="2"/>
  <c r="P58" i="2"/>
  <c r="P60" i="2" s="1"/>
  <c r="L74" i="2"/>
  <c r="P62" i="2" l="1"/>
  <c r="P65" i="2"/>
  <c r="Q60" i="2"/>
  <c r="R60" i="2" s="1"/>
  <c r="S60" i="2" s="1"/>
  <c r="T60" i="2" s="1"/>
  <c r="U60" i="2" s="1"/>
  <c r="V60" i="2" s="1"/>
  <c r="W60" i="2" s="1"/>
  <c r="X60" i="2" s="1"/>
  <c r="Y60" i="2" s="1"/>
  <c r="Z60" i="2" s="1"/>
  <c r="AA60" i="2" s="1"/>
  <c r="AB60" i="2" s="1"/>
  <c r="AC60" i="2" s="1"/>
  <c r="AD60" i="2" s="1"/>
  <c r="AE60" i="2" s="1"/>
  <c r="AF60" i="2" s="1"/>
  <c r="AG60" i="2" s="1"/>
  <c r="AH60" i="2" s="1"/>
  <c r="AI60" i="2" s="1"/>
  <c r="AJ60" i="2" s="1"/>
  <c r="AK60" i="2" s="1"/>
  <c r="AL60" i="2" s="1"/>
  <c r="AM60" i="2" s="1"/>
  <c r="AN60" i="2" s="1"/>
  <c r="AO60" i="2" s="1"/>
  <c r="AP60" i="2" s="1"/>
  <c r="AQ60" i="2" s="1"/>
  <c r="AR60" i="2" s="1"/>
  <c r="AS60" i="2" s="1"/>
  <c r="AT60" i="2" s="1"/>
  <c r="AU60" i="2" s="1"/>
  <c r="AV60" i="2" s="1"/>
  <c r="AW60" i="2" s="1"/>
  <c r="AX60" i="2" s="1"/>
  <c r="AY60" i="2" s="1"/>
  <c r="AZ60" i="2" s="1"/>
  <c r="BA60" i="2" s="1"/>
  <c r="BB60" i="2" s="1"/>
  <c r="BC60" i="2" s="1"/>
  <c r="BD60" i="2" s="1"/>
  <c r="BE60" i="2" s="1"/>
  <c r="BF60" i="2" s="1"/>
  <c r="BG60" i="2" s="1"/>
  <c r="BH60" i="2" s="1"/>
  <c r="BI60" i="2" s="1"/>
  <c r="BJ60" i="2" s="1"/>
  <c r="BK60" i="2" s="1"/>
  <c r="BL60" i="2" s="1"/>
  <c r="BM60" i="2" s="1"/>
  <c r="BN60" i="2" s="1"/>
  <c r="BO60" i="2" s="1"/>
  <c r="BP60" i="2" s="1"/>
  <c r="BQ60" i="2" s="1"/>
  <c r="BR60" i="2" s="1"/>
  <c r="BS60" i="2" s="1"/>
  <c r="BT60" i="2" s="1"/>
  <c r="BU60" i="2" s="1"/>
  <c r="BV60" i="2" s="1"/>
  <c r="BW60" i="2" s="1"/>
  <c r="BX60" i="2" s="1"/>
  <c r="BY60" i="2" s="1"/>
  <c r="BZ60" i="2" s="1"/>
  <c r="CA60" i="2" s="1"/>
  <c r="CB60" i="2" s="1"/>
  <c r="CC60" i="2" s="1"/>
  <c r="CD60" i="2" s="1"/>
  <c r="CE60" i="2" s="1"/>
  <c r="CF60" i="2" s="1"/>
  <c r="M74" i="2"/>
  <c r="N74" i="2" l="1"/>
  <c r="U68" i="2"/>
  <c r="O74" i="2" l="1"/>
  <c r="P74" i="2" l="1"/>
</calcChain>
</file>

<file path=xl/sharedStrings.xml><?xml version="1.0" encoding="utf-8"?>
<sst xmlns="http://schemas.openxmlformats.org/spreadsheetml/2006/main" count="110" uniqueCount="76">
  <si>
    <t>Price</t>
  </si>
  <si>
    <t>Shares</t>
  </si>
  <si>
    <t>Market Cap</t>
  </si>
  <si>
    <t>Net Cash</t>
  </si>
  <si>
    <t>EV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</si>
  <si>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</si>
  <si>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</si>
  <si>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</si>
  <si>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</si>
  <si>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</si>
  <si>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</si>
  <si>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</si>
  <si>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</si>
  <si>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</si>
  <si>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</si>
  <si>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</si>
  <si>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</si>
  <si>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</si>
  <si>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Revenue</t>
  </si>
  <si>
    <t>Operating Income</t>
  </si>
  <si>
    <t>Taxes</t>
  </si>
  <si>
    <t>Net Income</t>
  </si>
  <si>
    <t>Revenue Y/Y</t>
  </si>
  <si>
    <t>COGS</t>
  </si>
  <si>
    <t>Gross Profit</t>
  </si>
  <si>
    <t>Operating Expense</t>
  </si>
  <si>
    <t>Pre Tax</t>
  </si>
  <si>
    <t>Record revenue cuz of high Iron prices</t>
  </si>
  <si>
    <t>Gross Margin</t>
  </si>
  <si>
    <t>Net Margin</t>
  </si>
  <si>
    <t>Discount</t>
  </si>
  <si>
    <t>Maturity</t>
  </si>
  <si>
    <t>NPV</t>
  </si>
  <si>
    <t>Value</t>
  </si>
  <si>
    <t>Dividends Paid</t>
  </si>
  <si>
    <t>DDF</t>
  </si>
  <si>
    <t>Chinas Real Estate Sector slows cuz of Evergrade -&gt; Less Demand for Minerals -&gt; Sector could face downwind</t>
  </si>
  <si>
    <t>Copper, Cobalt and Nickel should perform better</t>
  </si>
  <si>
    <t>Dividend Ratio</t>
  </si>
  <si>
    <t>CFFO</t>
  </si>
  <si>
    <t>CapEx</t>
  </si>
  <si>
    <t>FCF</t>
  </si>
  <si>
    <t>Impairment</t>
  </si>
  <si>
    <t>Exploration and evaluation expenditure</t>
  </si>
  <si>
    <t>Net Exchange gains</t>
  </si>
  <si>
    <t>Losses of derivatives</t>
  </si>
  <si>
    <t>Finance Income</t>
  </si>
  <si>
    <t>Finance Costs</t>
  </si>
  <si>
    <t>Amortisation of stuff</t>
  </si>
  <si>
    <t>Revenue:</t>
  </si>
  <si>
    <t>Iron Ore</t>
  </si>
  <si>
    <t>Aluminium</t>
  </si>
  <si>
    <t>Copper</t>
  </si>
  <si>
    <t>Minerals</t>
  </si>
  <si>
    <t>CFFO:</t>
  </si>
  <si>
    <t>CapEx:</t>
  </si>
  <si>
    <t>FCF:</t>
  </si>
  <si>
    <t>FCF Yield:</t>
  </si>
  <si>
    <t>EPS</t>
  </si>
  <si>
    <t>Debt</t>
  </si>
  <si>
    <t>Cost of Debt</t>
  </si>
  <si>
    <t>Equity</t>
  </si>
  <si>
    <t>Inventory</t>
  </si>
  <si>
    <t>Financial Assets</t>
  </si>
  <si>
    <t>PP&amp;E</t>
  </si>
  <si>
    <t>Cash</t>
  </si>
  <si>
    <t>Pensions</t>
  </si>
  <si>
    <t>Non-interest Debt</t>
  </si>
  <si>
    <t>NAV</t>
  </si>
  <si>
    <t>Restauration</t>
  </si>
  <si>
    <t>EBITDA</t>
  </si>
  <si>
    <t>Production</t>
  </si>
  <si>
    <t>Average Price</t>
  </si>
  <si>
    <t>FY31</t>
  </si>
  <si>
    <t>FY32</t>
  </si>
  <si>
    <t>GBP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</si>
</sst>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3" fontId="0" fillId="0" borderId="0" xfId="0" applyNumberFormat="1"/>
    <xf numFmtId="3" fontId="0" fillId="0" borderId="0" xfId="1" applyNumberFormat="1" applyFont="1"/>
    <xf numFmtId="1" fontId="0" fillId="0" borderId="0" xfId="0" applyNumberFormat="1"/>
    <xf numFmtId="3" fontId="3" fillId="0" borderId="0" xfId="0" applyNumberFormat="1" applyFont="1"/>
    <xf numFmtId="4" fontId="0" fillId="0" borderId="0" xfId="0" applyNumberFormat="1"/>
    <xf numFmtId="10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12</xdr:row>
      <xdr:rowOff>183931</xdr:rowOff>
    </xdr:from>
    <xdr:to>
      <xdr:col>9</xdr:col>
      <xdr:colOff>0</xdr:colOff>
      <xdr:row>83</xdr:row>
      <xdr:rowOff>26276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F82EA4E-3AD1-48A6-9908-5F82A8E8BAEE}"/>
            </a:ext>
          </a:extLst>
        </xdr:cNvPr>
        <xdr:cNvCxnSpPr/>
      </xdr:nvCxnSpPr>
      <xdr:spPr>
        <a:xfrm>
          <a:off x="6128845" y="2469931"/>
          <a:ext cx="0" cy="133678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BBEC-0BFC-4FB3-AA0A-3FFD54765376}">
  <dimension ref="B3:C13"/>
  <sheetViews>
    <sheetView zoomScale="190" zoomScaleNormal="190" workbookViewId="0">
      <selection activeCell="C4" sqref="C4"/>
    </sheetView>
  </sheetViews>
  <sheetFormatPr defaultRowHeight="15" x14ac:dyDescent="0.25"/>
  <cols>
    <col min="2" max="2" width="11" bestFit="1" customWidth="1"/>
  </cols>
  <sheetData>
    <row r="3" spans="2:3" x14ac:dyDescent="0.25">
      <c r="B3" t="s">
        <v>0</v>
      </c>
      <c r="C3">
        <v>57.5</v>
      </c>
    </row>
    <row r="4" spans="2:3" x14ac:dyDescent="0.25">
      <c r="B4" t="s">
        <v>1</v>
      </c>
      <c r="C4">
        <v>1620</v>
      </c>
    </row>
    <row r="5" spans="2:3" x14ac:dyDescent="0.25">
      <c r="B5" t="s">
        <v>2</v>
      </c>
      <c r="C5">
        <f>+C3*C4</f>
        <v>93150</v>
      </c>
    </row>
    <row r="6" spans="2:3" x14ac:dyDescent="0.25">
      <c r="B6" t="s">
        <v>3</v>
      </c>
      <c r="C6">
        <v>12807</v>
      </c>
    </row>
    <row r="7" spans="2:3" x14ac:dyDescent="0.25">
      <c r="B7" t="s">
        <v>4</v>
      </c>
      <c r="C7">
        <f>+C5-C6</f>
        <v>80343</v>
      </c>
    </row>
    <row r="11" spans="2:3" x14ac:dyDescent="0.25">
      <c r="B11" t="s">
        <v>27</v>
      </c>
    </row>
    <row r="12" spans="2:3" x14ac:dyDescent="0.25">
      <c r="B12" t="s">
        <v>36</v>
      </c>
    </row>
    <row r="13" spans="2:3" x14ac:dyDescent="0.25">
      <c r="B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947F-5664-4E79-B5DE-D3826FDD4AFB}">
  <dimension ref="B1:CF92"/>
  <sheetViews>
    <sheetView tabSelected="1" zoomScale="145" zoomScaleNormal="145" workbookViewId="0">
      <pane xSplit="2" ySplit="1" topLeftCell="G53" activePane="bottomRight" state="frozen"/>
      <selection pane="topRight" activeCell="C1" sqref="C1"/>
      <selection pane="bottomLeft" activeCell="A2" sqref="A2"/>
      <selection pane="bottomRight" activeCell="R62" sqref="R62"/>
    </sheetView>
  </sheetViews>
  <sheetFormatPr defaultRowHeight="15" x14ac:dyDescent="0.25"/>
  <cols>
    <col min="1" max="1" width="4.5703125" customWidth="1"/>
    <col min="2" max="2" width="23.85546875" bestFit="1" customWidth="1"/>
    <col min="3" max="3" width="8.5703125" customWidth="1"/>
    <col min="9" max="9" width="9.140625" customWidth="1"/>
  </cols>
  <sheetData>
    <row r="1" spans="2:18" x14ac:dyDescent="0.25"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73</v>
      </c>
      <c r="R1" t="s">
        <v>74</v>
      </c>
    </row>
    <row r="2" spans="2:18" s="2" customFormat="1" x14ac:dyDescent="0.25"/>
    <row r="3" spans="2:18" s="2" customFormat="1" x14ac:dyDescent="0.25">
      <c r="B3" s="5" t="s">
        <v>72</v>
      </c>
    </row>
    <row r="4" spans="2:18" s="2" customFormat="1" x14ac:dyDescent="0.25">
      <c r="B4" s="2" t="s">
        <v>50</v>
      </c>
      <c r="H4" s="2">
        <v>106.1</v>
      </c>
      <c r="I4" s="2">
        <v>108.4</v>
      </c>
      <c r="J4" s="2">
        <v>100</v>
      </c>
      <c r="K4" s="2">
        <v>95</v>
      </c>
      <c r="L4" s="2">
        <v>85</v>
      </c>
      <c r="M4" s="2">
        <f>+L4*0.98</f>
        <v>83.3</v>
      </c>
      <c r="N4" s="2">
        <f>+M4*0.99</f>
        <v>82.466999999999999</v>
      </c>
      <c r="O4" s="2">
        <f t="shared" ref="O4:S4" si="0">+N4*0.99</f>
        <v>81.642330000000001</v>
      </c>
      <c r="P4" s="2">
        <f t="shared" si="0"/>
        <v>80.825906700000004</v>
      </c>
      <c r="Q4" s="2">
        <f t="shared" si="0"/>
        <v>80.01764763300001</v>
      </c>
      <c r="R4" s="2">
        <f t="shared" si="0"/>
        <v>79.217471156670015</v>
      </c>
    </row>
    <row r="5" spans="2:18" s="2" customFormat="1" x14ac:dyDescent="0.25">
      <c r="B5" s="2" t="s">
        <v>51</v>
      </c>
      <c r="H5" s="2">
        <v>3300</v>
      </c>
      <c r="I5" s="2">
        <v>2738</v>
      </c>
      <c r="J5" s="2">
        <v>2500</v>
      </c>
      <c r="K5" s="2">
        <f>+J5*0.98</f>
        <v>2450</v>
      </c>
      <c r="L5" s="2">
        <f t="shared" ref="L5:R5" si="1">+K5*0.98</f>
        <v>2401</v>
      </c>
      <c r="M5" s="2">
        <f t="shared" si="1"/>
        <v>2352.98</v>
      </c>
      <c r="N5" s="2">
        <f t="shared" si="1"/>
        <v>2305.9204</v>
      </c>
      <c r="O5" s="2">
        <f t="shared" si="1"/>
        <v>2259.8019920000002</v>
      </c>
      <c r="P5" s="2">
        <f t="shared" si="1"/>
        <v>2214.60595216</v>
      </c>
      <c r="Q5" s="2">
        <f t="shared" si="1"/>
        <v>2170.3138331168002</v>
      </c>
      <c r="R5" s="2">
        <f t="shared" si="1"/>
        <v>2126.9075564544642</v>
      </c>
    </row>
    <row r="6" spans="2:18" s="2" customFormat="1" x14ac:dyDescent="0.25">
      <c r="B6" s="2" t="s">
        <v>52</v>
      </c>
      <c r="H6" s="2">
        <v>403</v>
      </c>
      <c r="I6" s="2">
        <v>390</v>
      </c>
      <c r="J6" s="2">
        <v>380</v>
      </c>
      <c r="K6" s="2">
        <f>+J6*0.99</f>
        <v>376.2</v>
      </c>
      <c r="L6" s="2">
        <f t="shared" ref="L6:R6" si="2">+K6*0.99</f>
        <v>372.43799999999999</v>
      </c>
      <c r="M6" s="2">
        <f t="shared" si="2"/>
        <v>368.71361999999999</v>
      </c>
      <c r="N6" s="2">
        <f t="shared" si="2"/>
        <v>365.02648379999999</v>
      </c>
      <c r="O6" s="2">
        <f t="shared" si="2"/>
        <v>361.376218962</v>
      </c>
      <c r="P6" s="2">
        <f t="shared" si="2"/>
        <v>357.76245677238001</v>
      </c>
      <c r="Q6" s="2">
        <f t="shared" si="2"/>
        <v>354.18483220465617</v>
      </c>
      <c r="R6" s="2">
        <f t="shared" si="2"/>
        <v>350.6429838826096</v>
      </c>
    </row>
    <row r="7" spans="2:18" s="2" customFormat="1" x14ac:dyDescent="0.25">
      <c r="B7" s="2" t="s">
        <v>53</v>
      </c>
      <c r="H7" s="8">
        <f>+H17/H12</f>
        <v>1.056418438052336</v>
      </c>
      <c r="I7" s="8">
        <f>+I17/I12</f>
        <v>1.1974090441310008</v>
      </c>
      <c r="J7" s="8">
        <f>+I7*1.01</f>
        <v>1.2093831345723107</v>
      </c>
      <c r="K7" s="8">
        <f t="shared" ref="K7:R7" si="3">+J7*1.01</f>
        <v>1.2214769659180338</v>
      </c>
      <c r="L7" s="8">
        <f t="shared" si="3"/>
        <v>1.2336917355772141</v>
      </c>
      <c r="M7" s="8">
        <f t="shared" si="3"/>
        <v>1.2460286529329863</v>
      </c>
      <c r="N7" s="8">
        <f t="shared" si="3"/>
        <v>1.2584889394623162</v>
      </c>
      <c r="O7" s="8">
        <f t="shared" si="3"/>
        <v>1.2710738288569394</v>
      </c>
      <c r="P7" s="8">
        <f t="shared" si="3"/>
        <v>1.2837845671455088</v>
      </c>
      <c r="Q7" s="8">
        <f t="shared" si="3"/>
        <v>1.2966224128169639</v>
      </c>
      <c r="R7" s="8">
        <f t="shared" si="3"/>
        <v>1.3095886369451335</v>
      </c>
    </row>
    <row r="8" spans="2:18" s="2" customFormat="1" x14ac:dyDescent="0.25">
      <c r="B8" s="5" t="s">
        <v>71</v>
      </c>
    </row>
    <row r="9" spans="2:18" s="2" customFormat="1" x14ac:dyDescent="0.25">
      <c r="B9" s="2" t="s">
        <v>50</v>
      </c>
      <c r="H9" s="2">
        <f>324.1+321.6+5.8</f>
        <v>651.5</v>
      </c>
      <c r="I9" s="2">
        <f>331.5+333.8+6</f>
        <v>671.3</v>
      </c>
      <c r="J9" s="2">
        <f>+I9*1.02</f>
        <v>684.726</v>
      </c>
      <c r="K9" s="2">
        <f t="shared" ref="K9:R9" si="4">+J9*1.02</f>
        <v>698.42052000000001</v>
      </c>
      <c r="L9" s="2">
        <f t="shared" si="4"/>
        <v>712.38893040000005</v>
      </c>
      <c r="M9" s="2">
        <f>+L9*1.01</f>
        <v>719.51281970400009</v>
      </c>
      <c r="N9" s="2">
        <f t="shared" ref="N9:R9" si="5">+M9*1.01</f>
        <v>726.70794790104014</v>
      </c>
      <c r="O9" s="2">
        <f t="shared" si="5"/>
        <v>733.97502738005051</v>
      </c>
      <c r="P9" s="2">
        <f t="shared" si="5"/>
        <v>741.31477765385102</v>
      </c>
      <c r="Q9" s="2">
        <f t="shared" si="5"/>
        <v>748.72792543038952</v>
      </c>
      <c r="R9" s="2">
        <f t="shared" si="5"/>
        <v>756.21520468469339</v>
      </c>
    </row>
    <row r="10" spans="2:18" s="2" customFormat="1" x14ac:dyDescent="0.25">
      <c r="B10" s="2" t="s">
        <v>51</v>
      </c>
      <c r="H10" s="2">
        <f>54618+7544+3009</f>
        <v>65171</v>
      </c>
      <c r="I10" s="2">
        <f>54619+7537+3272</f>
        <v>65428</v>
      </c>
      <c r="J10" s="2">
        <f>+I10*1.005</f>
        <v>65755.14</v>
      </c>
      <c r="K10" s="2">
        <f t="shared" ref="K10:R10" si="6">+J10*1.005</f>
        <v>66083.915699999998</v>
      </c>
      <c r="L10" s="2">
        <f t="shared" si="6"/>
        <v>66414.335278499988</v>
      </c>
      <c r="M10" s="2">
        <f t="shared" si="6"/>
        <v>66746.406954892474</v>
      </c>
      <c r="N10" s="2">
        <f t="shared" si="6"/>
        <v>67080.138989666928</v>
      </c>
      <c r="O10" s="2">
        <f>+N10*1.003</f>
        <v>67281.379406635926</v>
      </c>
      <c r="P10" s="2">
        <f t="shared" ref="P10:R10" si="7">+O10*1.003</f>
        <v>67483.22354485582</v>
      </c>
      <c r="Q10" s="2">
        <f t="shared" si="7"/>
        <v>67685.673215490388</v>
      </c>
      <c r="R10" s="2">
        <f t="shared" si="7"/>
        <v>67888.730235136856</v>
      </c>
    </row>
    <row r="11" spans="2:18" s="2" customFormat="1" x14ac:dyDescent="0.25">
      <c r="B11" s="2" t="s">
        <v>52</v>
      </c>
      <c r="H11" s="2">
        <v>607</v>
      </c>
      <c r="I11" s="2">
        <v>620</v>
      </c>
      <c r="J11" s="2">
        <f>+I11*1.02</f>
        <v>632.4</v>
      </c>
      <c r="K11" s="2">
        <f t="shared" ref="K11:R11" si="8">+J11*1.02</f>
        <v>645.048</v>
      </c>
      <c r="L11" s="2">
        <f t="shared" si="8"/>
        <v>657.94896000000006</v>
      </c>
      <c r="M11" s="2">
        <f t="shared" si="8"/>
        <v>671.10793920000003</v>
      </c>
      <c r="N11" s="2">
        <f t="shared" si="8"/>
        <v>684.53009798400001</v>
      </c>
      <c r="O11" s="2">
        <f t="shared" si="8"/>
        <v>698.22069994368007</v>
      </c>
      <c r="P11" s="2">
        <f t="shared" si="8"/>
        <v>712.1851139425537</v>
      </c>
      <c r="Q11" s="2">
        <f t="shared" si="8"/>
        <v>726.42881622140476</v>
      </c>
      <c r="R11" s="2">
        <f t="shared" si="8"/>
        <v>740.95739254583282</v>
      </c>
    </row>
    <row r="12" spans="2:18" s="2" customFormat="1" x14ac:dyDescent="0.25">
      <c r="B12" s="2" t="s">
        <v>53</v>
      </c>
      <c r="H12" s="2">
        <f>10.3+1200+532+4651</f>
        <v>6393.3</v>
      </c>
      <c r="I12" s="2">
        <f>9.7+1111+495+3340</f>
        <v>4955.7</v>
      </c>
      <c r="J12" s="2">
        <v>5000</v>
      </c>
      <c r="K12" s="2">
        <f>+J12*1.01</f>
        <v>5050</v>
      </c>
      <c r="L12" s="2">
        <f t="shared" ref="L12:R12" si="9">+K12*1.01</f>
        <v>5100.5</v>
      </c>
      <c r="M12" s="2">
        <f t="shared" si="9"/>
        <v>5151.5050000000001</v>
      </c>
      <c r="N12" s="2">
        <f t="shared" si="9"/>
        <v>5203.0200500000001</v>
      </c>
      <c r="O12" s="2">
        <f t="shared" si="9"/>
        <v>5255.0502505000004</v>
      </c>
      <c r="P12" s="2">
        <f t="shared" si="9"/>
        <v>5307.6007530050001</v>
      </c>
      <c r="Q12" s="2">
        <f t="shared" si="9"/>
        <v>5360.6767605350506</v>
      </c>
      <c r="R12" s="2">
        <f t="shared" si="9"/>
        <v>5414.2835281404014</v>
      </c>
    </row>
    <row r="13" spans="2:18" s="2" customFormat="1" x14ac:dyDescent="0.25">
      <c r="B13" s="5" t="s">
        <v>49</v>
      </c>
    </row>
    <row r="14" spans="2:18" s="2" customFormat="1" x14ac:dyDescent="0.25">
      <c r="B14" s="2" t="s">
        <v>50</v>
      </c>
      <c r="G14" s="2">
        <v>27600</v>
      </c>
      <c r="H14" s="2">
        <v>30906</v>
      </c>
      <c r="I14" s="2">
        <v>32249</v>
      </c>
      <c r="J14" s="2">
        <f>+J9*J4*0.445</f>
        <v>30470.307000000004</v>
      </c>
      <c r="K14" s="2">
        <f t="shared" ref="K14:R14" si="10">+K9*K4*0.445</f>
        <v>29525.727482999999</v>
      </c>
      <c r="L14" s="2">
        <f t="shared" si="10"/>
        <v>26946.111292380003</v>
      </c>
      <c r="M14" s="2">
        <f t="shared" si="10"/>
        <v>26671.260957197726</v>
      </c>
      <c r="N14" s="2">
        <f t="shared" si="10"/>
        <v>26668.593831102007</v>
      </c>
      <c r="O14" s="2">
        <f t="shared" si="10"/>
        <v>26665.926971718902</v>
      </c>
      <c r="P14" s="2">
        <f t="shared" si="10"/>
        <v>26663.260379021729</v>
      </c>
      <c r="Q14" s="2">
        <f t="shared" si="10"/>
        <v>26660.594052983826</v>
      </c>
      <c r="R14" s="2">
        <f t="shared" si="10"/>
        <v>26657.927993578527</v>
      </c>
    </row>
    <row r="15" spans="2:18" s="2" customFormat="1" x14ac:dyDescent="0.25">
      <c r="B15" s="2" t="s">
        <v>51</v>
      </c>
      <c r="G15" s="2">
        <v>12700</v>
      </c>
      <c r="H15" s="2">
        <v>14109</v>
      </c>
      <c r="I15" s="2">
        <v>12285</v>
      </c>
      <c r="J15" s="2">
        <f>+J10*J5/1000 *0.069</f>
        <v>11342.761650000002</v>
      </c>
      <c r="K15" s="2">
        <f t="shared" ref="K15:R15" si="11">+K10*K5/1000 *0.069</f>
        <v>11171.485949085001</v>
      </c>
      <c r="L15" s="2">
        <f t="shared" si="11"/>
        <v>11002.796511253817</v>
      </c>
      <c r="M15" s="2">
        <f t="shared" si="11"/>
        <v>10836.65428393388</v>
      </c>
      <c r="N15" s="2">
        <f t="shared" si="11"/>
        <v>10673.020804246478</v>
      </c>
      <c r="O15" s="2">
        <f t="shared" si="11"/>
        <v>10490.939069326034</v>
      </c>
      <c r="P15" s="2">
        <f t="shared" si="11"/>
        <v>10311.963648803328</v>
      </c>
      <c r="Q15" s="2">
        <f t="shared" si="11"/>
        <v>10136.041548954743</v>
      </c>
      <c r="R15" s="2">
        <f t="shared" si="11"/>
        <v>9963.1206801295739</v>
      </c>
    </row>
    <row r="16" spans="2:18" s="2" customFormat="1" x14ac:dyDescent="0.25">
      <c r="B16" s="2" t="s">
        <v>52</v>
      </c>
      <c r="G16" s="2">
        <v>7800</v>
      </c>
      <c r="H16" s="2">
        <v>6699</v>
      </c>
      <c r="I16" s="2">
        <v>6678</v>
      </c>
      <c r="J16" s="2">
        <f>+J11*J6*0.028</f>
        <v>6728.7359999999999</v>
      </c>
      <c r="K16" s="2">
        <f t="shared" ref="K16:R16" si="12">+K11*K6*0.028</f>
        <v>6794.6776128000001</v>
      </c>
      <c r="L16" s="2">
        <f t="shared" si="12"/>
        <v>6861.2654534054409</v>
      </c>
      <c r="M16" s="2">
        <f t="shared" si="12"/>
        <v>6928.5058548488132</v>
      </c>
      <c r="N16" s="2">
        <f t="shared" si="12"/>
        <v>6996.4052122263311</v>
      </c>
      <c r="O16" s="2">
        <f t="shared" si="12"/>
        <v>7064.9699833061504</v>
      </c>
      <c r="P16" s="2">
        <f t="shared" si="12"/>
        <v>7134.2066891425511</v>
      </c>
      <c r="Q16" s="2">
        <f t="shared" si="12"/>
        <v>7204.1219146961475</v>
      </c>
      <c r="R16" s="2">
        <f t="shared" si="12"/>
        <v>7274.7223094601686</v>
      </c>
    </row>
    <row r="17" spans="2:18" s="2" customFormat="1" x14ac:dyDescent="0.25">
      <c r="B17" s="2" t="s">
        <v>53</v>
      </c>
      <c r="G17" s="2">
        <v>6500</v>
      </c>
      <c r="H17" s="2">
        <v>6754</v>
      </c>
      <c r="I17" s="2">
        <v>5934</v>
      </c>
      <c r="J17" s="2">
        <f>+J12*J7</f>
        <v>6046.9156728615535</v>
      </c>
      <c r="K17" s="2">
        <f t="shared" ref="K17:R17" si="13">+K12*K7</f>
        <v>6168.4586778860703</v>
      </c>
      <c r="L17" s="2">
        <f t="shared" si="13"/>
        <v>6292.444697311581</v>
      </c>
      <c r="M17" s="2">
        <f t="shared" si="13"/>
        <v>6418.9228357275433</v>
      </c>
      <c r="N17" s="2">
        <f t="shared" si="13"/>
        <v>6547.9431847256674</v>
      </c>
      <c r="O17" s="2">
        <f t="shared" si="13"/>
        <v>6679.5568427386543</v>
      </c>
      <c r="P17" s="2">
        <f t="shared" si="13"/>
        <v>6813.8159352777011</v>
      </c>
      <c r="Q17" s="2">
        <f t="shared" si="13"/>
        <v>6950.7736355767829</v>
      </c>
      <c r="R17" s="2">
        <f t="shared" si="13"/>
        <v>7090.4841856518769</v>
      </c>
    </row>
    <row r="18" spans="2:18" s="2" customFormat="1" x14ac:dyDescent="0.25">
      <c r="B18" s="5" t="s">
        <v>70</v>
      </c>
    </row>
    <row r="19" spans="2:18" s="2" customFormat="1" x14ac:dyDescent="0.25">
      <c r="B19" s="2" t="s">
        <v>50</v>
      </c>
      <c r="H19" s="2">
        <v>18612</v>
      </c>
      <c r="I19" s="2">
        <v>19974</v>
      </c>
    </row>
    <row r="20" spans="2:18" s="2" customFormat="1" x14ac:dyDescent="0.25">
      <c r="B20" s="2" t="s">
        <v>51</v>
      </c>
      <c r="H20" s="2">
        <v>3672</v>
      </c>
      <c r="I20" s="2">
        <v>2280</v>
      </c>
    </row>
    <row r="21" spans="2:18" s="2" customFormat="1" x14ac:dyDescent="0.25">
      <c r="B21" s="2" t="s">
        <v>52</v>
      </c>
      <c r="H21" s="2">
        <v>2565</v>
      </c>
      <c r="I21" s="2">
        <v>1904</v>
      </c>
    </row>
    <row r="22" spans="2:18" s="2" customFormat="1" x14ac:dyDescent="0.25">
      <c r="B22" s="2" t="s">
        <v>53</v>
      </c>
      <c r="H22" s="2">
        <v>2419</v>
      </c>
      <c r="I22" s="2">
        <v>1414</v>
      </c>
    </row>
    <row r="23" spans="2:18" s="2" customFormat="1" x14ac:dyDescent="0.25">
      <c r="B23" s="5" t="s">
        <v>54</v>
      </c>
    </row>
    <row r="24" spans="2:18" s="2" customFormat="1" x14ac:dyDescent="0.25">
      <c r="B24" s="2" t="s">
        <v>50</v>
      </c>
      <c r="G24" s="2">
        <v>19200</v>
      </c>
      <c r="H24" s="2">
        <v>14005</v>
      </c>
      <c r="I24" s="2">
        <v>14045</v>
      </c>
    </row>
    <row r="25" spans="2:18" s="2" customFormat="1" x14ac:dyDescent="0.25">
      <c r="B25" s="2" t="s">
        <v>51</v>
      </c>
      <c r="G25" s="2">
        <v>3600</v>
      </c>
      <c r="H25" s="2">
        <v>3055</v>
      </c>
      <c r="I25" s="2">
        <v>1980</v>
      </c>
    </row>
    <row r="26" spans="2:18" s="2" customFormat="1" x14ac:dyDescent="0.25">
      <c r="B26" s="2" t="s">
        <v>52</v>
      </c>
      <c r="G26" s="2">
        <v>2600</v>
      </c>
      <c r="H26" s="2">
        <v>1523</v>
      </c>
      <c r="I26" s="2">
        <v>545</v>
      </c>
    </row>
    <row r="27" spans="2:18" s="2" customFormat="1" x14ac:dyDescent="0.25">
      <c r="B27" s="2" t="s">
        <v>53</v>
      </c>
      <c r="G27" s="2">
        <v>1400</v>
      </c>
      <c r="H27" s="2">
        <v>1522</v>
      </c>
      <c r="I27" s="2">
        <v>548</v>
      </c>
    </row>
    <row r="28" spans="2:18" s="2" customFormat="1" x14ac:dyDescent="0.25">
      <c r="B28" s="5" t="s">
        <v>55</v>
      </c>
    </row>
    <row r="29" spans="2:18" s="2" customFormat="1" x14ac:dyDescent="0.25">
      <c r="B29" s="2" t="s">
        <v>50</v>
      </c>
      <c r="G29" s="2">
        <v>3900</v>
      </c>
      <c r="H29" s="2">
        <v>2940</v>
      </c>
      <c r="I29" s="2">
        <v>2588</v>
      </c>
    </row>
    <row r="30" spans="2:18" s="2" customFormat="1" x14ac:dyDescent="0.25">
      <c r="B30" s="2" t="s">
        <v>51</v>
      </c>
      <c r="G30" s="2">
        <v>1300</v>
      </c>
      <c r="H30" s="2">
        <v>1377</v>
      </c>
      <c r="I30" s="2">
        <v>1331</v>
      </c>
    </row>
    <row r="31" spans="2:18" s="2" customFormat="1" x14ac:dyDescent="0.25">
      <c r="B31" s="2" t="s">
        <v>52</v>
      </c>
      <c r="G31" s="2">
        <v>1300</v>
      </c>
      <c r="H31" s="2">
        <v>1622</v>
      </c>
      <c r="I31" s="2">
        <v>1976</v>
      </c>
    </row>
    <row r="32" spans="2:18" s="2" customFormat="1" x14ac:dyDescent="0.25">
      <c r="B32" s="2" t="s">
        <v>53</v>
      </c>
      <c r="G32" s="2">
        <v>600</v>
      </c>
      <c r="H32" s="2">
        <v>679</v>
      </c>
      <c r="I32" s="2">
        <v>746</v>
      </c>
    </row>
    <row r="33" spans="2:16" s="2" customFormat="1" x14ac:dyDescent="0.25">
      <c r="B33" s="5" t="s">
        <v>56</v>
      </c>
    </row>
    <row r="34" spans="2:16" s="2" customFormat="1" x14ac:dyDescent="0.25">
      <c r="B34" s="2" t="s">
        <v>50</v>
      </c>
      <c r="G34" s="2">
        <f t="shared" ref="G34:H37" si="14">+G24-G29</f>
        <v>15300</v>
      </c>
      <c r="H34" s="2">
        <f t="shared" si="14"/>
        <v>11065</v>
      </c>
      <c r="I34" s="2">
        <f t="shared" ref="I34" si="15">+I24-I29</f>
        <v>11457</v>
      </c>
    </row>
    <row r="35" spans="2:16" s="2" customFormat="1" x14ac:dyDescent="0.25">
      <c r="B35" s="2" t="s">
        <v>51</v>
      </c>
      <c r="G35" s="2">
        <f t="shared" si="14"/>
        <v>2300</v>
      </c>
      <c r="H35" s="2">
        <f t="shared" si="14"/>
        <v>1678</v>
      </c>
      <c r="I35" s="2">
        <f t="shared" ref="I35" si="16">+I25-I30</f>
        <v>649</v>
      </c>
    </row>
    <row r="36" spans="2:16" s="2" customFormat="1" x14ac:dyDescent="0.25">
      <c r="B36" s="2" t="s">
        <v>52</v>
      </c>
      <c r="G36" s="2">
        <f t="shared" si="14"/>
        <v>1300</v>
      </c>
      <c r="H36" s="2">
        <f t="shared" si="14"/>
        <v>-99</v>
      </c>
      <c r="I36" s="2">
        <f t="shared" ref="I36" si="17">+I26-I31</f>
        <v>-1431</v>
      </c>
    </row>
    <row r="37" spans="2:16" s="2" customFormat="1" x14ac:dyDescent="0.25">
      <c r="B37" s="2" t="s">
        <v>53</v>
      </c>
      <c r="G37" s="2">
        <f t="shared" si="14"/>
        <v>800</v>
      </c>
      <c r="H37" s="2">
        <f t="shared" si="14"/>
        <v>843</v>
      </c>
      <c r="I37" s="2">
        <f t="shared" ref="I37" si="18">+I27-I32</f>
        <v>-198</v>
      </c>
    </row>
    <row r="38" spans="2:16" s="2" customFormat="1" x14ac:dyDescent="0.25">
      <c r="B38" s="5" t="s">
        <v>57</v>
      </c>
    </row>
    <row r="39" spans="2:16" s="2" customFormat="1" x14ac:dyDescent="0.25">
      <c r="B39" s="2" t="s">
        <v>50</v>
      </c>
      <c r="G39" s="1">
        <f>+G34/G14</f>
        <v>0.55434782608695654</v>
      </c>
      <c r="H39" s="1">
        <f>+H34/H14</f>
        <v>0.3580210962272698</v>
      </c>
      <c r="I39" s="1">
        <f>+I34/I14</f>
        <v>0.35526682997922415</v>
      </c>
    </row>
    <row r="40" spans="2:16" s="2" customFormat="1" x14ac:dyDescent="0.25">
      <c r="B40" s="2" t="s">
        <v>51</v>
      </c>
      <c r="G40" s="1">
        <f>+G35/G15</f>
        <v>0.18110236220472442</v>
      </c>
      <c r="H40" s="1">
        <f>+H35/H15</f>
        <v>0.118931178680275</v>
      </c>
      <c r="I40" s="1">
        <f>+I35/I15</f>
        <v>5.2828652828652831E-2</v>
      </c>
    </row>
    <row r="41" spans="2:16" s="2" customFormat="1" x14ac:dyDescent="0.25">
      <c r="B41" s="2" t="s">
        <v>52</v>
      </c>
      <c r="G41" s="1">
        <f>+G36/G16</f>
        <v>0.16666666666666666</v>
      </c>
      <c r="H41" s="1">
        <f>+H36/H16</f>
        <v>-1.4778325123152709E-2</v>
      </c>
      <c r="I41" s="1">
        <f>+I36/I16</f>
        <v>-0.21428571428571427</v>
      </c>
    </row>
    <row r="42" spans="2:16" s="2" customFormat="1" x14ac:dyDescent="0.25">
      <c r="B42" s="2" t="s">
        <v>53</v>
      </c>
      <c r="G42" s="1">
        <f>+G37/G17</f>
        <v>0.12307692307692308</v>
      </c>
      <c r="H42" s="1">
        <f>+H37/H17</f>
        <v>0.12481492448919158</v>
      </c>
      <c r="I42" s="1">
        <f>+I37/I17</f>
        <v>-3.3367037411526794E-2</v>
      </c>
    </row>
    <row r="45" spans="2:16" s="2" customFormat="1" x14ac:dyDescent="0.25">
      <c r="B45" s="2" t="s">
        <v>18</v>
      </c>
      <c r="D45" s="2">
        <v>40522</v>
      </c>
      <c r="E45" s="2">
        <v>43165</v>
      </c>
      <c r="F45" s="2">
        <v>44611</v>
      </c>
      <c r="G45" s="2">
        <v>63495</v>
      </c>
      <c r="H45" s="2">
        <v>55554</v>
      </c>
      <c r="I45" s="2">
        <v>54041</v>
      </c>
      <c r="J45" s="2">
        <f>+SUM(J14:J17)</f>
        <v>54588.720322861562</v>
      </c>
      <c r="K45" s="2">
        <f t="shared" ref="K45:P45" si="19">+SUM(K14:K17)</f>
        <v>53660.349722771069</v>
      </c>
      <c r="L45" s="2">
        <f t="shared" si="19"/>
        <v>51102.617954350833</v>
      </c>
      <c r="M45" s="2">
        <f t="shared" si="19"/>
        <v>50855.343931707961</v>
      </c>
      <c r="N45" s="2">
        <f t="shared" si="19"/>
        <v>50885.963032300482</v>
      </c>
      <c r="O45" s="2">
        <f t="shared" si="19"/>
        <v>50901.392867089744</v>
      </c>
      <c r="P45" s="2">
        <f t="shared" si="19"/>
        <v>50923.246652245303</v>
      </c>
    </row>
    <row r="46" spans="2:16" s="2" customFormat="1" x14ac:dyDescent="0.25">
      <c r="B46" s="2" t="s">
        <v>23</v>
      </c>
      <c r="F46" s="2">
        <v>26254</v>
      </c>
      <c r="G46" s="2">
        <v>32690</v>
      </c>
      <c r="H46" s="2">
        <v>34770</v>
      </c>
      <c r="I46" s="2">
        <v>37052</v>
      </c>
      <c r="J46" s="2">
        <f>+J45*0.7</f>
        <v>38212.104226003088</v>
      </c>
      <c r="K46" s="2">
        <f t="shared" ref="K46:P46" si="20">+K45*0.7</f>
        <v>37562.244805939743</v>
      </c>
      <c r="L46" s="2">
        <f t="shared" si="20"/>
        <v>35771.832568045582</v>
      </c>
      <c r="M46" s="2">
        <f t="shared" si="20"/>
        <v>35598.740752195568</v>
      </c>
      <c r="N46" s="2">
        <f t="shared" si="20"/>
        <v>35620.174122610333</v>
      </c>
      <c r="O46" s="2">
        <f t="shared" si="20"/>
        <v>35630.975006962821</v>
      </c>
      <c r="P46" s="2">
        <f t="shared" si="20"/>
        <v>35646.272656571709</v>
      </c>
    </row>
    <row r="47" spans="2:16" s="2" customFormat="1" x14ac:dyDescent="0.25">
      <c r="B47" s="2" t="s">
        <v>24</v>
      </c>
      <c r="F47" s="2">
        <f t="shared" ref="F47:I47" si="21">+F45-F46</f>
        <v>18357</v>
      </c>
      <c r="G47" s="2">
        <f t="shared" si="21"/>
        <v>30805</v>
      </c>
      <c r="H47" s="2">
        <f t="shared" si="21"/>
        <v>20784</v>
      </c>
      <c r="I47" s="2">
        <f t="shared" si="21"/>
        <v>16989</v>
      </c>
      <c r="J47" s="2">
        <f t="shared" ref="J47:P47" si="22">+J45-J46</f>
        <v>16376.616096858474</v>
      </c>
      <c r="K47" s="2">
        <f t="shared" si="22"/>
        <v>16098.104916831326</v>
      </c>
      <c r="L47" s="2">
        <f t="shared" si="22"/>
        <v>15330.785386305251</v>
      </c>
      <c r="M47" s="2">
        <f t="shared" si="22"/>
        <v>15256.603179512393</v>
      </c>
      <c r="N47" s="2">
        <f t="shared" si="22"/>
        <v>15265.788909690149</v>
      </c>
      <c r="O47" s="2">
        <f t="shared" si="22"/>
        <v>15270.417860126923</v>
      </c>
      <c r="P47" s="2">
        <f t="shared" si="22"/>
        <v>15276.973995673594</v>
      </c>
    </row>
    <row r="48" spans="2:16" s="2" customFormat="1" x14ac:dyDescent="0.25">
      <c r="B48" s="2" t="s">
        <v>42</v>
      </c>
      <c r="F48" s="2">
        <v>904</v>
      </c>
      <c r="G48" s="2">
        <v>269</v>
      </c>
      <c r="H48" s="2">
        <f>-150+105</f>
        <v>-45</v>
      </c>
      <c r="I48" s="2">
        <v>936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2:84" s="2" customFormat="1" x14ac:dyDescent="0.25">
      <c r="B49" s="2" t="s">
        <v>43</v>
      </c>
      <c r="F49" s="2">
        <v>624</v>
      </c>
      <c r="G49" s="2">
        <v>719</v>
      </c>
      <c r="H49" s="2">
        <v>896</v>
      </c>
      <c r="I49" s="2">
        <v>1230</v>
      </c>
      <c r="J49" s="2">
        <f t="shared" ref="J49:P49" si="23">+I49*1.02</f>
        <v>1254.5999999999999</v>
      </c>
      <c r="K49" s="2">
        <f t="shared" si="23"/>
        <v>1279.692</v>
      </c>
      <c r="L49" s="2">
        <f t="shared" si="23"/>
        <v>1305.28584</v>
      </c>
      <c r="M49" s="2">
        <f t="shared" si="23"/>
        <v>1331.3915568</v>
      </c>
      <c r="N49" s="2">
        <f t="shared" si="23"/>
        <v>1358.0193879359999</v>
      </c>
      <c r="O49" s="2">
        <f t="shared" si="23"/>
        <v>1385.1797756947199</v>
      </c>
      <c r="P49" s="2">
        <f t="shared" si="23"/>
        <v>1412.8833712086143</v>
      </c>
    </row>
    <row r="50" spans="2:84" s="2" customFormat="1" x14ac:dyDescent="0.25">
      <c r="B50" s="2" t="s">
        <v>25</v>
      </c>
      <c r="F50" s="2">
        <f>+F48+F49</f>
        <v>1528</v>
      </c>
      <c r="G50" s="2">
        <f>+G48+G49</f>
        <v>988</v>
      </c>
      <c r="H50" s="2">
        <f>+H48+H49</f>
        <v>851</v>
      </c>
      <c r="I50" s="2">
        <f>+I48+I49</f>
        <v>2166</v>
      </c>
      <c r="J50" s="2">
        <f t="shared" ref="J50:P50" si="24">+J48+J49</f>
        <v>1254.5999999999999</v>
      </c>
      <c r="K50" s="2">
        <f t="shared" si="24"/>
        <v>1279.692</v>
      </c>
      <c r="L50" s="2">
        <f t="shared" si="24"/>
        <v>1305.28584</v>
      </c>
      <c r="M50" s="2">
        <f t="shared" si="24"/>
        <v>1331.3915568</v>
      </c>
      <c r="N50" s="2">
        <f t="shared" si="24"/>
        <v>1358.0193879359999</v>
      </c>
      <c r="O50" s="2">
        <f t="shared" si="24"/>
        <v>1385.1797756947199</v>
      </c>
      <c r="P50" s="2">
        <f t="shared" si="24"/>
        <v>1412.8833712086143</v>
      </c>
    </row>
    <row r="51" spans="2:84" s="2" customFormat="1" x14ac:dyDescent="0.25">
      <c r="B51" s="2" t="s">
        <v>19</v>
      </c>
      <c r="F51" s="2">
        <f>+F47-F50</f>
        <v>16829</v>
      </c>
      <c r="G51" s="2">
        <f>+G47-G50</f>
        <v>29817</v>
      </c>
      <c r="H51" s="2">
        <f>+H47-H50</f>
        <v>19933</v>
      </c>
      <c r="I51" s="2">
        <f>+I47-I50</f>
        <v>14823</v>
      </c>
      <c r="J51" s="2">
        <f t="shared" ref="J51:P51" si="25">+J47-J50</f>
        <v>15122.016096858473</v>
      </c>
      <c r="K51" s="2">
        <f t="shared" si="25"/>
        <v>14818.412916831327</v>
      </c>
      <c r="L51" s="2">
        <f t="shared" si="25"/>
        <v>14025.499546305251</v>
      </c>
      <c r="M51" s="2">
        <f t="shared" si="25"/>
        <v>13925.211622712393</v>
      </c>
      <c r="N51" s="2">
        <f t="shared" si="25"/>
        <v>13907.76952175415</v>
      </c>
      <c r="O51" s="2">
        <f t="shared" si="25"/>
        <v>13885.238084432203</v>
      </c>
      <c r="P51" s="2">
        <f t="shared" si="25"/>
        <v>13864.09062446498</v>
      </c>
    </row>
    <row r="52" spans="2:84" s="2" customFormat="1" x14ac:dyDescent="0.25">
      <c r="B52" s="2" t="s">
        <v>61</v>
      </c>
      <c r="G52" s="2">
        <v>1042</v>
      </c>
      <c r="H52" s="2">
        <v>777</v>
      </c>
      <c r="I52" s="2">
        <v>675</v>
      </c>
      <c r="J52" s="2">
        <v>500</v>
      </c>
      <c r="K52" s="2">
        <v>500</v>
      </c>
      <c r="L52" s="2">
        <v>500</v>
      </c>
      <c r="M52" s="2">
        <v>500</v>
      </c>
      <c r="N52" s="2">
        <v>500</v>
      </c>
      <c r="O52" s="2">
        <v>500</v>
      </c>
      <c r="P52" s="2">
        <v>500</v>
      </c>
    </row>
    <row r="53" spans="2:84" s="2" customFormat="1" x14ac:dyDescent="0.25">
      <c r="B53" s="2" t="s">
        <v>44</v>
      </c>
      <c r="F53" s="2">
        <v>-1124</v>
      </c>
      <c r="G53" s="2">
        <v>802</v>
      </c>
      <c r="H53" s="2">
        <v>253</v>
      </c>
      <c r="I53" s="2">
        <v>-251</v>
      </c>
    </row>
    <row r="54" spans="2:84" s="2" customFormat="1" x14ac:dyDescent="0.25">
      <c r="B54" s="2" t="s">
        <v>45</v>
      </c>
      <c r="F54" s="2">
        <v>123</v>
      </c>
      <c r="G54" s="2">
        <v>231</v>
      </c>
      <c r="H54" s="2">
        <v>424</v>
      </c>
      <c r="I54" s="2">
        <v>54</v>
      </c>
      <c r="J54" s="2">
        <v>300</v>
      </c>
      <c r="K54" s="2">
        <v>300</v>
      </c>
      <c r="L54" s="2">
        <v>300</v>
      </c>
      <c r="M54" s="2">
        <v>300</v>
      </c>
      <c r="N54" s="2">
        <v>300</v>
      </c>
      <c r="O54" s="2">
        <v>300</v>
      </c>
      <c r="P54" s="2">
        <v>300</v>
      </c>
    </row>
    <row r="55" spans="2:84" s="2" customFormat="1" x14ac:dyDescent="0.25">
      <c r="B55" s="2" t="s">
        <v>46</v>
      </c>
      <c r="F55" s="2">
        <v>141</v>
      </c>
      <c r="G55" s="2">
        <v>64</v>
      </c>
      <c r="H55" s="2">
        <v>179</v>
      </c>
      <c r="I55" s="2">
        <v>536</v>
      </c>
      <c r="J55" s="2">
        <f>+I55*1.03</f>
        <v>552.08000000000004</v>
      </c>
      <c r="K55" s="2">
        <f t="shared" ref="K55:P55" si="26">+J55*1.02</f>
        <v>563.12160000000006</v>
      </c>
      <c r="L55" s="2">
        <f t="shared" si="26"/>
        <v>574.38403200000005</v>
      </c>
      <c r="M55" s="2">
        <f t="shared" si="26"/>
        <v>585.87171264000006</v>
      </c>
      <c r="N55" s="2">
        <f t="shared" si="26"/>
        <v>597.58914689280004</v>
      </c>
      <c r="O55" s="2">
        <f t="shared" si="26"/>
        <v>609.54092983065607</v>
      </c>
      <c r="P55" s="2">
        <f t="shared" si="26"/>
        <v>621.73174842726917</v>
      </c>
    </row>
    <row r="56" spans="2:84" s="2" customFormat="1" x14ac:dyDescent="0.25">
      <c r="B56" s="2" t="s">
        <v>47</v>
      </c>
      <c r="F56" s="2">
        <v>268</v>
      </c>
      <c r="G56" s="2">
        <v>243</v>
      </c>
      <c r="H56" s="2">
        <v>335</v>
      </c>
      <c r="I56" s="2">
        <v>967</v>
      </c>
      <c r="J56" s="2">
        <f t="shared" ref="J56:P56" si="27">+I56*1.01</f>
        <v>976.67</v>
      </c>
      <c r="K56" s="2">
        <f t="shared" si="27"/>
        <v>986.43669999999997</v>
      </c>
      <c r="L56" s="2">
        <f t="shared" si="27"/>
        <v>996.30106699999999</v>
      </c>
      <c r="M56" s="2">
        <f t="shared" si="27"/>
        <v>1006.26407767</v>
      </c>
      <c r="N56" s="2">
        <f t="shared" si="27"/>
        <v>1016.3267184467001</v>
      </c>
      <c r="O56" s="2">
        <f t="shared" si="27"/>
        <v>1026.489985631167</v>
      </c>
      <c r="P56" s="2">
        <f t="shared" si="27"/>
        <v>1036.7548854874788</v>
      </c>
    </row>
    <row r="57" spans="2:84" s="2" customFormat="1" x14ac:dyDescent="0.25">
      <c r="B57" s="2" t="s">
        <v>48</v>
      </c>
      <c r="F57" s="2">
        <v>377</v>
      </c>
      <c r="G57" s="2">
        <v>418</v>
      </c>
      <c r="H57" s="2">
        <v>1519</v>
      </c>
      <c r="I57" s="2">
        <v>977</v>
      </c>
      <c r="J57" s="2">
        <v>900</v>
      </c>
      <c r="K57" s="2">
        <v>800</v>
      </c>
      <c r="L57" s="2">
        <v>700</v>
      </c>
      <c r="M57" s="2">
        <v>700</v>
      </c>
      <c r="N57" s="2">
        <v>700</v>
      </c>
      <c r="O57" s="2">
        <v>700</v>
      </c>
      <c r="P57" s="2">
        <v>700</v>
      </c>
    </row>
    <row r="58" spans="2:84" s="2" customFormat="1" x14ac:dyDescent="0.25">
      <c r="B58" s="2" t="s">
        <v>26</v>
      </c>
      <c r="F58" s="2">
        <f>+F51+F53-F54+F55-F56-F57+F52</f>
        <v>15078</v>
      </c>
      <c r="G58" s="2">
        <f>+G51+G53-G54+G55-G56-G57+G52</f>
        <v>30833</v>
      </c>
      <c r="H58" s="2">
        <f>+H51+H53-H54+H55-H56-H57+H52</f>
        <v>18864</v>
      </c>
      <c r="I58" s="2">
        <f>+I51+I53-I54+I55-I56-I57+I52</f>
        <v>13785</v>
      </c>
      <c r="J58" s="2">
        <f>+J51+J53-J54+J55-J56-J57+J52</f>
        <v>13997.426096858473</v>
      </c>
      <c r="K58" s="2">
        <f>+K51+K53-K54+K55-K56-K57+K52</f>
        <v>13795.097816831327</v>
      </c>
      <c r="L58" s="2">
        <f>+L51+L53-L54+L55-L56-L57+L52</f>
        <v>13103.582511305251</v>
      </c>
      <c r="M58" s="2">
        <f>+M51+M53-M54+M55-M56-M57+M52</f>
        <v>13004.819257682393</v>
      </c>
      <c r="N58" s="2">
        <f>+N51+N53-N54+N55-N56-N57+N52</f>
        <v>12989.031950200249</v>
      </c>
      <c r="O58" s="2">
        <f>+O51+O53-O54+O55-O56-O57+O52</f>
        <v>12968.289028631692</v>
      </c>
      <c r="P58" s="2">
        <f>+P51+P53-P54+P55-P56-P57+P52</f>
        <v>12949.067487404771</v>
      </c>
    </row>
    <row r="59" spans="2:84" s="2" customFormat="1" x14ac:dyDescent="0.25">
      <c r="B59" s="2" t="s">
        <v>20</v>
      </c>
      <c r="F59" s="2">
        <v>4991</v>
      </c>
      <c r="G59" s="2">
        <v>8258</v>
      </c>
      <c r="H59" s="2">
        <v>5586</v>
      </c>
      <c r="I59" s="2">
        <v>3832</v>
      </c>
      <c r="J59" s="2">
        <f>+J58*0.28</f>
        <v>3919.2793071203728</v>
      </c>
      <c r="K59" s="2">
        <f t="shared" ref="K59:P59" si="28">+K58*0.28</f>
        <v>3862.6273887127718</v>
      </c>
      <c r="L59" s="2">
        <f t="shared" si="28"/>
        <v>3669.0031031654703</v>
      </c>
      <c r="M59" s="2">
        <f t="shared" si="28"/>
        <v>3641.3493921510703</v>
      </c>
      <c r="N59" s="2">
        <f t="shared" si="28"/>
        <v>3636.9289460560703</v>
      </c>
      <c r="O59" s="2">
        <f t="shared" si="28"/>
        <v>3631.1209280168741</v>
      </c>
      <c r="P59" s="2">
        <f t="shared" si="28"/>
        <v>3625.7388964733364</v>
      </c>
    </row>
    <row r="60" spans="2:84" s="2" customFormat="1" x14ac:dyDescent="0.25">
      <c r="B60" s="2" t="s">
        <v>21</v>
      </c>
      <c r="F60" s="2">
        <f t="shared" ref="F60:H60" si="29">+F58-F59</f>
        <v>10087</v>
      </c>
      <c r="G60" s="2">
        <f t="shared" si="29"/>
        <v>22575</v>
      </c>
      <c r="H60" s="2">
        <f t="shared" si="29"/>
        <v>13278</v>
      </c>
      <c r="I60" s="2">
        <f t="shared" ref="I60:P60" si="30">+I58-I59</f>
        <v>9953</v>
      </c>
      <c r="J60" s="2">
        <f t="shared" si="30"/>
        <v>10078.146789738101</v>
      </c>
      <c r="K60" s="2">
        <f t="shared" si="30"/>
        <v>9932.470428118555</v>
      </c>
      <c r="L60" s="2">
        <f t="shared" si="30"/>
        <v>9434.5794081397798</v>
      </c>
      <c r="M60" s="2">
        <f t="shared" si="30"/>
        <v>9363.4698655313223</v>
      </c>
      <c r="N60" s="2">
        <f t="shared" si="30"/>
        <v>9352.1030041441791</v>
      </c>
      <c r="O60" s="2">
        <f t="shared" si="30"/>
        <v>9337.1681006148174</v>
      </c>
      <c r="P60" s="2">
        <f t="shared" si="30"/>
        <v>9323.3285909314345</v>
      </c>
      <c r="Q60" s="2">
        <f t="shared" ref="Q60:AV60" si="31">+P60*(1+MV)</f>
        <v>9136.8620191128048</v>
      </c>
      <c r="R60" s="2">
        <f t="shared" si="31"/>
        <v>8954.1247787305492</v>
      </c>
      <c r="S60" s="2">
        <f t="shared" si="31"/>
        <v>8775.0422831559372</v>
      </c>
      <c r="T60" s="2">
        <f t="shared" si="31"/>
        <v>8599.5414374928187</v>
      </c>
      <c r="U60" s="2">
        <f t="shared" si="31"/>
        <v>8427.5506087429621</v>
      </c>
      <c r="V60" s="2">
        <f t="shared" si="31"/>
        <v>8258.9995965681028</v>
      </c>
      <c r="W60" s="2">
        <f t="shared" si="31"/>
        <v>8093.8196046367402</v>
      </c>
      <c r="X60" s="2">
        <f t="shared" si="31"/>
        <v>7931.9432125440053</v>
      </c>
      <c r="Y60" s="2">
        <f t="shared" si="31"/>
        <v>7773.3043482931253</v>
      </c>
      <c r="Z60" s="2">
        <f t="shared" si="31"/>
        <v>7617.8382613272624</v>
      </c>
      <c r="AA60" s="2">
        <f t="shared" si="31"/>
        <v>7465.4814961007169</v>
      </c>
      <c r="AB60" s="2">
        <f t="shared" si="31"/>
        <v>7316.1718661787027</v>
      </c>
      <c r="AC60" s="2">
        <f t="shared" si="31"/>
        <v>7169.8484288551281</v>
      </c>
      <c r="AD60" s="2">
        <f t="shared" si="31"/>
        <v>7026.4514602780255</v>
      </c>
      <c r="AE60" s="2">
        <f t="shared" si="31"/>
        <v>6885.9224310724649</v>
      </c>
      <c r="AF60" s="2">
        <f t="shared" si="31"/>
        <v>6748.2039824510157</v>
      </c>
      <c r="AG60" s="2">
        <f t="shared" si="31"/>
        <v>6613.2399028019954</v>
      </c>
      <c r="AH60" s="2">
        <f t="shared" si="31"/>
        <v>6480.9751047459558</v>
      </c>
      <c r="AI60" s="2">
        <f t="shared" si="31"/>
        <v>6351.3556026510369</v>
      </c>
      <c r="AJ60" s="2">
        <f t="shared" si="31"/>
        <v>6224.3284905980163</v>
      </c>
      <c r="AK60" s="2">
        <f t="shared" si="31"/>
        <v>6099.8419207860561</v>
      </c>
      <c r="AL60" s="2">
        <f t="shared" si="31"/>
        <v>5977.8450823703351</v>
      </c>
      <c r="AM60" s="2">
        <f t="shared" si="31"/>
        <v>5858.2881807229287</v>
      </c>
      <c r="AN60" s="2">
        <f t="shared" si="31"/>
        <v>5741.1224171084705</v>
      </c>
      <c r="AO60" s="2">
        <f t="shared" si="31"/>
        <v>5626.2999687663014</v>
      </c>
      <c r="AP60" s="2">
        <f t="shared" si="31"/>
        <v>5513.7739693909753</v>
      </c>
      <c r="AQ60" s="2">
        <f t="shared" si="31"/>
        <v>5403.4984900031559</v>
      </c>
      <c r="AR60" s="2">
        <f t="shared" si="31"/>
        <v>5295.4285202030924</v>
      </c>
      <c r="AS60" s="2">
        <f t="shared" si="31"/>
        <v>5189.5199497990307</v>
      </c>
      <c r="AT60" s="2">
        <f t="shared" si="31"/>
        <v>5085.7295508030502</v>
      </c>
      <c r="AU60" s="2">
        <f t="shared" si="31"/>
        <v>4984.0149597869895</v>
      </c>
      <c r="AV60" s="2">
        <f t="shared" si="31"/>
        <v>4884.3346605912493</v>
      </c>
      <c r="AW60" s="2">
        <f t="shared" ref="AW60:CF60" si="32">+AV60*(1+MV)</f>
        <v>4786.6479673794238</v>
      </c>
      <c r="AX60" s="2">
        <f t="shared" si="32"/>
        <v>4690.915008031835</v>
      </c>
      <c r="AY60" s="2">
        <f t="shared" si="32"/>
        <v>4597.0967078711983</v>
      </c>
      <c r="AZ60" s="2">
        <f t="shared" si="32"/>
        <v>4505.1547737137744</v>
      </c>
      <c r="BA60" s="2">
        <f t="shared" si="32"/>
        <v>4415.0516782394989</v>
      </c>
      <c r="BB60" s="2">
        <f t="shared" si="32"/>
        <v>4326.7506446747084</v>
      </c>
      <c r="BC60" s="2">
        <f t="shared" si="32"/>
        <v>4240.2156317812141</v>
      </c>
      <c r="BD60" s="2">
        <f t="shared" si="32"/>
        <v>4155.4113191455899</v>
      </c>
      <c r="BE60" s="2">
        <f t="shared" si="32"/>
        <v>4072.3030927626783</v>
      </c>
      <c r="BF60" s="2">
        <f t="shared" si="32"/>
        <v>3990.8570309074248</v>
      </c>
      <c r="BG60" s="2">
        <f t="shared" si="32"/>
        <v>3911.0398902892762</v>
      </c>
      <c r="BH60" s="2">
        <f t="shared" si="32"/>
        <v>3832.8190924834907</v>
      </c>
      <c r="BI60" s="2">
        <f t="shared" si="32"/>
        <v>3756.162710633821</v>
      </c>
      <c r="BJ60" s="2">
        <f t="shared" si="32"/>
        <v>3681.0394564211447</v>
      </c>
      <c r="BK60" s="2">
        <f t="shared" si="32"/>
        <v>3607.4186672927217</v>
      </c>
      <c r="BL60" s="2">
        <f t="shared" si="32"/>
        <v>3535.2702939468672</v>
      </c>
      <c r="BM60" s="2">
        <f t="shared" si="32"/>
        <v>3464.56488806793</v>
      </c>
      <c r="BN60" s="2">
        <f t="shared" si="32"/>
        <v>3395.2735903065714</v>
      </c>
      <c r="BO60" s="2">
        <f t="shared" si="32"/>
        <v>3327.3681185004398</v>
      </c>
      <c r="BP60" s="2">
        <f t="shared" si="32"/>
        <v>3260.8207561304307</v>
      </c>
      <c r="BQ60" s="2">
        <f t="shared" si="32"/>
        <v>3195.6043410078219</v>
      </c>
      <c r="BR60" s="2">
        <f t="shared" si="32"/>
        <v>3131.6922541876652</v>
      </c>
      <c r="BS60" s="2">
        <f t="shared" si="32"/>
        <v>3069.0584091039118</v>
      </c>
      <c r="BT60" s="2">
        <f t="shared" si="32"/>
        <v>3007.6772409218333</v>
      </c>
      <c r="BU60" s="2">
        <f t="shared" si="32"/>
        <v>2947.5236961033966</v>
      </c>
      <c r="BV60" s="2">
        <f t="shared" si="32"/>
        <v>2888.5732221813287</v>
      </c>
      <c r="BW60" s="2">
        <f t="shared" si="32"/>
        <v>2830.8017577377022</v>
      </c>
      <c r="BX60" s="2">
        <f t="shared" si="32"/>
        <v>2774.1857225829481</v>
      </c>
      <c r="BY60" s="2">
        <f t="shared" si="32"/>
        <v>2718.7020081312889</v>
      </c>
      <c r="BZ60" s="2">
        <f t="shared" si="32"/>
        <v>2664.327967968663</v>
      </c>
      <c r="CA60" s="2">
        <f t="shared" si="32"/>
        <v>2611.0414086092896</v>
      </c>
      <c r="CB60" s="2">
        <f t="shared" si="32"/>
        <v>2558.8205804371037</v>
      </c>
      <c r="CC60" s="2">
        <f t="shared" si="32"/>
        <v>2507.6441688283617</v>
      </c>
      <c r="CD60" s="2">
        <f t="shared" si="32"/>
        <v>2457.4912854517943</v>
      </c>
      <c r="CE60" s="2">
        <f t="shared" si="32"/>
        <v>2408.3414597427582</v>
      </c>
      <c r="CF60" s="2">
        <f t="shared" si="32"/>
        <v>2360.1746305479028</v>
      </c>
    </row>
    <row r="61" spans="2:84" s="2" customFormat="1" x14ac:dyDescent="0.25">
      <c r="B61" s="2" t="s">
        <v>1</v>
      </c>
      <c r="H61" s="2">
        <v>1626</v>
      </c>
      <c r="I61" s="2">
        <f>+I60/I62</f>
        <v>1614.4363341443634</v>
      </c>
      <c r="J61" s="2">
        <f>+I61</f>
        <v>1614.4363341443634</v>
      </c>
      <c r="K61" s="2">
        <f t="shared" ref="K61:P61" si="33">+J61</f>
        <v>1614.4363341443634</v>
      </c>
      <c r="L61" s="2">
        <f t="shared" si="33"/>
        <v>1614.4363341443634</v>
      </c>
      <c r="M61" s="2">
        <f t="shared" si="33"/>
        <v>1614.4363341443634</v>
      </c>
      <c r="N61" s="2">
        <f t="shared" si="33"/>
        <v>1614.4363341443634</v>
      </c>
      <c r="O61" s="2">
        <f t="shared" si="33"/>
        <v>1614.4363341443634</v>
      </c>
      <c r="P61" s="2">
        <f t="shared" si="33"/>
        <v>1614.4363341443634</v>
      </c>
    </row>
    <row r="62" spans="2:84" s="6" customFormat="1" x14ac:dyDescent="0.25">
      <c r="B62" s="6" t="s">
        <v>58</v>
      </c>
      <c r="H62" s="6">
        <f>+H60/H61</f>
        <v>8.1660516605166045</v>
      </c>
      <c r="I62" s="6">
        <v>6.165</v>
      </c>
      <c r="J62" s="6">
        <f t="shared" ref="J62:P62" si="34">+J60/J61</f>
        <v>6.242517327311905</v>
      </c>
      <c r="K62" s="6">
        <f t="shared" si="34"/>
        <v>6.1522837525721785</v>
      </c>
      <c r="L62" s="6">
        <f t="shared" si="34"/>
        <v>5.8438844620899975</v>
      </c>
      <c r="M62" s="6">
        <f t="shared" si="34"/>
        <v>5.7998384126394651</v>
      </c>
      <c r="N62" s="6">
        <f t="shared" si="34"/>
        <v>5.7927976510146548</v>
      </c>
      <c r="O62" s="6">
        <f t="shared" si="34"/>
        <v>5.7835468040078721</v>
      </c>
      <c r="P62" s="6">
        <f t="shared" si="34"/>
        <v>5.7749744562536209</v>
      </c>
    </row>
    <row r="64" spans="2:84" s="1" customFormat="1" x14ac:dyDescent="0.25">
      <c r="B64" s="1" t="s">
        <v>28</v>
      </c>
      <c r="F64" s="1">
        <f>+F47/F45</f>
        <v>0.41149043957768261</v>
      </c>
      <c r="G64" s="1">
        <f>+G47/G45</f>
        <v>0.48515631152059219</v>
      </c>
      <c r="H64" s="1">
        <f>+H47/H45</f>
        <v>0.37412247542931204</v>
      </c>
      <c r="I64" s="1">
        <f>+I47/I45</f>
        <v>0.31437242093965695</v>
      </c>
      <c r="J64" s="1">
        <f t="shared" ref="J64:P64" si="35">+J47/J45</f>
        <v>0.3000000000000001</v>
      </c>
      <c r="K64" s="1">
        <f t="shared" si="35"/>
        <v>0.3000000000000001</v>
      </c>
      <c r="L64" s="1">
        <f t="shared" si="35"/>
        <v>0.30000000000000004</v>
      </c>
      <c r="M64" s="1">
        <f t="shared" si="35"/>
        <v>0.3000000000000001</v>
      </c>
      <c r="N64" s="1">
        <f t="shared" si="35"/>
        <v>0.3000000000000001</v>
      </c>
      <c r="O64" s="1">
        <f t="shared" si="35"/>
        <v>0.3</v>
      </c>
      <c r="P64" s="1">
        <f t="shared" si="35"/>
        <v>0.30000000000000004</v>
      </c>
      <c r="T64" s="1" t="s">
        <v>30</v>
      </c>
      <c r="U64" s="1">
        <v>0.08</v>
      </c>
      <c r="V64" s="2" t="s">
        <v>30</v>
      </c>
      <c r="W64" s="1">
        <v>4.4999999999999998E-2</v>
      </c>
    </row>
    <row r="65" spans="2:84" s="1" customFormat="1" x14ac:dyDescent="0.25">
      <c r="B65" s="1" t="s">
        <v>29</v>
      </c>
      <c r="F65" s="1">
        <f>+F60/F45</f>
        <v>0.22611015220461322</v>
      </c>
      <c r="G65" s="1">
        <f>+G60/G45</f>
        <v>0.35553980628395937</v>
      </c>
      <c r="H65" s="1">
        <f>+H60/H45</f>
        <v>0.23901069229938438</v>
      </c>
      <c r="I65" s="1">
        <f>+I60/I45</f>
        <v>0.18417497825724913</v>
      </c>
      <c r="J65" s="1">
        <f t="shared" ref="J65:P65" si="36">+J60/J45</f>
        <v>0.18461958313240417</v>
      </c>
      <c r="K65" s="1">
        <f t="shared" si="36"/>
        <v>0.18509887616151066</v>
      </c>
      <c r="L65" s="1">
        <f t="shared" si="36"/>
        <v>0.18462027555158803</v>
      </c>
      <c r="M65" s="1">
        <f t="shared" si="36"/>
        <v>0.18411968421854016</v>
      </c>
      <c r="N65" s="1">
        <f t="shared" si="36"/>
        <v>0.18378551661109013</v>
      </c>
      <c r="O65" s="1">
        <f t="shared" si="36"/>
        <v>0.18343639681914786</v>
      </c>
      <c r="P65" s="1">
        <f t="shared" si="36"/>
        <v>0.18308590288047455</v>
      </c>
      <c r="T65" t="s">
        <v>31</v>
      </c>
      <c r="U65" s="1">
        <v>-0.02</v>
      </c>
      <c r="V65" s="2" t="s">
        <v>35</v>
      </c>
      <c r="W65" s="2">
        <f>NPV(W64,I73:CG73)</f>
        <v>110399.00273481365</v>
      </c>
    </row>
    <row r="66" spans="2:84" s="1" customFormat="1" x14ac:dyDescent="0.25">
      <c r="T66" s="2" t="s">
        <v>32</v>
      </c>
      <c r="U66" s="2">
        <f>NPV(U64,J60:CH60)</f>
        <v>103148.67266938387</v>
      </c>
    </row>
    <row r="67" spans="2:84" s="1" customFormat="1" x14ac:dyDescent="0.25">
      <c r="B67" s="1" t="s">
        <v>22</v>
      </c>
      <c r="F67" s="1">
        <f>+F45/E45 -1</f>
        <v>3.3499362909764852E-2</v>
      </c>
      <c r="G67" s="1">
        <f>+G45/F45 -1</f>
        <v>0.42330366949855414</v>
      </c>
      <c r="H67" s="1">
        <f>+H45/G45 -1</f>
        <v>-0.12506496574533432</v>
      </c>
      <c r="I67" s="1">
        <f>+I45/H45 -1</f>
        <v>-2.7234762573352E-2</v>
      </c>
      <c r="J67" s="1">
        <f t="shared" ref="J67:P67" si="37">+J45/I45 -1</f>
        <v>1.0135273641523224E-2</v>
      </c>
      <c r="K67" s="1">
        <f t="shared" si="37"/>
        <v>-1.7006637902477029E-2</v>
      </c>
      <c r="L67" s="1">
        <f t="shared" si="37"/>
        <v>-4.766520869942914E-2</v>
      </c>
      <c r="M67" s="1">
        <f t="shared" si="37"/>
        <v>-4.8387740695351455E-3</v>
      </c>
      <c r="N67" s="1">
        <f t="shared" si="37"/>
        <v>6.0208226363855921E-4</v>
      </c>
      <c r="O67" s="1">
        <f t="shared" si="37"/>
        <v>3.0322379433922464E-4</v>
      </c>
      <c r="P67" s="1">
        <f t="shared" si="37"/>
        <v>4.2933570035352808E-4</v>
      </c>
      <c r="T67" s="2" t="s">
        <v>3</v>
      </c>
      <c r="U67" s="2">
        <v>-4200</v>
      </c>
    </row>
    <row r="68" spans="2:84" x14ac:dyDescent="0.25">
      <c r="T68" s="2" t="s">
        <v>33</v>
      </c>
      <c r="U68" s="2">
        <f>+U66+U67</f>
        <v>98948.672669383872</v>
      </c>
    </row>
    <row r="69" spans="2:84" s="2" customFormat="1" x14ac:dyDescent="0.25">
      <c r="B69" s="2" t="s">
        <v>39</v>
      </c>
      <c r="F69" s="2">
        <v>15875</v>
      </c>
      <c r="G69" s="2">
        <v>25345</v>
      </c>
      <c r="H69" s="2">
        <v>16134</v>
      </c>
      <c r="I69" s="2">
        <v>15160</v>
      </c>
      <c r="T69" s="2" t="s">
        <v>0</v>
      </c>
      <c r="U69">
        <f>+U68/P61</f>
        <v>61.289919321486138</v>
      </c>
    </row>
    <row r="70" spans="2:84" s="2" customFormat="1" x14ac:dyDescent="0.25">
      <c r="B70" s="2" t="s">
        <v>40</v>
      </c>
      <c r="F70" s="2">
        <v>6189</v>
      </c>
      <c r="G70" s="2">
        <v>7384</v>
      </c>
      <c r="H70" s="2">
        <v>6750</v>
      </c>
      <c r="I70" s="2">
        <v>7086</v>
      </c>
      <c r="T70" s="2" t="s">
        <v>75</v>
      </c>
      <c r="U70">
        <f>+U69*0.77</f>
        <v>47.193237877544327</v>
      </c>
    </row>
    <row r="71" spans="2:84" s="2" customFormat="1" x14ac:dyDescent="0.25">
      <c r="B71" s="2" t="s">
        <v>41</v>
      </c>
      <c r="F71" s="2">
        <f>+F69-F70</f>
        <v>9686</v>
      </c>
      <c r="G71" s="2">
        <f>+G69-G70</f>
        <v>17961</v>
      </c>
      <c r="H71" s="2">
        <f>+H69-H70</f>
        <v>9384</v>
      </c>
      <c r="I71" s="2">
        <f>+I69-I70</f>
        <v>8074</v>
      </c>
    </row>
    <row r="72" spans="2:84" x14ac:dyDescent="0.25">
      <c r="R72" s="2"/>
    </row>
    <row r="73" spans="2:84" x14ac:dyDescent="0.25">
      <c r="B73" s="3" t="s">
        <v>34</v>
      </c>
      <c r="C73" s="3"/>
      <c r="D73">
        <v>5356</v>
      </c>
      <c r="E73">
        <v>5397</v>
      </c>
      <c r="F73">
        <v>6132</v>
      </c>
      <c r="G73">
        <v>10946</v>
      </c>
      <c r="H73" s="4">
        <f>+H60*0.5</f>
        <v>6639</v>
      </c>
      <c r="I73" s="4">
        <v>6470</v>
      </c>
      <c r="J73" s="4">
        <f t="shared" ref="J73:P73" si="38">+I73</f>
        <v>6470</v>
      </c>
      <c r="K73" s="4">
        <f t="shared" si="38"/>
        <v>6470</v>
      </c>
      <c r="L73" s="4">
        <f t="shared" si="38"/>
        <v>6470</v>
      </c>
      <c r="M73" s="4">
        <f t="shared" si="38"/>
        <v>6470</v>
      </c>
      <c r="N73" s="4">
        <f t="shared" si="38"/>
        <v>6470</v>
      </c>
      <c r="O73" s="4">
        <f t="shared" si="38"/>
        <v>6470</v>
      </c>
      <c r="P73" s="4">
        <f t="shared" si="38"/>
        <v>6470</v>
      </c>
      <c r="Q73" s="2">
        <f t="shared" ref="Q73" si="39">+P73*(1+MV)</f>
        <v>6340.5999999999995</v>
      </c>
      <c r="R73" s="2">
        <f t="shared" ref="R73" si="40">+Q73*(1+MV)</f>
        <v>6213.7879999999996</v>
      </c>
      <c r="S73" s="2">
        <f t="shared" ref="S73" si="41">+R73*(1+MV)</f>
        <v>6089.5122399999991</v>
      </c>
      <c r="T73" s="2">
        <f t="shared" ref="T73" si="42">+S73*(1+MV)</f>
        <v>5967.7219951999987</v>
      </c>
      <c r="U73" s="2">
        <f t="shared" ref="U73" si="43">+T73*(1+MV)</f>
        <v>5848.3675552959985</v>
      </c>
      <c r="V73" s="2">
        <f t="shared" ref="V73" si="44">+U73*(1+MV)</f>
        <v>5731.4002041900785</v>
      </c>
      <c r="W73" s="2">
        <f t="shared" ref="W73" si="45">+V73*(1+MV)</f>
        <v>5616.7722001062766</v>
      </c>
      <c r="X73" s="2">
        <f t="shared" ref="X73" si="46">+W73*(1+MV)</f>
        <v>5504.4367561041508</v>
      </c>
      <c r="Y73" s="2">
        <f t="shared" ref="Y73" si="47">+X73*(1+MV)</f>
        <v>5394.3480209820673</v>
      </c>
      <c r="Z73" s="2">
        <f t="shared" ref="Z73" si="48">+Y73*(1+MV)</f>
        <v>5286.4610605624257</v>
      </c>
      <c r="AA73" s="2">
        <f t="shared" ref="AA73" si="49">+Z73*(1+MV)</f>
        <v>5180.7318393511769</v>
      </c>
      <c r="AB73" s="2">
        <f t="shared" ref="AB73" si="50">+AA73*(1+MV)</f>
        <v>5077.1172025641536</v>
      </c>
      <c r="AC73" s="2">
        <f t="shared" ref="AC73" si="51">+AB73*(1+MV)</f>
        <v>4975.5748585128704</v>
      </c>
      <c r="AD73" s="2">
        <f t="shared" ref="AD73" si="52">+AC73*(1+MV)</f>
        <v>4876.0633613426126</v>
      </c>
      <c r="AE73" s="2">
        <f t="shared" ref="AE73" si="53">+AD73*(1+MV)</f>
        <v>4778.5420941157599</v>
      </c>
      <c r="AF73" s="2">
        <f t="shared" ref="AF73" si="54">+AE73*(1+MV)</f>
        <v>4682.9712522334448</v>
      </c>
      <c r="AG73" s="2">
        <f t="shared" ref="AG73" si="55">+AF73*(1+MV)</f>
        <v>4589.3118271887761</v>
      </c>
      <c r="AH73" s="2">
        <f t="shared" ref="AH73" si="56">+AG73*(1+MV)</f>
        <v>4497.5255906450002</v>
      </c>
      <c r="AI73" s="2">
        <f t="shared" ref="AI73" si="57">+AH73*(1+MV)</f>
        <v>4407.5750788321002</v>
      </c>
      <c r="AJ73" s="2">
        <f t="shared" ref="AJ73" si="58">+AI73*(1+MV)</f>
        <v>4319.4235772554584</v>
      </c>
      <c r="AK73" s="2">
        <f t="shared" ref="AK73" si="59">+AJ73*(1+MV)</f>
        <v>4233.0351057103489</v>
      </c>
      <c r="AL73" s="2">
        <f t="shared" ref="AL73" si="60">+AK73*(1+MV)</f>
        <v>4148.3744035961417</v>
      </c>
      <c r="AM73" s="2">
        <f t="shared" ref="AM73" si="61">+AL73*(1+MV)</f>
        <v>4065.4069155242187</v>
      </c>
      <c r="AN73" s="2">
        <f t="shared" ref="AN73" si="62">+AM73*(1+MV)</f>
        <v>3984.0987772137341</v>
      </c>
      <c r="AO73" s="2">
        <f t="shared" ref="AO73" si="63">+AN73*(1+MV)</f>
        <v>3904.4168016694593</v>
      </c>
      <c r="AP73" s="2">
        <f t="shared" ref="AP73" si="64">+AO73*(1+MV)</f>
        <v>3826.3284656360702</v>
      </c>
      <c r="AQ73" s="2">
        <f t="shared" ref="AQ73" si="65">+AP73*(1+MV)</f>
        <v>3749.8018963233485</v>
      </c>
      <c r="AR73" s="2">
        <f t="shared" ref="AR73" si="66">+AQ73*(1+MV)</f>
        <v>3674.8058583968814</v>
      </c>
      <c r="AS73" s="2">
        <f t="shared" ref="AS73" si="67">+AR73*(1+MV)</f>
        <v>3601.3097412289435</v>
      </c>
      <c r="AT73" s="2">
        <f t="shared" ref="AT73" si="68">+AS73*(1+MV)</f>
        <v>3529.2835464043646</v>
      </c>
      <c r="AU73" s="2">
        <f t="shared" ref="AU73" si="69">+AT73*(1+MV)</f>
        <v>3458.6978754762772</v>
      </c>
      <c r="AV73" s="2">
        <f t="shared" ref="AV73" si="70">+AU73*(1+MV)</f>
        <v>3389.5239179667515</v>
      </c>
      <c r="AW73" s="2">
        <f t="shared" ref="AW73" si="71">+AV73*(1+MV)</f>
        <v>3321.7334396074166</v>
      </c>
      <c r="AX73" s="2">
        <f t="shared" ref="AX73" si="72">+AW73*(1+MV)</f>
        <v>3255.2987708152682</v>
      </c>
      <c r="AY73" s="2">
        <f t="shared" ref="AY73" si="73">+AX73*(1+MV)</f>
        <v>3190.192795398963</v>
      </c>
      <c r="AZ73" s="2">
        <f t="shared" ref="AZ73" si="74">+AY73*(1+MV)</f>
        <v>3126.3889394909838</v>
      </c>
      <c r="BA73" s="2">
        <f t="shared" ref="BA73" si="75">+AZ73*(1+MV)</f>
        <v>3063.861160701164</v>
      </c>
      <c r="BB73" s="2">
        <f t="shared" ref="BB73" si="76">+BA73*(1+MV)</f>
        <v>3002.5839374871407</v>
      </c>
      <c r="BC73" s="2">
        <f t="shared" ref="BC73" si="77">+BB73*(1+MV)</f>
        <v>2942.532258737398</v>
      </c>
      <c r="BD73" s="2">
        <f t="shared" ref="BD73" si="78">+BC73*(1+MV)</f>
        <v>2883.68161356265</v>
      </c>
      <c r="BE73" s="2">
        <f t="shared" ref="BE73" si="79">+BD73*(1+MV)</f>
        <v>2826.0079812913968</v>
      </c>
      <c r="BF73" s="2">
        <f t="shared" ref="BF73" si="80">+BE73*(1+MV)</f>
        <v>2769.4878216655688</v>
      </c>
      <c r="BG73" s="2">
        <f t="shared" ref="BG73" si="81">+BF73*(1+MV)</f>
        <v>2714.0980652322573</v>
      </c>
      <c r="BH73" s="2">
        <f t="shared" ref="BH73" si="82">+BG73*(1+MV)</f>
        <v>2659.8161039276119</v>
      </c>
      <c r="BI73" s="2">
        <f t="shared" ref="BI73" si="83">+BH73*(1+MV)</f>
        <v>2606.6197818490596</v>
      </c>
      <c r="BJ73" s="2">
        <f t="shared" ref="BJ73" si="84">+BI73*(1+MV)</f>
        <v>2554.4873862120785</v>
      </c>
      <c r="BK73" s="2">
        <f t="shared" ref="BK73" si="85">+BJ73*(1+MV)</f>
        <v>2503.397638487837</v>
      </c>
      <c r="BL73" s="2">
        <f t="shared" ref="BL73" si="86">+BK73*(1+MV)</f>
        <v>2453.3296857180803</v>
      </c>
      <c r="BM73" s="2">
        <f t="shared" ref="BM73" si="87">+BL73*(1+MV)</f>
        <v>2404.2630920037186</v>
      </c>
      <c r="BN73" s="2">
        <f t="shared" ref="BN73" si="88">+BM73*(1+MV)</f>
        <v>2356.1778301636441</v>
      </c>
      <c r="BO73" s="2">
        <f t="shared" ref="BO73" si="89">+BN73*(1+MV)</f>
        <v>2309.0542735603713</v>
      </c>
      <c r="BP73" s="2">
        <f t="shared" ref="BP73" si="90">+BO73*(1+MV)</f>
        <v>2262.8731880891637</v>
      </c>
      <c r="BQ73" s="2">
        <f t="shared" ref="BQ73" si="91">+BP73*(1+MV)</f>
        <v>2217.6157243273806</v>
      </c>
      <c r="BR73" s="2">
        <f t="shared" ref="BR73" si="92">+BQ73*(1+MV)</f>
        <v>2173.263409840833</v>
      </c>
      <c r="BS73" s="2">
        <f t="shared" ref="BS73" si="93">+BR73*(1+MV)</f>
        <v>2129.7981416440161</v>
      </c>
      <c r="BT73" s="2">
        <f t="shared" ref="BT73" si="94">+BS73*(1+MV)</f>
        <v>2087.2021788111356</v>
      </c>
      <c r="BU73" s="2">
        <f t="shared" ref="BU73" si="95">+BT73*(1+MV)</f>
        <v>2045.4581352349128</v>
      </c>
      <c r="BV73" s="2">
        <f t="shared" ref="BV73" si="96">+BU73*(1+MV)</f>
        <v>2004.5489725302145</v>
      </c>
      <c r="BW73" s="2">
        <f t="shared" ref="BW73" si="97">+BV73*(1+MV)</f>
        <v>1964.4579930796101</v>
      </c>
      <c r="BX73" s="2">
        <f t="shared" ref="BX73" si="98">+BW73*(1+MV)</f>
        <v>1925.1688332180179</v>
      </c>
      <c r="BY73" s="2">
        <f t="shared" ref="BY73" si="99">+BX73*(1+MV)</f>
        <v>1886.6654565536576</v>
      </c>
      <c r="BZ73" s="2">
        <f t="shared" ref="BZ73" si="100">+BY73*(1+MV)</f>
        <v>1848.9321474225844</v>
      </c>
      <c r="CA73" s="2">
        <f t="shared" ref="CA73" si="101">+BZ73*(1+MV)</f>
        <v>1811.9535044741326</v>
      </c>
      <c r="CB73" s="2">
        <f t="shared" ref="CB73" si="102">+CA73*(1+MV)</f>
        <v>1775.7144343846498</v>
      </c>
      <c r="CC73" s="2">
        <f t="shared" ref="CC73" si="103">+CB73*(1+MV)</f>
        <v>1740.2001456969567</v>
      </c>
      <c r="CD73" s="2">
        <f t="shared" ref="CD73" si="104">+CC73*(1+MV)</f>
        <v>1705.3961427830175</v>
      </c>
      <c r="CE73" s="2">
        <f t="shared" ref="CE73" si="105">+CD73*(1+MV)</f>
        <v>1671.288219927357</v>
      </c>
      <c r="CF73" s="2">
        <f t="shared" ref="CF73" si="106">+CE73*(1+MV)</f>
        <v>1637.8624555288097</v>
      </c>
    </row>
    <row r="74" spans="2:84" s="1" customFormat="1" x14ac:dyDescent="0.25">
      <c r="B74" s="1" t="s">
        <v>38</v>
      </c>
      <c r="F74" s="1">
        <f t="shared" ref="F74:P74" si="107">+F73/F60</f>
        <v>0.60791117279666895</v>
      </c>
      <c r="G74" s="1">
        <f t="shared" si="107"/>
        <v>0.48487264673311187</v>
      </c>
      <c r="H74" s="1">
        <f t="shared" si="107"/>
        <v>0.5</v>
      </c>
      <c r="I74" s="1">
        <f>+I73/I60</f>
        <v>0.65005525972068723</v>
      </c>
      <c r="J74" s="1">
        <f t="shared" si="107"/>
        <v>0.64198310810356185</v>
      </c>
      <c r="K74" s="1">
        <f t="shared" si="107"/>
        <v>0.65139886867255148</v>
      </c>
      <c r="L74" s="1">
        <f t="shared" si="107"/>
        <v>0.68577513846753368</v>
      </c>
      <c r="M74" s="1">
        <f t="shared" si="107"/>
        <v>0.69098316040053442</v>
      </c>
      <c r="N74" s="1">
        <f t="shared" si="107"/>
        <v>0.6918230046368139</v>
      </c>
      <c r="O74" s="1">
        <f t="shared" si="107"/>
        <v>0.6929295831756499</v>
      </c>
      <c r="P74" s="1">
        <f t="shared" si="107"/>
        <v>0.69395816492976603</v>
      </c>
    </row>
    <row r="75" spans="2:84" s="2" customFormat="1" x14ac:dyDescent="0.25"/>
    <row r="76" spans="2:84" s="2" customFormat="1" x14ac:dyDescent="0.25">
      <c r="B76" s="2" t="s">
        <v>59</v>
      </c>
      <c r="H76" s="2">
        <f>5200+4200</f>
        <v>9400</v>
      </c>
    </row>
    <row r="77" spans="2:84" s="2" customFormat="1" x14ac:dyDescent="0.25">
      <c r="B77" s="2" t="s">
        <v>60</v>
      </c>
      <c r="H77" s="7">
        <f>+H56/H76</f>
        <v>3.5638297872340428E-2</v>
      </c>
    </row>
    <row r="78" spans="2:84" s="2" customFormat="1" x14ac:dyDescent="0.25"/>
    <row r="79" spans="2:84" s="2" customFormat="1" x14ac:dyDescent="0.25">
      <c r="B79" s="2" t="s">
        <v>65</v>
      </c>
      <c r="H79" s="2">
        <v>6775</v>
      </c>
      <c r="I79" s="2">
        <v>9673</v>
      </c>
    </row>
    <row r="80" spans="2:84" s="2" customFormat="1" x14ac:dyDescent="0.25">
      <c r="B80" s="2" t="s">
        <v>63</v>
      </c>
      <c r="H80" s="2">
        <f>2160+406</f>
        <v>2566</v>
      </c>
      <c r="I80" s="2">
        <f>1118+481</f>
        <v>1599</v>
      </c>
    </row>
    <row r="81" spans="2:9" s="2" customFormat="1" x14ac:dyDescent="0.25">
      <c r="B81" s="2" t="s">
        <v>62</v>
      </c>
      <c r="H81" s="2">
        <v>6213</v>
      </c>
      <c r="I81" s="2">
        <v>6659</v>
      </c>
    </row>
    <row r="82" spans="2:9" s="2" customFormat="1" x14ac:dyDescent="0.25">
      <c r="B82" s="2" t="s">
        <v>61</v>
      </c>
      <c r="H82" s="2">
        <v>3298</v>
      </c>
      <c r="I82" s="2">
        <v>4407</v>
      </c>
    </row>
    <row r="83" spans="2:9" s="2" customFormat="1" x14ac:dyDescent="0.25">
      <c r="B83" s="2" t="s">
        <v>64</v>
      </c>
      <c r="H83" s="2">
        <v>64734</v>
      </c>
      <c r="I83" s="2">
        <v>66468</v>
      </c>
    </row>
    <row r="84" spans="2:9" s="2" customFormat="1" x14ac:dyDescent="0.25"/>
    <row r="85" spans="2:9" s="2" customFormat="1" x14ac:dyDescent="0.25">
      <c r="B85" s="2" t="s">
        <v>59</v>
      </c>
      <c r="H85" s="2">
        <f>923+10148</f>
        <v>11071</v>
      </c>
      <c r="I85" s="2">
        <f>924+12177</f>
        <v>13101</v>
      </c>
    </row>
    <row r="86" spans="2:9" s="2" customFormat="1" x14ac:dyDescent="0.25">
      <c r="B86" s="2" t="s">
        <v>66</v>
      </c>
      <c r="H86" s="2">
        <f>1305+353</f>
        <v>1658</v>
      </c>
      <c r="I86" s="2">
        <f>361+1197</f>
        <v>1558</v>
      </c>
    </row>
    <row r="87" spans="2:9" s="2" customFormat="1" x14ac:dyDescent="0.25">
      <c r="B87" s="2" t="s">
        <v>69</v>
      </c>
      <c r="H87" s="2">
        <f>1142+14617</f>
        <v>15759</v>
      </c>
      <c r="I87" s="2">
        <f>15627+1523</f>
        <v>17150</v>
      </c>
    </row>
    <row r="88" spans="2:9" s="2" customFormat="1" x14ac:dyDescent="0.25">
      <c r="B88" s="2" t="s">
        <v>67</v>
      </c>
      <c r="H88" s="2">
        <f>69+904</f>
        <v>973</v>
      </c>
      <c r="I88" s="2">
        <f>273+513</f>
        <v>786</v>
      </c>
    </row>
    <row r="89" spans="2:9" s="2" customFormat="1" x14ac:dyDescent="0.25"/>
    <row r="90" spans="2:9" s="2" customFormat="1" x14ac:dyDescent="0.25">
      <c r="B90" s="2" t="s">
        <v>68</v>
      </c>
      <c r="H90" s="2">
        <f>+SUM(H79:H83)-SUM(H85:H88)</f>
        <v>54125</v>
      </c>
      <c r="I90" s="2">
        <f>+SUM(I79:I83)-SUM(I85:I88)</f>
        <v>56211</v>
      </c>
    </row>
    <row r="91" spans="2:9" s="2" customFormat="1" x14ac:dyDescent="0.25"/>
    <row r="92" spans="2:9" s="2" customFormat="1" x14ac:dyDescent="0.25"/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Model</vt:lpstr>
      <vt:lpstr>Current</vt:lpstr>
      <vt:lpstr>Div</vt:lpstr>
      <vt:lpstr>MV</vt:lpstr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2022-03-12T01:39:59Z</dcterms:created>
  <dcterms:modified xsi:type="dcterms:W3CDTF">2024-09-11T12:46:53Z</dcterms:modified>
</cp:coreProperties>
</file>