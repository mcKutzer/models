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AE144EB5-DE34-48D5-ADF5-2A338E5ACDA4}" xr6:coauthVersionLast="47" xr6:coauthVersionMax="47" xr10:uidLastSave="{00000000-0000-0000-0000-000000000000}"/>
  <bookViews>
    <workbookView xWindow="-120" yWindow="-120" windowWidth="29040" windowHeight="15840" activeTab="1" xr2:uid="{E38D2B8A-8489-4974-BFCD-9695507DCC1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9" i="1" l="1"/>
  <c r="D6" i="2" l="1"/>
  <c r="D5" i="2"/>
  <c r="D7" i="2" s="1"/>
  <c r="D9" i="2" s="1"/>
  <c r="D10" i="2" s="1"/>
  <c r="T56" i="1"/>
  <c r="T52" i="1"/>
  <c r="R58" i="1"/>
  <c r="S58" i="1" s="1"/>
  <c r="F58" i="1"/>
  <c r="G58" i="1"/>
  <c r="I58" i="1"/>
  <c r="J58" i="1"/>
  <c r="K58" i="1"/>
  <c r="L58" i="1"/>
  <c r="M58" i="1"/>
  <c r="N58" i="1"/>
  <c r="O58" i="1"/>
  <c r="P58" i="1"/>
  <c r="Q58" i="1"/>
  <c r="H56" i="1"/>
  <c r="H58" i="1"/>
  <c r="I47" i="1"/>
  <c r="J47" i="1"/>
  <c r="K47" i="1"/>
  <c r="L47" i="1"/>
  <c r="M47" i="1"/>
  <c r="N47" i="1"/>
  <c r="O47" i="1"/>
  <c r="P47" i="1"/>
  <c r="Q47" i="1"/>
  <c r="H47" i="1"/>
  <c r="I39" i="1"/>
  <c r="J39" i="1" s="1"/>
  <c r="K39" i="1" s="1"/>
  <c r="L39" i="1" s="1"/>
  <c r="M39" i="1" s="1"/>
  <c r="N39" i="1" s="1"/>
  <c r="O39" i="1" s="1"/>
  <c r="P39" i="1" s="1"/>
  <c r="Q39" i="1" s="1"/>
  <c r="H39" i="1"/>
  <c r="I40" i="1"/>
  <c r="J40" i="1"/>
  <c r="K40" i="1"/>
  <c r="L40" i="1"/>
  <c r="M40" i="1"/>
  <c r="N40" i="1"/>
  <c r="O40" i="1"/>
  <c r="P40" i="1"/>
  <c r="Q40" i="1"/>
  <c r="H40" i="1"/>
  <c r="K57" i="1"/>
  <c r="L57" i="1"/>
  <c r="L60" i="1" s="1"/>
  <c r="F60" i="1"/>
  <c r="G60" i="1"/>
  <c r="H60" i="1"/>
  <c r="I60" i="1"/>
  <c r="J60" i="1"/>
  <c r="K60" i="1"/>
  <c r="E60" i="1"/>
  <c r="G54" i="1"/>
  <c r="F54" i="1"/>
  <c r="F53" i="1"/>
  <c r="E52" i="1"/>
  <c r="H20" i="1"/>
  <c r="I20" i="1" s="1"/>
  <c r="H18" i="1"/>
  <c r="H10" i="1" s="1"/>
  <c r="H12" i="1" s="1"/>
  <c r="H19" i="1"/>
  <c r="I19" i="1" s="1"/>
  <c r="J19" i="1" s="1"/>
  <c r="E23" i="1"/>
  <c r="E22" i="1"/>
  <c r="E21" i="1"/>
  <c r="F23" i="1"/>
  <c r="F22" i="1"/>
  <c r="F21" i="1"/>
  <c r="G23" i="1"/>
  <c r="G22" i="1"/>
  <c r="G21" i="1"/>
  <c r="G13" i="1"/>
  <c r="J9" i="1"/>
  <c r="K9" i="1" s="1"/>
  <c r="L9" i="1" s="1"/>
  <c r="M9" i="1" s="1"/>
  <c r="N9" i="1" s="1"/>
  <c r="O9" i="1" s="1"/>
  <c r="P9" i="1" s="1"/>
  <c r="Q9" i="1" s="1"/>
  <c r="H9" i="1"/>
  <c r="D10" i="1"/>
  <c r="E10" i="1"/>
  <c r="E2" i="1"/>
  <c r="G12" i="1"/>
  <c r="F26" i="1"/>
  <c r="G26" i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G27" i="1"/>
  <c r="H27" i="1" s="1"/>
  <c r="I27" i="1" s="1"/>
  <c r="G28" i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F27" i="1"/>
  <c r="F28" i="1"/>
  <c r="G32" i="1"/>
  <c r="G33" i="1" s="1"/>
  <c r="G36" i="1" s="1"/>
  <c r="G42" i="1" s="1"/>
  <c r="G46" i="1" s="1"/>
  <c r="F32" i="1"/>
  <c r="F33" i="1" s="1"/>
  <c r="F36" i="1" s="1"/>
  <c r="F42" i="1" s="1"/>
  <c r="F46" i="1" s="1"/>
  <c r="G2" i="1"/>
  <c r="H2" i="1" s="1"/>
  <c r="I2" i="1" s="1"/>
  <c r="J2" i="1" s="1"/>
  <c r="K2" i="1" s="1"/>
  <c r="L2" i="1" s="1"/>
  <c r="M2" i="1" s="1"/>
  <c r="N2" i="1" s="1"/>
  <c r="O2" i="1" s="1"/>
  <c r="P2" i="1" s="1"/>
  <c r="Q2" i="1" s="1"/>
  <c r="T58" i="1" l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DC58" i="1" s="1"/>
  <c r="DD58" i="1" s="1"/>
  <c r="DE58" i="1" s="1"/>
  <c r="DF58" i="1" s="1"/>
  <c r="DG58" i="1" s="1"/>
  <c r="DH58" i="1" s="1"/>
  <c r="DI58" i="1" s="1"/>
  <c r="DJ58" i="1" s="1"/>
  <c r="DK58" i="1" s="1"/>
  <c r="DL58" i="1" s="1"/>
  <c r="DM58" i="1" s="1"/>
  <c r="DN58" i="1" s="1"/>
  <c r="DO58" i="1" s="1"/>
  <c r="DP58" i="1" s="1"/>
  <c r="DQ58" i="1" s="1"/>
  <c r="DR58" i="1" s="1"/>
  <c r="DS58" i="1" s="1"/>
  <c r="DT58" i="1" s="1"/>
  <c r="DU58" i="1" s="1"/>
  <c r="DV58" i="1" s="1"/>
  <c r="DW58" i="1" s="1"/>
  <c r="DX58" i="1" s="1"/>
  <c r="DY58" i="1" s="1"/>
  <c r="DZ58" i="1" s="1"/>
  <c r="EA58" i="1" s="1"/>
  <c r="EB58" i="1" s="1"/>
  <c r="EC58" i="1" s="1"/>
  <c r="ED58" i="1" s="1"/>
  <c r="M57" i="1"/>
  <c r="G53" i="1"/>
  <c r="H53" i="1" s="1"/>
  <c r="I53" i="1" s="1"/>
  <c r="J53" i="1" s="1"/>
  <c r="K53" i="1" s="1"/>
  <c r="L53" i="1" s="1"/>
  <c r="M53" i="1" s="1"/>
  <c r="N53" i="1" s="1"/>
  <c r="O53" i="1" s="1"/>
  <c r="G52" i="1"/>
  <c r="F52" i="1"/>
  <c r="H6" i="1"/>
  <c r="K19" i="1"/>
  <c r="J27" i="1"/>
  <c r="K27" i="1" s="1"/>
  <c r="L27" i="1" s="1"/>
  <c r="M27" i="1" s="1"/>
  <c r="N27" i="1" s="1"/>
  <c r="O27" i="1" s="1"/>
  <c r="P27" i="1" s="1"/>
  <c r="Q27" i="1" s="1"/>
  <c r="I6" i="1"/>
  <c r="H7" i="1"/>
  <c r="I7" i="1"/>
  <c r="J20" i="1"/>
  <c r="H5" i="1"/>
  <c r="H36" i="1" s="1"/>
  <c r="H37" i="1" s="1"/>
  <c r="H38" i="1" s="1"/>
  <c r="I18" i="1"/>
  <c r="H13" i="1"/>
  <c r="E12" i="1"/>
  <c r="F12" i="1"/>
  <c r="G50" i="1"/>
  <c r="F56" i="1"/>
  <c r="G51" i="1"/>
  <c r="F50" i="1"/>
  <c r="F51" i="1"/>
  <c r="G56" i="1"/>
  <c r="G48" i="1"/>
  <c r="F48" i="1"/>
  <c r="T51" i="1" l="1"/>
  <c r="T53" i="1" s="1"/>
  <c r="T55" i="1" s="1"/>
  <c r="N57" i="1"/>
  <c r="M60" i="1"/>
  <c r="H42" i="1"/>
  <c r="H52" i="1"/>
  <c r="J6" i="1"/>
  <c r="L19" i="1"/>
  <c r="K6" i="1"/>
  <c r="J18" i="1"/>
  <c r="I10" i="1"/>
  <c r="I5" i="1"/>
  <c r="I36" i="1" s="1"/>
  <c r="I37" i="1" s="1"/>
  <c r="I38" i="1" s="1"/>
  <c r="K20" i="1"/>
  <c r="J7" i="1"/>
  <c r="I12" i="1"/>
  <c r="I13" i="1"/>
  <c r="O57" i="1" l="1"/>
  <c r="N60" i="1"/>
  <c r="H46" i="1"/>
  <c r="H48" i="1" s="1"/>
  <c r="H51" i="1"/>
  <c r="I42" i="1"/>
  <c r="I52" i="1"/>
  <c r="K18" i="1"/>
  <c r="J10" i="1"/>
  <c r="J5" i="1"/>
  <c r="J36" i="1" s="1"/>
  <c r="J37" i="1" s="1"/>
  <c r="J38" i="1" s="1"/>
  <c r="L20" i="1"/>
  <c r="K7" i="1"/>
  <c r="M19" i="1"/>
  <c r="L6" i="1"/>
  <c r="J13" i="1"/>
  <c r="J12" i="1"/>
  <c r="P57" i="1" l="1"/>
  <c r="O60" i="1"/>
  <c r="I46" i="1"/>
  <c r="I48" i="1" s="1"/>
  <c r="I51" i="1"/>
  <c r="I56" i="1"/>
  <c r="J42" i="1"/>
  <c r="J52" i="1"/>
  <c r="M20" i="1"/>
  <c r="L7" i="1"/>
  <c r="N19" i="1"/>
  <c r="M6" i="1"/>
  <c r="L18" i="1"/>
  <c r="K5" i="1"/>
  <c r="K36" i="1" s="1"/>
  <c r="K37" i="1" s="1"/>
  <c r="K38" i="1" s="1"/>
  <c r="K10" i="1"/>
  <c r="K12" i="1" s="1"/>
  <c r="Q57" i="1" l="1"/>
  <c r="Q60" i="1" s="1"/>
  <c r="P60" i="1"/>
  <c r="J46" i="1"/>
  <c r="J48" i="1" s="1"/>
  <c r="J51" i="1"/>
  <c r="J56" i="1"/>
  <c r="K42" i="1"/>
  <c r="K52" i="1"/>
  <c r="K13" i="1"/>
  <c r="M18" i="1"/>
  <c r="L10" i="1"/>
  <c r="L5" i="1"/>
  <c r="L36" i="1" s="1"/>
  <c r="L37" i="1" s="1"/>
  <c r="L38" i="1" s="1"/>
  <c r="N6" i="1"/>
  <c r="O19" i="1"/>
  <c r="N20" i="1"/>
  <c r="M7" i="1"/>
  <c r="L12" i="1"/>
  <c r="L13" i="1"/>
  <c r="K46" i="1" l="1"/>
  <c r="K48" i="1" s="1"/>
  <c r="K51" i="1"/>
  <c r="K56" i="1"/>
  <c r="L42" i="1"/>
  <c r="L52" i="1"/>
  <c r="P19" i="1"/>
  <c r="O6" i="1"/>
  <c r="O20" i="1"/>
  <c r="N7" i="1"/>
  <c r="N18" i="1"/>
  <c r="M5" i="1"/>
  <c r="M36" i="1" s="1"/>
  <c r="M37" i="1" s="1"/>
  <c r="M38" i="1" s="1"/>
  <c r="M10" i="1"/>
  <c r="M12" i="1" s="1"/>
  <c r="L46" i="1" l="1"/>
  <c r="L48" i="1" s="1"/>
  <c r="L51" i="1"/>
  <c r="L56" i="1"/>
  <c r="M13" i="1"/>
  <c r="M42" i="1"/>
  <c r="M52" i="1"/>
  <c r="P20" i="1"/>
  <c r="O7" i="1"/>
  <c r="O18" i="1"/>
  <c r="N10" i="1"/>
  <c r="N5" i="1"/>
  <c r="N36" i="1" s="1"/>
  <c r="N37" i="1" s="1"/>
  <c r="N38" i="1" s="1"/>
  <c r="P6" i="1"/>
  <c r="Q19" i="1"/>
  <c r="Q6" i="1" s="1"/>
  <c r="N12" i="1"/>
  <c r="N13" i="1"/>
  <c r="M46" i="1" l="1"/>
  <c r="M48" i="1" s="1"/>
  <c r="M51" i="1"/>
  <c r="M56" i="1"/>
  <c r="N42" i="1"/>
  <c r="N52" i="1"/>
  <c r="P18" i="1"/>
  <c r="O5" i="1"/>
  <c r="O36" i="1" s="1"/>
  <c r="O37" i="1" s="1"/>
  <c r="O38" i="1" s="1"/>
  <c r="O10" i="1"/>
  <c r="Q20" i="1"/>
  <c r="Q7" i="1" s="1"/>
  <c r="P7" i="1"/>
  <c r="O12" i="1"/>
  <c r="O13" i="1"/>
  <c r="N46" i="1" l="1"/>
  <c r="N48" i="1" s="1"/>
  <c r="N56" i="1"/>
  <c r="N51" i="1"/>
  <c r="O42" i="1"/>
  <c r="O52" i="1"/>
  <c r="Q18" i="1"/>
  <c r="P10" i="1"/>
  <c r="P5" i="1"/>
  <c r="P36" i="1" s="1"/>
  <c r="P37" i="1" s="1"/>
  <c r="P38" i="1" s="1"/>
  <c r="P12" i="1"/>
  <c r="P13" i="1"/>
  <c r="O46" i="1" l="1"/>
  <c r="O48" i="1" s="1"/>
  <c r="O56" i="1"/>
  <c r="O51" i="1"/>
  <c r="P42" i="1"/>
  <c r="P52" i="1"/>
  <c r="Q10" i="1"/>
  <c r="Q5" i="1"/>
  <c r="Q36" i="1" s="1"/>
  <c r="Q37" i="1" s="1"/>
  <c r="Q38" i="1" s="1"/>
  <c r="Q12" i="1"/>
  <c r="Q13" i="1"/>
  <c r="P46" i="1" l="1"/>
  <c r="P48" i="1" s="1"/>
  <c r="P56" i="1"/>
  <c r="P51" i="1"/>
  <c r="Q42" i="1"/>
  <c r="Q52" i="1"/>
  <c r="Q46" i="1" l="1"/>
  <c r="Q48" i="1" s="1"/>
  <c r="Q56" i="1"/>
  <c r="Q51" i="1"/>
</calcChain>
</file>

<file path=xl/sharedStrings.xml><?xml version="1.0" encoding="utf-8"?>
<sst xmlns="http://schemas.openxmlformats.org/spreadsheetml/2006/main" count="61" uniqueCount="52">
  <si>
    <t>Revenue</t>
  </si>
  <si>
    <t>COGS</t>
  </si>
  <si>
    <t>Gross Profit</t>
  </si>
  <si>
    <t>Interest Income</t>
  </si>
  <si>
    <t>Interest Expenses</t>
  </si>
  <si>
    <t>Net Revenue</t>
  </si>
  <si>
    <t>Staff Cost</t>
  </si>
  <si>
    <t>SS &amp; Pension</t>
  </si>
  <si>
    <t>D&amp;A</t>
  </si>
  <si>
    <t>Other expenses</t>
  </si>
  <si>
    <t>Other income</t>
  </si>
  <si>
    <t>Operating Income</t>
  </si>
  <si>
    <t>Finance Income</t>
  </si>
  <si>
    <t>Finance Expenses</t>
  </si>
  <si>
    <t>Pretax</t>
  </si>
  <si>
    <t>Taxes</t>
  </si>
  <si>
    <t>Net Income</t>
  </si>
  <si>
    <t>Other Finance, net</t>
  </si>
  <si>
    <t>Digital</t>
  </si>
  <si>
    <t>Unified Commerce</t>
  </si>
  <si>
    <t>Platforms</t>
  </si>
  <si>
    <t>€</t>
  </si>
  <si>
    <t>Processed Volume</t>
  </si>
  <si>
    <t>POS Volume</t>
  </si>
  <si>
    <t>Transaction # (bn)</t>
  </si>
  <si>
    <t>Volume:</t>
  </si>
  <si>
    <t>EBITDA</t>
  </si>
  <si>
    <t>CapEx</t>
  </si>
  <si>
    <t>FCFF</t>
  </si>
  <si>
    <t>Gross Margin</t>
  </si>
  <si>
    <t>Operating Margin</t>
  </si>
  <si>
    <t>Unit Revenue:</t>
  </si>
  <si>
    <t>Revenue:</t>
  </si>
  <si>
    <t>bn</t>
  </si>
  <si>
    <t>Y/Y</t>
  </si>
  <si>
    <t>Global Volume</t>
  </si>
  <si>
    <t>Global Share</t>
  </si>
  <si>
    <t>Revenue Y/Y</t>
  </si>
  <si>
    <t>Staff Cost margin</t>
  </si>
  <si>
    <t>Other Exp. Margin</t>
  </si>
  <si>
    <t>CapEx Y/Y</t>
  </si>
  <si>
    <t>Discount</t>
  </si>
  <si>
    <t>Terminal</t>
  </si>
  <si>
    <t>NPV</t>
  </si>
  <si>
    <t>Net Cash</t>
  </si>
  <si>
    <t>Value</t>
  </si>
  <si>
    <t>Shares</t>
  </si>
  <si>
    <t>Price</t>
  </si>
  <si>
    <t>MV</t>
  </si>
  <si>
    <t>EV</t>
  </si>
  <si>
    <t>EV/FCFF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</si>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</sst>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€&quot;\ #,##0;[Red]\-&quot;€&quot;\ #,##0"/>
    <numFmt numFmtId="164" formatCode="0.0%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604157</xdr:colOff>
      <xdr:row>4</xdr:row>
      <xdr:rowOff>0</xdr:rowOff>
    </xdr:from>
    <xdr:to>
      <xdr:col>7</xdr:col>
      <xdr:colOff>10886</xdr:colOff>
      <xdr:row>58</xdr:row>
      <xdr:rowOff>10886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6926B8-14B8-3A63-B988-48AFE327FB74}"/>
            </a:ext>
          </a:extLst>
        </xdr:cNvPr>
        <xdr:cNvCxnSpPr/>
      </xdr:nvCxnSpPr>
      <xdr:spPr>
        <a:xfrm>
          <a:off x="4452257" y="762000"/>
          <a:ext cx="16329" cy="9154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21E2-5549-488E-BEA6-6B93D07B65FE}">
  <dimension ref="C2:G15"/>
  <sheetViews>
    <sheetView zoomScale="190" zoomScaleNormal="190" workbookViewId="0">
      <selection activeCell="I3" sqref="I3"/>
    </sheetView>
  </sheetViews>
  <sheetFormatPr defaultRowHeight="15" x14ac:dyDescent="0.25"/>
  <cols>
    <col min="4" max="4" width="10.28515625" bestFit="1" customWidth="1"/>
  </cols>
  <sheetData>
    <row r="2" spans="3:7" x14ac:dyDescent="0.25">
      <c r="D2" s="1"/>
      <c r="E2" s="1"/>
      <c r="F2" s="1"/>
      <c r="G2" s="1"/>
    </row>
    <row r="3" spans="3:7" x14ac:dyDescent="0.25">
      <c r="C3" t="s">
        <v>47</v>
      </c>
      <c r="D3" s="1">
        <v>918</v>
      </c>
      <c r="E3" s="1"/>
      <c r="F3" s="1"/>
      <c r="G3" s="1"/>
    </row>
    <row r="4" spans="3:7" x14ac:dyDescent="0.25">
      <c r="C4" t="s">
        <v>46</v>
      </c>
      <c r="D4" s="1">
        <v>31508.146000000001</v>
      </c>
      <c r="E4" s="1"/>
      <c r="F4" s="1"/>
      <c r="G4" s="1"/>
    </row>
    <row r="5" spans="3:7" x14ac:dyDescent="0.25">
      <c r="C5" t="s">
        <v>48</v>
      </c>
      <c r="D5" s="1">
        <f>+D3*D4</f>
        <v>28924478.028000001</v>
      </c>
      <c r="E5" s="1"/>
      <c r="F5" s="1"/>
      <c r="G5" s="1"/>
    </row>
    <row r="6" spans="3:7" x14ac:dyDescent="0.25">
      <c r="C6" t="s">
        <v>44</v>
      </c>
      <c r="D6" s="1">
        <f>+Sheet1!T52</f>
        <v>4987269</v>
      </c>
      <c r="E6" s="1"/>
      <c r="F6" s="1"/>
      <c r="G6" s="1"/>
    </row>
    <row r="7" spans="3:7" x14ac:dyDescent="0.25">
      <c r="C7" t="s">
        <v>49</v>
      </c>
      <c r="D7" s="1">
        <f>+D5+D6</f>
        <v>33911747.027999997</v>
      </c>
      <c r="E7" s="1"/>
      <c r="F7" s="1"/>
      <c r="G7" s="1"/>
    </row>
    <row r="8" spans="3:7" x14ac:dyDescent="0.25">
      <c r="D8" s="1"/>
      <c r="E8" s="1"/>
      <c r="F8" s="1"/>
      <c r="G8" s="1"/>
    </row>
    <row r="9" spans="3:7" x14ac:dyDescent="0.25">
      <c r="C9" t="s">
        <v>50</v>
      </c>
      <c r="D9" s="1">
        <f>+D7/Sheet1!H58</f>
        <v>37.844433626084303</v>
      </c>
      <c r="E9" s="1"/>
      <c r="F9" s="1"/>
      <c r="G9" s="1"/>
    </row>
    <row r="10" spans="3:7" x14ac:dyDescent="0.25">
      <c r="C10" t="s">
        <v>51</v>
      </c>
      <c r="D10" s="5">
        <f>1/D9</f>
        <v>2.6423965275325173E-2</v>
      </c>
      <c r="E10" s="1"/>
      <c r="F10" s="1"/>
      <c r="G10" s="1"/>
    </row>
    <row r="11" spans="3:7" x14ac:dyDescent="0.25">
      <c r="D11" s="1"/>
      <c r="E11" s="1"/>
      <c r="F11" s="1"/>
      <c r="G11" s="1"/>
    </row>
    <row r="12" spans="3:7" x14ac:dyDescent="0.25">
      <c r="D12" s="1"/>
      <c r="E12" s="1"/>
      <c r="F12" s="1"/>
      <c r="G12" s="1"/>
    </row>
    <row r="13" spans="3:7" x14ac:dyDescent="0.25">
      <c r="D13" s="1"/>
      <c r="E13" s="1"/>
      <c r="F13" s="1"/>
      <c r="G13" s="1"/>
    </row>
    <row r="14" spans="3:7" x14ac:dyDescent="0.25">
      <c r="D14" s="1"/>
      <c r="E14" s="1"/>
      <c r="F14" s="1"/>
      <c r="G14" s="1"/>
    </row>
    <row r="15" spans="3:7" x14ac:dyDescent="0.25">
      <c r="D15" s="1"/>
      <c r="E15" s="1"/>
      <c r="F15" s="1"/>
      <c r="G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8427-D7EE-453A-8939-495E8ED145F0}">
  <dimension ref="A1:ED109"/>
  <sheetViews>
    <sheetView tabSelected="1" zoomScale="175" zoomScaleNormal="175" workbookViewId="0">
      <pane xSplit="2" ySplit="2" topLeftCell="I44" activePane="bottomRight" state="frozen"/>
      <selection pane="topRight" activeCell="C1" sqref="C1"/>
      <selection pane="bottomLeft" activeCell="A3" sqref="A3"/>
      <selection pane="bottomRight" activeCell="Q49" sqref="Q49"/>
    </sheetView>
  </sheetViews>
  <sheetFormatPr defaultRowHeight="15" x14ac:dyDescent="0.25"/>
  <cols>
    <col min="1" max="1" width="3.28515625" bestFit="1" customWidth="1"/>
    <col min="2" max="2" width="17.85546875" bestFit="1" customWidth="1"/>
    <col min="20" max="20" width="12" bestFit="1" customWidth="1"/>
  </cols>
  <sheetData>
    <row r="1" spans="1:17" x14ac:dyDescent="0.25">
      <c r="A1" t="s">
        <v>21</v>
      </c>
    </row>
    <row r="2" spans="1:17" x14ac:dyDescent="0.25">
      <c r="D2">
        <v>2022</v>
      </c>
      <c r="E2">
        <f>+D2+1</f>
        <v>2023</v>
      </c>
      <c r="F2">
        <v>2024</v>
      </c>
      <c r="G2">
        <f>+F2+1</f>
        <v>2025</v>
      </c>
      <c r="H2">
        <f t="shared" ref="H2:Q2" si="0">+G2+1</f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1:17" s="1" customFormat="1" x14ac:dyDescent="0.25"/>
    <row r="4" spans="1:17" s="1" customFormat="1" x14ac:dyDescent="0.25">
      <c r="B4" s="2" t="s">
        <v>32</v>
      </c>
    </row>
    <row r="5" spans="1:17" s="1" customFormat="1" x14ac:dyDescent="0.25">
      <c r="B5" s="1" t="s">
        <v>18</v>
      </c>
      <c r="F5" s="1">
        <v>1229547</v>
      </c>
      <c r="G5" s="1">
        <v>1334919</v>
      </c>
      <c r="H5" s="1">
        <f>+H18*H26</f>
        <v>1443714.8985000001</v>
      </c>
      <c r="I5" s="1">
        <f t="shared" ref="I5:Q5" si="1">+I18*I26</f>
        <v>1561377.6627277501</v>
      </c>
      <c r="J5" s="1">
        <f t="shared" si="1"/>
        <v>1688629.9422400619</v>
      </c>
      <c r="K5" s="1">
        <f t="shared" si="1"/>
        <v>1826253.2825326272</v>
      </c>
      <c r="L5" s="1">
        <f t="shared" si="1"/>
        <v>1975092.9250590364</v>
      </c>
      <c r="M5" s="1">
        <f t="shared" si="1"/>
        <v>2136062.9984513479</v>
      </c>
      <c r="N5" s="1">
        <f t="shared" si="1"/>
        <v>2310152.1328251329</v>
      </c>
      <c r="O5" s="1">
        <f t="shared" si="1"/>
        <v>2498429.5316503816</v>
      </c>
      <c r="P5" s="1">
        <f t="shared" si="1"/>
        <v>2702051.5384798874</v>
      </c>
      <c r="Q5" s="1">
        <f t="shared" si="1"/>
        <v>2922268.738865999</v>
      </c>
    </row>
    <row r="6" spans="1:17" s="1" customFormat="1" x14ac:dyDescent="0.25">
      <c r="B6" s="1" t="s">
        <v>19</v>
      </c>
      <c r="F6" s="1">
        <v>590474</v>
      </c>
      <c r="G6" s="1">
        <v>765436</v>
      </c>
      <c r="H6" s="1">
        <f t="shared" ref="H6:Q7" si="2">+H19*H27</f>
        <v>810474.25424000015</v>
      </c>
      <c r="I6" s="1">
        <f t="shared" si="2"/>
        <v>1043485.6023340001</v>
      </c>
      <c r="J6" s="1">
        <f t="shared" si="2"/>
        <v>1321991.9095969447</v>
      </c>
      <c r="K6" s="1">
        <f t="shared" si="2"/>
        <v>1633982.0002618236</v>
      </c>
      <c r="L6" s="1">
        <f t="shared" si="2"/>
        <v>1935451.6793101302</v>
      </c>
      <c r="M6" s="1">
        <f t="shared" si="2"/>
        <v>2232737.0572521663</v>
      </c>
      <c r="N6" s="1">
        <f t="shared" si="2"/>
        <v>2483696.7024873104</v>
      </c>
      <c r="O6" s="1">
        <f t="shared" si="2"/>
        <v>2762864.2118468843</v>
      </c>
      <c r="P6" s="1">
        <f t="shared" si="2"/>
        <v>3073410.1492584744</v>
      </c>
      <c r="Q6" s="1">
        <f t="shared" si="2"/>
        <v>3418861.4500351273</v>
      </c>
    </row>
    <row r="7" spans="1:17" s="1" customFormat="1" x14ac:dyDescent="0.25">
      <c r="B7" s="1" t="s">
        <v>20</v>
      </c>
      <c r="F7" s="1">
        <v>176053</v>
      </c>
      <c r="G7" s="1">
        <v>263836</v>
      </c>
      <c r="H7" s="1">
        <f t="shared" si="2"/>
        <v>312513.74199999997</v>
      </c>
      <c r="I7" s="1">
        <f t="shared" si="2"/>
        <v>360515.85277120001</v>
      </c>
      <c r="J7" s="1">
        <f t="shared" si="2"/>
        <v>401037.834622683</v>
      </c>
      <c r="K7" s="1">
        <f t="shared" si="2"/>
        <v>446114.48723427264</v>
      </c>
      <c r="L7" s="1">
        <f t="shared" si="2"/>
        <v>496257.75559940492</v>
      </c>
      <c r="M7" s="1">
        <f t="shared" si="2"/>
        <v>552037.12732877804</v>
      </c>
      <c r="N7" s="1">
        <f t="shared" si="2"/>
        <v>614086.10044053278</v>
      </c>
      <c r="O7" s="1">
        <f t="shared" si="2"/>
        <v>683109.37813004875</v>
      </c>
      <c r="P7" s="1">
        <f t="shared" si="2"/>
        <v>759890.87223186623</v>
      </c>
      <c r="Q7" s="1">
        <f t="shared" si="2"/>
        <v>845302.60627072817</v>
      </c>
    </row>
    <row r="8" spans="1:17" s="1" customFormat="1" x14ac:dyDescent="0.25">
      <c r="H8" s="6"/>
      <c r="I8" s="6"/>
    </row>
    <row r="9" spans="1:17" s="1" customFormat="1" x14ac:dyDescent="0.25">
      <c r="B9" s="1" t="s">
        <v>35</v>
      </c>
      <c r="G9" s="1">
        <v>6860</v>
      </c>
      <c r="H9" s="1">
        <f>+G9+(I9-G9)/2</f>
        <v>7375</v>
      </c>
      <c r="I9" s="1">
        <v>7890</v>
      </c>
      <c r="J9" s="1">
        <f>+I9*1.06</f>
        <v>8363.4</v>
      </c>
      <c r="K9" s="1">
        <f>+J9*1.05</f>
        <v>8781.57</v>
      </c>
      <c r="L9" s="1">
        <f>+K9*1.04</f>
        <v>9132.8328000000001</v>
      </c>
      <c r="M9" s="1">
        <f t="shared" ref="M9:Q9" si="3">+L9*1.04</f>
        <v>9498.1461120000004</v>
      </c>
      <c r="N9" s="1">
        <f t="shared" si="3"/>
        <v>9878.0719564800002</v>
      </c>
      <c r="O9" s="1">
        <f t="shared" si="3"/>
        <v>10273.194834739201</v>
      </c>
      <c r="P9" s="1">
        <f t="shared" si="3"/>
        <v>10684.122628128769</v>
      </c>
      <c r="Q9" s="1">
        <f t="shared" si="3"/>
        <v>11111.48753325392</v>
      </c>
    </row>
    <row r="10" spans="1:17" s="1" customFormat="1" x14ac:dyDescent="0.25">
      <c r="A10" s="1" t="s">
        <v>33</v>
      </c>
      <c r="B10" s="1" t="s">
        <v>22</v>
      </c>
      <c r="D10" s="1">
        <f>+D19+D18+D20</f>
        <v>767.49999999999989</v>
      </c>
      <c r="E10" s="1">
        <f>+E19+E18+E20</f>
        <v>970.1</v>
      </c>
      <c r="F10" s="1">
        <v>1285.9000000000001</v>
      </c>
      <c r="G10" s="1">
        <v>1394.3</v>
      </c>
      <c r="H10" s="1">
        <f>+SUM(H18:H20)</f>
        <v>1475.047</v>
      </c>
      <c r="I10" s="1">
        <f t="shared" ref="I10:Q10" si="4">+SUM(I18:I20)</f>
        <v>1656.356</v>
      </c>
      <c r="J10" s="1">
        <f t="shared" si="4"/>
        <v>1849.3491900000004</v>
      </c>
      <c r="K10" s="1">
        <f t="shared" si="4"/>
        <v>2055.1895284500001</v>
      </c>
      <c r="L10" s="1">
        <f t="shared" si="4"/>
        <v>2251.0835754885002</v>
      </c>
      <c r="M10" s="1">
        <f t="shared" si="4"/>
        <v>2441.1952673032056</v>
      </c>
      <c r="N10" s="1">
        <f t="shared" si="4"/>
        <v>2606.571913414868</v>
      </c>
      <c r="O10" s="1">
        <f t="shared" si="4"/>
        <v>2783.6827424518342</v>
      </c>
      <c r="P10" s="1">
        <f t="shared" si="4"/>
        <v>2973.3916916099465</v>
      </c>
      <c r="Q10" s="1">
        <f t="shared" si="4"/>
        <v>3176.6280731888055</v>
      </c>
    </row>
    <row r="11" spans="1:17" s="1" customFormat="1" x14ac:dyDescent="0.25">
      <c r="B11" s="1" t="s">
        <v>23</v>
      </c>
      <c r="F11" s="1">
        <v>232.7</v>
      </c>
      <c r="G11" s="1">
        <v>310.89999999999998</v>
      </c>
    </row>
    <row r="12" spans="1:17" s="5" customFormat="1" x14ac:dyDescent="0.25">
      <c r="B12" s="5" t="s">
        <v>34</v>
      </c>
      <c r="E12" s="5">
        <f t="shared" ref="E12:F12" si="5">+E10/D10 -1</f>
        <v>0.26397394136807839</v>
      </c>
      <c r="F12" s="5">
        <f t="shared" si="5"/>
        <v>0.3255334501597773</v>
      </c>
      <c r="G12" s="5">
        <f>+G10/F10 -1</f>
        <v>8.4298934598335595E-2</v>
      </c>
      <c r="H12" s="5">
        <f t="shared" ref="H12:Q12" si="6">+H10/G10 -1</f>
        <v>5.7912214014200769E-2</v>
      </c>
      <c r="I12" s="5">
        <f t="shared" si="6"/>
        <v>0.12291743924091914</v>
      </c>
      <c r="J12" s="5">
        <f t="shared" si="6"/>
        <v>0.1165167331177599</v>
      </c>
      <c r="K12" s="5">
        <f t="shared" si="6"/>
        <v>0.11130420342628744</v>
      </c>
      <c r="L12" s="5">
        <f t="shared" si="6"/>
        <v>9.5316779463274548E-2</v>
      </c>
      <c r="M12" s="5">
        <f t="shared" si="6"/>
        <v>8.4453413407118871E-2</v>
      </c>
      <c r="N12" s="5">
        <f t="shared" si="6"/>
        <v>6.7744128594168007E-2</v>
      </c>
      <c r="O12" s="5">
        <f t="shared" si="6"/>
        <v>6.794780075909479E-2</v>
      </c>
      <c r="P12" s="5">
        <f t="shared" si="6"/>
        <v>6.8150348552658224E-2</v>
      </c>
      <c r="Q12" s="5">
        <f t="shared" si="6"/>
        <v>6.8351701577808788E-2</v>
      </c>
    </row>
    <row r="13" spans="1:17" s="5" customFormat="1" x14ac:dyDescent="0.25">
      <c r="B13" s="5" t="s">
        <v>36</v>
      </c>
      <c r="G13" s="5">
        <f>+G10/G9</f>
        <v>0.20325072886297377</v>
      </c>
      <c r="H13" s="5">
        <f t="shared" ref="H13:Q13" si="7">+H10/H9</f>
        <v>0.20000637288135595</v>
      </c>
      <c r="I13" s="5">
        <f t="shared" si="7"/>
        <v>0.20993105196451203</v>
      </c>
      <c r="J13" s="5">
        <f t="shared" si="7"/>
        <v>0.22112408709376574</v>
      </c>
      <c r="K13" s="5">
        <f t="shared" si="7"/>
        <v>0.23403440711057363</v>
      </c>
      <c r="L13" s="5">
        <f t="shared" si="7"/>
        <v>0.2464825125768754</v>
      </c>
      <c r="M13" s="5">
        <f t="shared" si="7"/>
        <v>0.25701807895111117</v>
      </c>
      <c r="N13" s="5">
        <f t="shared" si="7"/>
        <v>0.26387456225250117</v>
      </c>
      <c r="O13" s="5">
        <f t="shared" si="7"/>
        <v>0.27096563310944954</v>
      </c>
      <c r="P13" s="5">
        <f t="shared" si="7"/>
        <v>0.2783000340881252</v>
      </c>
      <c r="Q13" s="5">
        <f t="shared" si="7"/>
        <v>0.28588684131462572</v>
      </c>
    </row>
    <row r="14" spans="1:17" s="1" customFormat="1" x14ac:dyDescent="0.25"/>
    <row r="15" spans="1:17" s="1" customFormat="1" x14ac:dyDescent="0.25">
      <c r="B15" s="1" t="s">
        <v>24</v>
      </c>
      <c r="D15" s="1">
        <v>19</v>
      </c>
      <c r="E15" s="1">
        <v>23</v>
      </c>
      <c r="F15" s="1">
        <v>29.2</v>
      </c>
      <c r="G15" s="1">
        <v>34</v>
      </c>
    </row>
    <row r="16" spans="1:17" s="1" customFormat="1" x14ac:dyDescent="0.25"/>
    <row r="17" spans="2:17" s="1" customFormat="1" x14ac:dyDescent="0.25">
      <c r="B17" s="2" t="s">
        <v>25</v>
      </c>
    </row>
    <row r="18" spans="2:17" s="1" customFormat="1" x14ac:dyDescent="0.25">
      <c r="B18" s="1" t="s">
        <v>18</v>
      </c>
      <c r="D18" s="1">
        <v>471.4</v>
      </c>
      <c r="E18" s="1">
        <v>605.5</v>
      </c>
      <c r="F18" s="1">
        <v>783.4</v>
      </c>
      <c r="G18" s="1">
        <v>744.2</v>
      </c>
      <c r="H18" s="1">
        <f>+G18*1.05</f>
        <v>781.41000000000008</v>
      </c>
      <c r="I18" s="1">
        <f t="shared" ref="I18:Q18" si="8">+H18*1.05</f>
        <v>820.48050000000012</v>
      </c>
      <c r="J18" s="1">
        <f t="shared" si="8"/>
        <v>861.50452500000017</v>
      </c>
      <c r="K18" s="1">
        <f t="shared" si="8"/>
        <v>904.57975125000019</v>
      </c>
      <c r="L18" s="1">
        <f t="shared" si="8"/>
        <v>949.80873881250022</v>
      </c>
      <c r="M18" s="1">
        <f t="shared" si="8"/>
        <v>997.29917575312527</v>
      </c>
      <c r="N18" s="1">
        <f t="shared" si="8"/>
        <v>1047.1641345407816</v>
      </c>
      <c r="O18" s="1">
        <f t="shared" si="8"/>
        <v>1099.5223412678206</v>
      </c>
      <c r="P18" s="1">
        <f t="shared" si="8"/>
        <v>1154.4984583312116</v>
      </c>
      <c r="Q18" s="1">
        <f t="shared" si="8"/>
        <v>1212.2233812477723</v>
      </c>
    </row>
    <row r="19" spans="2:17" s="1" customFormat="1" x14ac:dyDescent="0.25">
      <c r="B19" s="1" t="s">
        <v>19</v>
      </c>
      <c r="D19" s="1">
        <v>196.2</v>
      </c>
      <c r="E19" s="1">
        <v>253.4</v>
      </c>
      <c r="F19" s="1">
        <v>334.8</v>
      </c>
      <c r="G19" s="1">
        <v>441.5</v>
      </c>
      <c r="H19" s="1">
        <f>+G19*1.028</f>
        <v>453.86200000000002</v>
      </c>
      <c r="I19" s="1">
        <f>+H19*1.25</f>
        <v>567.32749999999999</v>
      </c>
      <c r="J19" s="1">
        <f>+I19*1.23</f>
        <v>697.81282499999998</v>
      </c>
      <c r="K19" s="1">
        <f>+J19*1.2</f>
        <v>837.37538999999992</v>
      </c>
      <c r="L19" s="1">
        <f>+K19*1.15</f>
        <v>962.98169849999988</v>
      </c>
      <c r="M19" s="1">
        <f>+L19*1.12</f>
        <v>1078.5395023199999</v>
      </c>
      <c r="N19" s="1">
        <f>+M19*1.08</f>
        <v>1164.8226625056</v>
      </c>
      <c r="O19" s="1">
        <f>+N19*1.08</f>
        <v>1258.0084755060479</v>
      </c>
      <c r="P19" s="1">
        <f>+O19*1.08</f>
        <v>1358.6491535465318</v>
      </c>
      <c r="Q19" s="1">
        <f>+P19*1.08</f>
        <v>1467.3410858302545</v>
      </c>
    </row>
    <row r="20" spans="2:17" s="1" customFormat="1" x14ac:dyDescent="0.25">
      <c r="B20" s="1" t="s">
        <v>20</v>
      </c>
      <c r="D20" s="1">
        <v>99.9</v>
      </c>
      <c r="E20" s="1">
        <v>111.2</v>
      </c>
      <c r="F20" s="1">
        <v>167.6</v>
      </c>
      <c r="G20" s="1">
        <v>208.5</v>
      </c>
      <c r="H20" s="1">
        <f>+G20*1.15</f>
        <v>239.77499999999998</v>
      </c>
      <c r="I20" s="1">
        <f>+H20*1.12</f>
        <v>268.548</v>
      </c>
      <c r="J20" s="1">
        <f>+I20*1.08</f>
        <v>290.03184000000005</v>
      </c>
      <c r="K20" s="1">
        <f t="shared" ref="K20:Q20" si="9">+J20*1.08</f>
        <v>313.23438720000007</v>
      </c>
      <c r="L20" s="1">
        <f t="shared" si="9"/>
        <v>338.29313817600013</v>
      </c>
      <c r="M20" s="1">
        <f t="shared" si="9"/>
        <v>365.35658923008015</v>
      </c>
      <c r="N20" s="1">
        <f t="shared" si="9"/>
        <v>394.58511636848658</v>
      </c>
      <c r="O20" s="1">
        <f t="shared" si="9"/>
        <v>426.15192567796555</v>
      </c>
      <c r="P20" s="1">
        <f t="shared" si="9"/>
        <v>460.24407973220281</v>
      </c>
      <c r="Q20" s="1">
        <f t="shared" si="9"/>
        <v>497.06360611077906</v>
      </c>
    </row>
    <row r="21" spans="2:17" s="3" customFormat="1" x14ac:dyDescent="0.25">
      <c r="E21" s="3">
        <f t="shared" ref="E21:G23" si="10">+E18/D18 -1</f>
        <v>0.28447178616885882</v>
      </c>
      <c r="F21" s="3">
        <f t="shared" si="10"/>
        <v>0.2938067712634187</v>
      </c>
      <c r="G21" s="3">
        <f t="shared" si="10"/>
        <v>-5.0038294613224288E-2</v>
      </c>
    </row>
    <row r="22" spans="2:17" s="3" customFormat="1" x14ac:dyDescent="0.25">
      <c r="E22" s="3">
        <f t="shared" si="10"/>
        <v>0.29153924566768619</v>
      </c>
      <c r="F22" s="3">
        <f t="shared" si="10"/>
        <v>0.32123125493291238</v>
      </c>
      <c r="G22" s="3">
        <f t="shared" si="10"/>
        <v>0.31869772998805246</v>
      </c>
    </row>
    <row r="23" spans="2:17" s="3" customFormat="1" x14ac:dyDescent="0.25">
      <c r="E23" s="3">
        <f t="shared" si="10"/>
        <v>0.11311311311311312</v>
      </c>
      <c r="F23" s="3">
        <f t="shared" si="10"/>
        <v>0.5071942446043165</v>
      </c>
      <c r="G23" s="3">
        <f t="shared" si="10"/>
        <v>0.24403341288782809</v>
      </c>
    </row>
    <row r="24" spans="2:17" s="1" customFormat="1" x14ac:dyDescent="0.25"/>
    <row r="25" spans="2:17" s="1" customFormat="1" x14ac:dyDescent="0.25">
      <c r="B25" s="2" t="s">
        <v>31</v>
      </c>
    </row>
    <row r="26" spans="2:17" s="1" customFormat="1" x14ac:dyDescent="0.25">
      <c r="B26" s="1" t="s">
        <v>18</v>
      </c>
      <c r="F26" s="1">
        <f t="shared" ref="F26:G28" si="11">+F5/F18</f>
        <v>1569.5008935409753</v>
      </c>
      <c r="G26" s="1">
        <f t="shared" si="11"/>
        <v>1793.7637731792527</v>
      </c>
      <c r="H26" s="1">
        <f>+G26*1.03</f>
        <v>1847.5766863746303</v>
      </c>
      <c r="I26" s="1">
        <f t="shared" ref="I26:Q26" si="12">+H26*1.03</f>
        <v>1903.0039869658692</v>
      </c>
      <c r="J26" s="1">
        <f t="shared" si="12"/>
        <v>1960.0941065748455</v>
      </c>
      <c r="K26" s="1">
        <f t="shared" si="12"/>
        <v>2018.896929772091</v>
      </c>
      <c r="L26" s="1">
        <f t="shared" si="12"/>
        <v>2079.4638376652538</v>
      </c>
      <c r="M26" s="1">
        <f t="shared" si="12"/>
        <v>2141.8477527952114</v>
      </c>
      <c r="N26" s="1">
        <f t="shared" si="12"/>
        <v>2206.1031853790678</v>
      </c>
      <c r="O26" s="1">
        <f t="shared" si="12"/>
        <v>2272.2862809404401</v>
      </c>
      <c r="P26" s="1">
        <f t="shared" si="12"/>
        <v>2340.4548693686534</v>
      </c>
      <c r="Q26" s="1">
        <f t="shared" si="12"/>
        <v>2410.6685154497131</v>
      </c>
    </row>
    <row r="27" spans="2:17" s="1" customFormat="1" x14ac:dyDescent="0.25">
      <c r="B27" s="1" t="s">
        <v>19</v>
      </c>
      <c r="F27" s="1">
        <f t="shared" si="11"/>
        <v>1763.6618876941457</v>
      </c>
      <c r="G27" s="1">
        <f t="shared" si="11"/>
        <v>1733.7168742921858</v>
      </c>
      <c r="H27" s="1">
        <f t="shared" ref="H27:Q27" si="13">+G27*1.03</f>
        <v>1785.7283805209515</v>
      </c>
      <c r="I27" s="1">
        <f t="shared" si="13"/>
        <v>1839.3002319365801</v>
      </c>
      <c r="J27" s="1">
        <f t="shared" si="13"/>
        <v>1894.4792388946776</v>
      </c>
      <c r="K27" s="1">
        <f t="shared" si="13"/>
        <v>1951.3136160615179</v>
      </c>
      <c r="L27" s="1">
        <f t="shared" si="13"/>
        <v>2009.8530245433635</v>
      </c>
      <c r="M27" s="1">
        <f t="shared" si="13"/>
        <v>2070.1486152796647</v>
      </c>
      <c r="N27" s="1">
        <f t="shared" si="13"/>
        <v>2132.2530737380548</v>
      </c>
      <c r="O27" s="1">
        <f t="shared" si="13"/>
        <v>2196.2206659501967</v>
      </c>
      <c r="P27" s="1">
        <f t="shared" si="13"/>
        <v>2262.1072859287028</v>
      </c>
      <c r="Q27" s="1">
        <f t="shared" si="13"/>
        <v>2329.9705045065639</v>
      </c>
    </row>
    <row r="28" spans="2:17" s="1" customFormat="1" x14ac:dyDescent="0.25">
      <c r="B28" s="1" t="s">
        <v>20</v>
      </c>
      <c r="F28" s="1">
        <f t="shared" si="11"/>
        <v>1050.4355608591886</v>
      </c>
      <c r="G28" s="1">
        <f t="shared" si="11"/>
        <v>1265.4004796163069</v>
      </c>
      <c r="H28" s="1">
        <f t="shared" ref="H28:Q28" si="14">+G28*1.03</f>
        <v>1303.3624940047962</v>
      </c>
      <c r="I28" s="1">
        <f t="shared" si="14"/>
        <v>1342.4633688249401</v>
      </c>
      <c r="J28" s="1">
        <f t="shared" si="14"/>
        <v>1382.7372698896884</v>
      </c>
      <c r="K28" s="1">
        <f t="shared" si="14"/>
        <v>1424.2193879863792</v>
      </c>
      <c r="L28" s="1">
        <f t="shared" si="14"/>
        <v>1466.9459696259705</v>
      </c>
      <c r="M28" s="1">
        <f t="shared" si="14"/>
        <v>1510.9543487147496</v>
      </c>
      <c r="N28" s="1">
        <f t="shared" si="14"/>
        <v>1556.2829791761922</v>
      </c>
      <c r="O28" s="1">
        <f t="shared" si="14"/>
        <v>1602.971468551478</v>
      </c>
      <c r="P28" s="1">
        <f t="shared" si="14"/>
        <v>1651.0606126080224</v>
      </c>
      <c r="Q28" s="1">
        <f t="shared" si="14"/>
        <v>1700.5924309862633</v>
      </c>
    </row>
    <row r="29" spans="2:17" s="1" customFormat="1" x14ac:dyDescent="0.25"/>
    <row r="30" spans="2:17" s="1" customFormat="1" x14ac:dyDescent="0.25">
      <c r="F30" s="6"/>
      <c r="G30" s="6"/>
    </row>
    <row r="31" spans="2:17" s="1" customFormat="1" x14ac:dyDescent="0.25">
      <c r="B31" s="1" t="s">
        <v>0</v>
      </c>
      <c r="F31" s="1">
        <v>2225601</v>
      </c>
      <c r="G31" s="1">
        <v>2646897</v>
      </c>
    </row>
    <row r="32" spans="2:17" s="1" customFormat="1" x14ac:dyDescent="0.25">
      <c r="B32" s="1" t="s">
        <v>1</v>
      </c>
      <c r="F32" s="1">
        <f>148167+89659</f>
        <v>237826</v>
      </c>
      <c r="G32" s="1">
        <f>192983+102296</f>
        <v>295279</v>
      </c>
    </row>
    <row r="33" spans="2:17" s="1" customFormat="1" x14ac:dyDescent="0.25">
      <c r="B33" s="1" t="s">
        <v>2</v>
      </c>
      <c r="F33" s="1">
        <f>+F31-F32</f>
        <v>1987775</v>
      </c>
      <c r="G33" s="1">
        <f t="shared" ref="G33" si="15">+G31-G32</f>
        <v>2351618</v>
      </c>
    </row>
    <row r="34" spans="2:17" s="1" customFormat="1" x14ac:dyDescent="0.25">
      <c r="B34" s="1" t="s">
        <v>3</v>
      </c>
      <c r="F34" s="1">
        <v>27103</v>
      </c>
      <c r="G34" s="1">
        <v>24744</v>
      </c>
    </row>
    <row r="35" spans="2:17" s="1" customFormat="1" x14ac:dyDescent="0.25">
      <c r="B35" s="1" t="s">
        <v>4</v>
      </c>
      <c r="F35" s="1">
        <v>18804</v>
      </c>
      <c r="G35" s="1">
        <v>12171</v>
      </c>
    </row>
    <row r="36" spans="2:17" s="2" customFormat="1" x14ac:dyDescent="0.25">
      <c r="B36" s="2" t="s">
        <v>5</v>
      </c>
      <c r="D36" s="2">
        <v>1330166</v>
      </c>
      <c r="E36" s="2">
        <v>1626061</v>
      </c>
      <c r="F36" s="2">
        <f>+F33+F34-F35</f>
        <v>1996074</v>
      </c>
      <c r="G36" s="2">
        <f t="shared" ref="G36" si="16">+G33+G34-G35</f>
        <v>2364191</v>
      </c>
      <c r="H36" s="2">
        <f>+SUM(H5:H7)</f>
        <v>2566702.8947400004</v>
      </c>
      <c r="I36" s="2">
        <f t="shared" ref="I36:Q36" si="17">+SUM(I5:I7)</f>
        <v>2965379.1178329503</v>
      </c>
      <c r="J36" s="2">
        <f t="shared" si="17"/>
        <v>3411659.6864596894</v>
      </c>
      <c r="K36" s="2">
        <f t="shared" si="17"/>
        <v>3906349.7700287234</v>
      </c>
      <c r="L36" s="2">
        <f t="shared" si="17"/>
        <v>4406802.359968571</v>
      </c>
      <c r="M36" s="2">
        <f t="shared" si="17"/>
        <v>4920837.1830322919</v>
      </c>
      <c r="N36" s="2">
        <f t="shared" si="17"/>
        <v>5407934.9357529758</v>
      </c>
      <c r="O36" s="2">
        <f t="shared" si="17"/>
        <v>5944403.121627314</v>
      </c>
      <c r="P36" s="2">
        <f t="shared" si="17"/>
        <v>6535352.559970228</v>
      </c>
      <c r="Q36" s="2">
        <f t="shared" si="17"/>
        <v>7186432.795171855</v>
      </c>
    </row>
    <row r="37" spans="2:17" s="1" customFormat="1" x14ac:dyDescent="0.25">
      <c r="B37" s="1" t="s">
        <v>6</v>
      </c>
      <c r="F37" s="1">
        <v>606898</v>
      </c>
      <c r="G37" s="1">
        <v>651577</v>
      </c>
      <c r="H37" s="1">
        <f>+H36*H53</f>
        <v>681722.75979894295</v>
      </c>
      <c r="I37" s="1">
        <f t="shared" ref="I37:Q37" si="18">+I36*I53</f>
        <v>757958.37858314672</v>
      </c>
      <c r="J37" s="1">
        <f t="shared" si="18"/>
        <v>837912.22018467216</v>
      </c>
      <c r="K37" s="1">
        <f t="shared" si="18"/>
        <v>920345.85418007523</v>
      </c>
      <c r="L37" s="1">
        <f t="shared" si="18"/>
        <v>994185.72246930073</v>
      </c>
      <c r="M37" s="1">
        <f t="shared" si="18"/>
        <v>1060944.902663623</v>
      </c>
      <c r="N37" s="1">
        <f t="shared" si="18"/>
        <v>1111885.0568226606</v>
      </c>
      <c r="O37" s="1">
        <f t="shared" si="18"/>
        <v>1162740.2371207331</v>
      </c>
      <c r="P37" s="1">
        <f t="shared" si="18"/>
        <v>1307070.5119940457</v>
      </c>
      <c r="Q37" s="1">
        <f t="shared" si="18"/>
        <v>1437286.5590343711</v>
      </c>
    </row>
    <row r="38" spans="2:17" s="1" customFormat="1" x14ac:dyDescent="0.25">
      <c r="B38" s="1" t="s">
        <v>7</v>
      </c>
      <c r="F38" s="1">
        <v>94271</v>
      </c>
      <c r="G38" s="1">
        <v>104610</v>
      </c>
      <c r="H38" s="1">
        <f>+H37*0.16</f>
        <v>109075.64156783087</v>
      </c>
      <c r="I38" s="1">
        <f t="shared" ref="I38:Q38" si="19">+I37*0.16</f>
        <v>121273.34057330347</v>
      </c>
      <c r="J38" s="1">
        <f t="shared" si="19"/>
        <v>134065.95522954754</v>
      </c>
      <c r="K38" s="1">
        <f t="shared" si="19"/>
        <v>147255.33666881203</v>
      </c>
      <c r="L38" s="1">
        <f t="shared" si="19"/>
        <v>159069.71559508811</v>
      </c>
      <c r="M38" s="1">
        <f t="shared" si="19"/>
        <v>169751.18442617968</v>
      </c>
      <c r="N38" s="1">
        <f t="shared" si="19"/>
        <v>177901.60909162569</v>
      </c>
      <c r="O38" s="1">
        <f t="shared" si="19"/>
        <v>186038.43793931731</v>
      </c>
      <c r="P38" s="1">
        <f t="shared" si="19"/>
        <v>209131.28191904732</v>
      </c>
      <c r="Q38" s="1">
        <f t="shared" si="19"/>
        <v>229965.84944549936</v>
      </c>
    </row>
    <row r="39" spans="2:17" s="1" customFormat="1" x14ac:dyDescent="0.25">
      <c r="B39" s="1" t="s">
        <v>8</v>
      </c>
      <c r="F39" s="1">
        <v>104464</v>
      </c>
      <c r="G39" s="1">
        <v>135847</v>
      </c>
      <c r="H39" s="1">
        <f>+G39*(1+H60)</f>
        <v>168634.12608725429</v>
      </c>
      <c r="I39" s="1">
        <f t="shared" ref="I39:Q39" si="20">+H39*(1+I60)</f>
        <v>203523.94527772069</v>
      </c>
      <c r="J39" s="1">
        <f t="shared" si="20"/>
        <v>226783.82473803163</v>
      </c>
      <c r="K39" s="1">
        <f t="shared" si="20"/>
        <v>249462.20721183482</v>
      </c>
      <c r="L39" s="1">
        <f t="shared" si="20"/>
        <v>274408.42793301831</v>
      </c>
      <c r="M39" s="1">
        <f t="shared" si="20"/>
        <v>301849.27072632016</v>
      </c>
      <c r="N39" s="1">
        <f t="shared" si="20"/>
        <v>332034.19779895223</v>
      </c>
      <c r="O39" s="1">
        <f t="shared" si="20"/>
        <v>365237.61757884751</v>
      </c>
      <c r="P39" s="1">
        <f t="shared" si="20"/>
        <v>401761.37933673227</v>
      </c>
      <c r="Q39" s="1">
        <f t="shared" si="20"/>
        <v>441937.51727040554</v>
      </c>
    </row>
    <row r="40" spans="2:17" s="1" customFormat="1" x14ac:dyDescent="0.25">
      <c r="B40" s="1" t="s">
        <v>9</v>
      </c>
      <c r="F40" s="1">
        <v>309631</v>
      </c>
      <c r="G40" s="1">
        <v>363316</v>
      </c>
      <c r="H40" s="1">
        <f>+H36*0.15</f>
        <v>385005.43421100004</v>
      </c>
      <c r="I40" s="1">
        <f t="shared" ref="I40:Q40" si="21">+I36*0.15</f>
        <v>444806.86767494254</v>
      </c>
      <c r="J40" s="1">
        <f t="shared" si="21"/>
        <v>511748.95296895341</v>
      </c>
      <c r="K40" s="1">
        <f t="shared" si="21"/>
        <v>585952.46550430846</v>
      </c>
      <c r="L40" s="1">
        <f t="shared" si="21"/>
        <v>661020.35399528558</v>
      </c>
      <c r="M40" s="1">
        <f t="shared" si="21"/>
        <v>738125.57745484379</v>
      </c>
      <c r="N40" s="1">
        <f t="shared" si="21"/>
        <v>811190.24036294629</v>
      </c>
      <c r="O40" s="1">
        <f t="shared" si="21"/>
        <v>891660.46824409708</v>
      </c>
      <c r="P40" s="1">
        <f t="shared" si="21"/>
        <v>980302.88399553415</v>
      </c>
      <c r="Q40" s="1">
        <f t="shared" si="21"/>
        <v>1077964.9192757781</v>
      </c>
    </row>
    <row r="41" spans="2:17" s="1" customFormat="1" x14ac:dyDescent="0.25">
      <c r="B41" s="1" t="s">
        <v>10</v>
      </c>
      <c r="F41" s="1">
        <v>7034</v>
      </c>
      <c r="G41" s="1">
        <v>1061</v>
      </c>
      <c r="H41" s="1">
        <v>5000</v>
      </c>
      <c r="I41" s="1">
        <v>5000</v>
      </c>
      <c r="J41" s="1">
        <v>5000</v>
      </c>
      <c r="K41" s="1">
        <v>5000</v>
      </c>
      <c r="L41" s="1">
        <v>5000</v>
      </c>
      <c r="M41" s="1">
        <v>5000</v>
      </c>
      <c r="N41" s="1">
        <v>5000</v>
      </c>
      <c r="O41" s="1">
        <v>5000</v>
      </c>
      <c r="P41" s="1">
        <v>5000</v>
      </c>
      <c r="Q41" s="1">
        <v>5000</v>
      </c>
    </row>
    <row r="42" spans="2:17" s="2" customFormat="1" x14ac:dyDescent="0.25">
      <c r="B42" s="2" t="s">
        <v>11</v>
      </c>
      <c r="F42" s="2">
        <f>+F36-SUM(F37:F40)+F41</f>
        <v>887844</v>
      </c>
      <c r="G42" s="2">
        <f t="shared" ref="G42:H42" si="22">+G36-SUM(G37:G40)+G41</f>
        <v>1109902</v>
      </c>
      <c r="H42" s="2">
        <f t="shared" si="22"/>
        <v>1227264.9330749724</v>
      </c>
      <c r="I42" s="2">
        <f t="shared" ref="I42" si="23">+I36-SUM(I37:I40)+I41</f>
        <v>1442816.5857238369</v>
      </c>
      <c r="J42" s="2">
        <f t="shared" ref="J42" si="24">+J36-SUM(J37:J40)+J41</f>
        <v>1706148.7333384845</v>
      </c>
      <c r="K42" s="2">
        <f t="shared" ref="K42" si="25">+K36-SUM(K37:K40)+K41</f>
        <v>2008333.9064636929</v>
      </c>
      <c r="L42" s="2">
        <f t="shared" ref="L42" si="26">+L36-SUM(L37:L40)+L41</f>
        <v>2323118.1399758784</v>
      </c>
      <c r="M42" s="2">
        <f t="shared" ref="M42" si="27">+M36-SUM(M37:M40)+M41</f>
        <v>2655166.2477613254</v>
      </c>
      <c r="N42" s="2">
        <f t="shared" ref="N42" si="28">+N36-SUM(N37:N40)+N41</f>
        <v>2979923.831676791</v>
      </c>
      <c r="O42" s="2">
        <f t="shared" ref="O42" si="29">+O36-SUM(O37:O40)+O41</f>
        <v>3343726.3607443189</v>
      </c>
      <c r="P42" s="2">
        <f t="shared" ref="P42" si="30">+P36-SUM(P37:P40)+P41</f>
        <v>3642086.5027248687</v>
      </c>
      <c r="Q42" s="2">
        <f t="shared" ref="Q42" si="31">+Q36-SUM(Q37:Q40)+Q41</f>
        <v>4004277.9501458006</v>
      </c>
    </row>
    <row r="43" spans="2:17" s="1" customFormat="1" x14ac:dyDescent="0.25">
      <c r="B43" s="1" t="s">
        <v>12</v>
      </c>
      <c r="F43" s="1">
        <v>349775</v>
      </c>
      <c r="G43" s="1">
        <v>267550</v>
      </c>
      <c r="H43" s="1">
        <v>200000</v>
      </c>
      <c r="I43" s="1">
        <v>200000</v>
      </c>
      <c r="J43" s="1">
        <v>200000</v>
      </c>
      <c r="K43" s="1">
        <v>200000</v>
      </c>
      <c r="L43" s="1">
        <v>200000</v>
      </c>
      <c r="M43" s="1">
        <v>200000</v>
      </c>
      <c r="N43" s="1">
        <v>200000</v>
      </c>
      <c r="O43" s="1">
        <v>200000</v>
      </c>
      <c r="P43" s="1">
        <v>200000</v>
      </c>
      <c r="Q43" s="1">
        <v>200000</v>
      </c>
    </row>
    <row r="44" spans="2:17" s="1" customFormat="1" x14ac:dyDescent="0.25">
      <c r="B44" s="1" t="s">
        <v>13</v>
      </c>
      <c r="F44" s="1">
        <v>7936</v>
      </c>
      <c r="G44" s="1">
        <v>7529</v>
      </c>
      <c r="H44" s="1">
        <v>8000</v>
      </c>
      <c r="I44" s="1">
        <v>8000</v>
      </c>
      <c r="J44" s="1">
        <v>8000</v>
      </c>
      <c r="K44" s="1">
        <v>8000</v>
      </c>
      <c r="L44" s="1">
        <v>8000</v>
      </c>
      <c r="M44" s="1">
        <v>8000</v>
      </c>
      <c r="N44" s="1">
        <v>8000</v>
      </c>
      <c r="O44" s="1">
        <v>8000</v>
      </c>
      <c r="P44" s="1">
        <v>8000</v>
      </c>
      <c r="Q44" s="1">
        <v>8000</v>
      </c>
    </row>
    <row r="45" spans="2:17" s="1" customFormat="1" x14ac:dyDescent="0.25">
      <c r="B45" s="1" t="s">
        <v>17</v>
      </c>
      <c r="F45" s="1">
        <v>-2953</v>
      </c>
      <c r="G45" s="1">
        <v>24060</v>
      </c>
    </row>
    <row r="46" spans="2:17" s="1" customFormat="1" x14ac:dyDescent="0.25">
      <c r="B46" s="1" t="s">
        <v>14</v>
      </c>
      <c r="F46" s="1">
        <f>+F42+F43-F44+F45</f>
        <v>1226730</v>
      </c>
      <c r="G46" s="1">
        <f t="shared" ref="G46:H46" si="32">+G42+G43-G44+G45</f>
        <v>1393983</v>
      </c>
      <c r="H46" s="1">
        <f t="shared" si="32"/>
        <v>1419264.9330749724</v>
      </c>
      <c r="I46" s="1">
        <f t="shared" ref="I46" si="33">+I42+I43-I44+I45</f>
        <v>1634816.5857238369</v>
      </c>
      <c r="J46" s="1">
        <f t="shared" ref="J46" si="34">+J42+J43-J44+J45</f>
        <v>1898148.7333384845</v>
      </c>
      <c r="K46" s="1">
        <f t="shared" ref="K46" si="35">+K42+K43-K44+K45</f>
        <v>2200333.9064636929</v>
      </c>
      <c r="L46" s="1">
        <f t="shared" ref="L46" si="36">+L42+L43-L44+L45</f>
        <v>2515118.1399758784</v>
      </c>
      <c r="M46" s="1">
        <f t="shared" ref="M46" si="37">+M42+M43-M44+M45</f>
        <v>2847166.2477613254</v>
      </c>
      <c r="N46" s="1">
        <f t="shared" ref="N46" si="38">+N42+N43-N44+N45</f>
        <v>3171923.831676791</v>
      </c>
      <c r="O46" s="1">
        <f t="shared" ref="O46" si="39">+O42+O43-O44+O45</f>
        <v>3535726.3607443189</v>
      </c>
      <c r="P46" s="1">
        <f t="shared" ref="P46" si="40">+P42+P43-P44+P45</f>
        <v>3834086.5027248687</v>
      </c>
      <c r="Q46" s="1">
        <f t="shared" ref="Q46" si="41">+Q42+Q43-Q44+Q45</f>
        <v>4196277.9501458006</v>
      </c>
    </row>
    <row r="47" spans="2:17" s="1" customFormat="1" x14ac:dyDescent="0.25">
      <c r="B47" s="1" t="s">
        <v>15</v>
      </c>
      <c r="F47" s="1">
        <v>301567</v>
      </c>
      <c r="G47" s="1">
        <v>331457</v>
      </c>
      <c r="H47" s="1">
        <f>+H46*0.25</f>
        <v>354816.23326874309</v>
      </c>
      <c r="I47" s="1">
        <f t="shared" ref="I47:Q47" si="42">+I46*0.25</f>
        <v>408704.14643095923</v>
      </c>
      <c r="J47" s="1">
        <f t="shared" si="42"/>
        <v>474537.18333462114</v>
      </c>
      <c r="K47" s="1">
        <f t="shared" si="42"/>
        <v>550083.47661592322</v>
      </c>
      <c r="L47" s="1">
        <f t="shared" si="42"/>
        <v>628779.5349939696</v>
      </c>
      <c r="M47" s="1">
        <f t="shared" si="42"/>
        <v>711791.56194033136</v>
      </c>
      <c r="N47" s="1">
        <f t="shared" si="42"/>
        <v>792980.95791919774</v>
      </c>
      <c r="O47" s="1">
        <f t="shared" si="42"/>
        <v>883931.59018607973</v>
      </c>
      <c r="P47" s="1">
        <f t="shared" si="42"/>
        <v>958521.62568121718</v>
      </c>
      <c r="Q47" s="1">
        <f t="shared" si="42"/>
        <v>1049069.4875364501</v>
      </c>
    </row>
    <row r="48" spans="2:17" s="1" customFormat="1" x14ac:dyDescent="0.25">
      <c r="B48" s="1" t="s">
        <v>16</v>
      </c>
      <c r="F48" s="1">
        <f>+F46-F47</f>
        <v>925163</v>
      </c>
      <c r="G48" s="1">
        <f t="shared" ref="G48:H48" si="43">+G46-G47</f>
        <v>1062526</v>
      </c>
      <c r="H48" s="1">
        <f t="shared" si="43"/>
        <v>1064448.6998062292</v>
      </c>
      <c r="I48" s="1">
        <f t="shared" ref="I48" si="44">+I46-I47</f>
        <v>1226112.4392928777</v>
      </c>
      <c r="J48" s="1">
        <f t="shared" ref="J48" si="45">+J46-J47</f>
        <v>1423611.5500038634</v>
      </c>
      <c r="K48" s="1">
        <f t="shared" ref="K48" si="46">+K46-K47</f>
        <v>1650250.4298477697</v>
      </c>
      <c r="L48" s="1">
        <f t="shared" ref="L48" si="47">+L46-L47</f>
        <v>1886338.6049819088</v>
      </c>
      <c r="M48" s="1">
        <f t="shared" ref="M48" si="48">+M46-M47</f>
        <v>2135374.685820994</v>
      </c>
      <c r="N48" s="1">
        <f t="shared" ref="N48" si="49">+N46-N47</f>
        <v>2378942.8737575933</v>
      </c>
      <c r="O48" s="1">
        <f t="shared" ref="O48" si="50">+O46-O47</f>
        <v>2651794.770558239</v>
      </c>
      <c r="P48" s="1">
        <f t="shared" ref="P48" si="51">+P46-P47</f>
        <v>2875564.8770436514</v>
      </c>
      <c r="Q48" s="1">
        <f t="shared" ref="Q48" si="52">+Q46-Q47</f>
        <v>3147208.4626093507</v>
      </c>
    </row>
    <row r="49" spans="2:134" s="1" customFormat="1" x14ac:dyDescent="0.25">
      <c r="F49" s="4"/>
      <c r="G49" s="4"/>
      <c r="Q49" s="1">
        <f>+Q48/T54</f>
        <v>99.885549045296116</v>
      </c>
      <c r="S49" s="3" t="s">
        <v>41</v>
      </c>
      <c r="T49" s="3">
        <v>0.1</v>
      </c>
    </row>
    <row r="50" spans="2:134" s="3" customFormat="1" x14ac:dyDescent="0.25">
      <c r="B50" s="3" t="s">
        <v>29</v>
      </c>
      <c r="F50" s="3">
        <f>+F33/F31</f>
        <v>0.89314077411000448</v>
      </c>
      <c r="G50" s="3">
        <f>+G33/G31</f>
        <v>0.88844333572481282</v>
      </c>
      <c r="S50" s="3" t="s">
        <v>42</v>
      </c>
      <c r="T50" s="3">
        <v>0.03</v>
      </c>
    </row>
    <row r="51" spans="2:134" s="3" customFormat="1" x14ac:dyDescent="0.25">
      <c r="B51" s="3" t="s">
        <v>30</v>
      </c>
      <c r="F51" s="3">
        <f>+F42/F36</f>
        <v>0.44479513284577626</v>
      </c>
      <c r="G51" s="3">
        <f>+G42/G36</f>
        <v>0.46946376159963388</v>
      </c>
      <c r="H51" s="3">
        <f>+H42/H36</f>
        <v>0.47814841974504835</v>
      </c>
      <c r="I51" s="3">
        <f t="shared" ref="I51:Q51" si="53">+I42/I36</f>
        <v>0.48655383625221699</v>
      </c>
      <c r="J51" s="3">
        <f t="shared" si="53"/>
        <v>0.50009347066763588</v>
      </c>
      <c r="K51" s="3">
        <f t="shared" si="53"/>
        <v>0.51412034884140079</v>
      </c>
      <c r="L51" s="3">
        <f t="shared" si="53"/>
        <v>0.5271664009893211</v>
      </c>
      <c r="M51" s="3">
        <f t="shared" si="53"/>
        <v>0.53957612272088484</v>
      </c>
      <c r="N51" s="3">
        <f t="shared" si="53"/>
        <v>0.55102804805876981</v>
      </c>
      <c r="O51" s="3">
        <f t="shared" si="53"/>
        <v>0.56249993352216576</v>
      </c>
      <c r="P51" s="3">
        <f t="shared" si="53"/>
        <v>0.55728998080884873</v>
      </c>
      <c r="Q51" s="3">
        <f t="shared" si="53"/>
        <v>0.55719966557483724</v>
      </c>
      <c r="S51" s="3" t="s">
        <v>43</v>
      </c>
      <c r="T51" s="7">
        <f>NPV(T49,H58:EM58)</f>
        <v>27609898.524050545</v>
      </c>
    </row>
    <row r="52" spans="2:134" s="3" customFormat="1" x14ac:dyDescent="0.25">
      <c r="B52" s="3" t="s">
        <v>37</v>
      </c>
      <c r="E52" s="3">
        <f>+E36/D36 -1</f>
        <v>0.22244967921297043</v>
      </c>
      <c r="F52" s="3">
        <f t="shared" ref="F52:Q52" si="54">+F36/E36 -1</f>
        <v>0.22755173391404138</v>
      </c>
      <c r="G52" s="3">
        <f t="shared" si="54"/>
        <v>0.1844205174758049</v>
      </c>
      <c r="H52" s="3">
        <f t="shared" si="54"/>
        <v>8.5658009331733398E-2</v>
      </c>
      <c r="I52" s="3">
        <f t="shared" si="54"/>
        <v>0.15532620620406279</v>
      </c>
      <c r="J52" s="3">
        <f t="shared" si="54"/>
        <v>0.15049696881688224</v>
      </c>
      <c r="K52" s="3">
        <f t="shared" si="54"/>
        <v>0.1449998326422699</v>
      </c>
      <c r="L52" s="3">
        <f t="shared" si="54"/>
        <v>0.1281125908846017</v>
      </c>
      <c r="M52" s="3">
        <f t="shared" si="54"/>
        <v>0.11664576286270911</v>
      </c>
      <c r="N52" s="3">
        <f t="shared" si="54"/>
        <v>9.8986764772519331E-2</v>
      </c>
      <c r="O52" s="3">
        <f t="shared" si="54"/>
        <v>9.9200192355798578E-2</v>
      </c>
      <c r="P52" s="3">
        <f t="shared" si="54"/>
        <v>9.9412746116238848E-2</v>
      </c>
      <c r="Q52" s="3">
        <f t="shared" si="54"/>
        <v>9.962434761202732E-2</v>
      </c>
      <c r="S52" s="3" t="s">
        <v>44</v>
      </c>
      <c r="T52" s="1">
        <f>10797401+561683-6371815</f>
        <v>4987269</v>
      </c>
    </row>
    <row r="53" spans="2:134" s="3" customFormat="1" x14ac:dyDescent="0.25">
      <c r="B53" s="1" t="s">
        <v>38</v>
      </c>
      <c r="F53" s="3">
        <f>+F37/F36</f>
        <v>0.30404584198782209</v>
      </c>
      <c r="G53" s="3">
        <f>+G37/G36</f>
        <v>0.27560252111610273</v>
      </c>
      <c r="H53" s="3">
        <f>+G53-1%</f>
        <v>0.26560252111610272</v>
      </c>
      <c r="I53" s="3">
        <f t="shared" ref="I53:O53" si="55">+H53-1%</f>
        <v>0.25560252111610271</v>
      </c>
      <c r="J53" s="3">
        <f t="shared" si="55"/>
        <v>0.2456025211161027</v>
      </c>
      <c r="K53" s="3">
        <f t="shared" si="55"/>
        <v>0.23560252111610269</v>
      </c>
      <c r="L53" s="3">
        <f t="shared" si="55"/>
        <v>0.22560252111610268</v>
      </c>
      <c r="M53" s="3">
        <f t="shared" si="55"/>
        <v>0.21560252111610267</v>
      </c>
      <c r="N53" s="3">
        <f t="shared" si="55"/>
        <v>0.20560252111610267</v>
      </c>
      <c r="O53" s="3">
        <f t="shared" si="55"/>
        <v>0.19560252111610266</v>
      </c>
      <c r="P53" s="3">
        <v>0.2</v>
      </c>
      <c r="Q53" s="3">
        <v>0.2</v>
      </c>
      <c r="S53" s="3" t="s">
        <v>45</v>
      </c>
      <c r="T53" s="1">
        <f>+T51+T52</f>
        <v>32597167.524050545</v>
      </c>
    </row>
    <row r="54" spans="2:134" s="3" customFormat="1" x14ac:dyDescent="0.25">
      <c r="B54" s="1" t="s">
        <v>39</v>
      </c>
      <c r="F54" s="3">
        <f>+F40/F36</f>
        <v>0.15512000056110145</v>
      </c>
      <c r="G54" s="3">
        <f>+G40/G36</f>
        <v>0.15367455505921476</v>
      </c>
      <c r="S54" s="1" t="s">
        <v>46</v>
      </c>
      <c r="T54" s="1">
        <v>31508.146000000001</v>
      </c>
    </row>
    <row r="55" spans="2:134" s="1" customFormat="1" x14ac:dyDescent="0.25">
      <c r="S55" s="1" t="s">
        <v>47</v>
      </c>
      <c r="T55" s="1">
        <f>+T53/T54</f>
        <v>1034.5631737281699</v>
      </c>
    </row>
    <row r="56" spans="2:134" s="1" customFormat="1" x14ac:dyDescent="0.25">
      <c r="B56" s="1" t="s">
        <v>26</v>
      </c>
      <c r="D56" s="1">
        <v>728288</v>
      </c>
      <c r="E56" s="1">
        <v>743035</v>
      </c>
      <c r="F56" s="1">
        <f>+F42+F39</f>
        <v>992308</v>
      </c>
      <c r="G56" s="1">
        <f>+G42+G39</f>
        <v>1245749</v>
      </c>
      <c r="H56" s="1">
        <f>+H42+H39</f>
        <v>1395899.0591622267</v>
      </c>
      <c r="I56" s="1">
        <f t="shared" ref="I56:Q56" si="56">+I42+I39</f>
        <v>1646340.5310015576</v>
      </c>
      <c r="J56" s="1">
        <f t="shared" si="56"/>
        <v>1932932.5580765163</v>
      </c>
      <c r="K56" s="1">
        <f t="shared" si="56"/>
        <v>2257796.1136755277</v>
      </c>
      <c r="L56" s="1">
        <f t="shared" si="56"/>
        <v>2597526.5679088966</v>
      </c>
      <c r="M56" s="1">
        <f t="shared" si="56"/>
        <v>2957015.5184876458</v>
      </c>
      <c r="N56" s="1">
        <f t="shared" si="56"/>
        <v>3311958.029475743</v>
      </c>
      <c r="O56" s="1">
        <f t="shared" si="56"/>
        <v>3708963.9783231663</v>
      </c>
      <c r="P56" s="1">
        <f t="shared" si="56"/>
        <v>4043847.8820616012</v>
      </c>
      <c r="Q56" s="1">
        <f t="shared" si="56"/>
        <v>4446215.4674162064</v>
      </c>
      <c r="T56" s="1">
        <f>+T55*0.7</f>
        <v>724.19422160971885</v>
      </c>
    </row>
    <row r="57" spans="2:134" s="1" customFormat="1" x14ac:dyDescent="0.25">
      <c r="B57" s="1" t="s">
        <v>27</v>
      </c>
      <c r="D57" s="1">
        <v>99098</v>
      </c>
      <c r="E57" s="1">
        <v>69743</v>
      </c>
      <c r="F57" s="1">
        <v>91052</v>
      </c>
      <c r="G57" s="1">
        <v>116808</v>
      </c>
      <c r="H57" s="1">
        <v>145000</v>
      </c>
      <c r="I57" s="1">
        <v>175000</v>
      </c>
      <c r="J57" s="1">
        <v>195000</v>
      </c>
      <c r="K57" s="1">
        <f>+J57*1.1</f>
        <v>214500.00000000003</v>
      </c>
      <c r="L57" s="1">
        <f>+K57*1.1</f>
        <v>235950.00000000006</v>
      </c>
      <c r="M57" s="1">
        <f t="shared" ref="M57:Q57" si="57">+L57*1.1</f>
        <v>259545.00000000009</v>
      </c>
      <c r="N57" s="1">
        <f t="shared" si="57"/>
        <v>285499.50000000012</v>
      </c>
      <c r="O57" s="1">
        <f t="shared" si="57"/>
        <v>314049.45000000013</v>
      </c>
      <c r="P57" s="1">
        <f t="shared" si="57"/>
        <v>345454.39500000019</v>
      </c>
      <c r="Q57" s="1">
        <f t="shared" si="57"/>
        <v>379999.83450000023</v>
      </c>
    </row>
    <row r="58" spans="2:134" s="2" customFormat="1" x14ac:dyDescent="0.25">
      <c r="B58" s="2" t="s">
        <v>28</v>
      </c>
      <c r="F58" s="2">
        <f t="shared" ref="F58:G58" si="58">+F56-F57-F47</f>
        <v>599689</v>
      </c>
      <c r="G58" s="2">
        <f t="shared" si="58"/>
        <v>797484</v>
      </c>
      <c r="H58" s="2">
        <f>+H56-H57-H47</f>
        <v>896082.82589348359</v>
      </c>
      <c r="I58" s="2">
        <f t="shared" ref="I58:Q58" si="59">+I56-I57-I47</f>
        <v>1062636.3845705984</v>
      </c>
      <c r="J58" s="2">
        <f t="shared" si="59"/>
        <v>1263395.3747418951</v>
      </c>
      <c r="K58" s="2">
        <f t="shared" si="59"/>
        <v>1493212.6370596045</v>
      </c>
      <c r="L58" s="2">
        <f t="shared" si="59"/>
        <v>1732797.032914927</v>
      </c>
      <c r="M58" s="2">
        <f t="shared" si="59"/>
        <v>1985678.9565473143</v>
      </c>
      <c r="N58" s="2">
        <f t="shared" si="59"/>
        <v>2233477.5715565453</v>
      </c>
      <c r="O58" s="2">
        <f t="shared" si="59"/>
        <v>2510982.9381370861</v>
      </c>
      <c r="P58" s="2">
        <f t="shared" si="59"/>
        <v>2739871.8613803838</v>
      </c>
      <c r="Q58" s="2">
        <f t="shared" si="59"/>
        <v>3017146.1453797556</v>
      </c>
      <c r="R58" s="2">
        <f t="shared" ref="R58:AW58" si="60">+Q58*(1+$T50)</f>
        <v>3107660.5297411485</v>
      </c>
      <c r="S58" s="2">
        <f t="shared" si="60"/>
        <v>3200890.3456333829</v>
      </c>
      <c r="T58" s="2">
        <f t="shared" si="60"/>
        <v>3296917.0560023845</v>
      </c>
      <c r="U58" s="2">
        <f t="shared" si="60"/>
        <v>3395824.5676824562</v>
      </c>
      <c r="V58" s="2">
        <f t="shared" si="60"/>
        <v>3497699.3047129302</v>
      </c>
      <c r="W58" s="2">
        <f t="shared" si="60"/>
        <v>3602630.2838543183</v>
      </c>
      <c r="X58" s="2">
        <f t="shared" si="60"/>
        <v>3710709.1923699481</v>
      </c>
      <c r="Y58" s="2">
        <f t="shared" si="60"/>
        <v>3822030.4681410468</v>
      </c>
      <c r="Z58" s="2">
        <f t="shared" si="60"/>
        <v>3936691.3821852785</v>
      </c>
      <c r="AA58" s="2">
        <f t="shared" si="60"/>
        <v>4054792.1236508368</v>
      </c>
      <c r="AB58" s="2">
        <f t="shared" si="60"/>
        <v>4176435.8873603619</v>
      </c>
      <c r="AC58" s="2">
        <f t="shared" si="60"/>
        <v>4301728.963981173</v>
      </c>
      <c r="AD58" s="2">
        <f t="shared" si="60"/>
        <v>4430780.832900608</v>
      </c>
      <c r="AE58" s="2">
        <f t="shared" si="60"/>
        <v>4563704.2578876261</v>
      </c>
      <c r="AF58" s="2">
        <f t="shared" si="60"/>
        <v>4700615.3856242551</v>
      </c>
      <c r="AG58" s="2">
        <f t="shared" si="60"/>
        <v>4841633.8471929831</v>
      </c>
      <c r="AH58" s="2">
        <f t="shared" si="60"/>
        <v>4986882.8626087727</v>
      </c>
      <c r="AI58" s="2">
        <f t="shared" si="60"/>
        <v>5136489.3484870363</v>
      </c>
      <c r="AJ58" s="2">
        <f t="shared" si="60"/>
        <v>5290584.0289416471</v>
      </c>
      <c r="AK58" s="2">
        <f t="shared" si="60"/>
        <v>5449301.5498098964</v>
      </c>
      <c r="AL58" s="2">
        <f t="shared" si="60"/>
        <v>5612780.5963041931</v>
      </c>
      <c r="AM58" s="2">
        <f t="shared" si="60"/>
        <v>5781164.0141933188</v>
      </c>
      <c r="AN58" s="2">
        <f t="shared" si="60"/>
        <v>5954598.9346191185</v>
      </c>
      <c r="AO58" s="2">
        <f t="shared" si="60"/>
        <v>6133236.9026576923</v>
      </c>
      <c r="AP58" s="2">
        <f t="shared" si="60"/>
        <v>6317234.0097374236</v>
      </c>
      <c r="AQ58" s="2">
        <f t="shared" si="60"/>
        <v>6506751.0300295465</v>
      </c>
      <c r="AR58" s="2">
        <f t="shared" si="60"/>
        <v>6701953.5609304328</v>
      </c>
      <c r="AS58" s="2">
        <f t="shared" si="60"/>
        <v>6903012.1677583456</v>
      </c>
      <c r="AT58" s="2">
        <f t="shared" si="60"/>
        <v>7110102.5327910958</v>
      </c>
      <c r="AU58" s="2">
        <f t="shared" si="60"/>
        <v>7323405.6087748287</v>
      </c>
      <c r="AV58" s="2">
        <f t="shared" si="60"/>
        <v>7543107.7770380741</v>
      </c>
      <c r="AW58" s="2">
        <f t="shared" si="60"/>
        <v>7769401.0103492169</v>
      </c>
      <c r="AX58" s="2">
        <f t="shared" ref="AX58:CC58" si="61">+AW58*(1+$T50)</f>
        <v>8002483.040659694</v>
      </c>
      <c r="AY58" s="2">
        <f t="shared" si="61"/>
        <v>8242557.5318794847</v>
      </c>
      <c r="AZ58" s="2">
        <f t="shared" si="61"/>
        <v>8489834.2578358687</v>
      </c>
      <c r="BA58" s="2">
        <f t="shared" si="61"/>
        <v>8744529.2855709456</v>
      </c>
      <c r="BB58" s="2">
        <f t="shared" si="61"/>
        <v>9006865.164138075</v>
      </c>
      <c r="BC58" s="2">
        <f t="shared" si="61"/>
        <v>9277071.119062217</v>
      </c>
      <c r="BD58" s="2">
        <f t="shared" si="61"/>
        <v>9555383.2526340839</v>
      </c>
      <c r="BE58" s="2">
        <f t="shared" si="61"/>
        <v>9842044.7502131071</v>
      </c>
      <c r="BF58" s="2">
        <f t="shared" si="61"/>
        <v>10137306.092719501</v>
      </c>
      <c r="BG58" s="2">
        <f t="shared" si="61"/>
        <v>10441425.275501085</v>
      </c>
      <c r="BH58" s="2">
        <f t="shared" si="61"/>
        <v>10754668.033766119</v>
      </c>
      <c r="BI58" s="2">
        <f t="shared" si="61"/>
        <v>11077308.074779103</v>
      </c>
      <c r="BJ58" s="2">
        <f t="shared" si="61"/>
        <v>11409627.317022476</v>
      </c>
      <c r="BK58" s="2">
        <f t="shared" si="61"/>
        <v>11751916.13653315</v>
      </c>
      <c r="BL58" s="2">
        <f t="shared" si="61"/>
        <v>12104473.620629145</v>
      </c>
      <c r="BM58" s="2">
        <f t="shared" si="61"/>
        <v>12467607.82924802</v>
      </c>
      <c r="BN58" s="2">
        <f t="shared" si="61"/>
        <v>12841636.064125462</v>
      </c>
      <c r="BO58" s="2">
        <f t="shared" si="61"/>
        <v>13226885.146049226</v>
      </c>
      <c r="BP58" s="2">
        <f t="shared" si="61"/>
        <v>13623691.700430702</v>
      </c>
      <c r="BQ58" s="2">
        <f t="shared" si="61"/>
        <v>14032402.451443624</v>
      </c>
      <c r="BR58" s="2">
        <f t="shared" si="61"/>
        <v>14453374.524986932</v>
      </c>
      <c r="BS58" s="2">
        <f t="shared" si="61"/>
        <v>14886975.76073654</v>
      </c>
      <c r="BT58" s="2">
        <f t="shared" si="61"/>
        <v>15333585.033558637</v>
      </c>
      <c r="BU58" s="2">
        <f t="shared" si="61"/>
        <v>15793592.584565395</v>
      </c>
      <c r="BV58" s="2">
        <f t="shared" si="61"/>
        <v>16267400.362102358</v>
      </c>
      <c r="BW58" s="2">
        <f t="shared" si="61"/>
        <v>16755422.372965429</v>
      </c>
      <c r="BX58" s="2">
        <f t="shared" si="61"/>
        <v>17258085.044154391</v>
      </c>
      <c r="BY58" s="2">
        <f t="shared" si="61"/>
        <v>17775827.595479023</v>
      </c>
      <c r="BZ58" s="2">
        <f t="shared" si="61"/>
        <v>18309102.423343394</v>
      </c>
      <c r="CA58" s="2">
        <f t="shared" si="61"/>
        <v>18858375.496043697</v>
      </c>
      <c r="CB58" s="2">
        <f t="shared" si="61"/>
        <v>19424126.76092501</v>
      </c>
      <c r="CC58" s="2">
        <f t="shared" si="61"/>
        <v>20006850.563752759</v>
      </c>
      <c r="CD58" s="2">
        <f t="shared" ref="CD58:DI58" si="62">+CC58*(1+$T50)</f>
        <v>20607056.080665343</v>
      </c>
      <c r="CE58" s="2">
        <f t="shared" si="62"/>
        <v>21225267.763085302</v>
      </c>
      <c r="CF58" s="2">
        <f t="shared" si="62"/>
        <v>21862025.795977861</v>
      </c>
      <c r="CG58" s="2">
        <f t="shared" si="62"/>
        <v>22517886.569857199</v>
      </c>
      <c r="CH58" s="2">
        <f t="shared" si="62"/>
        <v>23193423.166952915</v>
      </c>
      <c r="CI58" s="2">
        <f t="shared" si="62"/>
        <v>23889225.861961503</v>
      </c>
      <c r="CJ58" s="2">
        <f t="shared" si="62"/>
        <v>24605902.637820348</v>
      </c>
      <c r="CK58" s="2">
        <f t="shared" si="62"/>
        <v>25344079.716954958</v>
      </c>
      <c r="CL58" s="2">
        <f t="shared" si="62"/>
        <v>26104402.108463608</v>
      </c>
      <c r="CM58" s="2">
        <f t="shared" si="62"/>
        <v>26887534.171717517</v>
      </c>
      <c r="CN58" s="2">
        <f t="shared" si="62"/>
        <v>27694160.196869042</v>
      </c>
      <c r="CO58" s="2">
        <f t="shared" si="62"/>
        <v>28524985.002775114</v>
      </c>
      <c r="CP58" s="2">
        <f t="shared" si="62"/>
        <v>29380734.552858368</v>
      </c>
      <c r="CQ58" s="2">
        <f t="shared" si="62"/>
        <v>30262156.589444119</v>
      </c>
      <c r="CR58" s="2">
        <f t="shared" si="62"/>
        <v>31170021.287127443</v>
      </c>
      <c r="CS58" s="2">
        <f t="shared" si="62"/>
        <v>32105121.925741266</v>
      </c>
      <c r="CT58" s="2">
        <f t="shared" si="62"/>
        <v>33068275.583513506</v>
      </c>
      <c r="CU58" s="2">
        <f t="shared" si="62"/>
        <v>34060323.851018913</v>
      </c>
      <c r="CV58" s="2">
        <f t="shared" si="62"/>
        <v>35082133.56654948</v>
      </c>
      <c r="CW58" s="2">
        <f t="shared" si="62"/>
        <v>36134597.573545963</v>
      </c>
      <c r="CX58" s="2">
        <f t="shared" si="62"/>
        <v>37218635.500752345</v>
      </c>
      <c r="CY58" s="2">
        <f t="shared" si="62"/>
        <v>38335194.565774918</v>
      </c>
      <c r="CZ58" s="2">
        <f t="shared" si="62"/>
        <v>39485250.402748168</v>
      </c>
      <c r="DA58" s="2">
        <f t="shared" si="62"/>
        <v>40669807.91483061</v>
      </c>
      <c r="DB58" s="2">
        <f t="shared" si="62"/>
        <v>41889902.152275532</v>
      </c>
      <c r="DC58" s="2">
        <f t="shared" si="62"/>
        <v>43146599.216843799</v>
      </c>
      <c r="DD58" s="2">
        <f t="shared" si="62"/>
        <v>44440997.193349116</v>
      </c>
      <c r="DE58" s="2">
        <f t="shared" si="62"/>
        <v>45774227.10914959</v>
      </c>
      <c r="DF58" s="2">
        <f t="shared" si="62"/>
        <v>47147453.922424078</v>
      </c>
      <c r="DG58" s="2">
        <f t="shared" si="62"/>
        <v>48561877.540096804</v>
      </c>
      <c r="DH58" s="2">
        <f t="shared" si="62"/>
        <v>50018733.866299711</v>
      </c>
      <c r="DI58" s="2">
        <f t="shared" si="62"/>
        <v>51519295.882288702</v>
      </c>
      <c r="DJ58" s="2">
        <f t="shared" ref="DJ58:ED58" si="63">+DI58*(1+$T50)</f>
        <v>53064874.758757368</v>
      </c>
      <c r="DK58" s="2">
        <f t="shared" si="63"/>
        <v>54656821.00152009</v>
      </c>
      <c r="DL58" s="2">
        <f t="shared" si="63"/>
        <v>56296525.631565697</v>
      </c>
      <c r="DM58" s="2">
        <f t="shared" si="63"/>
        <v>57985421.400512673</v>
      </c>
      <c r="DN58" s="2">
        <f t="shared" si="63"/>
        <v>59724984.042528056</v>
      </c>
      <c r="DO58" s="2">
        <f t="shared" si="63"/>
        <v>61516733.563803896</v>
      </c>
      <c r="DP58" s="2">
        <f t="shared" si="63"/>
        <v>63362235.570718013</v>
      </c>
      <c r="DQ58" s="2">
        <f t="shared" si="63"/>
        <v>65263102.637839556</v>
      </c>
      <c r="DR58" s="2">
        <f t="shared" si="63"/>
        <v>67220995.71697475</v>
      </c>
      <c r="DS58" s="2">
        <f t="shared" si="63"/>
        <v>69237625.588483989</v>
      </c>
      <c r="DT58" s="2">
        <f t="shared" si="63"/>
        <v>71314754.356138512</v>
      </c>
      <c r="DU58" s="2">
        <f t="shared" si="63"/>
        <v>73454196.986822665</v>
      </c>
      <c r="DV58" s="2">
        <f t="shared" si="63"/>
        <v>75657822.896427348</v>
      </c>
      <c r="DW58" s="2">
        <f t="shared" si="63"/>
        <v>77927557.583320171</v>
      </c>
      <c r="DX58" s="2">
        <f t="shared" si="63"/>
        <v>80265384.310819775</v>
      </c>
      <c r="DY58" s="2">
        <f t="shared" si="63"/>
        <v>82673345.840144366</v>
      </c>
      <c r="DZ58" s="2">
        <f t="shared" si="63"/>
        <v>85153546.215348706</v>
      </c>
      <c r="EA58" s="2">
        <f t="shared" si="63"/>
        <v>87708152.601809174</v>
      </c>
      <c r="EB58" s="2">
        <f t="shared" si="63"/>
        <v>90339397.179863453</v>
      </c>
      <c r="EC58" s="2">
        <f t="shared" si="63"/>
        <v>93049579.095259354</v>
      </c>
      <c r="ED58" s="2">
        <f t="shared" si="63"/>
        <v>95841066.468117133</v>
      </c>
    </row>
    <row r="59" spans="2:134" s="1" customFormat="1" x14ac:dyDescent="0.25"/>
    <row r="60" spans="2:134" s="3" customFormat="1" x14ac:dyDescent="0.25">
      <c r="B60" s="3" t="s">
        <v>40</v>
      </c>
      <c r="E60" s="3">
        <f>+E57/D57 -1</f>
        <v>-0.29622192173404105</v>
      </c>
      <c r="F60" s="3">
        <f t="shared" ref="F60:Q60" si="64">+F57/E57 -1</f>
        <v>0.30553603945915708</v>
      </c>
      <c r="G60" s="3">
        <f t="shared" si="64"/>
        <v>0.28287132627509548</v>
      </c>
      <c r="H60" s="3">
        <f t="shared" si="64"/>
        <v>0.24135333196356412</v>
      </c>
      <c r="I60" s="3">
        <f t="shared" si="64"/>
        <v>0.2068965517241379</v>
      </c>
      <c r="J60" s="3">
        <f t="shared" si="64"/>
        <v>0.11428571428571432</v>
      </c>
      <c r="K60" s="3">
        <f t="shared" si="64"/>
        <v>0.10000000000000009</v>
      </c>
      <c r="L60" s="3">
        <f t="shared" si="64"/>
        <v>0.10000000000000009</v>
      </c>
      <c r="M60" s="3">
        <f t="shared" si="64"/>
        <v>0.10000000000000009</v>
      </c>
      <c r="N60" s="3">
        <f t="shared" si="64"/>
        <v>0.10000000000000009</v>
      </c>
      <c r="O60" s="3">
        <f t="shared" si="64"/>
        <v>0.10000000000000009</v>
      </c>
      <c r="P60" s="3">
        <f t="shared" si="64"/>
        <v>0.10000000000000009</v>
      </c>
      <c r="Q60" s="3">
        <f t="shared" si="64"/>
        <v>0.10000000000000009</v>
      </c>
    </row>
    <row r="61" spans="2:134" s="1" customFormat="1" x14ac:dyDescent="0.25"/>
    <row r="62" spans="2:134" s="1" customFormat="1" x14ac:dyDescent="0.25"/>
    <row r="63" spans="2:134" s="1" customFormat="1" x14ac:dyDescent="0.25"/>
    <row r="64" spans="2:13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2026-02-12T17:31:13Z</dcterms:created>
  <dcterms:modified xsi:type="dcterms:W3CDTF">2026-02-17T13:05:14Z</dcterms:modified>
</cp:coreProperties>
</file>