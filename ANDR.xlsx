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86ED34D1-219F-48DE-8FB6-3977E1E8EFE9}" xr6:coauthVersionLast="47" xr6:coauthVersionMax="47" xr10:uidLastSave="{00000000-0000-0000-0000-000000000000}"/>
  <bookViews>
    <workbookView xWindow="-120" yWindow="-120" windowWidth="29040" windowHeight="15840" xr2:uid="{C3A4BF2C-2727-4B92-9A8A-7656FCC4D7B6}"/>
  </bookViews>
  <sheets>
    <sheet name="Sheet1" sheetId="1" r:id="rId1"/>
  </sheets>
  <definedNames>
    <definedName name="TR">Sheet1!$T$44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" i="1" l="1"/>
  <c r="F46" i="1"/>
  <c r="G46" i="1"/>
  <c r="H46" i="1"/>
  <c r="D46" i="1"/>
  <c r="G56" i="1"/>
  <c r="G57" i="1" s="1"/>
  <c r="H56" i="1"/>
  <c r="T46" i="1" s="1"/>
  <c r="I37" i="1"/>
  <c r="J37" i="1" s="1"/>
  <c r="K37" i="1" s="1"/>
  <c r="L37" i="1" s="1"/>
  <c r="M37" i="1" s="1"/>
  <c r="N37" i="1" s="1"/>
  <c r="O37" i="1" s="1"/>
  <c r="P37" i="1" s="1"/>
  <c r="Q37" i="1" s="1"/>
  <c r="I36" i="1"/>
  <c r="J36" i="1" s="1"/>
  <c r="K36" i="1" s="1"/>
  <c r="L36" i="1" s="1"/>
  <c r="M36" i="1" s="1"/>
  <c r="N36" i="1" s="1"/>
  <c r="O36" i="1" s="1"/>
  <c r="P36" i="1" s="1"/>
  <c r="Q36" i="1" s="1"/>
  <c r="I34" i="1"/>
  <c r="J34" i="1" s="1"/>
  <c r="K34" i="1" s="1"/>
  <c r="L34" i="1" s="1"/>
  <c r="M34" i="1" s="1"/>
  <c r="N34" i="1" s="1"/>
  <c r="O34" i="1" s="1"/>
  <c r="P34" i="1" s="1"/>
  <c r="Q34" i="1" s="1"/>
  <c r="J24" i="1"/>
  <c r="K24" i="1" s="1"/>
  <c r="L24" i="1" s="1"/>
  <c r="M24" i="1" s="1"/>
  <c r="N24" i="1" s="1"/>
  <c r="O24" i="1" s="1"/>
  <c r="I28" i="1"/>
  <c r="I46" i="1" s="1"/>
  <c r="I19" i="1"/>
  <c r="I25" i="1"/>
  <c r="I33" i="1" s="1"/>
  <c r="J18" i="1"/>
  <c r="J19" i="1" s="1"/>
  <c r="I13" i="1"/>
  <c r="J12" i="1"/>
  <c r="J13" i="1" s="1"/>
  <c r="I7" i="1"/>
  <c r="J6" i="1"/>
  <c r="J7" i="1" s="1"/>
  <c r="H26" i="1"/>
  <c r="G26" i="1"/>
  <c r="F26" i="1"/>
  <c r="E26" i="1"/>
  <c r="D26" i="1"/>
  <c r="H20" i="1"/>
  <c r="G20" i="1"/>
  <c r="F20" i="1"/>
  <c r="E20" i="1"/>
  <c r="D20" i="1"/>
  <c r="H14" i="1"/>
  <c r="G14" i="1"/>
  <c r="F14" i="1"/>
  <c r="E14" i="1"/>
  <c r="D14" i="1"/>
  <c r="D8" i="1"/>
  <c r="E8" i="1"/>
  <c r="F8" i="1"/>
  <c r="G8" i="1"/>
  <c r="H8" i="1"/>
  <c r="G50" i="1"/>
  <c r="H50" i="1"/>
  <c r="E50" i="1"/>
  <c r="F50" i="1"/>
  <c r="C50" i="1"/>
  <c r="D50" i="1"/>
  <c r="C29" i="1"/>
  <c r="C33" i="1" s="1"/>
  <c r="D29" i="1"/>
  <c r="D33" i="1" s="1"/>
  <c r="D35" i="1" s="1"/>
  <c r="D39" i="1" s="1"/>
  <c r="D41" i="1" s="1"/>
  <c r="D44" i="1" s="1"/>
  <c r="E29" i="1"/>
  <c r="E33" i="1" s="1"/>
  <c r="E35" i="1" s="1"/>
  <c r="E39" i="1" s="1"/>
  <c r="E41" i="1" s="1"/>
  <c r="E44" i="1" s="1"/>
  <c r="F29" i="1"/>
  <c r="F33" i="1" s="1"/>
  <c r="F35" i="1" s="1"/>
  <c r="F39" i="1" s="1"/>
  <c r="F41" i="1" s="1"/>
  <c r="F44" i="1" s="1"/>
  <c r="G29" i="1"/>
  <c r="G33" i="1" s="1"/>
  <c r="G35" i="1" s="1"/>
  <c r="G39" i="1" s="1"/>
  <c r="G41" i="1" s="1"/>
  <c r="G44" i="1" s="1"/>
  <c r="H29" i="1"/>
  <c r="H33" i="1" s="1"/>
  <c r="H35" i="1" s="1"/>
  <c r="H39" i="1" s="1"/>
  <c r="H41" i="1" s="1"/>
  <c r="H44" i="1" s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K6" i="1" l="1"/>
  <c r="K12" i="1"/>
  <c r="I35" i="1"/>
  <c r="I39" i="1" s="1"/>
  <c r="I43" i="1"/>
  <c r="K18" i="1"/>
  <c r="H57" i="1"/>
  <c r="J28" i="1"/>
  <c r="J46" i="1" s="1"/>
  <c r="K25" i="1"/>
  <c r="J25" i="1"/>
  <c r="J33" i="1" s="1"/>
  <c r="C35" i="1"/>
  <c r="C39" i="1" s="1"/>
  <c r="C41" i="1" s="1"/>
  <c r="C44" i="1" s="1"/>
  <c r="C43" i="1"/>
  <c r="H43" i="1"/>
  <c r="G43" i="1"/>
  <c r="F43" i="1"/>
  <c r="E43" i="1"/>
  <c r="D43" i="1"/>
  <c r="K7" i="1" l="1"/>
  <c r="L6" i="1"/>
  <c r="K13" i="1"/>
  <c r="L12" i="1"/>
  <c r="L18" i="1"/>
  <c r="K19" i="1"/>
  <c r="J43" i="1"/>
  <c r="J35" i="1"/>
  <c r="J39" i="1" s="1"/>
  <c r="K33" i="1"/>
  <c r="K28" i="1"/>
  <c r="K46" i="1" s="1"/>
  <c r="I40" i="1"/>
  <c r="I41" i="1" s="1"/>
  <c r="L25" i="1"/>
  <c r="M6" i="1" l="1"/>
  <c r="L7" i="1"/>
  <c r="L13" i="1"/>
  <c r="M12" i="1"/>
  <c r="I44" i="1"/>
  <c r="K43" i="1"/>
  <c r="K35" i="1"/>
  <c r="K39" i="1" s="1"/>
  <c r="J40" i="1"/>
  <c r="J41" i="1"/>
  <c r="J44" i="1" s="1"/>
  <c r="M18" i="1"/>
  <c r="L19" i="1"/>
  <c r="L33" i="1" s="1"/>
  <c r="L28" i="1"/>
  <c r="L46" i="1" s="1"/>
  <c r="M25" i="1"/>
  <c r="N6" i="1" l="1"/>
  <c r="M7" i="1"/>
  <c r="N12" i="1"/>
  <c r="M13" i="1"/>
  <c r="L35" i="1"/>
  <c r="L39" i="1" s="1"/>
  <c r="L43" i="1"/>
  <c r="N18" i="1"/>
  <c r="M19" i="1"/>
  <c r="M33" i="1" s="1"/>
  <c r="M28" i="1"/>
  <c r="M46" i="1" s="1"/>
  <c r="K40" i="1"/>
  <c r="K41" i="1" s="1"/>
  <c r="N25" i="1"/>
  <c r="O6" i="1" l="1"/>
  <c r="N7" i="1"/>
  <c r="O12" i="1"/>
  <c r="N13" i="1"/>
  <c r="K44" i="1"/>
  <c r="M43" i="1"/>
  <c r="M35" i="1"/>
  <c r="M39" i="1" s="1"/>
  <c r="O18" i="1"/>
  <c r="N19" i="1"/>
  <c r="N33" i="1" s="1"/>
  <c r="N28" i="1"/>
  <c r="N46" i="1" s="1"/>
  <c r="L40" i="1"/>
  <c r="L41" i="1" s="1"/>
  <c r="P24" i="1"/>
  <c r="O25" i="1"/>
  <c r="P6" i="1" l="1"/>
  <c r="O7" i="1"/>
  <c r="P12" i="1"/>
  <c r="O13" i="1"/>
  <c r="L44" i="1"/>
  <c r="N43" i="1"/>
  <c r="N35" i="1"/>
  <c r="N39" i="1" s="1"/>
  <c r="P18" i="1"/>
  <c r="P28" i="1" s="1"/>
  <c r="O19" i="1"/>
  <c r="O33" i="1" s="1"/>
  <c r="O28" i="1"/>
  <c r="O46" i="1" s="1"/>
  <c r="M40" i="1"/>
  <c r="M41" i="1" s="1"/>
  <c r="Q24" i="1"/>
  <c r="P25" i="1"/>
  <c r="P46" i="1" l="1"/>
  <c r="Q6" i="1"/>
  <c r="Q7" i="1" s="1"/>
  <c r="P7" i="1"/>
  <c r="Q12" i="1"/>
  <c r="Q13" i="1" s="1"/>
  <c r="P13" i="1"/>
  <c r="O43" i="1"/>
  <c r="O35" i="1"/>
  <c r="O39" i="1" s="1"/>
  <c r="M44" i="1"/>
  <c r="Q18" i="1"/>
  <c r="Q19" i="1" s="1"/>
  <c r="P19" i="1"/>
  <c r="N40" i="1"/>
  <c r="N41" i="1" s="1"/>
  <c r="N44" i="1" s="1"/>
  <c r="P33" i="1"/>
  <c r="Q25" i="1"/>
  <c r="Q28" i="1" l="1"/>
  <c r="Q46" i="1" s="1"/>
  <c r="Q33" i="1"/>
  <c r="P43" i="1"/>
  <c r="P35" i="1"/>
  <c r="P39" i="1" s="1"/>
  <c r="Q43" i="1"/>
  <c r="Q35" i="1"/>
  <c r="Q39" i="1" s="1"/>
  <c r="O40" i="1"/>
  <c r="O41" i="1"/>
  <c r="O44" i="1" s="1"/>
  <c r="Q40" i="1" l="1"/>
  <c r="Q41" i="1"/>
  <c r="P40" i="1"/>
  <c r="P41" i="1" s="1"/>
  <c r="P44" i="1" s="1"/>
  <c r="Q44" i="1" l="1"/>
  <c r="R41" i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T45" i="1" s="1"/>
  <c r="T47" i="1" s="1"/>
  <c r="T48" i="1" s="1"/>
</calcChain>
</file>

<file path=xl/sharedStrings.xml><?xml version="1.0" encoding="utf-8"?>
<sst xmlns="http://schemas.openxmlformats.org/spreadsheetml/2006/main" count="50" uniqueCount="36">
  <si>
    <t>Revenue</t>
  </si>
  <si>
    <t>Sonstige Erträge</t>
  </si>
  <si>
    <t>Materialaufwand</t>
  </si>
  <si>
    <t>Personalaufwand</t>
  </si>
  <si>
    <t>Sonstige Aufwendungen</t>
  </si>
  <si>
    <t>EBITDA</t>
  </si>
  <si>
    <t>D&amp;A</t>
  </si>
  <si>
    <t>EBIT</t>
  </si>
  <si>
    <t>Zinserträge</t>
  </si>
  <si>
    <t>Zinsaufwendung</t>
  </si>
  <si>
    <t>EBT</t>
  </si>
  <si>
    <t>Taxes</t>
  </si>
  <si>
    <t>Net Income</t>
  </si>
  <si>
    <t>Sonstige Finanzen, net</t>
  </si>
  <si>
    <t>Income Margin</t>
  </si>
  <si>
    <t>EBITDA Margin</t>
  </si>
  <si>
    <t>CFFO</t>
  </si>
  <si>
    <t>CapEx</t>
  </si>
  <si>
    <t>FCF</t>
  </si>
  <si>
    <t>Aufträge</t>
  </si>
  <si>
    <t>Umsatz</t>
  </si>
  <si>
    <t>Pulp &amp; Paper:</t>
  </si>
  <si>
    <t>Metals:</t>
  </si>
  <si>
    <t>Hydro:</t>
  </si>
  <si>
    <t>Separation:</t>
  </si>
  <si>
    <t>Discount</t>
  </si>
  <si>
    <t>Terminal</t>
  </si>
  <si>
    <t>NPV</t>
  </si>
  <si>
    <t>Net Cash</t>
  </si>
  <si>
    <t>PP&amp;E</t>
  </si>
  <si>
    <t>Inventory</t>
  </si>
  <si>
    <t>Cash</t>
  </si>
  <si>
    <t>Debt</t>
  </si>
  <si>
    <t>NAV</t>
  </si>
  <si>
    <t>Value</t>
  </si>
  <si>
    <t>Revenue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</si>
</sst>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9" fontId="0" fillId="0" borderId="0" xfId="1" applyFont="1"/>
    <xf numFmtId="164" fontId="0" fillId="0" borderId="0" xfId="1" applyNumberFormat="1" applyFont="1"/>
    <xf numFmtId="4" fontId="0" fillId="0" borderId="0" xfId="0" applyNumberFormat="1"/>
    <xf numFmtId="165" fontId="0" fillId="0" borderId="0" xfId="0" applyNumberFormat="1"/>
    <xf numFmtId="3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600808</xdr:colOff>
      <xdr:row>3</xdr:row>
      <xdr:rowOff>183173</xdr:rowOff>
    </xdr:from>
    <xdr:to>
      <xdr:col>8</xdr:col>
      <xdr:colOff>0</xdr:colOff>
      <xdr:row>50</xdr:row>
      <xdr:rowOff>124558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DB67303-706D-297E-AD16-39ECB65E0657}"/>
            </a:ext>
          </a:extLst>
        </xdr:cNvPr>
        <xdr:cNvCxnSpPr/>
      </xdr:nvCxnSpPr>
      <xdr:spPr>
        <a:xfrm>
          <a:off x="5795596" y="754673"/>
          <a:ext cx="7327" cy="8513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B883-5A98-4F1C-B22B-BE1B29BBF0FB}">
  <dimension ref="B2:BR80"/>
  <sheetViews>
    <sheetView tabSelected="1" zoomScale="130" zoomScaleNormal="130" workbookViewId="0">
      <pane xSplit="2" ySplit="2" topLeftCell="D24" activePane="bottomRight" state="frozen"/>
      <selection pane="topRight" activeCell="C1" sqref="C1"/>
      <selection pane="bottomLeft" activeCell="A3" sqref="A3"/>
      <selection pane="bottomRight" activeCell="T48" sqref="T48"/>
    </sheetView>
  </sheetViews>
  <sheetFormatPr defaultRowHeight="15" x14ac:dyDescent="0.25"/>
  <cols>
    <col min="2" max="2" width="23.140625" bestFit="1" customWidth="1"/>
  </cols>
  <sheetData>
    <row r="2" spans="2:17" x14ac:dyDescent="0.25">
      <c r="C2">
        <v>2018</v>
      </c>
      <c r="D2">
        <f>+C2+1</f>
        <v>2019</v>
      </c>
      <c r="E2">
        <f>+D2+1</f>
        <v>2020</v>
      </c>
      <c r="F2">
        <f>+E2+1</f>
        <v>2021</v>
      </c>
      <c r="G2">
        <f>+F2+1</f>
        <v>2022</v>
      </c>
      <c r="H2">
        <f>+G2+1</f>
        <v>2023</v>
      </c>
      <c r="I2">
        <f t="shared" ref="I2:O2" si="0">+H2+1</f>
        <v>2024</v>
      </c>
      <c r="J2">
        <f t="shared" si="0"/>
        <v>2025</v>
      </c>
      <c r="K2">
        <f t="shared" si="0"/>
        <v>2026</v>
      </c>
      <c r="L2">
        <f t="shared" si="0"/>
        <v>2027</v>
      </c>
      <c r="M2">
        <f t="shared" si="0"/>
        <v>2028</v>
      </c>
      <c r="N2">
        <f t="shared" si="0"/>
        <v>2029</v>
      </c>
      <c r="O2">
        <f t="shared" si="0"/>
        <v>2030</v>
      </c>
      <c r="P2">
        <f>+O2+1</f>
        <v>2031</v>
      </c>
      <c r="Q2">
        <f>+P2+1</f>
        <v>2032</v>
      </c>
    </row>
    <row r="3" spans="2:17" s="1" customFormat="1" x14ac:dyDescent="0.25"/>
    <row r="4" spans="2:17" s="1" customFormat="1" x14ac:dyDescent="0.25">
      <c r="B4" s="1" t="s">
        <v>21</v>
      </c>
    </row>
    <row r="5" spans="2:17" s="1" customFormat="1" x14ac:dyDescent="0.25">
      <c r="B5" s="1" t="s">
        <v>19</v>
      </c>
      <c r="D5" s="1">
        <v>3164.3</v>
      </c>
      <c r="E5" s="1">
        <v>2591</v>
      </c>
      <c r="F5" s="1">
        <v>3377.2</v>
      </c>
      <c r="G5" s="1">
        <v>4207.8</v>
      </c>
      <c r="H5" s="1">
        <v>3229.5</v>
      </c>
    </row>
    <row r="6" spans="2:17" s="1" customFormat="1" x14ac:dyDescent="0.25">
      <c r="B6" s="1" t="s">
        <v>20</v>
      </c>
      <c r="D6" s="1">
        <v>2869.5</v>
      </c>
      <c r="E6" s="1">
        <v>3339</v>
      </c>
      <c r="F6" s="1">
        <v>3070.6</v>
      </c>
      <c r="G6" s="1">
        <v>3513.8</v>
      </c>
      <c r="H6" s="1">
        <v>4096.3</v>
      </c>
      <c r="I6" s="1">
        <v>3400</v>
      </c>
      <c r="J6" s="1">
        <f>+I6*1.035</f>
        <v>3518.9999999999995</v>
      </c>
      <c r="K6" s="1">
        <f t="shared" ref="K6:Q6" si="1">+J6*1.035</f>
        <v>3642.1649999999991</v>
      </c>
      <c r="L6" s="1">
        <f t="shared" si="1"/>
        <v>3769.6407749999989</v>
      </c>
      <c r="M6" s="1">
        <f t="shared" si="1"/>
        <v>3901.5782021249988</v>
      </c>
      <c r="N6" s="1">
        <f t="shared" si="1"/>
        <v>4038.1334391993737</v>
      </c>
      <c r="O6" s="1">
        <f t="shared" si="1"/>
        <v>4179.4681095713513</v>
      </c>
      <c r="P6" s="1">
        <f t="shared" si="1"/>
        <v>4325.7494934063479</v>
      </c>
      <c r="Q6" s="1">
        <f t="shared" si="1"/>
        <v>4477.1507256755694</v>
      </c>
    </row>
    <row r="7" spans="2:17" s="1" customFormat="1" x14ac:dyDescent="0.25">
      <c r="B7" s="1" t="s">
        <v>5</v>
      </c>
      <c r="D7" s="1">
        <v>351.4</v>
      </c>
      <c r="E7" s="1">
        <v>399.6</v>
      </c>
      <c r="F7" s="1">
        <v>423.4</v>
      </c>
      <c r="G7" s="1">
        <v>462.1</v>
      </c>
      <c r="H7" s="1">
        <v>505</v>
      </c>
      <c r="I7" s="1">
        <f>+I6*0.12</f>
        <v>408</v>
      </c>
      <c r="J7" s="1">
        <f t="shared" ref="J7:Q7" si="2">+J6*0.12</f>
        <v>422.27999999999992</v>
      </c>
      <c r="K7" s="1">
        <f t="shared" si="2"/>
        <v>437.05979999999988</v>
      </c>
      <c r="L7" s="1">
        <f t="shared" si="2"/>
        <v>452.35689299999984</v>
      </c>
      <c r="M7" s="1">
        <f t="shared" si="2"/>
        <v>468.18938425499982</v>
      </c>
      <c r="N7" s="1">
        <f t="shared" si="2"/>
        <v>484.57601270392485</v>
      </c>
      <c r="O7" s="1">
        <f t="shared" si="2"/>
        <v>501.53617314856211</v>
      </c>
      <c r="P7" s="1">
        <f t="shared" si="2"/>
        <v>519.08993920876173</v>
      </c>
      <c r="Q7" s="1">
        <f t="shared" si="2"/>
        <v>537.25808708106831</v>
      </c>
    </row>
    <row r="8" spans="2:17" s="1" customFormat="1" x14ac:dyDescent="0.25">
      <c r="B8" s="1" t="s">
        <v>15</v>
      </c>
      <c r="D8" s="3">
        <f t="shared" ref="D8:G8" si="3">+D7/D6</f>
        <v>0.12246035894755183</v>
      </c>
      <c r="E8" s="3">
        <f t="shared" si="3"/>
        <v>0.11967654986522912</v>
      </c>
      <c r="F8" s="3">
        <f t="shared" si="3"/>
        <v>0.13788836058099394</v>
      </c>
      <c r="G8" s="3">
        <f t="shared" si="3"/>
        <v>0.13151004610393308</v>
      </c>
      <c r="H8" s="3">
        <f>+H7/H6</f>
        <v>0.12328198618265264</v>
      </c>
    </row>
    <row r="9" spans="2:17" s="1" customFormat="1" x14ac:dyDescent="0.25">
      <c r="D9" s="2"/>
      <c r="E9" s="2"/>
      <c r="F9" s="2"/>
      <c r="G9" s="2"/>
      <c r="H9" s="2"/>
    </row>
    <row r="10" spans="2:17" s="1" customFormat="1" x14ac:dyDescent="0.25">
      <c r="B10" s="1" t="s">
        <v>22</v>
      </c>
    </row>
    <row r="11" spans="2:17" s="1" customFormat="1" x14ac:dyDescent="0.25">
      <c r="B11" s="1" t="s">
        <v>19</v>
      </c>
      <c r="D11" s="1">
        <v>1532.7</v>
      </c>
      <c r="E11" s="1">
        <v>1181.5999999999999</v>
      </c>
      <c r="F11" s="1">
        <v>1541.7</v>
      </c>
      <c r="G11" s="1">
        <v>1938.1</v>
      </c>
      <c r="H11" s="1">
        <v>2183.1</v>
      </c>
    </row>
    <row r="12" spans="2:17" s="1" customFormat="1" x14ac:dyDescent="0.25">
      <c r="B12" s="1" t="s">
        <v>20</v>
      </c>
      <c r="D12" s="1">
        <v>1636.9</v>
      </c>
      <c r="E12" s="1">
        <v>1420.5</v>
      </c>
      <c r="F12" s="1">
        <v>1366.1</v>
      </c>
      <c r="G12" s="1">
        <v>1621.2</v>
      </c>
      <c r="H12" s="1">
        <v>1840.5</v>
      </c>
      <c r="I12" s="1">
        <v>1500</v>
      </c>
      <c r="J12" s="1">
        <f>+I12*1.05</f>
        <v>1575</v>
      </c>
      <c r="K12" s="1">
        <f t="shared" ref="K12:Q12" si="4">+J12*1.05</f>
        <v>1653.75</v>
      </c>
      <c r="L12" s="1">
        <f t="shared" si="4"/>
        <v>1736.4375</v>
      </c>
      <c r="M12" s="1">
        <f t="shared" si="4"/>
        <v>1823.2593750000001</v>
      </c>
      <c r="N12" s="1">
        <f t="shared" si="4"/>
        <v>1914.4223437500002</v>
      </c>
      <c r="O12" s="1">
        <f t="shared" si="4"/>
        <v>2010.1434609375003</v>
      </c>
      <c r="P12" s="1">
        <f t="shared" si="4"/>
        <v>2110.6506339843754</v>
      </c>
      <c r="Q12" s="1">
        <f t="shared" si="4"/>
        <v>2216.1831656835943</v>
      </c>
    </row>
    <row r="13" spans="2:17" s="1" customFormat="1" x14ac:dyDescent="0.25">
      <c r="B13" s="1" t="s">
        <v>5</v>
      </c>
      <c r="D13" s="1">
        <v>-1.5</v>
      </c>
      <c r="E13" s="1">
        <v>5.5</v>
      </c>
      <c r="F13" s="1">
        <v>81.7</v>
      </c>
      <c r="G13" s="1">
        <v>100.9</v>
      </c>
      <c r="H13" s="1">
        <v>125.3</v>
      </c>
      <c r="I13" s="1">
        <f>+I12*0.061</f>
        <v>91.5</v>
      </c>
      <c r="J13" s="1">
        <f>+J12*0.063</f>
        <v>99.224999999999994</v>
      </c>
      <c r="K13" s="1">
        <f>+K12*0.065</f>
        <v>107.49375000000001</v>
      </c>
      <c r="L13" s="1">
        <f>+L12*0.067</f>
        <v>116.3413125</v>
      </c>
      <c r="M13" s="1">
        <f>+M12*0.068</f>
        <v>123.98163750000002</v>
      </c>
      <c r="N13" s="1">
        <f>+N12*0.069</f>
        <v>132.09514171875003</v>
      </c>
      <c r="O13" s="1">
        <f>+O12*0.07</f>
        <v>140.71004226562505</v>
      </c>
      <c r="P13" s="1">
        <f>+P12*0.071</f>
        <v>149.85619501289065</v>
      </c>
      <c r="Q13" s="1">
        <f>+Q12*0.072</f>
        <v>159.56518792921878</v>
      </c>
    </row>
    <row r="14" spans="2:17" s="1" customFormat="1" x14ac:dyDescent="0.25">
      <c r="B14" s="1" t="s">
        <v>15</v>
      </c>
      <c r="D14" s="3">
        <f t="shared" ref="D14" si="5">+D13/D12</f>
        <v>-9.1636630215651536E-4</v>
      </c>
      <c r="E14" s="3">
        <f t="shared" ref="E14" si="6">+E13/E12</f>
        <v>3.871876099964801E-3</v>
      </c>
      <c r="F14" s="3">
        <f t="shared" ref="F14" si="7">+F13/F12</f>
        <v>5.9805285118219753E-2</v>
      </c>
      <c r="G14" s="3">
        <f t="shared" ref="G14" si="8">+G13/G12</f>
        <v>6.2237848507278558E-2</v>
      </c>
      <c r="H14" s="3">
        <f>+H13/H12</f>
        <v>6.8079326270035309E-2</v>
      </c>
    </row>
    <row r="15" spans="2:17" s="1" customFormat="1" x14ac:dyDescent="0.25">
      <c r="D15" s="2"/>
      <c r="E15" s="2"/>
      <c r="F15" s="2"/>
      <c r="G15" s="2"/>
      <c r="H15" s="2"/>
    </row>
    <row r="16" spans="2:17" s="1" customFormat="1" x14ac:dyDescent="0.25">
      <c r="B16" s="1" t="s">
        <v>23</v>
      </c>
    </row>
    <row r="17" spans="2:17" s="1" customFormat="1" x14ac:dyDescent="0.25">
      <c r="B17" s="1" t="s">
        <v>19</v>
      </c>
      <c r="D17" s="1">
        <v>2661</v>
      </c>
      <c r="E17" s="1">
        <v>2587.9</v>
      </c>
      <c r="F17" s="1">
        <v>2747.8</v>
      </c>
      <c r="G17" s="1">
        <v>2878.4</v>
      </c>
      <c r="H17" s="1">
        <v>3398.8</v>
      </c>
    </row>
    <row r="18" spans="2:17" s="1" customFormat="1" x14ac:dyDescent="0.25">
      <c r="B18" s="1" t="s">
        <v>20</v>
      </c>
      <c r="D18" s="1">
        <v>1470.7</v>
      </c>
      <c r="E18" s="1">
        <v>1296</v>
      </c>
      <c r="F18" s="1">
        <v>1345.1</v>
      </c>
      <c r="G18" s="1">
        <v>1313</v>
      </c>
      <c r="H18" s="1">
        <v>1521.7</v>
      </c>
      <c r="I18" s="1">
        <v>1300</v>
      </c>
      <c r="J18" s="1">
        <f>+I18*1.055</f>
        <v>1371.5</v>
      </c>
      <c r="K18" s="1">
        <f t="shared" ref="K18:Q18" si="9">+J18*1.055</f>
        <v>1446.9324999999999</v>
      </c>
      <c r="L18" s="1">
        <f t="shared" si="9"/>
        <v>1526.5137874999998</v>
      </c>
      <c r="M18" s="1">
        <f t="shared" si="9"/>
        <v>1610.4720458124998</v>
      </c>
      <c r="N18" s="1">
        <f t="shared" si="9"/>
        <v>1699.0480083321872</v>
      </c>
      <c r="O18" s="1">
        <f t="shared" si="9"/>
        <v>1792.4956487904574</v>
      </c>
      <c r="P18" s="1">
        <f t="shared" si="9"/>
        <v>1891.0829094739324</v>
      </c>
      <c r="Q18" s="1">
        <f t="shared" si="9"/>
        <v>1995.0924694949986</v>
      </c>
    </row>
    <row r="19" spans="2:17" s="1" customFormat="1" x14ac:dyDescent="0.25">
      <c r="B19" s="1" t="s">
        <v>5</v>
      </c>
      <c r="D19" s="1">
        <v>134.1</v>
      </c>
      <c r="E19" s="1">
        <v>98.5</v>
      </c>
      <c r="F19" s="1">
        <v>133</v>
      </c>
      <c r="G19" s="1">
        <v>107.7</v>
      </c>
      <c r="H19" s="1">
        <v>113.9</v>
      </c>
      <c r="I19" s="1">
        <f>+I18*0.08</f>
        <v>104</v>
      </c>
      <c r="J19" s="1">
        <f t="shared" ref="J19:Q19" si="10">+J18*0.08</f>
        <v>109.72</v>
      </c>
      <c r="K19" s="1">
        <f t="shared" si="10"/>
        <v>115.7546</v>
      </c>
      <c r="L19" s="1">
        <f t="shared" si="10"/>
        <v>122.12110299999999</v>
      </c>
      <c r="M19" s="1">
        <f t="shared" si="10"/>
        <v>128.83776366499998</v>
      </c>
      <c r="N19" s="1">
        <f t="shared" si="10"/>
        <v>135.92384066657499</v>
      </c>
      <c r="O19" s="1">
        <f t="shared" si="10"/>
        <v>143.39965190323659</v>
      </c>
      <c r="P19" s="1">
        <f t="shared" si="10"/>
        <v>151.28663275791459</v>
      </c>
      <c r="Q19" s="1">
        <f t="shared" si="10"/>
        <v>159.60739755959989</v>
      </c>
    </row>
    <row r="20" spans="2:17" s="1" customFormat="1" x14ac:dyDescent="0.25">
      <c r="B20" s="1" t="s">
        <v>15</v>
      </c>
      <c r="D20" s="2">
        <f t="shared" ref="D20" si="11">+D19/D18</f>
        <v>9.1181070238661857E-2</v>
      </c>
      <c r="E20" s="2">
        <f t="shared" ref="E20" si="12">+E19/E18</f>
        <v>7.6003086419753091E-2</v>
      </c>
      <c r="F20" s="2">
        <f t="shared" ref="F20" si="13">+F19/F18</f>
        <v>9.8877406884246524E-2</v>
      </c>
      <c r="G20" s="2">
        <f t="shared" ref="G20" si="14">+G19/G18</f>
        <v>8.2025894897182025E-2</v>
      </c>
      <c r="H20" s="2">
        <f>+H19/H18</f>
        <v>7.4850496155615426E-2</v>
      </c>
    </row>
    <row r="21" spans="2:17" s="1" customFormat="1" x14ac:dyDescent="0.25">
      <c r="D21" s="2"/>
      <c r="E21" s="2"/>
      <c r="F21" s="2"/>
      <c r="G21" s="2"/>
      <c r="H21" s="2"/>
    </row>
    <row r="22" spans="2:17" s="1" customFormat="1" x14ac:dyDescent="0.25">
      <c r="B22" s="1" t="s">
        <v>24</v>
      </c>
      <c r="E22" s="5"/>
      <c r="F22" s="5"/>
      <c r="G22" s="5"/>
      <c r="H22" s="5"/>
    </row>
    <row r="23" spans="2:17" s="1" customFormat="1" x14ac:dyDescent="0.25">
      <c r="B23" s="1" t="s">
        <v>19</v>
      </c>
      <c r="D23" s="1">
        <v>419.6</v>
      </c>
      <c r="E23" s="1">
        <v>413.5</v>
      </c>
      <c r="F23" s="1">
        <v>499.1</v>
      </c>
      <c r="G23" s="1">
        <v>952.2</v>
      </c>
      <c r="H23" s="1">
        <v>1061.2</v>
      </c>
    </row>
    <row r="24" spans="2:17" s="1" customFormat="1" x14ac:dyDescent="0.25">
      <c r="B24" s="1" t="s">
        <v>20</v>
      </c>
      <c r="D24" s="1">
        <v>696.8</v>
      </c>
      <c r="E24" s="1">
        <v>644.1</v>
      </c>
      <c r="F24" s="1">
        <v>681.2</v>
      </c>
      <c r="G24" s="1">
        <v>1094.9000000000001</v>
      </c>
      <c r="H24" s="1">
        <v>1201.5</v>
      </c>
      <c r="I24" s="1">
        <v>1400</v>
      </c>
      <c r="J24" s="1">
        <f>+I24*1.122</f>
        <v>1570.8000000000002</v>
      </c>
      <c r="K24" s="1">
        <f t="shared" ref="K24:O24" si="15">+J24*1.122</f>
        <v>1762.4376000000004</v>
      </c>
      <c r="L24" s="1">
        <f t="shared" si="15"/>
        <v>1977.4549872000007</v>
      </c>
      <c r="M24" s="1">
        <f t="shared" si="15"/>
        <v>2218.7044956384011</v>
      </c>
      <c r="N24" s="1">
        <f t="shared" si="15"/>
        <v>2489.3864441062865</v>
      </c>
      <c r="O24" s="1">
        <f t="shared" si="15"/>
        <v>2793.0915902872539</v>
      </c>
      <c r="P24" s="1">
        <f>+O24*1.08</f>
        <v>3016.5389175102346</v>
      </c>
      <c r="Q24" s="1">
        <f>+P24*1.05</f>
        <v>3167.3658633857463</v>
      </c>
    </row>
    <row r="25" spans="2:17" s="1" customFormat="1" x14ac:dyDescent="0.25">
      <c r="B25" s="1" t="s">
        <v>5</v>
      </c>
      <c r="D25" s="1">
        <v>53.6</v>
      </c>
      <c r="E25" s="1">
        <v>67.5</v>
      </c>
      <c r="F25" s="1">
        <v>80.2</v>
      </c>
      <c r="G25" s="1">
        <v>154.80000000000001</v>
      </c>
      <c r="H25" s="1">
        <v>166</v>
      </c>
      <c r="I25" s="1">
        <f>+I24*0.14</f>
        <v>196.00000000000003</v>
      </c>
      <c r="J25" s="1">
        <f t="shared" ref="J25:Q25" si="16">+J24*0.14</f>
        <v>219.91200000000003</v>
      </c>
      <c r="K25" s="1">
        <f t="shared" si="16"/>
        <v>246.74126400000009</v>
      </c>
      <c r="L25" s="1">
        <f t="shared" si="16"/>
        <v>276.84369820800015</v>
      </c>
      <c r="M25" s="1">
        <f t="shared" si="16"/>
        <v>310.61862938937617</v>
      </c>
      <c r="N25" s="1">
        <f t="shared" si="16"/>
        <v>348.51410217488012</v>
      </c>
      <c r="O25" s="1">
        <f t="shared" si="16"/>
        <v>391.03282264021556</v>
      </c>
      <c r="P25" s="1">
        <f t="shared" si="16"/>
        <v>422.31544845143287</v>
      </c>
      <c r="Q25" s="1">
        <f t="shared" si="16"/>
        <v>443.43122087400451</v>
      </c>
    </row>
    <row r="26" spans="2:17" s="1" customFormat="1" x14ac:dyDescent="0.25">
      <c r="B26" s="1" t="s">
        <v>15</v>
      </c>
      <c r="D26" s="2">
        <f t="shared" ref="D26" si="17">+D25/D24</f>
        <v>7.6923076923076927E-2</v>
      </c>
      <c r="E26" s="2">
        <f t="shared" ref="E26" si="18">+E25/E24</f>
        <v>0.10479739170936189</v>
      </c>
      <c r="F26" s="2">
        <f t="shared" ref="F26" si="19">+F25/F24</f>
        <v>0.1177334116265414</v>
      </c>
      <c r="G26" s="2">
        <f t="shared" ref="G26" si="20">+G25/G24</f>
        <v>0.14138277468261942</v>
      </c>
      <c r="H26" s="2">
        <f>+H25/H24</f>
        <v>0.13816063254265501</v>
      </c>
    </row>
    <row r="27" spans="2:17" s="1" customFormat="1" x14ac:dyDescent="0.25"/>
    <row r="28" spans="2:17" s="6" customFormat="1" x14ac:dyDescent="0.25">
      <c r="B28" s="6" t="s">
        <v>0</v>
      </c>
      <c r="C28" s="6">
        <v>6031.4549999999999</v>
      </c>
      <c r="D28" s="6">
        <v>6673.8959999999997</v>
      </c>
      <c r="E28" s="6">
        <v>6699.6</v>
      </c>
      <c r="F28" s="6">
        <v>6463</v>
      </c>
      <c r="G28" s="6">
        <v>7542.9</v>
      </c>
      <c r="H28" s="6">
        <v>8660</v>
      </c>
      <c r="I28" s="6">
        <f>+I24+I18+I12+I6</f>
        <v>7600</v>
      </c>
      <c r="J28" s="6">
        <f t="shared" ref="J28:Q28" si="21">+J24+J18+J12+J6</f>
        <v>8036.2999999999993</v>
      </c>
      <c r="K28" s="6">
        <f t="shared" si="21"/>
        <v>8505.2850999999991</v>
      </c>
      <c r="L28" s="6">
        <f t="shared" si="21"/>
        <v>9010.0470496999988</v>
      </c>
      <c r="M28" s="6">
        <f t="shared" si="21"/>
        <v>9554.0141185758985</v>
      </c>
      <c r="N28" s="6">
        <f t="shared" si="21"/>
        <v>10140.990235387848</v>
      </c>
      <c r="O28" s="6">
        <f t="shared" si="21"/>
        <v>10775.198809586564</v>
      </c>
      <c r="P28" s="6">
        <f t="shared" si="21"/>
        <v>11344.02195437489</v>
      </c>
      <c r="Q28" s="6">
        <f t="shared" si="21"/>
        <v>11855.792224239907</v>
      </c>
    </row>
    <row r="29" spans="2:17" s="1" customFormat="1" x14ac:dyDescent="0.25">
      <c r="B29" s="1" t="s">
        <v>1</v>
      </c>
      <c r="C29" s="1">
        <f>-3.372+1.835+89.27</f>
        <v>87.73299999999999</v>
      </c>
      <c r="D29" s="1">
        <f>-34.675+6.462+96.201</f>
        <v>67.988</v>
      </c>
      <c r="E29" s="1">
        <f>-30.1+3.7+85.9</f>
        <v>59.5</v>
      </c>
      <c r="F29" s="1">
        <f>65.3+1.8+123.1</f>
        <v>190.2</v>
      </c>
      <c r="G29" s="1">
        <f>61.7+4.6+139.3</f>
        <v>205.60000000000002</v>
      </c>
      <c r="H29" s="1">
        <f>27.8+6.9+124.2</f>
        <v>158.9</v>
      </c>
    </row>
    <row r="30" spans="2:17" s="1" customFormat="1" x14ac:dyDescent="0.25">
      <c r="B30" s="1" t="s">
        <v>2</v>
      </c>
      <c r="C30" s="1">
        <v>2987.7370000000001</v>
      </c>
      <c r="D30" s="1">
        <v>3305.79</v>
      </c>
      <c r="E30" s="1">
        <v>3632.4</v>
      </c>
      <c r="F30" s="1">
        <v>3381</v>
      </c>
      <c r="G30" s="1">
        <v>3995.2</v>
      </c>
      <c r="H30" s="1">
        <v>4718.3</v>
      </c>
    </row>
    <row r="31" spans="2:17" s="1" customFormat="1" x14ac:dyDescent="0.25">
      <c r="B31" s="1" t="s">
        <v>3</v>
      </c>
      <c r="C31" s="1">
        <v>1786.998</v>
      </c>
      <c r="D31" s="1">
        <v>2015.22</v>
      </c>
      <c r="E31" s="1">
        <v>1790.2</v>
      </c>
      <c r="F31" s="1">
        <v>1804.1</v>
      </c>
      <c r="G31" s="1">
        <v>1986.8</v>
      </c>
      <c r="H31" s="1">
        <v>2165.8000000000002</v>
      </c>
    </row>
    <row r="32" spans="2:17" s="1" customFormat="1" x14ac:dyDescent="0.25">
      <c r="B32" s="1" t="s">
        <v>4</v>
      </c>
      <c r="C32" s="1">
        <v>846.404</v>
      </c>
      <c r="D32" s="1">
        <v>883.91200000000003</v>
      </c>
      <c r="E32" s="1">
        <v>765.4</v>
      </c>
      <c r="F32" s="1">
        <v>749.8</v>
      </c>
      <c r="G32" s="1">
        <v>941</v>
      </c>
      <c r="H32" s="1">
        <v>1024.5999999999999</v>
      </c>
    </row>
    <row r="33" spans="2:70" s="1" customFormat="1" x14ac:dyDescent="0.25">
      <c r="B33" s="1" t="s">
        <v>5</v>
      </c>
      <c r="C33" s="1">
        <f>+C28+C29-C30-C31-C32</f>
        <v>498.04899999999998</v>
      </c>
      <c r="D33" s="1">
        <f t="shared" ref="D33:H33" si="22">+D28+D29-D30-D31-D32</f>
        <v>536.96199999999999</v>
      </c>
      <c r="E33" s="1">
        <f t="shared" si="22"/>
        <v>571.10000000000025</v>
      </c>
      <c r="F33" s="1">
        <f t="shared" si="22"/>
        <v>718.3</v>
      </c>
      <c r="G33" s="1">
        <f t="shared" si="22"/>
        <v>825.50000000000023</v>
      </c>
      <c r="H33" s="1">
        <f t="shared" si="22"/>
        <v>910.19999999999936</v>
      </c>
      <c r="I33" s="1">
        <f>+I25+I19+I13+I7</f>
        <v>799.5</v>
      </c>
      <c r="J33" s="1">
        <f t="shared" ref="J33:Q33" si="23">+J25+J19+J13+J7</f>
        <v>851.13699999999994</v>
      </c>
      <c r="K33" s="1">
        <f t="shared" si="23"/>
        <v>907.04941399999996</v>
      </c>
      <c r="L33" s="1">
        <f t="shared" si="23"/>
        <v>967.66300670800001</v>
      </c>
      <c r="M33" s="1">
        <f t="shared" si="23"/>
        <v>1031.627414809376</v>
      </c>
      <c r="N33" s="1">
        <f t="shared" si="23"/>
        <v>1101.10909726413</v>
      </c>
      <c r="O33" s="1">
        <f t="shared" si="23"/>
        <v>1176.6786899576393</v>
      </c>
      <c r="P33" s="1">
        <f t="shared" si="23"/>
        <v>1242.5482154309998</v>
      </c>
      <c r="Q33" s="1">
        <f t="shared" si="23"/>
        <v>1299.8618934438914</v>
      </c>
    </row>
    <row r="34" spans="2:70" s="1" customFormat="1" x14ac:dyDescent="0.25">
      <c r="B34" s="1" t="s">
        <v>6</v>
      </c>
      <c r="C34" s="1">
        <v>160.55000000000001</v>
      </c>
      <c r="D34" s="1">
        <v>270.55399999999997</v>
      </c>
      <c r="E34" s="1">
        <v>251.4</v>
      </c>
      <c r="F34" s="1">
        <v>233.9</v>
      </c>
      <c r="G34" s="1">
        <v>242.6</v>
      </c>
      <c r="H34" s="1">
        <v>225</v>
      </c>
      <c r="I34" s="1">
        <f>+H34*0.95</f>
        <v>213.75</v>
      </c>
      <c r="J34" s="1">
        <f t="shared" ref="J34:Q34" si="24">+I34*0.95</f>
        <v>203.0625</v>
      </c>
      <c r="K34" s="1">
        <f t="shared" si="24"/>
        <v>192.90937499999998</v>
      </c>
      <c r="L34" s="1">
        <f t="shared" si="24"/>
        <v>183.26390624999996</v>
      </c>
      <c r="M34" s="1">
        <f t="shared" si="24"/>
        <v>174.10071093749997</v>
      </c>
      <c r="N34" s="1">
        <f t="shared" si="24"/>
        <v>165.39567539062497</v>
      </c>
      <c r="O34" s="1">
        <f t="shared" si="24"/>
        <v>157.12589162109373</v>
      </c>
      <c r="P34" s="1">
        <f t="shared" si="24"/>
        <v>149.26959704003903</v>
      </c>
      <c r="Q34" s="1">
        <f t="shared" si="24"/>
        <v>141.80611718803706</v>
      </c>
    </row>
    <row r="35" spans="2:70" s="1" customFormat="1" x14ac:dyDescent="0.25">
      <c r="B35" s="1" t="s">
        <v>7</v>
      </c>
      <c r="C35" s="1">
        <f>+C33-C34</f>
        <v>337.49899999999997</v>
      </c>
      <c r="D35" s="1">
        <f t="shared" ref="D35:I35" si="25">+D33-D34</f>
        <v>266.40800000000002</v>
      </c>
      <c r="E35" s="1">
        <f t="shared" si="25"/>
        <v>319.70000000000027</v>
      </c>
      <c r="F35" s="1">
        <f t="shared" si="25"/>
        <v>484.4</v>
      </c>
      <c r="G35" s="1">
        <f t="shared" si="25"/>
        <v>582.9000000000002</v>
      </c>
      <c r="H35" s="1">
        <f t="shared" si="25"/>
        <v>685.19999999999936</v>
      </c>
      <c r="I35" s="1">
        <f t="shared" si="25"/>
        <v>585.75</v>
      </c>
      <c r="J35" s="1">
        <f t="shared" ref="J35" si="26">+J33-J34</f>
        <v>648.07449999999994</v>
      </c>
      <c r="K35" s="1">
        <f t="shared" ref="K35" si="27">+K33-K34</f>
        <v>714.140039</v>
      </c>
      <c r="L35" s="1">
        <f t="shared" ref="L35" si="28">+L33-L34</f>
        <v>784.39910045800002</v>
      </c>
      <c r="M35" s="1">
        <f t="shared" ref="M35" si="29">+M33-M34</f>
        <v>857.52670387187595</v>
      </c>
      <c r="N35" s="1">
        <f t="shared" ref="N35" si="30">+N33-N34</f>
        <v>935.71342187350501</v>
      </c>
      <c r="O35" s="1">
        <f t="shared" ref="O35" si="31">+O33-O34</f>
        <v>1019.5527983365456</v>
      </c>
      <c r="P35" s="1">
        <f t="shared" ref="P35" si="32">+P33-P34</f>
        <v>1093.2786183909607</v>
      </c>
      <c r="Q35" s="1">
        <f t="shared" ref="Q35" si="33">+Q33-Q34</f>
        <v>1158.0557762558544</v>
      </c>
    </row>
    <row r="36" spans="2:70" s="1" customFormat="1" x14ac:dyDescent="0.25">
      <c r="B36" s="1" t="s">
        <v>8</v>
      </c>
      <c r="C36" s="1">
        <v>22.068000000000001</v>
      </c>
      <c r="D36" s="1">
        <v>21.245999999999999</v>
      </c>
      <c r="E36" s="1">
        <v>17.100000000000001</v>
      </c>
      <c r="F36" s="1">
        <v>19.3</v>
      </c>
      <c r="G36" s="1">
        <v>41</v>
      </c>
      <c r="H36" s="1">
        <v>68.5</v>
      </c>
      <c r="I36" s="1">
        <f>+H36*1.05</f>
        <v>71.924999999999997</v>
      </c>
      <c r="J36" s="1">
        <f t="shared" ref="J36:L36" si="34">+I36*1.05</f>
        <v>75.521249999999995</v>
      </c>
      <c r="K36" s="1">
        <f t="shared" si="34"/>
        <v>79.297312500000004</v>
      </c>
      <c r="L36" s="1">
        <f t="shared" si="34"/>
        <v>83.262178125000005</v>
      </c>
      <c r="M36" s="1">
        <f>+L36*1.03</f>
        <v>85.760043468750013</v>
      </c>
      <c r="N36" s="1">
        <f t="shared" ref="N36:Q36" si="35">+M36*1.03</f>
        <v>88.332844772812521</v>
      </c>
      <c r="O36" s="1">
        <f t="shared" si="35"/>
        <v>90.982830115996904</v>
      </c>
      <c r="P36" s="1">
        <f t="shared" si="35"/>
        <v>93.712315019476819</v>
      </c>
      <c r="Q36" s="1">
        <f t="shared" si="35"/>
        <v>96.523684470061127</v>
      </c>
    </row>
    <row r="37" spans="2:70" s="1" customFormat="1" x14ac:dyDescent="0.25">
      <c r="B37" s="1" t="s">
        <v>9</v>
      </c>
      <c r="C37" s="1">
        <v>46.548999999999999</v>
      </c>
      <c r="D37" s="1">
        <v>69.266999999999996</v>
      </c>
      <c r="E37" s="1">
        <v>46.2</v>
      </c>
      <c r="F37" s="1">
        <v>40</v>
      </c>
      <c r="G37" s="1">
        <v>32.299999999999997</v>
      </c>
      <c r="H37" s="1">
        <v>48.9</v>
      </c>
      <c r="I37" s="1">
        <f>+H37*1.05</f>
        <v>51.344999999999999</v>
      </c>
      <c r="J37" s="1">
        <f t="shared" ref="J37:L37" si="36">+I37*1.05</f>
        <v>53.91225</v>
      </c>
      <c r="K37" s="1">
        <f t="shared" si="36"/>
        <v>56.607862500000003</v>
      </c>
      <c r="L37" s="1">
        <f t="shared" si="36"/>
        <v>59.438255625000004</v>
      </c>
      <c r="M37" s="1">
        <f>+L37*1.03</f>
        <v>61.221403293750008</v>
      </c>
      <c r="N37" s="1">
        <f t="shared" ref="N37:Q37" si="37">+M37*1.03</f>
        <v>63.058045392562512</v>
      </c>
      <c r="O37" s="1">
        <f t="shared" si="37"/>
        <v>64.949786754339385</v>
      </c>
      <c r="P37" s="1">
        <f t="shared" si="37"/>
        <v>66.898280356969565</v>
      </c>
      <c r="Q37" s="1">
        <f t="shared" si="37"/>
        <v>68.905228767678651</v>
      </c>
    </row>
    <row r="38" spans="2:70" s="1" customFormat="1" x14ac:dyDescent="0.25">
      <c r="B38" s="1" t="s">
        <v>13</v>
      </c>
      <c r="C38" s="1">
        <v>7.0789999999999997</v>
      </c>
      <c r="D38" s="1">
        <v>-8.8239999999999998</v>
      </c>
      <c r="E38" s="1">
        <v>-0.7</v>
      </c>
      <c r="F38" s="1">
        <v>-15.6</v>
      </c>
      <c r="G38" s="1">
        <v>-41.3</v>
      </c>
      <c r="H38" s="1">
        <v>-19</v>
      </c>
      <c r="I38" s="1">
        <v>-15</v>
      </c>
      <c r="J38" s="1">
        <v>-15</v>
      </c>
      <c r="K38" s="1">
        <v>-15</v>
      </c>
      <c r="L38" s="1">
        <v>-15</v>
      </c>
      <c r="M38" s="1">
        <v>-15</v>
      </c>
      <c r="N38" s="1">
        <v>-15</v>
      </c>
      <c r="O38" s="1">
        <v>-15</v>
      </c>
      <c r="P38" s="1">
        <v>-15</v>
      </c>
      <c r="Q38" s="1">
        <v>-15</v>
      </c>
    </row>
    <row r="39" spans="2:70" s="1" customFormat="1" x14ac:dyDescent="0.25">
      <c r="B39" s="1" t="s">
        <v>10</v>
      </c>
      <c r="C39" s="1">
        <f>+C35+C36-C37+C38</f>
        <v>320.09699999999998</v>
      </c>
      <c r="D39" s="1">
        <f t="shared" ref="D39:H39" si="38">+D35+D36-D37+D38</f>
        <v>209.56299999999999</v>
      </c>
      <c r="E39" s="1">
        <f t="shared" si="38"/>
        <v>289.90000000000032</v>
      </c>
      <c r="F39" s="1">
        <f t="shared" si="38"/>
        <v>448.09999999999997</v>
      </c>
      <c r="G39" s="1">
        <f t="shared" si="38"/>
        <v>550.3000000000003</v>
      </c>
      <c r="H39" s="1">
        <f t="shared" si="38"/>
        <v>685.79999999999939</v>
      </c>
      <c r="I39" s="1">
        <f>+I35+I36-I37+I38</f>
        <v>591.32999999999993</v>
      </c>
      <c r="J39" s="1">
        <f t="shared" ref="J39:Q39" si="39">+J35+J36-J37+J38</f>
        <v>654.68349999999998</v>
      </c>
      <c r="K39" s="1">
        <f t="shared" si="39"/>
        <v>721.82948899999997</v>
      </c>
      <c r="L39" s="1">
        <f t="shared" si="39"/>
        <v>793.223022958</v>
      </c>
      <c r="M39" s="1">
        <f t="shared" si="39"/>
        <v>867.06534404687602</v>
      </c>
      <c r="N39" s="1">
        <f t="shared" si="39"/>
        <v>945.988221253755</v>
      </c>
      <c r="O39" s="1">
        <f t="shared" si="39"/>
        <v>1030.5858416982032</v>
      </c>
      <c r="P39" s="1">
        <f t="shared" si="39"/>
        <v>1105.092653053468</v>
      </c>
      <c r="Q39" s="1">
        <f t="shared" si="39"/>
        <v>1170.674231958237</v>
      </c>
    </row>
    <row r="40" spans="2:70" s="1" customFormat="1" x14ac:dyDescent="0.25">
      <c r="B40" s="1" t="s">
        <v>11</v>
      </c>
      <c r="C40" s="1">
        <v>84.540999999999997</v>
      </c>
      <c r="D40" s="1">
        <v>58.162999999999997</v>
      </c>
      <c r="E40" s="1">
        <v>77.2</v>
      </c>
      <c r="F40" s="1">
        <v>117.9</v>
      </c>
      <c r="G40" s="1">
        <v>138.30000000000001</v>
      </c>
      <c r="H40" s="1">
        <v>183.9</v>
      </c>
      <c r="I40" s="1">
        <f>+I39*0.265</f>
        <v>156.70245</v>
      </c>
      <c r="J40" s="1">
        <f t="shared" ref="J40:Q40" si="40">+J39*0.265</f>
        <v>173.4911275</v>
      </c>
      <c r="K40" s="1">
        <f t="shared" si="40"/>
        <v>191.28481458499999</v>
      </c>
      <c r="L40" s="1">
        <f t="shared" si="40"/>
        <v>210.20410108387</v>
      </c>
      <c r="M40" s="1">
        <f t="shared" si="40"/>
        <v>229.77231617242217</v>
      </c>
      <c r="N40" s="1">
        <f t="shared" si="40"/>
        <v>250.68687863224508</v>
      </c>
      <c r="O40" s="1">
        <f t="shared" si="40"/>
        <v>273.10524805002387</v>
      </c>
      <c r="P40" s="1">
        <f t="shared" si="40"/>
        <v>292.84955305916901</v>
      </c>
      <c r="Q40" s="1">
        <f t="shared" si="40"/>
        <v>310.22867146893282</v>
      </c>
    </row>
    <row r="41" spans="2:70" s="1" customFormat="1" x14ac:dyDescent="0.25">
      <c r="B41" s="1" t="s">
        <v>12</v>
      </c>
      <c r="C41" s="1">
        <f>+C39-C40</f>
        <v>235.55599999999998</v>
      </c>
      <c r="D41" s="1">
        <f t="shared" ref="D41:I41" si="41">+D39-D40</f>
        <v>151.39999999999998</v>
      </c>
      <c r="E41" s="1">
        <f t="shared" si="41"/>
        <v>212.70000000000033</v>
      </c>
      <c r="F41" s="1">
        <f t="shared" si="41"/>
        <v>330.19999999999993</v>
      </c>
      <c r="G41" s="1">
        <f t="shared" si="41"/>
        <v>412.00000000000028</v>
      </c>
      <c r="H41" s="1">
        <f t="shared" si="41"/>
        <v>501.89999999999941</v>
      </c>
      <c r="I41" s="1">
        <f t="shared" si="41"/>
        <v>434.62754999999993</v>
      </c>
      <c r="J41" s="1">
        <f t="shared" ref="J41" si="42">+J39-J40</f>
        <v>481.19237249999998</v>
      </c>
      <c r="K41" s="1">
        <f t="shared" ref="K41" si="43">+K39-K40</f>
        <v>530.54467441499992</v>
      </c>
      <c r="L41" s="1">
        <f t="shared" ref="L41" si="44">+L39-L40</f>
        <v>583.01892187413</v>
      </c>
      <c r="M41" s="1">
        <f t="shared" ref="M41" si="45">+M39-M40</f>
        <v>637.29302787445386</v>
      </c>
      <c r="N41" s="1">
        <f t="shared" ref="N41" si="46">+N39-N40</f>
        <v>695.30134262150989</v>
      </c>
      <c r="O41" s="1">
        <f t="shared" ref="O41" si="47">+O39-O40</f>
        <v>757.48059364817937</v>
      </c>
      <c r="P41" s="1">
        <f t="shared" ref="P41" si="48">+P39-P40</f>
        <v>812.24309999429897</v>
      </c>
      <c r="Q41" s="1">
        <f t="shared" ref="Q41" si="49">+Q39-Q40</f>
        <v>860.44556048930417</v>
      </c>
      <c r="R41" s="1">
        <f t="shared" ref="R41:AW41" si="50">+Q41*(1+TR)</f>
        <v>851.84110488441115</v>
      </c>
      <c r="S41" s="1">
        <f t="shared" si="50"/>
        <v>843.32269383556707</v>
      </c>
      <c r="T41" s="1">
        <f t="shared" si="50"/>
        <v>834.88946689721138</v>
      </c>
      <c r="U41" s="1">
        <f t="shared" si="50"/>
        <v>826.54057222823928</v>
      </c>
      <c r="V41" s="1">
        <f t="shared" si="50"/>
        <v>818.27516650595692</v>
      </c>
      <c r="W41" s="1">
        <f t="shared" si="50"/>
        <v>810.09241484089739</v>
      </c>
      <c r="X41" s="1">
        <f t="shared" si="50"/>
        <v>801.99149069248836</v>
      </c>
      <c r="Y41" s="1">
        <f t="shared" si="50"/>
        <v>793.97157578556346</v>
      </c>
      <c r="Z41" s="1">
        <f t="shared" si="50"/>
        <v>786.03186002770781</v>
      </c>
      <c r="AA41" s="1">
        <f t="shared" si="50"/>
        <v>778.17154142743072</v>
      </c>
      <c r="AB41" s="1">
        <f t="shared" si="50"/>
        <v>770.38982601315638</v>
      </c>
      <c r="AC41" s="1">
        <f t="shared" si="50"/>
        <v>762.68592775302477</v>
      </c>
      <c r="AD41" s="1">
        <f t="shared" si="50"/>
        <v>755.05906847549454</v>
      </c>
      <c r="AE41" s="1">
        <f t="shared" si="50"/>
        <v>747.50847779073956</v>
      </c>
      <c r="AF41" s="1">
        <f t="shared" si="50"/>
        <v>740.03339301283211</v>
      </c>
      <c r="AG41" s="1">
        <f t="shared" si="50"/>
        <v>732.63305908270377</v>
      </c>
      <c r="AH41" s="1">
        <f t="shared" si="50"/>
        <v>725.3067284918767</v>
      </c>
      <c r="AI41" s="1">
        <f t="shared" si="50"/>
        <v>718.05366120695794</v>
      </c>
      <c r="AJ41" s="1">
        <f t="shared" si="50"/>
        <v>710.8731245948884</v>
      </c>
      <c r="AK41" s="1">
        <f t="shared" si="50"/>
        <v>703.76439334893951</v>
      </c>
      <c r="AL41" s="1">
        <f t="shared" si="50"/>
        <v>696.72674941545006</v>
      </c>
      <c r="AM41" s="1">
        <f t="shared" si="50"/>
        <v>689.75948192129556</v>
      </c>
      <c r="AN41" s="1">
        <f t="shared" si="50"/>
        <v>682.86188710208262</v>
      </c>
      <c r="AO41" s="1">
        <f t="shared" si="50"/>
        <v>676.03326823106181</v>
      </c>
      <c r="AP41" s="1">
        <f t="shared" si="50"/>
        <v>669.27293554875121</v>
      </c>
      <c r="AQ41" s="1">
        <f t="shared" si="50"/>
        <v>662.58020619326373</v>
      </c>
      <c r="AR41" s="1">
        <f t="shared" si="50"/>
        <v>655.9544041313311</v>
      </c>
      <c r="AS41" s="1">
        <f t="shared" si="50"/>
        <v>649.3948600900178</v>
      </c>
      <c r="AT41" s="1">
        <f t="shared" si="50"/>
        <v>642.90091148911756</v>
      </c>
      <c r="AU41" s="1">
        <f t="shared" si="50"/>
        <v>636.47190237422637</v>
      </c>
      <c r="AV41" s="1">
        <f t="shared" si="50"/>
        <v>630.10718335048409</v>
      </c>
      <c r="AW41" s="1">
        <f t="shared" si="50"/>
        <v>623.80611151697929</v>
      </c>
      <c r="AX41" s="1">
        <f t="shared" ref="AX41:BR41" si="51">+AW41*(1+TR)</f>
        <v>617.5680504018095</v>
      </c>
      <c r="AY41" s="1">
        <f t="shared" si="51"/>
        <v>611.39236989779135</v>
      </c>
      <c r="AZ41" s="1">
        <f t="shared" si="51"/>
        <v>605.27844619881341</v>
      </c>
      <c r="BA41" s="1">
        <f t="shared" si="51"/>
        <v>599.22566173682526</v>
      </c>
      <c r="BB41" s="1">
        <f t="shared" si="51"/>
        <v>593.23340511945696</v>
      </c>
      <c r="BC41" s="1">
        <f t="shared" si="51"/>
        <v>587.30107106826233</v>
      </c>
      <c r="BD41" s="1">
        <f t="shared" si="51"/>
        <v>581.42806035757974</v>
      </c>
      <c r="BE41" s="1">
        <f t="shared" si="51"/>
        <v>575.61377975400399</v>
      </c>
      <c r="BF41" s="1">
        <f t="shared" si="51"/>
        <v>569.85764195646391</v>
      </c>
      <c r="BG41" s="1">
        <f t="shared" si="51"/>
        <v>564.15906553689922</v>
      </c>
      <c r="BH41" s="1">
        <f t="shared" si="51"/>
        <v>558.51747488153023</v>
      </c>
      <c r="BI41" s="1">
        <f t="shared" si="51"/>
        <v>552.93230013271489</v>
      </c>
      <c r="BJ41" s="1">
        <f t="shared" si="51"/>
        <v>547.40297713138773</v>
      </c>
      <c r="BK41" s="1">
        <f t="shared" si="51"/>
        <v>541.92894736007383</v>
      </c>
      <c r="BL41" s="1">
        <f t="shared" si="51"/>
        <v>536.50965788647306</v>
      </c>
      <c r="BM41" s="1">
        <f t="shared" si="51"/>
        <v>531.14456130760834</v>
      </c>
      <c r="BN41" s="1">
        <f t="shared" si="51"/>
        <v>525.83311569453224</v>
      </c>
      <c r="BO41" s="1">
        <f t="shared" si="51"/>
        <v>520.57478453758688</v>
      </c>
      <c r="BP41" s="1">
        <f t="shared" si="51"/>
        <v>515.36903669221101</v>
      </c>
      <c r="BQ41" s="1">
        <f t="shared" si="51"/>
        <v>510.21534632528892</v>
      </c>
      <c r="BR41" s="1">
        <f t="shared" si="51"/>
        <v>505.11319286203604</v>
      </c>
    </row>
    <row r="42" spans="2:70" s="1" customFormat="1" x14ac:dyDescent="0.25">
      <c r="C42" s="5"/>
      <c r="D42" s="5"/>
      <c r="E42" s="5"/>
      <c r="F42" s="5"/>
      <c r="G42" s="5"/>
      <c r="H42" s="5"/>
    </row>
    <row r="43" spans="2:70" s="3" customFormat="1" x14ac:dyDescent="0.25">
      <c r="B43" s="3" t="s">
        <v>15</v>
      </c>
      <c r="C43" s="3">
        <f>+C33/C28</f>
        <v>8.2575265835523937E-2</v>
      </c>
      <c r="D43" s="3">
        <f t="shared" ref="D43:H43" si="52">+D33/D28</f>
        <v>8.045705237240737E-2</v>
      </c>
      <c r="E43" s="3">
        <f t="shared" si="52"/>
        <v>8.5243895157919913E-2</v>
      </c>
      <c r="F43" s="3">
        <f t="shared" si="52"/>
        <v>0.11114033730465728</v>
      </c>
      <c r="G43" s="3">
        <f t="shared" si="52"/>
        <v>0.10944066605682168</v>
      </c>
      <c r="H43" s="3">
        <f t="shared" si="52"/>
        <v>0.10510392609699762</v>
      </c>
      <c r="I43" s="3">
        <f t="shared" ref="I43:Q43" si="53">+I33/I28</f>
        <v>0.10519736842105264</v>
      </c>
      <c r="J43" s="3">
        <f t="shared" si="53"/>
        <v>0.10591155133581374</v>
      </c>
      <c r="K43" s="3">
        <f t="shared" si="53"/>
        <v>0.1066453861728868</v>
      </c>
      <c r="L43" s="3">
        <f t="shared" si="53"/>
        <v>0.10739821905149981</v>
      </c>
      <c r="M43" s="3">
        <f t="shared" si="53"/>
        <v>0.10797842686913972</v>
      </c>
      <c r="N43" s="3">
        <f t="shared" si="53"/>
        <v>0.10858003722572537</v>
      </c>
      <c r="O43" s="3">
        <f t="shared" si="53"/>
        <v>0.10920250389354882</v>
      </c>
      <c r="P43" s="3">
        <f t="shared" si="53"/>
        <v>0.1095333048920805</v>
      </c>
      <c r="Q43" s="3">
        <f t="shared" si="53"/>
        <v>0.10963939556786788</v>
      </c>
      <c r="S43" s="3" t="s">
        <v>25</v>
      </c>
      <c r="T43" s="3">
        <v>0.1</v>
      </c>
    </row>
    <row r="44" spans="2:70" s="3" customFormat="1" x14ac:dyDescent="0.25">
      <c r="B44" s="3" t="s">
        <v>14</v>
      </c>
      <c r="C44" s="3">
        <f>+C41/C28</f>
        <v>3.9054589647108368E-2</v>
      </c>
      <c r="D44" s="3">
        <f t="shared" ref="D44:H44" si="54">+D41/D28</f>
        <v>2.2685399952291734E-2</v>
      </c>
      <c r="E44" s="3">
        <f t="shared" si="54"/>
        <v>3.1748164069496737E-2</v>
      </c>
      <c r="F44" s="3">
        <f t="shared" si="54"/>
        <v>5.1090824694414345E-2</v>
      </c>
      <c r="G44" s="3">
        <f t="shared" si="54"/>
        <v>5.4620901775179351E-2</v>
      </c>
      <c r="H44" s="3">
        <f t="shared" si="54"/>
        <v>5.7956120092378688E-2</v>
      </c>
      <c r="I44" s="3">
        <f t="shared" ref="I44:Q44" si="55">+I41/I28</f>
        <v>5.7187835526315782E-2</v>
      </c>
      <c r="J44" s="3">
        <f t="shared" si="55"/>
        <v>5.9877353072931579E-2</v>
      </c>
      <c r="K44" s="3">
        <f t="shared" si="55"/>
        <v>6.2378235200487277E-2</v>
      </c>
      <c r="L44" s="3">
        <f t="shared" si="55"/>
        <v>6.4707644550373616E-2</v>
      </c>
      <c r="M44" s="3">
        <f t="shared" si="55"/>
        <v>6.670421667426292E-2</v>
      </c>
      <c r="N44" s="3">
        <f t="shared" si="55"/>
        <v>6.8563456475403822E-2</v>
      </c>
      <c r="O44" s="3">
        <f t="shared" si="55"/>
        <v>7.0298525997892311E-2</v>
      </c>
      <c r="P44" s="3">
        <f t="shared" si="55"/>
        <v>7.1600980962581134E-2</v>
      </c>
      <c r="Q44" s="3">
        <f t="shared" si="55"/>
        <v>7.2575964913594679E-2</v>
      </c>
      <c r="S44" s="3" t="s">
        <v>26</v>
      </c>
      <c r="T44" s="3">
        <v>-0.01</v>
      </c>
    </row>
    <row r="45" spans="2:70" s="3" customFormat="1" x14ac:dyDescent="0.25">
      <c r="S45" s="1" t="s">
        <v>27</v>
      </c>
      <c r="T45" s="1">
        <f>NPV(T43,I41:BR41)</f>
        <v>6782.2144579268688</v>
      </c>
    </row>
    <row r="46" spans="2:70" s="3" customFormat="1" x14ac:dyDescent="0.25">
      <c r="B46" s="3" t="s">
        <v>35</v>
      </c>
      <c r="D46" s="3">
        <f>+D28/C28 -1</f>
        <v>0.10651509461647302</v>
      </c>
      <c r="E46" s="3">
        <f t="shared" ref="E46:Q46" si="56">+E28/D28 -1</f>
        <v>3.8514235163389365E-3</v>
      </c>
      <c r="F46" s="3">
        <f t="shared" si="56"/>
        <v>-3.5315541226341951E-2</v>
      </c>
      <c r="G46" s="3">
        <f t="shared" si="56"/>
        <v>0.1670895868791582</v>
      </c>
      <c r="H46" s="3">
        <f t="shared" si="56"/>
        <v>0.148099537313235</v>
      </c>
      <c r="I46" s="3">
        <f t="shared" si="56"/>
        <v>-0.12240184757505779</v>
      </c>
      <c r="J46" s="3">
        <f t="shared" si="56"/>
        <v>5.7407894736841936E-2</v>
      </c>
      <c r="K46" s="3">
        <f t="shared" si="56"/>
        <v>5.8358336547913892E-2</v>
      </c>
      <c r="L46" s="3">
        <f t="shared" si="56"/>
        <v>5.9346858308136019E-2</v>
      </c>
      <c r="M46" s="3">
        <f t="shared" si="56"/>
        <v>6.0373388271486528E-2</v>
      </c>
      <c r="N46" s="3">
        <f t="shared" si="56"/>
        <v>6.1437643855967394E-2</v>
      </c>
      <c r="O46" s="3">
        <f t="shared" si="56"/>
        <v>6.2539116938066908E-2</v>
      </c>
      <c r="P46" s="3">
        <f t="shared" si="56"/>
        <v>5.2790037087970143E-2</v>
      </c>
      <c r="Q46" s="3">
        <f t="shared" si="56"/>
        <v>4.5113652981573216E-2</v>
      </c>
      <c r="S46" s="1" t="s">
        <v>28</v>
      </c>
      <c r="T46" s="1">
        <f>+H54-H56</f>
        <v>574</v>
      </c>
    </row>
    <row r="47" spans="2:70" s="1" customFormat="1" x14ac:dyDescent="0.25">
      <c r="S47" s="1" t="s">
        <v>34</v>
      </c>
      <c r="T47" s="1">
        <f>+T45-T46</f>
        <v>6208.2144579268688</v>
      </c>
    </row>
    <row r="48" spans="2:70" s="1" customFormat="1" x14ac:dyDescent="0.25">
      <c r="B48" s="1" t="s">
        <v>16</v>
      </c>
      <c r="C48" s="1">
        <v>7.7539999999999996</v>
      </c>
      <c r="D48" s="1">
        <v>851.577</v>
      </c>
      <c r="E48" s="1">
        <v>461.5</v>
      </c>
      <c r="F48" s="1">
        <v>529.6</v>
      </c>
      <c r="G48" s="1">
        <v>710.8</v>
      </c>
      <c r="H48" s="1">
        <v>375</v>
      </c>
      <c r="T48" s="1">
        <f>+T47/99.21046</f>
        <v>62.576208778054948</v>
      </c>
    </row>
    <row r="49" spans="2:20" s="1" customFormat="1" x14ac:dyDescent="0.25">
      <c r="B49" s="1" t="s">
        <v>17</v>
      </c>
      <c r="C49" s="1">
        <v>127.128</v>
      </c>
      <c r="D49" s="1">
        <v>122.036</v>
      </c>
      <c r="E49" s="1">
        <v>87.9</v>
      </c>
      <c r="F49" s="1">
        <v>110.3</v>
      </c>
      <c r="G49" s="1">
        <v>155</v>
      </c>
      <c r="H49" s="1">
        <v>170.8</v>
      </c>
    </row>
    <row r="50" spans="2:20" s="1" customFormat="1" x14ac:dyDescent="0.25">
      <c r="B50" s="1" t="s">
        <v>18</v>
      </c>
      <c r="C50" s="1">
        <f t="shared" ref="C50:H50" si="57">+C48-C49</f>
        <v>-119.374</v>
      </c>
      <c r="D50" s="1">
        <f t="shared" si="57"/>
        <v>729.54099999999994</v>
      </c>
      <c r="E50" s="1">
        <f t="shared" si="57"/>
        <v>373.6</v>
      </c>
      <c r="F50" s="1">
        <f t="shared" si="57"/>
        <v>419.3</v>
      </c>
      <c r="G50" s="1">
        <f t="shared" si="57"/>
        <v>555.79999999999995</v>
      </c>
      <c r="H50" s="1">
        <f t="shared" si="57"/>
        <v>204.2</v>
      </c>
    </row>
    <row r="51" spans="2:20" s="1" customFormat="1" x14ac:dyDescent="0.25"/>
    <row r="52" spans="2:20" s="1" customFormat="1" x14ac:dyDescent="0.25">
      <c r="B52" s="1" t="s">
        <v>29</v>
      </c>
      <c r="G52" s="1">
        <v>1213.8</v>
      </c>
      <c r="H52" s="1">
        <v>1247.5</v>
      </c>
    </row>
    <row r="53" spans="2:20" s="1" customFormat="1" x14ac:dyDescent="0.25">
      <c r="B53" s="1" t="s">
        <v>30</v>
      </c>
      <c r="G53" s="1">
        <v>1135.5</v>
      </c>
      <c r="H53" s="1">
        <v>1165.3</v>
      </c>
      <c r="T53" s="5"/>
    </row>
    <row r="54" spans="2:20" s="1" customFormat="1" x14ac:dyDescent="0.25">
      <c r="B54" s="1" t="s">
        <v>31</v>
      </c>
      <c r="G54" s="1">
        <v>1302</v>
      </c>
      <c r="H54" s="1">
        <v>1507.1</v>
      </c>
      <c r="T54" s="4"/>
    </row>
    <row r="55" spans="2:20" s="1" customFormat="1" x14ac:dyDescent="0.25"/>
    <row r="56" spans="2:20" s="1" customFormat="1" x14ac:dyDescent="0.25">
      <c r="B56" s="1" t="s">
        <v>32</v>
      </c>
      <c r="G56" s="1">
        <f>827.5+253.4</f>
        <v>1080.9000000000001</v>
      </c>
      <c r="H56" s="1">
        <f>503.7+429.4</f>
        <v>933.09999999999991</v>
      </c>
      <c r="T56" s="5"/>
    </row>
    <row r="57" spans="2:20" s="1" customFormat="1" x14ac:dyDescent="0.25">
      <c r="B57" s="1" t="s">
        <v>33</v>
      </c>
      <c r="G57" s="1">
        <f>+G52+G54-G56</f>
        <v>1434.9</v>
      </c>
      <c r="H57" s="1">
        <f>+H52+H54-H56</f>
        <v>1821.5</v>
      </c>
    </row>
    <row r="58" spans="2:20" s="1" customFormat="1" x14ac:dyDescent="0.25"/>
    <row r="59" spans="2:20" s="1" customFormat="1" x14ac:dyDescent="0.25"/>
    <row r="60" spans="2:20" s="1" customFormat="1" x14ac:dyDescent="0.25"/>
    <row r="61" spans="2:20" s="1" customFormat="1" x14ac:dyDescent="0.25"/>
    <row r="62" spans="2:20" s="1" customFormat="1" x14ac:dyDescent="0.25"/>
    <row r="63" spans="2:20" s="1" customFormat="1" x14ac:dyDescent="0.25"/>
    <row r="64" spans="2:20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2024-06-02T20:02:26Z</dcterms:created>
  <dcterms:modified xsi:type="dcterms:W3CDTF">2026-02-05T17:47:49Z</dcterms:modified>
</cp:coreProperties>
</file>