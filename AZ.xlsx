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8_{C157B5DE-8F2D-4AF8-AB3B-08CBF7728A17}" xr6:coauthVersionLast="47" xr6:coauthVersionMax="47" xr10:uidLastSave="{00000000-0000-0000-0000-000000000000}"/>
  <bookViews>
    <workbookView xWindow="-28920" yWindow="-120" windowWidth="29040" windowHeight="15840" activeTab="1" xr2:uid="{203F4623-3BC5-4729-B6E6-4BCD0BE1B8A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2" l="1"/>
  <c r="K15" i="2" s="1"/>
  <c r="L15" i="2" s="1"/>
  <c r="M15" i="2" s="1"/>
  <c r="N15" i="2" s="1"/>
  <c r="F9" i="2"/>
  <c r="G9" i="2"/>
  <c r="H9" i="2"/>
  <c r="I9" i="2"/>
  <c r="J9" i="2"/>
  <c r="K9" i="2"/>
  <c r="L9" i="2"/>
  <c r="M9" i="2"/>
  <c r="N9" i="2"/>
  <c r="E9" i="2"/>
  <c r="J20" i="2"/>
  <c r="K20" i="2"/>
  <c r="L20" i="2"/>
  <c r="M20" i="2"/>
  <c r="N20" i="2"/>
  <c r="J21" i="2"/>
  <c r="K21" i="2"/>
  <c r="L21" i="2"/>
  <c r="M21" i="2"/>
  <c r="N21" i="2"/>
  <c r="J22" i="2"/>
  <c r="K22" i="2"/>
  <c r="L22" i="2"/>
  <c r="M22" i="2"/>
  <c r="N22" i="2"/>
  <c r="J8" i="2"/>
  <c r="K8" i="2"/>
  <c r="L8" i="2"/>
  <c r="M8" i="2"/>
  <c r="M10" i="2" s="1"/>
  <c r="N8" i="2"/>
  <c r="N10" i="2"/>
  <c r="J5" i="2"/>
  <c r="K5" i="2" s="1"/>
  <c r="L5" i="2" s="1"/>
  <c r="M5" i="2" s="1"/>
  <c r="N5" i="2" s="1"/>
  <c r="J11" i="2"/>
  <c r="K11" i="2"/>
  <c r="M11" i="2"/>
  <c r="N11" i="2"/>
  <c r="J12" i="2"/>
  <c r="K12" i="2"/>
  <c r="L12" i="2"/>
  <c r="M12" i="2"/>
  <c r="N12" i="2"/>
  <c r="J13" i="2"/>
  <c r="K13" i="2"/>
  <c r="L13" i="2"/>
  <c r="M13" i="2"/>
  <c r="N13" i="2"/>
  <c r="N2" i="2"/>
  <c r="L2" i="2"/>
  <c r="M2" i="2" s="1"/>
  <c r="J10" i="2"/>
  <c r="K10" i="2"/>
  <c r="G15" i="2"/>
  <c r="H15" i="2" s="1"/>
  <c r="I15" i="2" s="1"/>
  <c r="F15" i="2"/>
  <c r="E5" i="2"/>
  <c r="E8" i="2" s="1"/>
  <c r="F2" i="2"/>
  <c r="G2" i="2" s="1"/>
  <c r="H2" i="2" s="1"/>
  <c r="I2" i="2" s="1"/>
  <c r="J2" i="2" s="1"/>
  <c r="K2" i="2" s="1"/>
  <c r="G4" i="1"/>
  <c r="E7" i="1"/>
  <c r="F7" i="1"/>
  <c r="G7" i="1"/>
  <c r="H7" i="1"/>
  <c r="I7" i="1"/>
  <c r="I11" i="1" s="1"/>
  <c r="I16" i="1" s="1"/>
  <c r="I20" i="1" s="1"/>
  <c r="I22" i="1" s="1"/>
  <c r="E10" i="1"/>
  <c r="E11" i="1" s="1"/>
  <c r="E16" i="1" s="1"/>
  <c r="E20" i="1" s="1"/>
  <c r="E22" i="1" s="1"/>
  <c r="F10" i="1"/>
  <c r="G10" i="1"/>
  <c r="H10" i="1"/>
  <c r="I10" i="1"/>
  <c r="H11" i="1"/>
  <c r="H16" i="1" s="1"/>
  <c r="H20" i="1" s="1"/>
  <c r="H22" i="1" s="1"/>
  <c r="D10" i="1"/>
  <c r="D7" i="1"/>
  <c r="G2" i="1"/>
  <c r="F2" i="1"/>
  <c r="E2" i="1"/>
  <c r="L10" i="2" l="1"/>
  <c r="L11" i="2"/>
  <c r="E10" i="2"/>
  <c r="E14" i="2" s="1"/>
  <c r="E20" i="2"/>
  <c r="E21" i="2"/>
  <c r="E22" i="2"/>
  <c r="F5" i="2"/>
  <c r="G11" i="1"/>
  <c r="G16" i="1" s="1"/>
  <c r="G20" i="1" s="1"/>
  <c r="G22" i="1" s="1"/>
  <c r="F11" i="1"/>
  <c r="F16" i="1" s="1"/>
  <c r="F20" i="1" s="1"/>
  <c r="F22" i="1" s="1"/>
  <c r="D11" i="1"/>
  <c r="D16" i="1" s="1"/>
  <c r="D20" i="1" s="1"/>
  <c r="D22" i="1" s="1"/>
  <c r="F8" i="2" l="1"/>
  <c r="G5" i="2"/>
  <c r="E16" i="2"/>
  <c r="E17" i="2" s="1"/>
  <c r="E18" i="2" s="1"/>
  <c r="E23" i="2"/>
  <c r="J14" i="2"/>
  <c r="J16" i="2" l="1"/>
  <c r="J17" i="2" s="1"/>
  <c r="J18" i="2" s="1"/>
  <c r="J23" i="2"/>
  <c r="H5" i="2"/>
  <c r="G8" i="2"/>
  <c r="F12" i="2"/>
  <c r="F21" i="2" s="1"/>
  <c r="F11" i="2"/>
  <c r="F20" i="2" s="1"/>
  <c r="F22" i="2"/>
  <c r="F10" i="2"/>
  <c r="F14" i="2" s="1"/>
  <c r="K14" i="2"/>
  <c r="K16" i="2" l="1"/>
  <c r="K17" i="2" s="1"/>
  <c r="K18" i="2" s="1"/>
  <c r="K23" i="2"/>
  <c r="F16" i="2"/>
  <c r="F17" i="2" s="1"/>
  <c r="F18" i="2" s="1"/>
  <c r="F23" i="2"/>
  <c r="G12" i="2"/>
  <c r="G21" i="2" s="1"/>
  <c r="G11" i="2"/>
  <c r="G20" i="2" s="1"/>
  <c r="G22" i="2"/>
  <c r="G10" i="2"/>
  <c r="G14" i="2" s="1"/>
  <c r="H8" i="2"/>
  <c r="I5" i="2"/>
  <c r="I8" i="2" s="1"/>
  <c r="L14" i="2"/>
  <c r="L16" i="2" l="1"/>
  <c r="L17" i="2" s="1"/>
  <c r="L18" i="2" s="1"/>
  <c r="L23" i="2"/>
  <c r="G16" i="2"/>
  <c r="G17" i="2" s="1"/>
  <c r="G18" i="2" s="1"/>
  <c r="G23" i="2"/>
  <c r="I13" i="2"/>
  <c r="I22" i="2" s="1"/>
  <c r="I12" i="2"/>
  <c r="I21" i="2" s="1"/>
  <c r="I11" i="2"/>
  <c r="I20" i="2" s="1"/>
  <c r="I10" i="2"/>
  <c r="I14" i="2" s="1"/>
  <c r="H12" i="2"/>
  <c r="H21" i="2" s="1"/>
  <c r="H11" i="2"/>
  <c r="H20" i="2" s="1"/>
  <c r="H13" i="2"/>
  <c r="H22" i="2" s="1"/>
  <c r="H10" i="2"/>
  <c r="H14" i="2" s="1"/>
  <c r="M14" i="2"/>
  <c r="M16" i="2" l="1"/>
  <c r="M17" i="2" s="1"/>
  <c r="M18" i="2" s="1"/>
  <c r="M23" i="2"/>
  <c r="I16" i="2"/>
  <c r="I17" i="2" s="1"/>
  <c r="I18" i="2" s="1"/>
  <c r="I23" i="2"/>
  <c r="H16" i="2"/>
  <c r="H17" i="2" s="1"/>
  <c r="H18" i="2" s="1"/>
  <c r="H23" i="2"/>
  <c r="N14" i="2"/>
  <c r="N16" i="2" l="1"/>
  <c r="N17" i="2" s="1"/>
  <c r="N18" i="2" s="1"/>
  <c r="N23" i="2"/>
</calcChain>
</file>

<file path=xl/sharedStrings.xml><?xml version="1.0" encoding="utf-8"?>
<sst xmlns="http://schemas.openxmlformats.org/spreadsheetml/2006/main" count="37" uniqueCount="25">
  <si>
    <t>Product</t>
  </si>
  <si>
    <t>Service</t>
  </si>
  <si>
    <t>Total Revenue</t>
  </si>
  <si>
    <t>COGS</t>
  </si>
  <si>
    <t>Gross Profit</t>
  </si>
  <si>
    <t>R&amp;D</t>
  </si>
  <si>
    <t>S&amp;M</t>
  </si>
  <si>
    <t>G&amp;A</t>
  </si>
  <si>
    <t>Opearting Income</t>
  </si>
  <si>
    <t>Other costs</t>
  </si>
  <si>
    <t>Operating Income</t>
  </si>
  <si>
    <t>Warrents</t>
  </si>
  <si>
    <t>Finance Income</t>
  </si>
  <si>
    <t>Finance Expenses</t>
  </si>
  <si>
    <t>Pretax</t>
  </si>
  <si>
    <t>Taxes</t>
  </si>
  <si>
    <t>Net Income</t>
  </si>
  <si>
    <t>Smart Carts</t>
  </si>
  <si>
    <t>Carts</t>
  </si>
  <si>
    <t>Revenue/Cart pm</t>
  </si>
  <si>
    <t>Profit</t>
  </si>
  <si>
    <t>Finance</t>
  </si>
  <si>
    <t>Revenue</t>
  </si>
  <si>
    <t>New carts</t>
  </si>
  <si>
    <t>Operating Marign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</si>
</sst>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5016-1A83-45D6-9709-9EE66B3588A3}">
  <dimension ref="B2:I117"/>
  <sheetViews>
    <sheetView zoomScale="190" zoomScaleNormal="190" workbookViewId="0">
      <pane xSplit="2" ySplit="2" topLeftCell="D6" activePane="bottomRight" state="frozen"/>
      <selection pane="topRight" activeCell="C1" sqref="C1"/>
      <selection pane="bottomLeft" activeCell="A3" sqref="A3"/>
      <selection pane="bottomRight" activeCell="B18" sqref="B18:B19"/>
    </sheetView>
  </sheetViews>
  <sheetFormatPr defaultRowHeight="15" x14ac:dyDescent="0.25"/>
  <cols>
    <col min="1" max="1" width="2.85546875" customWidth="1"/>
    <col min="2" max="2" width="17" bestFit="1" customWidth="1"/>
  </cols>
  <sheetData>
    <row r="2" spans="2:9" x14ac:dyDescent="0.25">
      <c r="D2">
        <v>2022</v>
      </c>
      <c r="E2">
        <f>+D2+1</f>
        <v>2023</v>
      </c>
      <c r="F2">
        <f>+E2+1</f>
        <v>2024</v>
      </c>
      <c r="G2">
        <f>+F2+1</f>
        <v>2025</v>
      </c>
    </row>
    <row r="3" spans="2:9" s="1" customFormat="1" x14ac:dyDescent="0.25"/>
    <row r="4" spans="2:9" s="1" customFormat="1" x14ac:dyDescent="0.25">
      <c r="B4" s="1" t="s">
        <v>17</v>
      </c>
      <c r="G4" s="1">
        <f>586*1.33</f>
        <v>779.38</v>
      </c>
    </row>
    <row r="5" spans="2:9" s="1" customFormat="1" x14ac:dyDescent="0.25">
      <c r="B5" s="1" t="s">
        <v>0</v>
      </c>
      <c r="D5" s="1">
        <v>7646</v>
      </c>
      <c r="E5" s="1">
        <v>9212</v>
      </c>
      <c r="F5" s="1">
        <v>4844</v>
      </c>
    </row>
    <row r="6" spans="2:9" s="1" customFormat="1" x14ac:dyDescent="0.25">
      <c r="B6" s="1" t="s">
        <v>1</v>
      </c>
      <c r="D6" s="1">
        <v>1705</v>
      </c>
      <c r="E6" s="1">
        <v>2163</v>
      </c>
      <c r="F6" s="1">
        <v>2322</v>
      </c>
    </row>
    <row r="7" spans="2:9" s="2" customFormat="1" x14ac:dyDescent="0.25">
      <c r="B7" s="2" t="s">
        <v>2</v>
      </c>
      <c r="D7" s="2">
        <f>+D5+D6</f>
        <v>9351</v>
      </c>
      <c r="E7" s="2">
        <f t="shared" ref="E7:I7" si="0">+E5+E6</f>
        <v>11375</v>
      </c>
      <c r="F7" s="2">
        <f t="shared" si="0"/>
        <v>7166</v>
      </c>
      <c r="G7" s="2">
        <f t="shared" si="0"/>
        <v>0</v>
      </c>
      <c r="H7" s="2">
        <f t="shared" si="0"/>
        <v>0</v>
      </c>
      <c r="I7" s="2">
        <f t="shared" si="0"/>
        <v>0</v>
      </c>
    </row>
    <row r="8" spans="2:9" s="1" customFormat="1" x14ac:dyDescent="0.25">
      <c r="B8" s="1" t="s">
        <v>0</v>
      </c>
      <c r="D8" s="1">
        <v>6354</v>
      </c>
      <c r="E8" s="1">
        <v>7959</v>
      </c>
      <c r="F8" s="1">
        <v>3258</v>
      </c>
    </row>
    <row r="9" spans="2:9" s="1" customFormat="1" x14ac:dyDescent="0.25">
      <c r="B9" s="1" t="s">
        <v>1</v>
      </c>
      <c r="D9" s="1">
        <v>1163</v>
      </c>
      <c r="E9" s="1">
        <v>1423</v>
      </c>
      <c r="F9" s="1">
        <v>1922</v>
      </c>
    </row>
    <row r="10" spans="2:9" s="1" customFormat="1" x14ac:dyDescent="0.25">
      <c r="B10" s="1" t="s">
        <v>3</v>
      </c>
      <c r="D10" s="1">
        <f>+D9+D8</f>
        <v>7517</v>
      </c>
      <c r="E10" s="1">
        <f t="shared" ref="E10:I10" si="1">+E9+E8</f>
        <v>9382</v>
      </c>
      <c r="F10" s="1">
        <f t="shared" si="1"/>
        <v>5180</v>
      </c>
      <c r="G10" s="1">
        <f t="shared" si="1"/>
        <v>0</v>
      </c>
      <c r="H10" s="1">
        <f t="shared" si="1"/>
        <v>0</v>
      </c>
      <c r="I10" s="1">
        <f t="shared" si="1"/>
        <v>0</v>
      </c>
    </row>
    <row r="11" spans="2:9" s="1" customFormat="1" x14ac:dyDescent="0.25">
      <c r="B11" s="1" t="s">
        <v>4</v>
      </c>
      <c r="D11" s="1">
        <f>+D7-D10</f>
        <v>1834</v>
      </c>
      <c r="E11" s="1">
        <f t="shared" ref="E11:I11" si="2">+E7-E10</f>
        <v>1993</v>
      </c>
      <c r="F11" s="1">
        <f t="shared" si="2"/>
        <v>1986</v>
      </c>
      <c r="G11" s="1">
        <f t="shared" si="2"/>
        <v>0</v>
      </c>
      <c r="H11" s="1">
        <f t="shared" si="2"/>
        <v>0</v>
      </c>
      <c r="I11" s="1">
        <f t="shared" si="2"/>
        <v>0</v>
      </c>
    </row>
    <row r="12" spans="2:9" s="1" customFormat="1" x14ac:dyDescent="0.25">
      <c r="B12" s="1" t="s">
        <v>5</v>
      </c>
      <c r="D12" s="1">
        <v>4462</v>
      </c>
      <c r="E12" s="1">
        <v>4751</v>
      </c>
      <c r="F12" s="1">
        <v>4017</v>
      </c>
    </row>
    <row r="13" spans="2:9" s="1" customFormat="1" x14ac:dyDescent="0.25">
      <c r="B13" s="1" t="s">
        <v>6</v>
      </c>
      <c r="D13" s="1">
        <v>475</v>
      </c>
      <c r="E13" s="1">
        <v>1377</v>
      </c>
      <c r="F13" s="1">
        <v>1216</v>
      </c>
    </row>
    <row r="14" spans="2:9" s="1" customFormat="1" x14ac:dyDescent="0.25">
      <c r="B14" s="1" t="s">
        <v>7</v>
      </c>
      <c r="D14" s="1">
        <v>13599</v>
      </c>
      <c r="E14" s="1">
        <v>13933</v>
      </c>
      <c r="F14" s="1">
        <v>9662</v>
      </c>
    </row>
    <row r="15" spans="2:9" s="1" customFormat="1" x14ac:dyDescent="0.25">
      <c r="B15" s="1" t="s">
        <v>9</v>
      </c>
      <c r="E15" s="1">
        <v>1027</v>
      </c>
      <c r="F15" s="1">
        <v>1727</v>
      </c>
    </row>
    <row r="16" spans="2:9" s="1" customFormat="1" x14ac:dyDescent="0.25">
      <c r="B16" s="1" t="s">
        <v>10</v>
      </c>
      <c r="D16" s="1">
        <f>+D11-D12-D13-D14-D15</f>
        <v>-16702</v>
      </c>
      <c r="E16" s="1">
        <f t="shared" ref="E16:I16" si="3">+E11-E12-E13-E14-E15</f>
        <v>-19095</v>
      </c>
      <c r="F16" s="1">
        <f t="shared" si="3"/>
        <v>-14636</v>
      </c>
      <c r="G16" s="1">
        <f t="shared" si="3"/>
        <v>0</v>
      </c>
      <c r="H16" s="1">
        <f t="shared" si="3"/>
        <v>0</v>
      </c>
      <c r="I16" s="1">
        <f t="shared" si="3"/>
        <v>0</v>
      </c>
    </row>
    <row r="17" spans="2:9" s="1" customFormat="1" x14ac:dyDescent="0.25">
      <c r="B17" s="1" t="s">
        <v>11</v>
      </c>
      <c r="D17" s="1">
        <v>254</v>
      </c>
      <c r="E17" s="1">
        <v>-1255</v>
      </c>
      <c r="F17" s="1">
        <v>4389</v>
      </c>
    </row>
    <row r="18" spans="2:9" s="1" customFormat="1" x14ac:dyDescent="0.25">
      <c r="B18" s="1" t="s">
        <v>12</v>
      </c>
      <c r="E18" s="1">
        <v>85</v>
      </c>
      <c r="F18" s="1">
        <v>158</v>
      </c>
    </row>
    <row r="19" spans="2:9" s="1" customFormat="1" x14ac:dyDescent="0.25">
      <c r="B19" s="1" t="s">
        <v>13</v>
      </c>
      <c r="D19" s="1">
        <v>1391</v>
      </c>
      <c r="E19" s="1">
        <v>302</v>
      </c>
      <c r="F19" s="1">
        <v>396</v>
      </c>
    </row>
    <row r="20" spans="2:9" s="1" customFormat="1" x14ac:dyDescent="0.25">
      <c r="B20" s="1" t="s">
        <v>14</v>
      </c>
      <c r="D20" s="1">
        <f>+D16-D17+D18-D19</f>
        <v>-18347</v>
      </c>
      <c r="E20" s="1">
        <f t="shared" ref="E20:I20" si="4">+E16-E17+E18-E19</f>
        <v>-18057</v>
      </c>
      <c r="F20" s="1">
        <f t="shared" si="4"/>
        <v>-19263</v>
      </c>
      <c r="G20" s="1">
        <f t="shared" si="4"/>
        <v>0</v>
      </c>
      <c r="H20" s="1">
        <f t="shared" si="4"/>
        <v>0</v>
      </c>
      <c r="I20" s="1">
        <f t="shared" si="4"/>
        <v>0</v>
      </c>
    </row>
    <row r="21" spans="2:9" s="1" customFormat="1" x14ac:dyDescent="0.25">
      <c r="B21" s="1" t="s">
        <v>15</v>
      </c>
    </row>
    <row r="22" spans="2:9" s="1" customFormat="1" x14ac:dyDescent="0.25">
      <c r="B22" s="1" t="s">
        <v>16</v>
      </c>
      <c r="D22" s="1">
        <f>+D20-D21</f>
        <v>-18347</v>
      </c>
      <c r="E22" s="1">
        <f t="shared" ref="E22:I22" si="5">+E20-E21</f>
        <v>-18057</v>
      </c>
      <c r="F22" s="1">
        <f t="shared" si="5"/>
        <v>-19263</v>
      </c>
      <c r="G22" s="1">
        <f t="shared" si="5"/>
        <v>0</v>
      </c>
      <c r="H22" s="1">
        <f t="shared" si="5"/>
        <v>0</v>
      </c>
      <c r="I22" s="1">
        <f t="shared" si="5"/>
        <v>0</v>
      </c>
    </row>
    <row r="23" spans="2:9" s="1" customFormat="1" x14ac:dyDescent="0.25"/>
    <row r="24" spans="2:9" s="1" customFormat="1" x14ac:dyDescent="0.25"/>
    <row r="25" spans="2:9" s="1" customFormat="1" x14ac:dyDescent="0.25"/>
    <row r="26" spans="2:9" s="1" customFormat="1" x14ac:dyDescent="0.25"/>
    <row r="27" spans="2:9" s="1" customFormat="1" x14ac:dyDescent="0.25"/>
    <row r="28" spans="2:9" s="1" customFormat="1" x14ac:dyDescent="0.25"/>
    <row r="29" spans="2:9" s="1" customFormat="1" x14ac:dyDescent="0.25"/>
    <row r="30" spans="2:9" s="1" customFormat="1" x14ac:dyDescent="0.25"/>
    <row r="31" spans="2:9" s="1" customFormat="1" x14ac:dyDescent="0.25"/>
    <row r="32" spans="2:9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E183-7EC3-46A3-A86E-E19601383DCB}">
  <dimension ref="B2:N176"/>
  <sheetViews>
    <sheetView tabSelected="1" zoomScale="175" zoomScaleNormal="175" workbookViewId="0">
      <pane xSplit="2" ySplit="2" topLeftCell="D6" activePane="bottomRight" state="frozen"/>
      <selection pane="topRight" activeCell="C1" sqref="C1"/>
      <selection pane="bottomLeft" activeCell="A3" sqref="A3"/>
      <selection pane="bottomRight" activeCell="P19" sqref="P19"/>
    </sheetView>
  </sheetViews>
  <sheetFormatPr defaultRowHeight="15" x14ac:dyDescent="0.25"/>
  <cols>
    <col min="1" max="1" width="2.85546875" customWidth="1"/>
    <col min="2" max="2" width="16.7109375" bestFit="1" customWidth="1"/>
  </cols>
  <sheetData>
    <row r="2" spans="2:14" x14ac:dyDescent="0.25">
      <c r="E2">
        <v>2026</v>
      </c>
      <c r="F2">
        <f>+E2+1</f>
        <v>2027</v>
      </c>
      <c r="G2">
        <f>+F2+1</f>
        <v>2028</v>
      </c>
      <c r="H2">
        <f>+G2+1</f>
        <v>2029</v>
      </c>
      <c r="I2">
        <f>+H2+1</f>
        <v>2030</v>
      </c>
      <c r="J2">
        <f>+I2+1</f>
        <v>2031</v>
      </c>
      <c r="K2">
        <f>+J2+1</f>
        <v>2032</v>
      </c>
      <c r="L2">
        <f t="shared" ref="L2:M2" si="0">+K2+1</f>
        <v>2033</v>
      </c>
      <c r="M2">
        <f t="shared" si="0"/>
        <v>2034</v>
      </c>
      <c r="N2">
        <f>+M2+1</f>
        <v>2035</v>
      </c>
    </row>
    <row r="3" spans="2:14" s="1" customFormat="1" x14ac:dyDescent="0.25"/>
    <row r="4" spans="2:14" s="1" customFormat="1" x14ac:dyDescent="0.25">
      <c r="B4" s="1" t="s">
        <v>23</v>
      </c>
      <c r="E4" s="1">
        <v>10000</v>
      </c>
      <c r="F4" s="1">
        <v>10000</v>
      </c>
      <c r="G4" s="1">
        <v>10000</v>
      </c>
      <c r="H4" s="1">
        <v>10000</v>
      </c>
      <c r="I4" s="1">
        <v>10000</v>
      </c>
      <c r="J4" s="1">
        <v>10000</v>
      </c>
      <c r="K4" s="1">
        <v>10000</v>
      </c>
      <c r="L4" s="1">
        <v>10000</v>
      </c>
      <c r="M4" s="1">
        <v>10000</v>
      </c>
      <c r="N4" s="1">
        <v>10000</v>
      </c>
    </row>
    <row r="5" spans="2:14" s="1" customFormat="1" x14ac:dyDescent="0.25">
      <c r="B5" s="1" t="s">
        <v>18</v>
      </c>
      <c r="E5" s="1">
        <f>+E4+D5</f>
        <v>10000</v>
      </c>
      <c r="F5" s="1">
        <f>+F4+E5</f>
        <v>20000</v>
      </c>
      <c r="G5" s="1">
        <f>+G4+F5</f>
        <v>30000</v>
      </c>
      <c r="H5" s="1">
        <f>+H4+G5</f>
        <v>40000</v>
      </c>
      <c r="I5" s="1">
        <f>+I4+H5</f>
        <v>50000</v>
      </c>
      <c r="J5" s="1">
        <f t="shared" ref="J5:N5" si="1">+J4+I5</f>
        <v>60000</v>
      </c>
      <c r="K5" s="1">
        <f t="shared" si="1"/>
        <v>70000</v>
      </c>
      <c r="L5" s="1">
        <f t="shared" si="1"/>
        <v>80000</v>
      </c>
      <c r="M5" s="1">
        <f t="shared" si="1"/>
        <v>90000</v>
      </c>
      <c r="N5" s="1">
        <f t="shared" si="1"/>
        <v>100000</v>
      </c>
    </row>
    <row r="6" spans="2:14" s="1" customFormat="1" x14ac:dyDescent="0.25">
      <c r="B6" s="1" t="s">
        <v>19</v>
      </c>
      <c r="E6" s="1">
        <v>125</v>
      </c>
      <c r="F6" s="1">
        <v>125</v>
      </c>
      <c r="G6" s="1">
        <v>125</v>
      </c>
      <c r="H6" s="1">
        <v>125</v>
      </c>
      <c r="I6" s="1">
        <v>125</v>
      </c>
      <c r="J6" s="1">
        <v>125</v>
      </c>
      <c r="K6" s="1">
        <v>125</v>
      </c>
      <c r="L6" s="1">
        <v>125</v>
      </c>
      <c r="M6" s="1">
        <v>125</v>
      </c>
      <c r="N6" s="1">
        <v>125</v>
      </c>
    </row>
    <row r="7" spans="2:14" s="1" customFormat="1" x14ac:dyDescent="0.25"/>
    <row r="8" spans="2:14" s="1" customFormat="1" x14ac:dyDescent="0.25">
      <c r="B8" s="1" t="s">
        <v>22</v>
      </c>
      <c r="E8" s="1">
        <f>+E6*E5*12/1000</f>
        <v>15000</v>
      </c>
      <c r="F8" s="1">
        <f t="shared" ref="F8:I8" si="2">+F6*F5*12/1000</f>
        <v>30000</v>
      </c>
      <c r="G8" s="1">
        <f t="shared" si="2"/>
        <v>45000</v>
      </c>
      <c r="H8" s="1">
        <f t="shared" si="2"/>
        <v>60000</v>
      </c>
      <c r="I8" s="1">
        <f t="shared" si="2"/>
        <v>75000</v>
      </c>
      <c r="J8" s="1">
        <f t="shared" ref="J8:N8" si="3">+J6*J5*12/1000</f>
        <v>90000</v>
      </c>
      <c r="K8" s="1">
        <f t="shared" si="3"/>
        <v>105000</v>
      </c>
      <c r="L8" s="1">
        <f t="shared" si="3"/>
        <v>120000</v>
      </c>
      <c r="M8" s="1">
        <f t="shared" si="3"/>
        <v>135000</v>
      </c>
      <c r="N8" s="1">
        <f t="shared" si="3"/>
        <v>150000</v>
      </c>
    </row>
    <row r="9" spans="2:14" s="1" customFormat="1" x14ac:dyDescent="0.25">
      <c r="B9" s="1" t="s">
        <v>3</v>
      </c>
      <c r="E9" s="1">
        <f>+E8*0.3</f>
        <v>4500</v>
      </c>
      <c r="F9" s="1">
        <f t="shared" ref="F9:N9" si="4">+F8*0.3</f>
        <v>9000</v>
      </c>
      <c r="G9" s="1">
        <f t="shared" si="4"/>
        <v>13500</v>
      </c>
      <c r="H9" s="1">
        <f t="shared" si="4"/>
        <v>18000</v>
      </c>
      <c r="I9" s="1">
        <f t="shared" si="4"/>
        <v>22500</v>
      </c>
      <c r="J9" s="1">
        <f t="shared" si="4"/>
        <v>27000</v>
      </c>
      <c r="K9" s="1">
        <f t="shared" si="4"/>
        <v>31500</v>
      </c>
      <c r="L9" s="1">
        <f t="shared" si="4"/>
        <v>36000</v>
      </c>
      <c r="M9" s="1">
        <f t="shared" si="4"/>
        <v>40500</v>
      </c>
      <c r="N9" s="1">
        <f t="shared" si="4"/>
        <v>45000</v>
      </c>
    </row>
    <row r="10" spans="2:14" s="1" customFormat="1" x14ac:dyDescent="0.25">
      <c r="B10" s="1" t="s">
        <v>20</v>
      </c>
      <c r="E10" s="1">
        <f>+E8-E9</f>
        <v>10500</v>
      </c>
      <c r="F10" s="1">
        <f>+F8-F9</f>
        <v>21000</v>
      </c>
      <c r="G10" s="1">
        <f>+G8-G9</f>
        <v>31500</v>
      </c>
      <c r="H10" s="1">
        <f>+H8-H9</f>
        <v>42000</v>
      </c>
      <c r="I10" s="1">
        <f>+I8-I9</f>
        <v>52500</v>
      </c>
      <c r="J10" s="1">
        <f t="shared" ref="J10:P10" si="5">+J8-J9</f>
        <v>63000</v>
      </c>
      <c r="K10" s="1">
        <f t="shared" si="5"/>
        <v>73500</v>
      </c>
      <c r="L10" s="1">
        <f t="shared" si="5"/>
        <v>84000</v>
      </c>
      <c r="M10" s="1">
        <f t="shared" si="5"/>
        <v>94500</v>
      </c>
      <c r="N10" s="1">
        <f t="shared" si="5"/>
        <v>105000</v>
      </c>
    </row>
    <row r="11" spans="2:14" s="1" customFormat="1" x14ac:dyDescent="0.25">
      <c r="B11" s="1" t="s">
        <v>5</v>
      </c>
      <c r="E11" s="1">
        <v>5000</v>
      </c>
      <c r="F11" s="1">
        <f>+F8*0.1</f>
        <v>3000</v>
      </c>
      <c r="G11" s="1">
        <f t="shared" ref="G11:P11" si="6">+G8*0.1</f>
        <v>4500</v>
      </c>
      <c r="H11" s="1">
        <f t="shared" si="6"/>
        <v>6000</v>
      </c>
      <c r="I11" s="1">
        <f t="shared" si="6"/>
        <v>7500</v>
      </c>
      <c r="J11" s="1">
        <f t="shared" si="6"/>
        <v>9000</v>
      </c>
      <c r="K11" s="1">
        <f t="shared" si="6"/>
        <v>10500</v>
      </c>
      <c r="L11" s="1">
        <f t="shared" si="6"/>
        <v>12000</v>
      </c>
      <c r="M11" s="1">
        <f t="shared" si="6"/>
        <v>13500</v>
      </c>
      <c r="N11" s="1">
        <f t="shared" si="6"/>
        <v>15000</v>
      </c>
    </row>
    <row r="12" spans="2:14" s="1" customFormat="1" x14ac:dyDescent="0.25">
      <c r="B12" s="1" t="s">
        <v>6</v>
      </c>
      <c r="E12" s="1">
        <v>1500</v>
      </c>
      <c r="F12" s="1">
        <f>+F8*0.05</f>
        <v>1500</v>
      </c>
      <c r="G12" s="1">
        <f t="shared" ref="G12:P12" si="7">+G8*0.05</f>
        <v>2250</v>
      </c>
      <c r="H12" s="1">
        <f t="shared" si="7"/>
        <v>3000</v>
      </c>
      <c r="I12" s="1">
        <f t="shared" si="7"/>
        <v>3750</v>
      </c>
      <c r="J12" s="1">
        <f t="shared" si="7"/>
        <v>4500</v>
      </c>
      <c r="K12" s="1">
        <f t="shared" si="7"/>
        <v>5250</v>
      </c>
      <c r="L12" s="1">
        <f t="shared" si="7"/>
        <v>6000</v>
      </c>
      <c r="M12" s="1">
        <f t="shared" si="7"/>
        <v>6750</v>
      </c>
      <c r="N12" s="1">
        <f t="shared" si="7"/>
        <v>7500</v>
      </c>
    </row>
    <row r="13" spans="2:14" s="1" customFormat="1" x14ac:dyDescent="0.25">
      <c r="B13" s="1" t="s">
        <v>7</v>
      </c>
      <c r="E13" s="1">
        <v>10000</v>
      </c>
      <c r="F13" s="1">
        <v>10000</v>
      </c>
      <c r="G13" s="1">
        <v>10000</v>
      </c>
      <c r="H13" s="1">
        <f>+H8*0.1</f>
        <v>6000</v>
      </c>
      <c r="I13" s="1">
        <f>+I8*0.1</f>
        <v>7500</v>
      </c>
      <c r="J13" s="1">
        <f t="shared" ref="J13:P13" si="8">+J8*0.1</f>
        <v>9000</v>
      </c>
      <c r="K13" s="1">
        <f t="shared" si="8"/>
        <v>10500</v>
      </c>
      <c r="L13" s="1">
        <f t="shared" si="8"/>
        <v>12000</v>
      </c>
      <c r="M13" s="1">
        <f t="shared" si="8"/>
        <v>13500</v>
      </c>
      <c r="N13" s="1">
        <f t="shared" si="8"/>
        <v>15000</v>
      </c>
    </row>
    <row r="14" spans="2:14" s="1" customFormat="1" x14ac:dyDescent="0.25">
      <c r="B14" s="1" t="s">
        <v>8</v>
      </c>
      <c r="E14" s="1">
        <f>+E10-E11-E12-E13</f>
        <v>-6000</v>
      </c>
      <c r="F14" s="1">
        <f t="shared" ref="F14:I14" si="9">+F10-F11-F12-F13</f>
        <v>6500</v>
      </c>
      <c r="G14" s="1">
        <f t="shared" si="9"/>
        <v>14750</v>
      </c>
      <c r="H14" s="1">
        <f t="shared" si="9"/>
        <v>27000</v>
      </c>
      <c r="I14" s="1">
        <f t="shared" si="9"/>
        <v>33750</v>
      </c>
      <c r="J14" s="1">
        <f t="shared" ref="J14" si="10">+J10-J11-J12-J13</f>
        <v>40500</v>
      </c>
      <c r="K14" s="1">
        <f t="shared" ref="K14" si="11">+K10-K11-K12-K13</f>
        <v>47250</v>
      </c>
      <c r="L14" s="1">
        <f t="shared" ref="L14" si="12">+L10-L11-L12-L13</f>
        <v>54000</v>
      </c>
      <c r="M14" s="1">
        <f t="shared" ref="M14" si="13">+M10-M11-M12-M13</f>
        <v>60750</v>
      </c>
      <c r="N14" s="1">
        <f t="shared" ref="N14" si="14">+N10-N11-N12-N13</f>
        <v>67500</v>
      </c>
    </row>
    <row r="15" spans="2:14" s="1" customFormat="1" x14ac:dyDescent="0.25">
      <c r="B15" s="1" t="s">
        <v>21</v>
      </c>
      <c r="E15" s="1">
        <v>-300</v>
      </c>
      <c r="F15" s="1">
        <f>+E15-100</f>
        <v>-400</v>
      </c>
      <c r="G15" s="1">
        <f t="shared" ref="G15:N15" si="15">+F15-100</f>
        <v>-500</v>
      </c>
      <c r="H15" s="1">
        <f t="shared" si="15"/>
        <v>-600</v>
      </c>
      <c r="I15" s="1">
        <f t="shared" si="15"/>
        <v>-700</v>
      </c>
      <c r="J15" s="1">
        <f t="shared" si="15"/>
        <v>-800</v>
      </c>
      <c r="K15" s="1">
        <f t="shared" si="15"/>
        <v>-900</v>
      </c>
      <c r="L15" s="1">
        <f t="shared" si="15"/>
        <v>-1000</v>
      </c>
      <c r="M15" s="1">
        <f t="shared" si="15"/>
        <v>-1100</v>
      </c>
      <c r="N15" s="1">
        <f t="shared" si="15"/>
        <v>-1200</v>
      </c>
    </row>
    <row r="16" spans="2:14" s="1" customFormat="1" x14ac:dyDescent="0.25">
      <c r="B16" s="1" t="s">
        <v>14</v>
      </c>
      <c r="E16" s="1">
        <f>+E14-E15</f>
        <v>-5700</v>
      </c>
      <c r="F16" s="1">
        <f>+F14-F15</f>
        <v>6900</v>
      </c>
      <c r="G16" s="1">
        <f t="shared" ref="G16:P16" si="16">+G14-G15</f>
        <v>15250</v>
      </c>
      <c r="H16" s="1">
        <f t="shared" si="16"/>
        <v>27600</v>
      </c>
      <c r="I16" s="1">
        <f t="shared" si="16"/>
        <v>34450</v>
      </c>
      <c r="J16" s="1">
        <f t="shared" si="16"/>
        <v>41300</v>
      </c>
      <c r="K16" s="1">
        <f t="shared" si="16"/>
        <v>48150</v>
      </c>
      <c r="L16" s="1">
        <f t="shared" si="16"/>
        <v>55000</v>
      </c>
      <c r="M16" s="1">
        <f t="shared" si="16"/>
        <v>61850</v>
      </c>
      <c r="N16" s="1">
        <f t="shared" si="16"/>
        <v>68700</v>
      </c>
    </row>
    <row r="17" spans="2:14" s="1" customFormat="1" x14ac:dyDescent="0.25">
      <c r="B17" s="1" t="s">
        <v>15</v>
      </c>
      <c r="E17" s="1">
        <f>+E16*0.25</f>
        <v>-1425</v>
      </c>
      <c r="F17" s="1">
        <f t="shared" ref="F17:P17" si="17">+F16*0.25</f>
        <v>1725</v>
      </c>
      <c r="G17" s="1">
        <f t="shared" si="17"/>
        <v>3812.5</v>
      </c>
      <c r="H17" s="1">
        <f t="shared" si="17"/>
        <v>6900</v>
      </c>
      <c r="I17" s="1">
        <f t="shared" si="17"/>
        <v>8612.5</v>
      </c>
      <c r="J17" s="1">
        <f t="shared" si="17"/>
        <v>10325</v>
      </c>
      <c r="K17" s="1">
        <f t="shared" si="17"/>
        <v>12037.5</v>
      </c>
      <c r="L17" s="1">
        <f t="shared" si="17"/>
        <v>13750</v>
      </c>
      <c r="M17" s="1">
        <f t="shared" si="17"/>
        <v>15462.5</v>
      </c>
      <c r="N17" s="1">
        <f t="shared" si="17"/>
        <v>17175</v>
      </c>
    </row>
    <row r="18" spans="2:14" s="1" customFormat="1" x14ac:dyDescent="0.25">
      <c r="B18" s="1" t="s">
        <v>16</v>
      </c>
      <c r="E18" s="1">
        <f>+E16-E17</f>
        <v>-4275</v>
      </c>
      <c r="F18" s="1">
        <f t="shared" ref="F18:P18" si="18">+F16-F17</f>
        <v>5175</v>
      </c>
      <c r="G18" s="1">
        <f t="shared" si="18"/>
        <v>11437.5</v>
      </c>
      <c r="H18" s="1">
        <f t="shared" si="18"/>
        <v>20700</v>
      </c>
      <c r="I18" s="1">
        <f t="shared" si="18"/>
        <v>25837.5</v>
      </c>
      <c r="J18" s="1">
        <f t="shared" si="18"/>
        <v>30975</v>
      </c>
      <c r="K18" s="1">
        <f t="shared" si="18"/>
        <v>36112.5</v>
      </c>
      <c r="L18" s="1">
        <f t="shared" si="18"/>
        <v>41250</v>
      </c>
      <c r="M18" s="1">
        <f t="shared" si="18"/>
        <v>46387.5</v>
      </c>
      <c r="N18" s="1">
        <f t="shared" si="18"/>
        <v>51525</v>
      </c>
    </row>
    <row r="19" spans="2:14" s="1" customFormat="1" x14ac:dyDescent="0.25"/>
    <row r="20" spans="2:14" s="3" customFormat="1" x14ac:dyDescent="0.25">
      <c r="B20" s="3" t="s">
        <v>5</v>
      </c>
      <c r="E20" s="3">
        <f>+E11/E$8</f>
        <v>0.33333333333333331</v>
      </c>
      <c r="F20" s="3">
        <f t="shared" ref="F20:I20" si="19">+F11/F$8</f>
        <v>0.1</v>
      </c>
      <c r="G20" s="3">
        <f t="shared" si="19"/>
        <v>0.1</v>
      </c>
      <c r="H20" s="3">
        <f t="shared" si="19"/>
        <v>0.1</v>
      </c>
      <c r="I20" s="3">
        <f t="shared" si="19"/>
        <v>0.1</v>
      </c>
      <c r="J20" s="3">
        <f t="shared" ref="J20:N20" si="20">+J11/J$8</f>
        <v>0.1</v>
      </c>
      <c r="K20" s="3">
        <f t="shared" si="20"/>
        <v>0.1</v>
      </c>
      <c r="L20" s="3">
        <f t="shared" si="20"/>
        <v>0.1</v>
      </c>
      <c r="M20" s="3">
        <f t="shared" si="20"/>
        <v>0.1</v>
      </c>
      <c r="N20" s="3">
        <f t="shared" si="20"/>
        <v>0.1</v>
      </c>
    </row>
    <row r="21" spans="2:14" s="3" customFormat="1" x14ac:dyDescent="0.25">
      <c r="B21" s="3" t="s">
        <v>6</v>
      </c>
      <c r="E21" s="3">
        <f t="shared" ref="E21:I22" si="21">+E12/E$8</f>
        <v>0.1</v>
      </c>
      <c r="F21" s="3">
        <f t="shared" si="21"/>
        <v>0.05</v>
      </c>
      <c r="G21" s="3">
        <f t="shared" si="21"/>
        <v>0.05</v>
      </c>
      <c r="H21" s="3">
        <f t="shared" si="21"/>
        <v>0.05</v>
      </c>
      <c r="I21" s="3">
        <f t="shared" si="21"/>
        <v>0.05</v>
      </c>
      <c r="J21" s="3">
        <f t="shared" ref="J21:N21" si="22">+J12/J$8</f>
        <v>0.05</v>
      </c>
      <c r="K21" s="3">
        <f t="shared" si="22"/>
        <v>0.05</v>
      </c>
      <c r="L21" s="3">
        <f t="shared" si="22"/>
        <v>0.05</v>
      </c>
      <c r="M21" s="3">
        <f t="shared" si="22"/>
        <v>0.05</v>
      </c>
      <c r="N21" s="3">
        <f t="shared" si="22"/>
        <v>0.05</v>
      </c>
    </row>
    <row r="22" spans="2:14" s="3" customFormat="1" x14ac:dyDescent="0.25">
      <c r="B22" s="3" t="s">
        <v>7</v>
      </c>
      <c r="E22" s="3">
        <f t="shared" si="21"/>
        <v>0.66666666666666663</v>
      </c>
      <c r="F22" s="3">
        <f t="shared" si="21"/>
        <v>0.33333333333333331</v>
      </c>
      <c r="G22" s="3">
        <f t="shared" si="21"/>
        <v>0.22222222222222221</v>
      </c>
      <c r="H22" s="3">
        <f t="shared" si="21"/>
        <v>0.1</v>
      </c>
      <c r="I22" s="3">
        <f t="shared" si="21"/>
        <v>0.1</v>
      </c>
      <c r="J22" s="3">
        <f t="shared" ref="J22:N22" si="23">+J13/J$8</f>
        <v>0.1</v>
      </c>
      <c r="K22" s="3">
        <f t="shared" si="23"/>
        <v>0.1</v>
      </c>
      <c r="L22" s="3">
        <f t="shared" si="23"/>
        <v>0.1</v>
      </c>
      <c r="M22" s="3">
        <f t="shared" si="23"/>
        <v>0.1</v>
      </c>
      <c r="N22" s="3">
        <f t="shared" si="23"/>
        <v>0.1</v>
      </c>
    </row>
    <row r="23" spans="2:14" s="1" customFormat="1" x14ac:dyDescent="0.25">
      <c r="B23" s="1" t="s">
        <v>24</v>
      </c>
      <c r="E23" s="3">
        <f>+E14/E8</f>
        <v>-0.4</v>
      </c>
      <c r="F23" s="3">
        <f t="shared" ref="F23:I23" si="24">+F14/F8</f>
        <v>0.21666666666666667</v>
      </c>
      <c r="G23" s="3">
        <f t="shared" si="24"/>
        <v>0.32777777777777778</v>
      </c>
      <c r="H23" s="3">
        <f t="shared" si="24"/>
        <v>0.45</v>
      </c>
      <c r="I23" s="3">
        <f t="shared" si="24"/>
        <v>0.45</v>
      </c>
      <c r="J23" s="3">
        <f t="shared" ref="J23:N23" si="25">+J14/J8</f>
        <v>0.45</v>
      </c>
      <c r="K23" s="3">
        <f t="shared" si="25"/>
        <v>0.45</v>
      </c>
      <c r="L23" s="3">
        <f t="shared" si="25"/>
        <v>0.45</v>
      </c>
      <c r="M23" s="3">
        <f t="shared" si="25"/>
        <v>0.45</v>
      </c>
      <c r="N23" s="3">
        <f t="shared" si="25"/>
        <v>0.45</v>
      </c>
    </row>
    <row r="24" spans="2:14" s="1" customFormat="1" x14ac:dyDescent="0.25"/>
    <row r="25" spans="2:14" s="1" customFormat="1" x14ac:dyDescent="0.25"/>
    <row r="26" spans="2:14" s="1" customFormat="1" x14ac:dyDescent="0.25"/>
    <row r="27" spans="2:14" s="1" customFormat="1" x14ac:dyDescent="0.25"/>
    <row r="28" spans="2:14" s="1" customFormat="1" x14ac:dyDescent="0.25"/>
    <row r="29" spans="2:14" s="1" customFormat="1" x14ac:dyDescent="0.25"/>
    <row r="30" spans="2:14" s="1" customFormat="1" x14ac:dyDescent="0.25"/>
    <row r="31" spans="2:14" s="1" customFormat="1" x14ac:dyDescent="0.25"/>
    <row r="32" spans="2:14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2026-01-23T17:56:16Z</dcterms:created>
  <dcterms:modified xsi:type="dcterms:W3CDTF">2026-01-23T20:25:19Z</dcterms:modified>
</cp:coreProperties>
</file>