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807CDF49-DDCD-4D97-9763-610101F932E3}" xr6:coauthVersionLast="47" xr6:coauthVersionMax="47" xr10:uidLastSave="{00000000-0000-0000-0000-000000000000}"/>
  <bookViews>
    <workbookView xWindow="-120" yWindow="-120" windowWidth="29040" windowHeight="15840" xr2:uid="{9F719578-0E85-43C4-80B5-2111084579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44" i="1" l="1"/>
  <c r="M38" i="1"/>
  <c r="J41" i="1"/>
  <c r="K41" i="1"/>
  <c r="L41" i="1"/>
  <c r="M41" i="1"/>
  <c r="N41" i="1"/>
  <c r="O41" i="1"/>
  <c r="P41" i="1"/>
  <c r="Q41" i="1"/>
  <c r="R41" i="1"/>
  <c r="I41" i="1"/>
  <c r="H41" i="1"/>
  <c r="E41" i="1"/>
  <c r="F41" i="1"/>
  <c r="G41" i="1"/>
  <c r="I16" i="1"/>
  <c r="J16" i="1" s="1"/>
  <c r="K16" i="1" s="1"/>
  <c r="L16" i="1" s="1"/>
  <c r="M16" i="1" s="1"/>
  <c r="N16" i="1" s="1"/>
  <c r="O16" i="1" s="1"/>
  <c r="P16" i="1" s="1"/>
  <c r="Q16" i="1" s="1"/>
  <c r="R16" i="1" s="1"/>
  <c r="I17" i="1"/>
  <c r="J17" i="1" s="1"/>
  <c r="K17" i="1" s="1"/>
  <c r="L17" i="1" s="1"/>
  <c r="M17" i="1" s="1"/>
  <c r="N17" i="1" s="1"/>
  <c r="O17" i="1" s="1"/>
  <c r="P17" i="1" s="1"/>
  <c r="Q17" i="1" s="1"/>
  <c r="R17" i="1" s="1"/>
  <c r="H17" i="1"/>
  <c r="H16" i="1"/>
  <c r="H15" i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H14" i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I20" i="1"/>
  <c r="J20" i="1" s="1"/>
  <c r="K20" i="1" s="1"/>
  <c r="L20" i="1" s="1"/>
  <c r="M20" i="1" s="1"/>
  <c r="N20" i="1" s="1"/>
  <c r="O20" i="1" s="1"/>
  <c r="P20" i="1" s="1"/>
  <c r="Q20" i="1" s="1"/>
  <c r="R20" i="1" s="1"/>
  <c r="F8" i="1"/>
  <c r="F7" i="1"/>
  <c r="F6" i="1"/>
  <c r="F5" i="1"/>
  <c r="F45" i="1"/>
  <c r="F43" i="1"/>
  <c r="G43" i="1"/>
  <c r="G19" i="1"/>
  <c r="F19" i="1" s="1"/>
  <c r="G18" i="1"/>
  <c r="F18" i="1" s="1"/>
  <c r="G17" i="1"/>
  <c r="F17" i="1" s="1"/>
  <c r="G16" i="1"/>
  <c r="F16" i="1" s="1"/>
  <c r="G15" i="1"/>
  <c r="F15" i="1" s="1"/>
  <c r="G14" i="1"/>
  <c r="F14" i="1" s="1"/>
  <c r="G13" i="1"/>
  <c r="F13" i="1" s="1"/>
  <c r="G12" i="1"/>
  <c r="F12" i="1" s="1"/>
  <c r="F28" i="1"/>
  <c r="F30" i="1" s="1"/>
  <c r="F35" i="1" s="1"/>
  <c r="F36" i="1" s="1"/>
  <c r="G28" i="1"/>
  <c r="G30" i="1" s="1"/>
  <c r="G35" i="1" s="1"/>
  <c r="G36" i="1" s="1"/>
  <c r="E28" i="1"/>
  <c r="E30" i="1" s="1"/>
  <c r="E40" i="1" s="1"/>
  <c r="D28" i="1"/>
  <c r="D30" i="1" s="1"/>
  <c r="D40" i="1" s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H18" i="1" l="1"/>
  <c r="I18" i="1" s="1"/>
  <c r="J18" i="1" s="1"/>
  <c r="K18" i="1" s="1"/>
  <c r="L18" i="1" s="1"/>
  <c r="M18" i="1" s="1"/>
  <c r="N18" i="1" s="1"/>
  <c r="O18" i="1" s="1"/>
  <c r="P18" i="1" s="1"/>
  <c r="Q18" i="1" s="1"/>
  <c r="R18" i="1" s="1"/>
  <c r="H19" i="1"/>
  <c r="I19" i="1" s="1"/>
  <c r="J19" i="1" s="1"/>
  <c r="K19" i="1" s="1"/>
  <c r="L19" i="1" s="1"/>
  <c r="M19" i="1" s="1"/>
  <c r="N19" i="1" s="1"/>
  <c r="O19" i="1" s="1"/>
  <c r="P19" i="1" s="1"/>
  <c r="Q19" i="1" s="1"/>
  <c r="R19" i="1" s="1"/>
  <c r="G20" i="1"/>
  <c r="H12" i="1"/>
  <c r="H13" i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G40" i="1"/>
  <c r="F40" i="1"/>
  <c r="D39" i="1"/>
  <c r="E32" i="1"/>
  <c r="F32" i="1"/>
  <c r="D32" i="1"/>
  <c r="G39" i="1"/>
  <c r="F39" i="1"/>
  <c r="E39" i="1"/>
  <c r="G32" i="1"/>
  <c r="E35" i="1"/>
  <c r="E36" i="1" s="1"/>
  <c r="D35" i="1"/>
  <c r="D36" i="1" s="1"/>
  <c r="I12" i="1" l="1"/>
  <c r="J12" i="1" s="1"/>
  <c r="K12" i="1" s="1"/>
  <c r="L12" i="1" s="1"/>
  <c r="M12" i="1" s="1"/>
  <c r="N12" i="1" s="1"/>
  <c r="O12" i="1" s="1"/>
  <c r="P12" i="1" s="1"/>
  <c r="Q12" i="1" s="1"/>
  <c r="R12" i="1" s="1"/>
  <c r="H26" i="1"/>
  <c r="J26" i="1"/>
  <c r="R26" i="1"/>
  <c r="Q26" i="1"/>
  <c r="Q29" i="1" s="1"/>
  <c r="M26" i="1"/>
  <c r="M27" i="1" s="1"/>
  <c r="M28" i="1" s="1"/>
  <c r="P26" i="1"/>
  <c r="P29" i="1" s="1"/>
  <c r="I26" i="1"/>
  <c r="I29" i="1" s="1"/>
  <c r="O26" i="1"/>
  <c r="O27" i="1" s="1"/>
  <c r="O28" i="1" s="1"/>
  <c r="K26" i="1"/>
  <c r="K29" i="1" s="1"/>
  <c r="R29" i="1"/>
  <c r="R27" i="1"/>
  <c r="R28" i="1" s="1"/>
  <c r="R39" i="1" s="1"/>
  <c r="L26" i="1"/>
  <c r="L29" i="1" s="1"/>
  <c r="N26" i="1"/>
  <c r="N29" i="1" s="1"/>
  <c r="J29" i="1"/>
  <c r="J27" i="1"/>
  <c r="J28" i="1" s="1"/>
  <c r="M29" i="1" l="1"/>
  <c r="Q27" i="1"/>
  <c r="Q28" i="1" s="1"/>
  <c r="H29" i="1"/>
  <c r="H27" i="1"/>
  <c r="H28" i="1" s="1"/>
  <c r="H30" i="1" s="1"/>
  <c r="H33" i="1" s="1"/>
  <c r="H34" i="1" s="1"/>
  <c r="L27" i="1"/>
  <c r="L28" i="1" s="1"/>
  <c r="L30" i="1" s="1"/>
  <c r="I27" i="1"/>
  <c r="I28" i="1" s="1"/>
  <c r="N27" i="1"/>
  <c r="N28" i="1" s="1"/>
  <c r="N39" i="1" s="1"/>
  <c r="K27" i="1"/>
  <c r="K28" i="1" s="1"/>
  <c r="R30" i="1"/>
  <c r="R33" i="1" s="1"/>
  <c r="R34" i="1" s="1"/>
  <c r="R35" i="1" s="1"/>
  <c r="R37" i="1" s="1"/>
  <c r="P27" i="1"/>
  <c r="P28" i="1" s="1"/>
  <c r="P30" i="1" s="1"/>
  <c r="O29" i="1"/>
  <c r="O30" i="1" s="1"/>
  <c r="R40" i="1"/>
  <c r="J39" i="1"/>
  <c r="J30" i="1"/>
  <c r="M39" i="1"/>
  <c r="M30" i="1"/>
  <c r="L39" i="1"/>
  <c r="Q39" i="1"/>
  <c r="Q30" i="1"/>
  <c r="K39" i="1"/>
  <c r="K30" i="1"/>
  <c r="I39" i="1"/>
  <c r="I30" i="1"/>
  <c r="O39" i="1"/>
  <c r="H39" i="1" l="1"/>
  <c r="N30" i="1"/>
  <c r="P39" i="1"/>
  <c r="H35" i="1"/>
  <c r="H37" i="1" s="1"/>
  <c r="S35" i="1"/>
  <c r="T35" i="1" s="1"/>
  <c r="U35" i="1" s="1"/>
  <c r="V35" i="1" s="1"/>
  <c r="W35" i="1" s="1"/>
  <c r="X35" i="1" s="1"/>
  <c r="Y35" i="1" s="1"/>
  <c r="Z35" i="1" s="1"/>
  <c r="AA35" i="1" s="1"/>
  <c r="AB35" i="1" s="1"/>
  <c r="AC35" i="1" s="1"/>
  <c r="AD35" i="1" s="1"/>
  <c r="AE35" i="1" s="1"/>
  <c r="AF35" i="1" s="1"/>
  <c r="AG35" i="1" s="1"/>
  <c r="AH35" i="1" s="1"/>
  <c r="AI35" i="1" s="1"/>
  <c r="AJ35" i="1" s="1"/>
  <c r="AK35" i="1" s="1"/>
  <c r="AL35" i="1" s="1"/>
  <c r="AM35" i="1" s="1"/>
  <c r="AN35" i="1" s="1"/>
  <c r="AO35" i="1" s="1"/>
  <c r="AP35" i="1" s="1"/>
  <c r="AQ35" i="1" s="1"/>
  <c r="AR35" i="1" s="1"/>
  <c r="AS35" i="1" s="1"/>
  <c r="AT35" i="1" s="1"/>
  <c r="AU35" i="1" s="1"/>
  <c r="AV35" i="1" s="1"/>
  <c r="AW35" i="1" s="1"/>
  <c r="AX35" i="1" s="1"/>
  <c r="AY35" i="1" s="1"/>
  <c r="AZ35" i="1" s="1"/>
  <c r="BA35" i="1" s="1"/>
  <c r="BB35" i="1" s="1"/>
  <c r="BC35" i="1" s="1"/>
  <c r="BD35" i="1" s="1"/>
  <c r="BE35" i="1" s="1"/>
  <c r="BF35" i="1" s="1"/>
  <c r="BG35" i="1" s="1"/>
  <c r="BH35" i="1" s="1"/>
  <c r="BI35" i="1" s="1"/>
  <c r="BJ35" i="1" s="1"/>
  <c r="BK35" i="1" s="1"/>
  <c r="BL35" i="1" s="1"/>
  <c r="BM35" i="1" s="1"/>
  <c r="BN35" i="1" s="1"/>
  <c r="BO35" i="1" s="1"/>
  <c r="BP35" i="1" s="1"/>
  <c r="BQ35" i="1" s="1"/>
  <c r="BR35" i="1" s="1"/>
  <c r="BS35" i="1" s="1"/>
  <c r="BT35" i="1" s="1"/>
  <c r="BU35" i="1" s="1"/>
  <c r="BV35" i="1" s="1"/>
  <c r="BW35" i="1" s="1"/>
  <c r="BX35" i="1" s="1"/>
  <c r="BY35" i="1" s="1"/>
  <c r="BZ35" i="1" s="1"/>
  <c r="CA35" i="1" s="1"/>
  <c r="CB35" i="1" s="1"/>
  <c r="CC35" i="1" s="1"/>
  <c r="CD35" i="1" s="1"/>
  <c r="CE35" i="1" s="1"/>
  <c r="CF35" i="1" s="1"/>
  <c r="CG35" i="1" s="1"/>
  <c r="CH35" i="1" s="1"/>
  <c r="CI35" i="1" s="1"/>
  <c r="CJ35" i="1" s="1"/>
  <c r="CK35" i="1" s="1"/>
  <c r="CL35" i="1" s="1"/>
  <c r="CM35" i="1" s="1"/>
  <c r="CN35" i="1" s="1"/>
  <c r="CO35" i="1" s="1"/>
  <c r="CP35" i="1" s="1"/>
  <c r="CQ35" i="1" s="1"/>
  <c r="CR35" i="1" s="1"/>
  <c r="CS35" i="1" s="1"/>
  <c r="CT35" i="1" s="1"/>
  <c r="CU35" i="1" s="1"/>
  <c r="CV35" i="1" s="1"/>
  <c r="CW35" i="1" s="1"/>
  <c r="CX35" i="1" s="1"/>
  <c r="CY35" i="1" s="1"/>
  <c r="CZ35" i="1" s="1"/>
  <c r="DA35" i="1" s="1"/>
  <c r="DB35" i="1" s="1"/>
  <c r="DC35" i="1" s="1"/>
  <c r="DD35" i="1" s="1"/>
  <c r="DE35" i="1" s="1"/>
  <c r="DF35" i="1" s="1"/>
  <c r="DG35" i="1" s="1"/>
  <c r="DH35" i="1" s="1"/>
  <c r="DI35" i="1" s="1"/>
  <c r="DJ35" i="1" s="1"/>
  <c r="DK35" i="1" s="1"/>
  <c r="DL35" i="1" s="1"/>
  <c r="DM35" i="1" s="1"/>
  <c r="DN35" i="1" s="1"/>
  <c r="DO35" i="1" s="1"/>
  <c r="DP35" i="1" s="1"/>
  <c r="DQ35" i="1" s="1"/>
  <c r="DR35" i="1" s="1"/>
  <c r="DS35" i="1" s="1"/>
  <c r="DT35" i="1" s="1"/>
  <c r="DU35" i="1" s="1"/>
  <c r="DV35" i="1" s="1"/>
  <c r="DW35" i="1" s="1"/>
  <c r="DX35" i="1" s="1"/>
  <c r="DY35" i="1" s="1"/>
  <c r="DZ35" i="1" s="1"/>
  <c r="EA35" i="1" s="1"/>
  <c r="EB35" i="1" s="1"/>
  <c r="EC35" i="1" s="1"/>
  <c r="ED35" i="1" s="1"/>
  <c r="EE35" i="1" s="1"/>
  <c r="EF35" i="1" s="1"/>
  <c r="EG35" i="1" s="1"/>
  <c r="EH35" i="1" s="1"/>
  <c r="EI35" i="1" s="1"/>
  <c r="EJ35" i="1" s="1"/>
  <c r="EK35" i="1" s="1"/>
  <c r="EL35" i="1" s="1"/>
  <c r="EM35" i="1" s="1"/>
  <c r="EN35" i="1" s="1"/>
  <c r="EO35" i="1" s="1"/>
  <c r="EP35" i="1" s="1"/>
  <c r="EQ35" i="1" s="1"/>
  <c r="ER35" i="1" s="1"/>
  <c r="ES35" i="1" s="1"/>
  <c r="ET35" i="1" s="1"/>
  <c r="EU35" i="1" s="1"/>
  <c r="EV35" i="1" s="1"/>
  <c r="EW35" i="1" s="1"/>
  <c r="EX35" i="1" s="1"/>
  <c r="EY35" i="1" s="1"/>
  <c r="EZ35" i="1" s="1"/>
  <c r="FA35" i="1" s="1"/>
  <c r="FB35" i="1" s="1"/>
  <c r="FC35" i="1" s="1"/>
  <c r="FD35" i="1" s="1"/>
  <c r="FE35" i="1" s="1"/>
  <c r="FF35" i="1" s="1"/>
  <c r="FG35" i="1" s="1"/>
  <c r="FH35" i="1" s="1"/>
  <c r="FI35" i="1" s="1"/>
  <c r="FJ35" i="1" s="1"/>
  <c r="FK35" i="1" s="1"/>
  <c r="FL35" i="1" s="1"/>
  <c r="FM35" i="1" s="1"/>
  <c r="FN35" i="1" s="1"/>
  <c r="FO35" i="1" s="1"/>
  <c r="FP35" i="1" s="1"/>
  <c r="FQ35" i="1" s="1"/>
  <c r="FR35" i="1" s="1"/>
  <c r="FS35" i="1" s="1"/>
  <c r="FT35" i="1" s="1"/>
  <c r="FU35" i="1" s="1"/>
  <c r="FV35" i="1" s="1"/>
  <c r="FW35" i="1" s="1"/>
  <c r="FX35" i="1" s="1"/>
  <c r="FY35" i="1" s="1"/>
  <c r="FZ35" i="1" s="1"/>
  <c r="GA35" i="1" s="1"/>
  <c r="GB35" i="1" s="1"/>
  <c r="GC35" i="1" s="1"/>
  <c r="GD35" i="1" s="1"/>
  <c r="GE35" i="1" s="1"/>
  <c r="GF35" i="1" s="1"/>
  <c r="GG35" i="1" s="1"/>
  <c r="GH35" i="1" s="1"/>
  <c r="GI35" i="1" s="1"/>
  <c r="GJ35" i="1" s="1"/>
  <c r="GK35" i="1" s="1"/>
  <c r="GL35" i="1" s="1"/>
  <c r="GM35" i="1" s="1"/>
  <c r="GN35" i="1" s="1"/>
  <c r="GO35" i="1" s="1"/>
  <c r="H40" i="1"/>
  <c r="Q33" i="1"/>
  <c r="Q40" i="1"/>
  <c r="O33" i="1"/>
  <c r="O34" i="1" s="1"/>
  <c r="O40" i="1"/>
  <c r="I33" i="1"/>
  <c r="I34" i="1" s="1"/>
  <c r="I40" i="1"/>
  <c r="P33" i="1"/>
  <c r="P40" i="1"/>
  <c r="K40" i="1"/>
  <c r="K33" i="1"/>
  <c r="L40" i="1"/>
  <c r="L33" i="1"/>
  <c r="N40" i="1"/>
  <c r="N33" i="1"/>
  <c r="M40" i="1"/>
  <c r="M33" i="1"/>
  <c r="J33" i="1"/>
  <c r="J34" i="1" s="1"/>
  <c r="J40" i="1"/>
  <c r="M34" i="1" l="1"/>
  <c r="M35" i="1" s="1"/>
  <c r="M37" i="1" s="1"/>
  <c r="J35" i="1"/>
  <c r="J37" i="1" s="1"/>
  <c r="O35" i="1"/>
  <c r="O37" i="1" s="1"/>
  <c r="P34" i="1"/>
  <c r="P35" i="1" s="1"/>
  <c r="P37" i="1" s="1"/>
  <c r="N34" i="1"/>
  <c r="N35" i="1" s="1"/>
  <c r="N37" i="1" s="1"/>
  <c r="K34" i="1"/>
  <c r="K35" i="1" s="1"/>
  <c r="K37" i="1" s="1"/>
  <c r="I35" i="1"/>
  <c r="L34" i="1"/>
  <c r="L35" i="1" s="1"/>
  <c r="L37" i="1" s="1"/>
  <c r="Q34" i="1"/>
  <c r="Q35" i="1" s="1"/>
  <c r="Q37" i="1" s="1"/>
  <c r="I37" i="1" l="1"/>
  <c r="U42" i="1"/>
  <c r="U46" i="1" s="1"/>
</calcChain>
</file>

<file path=xl/sharedStrings.xml><?xml version="1.0" encoding="utf-8"?>
<sst xmlns="http://schemas.openxmlformats.org/spreadsheetml/2006/main" count="44" uniqueCount="44">
  <si>
    <t>Revenue</t>
  </si>
  <si>
    <t>COGS</t>
  </si>
  <si>
    <t>Gross Profit</t>
  </si>
  <si>
    <t>Operating Income</t>
  </si>
  <si>
    <t>Finance, net</t>
  </si>
  <si>
    <t>Pretax</t>
  </si>
  <si>
    <t>Taxes</t>
  </si>
  <si>
    <t>Net Income</t>
  </si>
  <si>
    <t>Operating Expenses</t>
  </si>
  <si>
    <t>Other</t>
  </si>
  <si>
    <t>Other, net</t>
  </si>
  <si>
    <t>Minority</t>
  </si>
  <si>
    <t>Company Income</t>
  </si>
  <si>
    <t>Gross Margin</t>
  </si>
  <si>
    <t>Operating Margin</t>
  </si>
  <si>
    <t>CFFO</t>
  </si>
  <si>
    <t>CapEx</t>
  </si>
  <si>
    <t>FCF</t>
  </si>
  <si>
    <t>EMEA</t>
  </si>
  <si>
    <t>Americas</t>
  </si>
  <si>
    <t>Asia-Pacific</t>
  </si>
  <si>
    <t>Region:</t>
  </si>
  <si>
    <t>CPG</t>
  </si>
  <si>
    <t>TMT</t>
  </si>
  <si>
    <t>Pharma</t>
  </si>
  <si>
    <t>Public Sector</t>
  </si>
  <si>
    <t>Financial Services</t>
  </si>
  <si>
    <t>Automotive</t>
  </si>
  <si>
    <t>Retail</t>
  </si>
  <si>
    <t>Travel</t>
  </si>
  <si>
    <t>Sectors:</t>
  </si>
  <si>
    <t>Consumer</t>
  </si>
  <si>
    <t>Citizens</t>
  </si>
  <si>
    <t>Doctors % Patients</t>
  </si>
  <si>
    <t>Client &amp; Employees</t>
  </si>
  <si>
    <t>Terminal</t>
  </si>
  <si>
    <t>Discount</t>
  </si>
  <si>
    <t>NPV</t>
  </si>
  <si>
    <t>Q3 25</t>
  </si>
  <si>
    <t>Shares</t>
  </si>
  <si>
    <t>Price</t>
  </si>
  <si>
    <t>Current</t>
  </si>
  <si>
    <t>Upside</t>
  </si>
  <si>
    <t>Revenue Y/Y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</si>
</sst>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00"/>
    <numFmt numFmtId="166" formatCode="#,##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164" fontId="0" fillId="0" borderId="0" xfId="1" applyNumberFormat="1" applyFont="1"/>
    <xf numFmtId="2" fontId="0" fillId="0" borderId="0" xfId="1" applyNumberFormat="1" applyFont="1"/>
    <xf numFmtId="3" fontId="0" fillId="0" borderId="0" xfId="1" applyNumberFormat="1" applyFont="1"/>
    <xf numFmtId="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651710</xdr:colOff>
      <xdr:row>3</xdr:row>
      <xdr:rowOff>175461</xdr:rowOff>
    </xdr:from>
    <xdr:to>
      <xdr:col>7</xdr:col>
      <xdr:colOff>30079</xdr:colOff>
      <xdr:row>45</xdr:row>
      <xdr:rowOff>75197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422AC14-71B6-F56D-1E28-D96D1196C69C}"/>
            </a:ext>
          </a:extLst>
        </xdr:cNvPr>
        <xdr:cNvCxnSpPr/>
      </xdr:nvCxnSpPr>
      <xdr:spPr>
        <a:xfrm>
          <a:off x="4712368" y="746961"/>
          <a:ext cx="45119" cy="751973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F54F0-A52A-4AE8-8557-9DECBC4A87FB}">
  <dimension ref="B2:GO137"/>
  <sheetViews>
    <sheetView tabSelected="1" zoomScale="190" zoomScaleNormal="190" workbookViewId="0">
      <pane xSplit="2" ySplit="2" topLeftCell="K36" activePane="bottomRight" state="frozen"/>
      <selection pane="topRight" activeCell="C1" sqref="C1"/>
      <selection pane="bottomLeft" activeCell="A3" sqref="A3"/>
      <selection pane="bottomRight" activeCell="U44" sqref="U44"/>
    </sheetView>
  </sheetViews>
  <sheetFormatPr defaultRowHeight="15" x14ac:dyDescent="0.25"/>
  <cols>
    <col min="1" max="1" width="2.85546875" customWidth="1"/>
    <col min="2" max="2" width="18.85546875" bestFit="1" customWidth="1"/>
    <col min="4" max="12" width="10" customWidth="1"/>
  </cols>
  <sheetData>
    <row r="2" spans="2:18" x14ac:dyDescent="0.25">
      <c r="D2">
        <v>2021</v>
      </c>
      <c r="E2">
        <f>+D2+1</f>
        <v>2022</v>
      </c>
      <c r="F2">
        <f>+E2+1</f>
        <v>2023</v>
      </c>
      <c r="G2">
        <f>+F2+1</f>
        <v>2024</v>
      </c>
      <c r="H2">
        <f t="shared" ref="H2:R2" si="0">+G2+1</f>
        <v>2025</v>
      </c>
      <c r="I2">
        <f t="shared" si="0"/>
        <v>2026</v>
      </c>
      <c r="J2">
        <f t="shared" si="0"/>
        <v>2027</v>
      </c>
      <c r="K2">
        <f t="shared" si="0"/>
        <v>2028</v>
      </c>
      <c r="L2">
        <f t="shared" si="0"/>
        <v>2029</v>
      </c>
      <c r="M2">
        <f t="shared" si="0"/>
        <v>2030</v>
      </c>
      <c r="N2">
        <f t="shared" si="0"/>
        <v>2031</v>
      </c>
      <c r="O2">
        <f t="shared" si="0"/>
        <v>2032</v>
      </c>
      <c r="P2">
        <f t="shared" si="0"/>
        <v>2033</v>
      </c>
      <c r="Q2">
        <f t="shared" si="0"/>
        <v>2034</v>
      </c>
      <c r="R2">
        <f t="shared" si="0"/>
        <v>2035</v>
      </c>
    </row>
    <row r="3" spans="2:18" s="1" customFormat="1" x14ac:dyDescent="0.25"/>
    <row r="4" spans="2:18" s="1" customFormat="1" x14ac:dyDescent="0.25"/>
    <row r="5" spans="2:18" s="1" customFormat="1" x14ac:dyDescent="0.25">
      <c r="B5" s="1" t="s">
        <v>31</v>
      </c>
      <c r="F5" s="1">
        <f>+G5*0.958</f>
        <v>1149408.3999999999</v>
      </c>
      <c r="G5" s="1">
        <v>1199800</v>
      </c>
    </row>
    <row r="6" spans="2:18" s="1" customFormat="1" x14ac:dyDescent="0.25">
      <c r="B6" s="1" t="s">
        <v>34</v>
      </c>
      <c r="F6" s="1">
        <f>+G6*1.002</f>
        <v>507112.2</v>
      </c>
      <c r="G6" s="1">
        <v>506100</v>
      </c>
    </row>
    <row r="7" spans="2:18" s="1" customFormat="1" x14ac:dyDescent="0.25">
      <c r="B7" s="1" t="s">
        <v>32</v>
      </c>
      <c r="F7" s="1">
        <f>+G7*0.947</f>
        <v>350579.39999999997</v>
      </c>
      <c r="G7" s="1">
        <v>370200</v>
      </c>
    </row>
    <row r="8" spans="2:18" s="1" customFormat="1" x14ac:dyDescent="0.25">
      <c r="B8" s="1" t="s">
        <v>33</v>
      </c>
      <c r="F8" s="1">
        <f>+G8*1.039</f>
        <v>378923.3</v>
      </c>
      <c r="G8" s="1">
        <v>364700</v>
      </c>
    </row>
    <row r="9" spans="2:18" s="1" customFormat="1" x14ac:dyDescent="0.25"/>
    <row r="10" spans="2:18" s="1" customFormat="1" x14ac:dyDescent="0.25"/>
    <row r="11" spans="2:18" s="1" customFormat="1" x14ac:dyDescent="0.25">
      <c r="B11" s="2" t="s">
        <v>30</v>
      </c>
      <c r="G11" s="6"/>
    </row>
    <row r="12" spans="2:18" s="1" customFormat="1" x14ac:dyDescent="0.25">
      <c r="B12" s="1" t="s">
        <v>22</v>
      </c>
      <c r="F12" s="1">
        <f>+G12*0.94</f>
        <v>573583.29999999993</v>
      </c>
      <c r="G12" s="1">
        <f>+G26*0.25</f>
        <v>610195</v>
      </c>
      <c r="H12" s="1">
        <f>+G12*1.025</f>
        <v>625449.875</v>
      </c>
      <c r="I12" s="1">
        <f t="shared" ref="I12:R12" si="1">+H12*1.025</f>
        <v>641086.12187499995</v>
      </c>
      <c r="J12" s="1">
        <f t="shared" si="1"/>
        <v>657113.27492187486</v>
      </c>
      <c r="K12" s="1">
        <f t="shared" si="1"/>
        <v>673541.10679492168</v>
      </c>
      <c r="L12" s="1">
        <f t="shared" si="1"/>
        <v>690379.63446479465</v>
      </c>
      <c r="M12" s="1">
        <f t="shared" si="1"/>
        <v>707639.12532641448</v>
      </c>
      <c r="N12" s="1">
        <f t="shared" si="1"/>
        <v>725330.10345957475</v>
      </c>
      <c r="O12" s="1">
        <f t="shared" si="1"/>
        <v>743463.35604606406</v>
      </c>
      <c r="P12" s="1">
        <f t="shared" si="1"/>
        <v>762049.93994721561</v>
      </c>
      <c r="Q12" s="1">
        <f t="shared" si="1"/>
        <v>781101.18844589591</v>
      </c>
      <c r="R12" s="1">
        <f t="shared" si="1"/>
        <v>800628.71815704321</v>
      </c>
    </row>
    <row r="13" spans="2:18" s="1" customFormat="1" x14ac:dyDescent="0.25">
      <c r="B13" s="1" t="s">
        <v>23</v>
      </c>
      <c r="F13" s="1">
        <f>+G13*0.97</f>
        <v>426160.18799999997</v>
      </c>
      <c r="G13" s="1">
        <f>+G26*0.18</f>
        <v>439340.39999999997</v>
      </c>
      <c r="H13" s="1">
        <f>+G13*1.03</f>
        <v>452520.61199999996</v>
      </c>
      <c r="I13" s="1">
        <f t="shared" ref="I13:R13" si="2">+H13*1.03</f>
        <v>466096.23035999999</v>
      </c>
      <c r="J13" s="1">
        <f t="shared" si="2"/>
        <v>480079.11727079999</v>
      </c>
      <c r="K13" s="1">
        <f t="shared" si="2"/>
        <v>494481.49078892398</v>
      </c>
      <c r="L13" s="1">
        <f t="shared" si="2"/>
        <v>509315.93551259174</v>
      </c>
      <c r="M13" s="1">
        <f t="shared" si="2"/>
        <v>524595.41357796954</v>
      </c>
      <c r="N13" s="1">
        <f t="shared" si="2"/>
        <v>540333.27598530869</v>
      </c>
      <c r="O13" s="1">
        <f t="shared" si="2"/>
        <v>556543.274264868</v>
      </c>
      <c r="P13" s="1">
        <f t="shared" si="2"/>
        <v>573239.57249281404</v>
      </c>
      <c r="Q13" s="1">
        <f t="shared" si="2"/>
        <v>590436.75966759853</v>
      </c>
      <c r="R13" s="1">
        <f t="shared" si="2"/>
        <v>608149.8624576265</v>
      </c>
    </row>
    <row r="14" spans="2:18" s="1" customFormat="1" x14ac:dyDescent="0.25">
      <c r="B14" s="1" t="s">
        <v>24</v>
      </c>
      <c r="F14" s="1">
        <f>+G14*1.03</f>
        <v>377100.51</v>
      </c>
      <c r="G14" s="1">
        <f>+G26*0.15</f>
        <v>366117</v>
      </c>
      <c r="H14" s="1">
        <f>+G14*1.005</f>
        <v>367947.58499999996</v>
      </c>
      <c r="I14" s="1">
        <f t="shared" ref="I14:R14" si="3">+H14*1.005</f>
        <v>369787.32292499993</v>
      </c>
      <c r="J14" s="1">
        <f t="shared" si="3"/>
        <v>371636.25953962491</v>
      </c>
      <c r="K14" s="1">
        <f t="shared" si="3"/>
        <v>373494.44083732297</v>
      </c>
      <c r="L14" s="1">
        <f t="shared" si="3"/>
        <v>375361.91304150951</v>
      </c>
      <c r="M14" s="1">
        <f t="shared" si="3"/>
        <v>377238.72260671703</v>
      </c>
      <c r="N14" s="1">
        <f t="shared" si="3"/>
        <v>379124.91621975059</v>
      </c>
      <c r="O14" s="1">
        <f t="shared" si="3"/>
        <v>381020.54080084933</v>
      </c>
      <c r="P14" s="1">
        <f t="shared" si="3"/>
        <v>382925.64350485353</v>
      </c>
      <c r="Q14" s="1">
        <f t="shared" si="3"/>
        <v>384840.27172237774</v>
      </c>
      <c r="R14" s="1">
        <f t="shared" si="3"/>
        <v>386764.47308098961</v>
      </c>
    </row>
    <row r="15" spans="2:18" s="1" customFormat="1" x14ac:dyDescent="0.25">
      <c r="B15" s="1" t="s">
        <v>25</v>
      </c>
      <c r="F15" s="1">
        <f>+G15*1.03</f>
        <v>251400.34</v>
      </c>
      <c r="G15" s="1">
        <f>+G26*0.1</f>
        <v>244078</v>
      </c>
      <c r="H15" s="1">
        <f>+G15*1</f>
        <v>244078</v>
      </c>
      <c r="I15" s="1">
        <f t="shared" ref="I15:R15" si="4">+H15*1</f>
        <v>244078</v>
      </c>
      <c r="J15" s="1">
        <f t="shared" si="4"/>
        <v>244078</v>
      </c>
      <c r="K15" s="1">
        <f t="shared" si="4"/>
        <v>244078</v>
      </c>
      <c r="L15" s="1">
        <f t="shared" si="4"/>
        <v>244078</v>
      </c>
      <c r="M15" s="1">
        <f t="shared" si="4"/>
        <v>244078</v>
      </c>
      <c r="N15" s="1">
        <f t="shared" si="4"/>
        <v>244078</v>
      </c>
      <c r="O15" s="1">
        <f t="shared" si="4"/>
        <v>244078</v>
      </c>
      <c r="P15" s="1">
        <f t="shared" si="4"/>
        <v>244078</v>
      </c>
      <c r="Q15" s="1">
        <f t="shared" si="4"/>
        <v>244078</v>
      </c>
      <c r="R15" s="1">
        <f t="shared" si="4"/>
        <v>244078</v>
      </c>
    </row>
    <row r="16" spans="2:18" s="1" customFormat="1" x14ac:dyDescent="0.25">
      <c r="B16" s="1" t="s">
        <v>26</v>
      </c>
      <c r="F16" s="1">
        <f>+G16*1.01</f>
        <v>221866.90199999997</v>
      </c>
      <c r="G16" s="1">
        <f>+G26*0.09</f>
        <v>219670.19999999998</v>
      </c>
      <c r="H16" s="1">
        <f>+G16*1.01</f>
        <v>221866.90199999997</v>
      </c>
      <c r="I16" s="1">
        <f t="shared" ref="I16:R16" si="5">+H16*1.01</f>
        <v>224085.57101999997</v>
      </c>
      <c r="J16" s="1">
        <f t="shared" si="5"/>
        <v>226326.42673019998</v>
      </c>
      <c r="K16" s="1">
        <f t="shared" si="5"/>
        <v>228589.69099750198</v>
      </c>
      <c r="L16" s="1">
        <f t="shared" si="5"/>
        <v>230875.58790747699</v>
      </c>
      <c r="M16" s="1">
        <f t="shared" si="5"/>
        <v>233184.34378655176</v>
      </c>
      <c r="N16" s="1">
        <f t="shared" si="5"/>
        <v>235516.18722441728</v>
      </c>
      <c r="O16" s="1">
        <f t="shared" si="5"/>
        <v>237871.34909666146</v>
      </c>
      <c r="P16" s="1">
        <f t="shared" si="5"/>
        <v>240250.06258762808</v>
      </c>
      <c r="Q16" s="1">
        <f t="shared" si="5"/>
        <v>242652.56321350436</v>
      </c>
      <c r="R16" s="1">
        <f t="shared" si="5"/>
        <v>245079.0888456394</v>
      </c>
    </row>
    <row r="17" spans="2:18" s="1" customFormat="1" x14ac:dyDescent="0.25">
      <c r="B17" s="1" t="s">
        <v>27</v>
      </c>
      <c r="F17" s="1">
        <f>+G17*0.91</f>
        <v>111055.49</v>
      </c>
      <c r="G17" s="1">
        <f>+G26*0.05</f>
        <v>122039</v>
      </c>
      <c r="H17" s="1">
        <f>+G17*1.025</f>
        <v>125089.97499999999</v>
      </c>
      <c r="I17" s="1">
        <f t="shared" ref="I17:R17" si="6">+H17*1.025</f>
        <v>128217.22437499998</v>
      </c>
      <c r="J17" s="1">
        <f t="shared" si="6"/>
        <v>131422.65498437497</v>
      </c>
      <c r="K17" s="1">
        <f t="shared" si="6"/>
        <v>134708.22135898433</v>
      </c>
      <c r="L17" s="1">
        <f t="shared" si="6"/>
        <v>138075.92689295893</v>
      </c>
      <c r="M17" s="1">
        <f t="shared" si="6"/>
        <v>141527.8250652829</v>
      </c>
      <c r="N17" s="1">
        <f t="shared" si="6"/>
        <v>145066.02069191495</v>
      </c>
      <c r="O17" s="1">
        <f t="shared" si="6"/>
        <v>148692.6712092128</v>
      </c>
      <c r="P17" s="1">
        <f t="shared" si="6"/>
        <v>152409.98798944309</v>
      </c>
      <c r="Q17" s="1">
        <f t="shared" si="6"/>
        <v>156220.23768917916</v>
      </c>
      <c r="R17" s="1">
        <f t="shared" si="6"/>
        <v>160125.74363140864</v>
      </c>
    </row>
    <row r="18" spans="2:18" s="1" customFormat="1" x14ac:dyDescent="0.25">
      <c r="B18" s="1" t="s">
        <v>28</v>
      </c>
      <c r="F18" s="1">
        <f>+G18*0.88</f>
        <v>85915.455999999991</v>
      </c>
      <c r="G18" s="1">
        <f>+G26*0.04</f>
        <v>97631.2</v>
      </c>
      <c r="H18" s="1">
        <f>+G18*1.03</f>
        <v>100560.136</v>
      </c>
      <c r="I18" s="1">
        <f t="shared" ref="I18:R18" si="7">+H18*1.03</f>
        <v>103576.94008</v>
      </c>
      <c r="J18" s="1">
        <f t="shared" si="7"/>
        <v>106684.2482824</v>
      </c>
      <c r="K18" s="1">
        <f t="shared" si="7"/>
        <v>109884.775730872</v>
      </c>
      <c r="L18" s="1">
        <f t="shared" si="7"/>
        <v>113181.31900279816</v>
      </c>
      <c r="M18" s="1">
        <f t="shared" si="7"/>
        <v>116576.75857288211</v>
      </c>
      <c r="N18" s="1">
        <f t="shared" si="7"/>
        <v>120074.06133006858</v>
      </c>
      <c r="O18" s="1">
        <f t="shared" si="7"/>
        <v>123676.28316997064</v>
      </c>
      <c r="P18" s="1">
        <f t="shared" si="7"/>
        <v>127386.57166506977</v>
      </c>
      <c r="Q18" s="1">
        <f t="shared" si="7"/>
        <v>131208.16881502187</v>
      </c>
      <c r="R18" s="1">
        <f t="shared" si="7"/>
        <v>135144.41387947253</v>
      </c>
    </row>
    <row r="19" spans="2:18" s="1" customFormat="1" x14ac:dyDescent="0.25">
      <c r="B19" s="1" t="s">
        <v>29</v>
      </c>
      <c r="F19" s="1">
        <f>+G19*0.96</f>
        <v>46862.975999999995</v>
      </c>
      <c r="G19" s="1">
        <f>+G26*0.02</f>
        <v>48815.6</v>
      </c>
      <c r="H19" s="1">
        <f>+G19*1.02</f>
        <v>49791.911999999997</v>
      </c>
      <c r="I19" s="1">
        <f t="shared" ref="I19:R19" si="8">+H19*1.02</f>
        <v>50787.750239999994</v>
      </c>
      <c r="J19" s="1">
        <f t="shared" si="8"/>
        <v>51803.505244799991</v>
      </c>
      <c r="K19" s="1">
        <f t="shared" si="8"/>
        <v>52839.575349695995</v>
      </c>
      <c r="L19" s="1">
        <f t="shared" si="8"/>
        <v>53896.366856689914</v>
      </c>
      <c r="M19" s="1">
        <f t="shared" si="8"/>
        <v>54974.294193823713</v>
      </c>
      <c r="N19" s="1">
        <f t="shared" si="8"/>
        <v>56073.78007770019</v>
      </c>
      <c r="O19" s="1">
        <f t="shared" si="8"/>
        <v>57195.255679254195</v>
      </c>
      <c r="P19" s="1">
        <f t="shared" si="8"/>
        <v>58339.160792839277</v>
      </c>
      <c r="Q19" s="1">
        <f t="shared" si="8"/>
        <v>59505.94400869606</v>
      </c>
      <c r="R19" s="1">
        <f t="shared" si="8"/>
        <v>60696.062888869979</v>
      </c>
    </row>
    <row r="20" spans="2:18" s="1" customFormat="1" x14ac:dyDescent="0.25">
      <c r="B20" s="1" t="s">
        <v>9</v>
      </c>
      <c r="G20" s="1">
        <f>+G26-SUM(G12:G19)</f>
        <v>292893.60000000009</v>
      </c>
      <c r="H20" s="1">
        <v>250000</v>
      </c>
      <c r="I20" s="1">
        <f t="shared" ref="I20:R20" si="9">+H20</f>
        <v>250000</v>
      </c>
      <c r="J20" s="1">
        <f t="shared" si="9"/>
        <v>250000</v>
      </c>
      <c r="K20" s="1">
        <f t="shared" si="9"/>
        <v>250000</v>
      </c>
      <c r="L20" s="1">
        <f t="shared" si="9"/>
        <v>250000</v>
      </c>
      <c r="M20" s="1">
        <f t="shared" si="9"/>
        <v>250000</v>
      </c>
      <c r="N20" s="1">
        <f t="shared" si="9"/>
        <v>250000</v>
      </c>
      <c r="O20" s="1">
        <f t="shared" si="9"/>
        <v>250000</v>
      </c>
      <c r="P20" s="1">
        <f t="shared" si="9"/>
        <v>250000</v>
      </c>
      <c r="Q20" s="1">
        <f t="shared" si="9"/>
        <v>250000</v>
      </c>
      <c r="R20" s="1">
        <f t="shared" si="9"/>
        <v>250000</v>
      </c>
    </row>
    <row r="21" spans="2:18" s="1" customFormat="1" x14ac:dyDescent="0.25">
      <c r="E21" s="8"/>
      <c r="F21" s="8"/>
      <c r="G21" s="8"/>
    </row>
    <row r="22" spans="2:18" s="1" customFormat="1" x14ac:dyDescent="0.25">
      <c r="B22" s="2" t="s">
        <v>21</v>
      </c>
      <c r="G22" s="5"/>
    </row>
    <row r="23" spans="2:18" s="1" customFormat="1" x14ac:dyDescent="0.25">
      <c r="B23" s="1" t="s">
        <v>18</v>
      </c>
      <c r="F23" s="1">
        <v>1054</v>
      </c>
      <c r="G23" s="1">
        <v>1112.3</v>
      </c>
    </row>
    <row r="24" spans="2:18" s="1" customFormat="1" x14ac:dyDescent="0.25">
      <c r="B24" s="1" t="s">
        <v>19</v>
      </c>
      <c r="F24" s="1">
        <v>950</v>
      </c>
      <c r="G24" s="1">
        <v>918.7</v>
      </c>
    </row>
    <row r="25" spans="2:18" s="1" customFormat="1" x14ac:dyDescent="0.25">
      <c r="B25" s="1" t="s">
        <v>20</v>
      </c>
      <c r="F25" s="1">
        <v>403</v>
      </c>
      <c r="G25" s="1">
        <v>409.7</v>
      </c>
    </row>
    <row r="26" spans="2:18" s="2" customFormat="1" x14ac:dyDescent="0.25">
      <c r="B26" s="2" t="s">
        <v>0</v>
      </c>
      <c r="D26" s="2">
        <v>2146725</v>
      </c>
      <c r="E26" s="2">
        <v>2405310</v>
      </c>
      <c r="F26" s="2">
        <v>2389810</v>
      </c>
      <c r="G26" s="2">
        <v>2440780</v>
      </c>
      <c r="H26" s="2">
        <f>+SUM(H12:H20)</f>
        <v>2437304.997</v>
      </c>
      <c r="I26" s="2">
        <f t="shared" ref="I26:R26" si="10">+SUM(I12:I20)</f>
        <v>2477715.1608749996</v>
      </c>
      <c r="J26" s="2">
        <f t="shared" si="10"/>
        <v>2519143.4869740745</v>
      </c>
      <c r="K26" s="2">
        <f t="shared" si="10"/>
        <v>2561617.301858223</v>
      </c>
      <c r="L26" s="2">
        <f t="shared" si="10"/>
        <v>2605164.6836788203</v>
      </c>
      <c r="M26" s="2">
        <f t="shared" si="10"/>
        <v>2649814.4831296415</v>
      </c>
      <c r="N26" s="2">
        <f t="shared" si="10"/>
        <v>2695596.3449887349</v>
      </c>
      <c r="O26" s="2">
        <f t="shared" si="10"/>
        <v>2742540.7302668812</v>
      </c>
      <c r="P26" s="2">
        <f t="shared" si="10"/>
        <v>2790678.9389798627</v>
      </c>
      <c r="Q26" s="2">
        <f t="shared" si="10"/>
        <v>2840043.1335622738</v>
      </c>
      <c r="R26" s="2">
        <f t="shared" si="10"/>
        <v>2890666.36294105</v>
      </c>
    </row>
    <row r="27" spans="2:18" s="1" customFormat="1" x14ac:dyDescent="0.25">
      <c r="B27" s="1" t="s">
        <v>1</v>
      </c>
      <c r="D27" s="1">
        <v>757390</v>
      </c>
      <c r="E27" s="1">
        <v>811235</v>
      </c>
      <c r="F27" s="1">
        <v>777004</v>
      </c>
      <c r="G27" s="1">
        <v>763104</v>
      </c>
      <c r="H27" s="1">
        <f>+H26*0.32</f>
        <v>779937.59904</v>
      </c>
      <c r="I27" s="1">
        <f t="shared" ref="I27:R27" si="11">+I26*0.32</f>
        <v>792868.85147999984</v>
      </c>
      <c r="J27" s="1">
        <f t="shared" si="11"/>
        <v>806125.91583170381</v>
      </c>
      <c r="K27" s="1">
        <f t="shared" si="11"/>
        <v>819717.53659463138</v>
      </c>
      <c r="L27" s="1">
        <f t="shared" si="11"/>
        <v>833652.69877722254</v>
      </c>
      <c r="M27" s="1">
        <f t="shared" si="11"/>
        <v>847940.63460148533</v>
      </c>
      <c r="N27" s="1">
        <f t="shared" si="11"/>
        <v>862590.83039639518</v>
      </c>
      <c r="O27" s="1">
        <f t="shared" si="11"/>
        <v>877613.03368540201</v>
      </c>
      <c r="P27" s="1">
        <f t="shared" si="11"/>
        <v>893017.26047355612</v>
      </c>
      <c r="Q27" s="1">
        <f t="shared" si="11"/>
        <v>908813.80273992766</v>
      </c>
      <c r="R27" s="1">
        <f t="shared" si="11"/>
        <v>925013.23614113603</v>
      </c>
    </row>
    <row r="28" spans="2:18" s="1" customFormat="1" x14ac:dyDescent="0.25">
      <c r="B28" s="1" t="s">
        <v>2</v>
      </c>
      <c r="D28" s="1">
        <f>+D26-D27</f>
        <v>1389335</v>
      </c>
      <c r="E28" s="1">
        <f>+E26-E27</f>
        <v>1594075</v>
      </c>
      <c r="F28" s="1">
        <f t="shared" ref="F28:H28" si="12">+F26-F27</f>
        <v>1612806</v>
      </c>
      <c r="G28" s="1">
        <f t="shared" si="12"/>
        <v>1677676</v>
      </c>
      <c r="H28" s="1">
        <f t="shared" si="12"/>
        <v>1657367.39796</v>
      </c>
      <c r="I28" s="1">
        <f t="shared" ref="I28" si="13">+I26-I27</f>
        <v>1684846.3093949999</v>
      </c>
      <c r="J28" s="1">
        <f t="shared" ref="J28" si="14">+J26-J27</f>
        <v>1713017.5711423708</v>
      </c>
      <c r="K28" s="1">
        <f t="shared" ref="K28" si="15">+K26-K27</f>
        <v>1741899.7652635917</v>
      </c>
      <c r="L28" s="1">
        <f t="shared" ref="L28" si="16">+L26-L27</f>
        <v>1771511.9849015977</v>
      </c>
      <c r="M28" s="1">
        <f t="shared" ref="M28" si="17">+M26-M27</f>
        <v>1801873.8485281561</v>
      </c>
      <c r="N28" s="1">
        <f t="shared" ref="N28" si="18">+N26-N27</f>
        <v>1833005.5145923398</v>
      </c>
      <c r="O28" s="1">
        <f t="shared" ref="O28" si="19">+O26-O27</f>
        <v>1864927.6965814792</v>
      </c>
      <c r="P28" s="1">
        <f t="shared" ref="P28" si="20">+P26-P27</f>
        <v>1897661.6785063066</v>
      </c>
      <c r="Q28" s="1">
        <f t="shared" ref="Q28" si="21">+Q26-Q27</f>
        <v>1931229.3308223463</v>
      </c>
      <c r="R28" s="1">
        <f t="shared" ref="R28" si="22">+R26-R27</f>
        <v>1965653.1267999141</v>
      </c>
    </row>
    <row r="29" spans="2:18" s="1" customFormat="1" x14ac:dyDescent="0.25">
      <c r="B29" s="1" t="s">
        <v>8</v>
      </c>
      <c r="D29" s="1">
        <v>1113536</v>
      </c>
      <c r="E29" s="1">
        <v>1293870</v>
      </c>
      <c r="F29" s="1">
        <v>1309782</v>
      </c>
      <c r="G29" s="1">
        <v>1365900</v>
      </c>
      <c r="H29" s="1">
        <f>+H26*0.56</f>
        <v>1364890.7983200001</v>
      </c>
      <c r="I29" s="1">
        <f t="shared" ref="I29:R29" si="23">+I26*0.56</f>
        <v>1387520.49009</v>
      </c>
      <c r="J29" s="1">
        <f t="shared" si="23"/>
        <v>1410720.3527054819</v>
      </c>
      <c r="K29" s="1">
        <f t="shared" si="23"/>
        <v>1434505.689040605</v>
      </c>
      <c r="L29" s="1">
        <f t="shared" si="23"/>
        <v>1458892.2228601396</v>
      </c>
      <c r="M29" s="1">
        <f t="shared" si="23"/>
        <v>1483896.1105525994</v>
      </c>
      <c r="N29" s="1">
        <f t="shared" si="23"/>
        <v>1509533.9531936918</v>
      </c>
      <c r="O29" s="1">
        <f t="shared" si="23"/>
        <v>1535822.8089494535</v>
      </c>
      <c r="P29" s="1">
        <f t="shared" si="23"/>
        <v>1562780.2058287233</v>
      </c>
      <c r="Q29" s="1">
        <f t="shared" si="23"/>
        <v>1590424.1547948734</v>
      </c>
      <c r="R29" s="1">
        <f t="shared" si="23"/>
        <v>1618773.1632469881</v>
      </c>
    </row>
    <row r="30" spans="2:18" s="1" customFormat="1" x14ac:dyDescent="0.25">
      <c r="B30" s="1" t="s">
        <v>3</v>
      </c>
      <c r="D30" s="1">
        <f>+D28-D29</f>
        <v>275799</v>
      </c>
      <c r="E30" s="1">
        <f>+E28-E29</f>
        <v>300205</v>
      </c>
      <c r="F30" s="1">
        <f t="shared" ref="F30:H30" si="24">+F28-F29</f>
        <v>303024</v>
      </c>
      <c r="G30" s="1">
        <f t="shared" si="24"/>
        <v>311776</v>
      </c>
      <c r="H30" s="1">
        <f t="shared" si="24"/>
        <v>292476.59963999991</v>
      </c>
      <c r="I30" s="1">
        <f t="shared" ref="I30" si="25">+I28-I29</f>
        <v>297325.8193049999</v>
      </c>
      <c r="J30" s="1">
        <f t="shared" ref="J30" si="26">+J28-J29</f>
        <v>302297.21843688888</v>
      </c>
      <c r="K30" s="1">
        <f t="shared" ref="K30" si="27">+K28-K29</f>
        <v>307394.07622298668</v>
      </c>
      <c r="L30" s="1">
        <f t="shared" ref="L30" si="28">+L28-L29</f>
        <v>312619.76204145816</v>
      </c>
      <c r="M30" s="1">
        <f t="shared" ref="M30" si="29">+M28-M29</f>
        <v>317977.73797555664</v>
      </c>
      <c r="N30" s="1">
        <f t="shared" ref="N30" si="30">+N28-N29</f>
        <v>323471.56139864796</v>
      </c>
      <c r="O30" s="1">
        <f t="shared" ref="O30" si="31">+O28-O29</f>
        <v>329104.88763202564</v>
      </c>
      <c r="P30" s="1">
        <f t="shared" ref="P30" si="32">+P28-P29</f>
        <v>334881.47267758334</v>
      </c>
      <c r="Q30" s="1">
        <f t="shared" ref="Q30" si="33">+Q28-Q29</f>
        <v>340805.17602747283</v>
      </c>
      <c r="R30" s="1">
        <f t="shared" ref="R30" si="34">+R28-R29</f>
        <v>346879.96355292597</v>
      </c>
    </row>
    <row r="31" spans="2:18" s="1" customFormat="1" x14ac:dyDescent="0.25">
      <c r="B31" s="1" t="s">
        <v>4</v>
      </c>
      <c r="D31" s="1">
        <v>-17291</v>
      </c>
      <c r="E31" s="1">
        <v>-17526</v>
      </c>
      <c r="F31" s="1">
        <v>-18246</v>
      </c>
      <c r="G31" s="1">
        <v>-11725</v>
      </c>
      <c r="H31" s="1">
        <v>-15000</v>
      </c>
      <c r="I31" s="1">
        <v>-15000</v>
      </c>
      <c r="J31" s="1">
        <v>-15000</v>
      </c>
      <c r="K31" s="1">
        <v>-15000</v>
      </c>
      <c r="L31" s="1">
        <v>-15000</v>
      </c>
      <c r="M31" s="1">
        <v>-15000</v>
      </c>
      <c r="N31" s="1">
        <v>-15000</v>
      </c>
      <c r="O31" s="1">
        <v>-15000</v>
      </c>
      <c r="P31" s="1">
        <v>-15000</v>
      </c>
      <c r="Q31" s="1">
        <v>-15000</v>
      </c>
      <c r="R31" s="1">
        <v>-15000</v>
      </c>
    </row>
    <row r="32" spans="2:18" s="1" customFormat="1" x14ac:dyDescent="0.25">
      <c r="B32" s="1" t="s">
        <v>10</v>
      </c>
      <c r="D32" s="1">
        <f>(+D30+D31-D33)*(-1)</f>
        <v>-8470</v>
      </c>
      <c r="E32" s="1">
        <f>(+E30+E31-E33)*(-1)</f>
        <v>10707</v>
      </c>
      <c r="F32" s="1">
        <f t="shared" ref="F32:G32" si="35">(+F30+F31-F33)*(-1)</f>
        <v>-46324</v>
      </c>
      <c r="G32" s="1">
        <f t="shared" si="35"/>
        <v>-16746</v>
      </c>
      <c r="H32" s="1">
        <v>-10000</v>
      </c>
      <c r="I32" s="1">
        <v>-10000</v>
      </c>
      <c r="J32" s="1">
        <v>-10000</v>
      </c>
      <c r="K32" s="1">
        <v>-10000</v>
      </c>
      <c r="L32" s="1">
        <v>-10000</v>
      </c>
      <c r="M32" s="1">
        <v>-10000</v>
      </c>
      <c r="N32" s="1">
        <v>-10000</v>
      </c>
      <c r="O32" s="1">
        <v>-10000</v>
      </c>
      <c r="P32" s="1">
        <v>-10000</v>
      </c>
      <c r="Q32" s="1">
        <v>-10000</v>
      </c>
      <c r="R32" s="1">
        <v>-10000</v>
      </c>
    </row>
    <row r="33" spans="2:197" s="1" customFormat="1" x14ac:dyDescent="0.25">
      <c r="B33" s="1" t="s">
        <v>5</v>
      </c>
      <c r="D33" s="1">
        <v>250038</v>
      </c>
      <c r="E33" s="1">
        <v>293386</v>
      </c>
      <c r="F33" s="1">
        <v>238454</v>
      </c>
      <c r="G33" s="1">
        <v>283305</v>
      </c>
      <c r="H33" s="1">
        <f>+H30+H31+H32</f>
        <v>267476.59963999991</v>
      </c>
      <c r="I33" s="1">
        <f t="shared" ref="I33:R33" si="36">+I30+I31+I32</f>
        <v>272325.8193049999</v>
      </c>
      <c r="J33" s="1">
        <f t="shared" si="36"/>
        <v>277297.21843688888</v>
      </c>
      <c r="K33" s="1">
        <f t="shared" si="36"/>
        <v>282394.07622298668</v>
      </c>
      <c r="L33" s="1">
        <f t="shared" si="36"/>
        <v>287619.76204145816</v>
      </c>
      <c r="M33" s="1">
        <f t="shared" si="36"/>
        <v>292977.73797555664</v>
      </c>
      <c r="N33" s="1">
        <f t="shared" si="36"/>
        <v>298471.56139864796</v>
      </c>
      <c r="O33" s="1">
        <f t="shared" si="36"/>
        <v>304104.88763202564</v>
      </c>
      <c r="P33" s="1">
        <f t="shared" si="36"/>
        <v>309881.47267758334</v>
      </c>
      <c r="Q33" s="1">
        <f t="shared" si="36"/>
        <v>315805.17602747283</v>
      </c>
      <c r="R33" s="1">
        <f t="shared" si="36"/>
        <v>321879.96355292597</v>
      </c>
    </row>
    <row r="34" spans="2:197" s="1" customFormat="1" x14ac:dyDescent="0.25">
      <c r="B34" s="1" t="s">
        <v>6</v>
      </c>
      <c r="D34" s="1">
        <v>62911</v>
      </c>
      <c r="E34" s="1">
        <v>72805</v>
      </c>
      <c r="F34" s="1">
        <v>72929</v>
      </c>
      <c r="G34" s="1">
        <v>73713</v>
      </c>
      <c r="H34" s="1">
        <f>+H33*0.25</f>
        <v>66869.149909999978</v>
      </c>
      <c r="I34" s="1">
        <f t="shared" ref="I34:R34" si="37">+I33*0.25</f>
        <v>68081.454826249974</v>
      </c>
      <c r="J34" s="1">
        <f t="shared" si="37"/>
        <v>69324.304609222221</v>
      </c>
      <c r="K34" s="1">
        <f t="shared" si="37"/>
        <v>70598.51905574667</v>
      </c>
      <c r="L34" s="1">
        <f t="shared" si="37"/>
        <v>71904.94051036454</v>
      </c>
      <c r="M34" s="1">
        <f t="shared" si="37"/>
        <v>73244.434493889159</v>
      </c>
      <c r="N34" s="1">
        <f t="shared" si="37"/>
        <v>74617.89034966199</v>
      </c>
      <c r="O34" s="1">
        <f t="shared" si="37"/>
        <v>76026.22190800641</v>
      </c>
      <c r="P34" s="1">
        <f t="shared" si="37"/>
        <v>77470.368169395835</v>
      </c>
      <c r="Q34" s="1">
        <f t="shared" si="37"/>
        <v>78951.294006868207</v>
      </c>
      <c r="R34" s="1">
        <f t="shared" si="37"/>
        <v>80469.990888231492</v>
      </c>
    </row>
    <row r="35" spans="2:197" s="2" customFormat="1" x14ac:dyDescent="0.25">
      <c r="B35" s="2" t="s">
        <v>7</v>
      </c>
      <c r="D35" s="2">
        <f>+D33-D34</f>
        <v>187127</v>
      </c>
      <c r="E35" s="2">
        <f>+E33-E34</f>
        <v>220581</v>
      </c>
      <c r="F35" s="2">
        <f t="shared" ref="F35:H35" si="38">+F33-F34</f>
        <v>165525</v>
      </c>
      <c r="G35" s="2">
        <f t="shared" si="38"/>
        <v>209592</v>
      </c>
      <c r="H35" s="2">
        <f t="shared" si="38"/>
        <v>200607.44972999993</v>
      </c>
      <c r="I35" s="2">
        <f t="shared" ref="I35" si="39">+I33-I34</f>
        <v>204244.36447874992</v>
      </c>
      <c r="J35" s="2">
        <f t="shared" ref="J35" si="40">+J33-J34</f>
        <v>207972.91382766666</v>
      </c>
      <c r="K35" s="2">
        <f t="shared" ref="K35" si="41">+K33-K34</f>
        <v>211795.55716724001</v>
      </c>
      <c r="L35" s="2">
        <f t="shared" ref="L35" si="42">+L33-L34</f>
        <v>215714.82153109362</v>
      </c>
      <c r="M35" s="2">
        <f t="shared" ref="M35" si="43">+M33-M34</f>
        <v>219733.30348166748</v>
      </c>
      <c r="N35" s="2">
        <f t="shared" ref="N35" si="44">+N33-N34</f>
        <v>223853.67104898597</v>
      </c>
      <c r="O35" s="2">
        <f t="shared" ref="O35" si="45">+O33-O34</f>
        <v>228078.66572401923</v>
      </c>
      <c r="P35" s="2">
        <f t="shared" ref="P35" si="46">+P33-P34</f>
        <v>232411.10450818751</v>
      </c>
      <c r="Q35" s="2">
        <f t="shared" ref="Q35" si="47">+Q33-Q34</f>
        <v>236853.88202060462</v>
      </c>
      <c r="R35" s="2">
        <f t="shared" ref="R35" si="48">+R33-R34</f>
        <v>241409.97266469448</v>
      </c>
      <c r="S35" s="2">
        <f>+R35*(1+$U40)</f>
        <v>246238.17211798838</v>
      </c>
      <c r="T35" s="2">
        <f t="shared" ref="T35:CE35" si="49">+S35*(1+$U40)</f>
        <v>251162.93556034815</v>
      </c>
      <c r="U35" s="2">
        <f t="shared" si="49"/>
        <v>256186.19427155511</v>
      </c>
      <c r="V35" s="2">
        <f t="shared" si="49"/>
        <v>261309.91815698621</v>
      </c>
      <c r="W35" s="2">
        <f t="shared" si="49"/>
        <v>266536.11652012594</v>
      </c>
      <c r="X35" s="2">
        <f t="shared" si="49"/>
        <v>271866.83885052847</v>
      </c>
      <c r="Y35" s="2">
        <f t="shared" si="49"/>
        <v>277304.17562753905</v>
      </c>
      <c r="Z35" s="2">
        <f t="shared" si="49"/>
        <v>282850.25914008985</v>
      </c>
      <c r="AA35" s="2">
        <f t="shared" si="49"/>
        <v>288507.26432289166</v>
      </c>
      <c r="AB35" s="2">
        <f t="shared" si="49"/>
        <v>294277.4096093495</v>
      </c>
      <c r="AC35" s="2">
        <f t="shared" si="49"/>
        <v>300162.95780153648</v>
      </c>
      <c r="AD35" s="2">
        <f t="shared" si="49"/>
        <v>306166.2169575672</v>
      </c>
      <c r="AE35" s="2">
        <f t="shared" si="49"/>
        <v>312289.54129671853</v>
      </c>
      <c r="AF35" s="2">
        <f t="shared" si="49"/>
        <v>318535.33212265291</v>
      </c>
      <c r="AG35" s="2">
        <f t="shared" si="49"/>
        <v>324906.03876510594</v>
      </c>
      <c r="AH35" s="2">
        <f t="shared" si="49"/>
        <v>331404.15954040806</v>
      </c>
      <c r="AI35" s="2">
        <f t="shared" si="49"/>
        <v>338032.24273121625</v>
      </c>
      <c r="AJ35" s="2">
        <f t="shared" si="49"/>
        <v>344792.8875858406</v>
      </c>
      <c r="AK35" s="2">
        <f t="shared" si="49"/>
        <v>351688.7453375574</v>
      </c>
      <c r="AL35" s="2">
        <f t="shared" si="49"/>
        <v>358722.52024430857</v>
      </c>
      <c r="AM35" s="2">
        <f t="shared" si="49"/>
        <v>365896.97064919473</v>
      </c>
      <c r="AN35" s="2">
        <f t="shared" si="49"/>
        <v>373214.91006217862</v>
      </c>
      <c r="AO35" s="2">
        <f t="shared" si="49"/>
        <v>380679.20826342219</v>
      </c>
      <c r="AP35" s="2">
        <f t="shared" si="49"/>
        <v>388292.79242869065</v>
      </c>
      <c r="AQ35" s="2">
        <f t="shared" si="49"/>
        <v>396058.6482772645</v>
      </c>
      <c r="AR35" s="2">
        <f t="shared" si="49"/>
        <v>403979.82124280982</v>
      </c>
      <c r="AS35" s="2">
        <f t="shared" si="49"/>
        <v>412059.41766766604</v>
      </c>
      <c r="AT35" s="2">
        <f t="shared" si="49"/>
        <v>420300.6060210194</v>
      </c>
      <c r="AU35" s="2">
        <f t="shared" si="49"/>
        <v>428706.6181414398</v>
      </c>
      <c r="AV35" s="2">
        <f t="shared" si="49"/>
        <v>437280.75050426862</v>
      </c>
      <c r="AW35" s="2">
        <f t="shared" si="49"/>
        <v>446026.36551435402</v>
      </c>
      <c r="AX35" s="2">
        <f t="shared" si="49"/>
        <v>454946.89282464114</v>
      </c>
      <c r="AY35" s="2">
        <f t="shared" si="49"/>
        <v>464045.83068113396</v>
      </c>
      <c r="AZ35" s="2">
        <f t="shared" si="49"/>
        <v>473326.74729475664</v>
      </c>
      <c r="BA35" s="2">
        <f t="shared" si="49"/>
        <v>482793.28224065178</v>
      </c>
      <c r="BB35" s="2">
        <f t="shared" si="49"/>
        <v>492449.14788546483</v>
      </c>
      <c r="BC35" s="2">
        <f t="shared" si="49"/>
        <v>502298.13084317412</v>
      </c>
      <c r="BD35" s="2">
        <f t="shared" si="49"/>
        <v>512344.09346003761</v>
      </c>
      <c r="BE35" s="2">
        <f t="shared" si="49"/>
        <v>522590.97532923834</v>
      </c>
      <c r="BF35" s="2">
        <f t="shared" si="49"/>
        <v>533042.79483582312</v>
      </c>
      <c r="BG35" s="2">
        <f t="shared" si="49"/>
        <v>543703.65073253959</v>
      </c>
      <c r="BH35" s="2">
        <f t="shared" si="49"/>
        <v>554577.72374719044</v>
      </c>
      <c r="BI35" s="2">
        <f t="shared" si="49"/>
        <v>565669.27822213422</v>
      </c>
      <c r="BJ35" s="2">
        <f t="shared" si="49"/>
        <v>576982.66378657694</v>
      </c>
      <c r="BK35" s="2">
        <f t="shared" si="49"/>
        <v>588522.31706230855</v>
      </c>
      <c r="BL35" s="2">
        <f t="shared" si="49"/>
        <v>600292.76340355468</v>
      </c>
      <c r="BM35" s="2">
        <f t="shared" si="49"/>
        <v>612298.61867162574</v>
      </c>
      <c r="BN35" s="2">
        <f t="shared" si="49"/>
        <v>624544.59104505822</v>
      </c>
      <c r="BO35" s="2">
        <f t="shared" si="49"/>
        <v>637035.48286595941</v>
      </c>
      <c r="BP35" s="2">
        <f t="shared" si="49"/>
        <v>649776.19252327865</v>
      </c>
      <c r="BQ35" s="2">
        <f t="shared" si="49"/>
        <v>662771.71637374419</v>
      </c>
      <c r="BR35" s="2">
        <f t="shared" si="49"/>
        <v>676027.1507012191</v>
      </c>
      <c r="BS35" s="2">
        <f t="shared" si="49"/>
        <v>689547.69371524348</v>
      </c>
      <c r="BT35" s="2">
        <f t="shared" si="49"/>
        <v>703338.64758954837</v>
      </c>
      <c r="BU35" s="2">
        <f t="shared" si="49"/>
        <v>717405.42054133932</v>
      </c>
      <c r="BV35" s="2">
        <f t="shared" si="49"/>
        <v>731753.52895216609</v>
      </c>
      <c r="BW35" s="2">
        <f t="shared" si="49"/>
        <v>746388.59953120945</v>
      </c>
      <c r="BX35" s="2">
        <f t="shared" si="49"/>
        <v>761316.3715218337</v>
      </c>
      <c r="BY35" s="2">
        <f t="shared" si="49"/>
        <v>776542.69895227044</v>
      </c>
      <c r="BZ35" s="2">
        <f t="shared" si="49"/>
        <v>792073.55293131585</v>
      </c>
      <c r="CA35" s="2">
        <f t="shared" si="49"/>
        <v>807915.02398994216</v>
      </c>
      <c r="CB35" s="2">
        <f t="shared" si="49"/>
        <v>824073.32446974097</v>
      </c>
      <c r="CC35" s="2">
        <f t="shared" si="49"/>
        <v>840554.79095913575</v>
      </c>
      <c r="CD35" s="2">
        <f t="shared" si="49"/>
        <v>857365.88677831844</v>
      </c>
      <c r="CE35" s="2">
        <f t="shared" si="49"/>
        <v>874513.20451388485</v>
      </c>
      <c r="CF35" s="2">
        <f t="shared" ref="CF35:EQ35" si="50">+CE35*(1+$U40)</f>
        <v>892003.46860416257</v>
      </c>
      <c r="CG35" s="2">
        <f t="shared" si="50"/>
        <v>909843.53797624586</v>
      </c>
      <c r="CH35" s="2">
        <f t="shared" si="50"/>
        <v>928040.40873577085</v>
      </c>
      <c r="CI35" s="2">
        <f t="shared" si="50"/>
        <v>946601.21691048623</v>
      </c>
      <c r="CJ35" s="2">
        <f t="shared" si="50"/>
        <v>965533.24124869599</v>
      </c>
      <c r="CK35" s="2">
        <f t="shared" si="50"/>
        <v>984843.9060736699</v>
      </c>
      <c r="CL35" s="2">
        <f t="shared" si="50"/>
        <v>1004540.7841951433</v>
      </c>
      <c r="CM35" s="2">
        <f t="shared" si="50"/>
        <v>1024631.5998790462</v>
      </c>
      <c r="CN35" s="2">
        <f t="shared" si="50"/>
        <v>1045124.2318766272</v>
      </c>
      <c r="CO35" s="2">
        <f t="shared" si="50"/>
        <v>1066026.7165141597</v>
      </c>
      <c r="CP35" s="2">
        <f t="shared" si="50"/>
        <v>1087347.250844443</v>
      </c>
      <c r="CQ35" s="2">
        <f t="shared" si="50"/>
        <v>1109094.1958613319</v>
      </c>
      <c r="CR35" s="2">
        <f t="shared" si="50"/>
        <v>1131276.0797785586</v>
      </c>
      <c r="CS35" s="2">
        <f t="shared" si="50"/>
        <v>1153901.6013741298</v>
      </c>
      <c r="CT35" s="2">
        <f t="shared" si="50"/>
        <v>1176979.6334016123</v>
      </c>
      <c r="CU35" s="2">
        <f t="shared" si="50"/>
        <v>1200519.2260696446</v>
      </c>
      <c r="CV35" s="2">
        <f t="shared" si="50"/>
        <v>1224529.6105910374</v>
      </c>
      <c r="CW35" s="2">
        <f t="shared" si="50"/>
        <v>1249020.2028028583</v>
      </c>
      <c r="CX35" s="2">
        <f t="shared" si="50"/>
        <v>1274000.6068589154</v>
      </c>
      <c r="CY35" s="2">
        <f t="shared" si="50"/>
        <v>1299480.6189960937</v>
      </c>
      <c r="CZ35" s="2">
        <f t="shared" si="50"/>
        <v>1325470.2313760156</v>
      </c>
      <c r="DA35" s="2">
        <f t="shared" si="50"/>
        <v>1351979.6360035359</v>
      </c>
      <c r="DB35" s="2">
        <f t="shared" si="50"/>
        <v>1379019.2287236068</v>
      </c>
      <c r="DC35" s="2">
        <f t="shared" si="50"/>
        <v>1406599.613298079</v>
      </c>
      <c r="DD35" s="2">
        <f t="shared" si="50"/>
        <v>1434731.6055640406</v>
      </c>
      <c r="DE35" s="2">
        <f t="shared" si="50"/>
        <v>1463426.2376753215</v>
      </c>
      <c r="DF35" s="2">
        <f t="shared" si="50"/>
        <v>1492694.762428828</v>
      </c>
      <c r="DG35" s="2">
        <f t="shared" si="50"/>
        <v>1522548.6576774046</v>
      </c>
      <c r="DH35" s="2">
        <f t="shared" si="50"/>
        <v>1552999.6308309527</v>
      </c>
      <c r="DI35" s="2">
        <f t="shared" si="50"/>
        <v>1584059.6234475716</v>
      </c>
      <c r="DJ35" s="2">
        <f t="shared" si="50"/>
        <v>1615740.8159165231</v>
      </c>
      <c r="DK35" s="2">
        <f t="shared" si="50"/>
        <v>1648055.6322348537</v>
      </c>
      <c r="DL35" s="2">
        <f t="shared" si="50"/>
        <v>1681016.7448795508</v>
      </c>
      <c r="DM35" s="2">
        <f t="shared" si="50"/>
        <v>1714637.0797771418</v>
      </c>
      <c r="DN35" s="2">
        <f t="shared" si="50"/>
        <v>1748929.8213726846</v>
      </c>
      <c r="DO35" s="2">
        <f t="shared" si="50"/>
        <v>1783908.4178001382</v>
      </c>
      <c r="DP35" s="2">
        <f t="shared" si="50"/>
        <v>1819586.586156141</v>
      </c>
      <c r="DQ35" s="2">
        <f t="shared" si="50"/>
        <v>1855978.3178792638</v>
      </c>
      <c r="DR35" s="2">
        <f t="shared" si="50"/>
        <v>1893097.8842368491</v>
      </c>
      <c r="DS35" s="2">
        <f t="shared" si="50"/>
        <v>1930959.8419215861</v>
      </c>
      <c r="DT35" s="2">
        <f t="shared" si="50"/>
        <v>1969579.0387600178</v>
      </c>
      <c r="DU35" s="2">
        <f t="shared" si="50"/>
        <v>2008970.6195352182</v>
      </c>
      <c r="DV35" s="2">
        <f t="shared" si="50"/>
        <v>2049150.0319259227</v>
      </c>
      <c r="DW35" s="2">
        <f t="shared" si="50"/>
        <v>2090133.0325644412</v>
      </c>
      <c r="DX35" s="2">
        <f t="shared" si="50"/>
        <v>2131935.6932157301</v>
      </c>
      <c r="DY35" s="2">
        <f t="shared" si="50"/>
        <v>2174574.407080045</v>
      </c>
      <c r="DZ35" s="2">
        <f t="shared" si="50"/>
        <v>2218065.8952216459</v>
      </c>
      <c r="EA35" s="2">
        <f t="shared" si="50"/>
        <v>2262427.2131260787</v>
      </c>
      <c r="EB35" s="2">
        <f t="shared" si="50"/>
        <v>2307675.7573886001</v>
      </c>
      <c r="EC35" s="2">
        <f t="shared" si="50"/>
        <v>2353829.2725363723</v>
      </c>
      <c r="ED35" s="2">
        <f t="shared" si="50"/>
        <v>2400905.8579870998</v>
      </c>
      <c r="EE35" s="2">
        <f t="shared" si="50"/>
        <v>2448923.9751468417</v>
      </c>
      <c r="EF35" s="2">
        <f t="shared" si="50"/>
        <v>2497902.4546497785</v>
      </c>
      <c r="EG35" s="2">
        <f t="shared" si="50"/>
        <v>2547860.503742774</v>
      </c>
      <c r="EH35" s="2">
        <f t="shared" si="50"/>
        <v>2598817.7138176295</v>
      </c>
      <c r="EI35" s="2">
        <f t="shared" si="50"/>
        <v>2650794.0680939821</v>
      </c>
      <c r="EJ35" s="2">
        <f t="shared" si="50"/>
        <v>2703809.9494558619</v>
      </c>
      <c r="EK35" s="2">
        <f t="shared" si="50"/>
        <v>2757886.1484449795</v>
      </c>
      <c r="EL35" s="2">
        <f t="shared" si="50"/>
        <v>2813043.8714138791</v>
      </c>
      <c r="EM35" s="2">
        <f t="shared" si="50"/>
        <v>2869304.748842157</v>
      </c>
      <c r="EN35" s="2">
        <f t="shared" si="50"/>
        <v>2926690.8438190003</v>
      </c>
      <c r="EO35" s="2">
        <f t="shared" si="50"/>
        <v>2985224.6606953805</v>
      </c>
      <c r="EP35" s="2">
        <f t="shared" si="50"/>
        <v>3044929.1539092883</v>
      </c>
      <c r="EQ35" s="2">
        <f t="shared" si="50"/>
        <v>3105827.7369874744</v>
      </c>
      <c r="ER35" s="2">
        <f t="shared" ref="ER35:GN35" si="51">+EQ35*(1+$U40)</f>
        <v>3167944.2917272239</v>
      </c>
      <c r="ES35" s="2">
        <f t="shared" si="51"/>
        <v>3231303.1775617683</v>
      </c>
      <c r="ET35" s="2">
        <f t="shared" si="51"/>
        <v>3295929.2411130038</v>
      </c>
      <c r="EU35" s="2">
        <f t="shared" si="51"/>
        <v>3361847.8259352641</v>
      </c>
      <c r="EV35" s="2">
        <f t="shared" si="51"/>
        <v>3429084.7824539696</v>
      </c>
      <c r="EW35" s="2">
        <f t="shared" si="51"/>
        <v>3497666.4781030491</v>
      </c>
      <c r="EX35" s="2">
        <f t="shared" si="51"/>
        <v>3567619.8076651101</v>
      </c>
      <c r="EY35" s="2">
        <f t="shared" si="51"/>
        <v>3638972.2038184125</v>
      </c>
      <c r="EZ35" s="2">
        <f t="shared" si="51"/>
        <v>3711751.6478947806</v>
      </c>
      <c r="FA35" s="2">
        <f t="shared" si="51"/>
        <v>3785986.6808526763</v>
      </c>
      <c r="FB35" s="2">
        <f t="shared" si="51"/>
        <v>3861706.4144697296</v>
      </c>
      <c r="FC35" s="2">
        <f t="shared" si="51"/>
        <v>3938940.5427591242</v>
      </c>
      <c r="FD35" s="2">
        <f t="shared" si="51"/>
        <v>4017719.3536143065</v>
      </c>
      <c r="FE35" s="2">
        <f t="shared" si="51"/>
        <v>4098073.7406865926</v>
      </c>
      <c r="FF35" s="2">
        <f t="shared" si="51"/>
        <v>4180035.2155003245</v>
      </c>
      <c r="FG35" s="2">
        <f t="shared" si="51"/>
        <v>4263635.9198103314</v>
      </c>
      <c r="FH35" s="2">
        <f t="shared" si="51"/>
        <v>4348908.6382065378</v>
      </c>
      <c r="FI35" s="2">
        <f t="shared" si="51"/>
        <v>4435886.8109706687</v>
      </c>
      <c r="FJ35" s="2">
        <f t="shared" si="51"/>
        <v>4524604.5471900823</v>
      </c>
      <c r="FK35" s="2">
        <f t="shared" si="51"/>
        <v>4615096.6381338844</v>
      </c>
      <c r="FL35" s="2">
        <f t="shared" si="51"/>
        <v>4707398.5708965622</v>
      </c>
      <c r="FM35" s="2">
        <f t="shared" si="51"/>
        <v>4801546.5423144931</v>
      </c>
      <c r="FN35" s="2">
        <f t="shared" si="51"/>
        <v>4897577.4731607828</v>
      </c>
      <c r="FO35" s="2">
        <f t="shared" si="51"/>
        <v>4995529.0226239981</v>
      </c>
      <c r="FP35" s="2">
        <f t="shared" si="51"/>
        <v>5095439.6030764785</v>
      </c>
      <c r="FQ35" s="2">
        <f t="shared" si="51"/>
        <v>5197348.3951380085</v>
      </c>
      <c r="FR35" s="2">
        <f t="shared" si="51"/>
        <v>5301295.3630407685</v>
      </c>
      <c r="FS35" s="2">
        <f t="shared" si="51"/>
        <v>5407321.2703015842</v>
      </c>
      <c r="FT35" s="2">
        <f t="shared" si="51"/>
        <v>5515467.6957076164</v>
      </c>
      <c r="FU35" s="2">
        <f t="shared" si="51"/>
        <v>5625777.0496217692</v>
      </c>
      <c r="FV35" s="2">
        <f t="shared" si="51"/>
        <v>5738292.5906142043</v>
      </c>
      <c r="FW35" s="2">
        <f t="shared" si="51"/>
        <v>5853058.4424264887</v>
      </c>
      <c r="FX35" s="2">
        <f t="shared" si="51"/>
        <v>5970119.6112750182</v>
      </c>
      <c r="FY35" s="2">
        <f t="shared" si="51"/>
        <v>6089522.0035005184</v>
      </c>
      <c r="FZ35" s="2">
        <f t="shared" si="51"/>
        <v>6211312.4435705291</v>
      </c>
      <c r="GA35" s="2">
        <f t="shared" si="51"/>
        <v>6335538.6924419394</v>
      </c>
      <c r="GB35" s="2">
        <f t="shared" si="51"/>
        <v>6462249.4662907785</v>
      </c>
      <c r="GC35" s="2">
        <f t="shared" si="51"/>
        <v>6591494.4556165943</v>
      </c>
      <c r="GD35" s="2">
        <f t="shared" si="51"/>
        <v>6723324.3447289262</v>
      </c>
      <c r="GE35" s="2">
        <f t="shared" si="51"/>
        <v>6857790.8316235049</v>
      </c>
      <c r="GF35" s="2">
        <f t="shared" si="51"/>
        <v>6994946.648255975</v>
      </c>
      <c r="GG35" s="2">
        <f t="shared" si="51"/>
        <v>7134845.5812210944</v>
      </c>
      <c r="GH35" s="2">
        <f t="shared" si="51"/>
        <v>7277542.4928455167</v>
      </c>
      <c r="GI35" s="2">
        <f t="shared" si="51"/>
        <v>7423093.3427024269</v>
      </c>
      <c r="GJ35" s="2">
        <f t="shared" si="51"/>
        <v>7571555.2095564753</v>
      </c>
      <c r="GK35" s="2">
        <f t="shared" si="51"/>
        <v>7722986.3137476053</v>
      </c>
      <c r="GL35" s="2">
        <f t="shared" si="51"/>
        <v>7877446.0400225576</v>
      </c>
      <c r="GM35" s="2">
        <f t="shared" si="51"/>
        <v>8034994.9608230088</v>
      </c>
      <c r="GN35" s="2">
        <f t="shared" si="51"/>
        <v>8195694.8600394689</v>
      </c>
      <c r="GO35" s="2">
        <f>+GN35*(1+$U40)</f>
        <v>8359608.7572402582</v>
      </c>
    </row>
    <row r="36" spans="2:197" s="1" customFormat="1" x14ac:dyDescent="0.25">
      <c r="B36" s="1" t="s">
        <v>11</v>
      </c>
      <c r="D36" s="1">
        <f>+D35-D37</f>
        <v>3204</v>
      </c>
      <c r="E36" s="1">
        <f>+E35-E37</f>
        <v>5421</v>
      </c>
      <c r="F36" s="1">
        <f>+F35-F37</f>
        <v>5800</v>
      </c>
      <c r="G36" s="1">
        <f>+G35-G37</f>
        <v>5067</v>
      </c>
      <c r="H36" s="1">
        <v>5000</v>
      </c>
      <c r="I36" s="1">
        <v>5001</v>
      </c>
      <c r="J36" s="1">
        <v>5002</v>
      </c>
      <c r="K36" s="1">
        <v>5003</v>
      </c>
      <c r="L36" s="1">
        <v>5004</v>
      </c>
      <c r="M36" s="1">
        <v>5005</v>
      </c>
      <c r="N36" s="1">
        <v>5006</v>
      </c>
      <c r="O36" s="1">
        <v>5007</v>
      </c>
      <c r="P36" s="1">
        <v>5008</v>
      </c>
      <c r="Q36" s="1">
        <v>5009</v>
      </c>
      <c r="R36" s="1">
        <v>5010</v>
      </c>
    </row>
    <row r="37" spans="2:197" s="1" customFormat="1" x14ac:dyDescent="0.25">
      <c r="B37" s="1" t="s">
        <v>12</v>
      </c>
      <c r="D37" s="1">
        <v>183923</v>
      </c>
      <c r="E37" s="1">
        <v>215160</v>
      </c>
      <c r="F37" s="1">
        <v>159725</v>
      </c>
      <c r="G37" s="1">
        <v>204525</v>
      </c>
      <c r="H37" s="1">
        <f>+H35-H36</f>
        <v>195607.44972999993</v>
      </c>
      <c r="I37" s="1">
        <f t="shared" ref="I37:R37" si="52">+I35-I36</f>
        <v>199243.36447874992</v>
      </c>
      <c r="J37" s="1">
        <f t="shared" si="52"/>
        <v>202970.91382766666</v>
      </c>
      <c r="K37" s="1">
        <f t="shared" si="52"/>
        <v>206792.55716724001</v>
      </c>
      <c r="L37" s="1">
        <f t="shared" si="52"/>
        <v>210710.82153109362</v>
      </c>
      <c r="M37" s="1">
        <f t="shared" si="52"/>
        <v>214728.30348166748</v>
      </c>
      <c r="N37" s="1">
        <f t="shared" si="52"/>
        <v>218847.67104898597</v>
      </c>
      <c r="O37" s="1">
        <f t="shared" si="52"/>
        <v>223071.66572401923</v>
      </c>
      <c r="P37" s="1">
        <f t="shared" si="52"/>
        <v>227403.10450818751</v>
      </c>
      <c r="Q37" s="1">
        <f t="shared" si="52"/>
        <v>231844.88202060462</v>
      </c>
      <c r="R37" s="1">
        <f t="shared" si="52"/>
        <v>236399.97266469448</v>
      </c>
    </row>
    <row r="38" spans="2:197" s="1" customFormat="1" x14ac:dyDescent="0.25">
      <c r="E38" s="7"/>
      <c r="F38" s="7"/>
      <c r="G38" s="7"/>
      <c r="M38" s="9">
        <f>+M37/U43</f>
        <v>4.9759635743905246</v>
      </c>
    </row>
    <row r="39" spans="2:197" s="3" customFormat="1" x14ac:dyDescent="0.25">
      <c r="B39" s="3" t="s">
        <v>13</v>
      </c>
      <c r="D39" s="3">
        <f>+D28/D26</f>
        <v>0.64718815870686741</v>
      </c>
      <c r="E39" s="3">
        <f t="shared" ref="E39:H39" si="53">+E28/E26</f>
        <v>0.66273162295088783</v>
      </c>
      <c r="F39" s="3">
        <f t="shared" si="53"/>
        <v>0.67486787652574887</v>
      </c>
      <c r="G39" s="3">
        <f t="shared" si="53"/>
        <v>0.68735240373978812</v>
      </c>
      <c r="H39" s="3">
        <f t="shared" si="53"/>
        <v>0.68</v>
      </c>
      <c r="I39" s="3">
        <f t="shared" ref="I39:R39" si="54">+I28/I26</f>
        <v>0.68</v>
      </c>
      <c r="J39" s="3">
        <f t="shared" si="54"/>
        <v>0.68</v>
      </c>
      <c r="K39" s="3">
        <f t="shared" si="54"/>
        <v>0.68</v>
      </c>
      <c r="L39" s="3">
        <f t="shared" si="54"/>
        <v>0.67999999999999994</v>
      </c>
      <c r="M39" s="3">
        <f t="shared" si="54"/>
        <v>0.67999999999999994</v>
      </c>
      <c r="N39" s="3">
        <f t="shared" si="54"/>
        <v>0.68</v>
      </c>
      <c r="O39" s="3">
        <f t="shared" si="54"/>
        <v>0.67999999999999994</v>
      </c>
      <c r="P39" s="3">
        <f t="shared" si="54"/>
        <v>0.67999999999999994</v>
      </c>
      <c r="Q39" s="3">
        <f t="shared" si="54"/>
        <v>0.68</v>
      </c>
      <c r="R39" s="3">
        <f t="shared" si="54"/>
        <v>0.68</v>
      </c>
      <c r="T39" s="3" t="s">
        <v>36</v>
      </c>
      <c r="U39" s="3">
        <v>0.1</v>
      </c>
    </row>
    <row r="40" spans="2:197" s="4" customFormat="1" x14ac:dyDescent="0.25">
      <c r="B40" s="4" t="s">
        <v>14</v>
      </c>
      <c r="D40" s="4">
        <f>+D30/D26</f>
        <v>0.12847430388149389</v>
      </c>
      <c r="E40" s="4">
        <f t="shared" ref="E40:H40" si="55">+E30/E26</f>
        <v>0.12480927614319984</v>
      </c>
      <c r="F40" s="4">
        <f t="shared" si="55"/>
        <v>0.12679836472355543</v>
      </c>
      <c r="G40" s="4">
        <f t="shared" si="55"/>
        <v>0.12773621547210318</v>
      </c>
      <c r="H40" s="4">
        <f t="shared" si="55"/>
        <v>0.11999999999999997</v>
      </c>
      <c r="I40" s="4">
        <f t="shared" ref="I40:R40" si="56">+I30/I26</f>
        <v>0.11999999999999998</v>
      </c>
      <c r="J40" s="4">
        <f t="shared" si="56"/>
        <v>0.11999999999999998</v>
      </c>
      <c r="K40" s="4">
        <f t="shared" si="56"/>
        <v>0.11999999999999997</v>
      </c>
      <c r="L40" s="4">
        <f t="shared" si="56"/>
        <v>0.1199999999999999</v>
      </c>
      <c r="M40" s="4">
        <f t="shared" si="56"/>
        <v>0.11999999999999987</v>
      </c>
      <c r="N40" s="4">
        <f t="shared" si="56"/>
        <v>0.11999999999999991</v>
      </c>
      <c r="O40" s="4">
        <f t="shared" si="56"/>
        <v>0.11999999999999997</v>
      </c>
      <c r="P40" s="4">
        <f t="shared" si="56"/>
        <v>0.11999999999999994</v>
      </c>
      <c r="Q40" s="4">
        <f t="shared" si="56"/>
        <v>0.12</v>
      </c>
      <c r="R40" s="4">
        <f t="shared" si="56"/>
        <v>0.12</v>
      </c>
      <c r="T40" s="4" t="s">
        <v>35</v>
      </c>
      <c r="U40" s="4">
        <v>0.02</v>
      </c>
    </row>
    <row r="41" spans="2:197" s="4" customFormat="1" x14ac:dyDescent="0.25">
      <c r="B41" s="4" t="s">
        <v>43</v>
      </c>
      <c r="E41" s="4">
        <f>+E26/D26 -1</f>
        <v>0.12045557768228354</v>
      </c>
      <c r="F41" s="4">
        <f>+F26/E26 -1</f>
        <v>-6.4440758155913658E-3</v>
      </c>
      <c r="G41" s="4">
        <f>+G26/F26 -1</f>
        <v>2.1328055368418308E-2</v>
      </c>
      <c r="H41" s="4">
        <f>+H26/G26 -1</f>
        <v>-1.4237264317145115E-3</v>
      </c>
      <c r="I41" s="4">
        <f>+I26/H26 -1</f>
        <v>1.657985517805094E-2</v>
      </c>
      <c r="J41" s="4">
        <f t="shared" ref="J41:R41" si="57">+J26/I26 -1</f>
        <v>1.6720374784502834E-2</v>
      </c>
      <c r="K41" s="4">
        <f t="shared" si="57"/>
        <v>1.6860419068533083E-2</v>
      </c>
      <c r="L41" s="4">
        <f t="shared" si="57"/>
        <v>1.69999561562173E-2</v>
      </c>
      <c r="M41" s="4">
        <f t="shared" si="57"/>
        <v>1.7138954681271912E-2</v>
      </c>
      <c r="N41" s="4">
        <f t="shared" si="57"/>
        <v>1.7277383813308012E-2</v>
      </c>
      <c r="O41" s="4">
        <f t="shared" si="57"/>
        <v>1.7415213284963205E-2</v>
      </c>
      <c r="P41" s="4">
        <f t="shared" si="57"/>
        <v>1.7552413417866397E-2</v>
      </c>
      <c r="Q41" s="4">
        <f t="shared" si="57"/>
        <v>1.7688955147400875E-2</v>
      </c>
      <c r="R41" s="4">
        <f t="shared" si="57"/>
        <v>1.7824810046204842E-2</v>
      </c>
    </row>
    <row r="42" spans="2:197" s="1" customFormat="1" x14ac:dyDescent="0.25">
      <c r="T42" s="1" t="s">
        <v>37</v>
      </c>
      <c r="U42" s="1">
        <f>NPV(U39,H35:GN35)</f>
        <v>2484633.8989494722</v>
      </c>
    </row>
    <row r="43" spans="2:197" s="1" customFormat="1" x14ac:dyDescent="0.25">
      <c r="B43" s="1" t="s">
        <v>15</v>
      </c>
      <c r="F43" s="1">
        <f>412900-65200-63400-12300-41500</f>
        <v>230500</v>
      </c>
      <c r="G43" s="1">
        <f>430400-17900-74100-9600-42900</f>
        <v>285900</v>
      </c>
      <c r="T43" s="1" t="s">
        <v>39</v>
      </c>
      <c r="U43" s="1">
        <v>43153.11</v>
      </c>
      <c r="V43" s="1" t="s">
        <v>38</v>
      </c>
    </row>
    <row r="44" spans="2:197" s="1" customFormat="1" x14ac:dyDescent="0.25">
      <c r="B44" s="1" t="s">
        <v>16</v>
      </c>
      <c r="F44" s="1">
        <v>61600</v>
      </c>
      <c r="G44" s="1">
        <v>69800</v>
      </c>
      <c r="T44" s="1" t="s">
        <v>40</v>
      </c>
      <c r="U44" s="1">
        <f>+U42/U43</f>
        <v>57.577168805434233</v>
      </c>
    </row>
    <row r="45" spans="2:197" s="1" customFormat="1" x14ac:dyDescent="0.25">
      <c r="B45" s="1" t="s">
        <v>17</v>
      </c>
      <c r="F45" s="1">
        <f>+G45-47000</f>
        <v>169000</v>
      </c>
      <c r="G45" s="1">
        <v>216000</v>
      </c>
      <c r="T45" s="1" t="s">
        <v>41</v>
      </c>
      <c r="U45" s="1">
        <v>33</v>
      </c>
    </row>
    <row r="46" spans="2:197" s="1" customFormat="1" x14ac:dyDescent="0.25">
      <c r="T46" s="1" t="s">
        <v>42</v>
      </c>
      <c r="U46" s="3">
        <f>+U44/U45 -1</f>
        <v>0.74476269107376458</v>
      </c>
    </row>
    <row r="47" spans="2:197" s="1" customFormat="1" x14ac:dyDescent="0.25"/>
    <row r="48" spans="2:197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2025-12-10T15:48:14Z</dcterms:created>
  <dcterms:modified xsi:type="dcterms:W3CDTF">2026-02-06T13:33:50Z</dcterms:modified>
</cp:coreProperties>
</file>