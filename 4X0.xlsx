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2CA09E7-878B-4F12-A565-AA469CF496B3}" xr6:coauthVersionLast="47" xr6:coauthVersionMax="47" xr10:uidLastSave="{00000000-0000-0000-0000-000000000000}"/>
  <bookViews>
    <workbookView xWindow="-120" yWindow="-120" windowWidth="29040" windowHeight="15840" xr2:uid="{4A35165D-26B3-4202-AA1D-C72C84A4A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0" i="1" l="1"/>
  <c r="Q19" i="1"/>
  <c r="R19" i="1" s="1"/>
  <c r="F20" i="1"/>
  <c r="G20" i="1"/>
  <c r="H20" i="1"/>
  <c r="I20" i="1"/>
  <c r="J20" i="1"/>
  <c r="K20" i="1"/>
  <c r="L20" i="1"/>
  <c r="M20" i="1"/>
  <c r="N20" i="1"/>
  <c r="O20" i="1"/>
  <c r="P20" i="1"/>
  <c r="E20" i="1"/>
  <c r="G26" i="1"/>
  <c r="H26" i="1"/>
  <c r="I26" i="1"/>
  <c r="J26" i="1"/>
  <c r="E35" i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H10" i="1"/>
  <c r="H28" i="1" s="1"/>
  <c r="I10" i="1"/>
  <c r="I28" i="1" s="1"/>
  <c r="J10" i="1"/>
  <c r="J28" i="1" s="1"/>
  <c r="G10" i="1"/>
  <c r="G28" i="1" s="1"/>
  <c r="F28" i="1"/>
  <c r="D28" i="1"/>
  <c r="E28" i="1"/>
  <c r="F9" i="1"/>
  <c r="G9" i="1" s="1"/>
  <c r="H9" i="1" s="1"/>
  <c r="I9" i="1" s="1"/>
  <c r="J9" i="1" s="1"/>
  <c r="K9" i="1" s="1"/>
  <c r="D27" i="1"/>
  <c r="E27" i="1"/>
  <c r="G7" i="1"/>
  <c r="G8" i="1" s="1"/>
  <c r="G23" i="1" s="1"/>
  <c r="H7" i="1"/>
  <c r="H8" i="1" s="1"/>
  <c r="H23" i="1" s="1"/>
  <c r="I7" i="1"/>
  <c r="I8" i="1" s="1"/>
  <c r="I23" i="1" s="1"/>
  <c r="J7" i="1"/>
  <c r="F7" i="1"/>
  <c r="F8" i="1" s="1"/>
  <c r="J8" i="1"/>
  <c r="J23" i="1" s="1"/>
  <c r="K5" i="1"/>
  <c r="K10" i="1" s="1"/>
  <c r="K28" i="1" s="1"/>
  <c r="F26" i="1"/>
  <c r="E26" i="1"/>
  <c r="E32" i="1"/>
  <c r="D32" i="1"/>
  <c r="D18" i="1"/>
  <c r="D13" i="1"/>
  <c r="D6" i="1"/>
  <c r="D8" i="1" s="1"/>
  <c r="D23" i="1" s="1"/>
  <c r="E18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E6" i="1"/>
  <c r="E8" i="1" s="1"/>
  <c r="E12" i="1" s="1"/>
  <c r="E24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S19" i="1" l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K26" i="1"/>
  <c r="D12" i="1"/>
  <c r="D24" i="1" s="1"/>
  <c r="F27" i="1"/>
  <c r="H27" i="1"/>
  <c r="H12" i="1"/>
  <c r="G27" i="1"/>
  <c r="J12" i="1"/>
  <c r="I27" i="1"/>
  <c r="I12" i="1"/>
  <c r="G12" i="1"/>
  <c r="F12" i="1"/>
  <c r="F14" i="1" s="1"/>
  <c r="F17" i="1" s="1"/>
  <c r="E23" i="1"/>
  <c r="L5" i="1"/>
  <c r="K7" i="1"/>
  <c r="K8" i="1" s="1"/>
  <c r="K23" i="1" s="1"/>
  <c r="F23" i="1"/>
  <c r="D14" i="1"/>
  <c r="D17" i="1" s="1"/>
  <c r="D19" i="1" s="1"/>
  <c r="D25" i="1" s="1"/>
  <c r="E14" i="1"/>
  <c r="E17" i="1" s="1"/>
  <c r="E19" i="1" s="1"/>
  <c r="E25" i="1" s="1"/>
  <c r="S29" i="1" l="1"/>
  <c r="S31" i="1" s="1"/>
  <c r="S32" i="1" s="1"/>
  <c r="I14" i="1"/>
  <c r="I17" i="1" s="1"/>
  <c r="I24" i="1"/>
  <c r="L10" i="1"/>
  <c r="L28" i="1" s="1"/>
  <c r="L26" i="1"/>
  <c r="J14" i="1"/>
  <c r="J17" i="1" s="1"/>
  <c r="J24" i="1"/>
  <c r="H14" i="1"/>
  <c r="H17" i="1" s="1"/>
  <c r="H24" i="1"/>
  <c r="F18" i="1"/>
  <c r="F19" i="1" s="1"/>
  <c r="F25" i="1" s="1"/>
  <c r="G14" i="1"/>
  <c r="G17" i="1" s="1"/>
  <c r="G24" i="1"/>
  <c r="L9" i="1"/>
  <c r="J27" i="1"/>
  <c r="F24" i="1"/>
  <c r="M5" i="1"/>
  <c r="L7" i="1"/>
  <c r="L8" i="1" s="1"/>
  <c r="L23" i="1" s="1"/>
  <c r="H18" i="1" l="1"/>
  <c r="H19" i="1" s="1"/>
  <c r="H25" i="1" s="1"/>
  <c r="G18" i="1"/>
  <c r="G19" i="1" s="1"/>
  <c r="G25" i="1" s="1"/>
  <c r="M26" i="1"/>
  <c r="M10" i="1"/>
  <c r="M28" i="1" s="1"/>
  <c r="J18" i="1"/>
  <c r="J19" i="1" s="1"/>
  <c r="J25" i="1" s="1"/>
  <c r="M9" i="1"/>
  <c r="I18" i="1"/>
  <c r="I19" i="1" s="1"/>
  <c r="I25" i="1" s="1"/>
  <c r="K27" i="1"/>
  <c r="L12" i="1"/>
  <c r="K12" i="1"/>
  <c r="N5" i="1"/>
  <c r="M7" i="1"/>
  <c r="M8" i="1" s="1"/>
  <c r="M23" i="1" s="1"/>
  <c r="N9" i="1" l="1"/>
  <c r="N26" i="1"/>
  <c r="N10" i="1"/>
  <c r="N28" i="1" s="1"/>
  <c r="K14" i="1"/>
  <c r="K17" i="1" s="1"/>
  <c r="K24" i="1"/>
  <c r="L14" i="1"/>
  <c r="L17" i="1" s="1"/>
  <c r="L24" i="1"/>
  <c r="L27" i="1"/>
  <c r="O5" i="1"/>
  <c r="N7" i="1"/>
  <c r="N8" i="1" s="1"/>
  <c r="N23" i="1" s="1"/>
  <c r="L18" i="1" l="1"/>
  <c r="L19" i="1" s="1"/>
  <c r="L25" i="1" s="1"/>
  <c r="K18" i="1"/>
  <c r="K19" i="1" s="1"/>
  <c r="K25" i="1" s="1"/>
  <c r="O10" i="1"/>
  <c r="O28" i="1" s="1"/>
  <c r="O26" i="1"/>
  <c r="O9" i="1"/>
  <c r="M27" i="1"/>
  <c r="M12" i="1"/>
  <c r="P5" i="1"/>
  <c r="O7" i="1"/>
  <c r="O8" i="1" s="1"/>
  <c r="O23" i="1" s="1"/>
  <c r="P26" i="1" l="1"/>
  <c r="P10" i="1"/>
  <c r="P28" i="1" s="1"/>
  <c r="P9" i="1"/>
  <c r="M14" i="1"/>
  <c r="M17" i="1" s="1"/>
  <c r="M24" i="1"/>
  <c r="N27" i="1"/>
  <c r="O12" i="1"/>
  <c r="N12" i="1"/>
  <c r="P7" i="1"/>
  <c r="P8" i="1" s="1"/>
  <c r="P23" i="1" s="1"/>
  <c r="N14" i="1" l="1"/>
  <c r="N17" i="1" s="1"/>
  <c r="N24" i="1"/>
  <c r="O14" i="1"/>
  <c r="O17" i="1" s="1"/>
  <c r="O24" i="1"/>
  <c r="M18" i="1"/>
  <c r="M19" i="1" s="1"/>
  <c r="M25" i="1" s="1"/>
  <c r="O27" i="1"/>
  <c r="P27" i="1"/>
  <c r="O18" i="1" l="1"/>
  <c r="O19" i="1" s="1"/>
  <c r="O25" i="1" s="1"/>
  <c r="N18" i="1"/>
  <c r="N19" i="1" s="1"/>
  <c r="N25" i="1" s="1"/>
  <c r="P12" i="1"/>
  <c r="P14" i="1" l="1"/>
  <c r="P17" i="1" s="1"/>
  <c r="P24" i="1"/>
  <c r="P18" i="1" l="1"/>
  <c r="P19" i="1" s="1"/>
  <c r="P25" i="1" s="1"/>
</calcChain>
</file>

<file path=xl/sharedStrings.xml><?xml version="1.0" encoding="utf-8"?>
<sst xmlns="http://schemas.openxmlformats.org/spreadsheetml/2006/main" count="34" uniqueCount="33">
  <si>
    <t>Revenue</t>
  </si>
  <si>
    <t>Other Income</t>
  </si>
  <si>
    <t>COGS</t>
  </si>
  <si>
    <t>Gross Profit</t>
  </si>
  <si>
    <t>Personalaufwand</t>
  </si>
  <si>
    <t>Sonstige Kosten</t>
  </si>
  <si>
    <t>R&amp;D</t>
  </si>
  <si>
    <t>EBITDA</t>
  </si>
  <si>
    <t>D&amp;A</t>
  </si>
  <si>
    <t xml:space="preserve">EBIT </t>
  </si>
  <si>
    <t>Interest Income</t>
  </si>
  <si>
    <t>Interest Expense</t>
  </si>
  <si>
    <t>Pretax</t>
  </si>
  <si>
    <t>Taxes</t>
  </si>
  <si>
    <t>net Income</t>
  </si>
  <si>
    <t>Gross Margin</t>
  </si>
  <si>
    <t>EBITDA Margin</t>
  </si>
  <si>
    <t>Net Margin</t>
  </si>
  <si>
    <t>Revenue Y/Y</t>
  </si>
  <si>
    <t>CFFO</t>
  </si>
  <si>
    <t>CapEx</t>
  </si>
  <si>
    <t>FCF</t>
  </si>
  <si>
    <t>Sonstige</t>
  </si>
  <si>
    <t>Cash</t>
  </si>
  <si>
    <t>Debt</t>
  </si>
  <si>
    <t>Discount</t>
  </si>
  <si>
    <t>Terminal</t>
  </si>
  <si>
    <t>NPV</t>
  </si>
  <si>
    <t>Net Cash</t>
  </si>
  <si>
    <t>Value</t>
  </si>
  <si>
    <t>Shares</t>
  </si>
  <si>
    <t>EPS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</si>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</sst>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9" fontId="0" fillId="0" borderId="0" xfId="1" applyFont="1"/>
    <xf numFmtId="4" fontId="0" fillId="0" borderId="0" xfId="0" applyNumberFormat="1"/>
    <xf numFmtId="9" fontId="0" fillId="0" borderId="0" xfId="1" applyFont="1" applyFill="1"/>
    <xf numFmtId="3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3</xdr:row>
      <xdr:rowOff>185057</xdr:rowOff>
    </xdr:from>
    <xdr:to>
      <xdr:col>5</xdr:col>
      <xdr:colOff>48985</xdr:colOff>
      <xdr:row>26</xdr:row>
      <xdr:rowOff>174171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7BE6852-6D30-1657-65AD-7952D496DD74}"/>
            </a:ext>
          </a:extLst>
        </xdr:cNvPr>
        <xdr:cNvCxnSpPr/>
      </xdr:nvCxnSpPr>
      <xdr:spPr>
        <a:xfrm>
          <a:off x="3162300" y="756557"/>
          <a:ext cx="21771" cy="43706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691E-4A48-48D4-97F3-1B91148A2E6F}">
  <dimension ref="B2:DC96"/>
  <sheetViews>
    <sheetView tabSelected="1" zoomScale="175" zoomScaleNormal="175" workbookViewId="0">
      <pane xSplit="2" ySplit="2" topLeftCell="J18" activePane="bottomRight" state="frozen"/>
      <selection pane="topRight" activeCell="C1" sqref="C1"/>
      <selection pane="bottomLeft" activeCell="A3" sqref="A3"/>
      <selection pane="bottomRight" activeCell="S28" sqref="S28"/>
    </sheetView>
  </sheetViews>
  <sheetFormatPr defaultRowHeight="15" x14ac:dyDescent="0.25"/>
  <cols>
    <col min="1" max="1" width="3" customWidth="1"/>
    <col min="2" max="2" width="16.5703125" bestFit="1" customWidth="1"/>
  </cols>
  <sheetData>
    <row r="2" spans="2:16" x14ac:dyDescent="0.25">
      <c r="D2">
        <v>2023</v>
      </c>
      <c r="E2">
        <f>+D2+1</f>
        <v>2024</v>
      </c>
      <c r="F2">
        <f t="shared" ref="F2:P2" si="0">+E2+1</f>
        <v>2025</v>
      </c>
      <c r="G2">
        <f t="shared" si="0"/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/>
    <row r="5" spans="2:16" s="1" customFormat="1" x14ac:dyDescent="0.25">
      <c r="B5" s="1" t="s">
        <v>0</v>
      </c>
      <c r="D5" s="1">
        <v>38133</v>
      </c>
      <c r="E5" s="1">
        <v>41657</v>
      </c>
      <c r="F5" s="1">
        <v>50000</v>
      </c>
      <c r="G5" s="1">
        <v>75000</v>
      </c>
      <c r="H5" s="1">
        <v>120000</v>
      </c>
      <c r="I5" s="1">
        <v>140000</v>
      </c>
      <c r="J5" s="1">
        <v>150000</v>
      </c>
      <c r="K5" s="1">
        <f>+J5*1.05</f>
        <v>157500</v>
      </c>
      <c r="L5" s="1">
        <f t="shared" ref="L5:P5" si="1">+K5*1.05</f>
        <v>165375</v>
      </c>
      <c r="M5" s="1">
        <f t="shared" si="1"/>
        <v>173643.75</v>
      </c>
      <c r="N5" s="1">
        <f t="shared" si="1"/>
        <v>182325.9375</v>
      </c>
      <c r="O5" s="1">
        <f t="shared" si="1"/>
        <v>191442.234375</v>
      </c>
      <c r="P5" s="1">
        <f t="shared" si="1"/>
        <v>201014.34609375001</v>
      </c>
    </row>
    <row r="6" spans="2:16" s="1" customFormat="1" x14ac:dyDescent="0.25">
      <c r="B6" s="1" t="s">
        <v>1</v>
      </c>
      <c r="D6" s="1">
        <f>-1077+279</f>
        <v>-798</v>
      </c>
      <c r="E6" s="1">
        <f>919+614</f>
        <v>1533</v>
      </c>
      <c r="F6" s="1">
        <v>1000</v>
      </c>
      <c r="G6" s="1">
        <v>1000</v>
      </c>
      <c r="H6" s="1">
        <v>1000</v>
      </c>
      <c r="I6" s="1">
        <v>1000</v>
      </c>
      <c r="J6" s="1">
        <v>1000</v>
      </c>
      <c r="K6" s="1">
        <v>1000</v>
      </c>
      <c r="L6" s="1">
        <v>1000</v>
      </c>
      <c r="M6" s="1">
        <v>1000</v>
      </c>
      <c r="N6" s="1">
        <v>1000</v>
      </c>
      <c r="O6" s="1">
        <v>1000</v>
      </c>
      <c r="P6" s="1">
        <v>1000</v>
      </c>
    </row>
    <row r="7" spans="2:16" s="1" customFormat="1" x14ac:dyDescent="0.25">
      <c r="B7" s="1" t="s">
        <v>2</v>
      </c>
      <c r="D7" s="1">
        <v>22143</v>
      </c>
      <c r="E7" s="1">
        <v>22902</v>
      </c>
      <c r="F7" s="1">
        <f>+F5*0.5</f>
        <v>25000</v>
      </c>
      <c r="G7" s="1">
        <f t="shared" ref="G7:P7" si="2">+G5*0.5</f>
        <v>37500</v>
      </c>
      <c r="H7" s="1">
        <f t="shared" si="2"/>
        <v>60000</v>
      </c>
      <c r="I7" s="1">
        <f t="shared" si="2"/>
        <v>70000</v>
      </c>
      <c r="J7" s="1">
        <f t="shared" si="2"/>
        <v>75000</v>
      </c>
      <c r="K7" s="1">
        <f t="shared" si="2"/>
        <v>78750</v>
      </c>
      <c r="L7" s="1">
        <f t="shared" si="2"/>
        <v>82687.5</v>
      </c>
      <c r="M7" s="1">
        <f t="shared" si="2"/>
        <v>86821.875</v>
      </c>
      <c r="N7" s="1">
        <f t="shared" si="2"/>
        <v>91162.96875</v>
      </c>
      <c r="O7" s="1">
        <f t="shared" si="2"/>
        <v>95721.1171875</v>
      </c>
      <c r="P7" s="1">
        <f t="shared" si="2"/>
        <v>100507.173046875</v>
      </c>
    </row>
    <row r="8" spans="2:16" s="1" customFormat="1" x14ac:dyDescent="0.25">
      <c r="B8" s="1" t="s">
        <v>3</v>
      </c>
      <c r="D8" s="1">
        <f>+D5+D6-D7</f>
        <v>15192</v>
      </c>
      <c r="E8" s="1">
        <f t="shared" ref="E8:H8" si="3">+E5+E6-E7</f>
        <v>20288</v>
      </c>
      <c r="F8" s="1">
        <f t="shared" si="3"/>
        <v>26000</v>
      </c>
      <c r="G8" s="1">
        <f t="shared" si="3"/>
        <v>38500</v>
      </c>
      <c r="H8" s="1">
        <f t="shared" si="3"/>
        <v>61000</v>
      </c>
      <c r="I8" s="1">
        <f t="shared" ref="I8" si="4">+I5+I6-I7</f>
        <v>71000</v>
      </c>
      <c r="J8" s="1">
        <f t="shared" ref="J8" si="5">+J5+J6-J7</f>
        <v>76000</v>
      </c>
      <c r="K8" s="1">
        <f t="shared" ref="K8" si="6">+K5+K6-K7</f>
        <v>79750</v>
      </c>
      <c r="L8" s="1">
        <f t="shared" ref="L8" si="7">+L5+L6-L7</f>
        <v>83687.5</v>
      </c>
      <c r="M8" s="1">
        <f t="shared" ref="M8" si="8">+M5+M6-M7</f>
        <v>87821.875</v>
      </c>
      <c r="N8" s="1">
        <f t="shared" ref="N8" si="9">+N5+N6-N7</f>
        <v>92162.96875</v>
      </c>
      <c r="O8" s="1">
        <f t="shared" ref="O8" si="10">+O5+O6-O7</f>
        <v>96721.1171875</v>
      </c>
      <c r="P8" s="1">
        <f t="shared" ref="P8" si="11">+P5+P6-P7</f>
        <v>101507.173046875</v>
      </c>
    </row>
    <row r="9" spans="2:16" s="1" customFormat="1" x14ac:dyDescent="0.25">
      <c r="B9" s="1" t="s">
        <v>4</v>
      </c>
      <c r="D9" s="1">
        <v>10080</v>
      </c>
      <c r="E9" s="1">
        <v>9557</v>
      </c>
      <c r="F9" s="1">
        <f>+F5*0.2</f>
        <v>10000</v>
      </c>
      <c r="G9" s="1">
        <f>+F9*(1+(G5/F5 -1)/2)</f>
        <v>12500</v>
      </c>
      <c r="H9" s="1">
        <f t="shared" ref="H9:P9" si="12">+G9*(1+(H5/G5 -1)/2)</f>
        <v>16250</v>
      </c>
      <c r="I9" s="1">
        <f t="shared" si="12"/>
        <v>17604.166666666668</v>
      </c>
      <c r="J9" s="1">
        <f t="shared" si="12"/>
        <v>18232.886904761905</v>
      </c>
      <c r="K9" s="1">
        <f t="shared" si="12"/>
        <v>18688.70907738095</v>
      </c>
      <c r="L9" s="1">
        <f t="shared" si="12"/>
        <v>19155.926804315473</v>
      </c>
      <c r="M9" s="1">
        <f t="shared" si="12"/>
        <v>19634.824974423358</v>
      </c>
      <c r="N9" s="1">
        <f t="shared" si="12"/>
        <v>20125.695598783939</v>
      </c>
      <c r="O9" s="1">
        <f t="shared" si="12"/>
        <v>20628.837988753538</v>
      </c>
      <c r="P9" s="1">
        <f t="shared" si="12"/>
        <v>21144.558938472375</v>
      </c>
    </row>
    <row r="10" spans="2:16" s="1" customFormat="1" x14ac:dyDescent="0.25">
      <c r="B10" s="1" t="s">
        <v>5</v>
      </c>
      <c r="D10" s="1">
        <v>7765</v>
      </c>
      <c r="E10" s="1">
        <v>5498</v>
      </c>
      <c r="F10" s="1">
        <v>5000</v>
      </c>
      <c r="G10" s="1">
        <f>+G5*0.1</f>
        <v>7500</v>
      </c>
      <c r="H10" s="1">
        <f t="shared" ref="H10:P10" si="13">+H5*0.1</f>
        <v>12000</v>
      </c>
      <c r="I10" s="1">
        <f t="shared" si="13"/>
        <v>14000</v>
      </c>
      <c r="J10" s="1">
        <f t="shared" si="13"/>
        <v>15000</v>
      </c>
      <c r="K10" s="1">
        <f t="shared" si="13"/>
        <v>15750</v>
      </c>
      <c r="L10" s="1">
        <f t="shared" si="13"/>
        <v>16537.5</v>
      </c>
      <c r="M10" s="1">
        <f t="shared" si="13"/>
        <v>17364.375</v>
      </c>
      <c r="N10" s="1">
        <f t="shared" si="13"/>
        <v>18232.59375</v>
      </c>
      <c r="O10" s="1">
        <f t="shared" si="13"/>
        <v>19144.223437500001</v>
      </c>
      <c r="P10" s="1">
        <f t="shared" si="13"/>
        <v>20101.434609375003</v>
      </c>
    </row>
    <row r="11" spans="2:16" s="1" customFormat="1" x14ac:dyDescent="0.25">
      <c r="B11" s="1" t="s">
        <v>6</v>
      </c>
      <c r="D11" s="1">
        <v>1214</v>
      </c>
      <c r="E11" s="1">
        <v>2168</v>
      </c>
      <c r="F11" s="1">
        <f>+E11*1.15</f>
        <v>2493.1999999999998</v>
      </c>
      <c r="G11" s="1">
        <f>+F11*1.12</f>
        <v>2792.384</v>
      </c>
      <c r="H11" s="1">
        <f>+G11*1.08</f>
        <v>3015.7747200000003</v>
      </c>
      <c r="I11" s="1">
        <f>+H11*1.06</f>
        <v>3196.7212032000007</v>
      </c>
      <c r="J11" s="1">
        <f t="shared" ref="J11:P11" si="14">+I11*1.06</f>
        <v>3388.524475392001</v>
      </c>
      <c r="K11" s="1">
        <f t="shared" si="14"/>
        <v>3591.8359439155211</v>
      </c>
      <c r="L11" s="1">
        <f t="shared" si="14"/>
        <v>3807.3461005504523</v>
      </c>
      <c r="M11" s="1">
        <f t="shared" si="14"/>
        <v>4035.7868665834799</v>
      </c>
      <c r="N11" s="1">
        <f t="shared" si="14"/>
        <v>4277.9340785784889</v>
      </c>
      <c r="O11" s="1">
        <f t="shared" si="14"/>
        <v>4534.6101232931987</v>
      </c>
      <c r="P11" s="1">
        <f t="shared" si="14"/>
        <v>4806.6867306907907</v>
      </c>
    </row>
    <row r="12" spans="2:16" s="1" customFormat="1" x14ac:dyDescent="0.25">
      <c r="B12" s="1" t="s">
        <v>7</v>
      </c>
      <c r="D12" s="1">
        <f>+D8-D9-D10+D11</f>
        <v>-1439</v>
      </c>
      <c r="E12" s="1">
        <f>+E8-E9-E10+E11</f>
        <v>7401</v>
      </c>
      <c r="F12" s="1">
        <f>+F8-F9-F10+F11</f>
        <v>13493.2</v>
      </c>
      <c r="G12" s="1">
        <f>+G8-G9-G10+G11</f>
        <v>21292.383999999998</v>
      </c>
      <c r="H12" s="1">
        <f t="shared" ref="H12" si="15">+H8-H9-H10-H11</f>
        <v>29734.225279999999</v>
      </c>
      <c r="I12" s="1">
        <f t="shared" ref="I12" si="16">+I8-I9-I10-I11</f>
        <v>36199.112130133326</v>
      </c>
      <c r="J12" s="1">
        <f t="shared" ref="J12" si="17">+J8-J9-J10-J11</f>
        <v>39378.588619846094</v>
      </c>
      <c r="K12" s="1">
        <f t="shared" ref="K12" si="18">+K8-K9-K10-K11</f>
        <v>41719.454978703536</v>
      </c>
      <c r="L12" s="1">
        <f t="shared" ref="L12" si="19">+L8-L9-L10-L11</f>
        <v>44186.727095134076</v>
      </c>
      <c r="M12" s="1">
        <f t="shared" ref="M12" si="20">+M8-M9-M10-M11</f>
        <v>46786.888158993155</v>
      </c>
      <c r="N12" s="1">
        <f t="shared" ref="N12" si="21">+N8-N9-N10-N11</f>
        <v>49526.74532263758</v>
      </c>
      <c r="O12" s="1">
        <f t="shared" ref="O12" si="22">+O8-O9-O10-O11</f>
        <v>52413.445637953264</v>
      </c>
      <c r="P12" s="1">
        <f t="shared" ref="P12" si="23">+P8-P9-P10-P11</f>
        <v>55454.492768336837</v>
      </c>
    </row>
    <row r="13" spans="2:16" s="1" customFormat="1" x14ac:dyDescent="0.25">
      <c r="B13" s="1" t="s">
        <v>8</v>
      </c>
      <c r="D13" s="1">
        <f>951+3388</f>
        <v>4339</v>
      </c>
      <c r="E13" s="1">
        <f>907+20</f>
        <v>927</v>
      </c>
      <c r="F13" s="1">
        <f>+E13*0.98</f>
        <v>908.46</v>
      </c>
      <c r="G13" s="1">
        <f t="shared" ref="G13:P13" si="24">+F13*0.98</f>
        <v>890.29079999999999</v>
      </c>
      <c r="H13" s="1">
        <f t="shared" si="24"/>
        <v>872.48498399999994</v>
      </c>
      <c r="I13" s="1">
        <f t="shared" si="24"/>
        <v>855.03528431999996</v>
      </c>
      <c r="J13" s="1">
        <f t="shared" si="24"/>
        <v>837.93457863359993</v>
      </c>
      <c r="K13" s="1">
        <f t="shared" si="24"/>
        <v>821.17588706092795</v>
      </c>
      <c r="L13" s="1">
        <f t="shared" si="24"/>
        <v>804.75236931970937</v>
      </c>
      <c r="M13" s="1">
        <f t="shared" si="24"/>
        <v>788.65732193331519</v>
      </c>
      <c r="N13" s="1">
        <f t="shared" si="24"/>
        <v>772.88417549464884</v>
      </c>
      <c r="O13" s="1">
        <f t="shared" si="24"/>
        <v>757.4264919847559</v>
      </c>
      <c r="P13" s="1">
        <f t="shared" si="24"/>
        <v>742.27796214506077</v>
      </c>
    </row>
    <row r="14" spans="2:16" s="1" customFormat="1" x14ac:dyDescent="0.25">
      <c r="B14" s="1" t="s">
        <v>9</v>
      </c>
      <c r="D14" s="1">
        <f>+D12-D13</f>
        <v>-5778</v>
      </c>
      <c r="E14" s="1">
        <f t="shared" ref="E14:H14" si="25">+E12-E13</f>
        <v>6474</v>
      </c>
      <c r="F14" s="1">
        <f t="shared" si="25"/>
        <v>12584.740000000002</v>
      </c>
      <c r="G14" s="1">
        <f t="shared" si="25"/>
        <v>20402.093199999999</v>
      </c>
      <c r="H14" s="1">
        <f t="shared" si="25"/>
        <v>28861.740296</v>
      </c>
      <c r="I14" s="1">
        <f t="shared" ref="I14" si="26">+I12-I13</f>
        <v>35344.076845813324</v>
      </c>
      <c r="J14" s="1">
        <f t="shared" ref="J14" si="27">+J12-J13</f>
        <v>38540.654041212496</v>
      </c>
      <c r="K14" s="1">
        <f t="shared" ref="K14" si="28">+K12-K13</f>
        <v>40898.279091642609</v>
      </c>
      <c r="L14" s="1">
        <f t="shared" ref="L14" si="29">+L12-L13</f>
        <v>43381.974725814369</v>
      </c>
      <c r="M14" s="1">
        <f t="shared" ref="M14" si="30">+M12-M13</f>
        <v>45998.23083705984</v>
      </c>
      <c r="N14" s="1">
        <f t="shared" ref="N14" si="31">+N12-N13</f>
        <v>48753.861147142932</v>
      </c>
      <c r="O14" s="1">
        <f t="shared" ref="O14" si="32">+O12-O13</f>
        <v>51656.019145968508</v>
      </c>
      <c r="P14" s="1">
        <f t="shared" ref="P14" si="33">+P12-P13</f>
        <v>54712.214806191776</v>
      </c>
    </row>
    <row r="15" spans="2:16" s="1" customFormat="1" x14ac:dyDescent="0.25">
      <c r="B15" s="1" t="s">
        <v>10</v>
      </c>
      <c r="D15" s="1">
        <v>223</v>
      </c>
      <c r="E15" s="1">
        <v>325</v>
      </c>
      <c r="F15" s="1">
        <v>350</v>
      </c>
      <c r="G15" s="1">
        <v>350</v>
      </c>
      <c r="H15" s="1">
        <v>350</v>
      </c>
      <c r="I15" s="1">
        <v>350</v>
      </c>
      <c r="J15" s="1">
        <v>350</v>
      </c>
      <c r="K15" s="1">
        <v>350</v>
      </c>
      <c r="L15" s="1">
        <v>350</v>
      </c>
      <c r="M15" s="1">
        <v>350</v>
      </c>
      <c r="N15" s="1">
        <v>350</v>
      </c>
      <c r="O15" s="1">
        <v>350</v>
      </c>
      <c r="P15" s="1">
        <v>350</v>
      </c>
    </row>
    <row r="16" spans="2:16" s="1" customFormat="1" x14ac:dyDescent="0.25">
      <c r="B16" s="1" t="s">
        <v>11</v>
      </c>
      <c r="D16" s="1">
        <v>303</v>
      </c>
      <c r="E16" s="1">
        <v>598</v>
      </c>
      <c r="F16" s="1">
        <v>600</v>
      </c>
      <c r="G16" s="1">
        <v>600</v>
      </c>
      <c r="H16" s="1">
        <v>600</v>
      </c>
      <c r="I16" s="1">
        <v>600</v>
      </c>
      <c r="J16" s="1">
        <v>600</v>
      </c>
      <c r="K16" s="1">
        <v>600</v>
      </c>
      <c r="L16" s="1">
        <v>600</v>
      </c>
      <c r="M16" s="1">
        <v>600</v>
      </c>
      <c r="N16" s="1">
        <v>600</v>
      </c>
      <c r="O16" s="1">
        <v>600</v>
      </c>
      <c r="P16" s="1">
        <v>600</v>
      </c>
    </row>
    <row r="17" spans="2:107" s="1" customFormat="1" x14ac:dyDescent="0.25">
      <c r="B17" s="1" t="s">
        <v>12</v>
      </c>
      <c r="D17" s="1">
        <f>+D14+D15-D16</f>
        <v>-5858</v>
      </c>
      <c r="E17" s="1">
        <f t="shared" ref="E17:H17" si="34">+E14+E15-E16</f>
        <v>6201</v>
      </c>
      <c r="F17" s="1">
        <f t="shared" si="34"/>
        <v>12334.740000000002</v>
      </c>
      <c r="G17" s="1">
        <f t="shared" si="34"/>
        <v>20152.093199999999</v>
      </c>
      <c r="H17" s="1">
        <f t="shared" si="34"/>
        <v>28611.740296</v>
      </c>
      <c r="I17" s="1">
        <f t="shared" ref="I17" si="35">+I14+I15-I16</f>
        <v>35094.076845813324</v>
      </c>
      <c r="J17" s="1">
        <f t="shared" ref="J17" si="36">+J14+J15-J16</f>
        <v>38290.654041212496</v>
      </c>
      <c r="K17" s="1">
        <f t="shared" ref="K17" si="37">+K14+K15-K16</f>
        <v>40648.279091642609</v>
      </c>
      <c r="L17" s="1">
        <f t="shared" ref="L17" si="38">+L14+L15-L16</f>
        <v>43131.974725814369</v>
      </c>
      <c r="M17" s="1">
        <f t="shared" ref="M17" si="39">+M14+M15-M16</f>
        <v>45748.23083705984</v>
      </c>
      <c r="N17" s="1">
        <f t="shared" ref="N17" si="40">+N14+N15-N16</f>
        <v>48503.861147142932</v>
      </c>
      <c r="O17" s="1">
        <f t="shared" ref="O17" si="41">+O14+O15-O16</f>
        <v>51406.019145968508</v>
      </c>
      <c r="P17" s="1">
        <f t="shared" ref="P17" si="42">+P14+P15-P16</f>
        <v>54462.214806191776</v>
      </c>
    </row>
    <row r="18" spans="2:107" s="1" customFormat="1" x14ac:dyDescent="0.25">
      <c r="B18" s="1" t="s">
        <v>13</v>
      </c>
      <c r="D18" s="1">
        <f>4510-1238</f>
        <v>3272</v>
      </c>
      <c r="E18" s="1">
        <f>209+1116</f>
        <v>1325</v>
      </c>
      <c r="F18" s="1">
        <f>+F17*0.25</f>
        <v>3083.6850000000004</v>
      </c>
      <c r="G18" s="1">
        <f>+G17*0.33</f>
        <v>6650.190756</v>
      </c>
      <c r="H18" s="1">
        <f t="shared" ref="H18:P18" si="43">+H17*0.33</f>
        <v>9441.8742976800004</v>
      </c>
      <c r="I18" s="1">
        <f t="shared" si="43"/>
        <v>11581.045359118398</v>
      </c>
      <c r="J18" s="1">
        <f t="shared" si="43"/>
        <v>12635.915833600124</v>
      </c>
      <c r="K18" s="1">
        <f t="shared" si="43"/>
        <v>13413.932100242062</v>
      </c>
      <c r="L18" s="1">
        <f t="shared" si="43"/>
        <v>14233.551659518742</v>
      </c>
      <c r="M18" s="1">
        <f t="shared" si="43"/>
        <v>15096.916176229748</v>
      </c>
      <c r="N18" s="1">
        <f t="shared" si="43"/>
        <v>16006.274178557169</v>
      </c>
      <c r="O18" s="1">
        <f t="shared" si="43"/>
        <v>16963.986318169609</v>
      </c>
      <c r="P18" s="1">
        <f t="shared" si="43"/>
        <v>17972.530886043285</v>
      </c>
    </row>
    <row r="19" spans="2:107" s="5" customFormat="1" x14ac:dyDescent="0.25">
      <c r="B19" s="5" t="s">
        <v>14</v>
      </c>
      <c r="D19" s="5">
        <f>+D17-D18</f>
        <v>-9130</v>
      </c>
      <c r="E19" s="5">
        <f t="shared" ref="E19:H19" si="44">+E17-E18</f>
        <v>4876</v>
      </c>
      <c r="F19" s="5">
        <f t="shared" si="44"/>
        <v>9251.0550000000003</v>
      </c>
      <c r="G19" s="5">
        <f t="shared" si="44"/>
        <v>13501.902443999999</v>
      </c>
      <c r="H19" s="5">
        <f t="shared" si="44"/>
        <v>19169.865998319998</v>
      </c>
      <c r="I19" s="5">
        <f t="shared" ref="I19" si="45">+I17-I18</f>
        <v>23513.031486694927</v>
      </c>
      <c r="J19" s="5">
        <f t="shared" ref="J19" si="46">+J17-J18</f>
        <v>25654.738207612372</v>
      </c>
      <c r="K19" s="5">
        <f t="shared" ref="K19" si="47">+K17-K18</f>
        <v>27234.346991400547</v>
      </c>
      <c r="L19" s="5">
        <f t="shared" ref="L19" si="48">+L17-L18</f>
        <v>28898.423066295625</v>
      </c>
      <c r="M19" s="5">
        <f t="shared" ref="M19" si="49">+M17-M18</f>
        <v>30651.314660830092</v>
      </c>
      <c r="N19" s="5">
        <f t="shared" ref="N19" si="50">+N17-N18</f>
        <v>32497.586968585761</v>
      </c>
      <c r="O19" s="5">
        <f t="shared" ref="O19" si="51">+O17-O18</f>
        <v>34442.032827798903</v>
      </c>
      <c r="P19" s="5">
        <f t="shared" ref="P19" si="52">+P17-P18</f>
        <v>36489.683920148491</v>
      </c>
      <c r="Q19" s="5">
        <f>+P19*(1+$S28)</f>
        <v>37219.477598551464</v>
      </c>
      <c r="R19" s="5">
        <f t="shared" ref="R19:CC19" si="53">+Q19*(1+$S28)</f>
        <v>37963.867150522492</v>
      </c>
      <c r="S19" s="5">
        <f t="shared" si="53"/>
        <v>38723.144493532942</v>
      </c>
      <c r="T19" s="5">
        <f t="shared" si="53"/>
        <v>39497.6073834036</v>
      </c>
      <c r="U19" s="5">
        <f t="shared" si="53"/>
        <v>40287.559531071674</v>
      </c>
      <c r="V19" s="5">
        <f t="shared" si="53"/>
        <v>41093.310721693109</v>
      </c>
      <c r="W19" s="5">
        <f t="shared" si="53"/>
        <v>41915.176936126969</v>
      </c>
      <c r="X19" s="5">
        <f t="shared" si="53"/>
        <v>42753.480474849508</v>
      </c>
      <c r="Y19" s="5">
        <f t="shared" si="53"/>
        <v>43608.550084346498</v>
      </c>
      <c r="Z19" s="5">
        <f t="shared" si="53"/>
        <v>44480.721086033431</v>
      </c>
      <c r="AA19" s="5">
        <f t="shared" si="53"/>
        <v>45370.335507754098</v>
      </c>
      <c r="AB19" s="5">
        <f t="shared" si="53"/>
        <v>46277.742217909181</v>
      </c>
      <c r="AC19" s="5">
        <f t="shared" si="53"/>
        <v>47203.297062267367</v>
      </c>
      <c r="AD19" s="5">
        <f t="shared" si="53"/>
        <v>48147.363003512713</v>
      </c>
      <c r="AE19" s="5">
        <f t="shared" si="53"/>
        <v>49110.310263582971</v>
      </c>
      <c r="AF19" s="5">
        <f t="shared" si="53"/>
        <v>50092.516468854628</v>
      </c>
      <c r="AG19" s="5">
        <f t="shared" si="53"/>
        <v>51094.36679823172</v>
      </c>
      <c r="AH19" s="5">
        <f t="shared" si="53"/>
        <v>52116.254134196359</v>
      </c>
      <c r="AI19" s="5">
        <f t="shared" si="53"/>
        <v>53158.579216880287</v>
      </c>
      <c r="AJ19" s="5">
        <f t="shared" si="53"/>
        <v>54221.750801217895</v>
      </c>
      <c r="AK19" s="5">
        <f t="shared" si="53"/>
        <v>55306.185817242251</v>
      </c>
      <c r="AL19" s="5">
        <f t="shared" si="53"/>
        <v>56412.309533587097</v>
      </c>
      <c r="AM19" s="5">
        <f t="shared" si="53"/>
        <v>57540.55572425884</v>
      </c>
      <c r="AN19" s="5">
        <f t="shared" si="53"/>
        <v>58691.366838744019</v>
      </c>
      <c r="AO19" s="5">
        <f t="shared" si="53"/>
        <v>59865.194175518904</v>
      </c>
      <c r="AP19" s="5">
        <f t="shared" si="53"/>
        <v>61062.498059029283</v>
      </c>
      <c r="AQ19" s="5">
        <f t="shared" si="53"/>
        <v>62283.748020209867</v>
      </c>
      <c r="AR19" s="5">
        <f t="shared" si="53"/>
        <v>63529.422980614065</v>
      </c>
      <c r="AS19" s="5">
        <f t="shared" si="53"/>
        <v>64800.01144022635</v>
      </c>
      <c r="AT19" s="5">
        <f t="shared" si="53"/>
        <v>66096.011669030879</v>
      </c>
      <c r="AU19" s="5">
        <f t="shared" si="53"/>
        <v>67417.931902411496</v>
      </c>
      <c r="AV19" s="5">
        <f t="shared" si="53"/>
        <v>68766.290540459726</v>
      </c>
      <c r="AW19" s="5">
        <f t="shared" si="53"/>
        <v>70141.616351268924</v>
      </c>
      <c r="AX19" s="5">
        <f t="shared" si="53"/>
        <v>71544.448678294299</v>
      </c>
      <c r="AY19" s="5">
        <f t="shared" si="53"/>
        <v>72975.337651860187</v>
      </c>
      <c r="AZ19" s="5">
        <f t="shared" si="53"/>
        <v>74434.844404897391</v>
      </c>
      <c r="BA19" s="5">
        <f t="shared" si="53"/>
        <v>75923.541292995345</v>
      </c>
      <c r="BB19" s="5">
        <f t="shared" si="53"/>
        <v>77442.012118855258</v>
      </c>
      <c r="BC19" s="5">
        <f t="shared" si="53"/>
        <v>78990.852361232362</v>
      </c>
      <c r="BD19" s="5">
        <f t="shared" si="53"/>
        <v>80570.669408457004</v>
      </c>
      <c r="BE19" s="5">
        <f t="shared" si="53"/>
        <v>82182.082796626142</v>
      </c>
      <c r="BF19" s="5">
        <f t="shared" si="53"/>
        <v>83825.724452558672</v>
      </c>
      <c r="BG19" s="5">
        <f t="shared" si="53"/>
        <v>85502.238941609845</v>
      </c>
      <c r="BH19" s="5">
        <f t="shared" si="53"/>
        <v>87212.28372044205</v>
      </c>
      <c r="BI19" s="5">
        <f t="shared" si="53"/>
        <v>88956.529394850892</v>
      </c>
      <c r="BJ19" s="5">
        <f t="shared" si="53"/>
        <v>90735.659982747908</v>
      </c>
      <c r="BK19" s="5">
        <f t="shared" si="53"/>
        <v>92550.373182402865</v>
      </c>
      <c r="BL19" s="5">
        <f t="shared" si="53"/>
        <v>94401.380646050922</v>
      </c>
      <c r="BM19" s="5">
        <f t="shared" si="53"/>
        <v>96289.408258971947</v>
      </c>
      <c r="BN19" s="5">
        <f t="shared" si="53"/>
        <v>98215.196424151392</v>
      </c>
      <c r="BO19" s="5">
        <f t="shared" si="53"/>
        <v>100179.50035263442</v>
      </c>
      <c r="BP19" s="5">
        <f t="shared" si="53"/>
        <v>102183.09035968711</v>
      </c>
      <c r="BQ19" s="5">
        <f t="shared" si="53"/>
        <v>104226.75216688085</v>
      </c>
      <c r="BR19" s="5">
        <f t="shared" si="53"/>
        <v>106311.28721021846</v>
      </c>
      <c r="BS19" s="5">
        <f t="shared" si="53"/>
        <v>108437.51295442284</v>
      </c>
      <c r="BT19" s="5">
        <f t="shared" si="53"/>
        <v>110606.26321351129</v>
      </c>
      <c r="BU19" s="5">
        <f t="shared" si="53"/>
        <v>112818.38847778153</v>
      </c>
      <c r="BV19" s="5">
        <f t="shared" si="53"/>
        <v>115074.75624733715</v>
      </c>
      <c r="BW19" s="5">
        <f t="shared" si="53"/>
        <v>117376.25137228389</v>
      </c>
      <c r="BX19" s="5">
        <f t="shared" si="53"/>
        <v>119723.77639972957</v>
      </c>
      <c r="BY19" s="5">
        <f t="shared" si="53"/>
        <v>122118.25192772417</v>
      </c>
      <c r="BZ19" s="5">
        <f t="shared" si="53"/>
        <v>124560.61696627866</v>
      </c>
      <c r="CA19" s="5">
        <f t="shared" si="53"/>
        <v>127051.82930560423</v>
      </c>
      <c r="CB19" s="5">
        <f t="shared" si="53"/>
        <v>129592.86589171631</v>
      </c>
      <c r="CC19" s="5">
        <f t="shared" si="53"/>
        <v>132184.72320955063</v>
      </c>
      <c r="CD19" s="5">
        <f t="shared" ref="CD19:DC19" si="54">+CC19*(1+$S28)</f>
        <v>134828.41767374164</v>
      </c>
      <c r="CE19" s="5">
        <f t="shared" si="54"/>
        <v>137524.98602721648</v>
      </c>
      <c r="CF19" s="5">
        <f t="shared" si="54"/>
        <v>140275.4857477608</v>
      </c>
      <c r="CG19" s="5">
        <f t="shared" si="54"/>
        <v>143080.99546271603</v>
      </c>
      <c r="CH19" s="5">
        <f t="shared" si="54"/>
        <v>145942.61537197034</v>
      </c>
      <c r="CI19" s="5">
        <f t="shared" si="54"/>
        <v>148861.46767940975</v>
      </c>
      <c r="CJ19" s="5">
        <f t="shared" si="54"/>
        <v>151838.69703299794</v>
      </c>
      <c r="CK19" s="5">
        <f t="shared" si="54"/>
        <v>154875.47097365791</v>
      </c>
      <c r="CL19" s="5">
        <f t="shared" si="54"/>
        <v>157972.98039313106</v>
      </c>
      <c r="CM19" s="5">
        <f t="shared" si="54"/>
        <v>161132.44000099369</v>
      </c>
      <c r="CN19" s="5">
        <f t="shared" si="54"/>
        <v>164355.08880101357</v>
      </c>
      <c r="CO19" s="5">
        <f t="shared" si="54"/>
        <v>167642.19057703385</v>
      </c>
      <c r="CP19" s="5">
        <f t="shared" si="54"/>
        <v>170995.03438857454</v>
      </c>
      <c r="CQ19" s="5">
        <f t="shared" si="54"/>
        <v>174414.93507634604</v>
      </c>
      <c r="CR19" s="5">
        <f t="shared" si="54"/>
        <v>177903.23377787296</v>
      </c>
      <c r="CS19" s="5">
        <f t="shared" si="54"/>
        <v>181461.29845343041</v>
      </c>
      <c r="CT19" s="5">
        <f t="shared" si="54"/>
        <v>185090.52442249903</v>
      </c>
      <c r="CU19" s="5">
        <f t="shared" si="54"/>
        <v>188792.33491094902</v>
      </c>
      <c r="CV19" s="5">
        <f t="shared" si="54"/>
        <v>192568.18160916801</v>
      </c>
      <c r="CW19" s="5">
        <f t="shared" si="54"/>
        <v>196419.54524135138</v>
      </c>
      <c r="CX19" s="5">
        <f t="shared" si="54"/>
        <v>200347.93614617843</v>
      </c>
      <c r="CY19" s="5">
        <f t="shared" si="54"/>
        <v>204354.89486910199</v>
      </c>
      <c r="CZ19" s="5">
        <f t="shared" si="54"/>
        <v>208441.99276648404</v>
      </c>
      <c r="DA19" s="5">
        <f t="shared" si="54"/>
        <v>212610.83262181372</v>
      </c>
      <c r="DB19" s="5">
        <f t="shared" si="54"/>
        <v>216863.04927424999</v>
      </c>
      <c r="DC19" s="5">
        <f t="shared" si="54"/>
        <v>221200.31025973501</v>
      </c>
    </row>
    <row r="20" spans="2:107" s="3" customFormat="1" x14ac:dyDescent="0.25">
      <c r="B20" s="3" t="s">
        <v>31</v>
      </c>
      <c r="E20" s="3">
        <f>+E19/E21</f>
        <v>0.93769230769230771</v>
      </c>
      <c r="F20" s="3">
        <f t="shared" ref="F20:P20" si="55">+F19/F21</f>
        <v>1.7790490384615385</v>
      </c>
      <c r="G20" s="3">
        <f t="shared" si="55"/>
        <v>2.5965197007692304</v>
      </c>
      <c r="H20" s="3">
        <f t="shared" si="55"/>
        <v>3.686512691984615</v>
      </c>
      <c r="I20" s="3">
        <f t="shared" si="55"/>
        <v>4.5217368243644094</v>
      </c>
      <c r="J20" s="3">
        <f t="shared" si="55"/>
        <v>4.9336035014639181</v>
      </c>
      <c r="K20" s="3">
        <f t="shared" si="55"/>
        <v>5.2373744214231825</v>
      </c>
      <c r="L20" s="3">
        <f t="shared" si="55"/>
        <v>5.5573890512106967</v>
      </c>
      <c r="M20" s="3">
        <f t="shared" si="55"/>
        <v>5.8944835886211715</v>
      </c>
      <c r="N20" s="3">
        <f t="shared" si="55"/>
        <v>6.2495359554972616</v>
      </c>
      <c r="O20" s="3">
        <f t="shared" si="55"/>
        <v>6.6234678514997887</v>
      </c>
      <c r="P20" s="3">
        <f t="shared" si="55"/>
        <v>7.0172469077208639</v>
      </c>
    </row>
    <row r="21" spans="2:107" s="1" customFormat="1" x14ac:dyDescent="0.25">
      <c r="B21" s="1" t="s">
        <v>30</v>
      </c>
      <c r="E21" s="1">
        <v>5200</v>
      </c>
      <c r="F21" s="1">
        <v>5200</v>
      </c>
      <c r="G21" s="1">
        <v>5200</v>
      </c>
      <c r="H21" s="1">
        <v>5200</v>
      </c>
      <c r="I21" s="1">
        <v>5200</v>
      </c>
      <c r="J21" s="1">
        <v>5200</v>
      </c>
      <c r="K21" s="1">
        <v>5200</v>
      </c>
      <c r="L21" s="1">
        <v>5200</v>
      </c>
      <c r="M21" s="1">
        <v>5200</v>
      </c>
      <c r="N21" s="1">
        <v>5200</v>
      </c>
      <c r="O21" s="1">
        <v>5200</v>
      </c>
      <c r="P21" s="1">
        <v>5200</v>
      </c>
    </row>
    <row r="22" spans="2:107" s="1" customFormat="1" x14ac:dyDescent="0.25"/>
    <row r="23" spans="2:107" s="2" customFormat="1" x14ac:dyDescent="0.25">
      <c r="B23" s="2" t="s">
        <v>15</v>
      </c>
      <c r="D23" s="2">
        <f>+D8/D5</f>
        <v>0.39839509086617891</v>
      </c>
      <c r="E23" s="2">
        <f>+E8/E5</f>
        <v>0.48702498979763303</v>
      </c>
      <c r="F23" s="4">
        <f>+F8/F5</f>
        <v>0.52</v>
      </c>
      <c r="G23" s="2">
        <f t="shared" ref="G23:P23" si="56">+G8/G5</f>
        <v>0.51333333333333331</v>
      </c>
      <c r="H23" s="2">
        <f t="shared" si="56"/>
        <v>0.5083333333333333</v>
      </c>
      <c r="I23" s="2">
        <f t="shared" si="56"/>
        <v>0.50714285714285712</v>
      </c>
      <c r="J23" s="2">
        <f t="shared" si="56"/>
        <v>0.50666666666666671</v>
      </c>
      <c r="K23" s="2">
        <f t="shared" si="56"/>
        <v>0.50634920634920633</v>
      </c>
      <c r="L23" s="2">
        <f t="shared" si="56"/>
        <v>0.50604686318972036</v>
      </c>
      <c r="M23" s="2">
        <f t="shared" si="56"/>
        <v>0.50575891732354317</v>
      </c>
      <c r="N23" s="2">
        <f t="shared" si="56"/>
        <v>0.50548468316527917</v>
      </c>
      <c r="O23" s="2">
        <f t="shared" si="56"/>
        <v>0.50522350777645642</v>
      </c>
      <c r="P23" s="2">
        <f t="shared" si="56"/>
        <v>0.5049747693109109</v>
      </c>
    </row>
    <row r="24" spans="2:107" s="2" customFormat="1" x14ac:dyDescent="0.25">
      <c r="B24" s="2" t="s">
        <v>16</v>
      </c>
      <c r="D24" s="2">
        <f>+D12/D5</f>
        <v>-3.7736343849159519E-2</v>
      </c>
      <c r="E24" s="2">
        <f>+E12/E5</f>
        <v>0.17766521833065271</v>
      </c>
      <c r="F24" s="4">
        <f>+F12/F5</f>
        <v>0.26986399999999999</v>
      </c>
      <c r="G24" s="2">
        <f t="shared" ref="G24:P24" si="57">+G12/G5</f>
        <v>0.2838984533333333</v>
      </c>
      <c r="H24" s="2">
        <f t="shared" si="57"/>
        <v>0.24778521066666664</v>
      </c>
      <c r="I24" s="2">
        <f t="shared" si="57"/>
        <v>0.25856508664380945</v>
      </c>
      <c r="J24" s="2">
        <f t="shared" si="57"/>
        <v>0.2625239241323073</v>
      </c>
      <c r="K24" s="2">
        <f t="shared" si="57"/>
        <v>0.26488542843621293</v>
      </c>
      <c r="L24" s="2">
        <f t="shared" si="57"/>
        <v>0.2671910935457843</v>
      </c>
      <c r="M24" s="2">
        <f t="shared" si="57"/>
        <v>0.2694418207335027</v>
      </c>
      <c r="N24" s="2">
        <f t="shared" si="57"/>
        <v>0.27163850630214137</v>
      </c>
      <c r="O24" s="2">
        <f t="shared" si="57"/>
        <v>0.27378204088072333</v>
      </c>
      <c r="P24" s="2">
        <f t="shared" si="57"/>
        <v>0.27587330877604982</v>
      </c>
    </row>
    <row r="25" spans="2:107" s="2" customFormat="1" x14ac:dyDescent="0.25">
      <c r="B25" s="2" t="s">
        <v>17</v>
      </c>
      <c r="D25" s="2">
        <f>+D19/D5</f>
        <v>-0.23942516980043532</v>
      </c>
      <c r="E25" s="2">
        <f>+E19/E5</f>
        <v>0.11705115586816141</v>
      </c>
      <c r="F25" s="4">
        <f>+F19/F5</f>
        <v>0.18502109999999999</v>
      </c>
      <c r="G25" s="2">
        <f t="shared" ref="G25:P25" si="58">+G19/G5</f>
        <v>0.18002536591999999</v>
      </c>
      <c r="H25" s="2">
        <f t="shared" si="58"/>
        <v>0.15974888331933332</v>
      </c>
      <c r="I25" s="2">
        <f t="shared" si="58"/>
        <v>0.16795022490496375</v>
      </c>
      <c r="J25" s="2">
        <f t="shared" si="58"/>
        <v>0.17103158805074914</v>
      </c>
      <c r="K25" s="2">
        <f t="shared" si="58"/>
        <v>0.1729164888342892</v>
      </c>
      <c r="L25" s="2">
        <f t="shared" si="58"/>
        <v>0.17474481068054801</v>
      </c>
      <c r="M25" s="2">
        <f t="shared" si="58"/>
        <v>0.17651838698962727</v>
      </c>
      <c r="N25" s="2">
        <f t="shared" si="58"/>
        <v>0.17823896815879947</v>
      </c>
      <c r="O25" s="2">
        <f t="shared" si="58"/>
        <v>0.17990822631297396</v>
      </c>
      <c r="P25" s="2">
        <f t="shared" si="58"/>
        <v>0.18152775973079185</v>
      </c>
    </row>
    <row r="26" spans="2:107" s="1" customFormat="1" x14ac:dyDescent="0.25">
      <c r="B26" s="1" t="s">
        <v>18</v>
      </c>
      <c r="E26" s="2">
        <f>+E5/D5 -1</f>
        <v>9.2413395221986105E-2</v>
      </c>
      <c r="F26" s="4">
        <f>+F5/E5 -1</f>
        <v>0.20027846460378806</v>
      </c>
      <c r="G26" s="2">
        <f t="shared" ref="G26:P26" si="59">+G5/F5 -1</f>
        <v>0.5</v>
      </c>
      <c r="H26" s="2">
        <f t="shared" si="59"/>
        <v>0.60000000000000009</v>
      </c>
      <c r="I26" s="2">
        <f t="shared" si="59"/>
        <v>0.16666666666666674</v>
      </c>
      <c r="J26" s="2">
        <f t="shared" si="59"/>
        <v>7.1428571428571397E-2</v>
      </c>
      <c r="K26" s="2">
        <f t="shared" si="59"/>
        <v>5.0000000000000044E-2</v>
      </c>
      <c r="L26" s="2">
        <f t="shared" si="59"/>
        <v>5.0000000000000044E-2</v>
      </c>
      <c r="M26" s="2">
        <f t="shared" si="59"/>
        <v>5.0000000000000044E-2</v>
      </c>
      <c r="N26" s="2">
        <f t="shared" si="59"/>
        <v>5.0000000000000044E-2</v>
      </c>
      <c r="O26" s="2">
        <f t="shared" si="59"/>
        <v>5.0000000000000044E-2</v>
      </c>
      <c r="P26" s="2">
        <f t="shared" si="59"/>
        <v>5.0000000000000044E-2</v>
      </c>
    </row>
    <row r="27" spans="2:107" s="2" customFormat="1" x14ac:dyDescent="0.25">
      <c r="B27" s="2" t="s">
        <v>4</v>
      </c>
      <c r="D27" s="2">
        <f>+D9/D5</f>
        <v>0.26433797498229877</v>
      </c>
      <c r="E27" s="2">
        <f>+E9/E5</f>
        <v>0.22942122572436804</v>
      </c>
      <c r="F27" s="4">
        <f t="shared" ref="F27:P27" si="60">+F9/F5</f>
        <v>0.2</v>
      </c>
      <c r="G27" s="2">
        <f t="shared" si="60"/>
        <v>0.16666666666666666</v>
      </c>
      <c r="H27" s="2">
        <f t="shared" si="60"/>
        <v>0.13541666666666666</v>
      </c>
      <c r="I27" s="2">
        <f t="shared" si="60"/>
        <v>0.12574404761904762</v>
      </c>
      <c r="J27" s="2">
        <f t="shared" si="60"/>
        <v>0.12155257936507936</v>
      </c>
      <c r="K27" s="2">
        <f t="shared" si="60"/>
        <v>0.11865847033257747</v>
      </c>
      <c r="L27" s="2">
        <f t="shared" si="60"/>
        <v>0.11583326865799227</v>
      </c>
      <c r="M27" s="2">
        <f t="shared" si="60"/>
        <v>0.11307533368994484</v>
      </c>
      <c r="N27" s="2">
        <f t="shared" si="60"/>
        <v>0.11038306384018423</v>
      </c>
      <c r="O27" s="2">
        <f t="shared" si="60"/>
        <v>0.10775489565351318</v>
      </c>
      <c r="P27" s="2">
        <f t="shared" si="60"/>
        <v>0.10518930289985809</v>
      </c>
      <c r="R27" s="2" t="s">
        <v>25</v>
      </c>
      <c r="S27" s="2">
        <v>0.1</v>
      </c>
    </row>
    <row r="28" spans="2:107" s="2" customFormat="1" x14ac:dyDescent="0.25">
      <c r="B28" s="2" t="s">
        <v>22</v>
      </c>
      <c r="D28" s="2">
        <f>+D10/D5</f>
        <v>0.2036294023549157</v>
      </c>
      <c r="E28" s="2">
        <f>+E10/E5</f>
        <v>0.13198261996783253</v>
      </c>
      <c r="F28" s="4">
        <f t="shared" ref="F28:P28" si="61">+F10/F5</f>
        <v>0.1</v>
      </c>
      <c r="G28" s="2">
        <f t="shared" si="61"/>
        <v>0.1</v>
      </c>
      <c r="H28" s="2">
        <f t="shared" si="61"/>
        <v>0.1</v>
      </c>
      <c r="I28" s="2">
        <f t="shared" si="61"/>
        <v>0.1</v>
      </c>
      <c r="J28" s="2">
        <f t="shared" si="61"/>
        <v>0.1</v>
      </c>
      <c r="K28" s="2">
        <f t="shared" si="61"/>
        <v>0.1</v>
      </c>
      <c r="L28" s="2">
        <f t="shared" si="61"/>
        <v>0.1</v>
      </c>
      <c r="M28" s="2">
        <f t="shared" si="61"/>
        <v>0.1</v>
      </c>
      <c r="N28" s="2">
        <f t="shared" si="61"/>
        <v>0.1</v>
      </c>
      <c r="O28" s="2">
        <f t="shared" si="61"/>
        <v>0.1</v>
      </c>
      <c r="P28" s="2">
        <f t="shared" si="61"/>
        <v>0.1</v>
      </c>
      <c r="R28" s="2" t="s">
        <v>26</v>
      </c>
      <c r="S28" s="2">
        <v>0.02</v>
      </c>
    </row>
    <row r="29" spans="2:107" s="1" customFormat="1" x14ac:dyDescent="0.25">
      <c r="R29" s="1" t="s">
        <v>27</v>
      </c>
      <c r="S29" s="1">
        <f>NPV(S27,F19:DC19)</f>
        <v>313208.46092163475</v>
      </c>
    </row>
    <row r="30" spans="2:107" s="1" customFormat="1" x14ac:dyDescent="0.25">
      <c r="B30" s="1" t="s">
        <v>19</v>
      </c>
      <c r="D30" s="1">
        <v>4683</v>
      </c>
      <c r="E30" s="1">
        <v>2027</v>
      </c>
      <c r="R30" s="1" t="s">
        <v>28</v>
      </c>
      <c r="S30" s="1">
        <f>+F34-F35</f>
        <v>1770</v>
      </c>
    </row>
    <row r="31" spans="2:107" s="1" customFormat="1" x14ac:dyDescent="0.25">
      <c r="B31" s="1" t="s">
        <v>20</v>
      </c>
      <c r="D31" s="1">
        <v>326</v>
      </c>
      <c r="E31" s="1">
        <v>1074</v>
      </c>
      <c r="R31" s="1" t="s">
        <v>29</v>
      </c>
      <c r="S31" s="1">
        <f>+S29+S30</f>
        <v>314978.46092163475</v>
      </c>
    </row>
    <row r="32" spans="2:107" s="1" customFormat="1" x14ac:dyDescent="0.25">
      <c r="B32" s="1" t="s">
        <v>21</v>
      </c>
      <c r="D32" s="1">
        <f>+D30-D31</f>
        <v>4357</v>
      </c>
      <c r="E32" s="1">
        <f>+E30-E31</f>
        <v>953</v>
      </c>
      <c r="R32" s="1" t="s">
        <v>32</v>
      </c>
      <c r="S32" s="1">
        <f>+S31/P21</f>
        <v>60.572780946468221</v>
      </c>
    </row>
    <row r="33" spans="2:6" s="1" customFormat="1" x14ac:dyDescent="0.25"/>
    <row r="34" spans="2:6" s="1" customFormat="1" x14ac:dyDescent="0.25">
      <c r="B34" s="1" t="s">
        <v>23</v>
      </c>
      <c r="D34" s="1">
        <v>5719</v>
      </c>
      <c r="E34" s="1">
        <v>8164</v>
      </c>
      <c r="F34" s="1">
        <v>6270</v>
      </c>
    </row>
    <row r="35" spans="2:6" s="1" customFormat="1" x14ac:dyDescent="0.25">
      <c r="B35" s="1" t="s">
        <v>24</v>
      </c>
      <c r="E35" s="1">
        <f>531</f>
        <v>531</v>
      </c>
      <c r="F35" s="1">
        <v>4500</v>
      </c>
    </row>
    <row r="36" spans="2:6" s="1" customFormat="1" x14ac:dyDescent="0.25"/>
    <row r="37" spans="2:6" s="1" customFormat="1" x14ac:dyDescent="0.25"/>
    <row r="38" spans="2:6" s="1" customFormat="1" x14ac:dyDescent="0.25"/>
    <row r="39" spans="2:6" s="1" customFormat="1" x14ac:dyDescent="0.25"/>
    <row r="40" spans="2:6" s="1" customFormat="1" x14ac:dyDescent="0.25"/>
    <row r="41" spans="2:6" s="1" customFormat="1" x14ac:dyDescent="0.25"/>
    <row r="42" spans="2:6" s="1" customFormat="1" x14ac:dyDescent="0.25"/>
    <row r="43" spans="2:6" s="1" customFormat="1" x14ac:dyDescent="0.25"/>
    <row r="44" spans="2:6" s="1" customFormat="1" x14ac:dyDescent="0.25"/>
    <row r="45" spans="2:6" s="1" customFormat="1" x14ac:dyDescent="0.25"/>
    <row r="46" spans="2:6" s="1" customFormat="1" x14ac:dyDescent="0.25"/>
    <row r="47" spans="2:6" s="1" customFormat="1" x14ac:dyDescent="0.25"/>
    <row r="48" spans="2:6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2025-11-28T18:15:52Z</dcterms:created>
  <dcterms:modified xsi:type="dcterms:W3CDTF">2026-02-05T17:41:02Z</dcterms:modified>
</cp:coreProperties>
</file>