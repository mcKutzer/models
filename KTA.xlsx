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1C41AFB9-416A-4D2B-A7B6-9EF9D7C705C4}" xr6:coauthVersionLast="47" xr6:coauthVersionMax="47" xr10:uidLastSave="{00000000-0000-0000-0000-000000000000}"/>
  <bookViews>
    <workbookView xWindow="-15225" yWindow="2400" windowWidth="6585" windowHeight="9135" xr2:uid="{A9CFCFB4-5A5C-4D89-8105-7FD4DC85B4E8}"/>
  </bookViews>
  <sheets>
    <sheet name="Sheet1" sheetId="1" r:id="rId1"/>
  </sheets>
  <definedNames>
    <definedName name="TR">Sheet1!$Z$40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1" i="1" l="1"/>
  <c r="N61" i="1"/>
  <c r="M60" i="1"/>
  <c r="N60" i="1"/>
  <c r="M55" i="1"/>
  <c r="N55" i="1"/>
  <c r="M54" i="1"/>
  <c r="M57" i="1" s="1"/>
  <c r="N54" i="1"/>
  <c r="N57" i="1" s="1"/>
  <c r="N58" i="1" s="1"/>
  <c r="T44" i="1"/>
  <c r="O32" i="1"/>
  <c r="P32" i="1" s="1"/>
  <c r="Q32" i="1" s="1"/>
  <c r="R32" i="1" s="1"/>
  <c r="S32" i="1" s="1"/>
  <c r="T32" i="1" s="1"/>
  <c r="U32" i="1" s="1"/>
  <c r="V32" i="1" s="1"/>
  <c r="W32" i="1" s="1"/>
  <c r="O31" i="1"/>
  <c r="P31" i="1" s="1"/>
  <c r="Q31" i="1" s="1"/>
  <c r="R31" i="1" s="1"/>
  <c r="S31" i="1" s="1"/>
  <c r="T31" i="1" s="1"/>
  <c r="U31" i="1" s="1"/>
  <c r="V31" i="1" s="1"/>
  <c r="W31" i="1" s="1"/>
  <c r="P29" i="1"/>
  <c r="Q29" i="1"/>
  <c r="R29" i="1"/>
  <c r="S29" i="1"/>
  <c r="T29" i="1"/>
  <c r="O29" i="1"/>
  <c r="O28" i="1"/>
  <c r="P28" i="1" s="1"/>
  <c r="Q28" i="1" s="1"/>
  <c r="R28" i="1" s="1"/>
  <c r="S28" i="1" s="1"/>
  <c r="T28" i="1" s="1"/>
  <c r="U28" i="1" s="1"/>
  <c r="V28" i="1" s="1"/>
  <c r="W28" i="1" s="1"/>
  <c r="O27" i="1"/>
  <c r="P27" i="1" s="1"/>
  <c r="Q27" i="1" s="1"/>
  <c r="P26" i="1"/>
  <c r="Q26" i="1"/>
  <c r="R26" i="1"/>
  <c r="S26" i="1"/>
  <c r="T26" i="1"/>
  <c r="O26" i="1"/>
  <c r="T24" i="1"/>
  <c r="U24" i="1" s="1"/>
  <c r="S44" i="1"/>
  <c r="R44" i="1"/>
  <c r="Q44" i="1"/>
  <c r="P44" i="1"/>
  <c r="O44" i="1"/>
  <c r="F44" i="1"/>
  <c r="G44" i="1"/>
  <c r="H44" i="1"/>
  <c r="I44" i="1"/>
  <c r="J44" i="1"/>
  <c r="K44" i="1"/>
  <c r="L44" i="1"/>
  <c r="M44" i="1"/>
  <c r="N44" i="1"/>
  <c r="N39" i="1"/>
  <c r="N43" i="1"/>
  <c r="N42" i="1"/>
  <c r="N37" i="1"/>
  <c r="H17" i="1"/>
  <c r="I17" i="1"/>
  <c r="J17" i="1"/>
  <c r="K17" i="1"/>
  <c r="L17" i="1"/>
  <c r="E16" i="1"/>
  <c r="E17" i="1" s="1"/>
  <c r="F16" i="1"/>
  <c r="F17" i="1" s="1"/>
  <c r="G16" i="1"/>
  <c r="G17" i="1" s="1"/>
  <c r="H16" i="1"/>
  <c r="I16" i="1"/>
  <c r="J16" i="1"/>
  <c r="K16" i="1"/>
  <c r="L16" i="1"/>
  <c r="M16" i="1"/>
  <c r="M17" i="1" s="1"/>
  <c r="N16" i="1"/>
  <c r="N17" i="1" s="1"/>
  <c r="N22" i="1"/>
  <c r="N21" i="1"/>
  <c r="M22" i="1"/>
  <c r="M21" i="1"/>
  <c r="N25" i="1"/>
  <c r="N30" i="1" s="1"/>
  <c r="N33" i="1" s="1"/>
  <c r="N35" i="1" s="1"/>
  <c r="N40" i="1" s="1"/>
  <c r="M25" i="1"/>
  <c r="M30" i="1" s="1"/>
  <c r="M33" i="1" s="1"/>
  <c r="M35" i="1" s="1"/>
  <c r="M40" i="1" s="1"/>
  <c r="O2" i="1"/>
  <c r="P2" i="1" s="1"/>
  <c r="Q2" i="1" s="1"/>
  <c r="R2" i="1" s="1"/>
  <c r="S2" i="1" s="1"/>
  <c r="T2" i="1" s="1"/>
  <c r="U2" i="1" s="1"/>
  <c r="V2" i="1" s="1"/>
  <c r="W2" i="1" s="1"/>
  <c r="M2" i="1"/>
  <c r="L2" i="1" s="1"/>
  <c r="K2" i="1" s="1"/>
  <c r="J2" i="1" s="1"/>
  <c r="I2" i="1" s="1"/>
  <c r="H2" i="1" s="1"/>
  <c r="G2" i="1" s="1"/>
  <c r="F2" i="1" s="1"/>
  <c r="E2" i="1" s="1"/>
  <c r="V24" i="1" l="1"/>
  <c r="U29" i="1"/>
  <c r="U26" i="1"/>
  <c r="U44" i="1"/>
  <c r="Z42" i="1"/>
  <c r="M39" i="1"/>
  <c r="O30" i="1"/>
  <c r="O33" i="1" s="1"/>
  <c r="R27" i="1"/>
  <c r="Q30" i="1"/>
  <c r="P30" i="1"/>
  <c r="O16" i="1"/>
  <c r="O39" i="1" l="1"/>
  <c r="O35" i="1"/>
  <c r="O34" i="1"/>
  <c r="P16" i="1"/>
  <c r="O17" i="1"/>
  <c r="W24" i="1"/>
  <c r="V44" i="1"/>
  <c r="V29" i="1"/>
  <c r="V26" i="1"/>
  <c r="P33" i="1"/>
  <c r="P39" i="1"/>
  <c r="Q33" i="1"/>
  <c r="Q39" i="1"/>
  <c r="R30" i="1"/>
  <c r="S27" i="1"/>
  <c r="P34" i="1" l="1"/>
  <c r="P35" i="1" s="1"/>
  <c r="W26" i="1"/>
  <c r="W44" i="1"/>
  <c r="W29" i="1"/>
  <c r="Q16" i="1"/>
  <c r="P17" i="1"/>
  <c r="Q35" i="1"/>
  <c r="Q34" i="1"/>
  <c r="O40" i="1"/>
  <c r="O37" i="1"/>
  <c r="R33" i="1"/>
  <c r="R39" i="1"/>
  <c r="S30" i="1"/>
  <c r="T27" i="1"/>
  <c r="P40" i="1" l="1"/>
  <c r="P37" i="1"/>
  <c r="R16" i="1"/>
  <c r="Q17" i="1"/>
  <c r="Q40" i="1"/>
  <c r="Q37" i="1"/>
  <c r="R34" i="1"/>
  <c r="R35" i="1" s="1"/>
  <c r="S33" i="1"/>
  <c r="S39" i="1"/>
  <c r="U27" i="1"/>
  <c r="T30" i="1"/>
  <c r="R40" i="1" l="1"/>
  <c r="R37" i="1"/>
  <c r="S34" i="1"/>
  <c r="S35" i="1" s="1"/>
  <c r="S16" i="1"/>
  <c r="R17" i="1"/>
  <c r="T33" i="1"/>
  <c r="T39" i="1"/>
  <c r="V27" i="1"/>
  <c r="U30" i="1"/>
  <c r="S40" i="1" l="1"/>
  <c r="S37" i="1"/>
  <c r="T34" i="1"/>
  <c r="T35" i="1" s="1"/>
  <c r="T16" i="1"/>
  <c r="S17" i="1"/>
  <c r="U33" i="1"/>
  <c r="U39" i="1"/>
  <c r="W27" i="1"/>
  <c r="W30" i="1" s="1"/>
  <c r="V30" i="1"/>
  <c r="T40" i="1" l="1"/>
  <c r="T37" i="1"/>
  <c r="U34" i="1"/>
  <c r="U35" i="1" s="1"/>
  <c r="U16" i="1"/>
  <c r="T17" i="1"/>
  <c r="V33" i="1"/>
  <c r="V39" i="1"/>
  <c r="W33" i="1"/>
  <c r="W39" i="1"/>
  <c r="U40" i="1" l="1"/>
  <c r="U37" i="1"/>
  <c r="V34" i="1"/>
  <c r="V35" i="1" s="1"/>
  <c r="V16" i="1"/>
  <c r="U17" i="1"/>
  <c r="W34" i="1"/>
  <c r="W35" i="1" s="1"/>
  <c r="W40" i="1" l="1"/>
  <c r="W37" i="1"/>
  <c r="X35" i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Z41" i="1" s="1"/>
  <c r="Z43" i="1" s="1"/>
  <c r="Z44" i="1" s="1"/>
  <c r="Z46" i="1" s="1"/>
  <c r="V40" i="1"/>
  <c r="V37" i="1"/>
  <c r="W16" i="1"/>
  <c r="W17" i="1" s="1"/>
  <c r="V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19" authorId="0" shapeId="0" xr:uid="{43CBE445-CAEA-451F-A051-3F69AEC333CA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Knaus, Tabbert, Weinsberg, T@B
</t>
        </r>
      </text>
    </comment>
    <comment ref="B20" authorId="0" shapeId="0" xr:uid="{7F5682A4-C720-463B-A303-3897DDB281FE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Morelo, Rent and Travel</t>
        </r>
      </text>
    </comment>
  </commentList>
</comments>
</file>

<file path=xl/sharedStrings.xml><?xml version="1.0" encoding="utf-8"?>
<sst xmlns="http://schemas.openxmlformats.org/spreadsheetml/2006/main" count="51" uniqueCount="51">
  <si>
    <t>Revenue</t>
  </si>
  <si>
    <t>Other</t>
  </si>
  <si>
    <t>Materialaufwand</t>
  </si>
  <si>
    <t>Premium</t>
  </si>
  <si>
    <t>Luxury</t>
  </si>
  <si>
    <t>Personalaufwand</t>
  </si>
  <si>
    <t>D&amp;A</t>
  </si>
  <si>
    <t>Other Expenses</t>
  </si>
  <si>
    <t>Interest Income</t>
  </si>
  <si>
    <t>Interest Expense</t>
  </si>
  <si>
    <t>Pretax</t>
  </si>
  <si>
    <t>Taxes</t>
  </si>
  <si>
    <t>Net Income</t>
  </si>
  <si>
    <t>EBIT</t>
  </si>
  <si>
    <t>Share Premium</t>
  </si>
  <si>
    <t>Share Luxury</t>
  </si>
  <si>
    <t>Thor Indistries</t>
  </si>
  <si>
    <t>Winnebago</t>
  </si>
  <si>
    <t xml:space="preserve"> Therof Europe</t>
  </si>
  <si>
    <t>Trigano Group</t>
  </si>
  <si>
    <t>Hobby Wohnwag.</t>
  </si>
  <si>
    <t xml:space="preserve"> Therof Erwin Hymer</t>
  </si>
  <si>
    <t>Total Market</t>
  </si>
  <si>
    <t>KTA Share</t>
  </si>
  <si>
    <t>EBIT Margin</t>
  </si>
  <si>
    <t>Net Margin</t>
  </si>
  <si>
    <t>Shares</t>
  </si>
  <si>
    <t>EPS</t>
  </si>
  <si>
    <t>Premium Growth</t>
  </si>
  <si>
    <t>Luxury Growth</t>
  </si>
  <si>
    <t>Revenue Growth</t>
  </si>
  <si>
    <t>Discount</t>
  </si>
  <si>
    <t>Terminal</t>
  </si>
  <si>
    <t>NPV</t>
  </si>
  <si>
    <t>Net Cash</t>
  </si>
  <si>
    <t>Value</t>
  </si>
  <si>
    <t>Price</t>
  </si>
  <si>
    <t>CFFO</t>
  </si>
  <si>
    <t>CapEx</t>
  </si>
  <si>
    <t>FCF</t>
  </si>
  <si>
    <t>Cash</t>
  </si>
  <si>
    <t>Inventory</t>
  </si>
  <si>
    <t>PP&amp;E</t>
  </si>
  <si>
    <t>Debt</t>
  </si>
  <si>
    <t>Rückstellung</t>
  </si>
  <si>
    <t>NAV</t>
  </si>
  <si>
    <t>Book Gain</t>
  </si>
  <si>
    <t>Cost of Debt</t>
  </si>
  <si>
    <t>Cash Yield</t>
  </si>
  <si>
    <t>Current</t>
  </si>
  <si>
    <t>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</si>
</sst>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#,##0.00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9" fontId="0" fillId="0" borderId="0" xfId="1" applyFont="1"/>
    <xf numFmtId="3" fontId="0" fillId="0" borderId="0" xfId="1" applyNumberFormat="1" applyFont="1"/>
    <xf numFmtId="3" fontId="2" fillId="0" borderId="0" xfId="0" applyNumberFormat="1" applyFont="1"/>
    <xf numFmtId="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1" applyNumberFormat="1" applyFont="1"/>
    <xf numFmtId="8" fontId="0" fillId="0" borderId="0" xfId="0" applyNumberFormat="1"/>
    <xf numFmtId="2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8283</xdr:colOff>
      <xdr:row>18</xdr:row>
      <xdr:rowOff>0</xdr:rowOff>
    </xdr:from>
    <xdr:to>
      <xdr:col>14</xdr:col>
      <xdr:colOff>24848</xdr:colOff>
      <xdr:row>61</xdr:row>
      <xdr:rowOff>8283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69BC792-30D1-8134-E18C-F7F37639F701}"/>
            </a:ext>
          </a:extLst>
        </xdr:cNvPr>
        <xdr:cNvCxnSpPr/>
      </xdr:nvCxnSpPr>
      <xdr:spPr>
        <a:xfrm>
          <a:off x="9442174" y="3429000"/>
          <a:ext cx="16565" cy="81997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D6EB-3699-4D7C-A5A2-E56ADCE8DD97}">
  <dimension ref="B2:CB77"/>
  <sheetViews>
    <sheetView tabSelected="1" zoomScale="115" zoomScaleNormal="115" workbookViewId="0">
      <pane xSplit="2" ySplit="2" topLeftCell="Z35" activePane="bottomRight" state="frozen"/>
      <selection pane="topRight" activeCell="C1" sqref="C1"/>
      <selection pane="bottomLeft" activeCell="A3" sqref="A3"/>
      <selection pane="bottomRight" activeCell="AA45" sqref="AA45"/>
    </sheetView>
  </sheetViews>
  <sheetFormatPr defaultRowHeight="15" x14ac:dyDescent="0.25"/>
  <cols>
    <col min="1" max="1" width="2.85546875" customWidth="1"/>
    <col min="2" max="2" width="16.28515625" bestFit="1" customWidth="1"/>
    <col min="5" max="11" width="10" bestFit="1" customWidth="1"/>
    <col min="12" max="14" width="11.140625" bestFit="1" customWidth="1"/>
    <col min="15" max="19" width="10" bestFit="1" customWidth="1"/>
    <col min="20" max="23" width="11.140625" bestFit="1" customWidth="1"/>
    <col min="26" max="26" width="14.28515625" bestFit="1" customWidth="1"/>
  </cols>
  <sheetData>
    <row r="2" spans="2:23" x14ac:dyDescent="0.25">
      <c r="E2">
        <f t="shared" ref="E2:L2" si="0">+F2-1</f>
        <v>2014</v>
      </c>
      <c r="F2">
        <f t="shared" si="0"/>
        <v>2015</v>
      </c>
      <c r="G2">
        <f t="shared" si="0"/>
        <v>2016</v>
      </c>
      <c r="H2">
        <f t="shared" si="0"/>
        <v>2017</v>
      </c>
      <c r="I2">
        <f t="shared" si="0"/>
        <v>2018</v>
      </c>
      <c r="J2">
        <f t="shared" si="0"/>
        <v>2019</v>
      </c>
      <c r="K2">
        <f t="shared" si="0"/>
        <v>2020</v>
      </c>
      <c r="L2">
        <f t="shared" si="0"/>
        <v>2021</v>
      </c>
      <c r="M2">
        <f>+N2-1</f>
        <v>2022</v>
      </c>
      <c r="N2">
        <v>2023</v>
      </c>
      <c r="O2">
        <f>+N2+1</f>
        <v>2024</v>
      </c>
      <c r="P2">
        <f t="shared" ref="P2:W2" si="1">+O2+1</f>
        <v>2025</v>
      </c>
      <c r="Q2">
        <f t="shared" si="1"/>
        <v>2026</v>
      </c>
      <c r="R2">
        <f t="shared" si="1"/>
        <v>2027</v>
      </c>
      <c r="S2">
        <f t="shared" si="1"/>
        <v>2028</v>
      </c>
      <c r="T2">
        <f t="shared" si="1"/>
        <v>2029</v>
      </c>
      <c r="U2">
        <f t="shared" si="1"/>
        <v>2030</v>
      </c>
      <c r="V2">
        <f>+U2+1</f>
        <v>2031</v>
      </c>
      <c r="W2">
        <f t="shared" si="1"/>
        <v>2032</v>
      </c>
    </row>
    <row r="3" spans="2:23" s="1" customFormat="1" x14ac:dyDescent="0.25"/>
    <row r="4" spans="2:23" s="1" customFormat="1" x14ac:dyDescent="0.25"/>
    <row r="5" spans="2:23" s="1" customFormat="1" x14ac:dyDescent="0.25"/>
    <row r="6" spans="2:23" s="1" customFormat="1" x14ac:dyDescent="0.25"/>
    <row r="7" spans="2:23" s="1" customFormat="1" x14ac:dyDescent="0.25"/>
    <row r="8" spans="2:23" s="1" customFormat="1" x14ac:dyDescent="0.25"/>
    <row r="9" spans="2:23" s="1" customFormat="1" x14ac:dyDescent="0.25"/>
    <row r="10" spans="2:23" s="1" customFormat="1" x14ac:dyDescent="0.25">
      <c r="B10" s="1" t="s">
        <v>16</v>
      </c>
      <c r="E10" s="1">
        <v>3535000</v>
      </c>
      <c r="F10" s="1">
        <v>4017000</v>
      </c>
      <c r="G10" s="1">
        <v>4582000</v>
      </c>
      <c r="H10" s="1">
        <v>7246000</v>
      </c>
      <c r="I10" s="1">
        <v>8327000</v>
      </c>
      <c r="J10" s="1">
        <v>7862000</v>
      </c>
      <c r="K10" s="1">
        <v>8169000</v>
      </c>
      <c r="L10" s="1">
        <v>12317000</v>
      </c>
      <c r="M10" s="1">
        <v>16313000</v>
      </c>
      <c r="N10" s="1">
        <v>11122000</v>
      </c>
    </row>
    <row r="11" spans="2:23" s="1" customFormat="1" x14ac:dyDescent="0.25">
      <c r="B11" s="1" t="s">
        <v>21</v>
      </c>
      <c r="E11" s="1">
        <v>1150000</v>
      </c>
      <c r="F11" s="1">
        <v>1300000</v>
      </c>
      <c r="G11" s="1">
        <v>1400000</v>
      </c>
      <c r="H11" s="1">
        <v>1700000</v>
      </c>
      <c r="I11" s="1">
        <v>2300000</v>
      </c>
      <c r="J11" s="1">
        <v>2500000</v>
      </c>
      <c r="K11" s="1">
        <v>2800000</v>
      </c>
      <c r="L11" s="1">
        <v>3100000</v>
      </c>
      <c r="M11" s="1">
        <v>3200000</v>
      </c>
      <c r="N11" s="1">
        <v>3037000</v>
      </c>
    </row>
    <row r="12" spans="2:23" s="1" customFormat="1" x14ac:dyDescent="0.25">
      <c r="B12" s="1" t="s">
        <v>17</v>
      </c>
      <c r="E12" s="1">
        <v>945000</v>
      </c>
      <c r="F12" s="1">
        <v>976000</v>
      </c>
      <c r="G12" s="1">
        <v>1128000</v>
      </c>
      <c r="H12" s="1">
        <v>1547000</v>
      </c>
      <c r="I12" s="1">
        <v>2015000</v>
      </c>
      <c r="J12" s="1">
        <v>2429000</v>
      </c>
      <c r="K12" s="1">
        <v>2356000</v>
      </c>
      <c r="L12" s="1">
        <v>3627000</v>
      </c>
      <c r="M12" s="1">
        <v>4571000</v>
      </c>
      <c r="N12" s="1">
        <v>4323000</v>
      </c>
    </row>
    <row r="13" spans="2:23" s="1" customFormat="1" x14ac:dyDescent="0.25">
      <c r="B13" s="1" t="s">
        <v>18</v>
      </c>
      <c r="M13" s="1">
        <v>217000</v>
      </c>
      <c r="N13" s="1">
        <v>223000</v>
      </c>
    </row>
    <row r="14" spans="2:23" s="1" customFormat="1" x14ac:dyDescent="0.25">
      <c r="B14" s="1" t="s">
        <v>19</v>
      </c>
      <c r="E14" s="1">
        <v>1040000</v>
      </c>
      <c r="F14" s="1">
        <v>1133000</v>
      </c>
      <c r="G14" s="1">
        <v>1301000</v>
      </c>
      <c r="H14" s="1">
        <v>1707000</v>
      </c>
      <c r="I14" s="1">
        <v>2313000</v>
      </c>
      <c r="J14" s="1">
        <v>2326000</v>
      </c>
      <c r="K14" s="1">
        <v>2327000</v>
      </c>
      <c r="L14" s="1">
        <v>3005000</v>
      </c>
      <c r="M14" s="1">
        <v>3204000</v>
      </c>
      <c r="N14" s="1">
        <v>3527000</v>
      </c>
    </row>
    <row r="15" spans="2:23" s="1" customFormat="1" x14ac:dyDescent="0.25">
      <c r="B15" s="1" t="s">
        <v>20</v>
      </c>
      <c r="E15" s="1">
        <v>450000</v>
      </c>
      <c r="F15" s="1">
        <v>460000</v>
      </c>
      <c r="G15" s="1">
        <v>480000</v>
      </c>
      <c r="H15" s="1">
        <v>500000</v>
      </c>
      <c r="I15" s="1">
        <v>520000</v>
      </c>
      <c r="J15" s="1">
        <v>630000</v>
      </c>
      <c r="K15" s="1">
        <v>540000</v>
      </c>
      <c r="L15" s="1">
        <v>550000</v>
      </c>
      <c r="M15" s="1">
        <v>560000</v>
      </c>
      <c r="N15" s="1">
        <v>580000</v>
      </c>
    </row>
    <row r="16" spans="2:23" s="4" customFormat="1" x14ac:dyDescent="0.25">
      <c r="B16" s="4" t="s">
        <v>22</v>
      </c>
      <c r="E16" s="4">
        <f>+E15+E14+E13+E11</f>
        <v>2640000</v>
      </c>
      <c r="F16" s="4">
        <f t="shared" ref="F16:N16" si="2">+F15+F14+F13+F11</f>
        <v>2893000</v>
      </c>
      <c r="G16" s="4">
        <f t="shared" si="2"/>
        <v>3181000</v>
      </c>
      <c r="H16" s="4">
        <f t="shared" si="2"/>
        <v>3907000</v>
      </c>
      <c r="I16" s="4">
        <f t="shared" si="2"/>
        <v>5133000</v>
      </c>
      <c r="J16" s="4">
        <f t="shared" si="2"/>
        <v>5456000</v>
      </c>
      <c r="K16" s="4">
        <f t="shared" si="2"/>
        <v>5667000</v>
      </c>
      <c r="L16" s="4">
        <f t="shared" si="2"/>
        <v>6655000</v>
      </c>
      <c r="M16" s="4">
        <f t="shared" si="2"/>
        <v>7181000</v>
      </c>
      <c r="N16" s="4">
        <f t="shared" si="2"/>
        <v>7367000</v>
      </c>
      <c r="O16" s="4">
        <f>+N16*1.06</f>
        <v>7809020</v>
      </c>
      <c r="P16" s="4">
        <f t="shared" ref="P16:W16" si="3">+O16*1.06</f>
        <v>8277561.2000000002</v>
      </c>
      <c r="Q16" s="4">
        <f t="shared" si="3"/>
        <v>8774214.8720000014</v>
      </c>
      <c r="R16" s="4">
        <f t="shared" si="3"/>
        <v>9300667.764320001</v>
      </c>
      <c r="S16" s="4">
        <f t="shared" si="3"/>
        <v>9858707.8301792014</v>
      </c>
      <c r="T16" s="4">
        <f t="shared" si="3"/>
        <v>10450230.299989954</v>
      </c>
      <c r="U16" s="4">
        <f t="shared" si="3"/>
        <v>11077244.117989352</v>
      </c>
      <c r="V16" s="4">
        <f t="shared" si="3"/>
        <v>11741878.765068714</v>
      </c>
      <c r="W16" s="4">
        <f t="shared" si="3"/>
        <v>12446391.490972837</v>
      </c>
    </row>
    <row r="17" spans="2:23" s="2" customFormat="1" x14ac:dyDescent="0.25">
      <c r="B17" s="2" t="s">
        <v>23</v>
      </c>
      <c r="E17" s="2">
        <f>+E24/E16</f>
        <v>0.12613636363636363</v>
      </c>
      <c r="F17" s="2">
        <f t="shared" ref="F17:N17" si="4">+F24/F16</f>
        <v>0.11683373660559972</v>
      </c>
      <c r="G17" s="2">
        <f t="shared" si="4"/>
        <v>0.11222885884941843</v>
      </c>
      <c r="H17" s="2">
        <f t="shared" si="4"/>
        <v>0.10749936012285641</v>
      </c>
      <c r="I17" s="2">
        <f t="shared" si="4"/>
        <v>0.11533216442626144</v>
      </c>
      <c r="J17" s="2">
        <f t="shared" si="4"/>
        <v>0.14296187683284459</v>
      </c>
      <c r="K17" s="2">
        <f t="shared" si="4"/>
        <v>0.14028586553732134</v>
      </c>
      <c r="L17" s="2">
        <f t="shared" si="4"/>
        <v>0.12967693463561233</v>
      </c>
      <c r="M17" s="2">
        <f t="shared" si="4"/>
        <v>0.14615234646985101</v>
      </c>
      <c r="N17" s="2">
        <f t="shared" si="4"/>
        <v>0.1956047237681553</v>
      </c>
      <c r="O17" s="2">
        <f t="shared" ref="O17" si="5">+O24/O16</f>
        <v>0.19208556259300141</v>
      </c>
      <c r="P17" s="2">
        <f t="shared" ref="P17" si="6">+P24/P16</f>
        <v>0.20054215968829078</v>
      </c>
      <c r="Q17" s="2">
        <f t="shared" ref="Q17" si="7">+Q24/Q16</f>
        <v>0.20628626337565714</v>
      </c>
      <c r="R17" s="2">
        <f t="shared" ref="R17" si="8">+R24/R16</f>
        <v>0.21396313151128829</v>
      </c>
      <c r="S17" s="2">
        <f t="shared" ref="S17" si="9">+S24/S16</f>
        <v>0.21808131826551141</v>
      </c>
      <c r="T17" s="2">
        <f t="shared" ref="T17" si="10">+T24/T16</f>
        <v>0.21808131826551141</v>
      </c>
      <c r="U17" s="2">
        <f t="shared" ref="U17" si="11">+U24/U16</f>
        <v>0.21808131826551141</v>
      </c>
      <c r="V17" s="2">
        <f t="shared" ref="V17" si="12">+V24/V16</f>
        <v>0.21808131826551139</v>
      </c>
      <c r="W17" s="2">
        <f t="shared" ref="W17" si="13">+W24/W16</f>
        <v>0.21808131826551139</v>
      </c>
    </row>
    <row r="18" spans="2:23" s="1" customFormat="1" x14ac:dyDescent="0.25"/>
    <row r="19" spans="2:23" s="1" customFormat="1" x14ac:dyDescent="0.25">
      <c r="B19" s="1" t="s">
        <v>3</v>
      </c>
      <c r="M19" s="1">
        <v>918800</v>
      </c>
      <c r="N19" s="1">
        <v>1274300</v>
      </c>
    </row>
    <row r="20" spans="2:23" s="1" customFormat="1" x14ac:dyDescent="0.25">
      <c r="B20" s="1" t="s">
        <v>4</v>
      </c>
      <c r="M20" s="1">
        <v>130700</v>
      </c>
      <c r="N20" s="1">
        <v>166800</v>
      </c>
    </row>
    <row r="21" spans="2:23" s="2" customFormat="1" x14ac:dyDescent="0.25">
      <c r="B21" s="2" t="s">
        <v>14</v>
      </c>
      <c r="M21" s="2">
        <f>+M19/M24</f>
        <v>0.87544782376705543</v>
      </c>
      <c r="N21" s="2">
        <f>+N19/N24</f>
        <v>0.8843041734327074</v>
      </c>
    </row>
    <row r="22" spans="2:23" s="2" customFormat="1" x14ac:dyDescent="0.25">
      <c r="B22" s="2" t="s">
        <v>15</v>
      </c>
      <c r="M22" s="2">
        <f>+M20/M24</f>
        <v>0.12453311990243159</v>
      </c>
      <c r="N22" s="2">
        <f>+N20/N24</f>
        <v>0.11575134279885081</v>
      </c>
    </row>
    <row r="23" spans="2:23" s="3" customFormat="1" x14ac:dyDescent="0.25">
      <c r="M23" s="6"/>
      <c r="N23" s="6"/>
    </row>
    <row r="24" spans="2:23" s="4" customFormat="1" x14ac:dyDescent="0.25">
      <c r="B24" s="4" t="s">
        <v>0</v>
      </c>
      <c r="E24" s="4">
        <v>333000</v>
      </c>
      <c r="F24" s="4">
        <v>338000</v>
      </c>
      <c r="G24" s="4">
        <v>357000</v>
      </c>
      <c r="H24" s="4">
        <v>420000</v>
      </c>
      <c r="I24" s="4">
        <v>592000</v>
      </c>
      <c r="J24" s="4">
        <v>780000</v>
      </c>
      <c r="K24" s="4">
        <v>795000</v>
      </c>
      <c r="L24" s="4">
        <v>863000</v>
      </c>
      <c r="M24" s="4">
        <v>1049520</v>
      </c>
      <c r="N24" s="4">
        <v>1441020</v>
      </c>
      <c r="O24" s="4">
        <v>1500000</v>
      </c>
      <c r="P24" s="4">
        <v>1660000</v>
      </c>
      <c r="Q24" s="4">
        <v>1810000</v>
      </c>
      <c r="R24" s="4">
        <v>1990000</v>
      </c>
      <c r="S24" s="4">
        <v>2150000</v>
      </c>
      <c r="T24" s="4">
        <f>+S24*1.06</f>
        <v>2279000</v>
      </c>
      <c r="U24" s="4">
        <f t="shared" ref="U24:W24" si="14">+T24*1.06</f>
        <v>2415740</v>
      </c>
      <c r="V24" s="4">
        <f t="shared" si="14"/>
        <v>2560684.4</v>
      </c>
      <c r="W24" s="4">
        <f t="shared" si="14"/>
        <v>2714325.4640000002</v>
      </c>
    </row>
    <row r="25" spans="2:23" s="1" customFormat="1" x14ac:dyDescent="0.25">
      <c r="B25" s="1" t="s">
        <v>1</v>
      </c>
      <c r="M25" s="1">
        <f>16343+6308+6002</f>
        <v>28653</v>
      </c>
      <c r="N25" s="1">
        <f>19050+4613+9900</f>
        <v>33563</v>
      </c>
      <c r="O25" s="1">
        <v>30000</v>
      </c>
      <c r="P25" s="1">
        <v>30000</v>
      </c>
      <c r="Q25" s="1">
        <v>30000</v>
      </c>
      <c r="R25" s="1">
        <v>30000</v>
      </c>
      <c r="S25" s="1">
        <v>30000</v>
      </c>
      <c r="T25" s="1">
        <v>30000</v>
      </c>
      <c r="U25" s="1">
        <v>30000</v>
      </c>
      <c r="V25" s="1">
        <v>30000</v>
      </c>
      <c r="W25" s="1">
        <v>30000</v>
      </c>
    </row>
    <row r="26" spans="2:23" s="1" customFormat="1" x14ac:dyDescent="0.25">
      <c r="B26" s="1" t="s">
        <v>2</v>
      </c>
      <c r="M26" s="1">
        <v>775874</v>
      </c>
      <c r="N26" s="1">
        <v>1070777</v>
      </c>
      <c r="O26" s="1">
        <f>+O24*0.745</f>
        <v>1117500</v>
      </c>
      <c r="P26" s="1">
        <f t="shared" ref="P26:W26" si="15">+P24*0.745</f>
        <v>1236700</v>
      </c>
      <c r="Q26" s="1">
        <f t="shared" si="15"/>
        <v>1348450</v>
      </c>
      <c r="R26" s="1">
        <f t="shared" si="15"/>
        <v>1482550</v>
      </c>
      <c r="S26" s="1">
        <f t="shared" si="15"/>
        <v>1601750</v>
      </c>
      <c r="T26" s="1">
        <f t="shared" si="15"/>
        <v>1697855</v>
      </c>
      <c r="U26" s="1">
        <f t="shared" si="15"/>
        <v>1799726.3</v>
      </c>
      <c r="V26" s="1">
        <f t="shared" si="15"/>
        <v>1907709.878</v>
      </c>
      <c r="W26" s="1">
        <f t="shared" si="15"/>
        <v>2022172.47068</v>
      </c>
    </row>
    <row r="27" spans="2:23" s="1" customFormat="1" x14ac:dyDescent="0.25">
      <c r="B27" s="1" t="s">
        <v>5</v>
      </c>
      <c r="M27" s="1">
        <v>141539</v>
      </c>
      <c r="N27" s="1">
        <v>157557</v>
      </c>
      <c r="O27" s="1">
        <f>+N27*1.04</f>
        <v>163859.28</v>
      </c>
      <c r="P27" s="1">
        <f t="shared" ref="P27:W27" si="16">+O27*1.04</f>
        <v>170413.65119999999</v>
      </c>
      <c r="Q27" s="1">
        <f t="shared" si="16"/>
        <v>177230.19724800001</v>
      </c>
      <c r="R27" s="1">
        <f t="shared" si="16"/>
        <v>184319.40513792002</v>
      </c>
      <c r="S27" s="1">
        <f t="shared" si="16"/>
        <v>191692.18134343682</v>
      </c>
      <c r="T27" s="1">
        <f t="shared" si="16"/>
        <v>199359.8685971743</v>
      </c>
      <c r="U27" s="1">
        <f t="shared" si="16"/>
        <v>207334.26334106128</v>
      </c>
      <c r="V27" s="1">
        <f t="shared" si="16"/>
        <v>215627.63387470372</v>
      </c>
      <c r="W27" s="1">
        <f t="shared" si="16"/>
        <v>224252.73922969188</v>
      </c>
    </row>
    <row r="28" spans="2:23" s="1" customFormat="1" x14ac:dyDescent="0.25">
      <c r="B28" s="1" t="s">
        <v>6</v>
      </c>
      <c r="M28" s="1">
        <v>23856</v>
      </c>
      <c r="N28" s="1">
        <v>28342</v>
      </c>
      <c r="O28" s="1">
        <f>+N28*1.02</f>
        <v>28908.84</v>
      </c>
      <c r="P28" s="1">
        <f t="shared" ref="P28:W28" si="17">+O28*1.02</f>
        <v>29487.016800000001</v>
      </c>
      <c r="Q28" s="1">
        <f t="shared" si="17"/>
        <v>30076.757136</v>
      </c>
      <c r="R28" s="1">
        <f t="shared" si="17"/>
        <v>30678.29227872</v>
      </c>
      <c r="S28" s="1">
        <f t="shared" si="17"/>
        <v>31291.858124294402</v>
      </c>
      <c r="T28" s="1">
        <f t="shared" si="17"/>
        <v>31917.69528678029</v>
      </c>
      <c r="U28" s="1">
        <f t="shared" si="17"/>
        <v>32556.049192515897</v>
      </c>
      <c r="V28" s="1">
        <f t="shared" si="17"/>
        <v>33207.170176366213</v>
      </c>
      <c r="W28" s="1">
        <f t="shared" si="17"/>
        <v>33871.31357989354</v>
      </c>
    </row>
    <row r="29" spans="2:23" s="1" customFormat="1" x14ac:dyDescent="0.25">
      <c r="B29" s="1" t="s">
        <v>7</v>
      </c>
      <c r="M29" s="1">
        <v>91432</v>
      </c>
      <c r="N29" s="1">
        <v>122494</v>
      </c>
      <c r="O29" s="1">
        <f>+O24*0.085</f>
        <v>127500.00000000001</v>
      </c>
      <c r="P29" s="1">
        <f t="shared" ref="P29:W29" si="18">+P24*0.085</f>
        <v>141100</v>
      </c>
      <c r="Q29" s="1">
        <f t="shared" si="18"/>
        <v>153850</v>
      </c>
      <c r="R29" s="1">
        <f t="shared" si="18"/>
        <v>169150</v>
      </c>
      <c r="S29" s="1">
        <f t="shared" si="18"/>
        <v>182750</v>
      </c>
      <c r="T29" s="1">
        <f t="shared" si="18"/>
        <v>193715</v>
      </c>
      <c r="U29" s="1">
        <f t="shared" si="18"/>
        <v>205337.90000000002</v>
      </c>
      <c r="V29" s="1">
        <f t="shared" si="18"/>
        <v>217658.174</v>
      </c>
      <c r="W29" s="1">
        <f t="shared" si="18"/>
        <v>230717.66444000002</v>
      </c>
    </row>
    <row r="30" spans="2:23" s="1" customFormat="1" x14ac:dyDescent="0.25">
      <c r="B30" s="1" t="s">
        <v>13</v>
      </c>
      <c r="M30" s="1">
        <f>+M25+M24-M26-M27-M28-M29</f>
        <v>45472</v>
      </c>
      <c r="N30" s="1">
        <f>+N25+N24-N26-N27-N28-N29</f>
        <v>95413</v>
      </c>
      <c r="O30" s="1">
        <f>+O25+O24-O26-O27-O28-O29</f>
        <v>92231.87999999999</v>
      </c>
      <c r="P30" s="1">
        <f t="shared" ref="P30:W30" si="19">+P25+P24-P26-P27-P28-P29</f>
        <v>112299.33200000002</v>
      </c>
      <c r="Q30" s="1">
        <f t="shared" si="19"/>
        <v>130393.04561599996</v>
      </c>
      <c r="R30" s="1">
        <f t="shared" si="19"/>
        <v>153302.30258335994</v>
      </c>
      <c r="S30" s="1">
        <f t="shared" si="19"/>
        <v>172515.9605322688</v>
      </c>
      <c r="T30" s="1">
        <f t="shared" si="19"/>
        <v>186152.4361160454</v>
      </c>
      <c r="U30" s="1">
        <f t="shared" si="19"/>
        <v>200785.48746642272</v>
      </c>
      <c r="V30" s="1">
        <f t="shared" si="19"/>
        <v>216481.54394892993</v>
      </c>
      <c r="W30" s="1">
        <f t="shared" si="19"/>
        <v>233311.27607041463</v>
      </c>
    </row>
    <row r="31" spans="2:23" s="1" customFormat="1" x14ac:dyDescent="0.25">
      <c r="B31" s="1" t="s">
        <v>8</v>
      </c>
      <c r="M31" s="1">
        <v>224</v>
      </c>
      <c r="N31" s="1">
        <v>1050</v>
      </c>
      <c r="O31" s="1">
        <f>+N31*0.8</f>
        <v>840</v>
      </c>
      <c r="P31" s="1">
        <f>+O31*0.8</f>
        <v>672</v>
      </c>
      <c r="Q31" s="1">
        <f>+P31*0.8</f>
        <v>537.6</v>
      </c>
      <c r="R31" s="1">
        <f>+Q31*1.02</f>
        <v>548.35200000000009</v>
      </c>
      <c r="S31" s="1">
        <f t="shared" ref="S31:W31" si="20">+R31*1.02</f>
        <v>559.31904000000009</v>
      </c>
      <c r="T31" s="1">
        <f t="shared" si="20"/>
        <v>570.50542080000014</v>
      </c>
      <c r="U31" s="1">
        <f t="shared" si="20"/>
        <v>581.9155292160001</v>
      </c>
      <c r="V31" s="1">
        <f t="shared" si="20"/>
        <v>593.55383980032013</v>
      </c>
      <c r="W31" s="1">
        <f t="shared" si="20"/>
        <v>605.42491659632651</v>
      </c>
    </row>
    <row r="32" spans="2:23" s="1" customFormat="1" x14ac:dyDescent="0.25">
      <c r="B32" s="1" t="s">
        <v>9</v>
      </c>
      <c r="M32" s="1">
        <v>3921</v>
      </c>
      <c r="N32" s="1">
        <v>10704</v>
      </c>
      <c r="O32" s="1">
        <f>+N32*0.85</f>
        <v>9098.4</v>
      </c>
      <c r="P32" s="1">
        <f>+O32*0.85</f>
        <v>7733.6399999999994</v>
      </c>
      <c r="Q32" s="1">
        <f>+P32*0.85</f>
        <v>6573.5939999999991</v>
      </c>
      <c r="R32" s="1">
        <f>+Q32*0.85</f>
        <v>5587.5548999999992</v>
      </c>
      <c r="S32" s="1">
        <f>+R32*1.02</f>
        <v>5699.3059979999989</v>
      </c>
      <c r="T32" s="1">
        <f t="shared" ref="T32:W32" si="21">+S32*1.02</f>
        <v>5813.2921179599989</v>
      </c>
      <c r="U32" s="1">
        <f t="shared" si="21"/>
        <v>5929.5579603191991</v>
      </c>
      <c r="V32" s="1">
        <f t="shared" si="21"/>
        <v>6048.149119525583</v>
      </c>
      <c r="W32" s="1">
        <f t="shared" si="21"/>
        <v>6169.1121019160946</v>
      </c>
    </row>
    <row r="33" spans="2:80" s="1" customFormat="1" x14ac:dyDescent="0.25">
      <c r="B33" s="1" t="s">
        <v>10</v>
      </c>
      <c r="M33" s="1">
        <f>+M30+M31-M32</f>
        <v>41775</v>
      </c>
      <c r="N33" s="1">
        <f>+N30+N31-N32</f>
        <v>85759</v>
      </c>
      <c r="O33" s="1">
        <f>+O30+O31-O32</f>
        <v>83973.48</v>
      </c>
      <c r="P33" s="1">
        <f t="shared" ref="P33:W33" si="22">+P30+P31-P32</f>
        <v>105237.69200000002</v>
      </c>
      <c r="Q33" s="1">
        <f t="shared" si="22"/>
        <v>124357.05161599997</v>
      </c>
      <c r="R33" s="1">
        <f t="shared" si="22"/>
        <v>148263.09968335996</v>
      </c>
      <c r="S33" s="1">
        <f t="shared" si="22"/>
        <v>167375.97357426881</v>
      </c>
      <c r="T33" s="1">
        <f t="shared" si="22"/>
        <v>180909.64941888541</v>
      </c>
      <c r="U33" s="1">
        <f t="shared" si="22"/>
        <v>195437.84503531954</v>
      </c>
      <c r="V33" s="1">
        <f t="shared" si="22"/>
        <v>211026.94866920466</v>
      </c>
      <c r="W33" s="1">
        <f t="shared" si="22"/>
        <v>227747.58888509485</v>
      </c>
    </row>
    <row r="34" spans="2:80" s="1" customFormat="1" x14ac:dyDescent="0.25">
      <c r="B34" s="1" t="s">
        <v>11</v>
      </c>
      <c r="M34" s="1">
        <v>12155</v>
      </c>
      <c r="N34" s="1">
        <v>25438</v>
      </c>
      <c r="O34" s="1">
        <f>+O33*0.29</f>
        <v>24352.309199999996</v>
      </c>
      <c r="P34" s="1">
        <f t="shared" ref="P34:W34" si="23">+P33*0.29</f>
        <v>30518.930680000005</v>
      </c>
      <c r="Q34" s="1">
        <f t="shared" si="23"/>
        <v>36063.544968639988</v>
      </c>
      <c r="R34" s="1">
        <f t="shared" si="23"/>
        <v>42996.298908174387</v>
      </c>
      <c r="S34" s="1">
        <f t="shared" si="23"/>
        <v>48539.032336537952</v>
      </c>
      <c r="T34" s="1">
        <f t="shared" si="23"/>
        <v>52463.798331476763</v>
      </c>
      <c r="U34" s="1">
        <f t="shared" si="23"/>
        <v>56676.975060242665</v>
      </c>
      <c r="V34" s="1">
        <f t="shared" si="23"/>
        <v>61197.815114069352</v>
      </c>
      <c r="W34" s="1">
        <f t="shared" si="23"/>
        <v>66046.800776677497</v>
      </c>
    </row>
    <row r="35" spans="2:80" s="4" customFormat="1" x14ac:dyDescent="0.25">
      <c r="B35" s="4" t="s">
        <v>12</v>
      </c>
      <c r="M35" s="4">
        <f>+M33-M34</f>
        <v>29620</v>
      </c>
      <c r="N35" s="4">
        <f>+N33-N34</f>
        <v>60321</v>
      </c>
      <c r="O35" s="4">
        <f>+O33-O34</f>
        <v>59621.1708</v>
      </c>
      <c r="P35" s="4">
        <f t="shared" ref="P35:W35" si="24">+P33-P34</f>
        <v>74718.76132000002</v>
      </c>
      <c r="Q35" s="4">
        <f t="shared" si="24"/>
        <v>88293.506647359987</v>
      </c>
      <c r="R35" s="4">
        <f t="shared" si="24"/>
        <v>105266.80077518558</v>
      </c>
      <c r="S35" s="4">
        <f t="shared" si="24"/>
        <v>118836.94123773085</v>
      </c>
      <c r="T35" s="4">
        <f t="shared" si="24"/>
        <v>128445.85108740865</v>
      </c>
      <c r="U35" s="4">
        <f t="shared" si="24"/>
        <v>138760.86997507687</v>
      </c>
      <c r="V35" s="4">
        <f t="shared" si="24"/>
        <v>149829.13355513531</v>
      </c>
      <c r="W35" s="4">
        <f t="shared" si="24"/>
        <v>161700.78810841736</v>
      </c>
      <c r="X35" s="4">
        <f t="shared" ref="X35:BC35" si="25">+W35*(1+TR)</f>
        <v>160083.78022733319</v>
      </c>
      <c r="Y35" s="4">
        <f t="shared" si="25"/>
        <v>158482.94242505985</v>
      </c>
      <c r="Z35" s="4">
        <f t="shared" si="25"/>
        <v>156898.11300080924</v>
      </c>
      <c r="AA35" s="4">
        <f t="shared" si="25"/>
        <v>155329.13187080115</v>
      </c>
      <c r="AB35" s="4">
        <f t="shared" si="25"/>
        <v>153775.84055209314</v>
      </c>
      <c r="AC35" s="4">
        <f t="shared" si="25"/>
        <v>152238.08214657221</v>
      </c>
      <c r="AD35" s="4">
        <f t="shared" si="25"/>
        <v>150715.70132510649</v>
      </c>
      <c r="AE35" s="4">
        <f t="shared" si="25"/>
        <v>149208.54431185542</v>
      </c>
      <c r="AF35" s="4">
        <f t="shared" si="25"/>
        <v>147716.45886873687</v>
      </c>
      <c r="AG35" s="4">
        <f t="shared" si="25"/>
        <v>146239.29428004951</v>
      </c>
      <c r="AH35" s="4">
        <f t="shared" si="25"/>
        <v>144776.901337249</v>
      </c>
      <c r="AI35" s="4">
        <f t="shared" si="25"/>
        <v>143329.13232387652</v>
      </c>
      <c r="AJ35" s="4">
        <f t="shared" si="25"/>
        <v>141895.84100063774</v>
      </c>
      <c r="AK35" s="4">
        <f t="shared" si="25"/>
        <v>140476.88259063137</v>
      </c>
      <c r="AL35" s="4">
        <f t="shared" si="25"/>
        <v>139072.11376472504</v>
      </c>
      <c r="AM35" s="4">
        <f t="shared" si="25"/>
        <v>137681.39262707779</v>
      </c>
      <c r="AN35" s="4">
        <f t="shared" si="25"/>
        <v>136304.578700807</v>
      </c>
      <c r="AO35" s="4">
        <f t="shared" si="25"/>
        <v>134941.53291379893</v>
      </c>
      <c r="AP35" s="4">
        <f t="shared" si="25"/>
        <v>133592.11758466094</v>
      </c>
      <c r="AQ35" s="4">
        <f t="shared" si="25"/>
        <v>132256.19640881434</v>
      </c>
      <c r="AR35" s="4">
        <f t="shared" si="25"/>
        <v>130933.63444472619</v>
      </c>
      <c r="AS35" s="4">
        <f t="shared" si="25"/>
        <v>129624.29810027893</v>
      </c>
      <c r="AT35" s="4">
        <f t="shared" si="25"/>
        <v>128328.05511927613</v>
      </c>
      <c r="AU35" s="4">
        <f t="shared" si="25"/>
        <v>127044.77456808338</v>
      </c>
      <c r="AV35" s="4">
        <f t="shared" si="25"/>
        <v>125774.32682240254</v>
      </c>
      <c r="AW35" s="4">
        <f t="shared" si="25"/>
        <v>124516.58355417851</v>
      </c>
      <c r="AX35" s="4">
        <f t="shared" si="25"/>
        <v>123271.41771863672</v>
      </c>
      <c r="AY35" s="4">
        <f t="shared" si="25"/>
        <v>122038.70354145035</v>
      </c>
      <c r="AZ35" s="4">
        <f t="shared" si="25"/>
        <v>120818.31650603584</v>
      </c>
      <c r="BA35" s="4">
        <f t="shared" si="25"/>
        <v>119610.13334097549</v>
      </c>
      <c r="BB35" s="4">
        <f t="shared" si="25"/>
        <v>118414.03200756574</v>
      </c>
      <c r="BC35" s="4">
        <f t="shared" si="25"/>
        <v>117229.89168749008</v>
      </c>
      <c r="BD35" s="4">
        <f t="shared" ref="BD35:CB35" si="26">+BC35*(1+TR)</f>
        <v>116057.59277061517</v>
      </c>
      <c r="BE35" s="4">
        <f t="shared" si="26"/>
        <v>114897.01684290901</v>
      </c>
      <c r="BF35" s="4">
        <f t="shared" si="26"/>
        <v>113748.04667447992</v>
      </c>
      <c r="BG35" s="4">
        <f t="shared" si="26"/>
        <v>112610.56620773512</v>
      </c>
      <c r="BH35" s="4">
        <f t="shared" si="26"/>
        <v>111484.46054565777</v>
      </c>
      <c r="BI35" s="4">
        <f t="shared" si="26"/>
        <v>110369.6159402012</v>
      </c>
      <c r="BJ35" s="4">
        <f t="shared" si="26"/>
        <v>109265.91978079919</v>
      </c>
      <c r="BK35" s="4">
        <f t="shared" si="26"/>
        <v>108173.26058299119</v>
      </c>
      <c r="BL35" s="4">
        <f t="shared" si="26"/>
        <v>107091.52797716128</v>
      </c>
      <c r="BM35" s="4">
        <f t="shared" si="26"/>
        <v>106020.61269738968</v>
      </c>
      <c r="BN35" s="4">
        <f t="shared" si="26"/>
        <v>104960.40657041578</v>
      </c>
      <c r="BO35" s="4">
        <f t="shared" si="26"/>
        <v>103910.80250471162</v>
      </c>
      <c r="BP35" s="4">
        <f t="shared" si="26"/>
        <v>102871.69447966451</v>
      </c>
      <c r="BQ35" s="4">
        <f t="shared" si="26"/>
        <v>101842.97753486787</v>
      </c>
      <c r="BR35" s="4">
        <f t="shared" si="26"/>
        <v>100824.54775951919</v>
      </c>
      <c r="BS35" s="4">
        <f t="shared" si="26"/>
        <v>99816.302281924</v>
      </c>
      <c r="BT35" s="4">
        <f t="shared" si="26"/>
        <v>98818.139259104762</v>
      </c>
      <c r="BU35" s="4">
        <f t="shared" si="26"/>
        <v>97829.957866513709</v>
      </c>
      <c r="BV35" s="4">
        <f t="shared" si="26"/>
        <v>96851.658287848564</v>
      </c>
      <c r="BW35" s="4">
        <f t="shared" si="26"/>
        <v>95883.141704970083</v>
      </c>
      <c r="BX35" s="4">
        <f t="shared" si="26"/>
        <v>94924.31028792038</v>
      </c>
      <c r="BY35" s="4">
        <f t="shared" si="26"/>
        <v>93975.067185041175</v>
      </c>
      <c r="BZ35" s="4">
        <f t="shared" si="26"/>
        <v>93035.316513190759</v>
      </c>
      <c r="CA35" s="4">
        <f t="shared" si="26"/>
        <v>92104.963348058853</v>
      </c>
      <c r="CB35" s="4">
        <f t="shared" si="26"/>
        <v>91183.913714578259</v>
      </c>
    </row>
    <row r="36" spans="2:80" s="1" customFormat="1" x14ac:dyDescent="0.25">
      <c r="B36" s="1" t="s">
        <v>26</v>
      </c>
      <c r="N36" s="1">
        <v>10377.259</v>
      </c>
      <c r="O36" s="1">
        <v>10377.259</v>
      </c>
      <c r="P36" s="1">
        <v>10377.259</v>
      </c>
      <c r="Q36" s="1">
        <v>10377.259</v>
      </c>
      <c r="R36" s="1">
        <v>10377.259</v>
      </c>
      <c r="S36" s="1">
        <v>10377.259</v>
      </c>
      <c r="T36" s="1">
        <v>10377.259</v>
      </c>
      <c r="U36" s="1">
        <v>10377.259</v>
      </c>
      <c r="V36" s="1">
        <v>10377.259</v>
      </c>
      <c r="W36" s="1">
        <v>10377.259</v>
      </c>
    </row>
    <row r="37" spans="2:80" s="5" customFormat="1" x14ac:dyDescent="0.25">
      <c r="B37" s="5" t="s">
        <v>27</v>
      </c>
      <c r="N37" s="5">
        <f>+N35/N36</f>
        <v>5.8128066380534591</v>
      </c>
      <c r="O37" s="5">
        <f>+O35/O36</f>
        <v>5.7453679049544775</v>
      </c>
      <c r="P37" s="5">
        <f t="shared" ref="P37:W37" si="27">+P35/P36</f>
        <v>7.2002405760519244</v>
      </c>
      <c r="Q37" s="5">
        <f t="shared" si="27"/>
        <v>8.5083649398516492</v>
      </c>
      <c r="R37" s="5">
        <f t="shared" si="27"/>
        <v>10.143988964252079</v>
      </c>
      <c r="S37" s="5">
        <f t="shared" si="27"/>
        <v>11.451669582278987</v>
      </c>
      <c r="T37" s="5">
        <f t="shared" si="27"/>
        <v>12.377627954299749</v>
      </c>
      <c r="U37" s="5">
        <f t="shared" si="27"/>
        <v>13.371630213245798</v>
      </c>
      <c r="V37" s="5">
        <f t="shared" si="27"/>
        <v>14.438218565724853</v>
      </c>
      <c r="W37" s="5">
        <f t="shared" si="27"/>
        <v>15.58222533603694</v>
      </c>
    </row>
    <row r="38" spans="2:80" s="1" customFormat="1" x14ac:dyDescent="0.25">
      <c r="M38" s="7"/>
      <c r="N38" s="7"/>
    </row>
    <row r="39" spans="2:80" s="2" customFormat="1" x14ac:dyDescent="0.25">
      <c r="B39" s="2" t="s">
        <v>24</v>
      </c>
      <c r="M39" s="11">
        <f>+M30/M24</f>
        <v>4.3326473054348655E-2</v>
      </c>
      <c r="N39" s="11">
        <f>+N30/N24</f>
        <v>6.6212127520783884E-2</v>
      </c>
      <c r="O39" s="11">
        <f>+O30/O24</f>
        <v>6.1487919999999995E-2</v>
      </c>
      <c r="P39" s="11">
        <f t="shared" ref="P39:W39" si="28">+P30/P24</f>
        <v>6.7650200000000008E-2</v>
      </c>
      <c r="Q39" s="11">
        <f t="shared" si="28"/>
        <v>7.2040356693922628E-2</v>
      </c>
      <c r="R39" s="11">
        <f t="shared" si="28"/>
        <v>7.7036332956462283E-2</v>
      </c>
      <c r="S39" s="11">
        <f t="shared" si="28"/>
        <v>8.0239981642915723E-2</v>
      </c>
      <c r="T39" s="11">
        <f t="shared" si="28"/>
        <v>8.1681630590629842E-2</v>
      </c>
      <c r="U39" s="11">
        <f t="shared" si="28"/>
        <v>8.3115520489134898E-2</v>
      </c>
      <c r="V39" s="11">
        <f t="shared" si="28"/>
        <v>8.4540501730291304E-2</v>
      </c>
      <c r="W39" s="11">
        <f t="shared" si="28"/>
        <v>8.5955527133652024E-2</v>
      </c>
      <c r="Y39" s="2" t="s">
        <v>31</v>
      </c>
      <c r="Z39" s="2">
        <v>0.09</v>
      </c>
    </row>
    <row r="40" spans="2:80" s="2" customFormat="1" x14ac:dyDescent="0.25">
      <c r="B40" s="2" t="s">
        <v>25</v>
      </c>
      <c r="M40" s="11">
        <f>+M35/M24</f>
        <v>2.8222425489747693E-2</v>
      </c>
      <c r="N40" s="11">
        <f>+N35/N24</f>
        <v>4.1859932547778658E-2</v>
      </c>
      <c r="O40" s="11">
        <f>+O35/O24</f>
        <v>3.9747447200000001E-2</v>
      </c>
      <c r="P40" s="11">
        <f t="shared" ref="P40:W40" si="29">+P35/P24</f>
        <v>4.501130200000001E-2</v>
      </c>
      <c r="Q40" s="11">
        <f t="shared" si="29"/>
        <v>4.8780942899093918E-2</v>
      </c>
      <c r="R40" s="11">
        <f t="shared" si="29"/>
        <v>5.2897889836776672E-2</v>
      </c>
      <c r="S40" s="11">
        <f t="shared" si="29"/>
        <v>5.5272995924525975E-2</v>
      </c>
      <c r="T40" s="11">
        <f t="shared" si="29"/>
        <v>5.6360619169551845E-2</v>
      </c>
      <c r="U40" s="11">
        <f t="shared" si="29"/>
        <v>5.7440316414463836E-2</v>
      </c>
      <c r="V40" s="11">
        <f t="shared" si="29"/>
        <v>5.8511362647866841E-2</v>
      </c>
      <c r="W40" s="11">
        <f t="shared" si="29"/>
        <v>5.9573102140126163E-2</v>
      </c>
      <c r="Y40" s="2" t="s">
        <v>32</v>
      </c>
      <c r="Z40" s="2">
        <v>-0.01</v>
      </c>
    </row>
    <row r="41" spans="2:80" s="1" customFormat="1" x14ac:dyDescent="0.25">
      <c r="Y41" t="s">
        <v>33</v>
      </c>
      <c r="Z41" s="9">
        <f>NPV(Z39,O35:CB35)</f>
        <v>1373729.0722354485</v>
      </c>
      <c r="AA41"/>
    </row>
    <row r="42" spans="2:80" s="2" customFormat="1" x14ac:dyDescent="0.25">
      <c r="B42" s="2" t="s">
        <v>28</v>
      </c>
      <c r="N42" s="2">
        <f>+N19/M19 -1</f>
        <v>0.38691771876360481</v>
      </c>
      <c r="Y42" s="8" t="s">
        <v>34</v>
      </c>
      <c r="Z42" s="3">
        <f>+N50-N54</f>
        <v>-231367</v>
      </c>
      <c r="AA42" s="8"/>
    </row>
    <row r="43" spans="2:80" s="2" customFormat="1" x14ac:dyDescent="0.25">
      <c r="B43" s="2" t="s">
        <v>29</v>
      </c>
      <c r="N43" s="2">
        <f>+N20/M20 -1</f>
        <v>0.27620504973221127</v>
      </c>
      <c r="Y43" s="8" t="s">
        <v>35</v>
      </c>
      <c r="Z43" s="3">
        <f>+Z41+Z42</f>
        <v>1142362.0722354485</v>
      </c>
      <c r="AA43" s="8"/>
    </row>
    <row r="44" spans="2:80" s="2" customFormat="1" x14ac:dyDescent="0.25">
      <c r="B44" s="2" t="s">
        <v>30</v>
      </c>
      <c r="F44" s="2">
        <f t="shared" ref="F44:S44" si="30">+F24/E24 -1</f>
        <v>1.501501501501501E-2</v>
      </c>
      <c r="G44" s="2">
        <f t="shared" si="30"/>
        <v>5.6213017751479244E-2</v>
      </c>
      <c r="H44" s="2">
        <f t="shared" si="30"/>
        <v>0.17647058823529416</v>
      </c>
      <c r="I44" s="2">
        <f t="shared" si="30"/>
        <v>0.40952380952380962</v>
      </c>
      <c r="J44" s="2">
        <f t="shared" si="30"/>
        <v>0.31756756756756754</v>
      </c>
      <c r="K44" s="2">
        <f t="shared" si="30"/>
        <v>1.9230769230769162E-2</v>
      </c>
      <c r="L44" s="2">
        <f t="shared" si="30"/>
        <v>8.5534591194968534E-2</v>
      </c>
      <c r="M44" s="2">
        <f t="shared" si="30"/>
        <v>0.21612977983777526</v>
      </c>
      <c r="N44" s="2">
        <f t="shared" si="30"/>
        <v>0.37302766979190483</v>
      </c>
      <c r="O44" s="2">
        <f t="shared" si="30"/>
        <v>4.0929341716284373E-2</v>
      </c>
      <c r="P44" s="2">
        <f t="shared" si="30"/>
        <v>0.10666666666666669</v>
      </c>
      <c r="Q44" s="2">
        <f t="shared" si="30"/>
        <v>9.0361445783132543E-2</v>
      </c>
      <c r="R44" s="2">
        <f t="shared" si="30"/>
        <v>9.9447513812154664E-2</v>
      </c>
      <c r="S44" s="2">
        <f t="shared" si="30"/>
        <v>8.040201005025116E-2</v>
      </c>
      <c r="T44" s="2">
        <f t="shared" ref="T44:W44" si="31">+T24/S24 -1</f>
        <v>6.0000000000000053E-2</v>
      </c>
      <c r="U44" s="2">
        <f t="shared" si="31"/>
        <v>6.0000000000000053E-2</v>
      </c>
      <c r="V44" s="2">
        <f t="shared" si="31"/>
        <v>6.0000000000000053E-2</v>
      </c>
      <c r="W44" s="2">
        <f t="shared" si="31"/>
        <v>6.0000000000000053E-2</v>
      </c>
      <c r="Y44" s="8" t="s">
        <v>36</v>
      </c>
      <c r="Z44" s="10">
        <f>+Z43/W36</f>
        <v>110.08321872234744</v>
      </c>
      <c r="AA44" s="8"/>
    </row>
    <row r="45" spans="2:80" s="1" customFormat="1" x14ac:dyDescent="0.25">
      <c r="Y45" s="8" t="s">
        <v>49</v>
      </c>
      <c r="Z45">
        <v>14.12</v>
      </c>
      <c r="AA45"/>
    </row>
    <row r="46" spans="2:80" s="1" customFormat="1" x14ac:dyDescent="0.25">
      <c r="B46" s="1" t="s">
        <v>37</v>
      </c>
      <c r="Y46" s="8" t="s">
        <v>50</v>
      </c>
      <c r="Z46" s="2">
        <f>1-(Z45/Z44)</f>
        <v>0.87173340165848945</v>
      </c>
      <c r="AA46"/>
    </row>
    <row r="47" spans="2:80" s="1" customFormat="1" x14ac:dyDescent="0.25">
      <c r="B47" s="1" t="s">
        <v>38</v>
      </c>
      <c r="Y47"/>
      <c r="Z47"/>
      <c r="AA47"/>
    </row>
    <row r="48" spans="2:80" s="1" customFormat="1" x14ac:dyDescent="0.25">
      <c r="B48" s="1" t="s">
        <v>39</v>
      </c>
    </row>
    <row r="49" spans="2:14" s="1" customFormat="1" x14ac:dyDescent="0.25"/>
    <row r="50" spans="2:14" s="1" customFormat="1" x14ac:dyDescent="0.25">
      <c r="B50" s="1" t="s">
        <v>40</v>
      </c>
      <c r="M50" s="1">
        <v>12614</v>
      </c>
      <c r="N50" s="1">
        <v>11693</v>
      </c>
    </row>
    <row r="51" spans="2:14" s="1" customFormat="1" x14ac:dyDescent="0.25">
      <c r="B51" s="1" t="s">
        <v>41</v>
      </c>
      <c r="M51" s="1">
        <v>252986</v>
      </c>
      <c r="N51" s="1">
        <v>308613</v>
      </c>
    </row>
    <row r="52" spans="2:14" s="1" customFormat="1" x14ac:dyDescent="0.25">
      <c r="B52" s="1" t="s">
        <v>42</v>
      </c>
      <c r="M52" s="1">
        <v>184138</v>
      </c>
      <c r="N52" s="1">
        <v>222079</v>
      </c>
    </row>
    <row r="53" spans="2:14" s="1" customFormat="1" x14ac:dyDescent="0.25"/>
    <row r="54" spans="2:14" s="1" customFormat="1" x14ac:dyDescent="0.25">
      <c r="B54" s="1" t="s">
        <v>43</v>
      </c>
      <c r="M54" s="1">
        <f>89549+102555</f>
        <v>192104</v>
      </c>
      <c r="N54" s="1">
        <f>102017+141043</f>
        <v>243060</v>
      </c>
    </row>
    <row r="55" spans="2:14" s="1" customFormat="1" x14ac:dyDescent="0.25">
      <c r="B55" s="1" t="s">
        <v>44</v>
      </c>
      <c r="M55" s="1">
        <f>5393+17773</f>
        <v>23166</v>
      </c>
      <c r="N55" s="1">
        <f>6424+23644</f>
        <v>30068</v>
      </c>
    </row>
    <row r="56" spans="2:14" s="1" customFormat="1" x14ac:dyDescent="0.25"/>
    <row r="57" spans="2:14" s="1" customFormat="1" x14ac:dyDescent="0.25">
      <c r="B57" s="1" t="s">
        <v>45</v>
      </c>
      <c r="M57" s="1">
        <f>+M50+M51+M52-M54-M55</f>
        <v>234468</v>
      </c>
      <c r="N57" s="1">
        <f>+N50+N51+N52-N54-N55</f>
        <v>269257</v>
      </c>
    </row>
    <row r="58" spans="2:14" s="1" customFormat="1" x14ac:dyDescent="0.25">
      <c r="B58" s="1" t="s">
        <v>46</v>
      </c>
      <c r="N58" s="1">
        <f>+N57-M57</f>
        <v>34789</v>
      </c>
    </row>
    <row r="59" spans="2:14" s="1" customFormat="1" x14ac:dyDescent="0.25"/>
    <row r="60" spans="2:14" s="2" customFormat="1" x14ac:dyDescent="0.25">
      <c r="B60" s="2" t="s">
        <v>47</v>
      </c>
      <c r="M60" s="2">
        <f>+M32/M54</f>
        <v>2.0410819139632698E-2</v>
      </c>
      <c r="N60" s="2">
        <f>+N32/N54</f>
        <v>4.4038509010120956E-2</v>
      </c>
    </row>
    <row r="61" spans="2:14" s="2" customFormat="1" x14ac:dyDescent="0.25">
      <c r="B61" s="2" t="s">
        <v>48</v>
      </c>
      <c r="M61" s="2">
        <f>+M31/M50</f>
        <v>1.7758046614872364E-2</v>
      </c>
      <c r="N61" s="2">
        <f>+N31/N50</f>
        <v>8.9797314632686226E-2</v>
      </c>
    </row>
    <row r="62" spans="2:14" s="1" customFormat="1" x14ac:dyDescent="0.25"/>
    <row r="63" spans="2:14" s="1" customFormat="1" x14ac:dyDescent="0.25"/>
    <row r="64" spans="2:1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2024-06-20T20:45:52Z</dcterms:created>
  <dcterms:modified xsi:type="dcterms:W3CDTF">2024-12-06T23:00:04Z</dcterms:modified>
</cp:coreProperties>
</file>