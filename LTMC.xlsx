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4775408-258D-4A27-8616-ABC77514ADB3}" xr6:coauthVersionLast="47" xr6:coauthVersionMax="47" xr10:uidLastSave="{00000000-0000-0000-0000-000000000000}"/>
  <bookViews>
    <workbookView xWindow="-120" yWindow="-120" windowWidth="29040" windowHeight="15840" activeTab="1" xr2:uid="{EFF9EE88-3ED9-4902-A3EC-F5A2EF12538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" i="1" l="1"/>
  <c r="S48" i="1" l="1"/>
  <c r="S49" i="1" s="1"/>
  <c r="S47" i="1"/>
  <c r="R40" i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G40" i="1" s="1"/>
  <c r="BH40" i="1" s="1"/>
  <c r="BI40" i="1" s="1"/>
  <c r="BJ40" i="1" s="1"/>
  <c r="BK40" i="1" s="1"/>
  <c r="BL40" i="1" s="1"/>
  <c r="BM40" i="1" s="1"/>
  <c r="BN40" i="1" s="1"/>
  <c r="BO40" i="1" s="1"/>
  <c r="BP40" i="1" s="1"/>
  <c r="BQ40" i="1" s="1"/>
  <c r="BR40" i="1" s="1"/>
  <c r="BS40" i="1" s="1"/>
  <c r="BT40" i="1" s="1"/>
  <c r="BU40" i="1" s="1"/>
  <c r="BV40" i="1" s="1"/>
  <c r="BW40" i="1" s="1"/>
  <c r="BX40" i="1" s="1"/>
  <c r="BY40" i="1" s="1"/>
  <c r="BZ40" i="1" s="1"/>
  <c r="CA40" i="1" s="1"/>
  <c r="CB40" i="1" s="1"/>
  <c r="CC40" i="1" s="1"/>
  <c r="CD40" i="1" s="1"/>
  <c r="CE40" i="1" s="1"/>
  <c r="CF40" i="1" s="1"/>
  <c r="CG40" i="1" s="1"/>
  <c r="CH40" i="1" s="1"/>
  <c r="CI40" i="1" s="1"/>
  <c r="CJ40" i="1" s="1"/>
  <c r="CK40" i="1" s="1"/>
  <c r="CL40" i="1" s="1"/>
  <c r="CM40" i="1" s="1"/>
  <c r="CN40" i="1" s="1"/>
  <c r="CO40" i="1" s="1"/>
  <c r="CP40" i="1" s="1"/>
  <c r="CQ40" i="1" s="1"/>
  <c r="CR40" i="1" s="1"/>
  <c r="CS40" i="1" s="1"/>
  <c r="CT40" i="1" s="1"/>
  <c r="CU40" i="1" s="1"/>
  <c r="CV40" i="1" s="1"/>
  <c r="CW40" i="1" s="1"/>
  <c r="CX40" i="1" s="1"/>
  <c r="CY40" i="1" s="1"/>
  <c r="CZ40" i="1" s="1"/>
  <c r="DA40" i="1" s="1"/>
  <c r="DB40" i="1" s="1"/>
  <c r="DC40" i="1" s="1"/>
  <c r="DD40" i="1" s="1"/>
  <c r="DE40" i="1" s="1"/>
  <c r="DF40" i="1" s="1"/>
  <c r="DG40" i="1" s="1"/>
  <c r="DH40" i="1" s="1"/>
  <c r="DI40" i="1" s="1"/>
  <c r="DJ40" i="1" s="1"/>
  <c r="DK40" i="1" s="1"/>
  <c r="DL40" i="1" s="1"/>
  <c r="DM40" i="1" s="1"/>
  <c r="DN40" i="1" s="1"/>
  <c r="DO40" i="1" s="1"/>
  <c r="DP40" i="1" s="1"/>
  <c r="DQ40" i="1" s="1"/>
  <c r="DR40" i="1" s="1"/>
  <c r="DS40" i="1" s="1"/>
  <c r="DT40" i="1" s="1"/>
  <c r="DU40" i="1" s="1"/>
  <c r="DV40" i="1" s="1"/>
  <c r="DW40" i="1" s="1"/>
  <c r="DX40" i="1" s="1"/>
  <c r="DY40" i="1" s="1"/>
  <c r="DZ40" i="1" s="1"/>
  <c r="EA40" i="1" s="1"/>
  <c r="EB40" i="1" s="1"/>
  <c r="EC40" i="1" s="1"/>
  <c r="ED40" i="1" s="1"/>
  <c r="EE40" i="1" s="1"/>
  <c r="EF40" i="1" s="1"/>
  <c r="EG40" i="1" s="1"/>
  <c r="EH40" i="1" s="1"/>
  <c r="EI40" i="1" s="1"/>
  <c r="EJ40" i="1" s="1"/>
  <c r="EK40" i="1" s="1"/>
  <c r="EL40" i="1" s="1"/>
  <c r="EM40" i="1" s="1"/>
  <c r="EN40" i="1" s="1"/>
  <c r="EO40" i="1" s="1"/>
  <c r="EP40" i="1" s="1"/>
  <c r="EQ40" i="1" s="1"/>
  <c r="ER40" i="1" s="1"/>
  <c r="ES40" i="1" s="1"/>
  <c r="ET40" i="1" s="1"/>
  <c r="EU40" i="1" s="1"/>
  <c r="EV40" i="1" s="1"/>
  <c r="EW40" i="1" s="1"/>
  <c r="EX40" i="1" s="1"/>
  <c r="EY40" i="1" s="1"/>
  <c r="EZ40" i="1" s="1"/>
  <c r="FA40" i="1" s="1"/>
  <c r="FB40" i="1" s="1"/>
  <c r="Q40" i="1"/>
  <c r="D11" i="2"/>
  <c r="D10" i="2"/>
  <c r="D8" i="2"/>
  <c r="D7" i="2"/>
  <c r="D6" i="2"/>
  <c r="D5" i="2"/>
  <c r="H29" i="1"/>
  <c r="I29" i="1" s="1"/>
  <c r="G29" i="1"/>
  <c r="G54" i="1"/>
  <c r="H54" i="1"/>
  <c r="I54" i="1"/>
  <c r="J54" i="1"/>
  <c r="K54" i="1"/>
  <c r="L54" i="1"/>
  <c r="M54" i="1"/>
  <c r="N54" i="1"/>
  <c r="O54" i="1"/>
  <c r="P54" i="1"/>
  <c r="G55" i="1"/>
  <c r="H55" i="1"/>
  <c r="I55" i="1"/>
  <c r="J55" i="1"/>
  <c r="K55" i="1"/>
  <c r="L55" i="1"/>
  <c r="M55" i="1"/>
  <c r="N55" i="1"/>
  <c r="O55" i="1"/>
  <c r="P55" i="1"/>
  <c r="G56" i="1"/>
  <c r="H56" i="1"/>
  <c r="E20" i="1"/>
  <c r="E18" i="1"/>
  <c r="E16" i="1"/>
  <c r="E51" i="1"/>
  <c r="E52" i="1" s="1"/>
  <c r="D51" i="1"/>
  <c r="D52" i="1" s="1"/>
  <c r="F22" i="1"/>
  <c r="F24" i="1" s="1"/>
  <c r="F37" i="1"/>
  <c r="F29" i="1"/>
  <c r="F28" i="1"/>
  <c r="F27" i="1"/>
  <c r="F54" i="1" s="1"/>
  <c r="F25" i="1"/>
  <c r="E24" i="1"/>
  <c r="E26" i="1" s="1"/>
  <c r="E30" i="1" s="1"/>
  <c r="E36" i="1" s="1"/>
  <c r="D24" i="1"/>
  <c r="D26" i="1" s="1"/>
  <c r="D30" i="1" s="1"/>
  <c r="D36" i="1" s="1"/>
  <c r="D38" i="1" s="1"/>
  <c r="D40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I56" i="1" l="1"/>
  <c r="J29" i="1"/>
  <c r="K29" i="1" s="1"/>
  <c r="L29" i="1" s="1"/>
  <c r="M29" i="1" s="1"/>
  <c r="N29" i="1" s="1"/>
  <c r="O29" i="1" s="1"/>
  <c r="P29" i="1" s="1"/>
  <c r="P56" i="1" s="1"/>
  <c r="O56" i="1"/>
  <c r="N56" i="1"/>
  <c r="K56" i="1"/>
  <c r="J56" i="1"/>
  <c r="F55" i="1"/>
  <c r="D48" i="1"/>
  <c r="F56" i="1"/>
  <c r="E48" i="1"/>
  <c r="D54" i="1"/>
  <c r="D55" i="1"/>
  <c r="D56" i="1"/>
  <c r="E56" i="1"/>
  <c r="E54" i="1"/>
  <c r="E55" i="1"/>
  <c r="F46" i="1"/>
  <c r="E46" i="1"/>
  <c r="F15" i="1"/>
  <c r="F17" i="1"/>
  <c r="F19" i="1"/>
  <c r="E38" i="1"/>
  <c r="E40" i="1" s="1"/>
  <c r="D44" i="1"/>
  <c r="D45" i="1"/>
  <c r="F26" i="1"/>
  <c r="F44" i="1" s="1"/>
  <c r="E44" i="1"/>
  <c r="E45" i="1"/>
  <c r="M56" i="1" l="1"/>
  <c r="L56" i="1"/>
  <c r="F18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G15" i="1"/>
  <c r="H15" i="1" s="1"/>
  <c r="I15" i="1" s="1"/>
  <c r="J15" i="1" s="1"/>
  <c r="K15" i="1" s="1"/>
  <c r="L15" i="1" s="1"/>
  <c r="M15" i="1" s="1"/>
  <c r="N15" i="1" s="1"/>
  <c r="O15" i="1" s="1"/>
  <c r="P15" i="1" s="1"/>
  <c r="F16" i="1"/>
  <c r="G19" i="1"/>
  <c r="F20" i="1"/>
  <c r="F30" i="1"/>
  <c r="F48" i="1" s="1"/>
  <c r="F36" i="1" l="1"/>
  <c r="F38" i="1" s="1"/>
  <c r="F40" i="1" s="1"/>
  <c r="F41" i="1" s="1"/>
  <c r="F45" i="1"/>
  <c r="H19" i="1"/>
  <c r="G22" i="1"/>
  <c r="G24" i="1" s="1"/>
  <c r="G46" i="1" l="1"/>
  <c r="G25" i="1"/>
  <c r="G27" i="1"/>
  <c r="G28" i="1"/>
  <c r="G26" i="1"/>
  <c r="G30" i="1" s="1"/>
  <c r="G48" i="1" s="1"/>
  <c r="G37" i="1" s="1"/>
  <c r="I19" i="1"/>
  <c r="H22" i="1"/>
  <c r="H24" i="1" s="1"/>
  <c r="G36" i="1" l="1"/>
  <c r="G38" i="1" s="1"/>
  <c r="G40" i="1" s="1"/>
  <c r="G41" i="1" s="1"/>
  <c r="G45" i="1"/>
  <c r="J19" i="1"/>
  <c r="I22" i="1"/>
  <c r="I24" i="1" s="1"/>
  <c r="H27" i="1"/>
  <c r="H46" i="1"/>
  <c r="H28" i="1"/>
  <c r="H25" i="1"/>
  <c r="H26" i="1" s="1"/>
  <c r="H30" i="1" s="1"/>
  <c r="H48" i="1" s="1"/>
  <c r="H37" i="1" s="1"/>
  <c r="H45" i="1" l="1"/>
  <c r="H36" i="1"/>
  <c r="H38" i="1" s="1"/>
  <c r="H40" i="1" s="1"/>
  <c r="H41" i="1" s="1"/>
  <c r="I27" i="1"/>
  <c r="I46" i="1"/>
  <c r="I28" i="1"/>
  <c r="I25" i="1"/>
  <c r="I26" i="1" s="1"/>
  <c r="I30" i="1" s="1"/>
  <c r="I48" i="1" s="1"/>
  <c r="I37" i="1" s="1"/>
  <c r="K19" i="1"/>
  <c r="J22" i="1"/>
  <c r="J24" i="1" s="1"/>
  <c r="I45" i="1" l="1"/>
  <c r="I36" i="1"/>
  <c r="I38" i="1" s="1"/>
  <c r="I40" i="1" s="1"/>
  <c r="I41" i="1" s="1"/>
  <c r="J27" i="1"/>
  <c r="J28" i="1"/>
  <c r="J46" i="1"/>
  <c r="J25" i="1"/>
  <c r="J26" i="1" s="1"/>
  <c r="J30" i="1" s="1"/>
  <c r="J48" i="1" s="1"/>
  <c r="J37" i="1" s="1"/>
  <c r="L19" i="1"/>
  <c r="K22" i="1"/>
  <c r="K24" i="1" s="1"/>
  <c r="J45" i="1" l="1"/>
  <c r="J36" i="1"/>
  <c r="J38" i="1" s="1"/>
  <c r="J40" i="1" s="1"/>
  <c r="J41" i="1" s="1"/>
  <c r="M19" i="1"/>
  <c r="L22" i="1"/>
  <c r="L24" i="1" s="1"/>
  <c r="K27" i="1"/>
  <c r="K46" i="1"/>
  <c r="K28" i="1"/>
  <c r="K25" i="1"/>
  <c r="K26" i="1" s="1"/>
  <c r="K30" i="1" s="1"/>
  <c r="K48" i="1" s="1"/>
  <c r="K37" i="1" s="1"/>
  <c r="K36" i="1" l="1"/>
  <c r="K38" i="1" s="1"/>
  <c r="K40" i="1" s="1"/>
  <c r="K41" i="1" s="1"/>
  <c r="K45" i="1"/>
  <c r="L27" i="1"/>
  <c r="L28" i="1"/>
  <c r="L46" i="1"/>
  <c r="L25" i="1"/>
  <c r="L26" i="1" s="1"/>
  <c r="L30" i="1" s="1"/>
  <c r="L48" i="1" s="1"/>
  <c r="L37" i="1" s="1"/>
  <c r="N19" i="1"/>
  <c r="M22" i="1"/>
  <c r="M24" i="1" s="1"/>
  <c r="L45" i="1" l="1"/>
  <c r="L36" i="1"/>
  <c r="L38" i="1" s="1"/>
  <c r="L40" i="1" s="1"/>
  <c r="L41" i="1" s="1"/>
  <c r="M28" i="1"/>
  <c r="M27" i="1"/>
  <c r="M46" i="1"/>
  <c r="M25" i="1"/>
  <c r="M26" i="1" s="1"/>
  <c r="M30" i="1" s="1"/>
  <c r="M48" i="1" s="1"/>
  <c r="M37" i="1" s="1"/>
  <c r="O19" i="1"/>
  <c r="N22" i="1"/>
  <c r="N24" i="1" s="1"/>
  <c r="N25" i="1" l="1"/>
  <c r="N27" i="1"/>
  <c r="N46" i="1"/>
  <c r="N28" i="1"/>
  <c r="N26" i="1"/>
  <c r="N30" i="1" s="1"/>
  <c r="N48" i="1" s="1"/>
  <c r="N37" i="1" s="1"/>
  <c r="P19" i="1"/>
  <c r="P22" i="1" s="1"/>
  <c r="P24" i="1" s="1"/>
  <c r="O22" i="1"/>
  <c r="O24" i="1" s="1"/>
  <c r="M36" i="1"/>
  <c r="M38" i="1" s="1"/>
  <c r="M40" i="1" s="1"/>
  <c r="M41" i="1" s="1"/>
  <c r="M45" i="1"/>
  <c r="P25" i="1" l="1"/>
  <c r="P28" i="1"/>
  <c r="P46" i="1"/>
  <c r="P27" i="1"/>
  <c r="P26" i="1"/>
  <c r="P30" i="1" s="1"/>
  <c r="P48" i="1" s="1"/>
  <c r="P37" i="1" s="1"/>
  <c r="O28" i="1"/>
  <c r="O25" i="1"/>
  <c r="O27" i="1"/>
  <c r="O46" i="1"/>
  <c r="O26" i="1"/>
  <c r="O30" i="1" s="1"/>
  <c r="O48" i="1" s="1"/>
  <c r="O37" i="1" s="1"/>
  <c r="N36" i="1"/>
  <c r="N38" i="1" s="1"/>
  <c r="N40" i="1" s="1"/>
  <c r="N41" i="1" s="1"/>
  <c r="N45" i="1"/>
  <c r="O36" i="1" l="1"/>
  <c r="O38" i="1" s="1"/>
  <c r="O40" i="1" s="1"/>
  <c r="O41" i="1" s="1"/>
  <c r="O45" i="1"/>
  <c r="P36" i="1"/>
  <c r="P38" i="1" s="1"/>
  <c r="P40" i="1" s="1"/>
  <c r="P41" i="1" s="1"/>
  <c r="P45" i="1"/>
</calcChain>
</file>

<file path=xl/sharedStrings.xml><?xml version="1.0" encoding="utf-8"?>
<sst xmlns="http://schemas.openxmlformats.org/spreadsheetml/2006/main" count="57" uniqueCount="48">
  <si>
    <t>Revenue</t>
  </si>
  <si>
    <t>Other</t>
  </si>
  <si>
    <t>Total Revenue</t>
  </si>
  <si>
    <t>Cost of Service</t>
  </si>
  <si>
    <t>Gross Profit</t>
  </si>
  <si>
    <t xml:space="preserve">Personnel </t>
  </si>
  <si>
    <t>Operating cost</t>
  </si>
  <si>
    <t>D&amp;A</t>
  </si>
  <si>
    <t>Impairment</t>
  </si>
  <si>
    <t>Finance income</t>
  </si>
  <si>
    <t>Finance expense</t>
  </si>
  <si>
    <t>Pretax</t>
  </si>
  <si>
    <t>Taxes</t>
  </si>
  <si>
    <t>Net Income</t>
  </si>
  <si>
    <t>Minority</t>
  </si>
  <si>
    <t>Company Income</t>
  </si>
  <si>
    <t>Operating Income</t>
  </si>
  <si>
    <t>Other, net</t>
  </si>
  <si>
    <t>Equity, net</t>
  </si>
  <si>
    <t>Gross Margin</t>
  </si>
  <si>
    <t>Operating Margin</t>
  </si>
  <si>
    <t>Share</t>
  </si>
  <si>
    <t>EPS</t>
  </si>
  <si>
    <t>CFFO</t>
  </si>
  <si>
    <t>CapEx</t>
  </si>
  <si>
    <t>FCF</t>
  </si>
  <si>
    <t>Online</t>
  </si>
  <si>
    <t xml:space="preserve">Gaming </t>
  </si>
  <si>
    <t xml:space="preserve">Sports </t>
  </si>
  <si>
    <t>Unique Active user</t>
  </si>
  <si>
    <t>Total online bets</t>
  </si>
  <si>
    <t>Sports</t>
  </si>
  <si>
    <t>Locations</t>
  </si>
  <si>
    <t>Total sport bets</t>
  </si>
  <si>
    <t>Y/Y</t>
  </si>
  <si>
    <t>EBIT</t>
  </si>
  <si>
    <t>Price</t>
  </si>
  <si>
    <t>Shares</t>
  </si>
  <si>
    <t>MC</t>
  </si>
  <si>
    <t>Net Cash</t>
  </si>
  <si>
    <t>EV</t>
  </si>
  <si>
    <t>EV/FCF</t>
  </si>
  <si>
    <t>FCF Yield</t>
  </si>
  <si>
    <t>Dividend</t>
  </si>
  <si>
    <t>Discount</t>
  </si>
  <si>
    <t>Terminal</t>
  </si>
  <si>
    <t>NPV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</si>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</sst>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0" applyNumberFormat="1"/>
    <xf numFmtId="4" fontId="0" fillId="0" borderId="0" xfId="0" applyNumberFormat="1"/>
    <xf numFmtId="9" fontId="3" fillId="0" borderId="0" xfId="1" applyFon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21</xdr:row>
      <xdr:rowOff>0</xdr:rowOff>
    </xdr:from>
    <xdr:to>
      <xdr:col>5</xdr:col>
      <xdr:colOff>5443</xdr:colOff>
      <xdr:row>50</xdr:row>
      <xdr:rowOff>119743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25B89A0-B212-AA4C-BBAD-CF710EDB926E}"/>
            </a:ext>
          </a:extLst>
        </xdr:cNvPr>
        <xdr:cNvCxnSpPr/>
      </xdr:nvCxnSpPr>
      <xdr:spPr>
        <a:xfrm>
          <a:off x="3151414" y="571500"/>
          <a:ext cx="5443" cy="46917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596B9-F295-4936-9A7F-DE7C1E48CE1F}">
  <dimension ref="C4:F11"/>
  <sheetViews>
    <sheetView zoomScale="160" zoomScaleNormal="160" workbookViewId="0">
      <selection activeCell="H7" sqref="H7"/>
    </sheetView>
  </sheetViews>
  <sheetFormatPr defaultRowHeight="15" x14ac:dyDescent="0.25"/>
  <cols>
    <col min="4" max="4" width="9.85546875" style="1" bestFit="1" customWidth="1"/>
    <col min="5" max="6" width="9.140625" style="1"/>
  </cols>
  <sheetData>
    <row r="4" spans="3:4" x14ac:dyDescent="0.25">
      <c r="C4" t="s">
        <v>36</v>
      </c>
      <c r="D4" s="1">
        <v>20.84</v>
      </c>
    </row>
    <row r="5" spans="3:4" x14ac:dyDescent="0.25">
      <c r="C5" t="s">
        <v>37</v>
      </c>
      <c r="D5" s="1">
        <f>+Sheet1!F42</f>
        <v>247774.13399999999</v>
      </c>
    </row>
    <row r="6" spans="3:4" x14ac:dyDescent="0.25">
      <c r="C6" t="s">
        <v>38</v>
      </c>
      <c r="D6" s="1">
        <f>+D4*D5</f>
        <v>5163612.9525600001</v>
      </c>
    </row>
    <row r="7" spans="3:4" x14ac:dyDescent="0.25">
      <c r="C7" t="s">
        <v>39</v>
      </c>
      <c r="D7" s="1">
        <f>221240-135777-2073000</f>
        <v>-1987537</v>
      </c>
    </row>
    <row r="8" spans="3:4" x14ac:dyDescent="0.25">
      <c r="C8" t="s">
        <v>40</v>
      </c>
      <c r="D8" s="1">
        <f>+D6-D7</f>
        <v>7151149.9525600001</v>
      </c>
    </row>
    <row r="10" spans="3:4" x14ac:dyDescent="0.25">
      <c r="C10" t="s">
        <v>41</v>
      </c>
      <c r="D10" s="1">
        <f>+D8/Sheet1!E52</f>
        <v>20.853332650659326</v>
      </c>
    </row>
    <row r="11" spans="3:4" x14ac:dyDescent="0.25">
      <c r="C11" t="s">
        <v>42</v>
      </c>
      <c r="D11" s="7">
        <f>1/D10</f>
        <v>4.7953965764238778E-2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950C1-6D8E-4B01-8710-60FD6791E89C}">
  <dimension ref="B2:FB158"/>
  <sheetViews>
    <sheetView tabSelected="1" zoomScale="175" zoomScaleNormal="175" workbookViewId="0">
      <pane xSplit="2" ySplit="2" topLeftCell="G36" activePane="bottomRight" state="frozen"/>
      <selection pane="topRight" activeCell="C1" sqref="C1"/>
      <selection pane="bottomLeft" activeCell="A3" sqref="A3"/>
      <selection pane="bottomRight" activeCell="S46" sqref="S46"/>
    </sheetView>
  </sheetViews>
  <sheetFormatPr defaultRowHeight="15" x14ac:dyDescent="0.25"/>
  <cols>
    <col min="1" max="1" width="2.85546875" customWidth="1"/>
    <col min="2" max="2" width="18" bestFit="1" customWidth="1"/>
    <col min="4" max="16" width="9.42578125" bestFit="1" customWidth="1"/>
    <col min="19" max="19" width="10" bestFit="1" customWidth="1"/>
  </cols>
  <sheetData>
    <row r="2" spans="2:16" x14ac:dyDescent="0.25">
      <c r="D2">
        <v>2023</v>
      </c>
      <c r="E2">
        <f>+D2+1</f>
        <v>2024</v>
      </c>
      <c r="F2">
        <f>+E2+1</f>
        <v>2025</v>
      </c>
      <c r="G2">
        <f>+F2+1</f>
        <v>2026</v>
      </c>
      <c r="H2">
        <f t="shared" ref="H2:P2" si="0">+G2+1</f>
        <v>2027</v>
      </c>
      <c r="I2">
        <f t="shared" si="0"/>
        <v>2028</v>
      </c>
      <c r="J2">
        <f t="shared" si="0"/>
        <v>2029</v>
      </c>
      <c r="K2">
        <f t="shared" si="0"/>
        <v>2030</v>
      </c>
      <c r="L2">
        <f t="shared" si="0"/>
        <v>2031</v>
      </c>
      <c r="M2">
        <f t="shared" si="0"/>
        <v>2032</v>
      </c>
      <c r="N2">
        <f t="shared" si="0"/>
        <v>2033</v>
      </c>
      <c r="O2">
        <f t="shared" si="0"/>
        <v>2034</v>
      </c>
      <c r="P2">
        <f t="shared" si="0"/>
        <v>2035</v>
      </c>
    </row>
    <row r="3" spans="2:16" s="1" customFormat="1" x14ac:dyDescent="0.25"/>
    <row r="4" spans="2:16" s="1" customFormat="1" x14ac:dyDescent="0.25">
      <c r="B4" s="2" t="s">
        <v>26</v>
      </c>
    </row>
    <row r="5" spans="2:16" s="1" customFormat="1" x14ac:dyDescent="0.25">
      <c r="B5" s="1" t="s">
        <v>29</v>
      </c>
      <c r="D5" s="1">
        <v>1310675</v>
      </c>
      <c r="E5" s="1">
        <v>2003458</v>
      </c>
    </row>
    <row r="6" spans="2:16" s="1" customFormat="1" x14ac:dyDescent="0.25">
      <c r="B6" s="1" t="s">
        <v>30</v>
      </c>
      <c r="D6" s="1">
        <v>16203.6</v>
      </c>
      <c r="E6" s="1">
        <v>24492.7</v>
      </c>
    </row>
    <row r="7" spans="2:16" s="1" customFormat="1" x14ac:dyDescent="0.25"/>
    <row r="8" spans="2:16" s="1" customFormat="1" x14ac:dyDescent="0.25">
      <c r="B8" s="2" t="s">
        <v>31</v>
      </c>
    </row>
    <row r="9" spans="2:16" s="1" customFormat="1" x14ac:dyDescent="0.25">
      <c r="B9" s="1" t="s">
        <v>32</v>
      </c>
      <c r="D9" s="1">
        <v>2803</v>
      </c>
      <c r="E9" s="1">
        <v>3740</v>
      </c>
    </row>
    <row r="10" spans="2:16" s="1" customFormat="1" x14ac:dyDescent="0.25">
      <c r="B10" s="1" t="s">
        <v>33</v>
      </c>
      <c r="D10" s="1">
        <v>2824.5</v>
      </c>
      <c r="E10" s="1">
        <v>3578.3</v>
      </c>
    </row>
    <row r="11" spans="2:16" s="1" customFormat="1" x14ac:dyDescent="0.25"/>
    <row r="12" spans="2:16" s="1" customFormat="1" x14ac:dyDescent="0.25"/>
    <row r="13" spans="2:16" s="1" customFormat="1" x14ac:dyDescent="0.25"/>
    <row r="14" spans="2:16" s="1" customFormat="1" x14ac:dyDescent="0.25"/>
    <row r="15" spans="2:16" s="1" customFormat="1" x14ac:dyDescent="0.25">
      <c r="B15" s="1" t="s">
        <v>26</v>
      </c>
      <c r="D15" s="1">
        <v>520787</v>
      </c>
      <c r="E15" s="1">
        <v>780230</v>
      </c>
      <c r="F15" s="1">
        <f>+F22*0.42</f>
        <v>912978.07440000004</v>
      </c>
      <c r="G15" s="1">
        <f>+F15*(1+G16)</f>
        <v>1049924.78556</v>
      </c>
      <c r="H15" s="1">
        <f t="shared" ref="H15:P15" si="1">+G15*(1+H16)</f>
        <v>1207413.503394</v>
      </c>
      <c r="I15" s="1">
        <f t="shared" si="1"/>
        <v>1388525.5289030999</v>
      </c>
      <c r="J15" s="1">
        <f t="shared" si="1"/>
        <v>1555148.5923714722</v>
      </c>
      <c r="K15" s="1">
        <f t="shared" si="1"/>
        <v>1741766.4234560491</v>
      </c>
      <c r="L15" s="1">
        <f t="shared" si="1"/>
        <v>1950778.3942707751</v>
      </c>
      <c r="M15" s="1">
        <f t="shared" si="1"/>
        <v>2184871.8015832682</v>
      </c>
      <c r="N15" s="1">
        <f t="shared" si="1"/>
        <v>2359661.5457099299</v>
      </c>
      <c r="O15" s="1">
        <f t="shared" si="1"/>
        <v>2548434.4693667246</v>
      </c>
      <c r="P15" s="1">
        <f t="shared" si="1"/>
        <v>2752309.2269160626</v>
      </c>
    </row>
    <row r="16" spans="2:16" s="6" customFormat="1" x14ac:dyDescent="0.25">
      <c r="B16" s="6" t="s">
        <v>34</v>
      </c>
      <c r="E16" s="6">
        <f>+E15/D15 -1</f>
        <v>0.49817487763711465</v>
      </c>
      <c r="F16" s="6">
        <f>+F15/E15 -1</f>
        <v>0.1701396695846098</v>
      </c>
      <c r="G16" s="6">
        <v>0.15</v>
      </c>
      <c r="H16" s="6">
        <v>0.15</v>
      </c>
      <c r="I16" s="6">
        <v>0.15</v>
      </c>
      <c r="J16" s="6">
        <v>0.12</v>
      </c>
      <c r="K16" s="6">
        <v>0.12</v>
      </c>
      <c r="L16" s="6">
        <v>0.12</v>
      </c>
      <c r="M16" s="6">
        <v>0.12</v>
      </c>
      <c r="N16" s="6">
        <v>0.08</v>
      </c>
      <c r="O16" s="6">
        <v>0.08</v>
      </c>
      <c r="P16" s="6">
        <v>0.08</v>
      </c>
    </row>
    <row r="17" spans="2:16" s="1" customFormat="1" x14ac:dyDescent="0.25">
      <c r="B17" s="1" t="s">
        <v>28</v>
      </c>
      <c r="D17" s="1">
        <v>368217</v>
      </c>
      <c r="E17" s="1">
        <v>460755</v>
      </c>
      <c r="F17" s="1">
        <f>+F22*0.233</f>
        <v>506485.45556000009</v>
      </c>
      <c r="G17" s="1">
        <f>+F17*(1+G18)</f>
        <v>531809.72833800013</v>
      </c>
      <c r="H17" s="1">
        <f t="shared" ref="H17:P17" si="2">+G17*(1+H18)</f>
        <v>558400.2147549002</v>
      </c>
      <c r="I17" s="1">
        <f t="shared" si="2"/>
        <v>586320.22549264529</v>
      </c>
      <c r="J17" s="1">
        <f t="shared" si="2"/>
        <v>598046.63000249816</v>
      </c>
      <c r="K17" s="1">
        <f t="shared" si="2"/>
        <v>610007.56260254816</v>
      </c>
      <c r="L17" s="1">
        <f t="shared" si="2"/>
        <v>622207.71385459916</v>
      </c>
      <c r="M17" s="1">
        <f t="shared" si="2"/>
        <v>634651.86813169112</v>
      </c>
      <c r="N17" s="1">
        <f t="shared" si="2"/>
        <v>634651.86813169112</v>
      </c>
      <c r="O17" s="1">
        <f t="shared" si="2"/>
        <v>634651.86813169112</v>
      </c>
      <c r="P17" s="1">
        <f t="shared" si="2"/>
        <v>634651.86813169112</v>
      </c>
    </row>
    <row r="18" spans="2:16" s="6" customFormat="1" x14ac:dyDescent="0.25">
      <c r="B18" s="6" t="s">
        <v>34</v>
      </c>
      <c r="E18" s="6">
        <f>+E17/D17 -1</f>
        <v>0.25131376335150191</v>
      </c>
      <c r="F18" s="6">
        <f>+F17/E17 -1</f>
        <v>9.9251132510770557E-2</v>
      </c>
      <c r="G18" s="6">
        <v>0.05</v>
      </c>
      <c r="H18" s="6">
        <v>0.05</v>
      </c>
      <c r="I18" s="6">
        <v>0.05</v>
      </c>
      <c r="J18" s="6">
        <v>0.02</v>
      </c>
      <c r="K18" s="6">
        <v>0.02</v>
      </c>
      <c r="L18" s="6">
        <v>0.02</v>
      </c>
      <c r="M18" s="6">
        <v>0.02</v>
      </c>
      <c r="N18" s="6">
        <v>0</v>
      </c>
      <c r="O18" s="6">
        <v>0</v>
      </c>
      <c r="P18" s="6">
        <v>0</v>
      </c>
    </row>
    <row r="19" spans="2:16" s="1" customFormat="1" x14ac:dyDescent="0.25">
      <c r="B19" s="1" t="s">
        <v>27</v>
      </c>
      <c r="D19" s="1">
        <v>743484</v>
      </c>
      <c r="E19" s="1">
        <v>763740</v>
      </c>
      <c r="F19" s="1">
        <f>+F22*0.347</f>
        <v>754293.79003999999</v>
      </c>
      <c r="G19" s="1">
        <f>+F19*(1+G20)</f>
        <v>761836.72794040001</v>
      </c>
      <c r="H19" s="1">
        <f t="shared" ref="H19:P19" si="3">+G19*(1+H20)</f>
        <v>769455.09521980397</v>
      </c>
      <c r="I19" s="1">
        <f t="shared" si="3"/>
        <v>777149.64617200207</v>
      </c>
      <c r="J19" s="1">
        <f t="shared" si="3"/>
        <v>784921.14263372205</v>
      </c>
      <c r="K19" s="1">
        <f t="shared" si="3"/>
        <v>792770.3540600593</v>
      </c>
      <c r="L19" s="1">
        <f t="shared" si="3"/>
        <v>784842.65051945869</v>
      </c>
      <c r="M19" s="1">
        <f t="shared" si="3"/>
        <v>776994.22401426407</v>
      </c>
      <c r="N19" s="1">
        <f t="shared" si="3"/>
        <v>769224.28177412145</v>
      </c>
      <c r="O19" s="1">
        <f t="shared" si="3"/>
        <v>761532.03895638022</v>
      </c>
      <c r="P19" s="1">
        <f t="shared" si="3"/>
        <v>753916.71856681642</v>
      </c>
    </row>
    <row r="20" spans="2:16" s="6" customFormat="1" x14ac:dyDescent="0.25">
      <c r="B20" s="6" t="s">
        <v>34</v>
      </c>
      <c r="E20" s="6">
        <f>+E19/D19 -1</f>
        <v>2.7244701970721596E-2</v>
      </c>
      <c r="F20" s="6">
        <f>+F19/E19 -1</f>
        <v>-1.2368358289470249E-2</v>
      </c>
      <c r="G20" s="6">
        <v>0.01</v>
      </c>
      <c r="H20" s="6">
        <v>0.01</v>
      </c>
      <c r="I20" s="6">
        <v>0.01</v>
      </c>
      <c r="J20" s="6">
        <v>0.01</v>
      </c>
      <c r="K20" s="6">
        <v>0.01</v>
      </c>
      <c r="L20" s="6">
        <v>-0.01</v>
      </c>
      <c r="M20" s="6">
        <v>-0.01</v>
      </c>
      <c r="N20" s="6">
        <v>-0.01</v>
      </c>
      <c r="O20" s="6">
        <v>-0.01</v>
      </c>
      <c r="P20" s="6">
        <v>-0.01</v>
      </c>
    </row>
    <row r="21" spans="2:16" s="1" customFormat="1" x14ac:dyDescent="0.25"/>
    <row r="22" spans="2:16" s="1" customFormat="1" x14ac:dyDescent="0.25">
      <c r="B22" s="1" t="s">
        <v>0</v>
      </c>
      <c r="D22" s="1">
        <v>1632488</v>
      </c>
      <c r="E22" s="1">
        <v>2004725</v>
      </c>
      <c r="F22" s="1">
        <f>1634404*1.33</f>
        <v>2173757.3200000003</v>
      </c>
      <c r="G22" s="1">
        <f>+G19+G17+G15</f>
        <v>2343571.2418384003</v>
      </c>
      <c r="H22" s="1">
        <f t="shared" ref="H22:P22" si="4">+H19+H17+H15</f>
        <v>2535268.8133687042</v>
      </c>
      <c r="I22" s="1">
        <f t="shared" si="4"/>
        <v>2751995.4005677477</v>
      </c>
      <c r="J22" s="1">
        <f t="shared" si="4"/>
        <v>2938116.3650076925</v>
      </c>
      <c r="K22" s="1">
        <f t="shared" si="4"/>
        <v>3144544.3401186564</v>
      </c>
      <c r="L22" s="1">
        <f t="shared" si="4"/>
        <v>3357828.7586448332</v>
      </c>
      <c r="M22" s="1">
        <f t="shared" si="4"/>
        <v>3596517.8937292234</v>
      </c>
      <c r="N22" s="1">
        <f t="shared" si="4"/>
        <v>3763537.6956157424</v>
      </c>
      <c r="O22" s="1">
        <f t="shared" si="4"/>
        <v>3944618.3764547957</v>
      </c>
      <c r="P22" s="1">
        <f t="shared" si="4"/>
        <v>4140877.8136145701</v>
      </c>
    </row>
    <row r="23" spans="2:16" s="1" customFormat="1" x14ac:dyDescent="0.25">
      <c r="B23" s="1" t="s">
        <v>1</v>
      </c>
      <c r="D23" s="1">
        <v>18529</v>
      </c>
      <c r="E23" s="1">
        <v>14951</v>
      </c>
      <c r="F23" s="1">
        <v>15000</v>
      </c>
      <c r="G23" s="1">
        <v>15000</v>
      </c>
      <c r="H23" s="1">
        <v>15000</v>
      </c>
      <c r="I23" s="1">
        <v>15000</v>
      </c>
      <c r="J23" s="1">
        <v>15000</v>
      </c>
      <c r="K23" s="1">
        <v>15000</v>
      </c>
      <c r="L23" s="1">
        <v>15000</v>
      </c>
      <c r="M23" s="1">
        <v>15000</v>
      </c>
      <c r="N23" s="1">
        <v>15000</v>
      </c>
      <c r="O23" s="1">
        <v>15000</v>
      </c>
      <c r="P23" s="1">
        <v>15000</v>
      </c>
    </row>
    <row r="24" spans="2:16" s="2" customFormat="1" x14ac:dyDescent="0.25">
      <c r="B24" s="2" t="s">
        <v>2</v>
      </c>
      <c r="D24" s="2">
        <f>+D22+D23</f>
        <v>1651017</v>
      </c>
      <c r="E24" s="2">
        <f t="shared" ref="E24:G24" si="5">+E22+E23</f>
        <v>2019676</v>
      </c>
      <c r="F24" s="2">
        <f t="shared" si="5"/>
        <v>2188757.3200000003</v>
      </c>
      <c r="G24" s="2">
        <f t="shared" si="5"/>
        <v>2358571.2418384003</v>
      </c>
      <c r="H24" s="2">
        <f t="shared" ref="H24" si="6">+H22+H23</f>
        <v>2550268.8133687042</v>
      </c>
      <c r="I24" s="2">
        <f t="shared" ref="I24" si="7">+I22+I23</f>
        <v>2766995.4005677477</v>
      </c>
      <c r="J24" s="2">
        <f t="shared" ref="J24" si="8">+J22+J23</f>
        <v>2953116.3650076925</v>
      </c>
      <c r="K24" s="2">
        <f t="shared" ref="K24" si="9">+K22+K23</f>
        <v>3159544.3401186564</v>
      </c>
      <c r="L24" s="2">
        <f t="shared" ref="L24" si="10">+L22+L23</f>
        <v>3372828.7586448332</v>
      </c>
      <c r="M24" s="2">
        <f t="shared" ref="M24" si="11">+M22+M23</f>
        <v>3611517.8937292234</v>
      </c>
      <c r="N24" s="2">
        <f t="shared" ref="N24" si="12">+N22+N23</f>
        <v>3778537.6956157424</v>
      </c>
      <c r="O24" s="2">
        <f t="shared" ref="O24" si="13">+O22+O23</f>
        <v>3959618.3764547957</v>
      </c>
      <c r="P24" s="2">
        <f t="shared" ref="P24" si="14">+P22+P23</f>
        <v>4155877.8136145701</v>
      </c>
    </row>
    <row r="25" spans="2:16" s="1" customFormat="1" x14ac:dyDescent="0.25">
      <c r="B25" s="1" t="s">
        <v>3</v>
      </c>
      <c r="D25" s="1">
        <v>972759</v>
      </c>
      <c r="E25" s="1">
        <v>1213725</v>
      </c>
      <c r="F25" s="1">
        <f>962559*1.33</f>
        <v>1280203.47</v>
      </c>
      <c r="G25" s="1">
        <f>+G24*(1-G44)</f>
        <v>1367971.3202662724</v>
      </c>
      <c r="H25" s="1">
        <f t="shared" ref="H25:P25" si="15">+H24*(1-H44)</f>
        <v>1479155.9117538487</v>
      </c>
      <c r="I25" s="1">
        <f t="shared" si="15"/>
        <v>1577187.3783236162</v>
      </c>
      <c r="J25" s="1">
        <f t="shared" si="15"/>
        <v>1683276.3280543848</v>
      </c>
      <c r="K25" s="1">
        <f t="shared" si="15"/>
        <v>1800940.2738676344</v>
      </c>
      <c r="L25" s="1">
        <f t="shared" si="15"/>
        <v>1888784.1048411068</v>
      </c>
      <c r="M25" s="1">
        <f t="shared" si="15"/>
        <v>2022450.0204883653</v>
      </c>
      <c r="N25" s="1">
        <f t="shared" si="15"/>
        <v>2115981.109544816</v>
      </c>
      <c r="O25" s="1">
        <f t="shared" si="15"/>
        <v>2177790.1070501376</v>
      </c>
      <c r="P25" s="1">
        <f t="shared" si="15"/>
        <v>2285732.7974880137</v>
      </c>
    </row>
    <row r="26" spans="2:16" s="1" customFormat="1" x14ac:dyDescent="0.25">
      <c r="B26" s="1" t="s">
        <v>4</v>
      </c>
      <c r="D26" s="1">
        <f>+D24-D25</f>
        <v>678258</v>
      </c>
      <c r="E26" s="1">
        <f t="shared" ref="E26:G26" si="16">+E24-E25</f>
        <v>805951</v>
      </c>
      <c r="F26" s="1">
        <f t="shared" si="16"/>
        <v>908553.85000000033</v>
      </c>
      <c r="G26" s="1">
        <f t="shared" si="16"/>
        <v>990599.92157212785</v>
      </c>
      <c r="H26" s="1">
        <f t="shared" ref="H26" si="17">+H24-H25</f>
        <v>1071112.9016148555</v>
      </c>
      <c r="I26" s="1">
        <f t="shared" ref="I26" si="18">+I24-I25</f>
        <v>1189808.0222441314</v>
      </c>
      <c r="J26" s="1">
        <f t="shared" ref="J26" si="19">+J24-J25</f>
        <v>1269840.0369533077</v>
      </c>
      <c r="K26" s="1">
        <f t="shared" ref="K26" si="20">+K24-K25</f>
        <v>1358604.066251022</v>
      </c>
      <c r="L26" s="1">
        <f t="shared" ref="L26" si="21">+L24-L25</f>
        <v>1484044.6538037264</v>
      </c>
      <c r="M26" s="1">
        <f t="shared" ref="M26" si="22">+M24-M25</f>
        <v>1589067.8732408581</v>
      </c>
      <c r="N26" s="1">
        <f t="shared" ref="N26" si="23">+N24-N25</f>
        <v>1662556.5860709264</v>
      </c>
      <c r="O26" s="1">
        <f t="shared" ref="O26" si="24">+O24-O25</f>
        <v>1781828.2694046581</v>
      </c>
      <c r="P26" s="1">
        <f t="shared" ref="P26" si="25">+P24-P25</f>
        <v>1870145.0161265563</v>
      </c>
    </row>
    <row r="27" spans="2:16" s="1" customFormat="1" x14ac:dyDescent="0.25">
      <c r="B27" s="1" t="s">
        <v>5</v>
      </c>
      <c r="D27" s="1">
        <v>98378</v>
      </c>
      <c r="E27" s="1">
        <v>135503</v>
      </c>
      <c r="F27" s="1">
        <f>117248*1.33</f>
        <v>155939.84</v>
      </c>
      <c r="G27" s="1">
        <f>+G24*0.072</f>
        <v>169817.1294123648</v>
      </c>
      <c r="H27" s="1">
        <f t="shared" ref="H27:P27" si="26">+H24*0.072</f>
        <v>183619.35456254668</v>
      </c>
      <c r="I27" s="1">
        <f t="shared" si="26"/>
        <v>199223.66884087783</v>
      </c>
      <c r="J27" s="1">
        <f t="shared" si="26"/>
        <v>212624.37828055385</v>
      </c>
      <c r="K27" s="1">
        <f t="shared" si="26"/>
        <v>227487.19248854325</v>
      </c>
      <c r="L27" s="1">
        <f t="shared" si="26"/>
        <v>242843.67062242798</v>
      </c>
      <c r="M27" s="1">
        <f t="shared" si="26"/>
        <v>260029.28834850405</v>
      </c>
      <c r="N27" s="1">
        <f t="shared" si="26"/>
        <v>272054.71408433345</v>
      </c>
      <c r="O27" s="1">
        <f t="shared" si="26"/>
        <v>285092.52310474525</v>
      </c>
      <c r="P27" s="1">
        <f t="shared" si="26"/>
        <v>299223.202580249</v>
      </c>
    </row>
    <row r="28" spans="2:16" s="1" customFormat="1" x14ac:dyDescent="0.25">
      <c r="B28" s="1" t="s">
        <v>6</v>
      </c>
      <c r="D28" s="1">
        <v>40952</v>
      </c>
      <c r="E28" s="1">
        <v>39477</v>
      </c>
      <c r="F28" s="1">
        <f>31211*1.33</f>
        <v>41510.630000000005</v>
      </c>
      <c r="G28" s="1">
        <f>+G24*0.02</f>
        <v>47171.424836768005</v>
      </c>
      <c r="H28" s="1">
        <f t="shared" ref="H28:P28" si="27">+H24*0.02</f>
        <v>51005.376267374086</v>
      </c>
      <c r="I28" s="1">
        <f t="shared" si="27"/>
        <v>55339.908011354957</v>
      </c>
      <c r="J28" s="1">
        <f t="shared" si="27"/>
        <v>59062.327300153847</v>
      </c>
      <c r="K28" s="1">
        <f t="shared" si="27"/>
        <v>63190.886802373127</v>
      </c>
      <c r="L28" s="1">
        <f t="shared" si="27"/>
        <v>67456.575172896672</v>
      </c>
      <c r="M28" s="1">
        <f t="shared" si="27"/>
        <v>72230.357874584472</v>
      </c>
      <c r="N28" s="1">
        <f t="shared" si="27"/>
        <v>75570.753912314845</v>
      </c>
      <c r="O28" s="1">
        <f t="shared" si="27"/>
        <v>79192.367529095922</v>
      </c>
      <c r="P28" s="1">
        <f t="shared" si="27"/>
        <v>83117.556272291404</v>
      </c>
    </row>
    <row r="29" spans="2:16" s="1" customFormat="1" x14ac:dyDescent="0.25">
      <c r="B29" s="1" t="s">
        <v>7</v>
      </c>
      <c r="D29" s="1">
        <v>194678</v>
      </c>
      <c r="E29" s="1">
        <v>244353</v>
      </c>
      <c r="F29" s="1">
        <f>195270*1.33</f>
        <v>259709.1</v>
      </c>
      <c r="G29" s="1">
        <f>+F29*1.01</f>
        <v>262306.19099999999</v>
      </c>
      <c r="H29" s="1">
        <f t="shared" ref="H29:P29" si="28">+G29*1.01</f>
        <v>264929.25290999998</v>
      </c>
      <c r="I29" s="1">
        <f t="shared" si="28"/>
        <v>267578.54543910001</v>
      </c>
      <c r="J29" s="1">
        <f t="shared" si="28"/>
        <v>270254.33089349099</v>
      </c>
      <c r="K29" s="1">
        <f t="shared" si="28"/>
        <v>272956.87420242588</v>
      </c>
      <c r="L29" s="1">
        <f t="shared" si="28"/>
        <v>275686.44294445013</v>
      </c>
      <c r="M29" s="1">
        <f t="shared" si="28"/>
        <v>278443.30737389461</v>
      </c>
      <c r="N29" s="1">
        <f t="shared" si="28"/>
        <v>281227.74044763355</v>
      </c>
      <c r="O29" s="1">
        <f t="shared" si="28"/>
        <v>284040.01785210992</v>
      </c>
      <c r="P29" s="1">
        <f t="shared" si="28"/>
        <v>286880.41803063103</v>
      </c>
    </row>
    <row r="30" spans="2:16" s="2" customFormat="1" x14ac:dyDescent="0.25">
      <c r="B30" s="2" t="s">
        <v>16</v>
      </c>
      <c r="D30" s="2">
        <f>+D26-D27-D28-D29</f>
        <v>344250</v>
      </c>
      <c r="E30" s="2">
        <f t="shared" ref="E30:G30" si="29">+E26-E27-E28-E29</f>
        <v>386618</v>
      </c>
      <c r="F30" s="2">
        <f t="shared" si="29"/>
        <v>451394.28000000038</v>
      </c>
      <c r="G30" s="2">
        <f t="shared" si="29"/>
        <v>511305.1763229951</v>
      </c>
      <c r="H30" s="2">
        <f t="shared" ref="H30" si="30">+H26-H27-H28-H29</f>
        <v>571558.91787493462</v>
      </c>
      <c r="I30" s="2">
        <f t="shared" ref="I30" si="31">+I26-I27-I28-I29</f>
        <v>667665.89995279862</v>
      </c>
      <c r="J30" s="2">
        <f t="shared" ref="J30" si="32">+J26-J27-J28-J29</f>
        <v>727899.00047910889</v>
      </c>
      <c r="K30" s="2">
        <f t="shared" ref="K30" si="33">+K26-K27-K28-K29</f>
        <v>794969.11275767977</v>
      </c>
      <c r="L30" s="2">
        <f t="shared" ref="L30" si="34">+L26-L27-L28-L29</f>
        <v>898057.96506395168</v>
      </c>
      <c r="M30" s="2">
        <f t="shared" ref="M30" si="35">+M26-M27-M28-M29</f>
        <v>978364.91964387498</v>
      </c>
      <c r="N30" s="2">
        <f t="shared" ref="N30" si="36">+N26-N27-N28-N29</f>
        <v>1033703.3776266446</v>
      </c>
      <c r="O30" s="2">
        <f t="shared" ref="O30" si="37">+O26-O27-O28-O29</f>
        <v>1133503.3609187072</v>
      </c>
      <c r="P30" s="2">
        <f t="shared" ref="P30" si="38">+P26-P27-P28-P29</f>
        <v>1200923.839243385</v>
      </c>
    </row>
    <row r="31" spans="2:16" s="1" customFormat="1" x14ac:dyDescent="0.25">
      <c r="B31" s="1" t="s">
        <v>8</v>
      </c>
      <c r="D31" s="1">
        <v>7975</v>
      </c>
      <c r="E31" s="1">
        <v>243</v>
      </c>
      <c r="F31" s="1">
        <v>22256</v>
      </c>
      <c r="G31" s="1">
        <v>10000</v>
      </c>
      <c r="H31" s="1">
        <v>10000</v>
      </c>
      <c r="I31" s="1">
        <v>10000</v>
      </c>
      <c r="J31" s="1">
        <v>10000</v>
      </c>
      <c r="K31" s="1">
        <v>10000</v>
      </c>
      <c r="L31" s="1">
        <v>10000</v>
      </c>
      <c r="M31" s="1">
        <v>10000</v>
      </c>
      <c r="N31" s="1">
        <v>10000</v>
      </c>
      <c r="O31" s="1">
        <v>10000</v>
      </c>
      <c r="P31" s="1">
        <v>10000</v>
      </c>
    </row>
    <row r="32" spans="2:16" s="1" customFormat="1" x14ac:dyDescent="0.25">
      <c r="B32" s="1" t="s">
        <v>17</v>
      </c>
      <c r="D32" s="1">
        <v>1977</v>
      </c>
      <c r="E32" s="1">
        <v>-785</v>
      </c>
    </row>
    <row r="33" spans="2:158" s="1" customFormat="1" x14ac:dyDescent="0.25">
      <c r="B33" s="1" t="s">
        <v>9</v>
      </c>
      <c r="D33" s="1">
        <v>28139</v>
      </c>
      <c r="E33" s="1">
        <v>9038</v>
      </c>
    </row>
    <row r="34" spans="2:158" s="1" customFormat="1" x14ac:dyDescent="0.25">
      <c r="B34" s="1" t="s">
        <v>10</v>
      </c>
      <c r="D34" s="1">
        <v>220287</v>
      </c>
      <c r="E34" s="1">
        <v>215400</v>
      </c>
      <c r="F34" s="1">
        <v>210000</v>
      </c>
      <c r="G34" s="1">
        <v>210000</v>
      </c>
      <c r="H34" s="1">
        <v>210000</v>
      </c>
      <c r="I34" s="1">
        <v>210000</v>
      </c>
      <c r="J34" s="1">
        <v>210000</v>
      </c>
      <c r="K34" s="1">
        <v>210000</v>
      </c>
      <c r="L34" s="1">
        <v>210000</v>
      </c>
      <c r="M34" s="1">
        <v>210000</v>
      </c>
      <c r="N34" s="1">
        <v>210000</v>
      </c>
      <c r="O34" s="1">
        <v>210000</v>
      </c>
      <c r="P34" s="1">
        <v>210000</v>
      </c>
    </row>
    <row r="35" spans="2:158" s="1" customFormat="1" x14ac:dyDescent="0.25">
      <c r="B35" s="1" t="s">
        <v>18</v>
      </c>
      <c r="D35" s="1">
        <v>-8965</v>
      </c>
      <c r="E35" s="1">
        <v>1663</v>
      </c>
      <c r="F35" s="1">
        <v>52</v>
      </c>
      <c r="G35" s="1">
        <v>500</v>
      </c>
      <c r="H35" s="1">
        <v>500</v>
      </c>
      <c r="I35" s="1">
        <v>500</v>
      </c>
      <c r="J35" s="1">
        <v>500</v>
      </c>
      <c r="K35" s="1">
        <v>500</v>
      </c>
      <c r="L35" s="1">
        <v>500</v>
      </c>
      <c r="M35" s="1">
        <v>500</v>
      </c>
      <c r="N35" s="1">
        <v>500</v>
      </c>
      <c r="O35" s="1">
        <v>500</v>
      </c>
      <c r="P35" s="1">
        <v>500</v>
      </c>
    </row>
    <row r="36" spans="2:158" s="1" customFormat="1" x14ac:dyDescent="0.25">
      <c r="B36" s="1" t="s">
        <v>11</v>
      </c>
      <c r="D36" s="1">
        <f>+D30-D31+D32+D33-D34+D35</f>
        <v>137139</v>
      </c>
      <c r="E36" s="1">
        <f t="shared" ref="E36:G36" si="39">+E30-E31+E32+E33-E34+E35</f>
        <v>180891</v>
      </c>
      <c r="F36" s="1">
        <f t="shared" si="39"/>
        <v>219190.28000000038</v>
      </c>
      <c r="G36" s="1">
        <f t="shared" si="39"/>
        <v>291805.1763229951</v>
      </c>
      <c r="H36" s="1">
        <f t="shared" ref="H36" si="40">+H30-H31+H32+H33-H34+H35</f>
        <v>352058.91787493462</v>
      </c>
      <c r="I36" s="1">
        <f t="shared" ref="I36" si="41">+I30-I31+I32+I33-I34+I35</f>
        <v>448165.89995279862</v>
      </c>
      <c r="J36" s="1">
        <f t="shared" ref="J36" si="42">+J30-J31+J32+J33-J34+J35</f>
        <v>508399.00047910889</v>
      </c>
      <c r="K36" s="1">
        <f t="shared" ref="K36" si="43">+K30-K31+K32+K33-K34+K35</f>
        <v>575469.11275767977</v>
      </c>
      <c r="L36" s="1">
        <f t="shared" ref="L36" si="44">+L30-L31+L32+L33-L34+L35</f>
        <v>678557.96506395168</v>
      </c>
      <c r="M36" s="1">
        <f t="shared" ref="M36" si="45">+M30-M31+M32+M33-M34+M35</f>
        <v>758864.91964387498</v>
      </c>
      <c r="N36" s="1">
        <f t="shared" ref="N36" si="46">+N30-N31+N32+N33-N34+N35</f>
        <v>814203.37762664456</v>
      </c>
      <c r="O36" s="1">
        <f t="shared" ref="O36" si="47">+O30-O31+O32+O33-O34+O35</f>
        <v>914003.36091870721</v>
      </c>
      <c r="P36" s="1">
        <f t="shared" ref="P36" si="48">+P30-P31+P32+P33-P34+P35</f>
        <v>981423.83924338501</v>
      </c>
    </row>
    <row r="37" spans="2:158" s="1" customFormat="1" x14ac:dyDescent="0.25">
      <c r="B37" s="1" t="s">
        <v>12</v>
      </c>
      <c r="D37" s="1">
        <v>63277</v>
      </c>
      <c r="E37" s="1">
        <v>77052</v>
      </c>
      <c r="F37" s="1">
        <f>60125*1.33</f>
        <v>79966.25</v>
      </c>
      <c r="G37" s="1">
        <f>+G48*0.19</f>
        <v>95342.983501369075</v>
      </c>
      <c r="H37" s="1">
        <f t="shared" ref="H37:P37" si="49">+H48*0.19</f>
        <v>106791.19439623758</v>
      </c>
      <c r="I37" s="1">
        <f t="shared" si="49"/>
        <v>125051.52099103174</v>
      </c>
      <c r="J37" s="1">
        <f t="shared" si="49"/>
        <v>136495.8100910307</v>
      </c>
      <c r="K37" s="1">
        <f t="shared" si="49"/>
        <v>149239.13142395916</v>
      </c>
      <c r="L37" s="1">
        <f t="shared" si="49"/>
        <v>168826.01336215081</v>
      </c>
      <c r="M37" s="1">
        <f t="shared" si="49"/>
        <v>184084.33473233625</v>
      </c>
      <c r="N37" s="1">
        <f t="shared" si="49"/>
        <v>194598.64174906246</v>
      </c>
      <c r="O37" s="1">
        <f t="shared" si="49"/>
        <v>213560.63857455438</v>
      </c>
      <c r="P37" s="1">
        <f t="shared" si="49"/>
        <v>226370.52945624315</v>
      </c>
    </row>
    <row r="38" spans="2:158" s="1" customFormat="1" x14ac:dyDescent="0.25">
      <c r="B38" s="1" t="s">
        <v>13</v>
      </c>
      <c r="D38" s="1">
        <f>+D36-D37</f>
        <v>73862</v>
      </c>
      <c r="E38" s="1">
        <f t="shared" ref="E38:G38" si="50">+E36-E37</f>
        <v>103839</v>
      </c>
      <c r="F38" s="1">
        <f t="shared" si="50"/>
        <v>139224.03000000038</v>
      </c>
      <c r="G38" s="1">
        <f t="shared" si="50"/>
        <v>196462.19282162603</v>
      </c>
      <c r="H38" s="1">
        <f t="shared" ref="H38" si="51">+H36-H37</f>
        <v>245267.72347869704</v>
      </c>
      <c r="I38" s="1">
        <f t="shared" ref="I38" si="52">+I36-I37</f>
        <v>323114.3789617669</v>
      </c>
      <c r="J38" s="1">
        <f t="shared" ref="J38" si="53">+J36-J37</f>
        <v>371903.19038807822</v>
      </c>
      <c r="K38" s="1">
        <f t="shared" ref="K38" si="54">+K36-K37</f>
        <v>426229.98133372061</v>
      </c>
      <c r="L38" s="1">
        <f t="shared" ref="L38" si="55">+L36-L37</f>
        <v>509731.95170180086</v>
      </c>
      <c r="M38" s="1">
        <f t="shared" ref="M38" si="56">+M36-M37</f>
        <v>574780.58491153875</v>
      </c>
      <c r="N38" s="1">
        <f t="shared" ref="N38" si="57">+N36-N37</f>
        <v>619604.7358775821</v>
      </c>
      <c r="O38" s="1">
        <f t="shared" ref="O38" si="58">+O36-O37</f>
        <v>700442.72234415286</v>
      </c>
      <c r="P38" s="1">
        <f t="shared" ref="P38" si="59">+P36-P37</f>
        <v>755053.30978714186</v>
      </c>
    </row>
    <row r="39" spans="2:158" s="1" customFormat="1" x14ac:dyDescent="0.25">
      <c r="B39" s="1" t="s">
        <v>14</v>
      </c>
      <c r="D39" s="1">
        <v>5919</v>
      </c>
      <c r="E39" s="1">
        <v>5242</v>
      </c>
      <c r="F39" s="1">
        <v>6000</v>
      </c>
      <c r="G39" s="1">
        <v>6000</v>
      </c>
      <c r="H39" s="1">
        <v>6000</v>
      </c>
      <c r="I39" s="1">
        <v>6000</v>
      </c>
      <c r="J39" s="1">
        <v>6000</v>
      </c>
      <c r="K39" s="1">
        <v>6000</v>
      </c>
      <c r="L39" s="1">
        <v>6000</v>
      </c>
      <c r="M39" s="1">
        <v>6000</v>
      </c>
      <c r="N39" s="1">
        <v>6000</v>
      </c>
      <c r="O39" s="1">
        <v>6000</v>
      </c>
      <c r="P39" s="1">
        <v>6000</v>
      </c>
    </row>
    <row r="40" spans="2:158" s="1" customFormat="1" x14ac:dyDescent="0.25">
      <c r="B40" s="1" t="s">
        <v>15</v>
      </c>
      <c r="D40" s="1">
        <f>+D38-D39</f>
        <v>67943</v>
      </c>
      <c r="E40" s="1">
        <f>+E38-E39</f>
        <v>98597</v>
      </c>
      <c r="F40" s="1">
        <f t="shared" ref="F40:G40" si="60">+F38-F39</f>
        <v>133224.03000000038</v>
      </c>
      <c r="G40" s="1">
        <f t="shared" si="60"/>
        <v>190462.19282162603</v>
      </c>
      <c r="H40" s="1">
        <f t="shared" ref="H40" si="61">+H38-H39</f>
        <v>239267.72347869704</v>
      </c>
      <c r="I40" s="1">
        <f t="shared" ref="I40" si="62">+I38-I39</f>
        <v>317114.3789617669</v>
      </c>
      <c r="J40" s="1">
        <f t="shared" ref="J40" si="63">+J38-J39</f>
        <v>365903.19038807822</v>
      </c>
      <c r="K40" s="1">
        <f t="shared" ref="K40" si="64">+K38-K39</f>
        <v>420229.98133372061</v>
      </c>
      <c r="L40" s="1">
        <f t="shared" ref="L40" si="65">+L38-L39</f>
        <v>503731.95170180086</v>
      </c>
      <c r="M40" s="1">
        <f t="shared" ref="M40" si="66">+M38-M39</f>
        <v>568780.58491153875</v>
      </c>
      <c r="N40" s="1">
        <f t="shared" ref="N40" si="67">+N38-N39</f>
        <v>613604.7358775821</v>
      </c>
      <c r="O40" s="1">
        <f t="shared" ref="O40" si="68">+O38-O39</f>
        <v>694442.72234415286</v>
      </c>
      <c r="P40" s="1">
        <f t="shared" ref="P40" si="69">+P38-P39</f>
        <v>749053.30978714186</v>
      </c>
      <c r="Q40" s="1">
        <f>+P40*(1+$S45)</f>
        <v>767779.64253182034</v>
      </c>
      <c r="R40" s="1">
        <f t="shared" ref="R40:CC40" si="70">+Q40*(1+$S45)</f>
        <v>786974.13359511574</v>
      </c>
      <c r="S40" s="1">
        <f t="shared" si="70"/>
        <v>806648.48693499353</v>
      </c>
      <c r="T40" s="1">
        <f t="shared" si="70"/>
        <v>826814.69910836825</v>
      </c>
      <c r="U40" s="1">
        <f t="shared" si="70"/>
        <v>847485.06658607733</v>
      </c>
      <c r="V40" s="1">
        <f t="shared" si="70"/>
        <v>868672.19325072924</v>
      </c>
      <c r="W40" s="1">
        <f t="shared" si="70"/>
        <v>890388.99808199739</v>
      </c>
      <c r="X40" s="1">
        <f t="shared" si="70"/>
        <v>912648.72303404729</v>
      </c>
      <c r="Y40" s="1">
        <f t="shared" si="70"/>
        <v>935464.94110989838</v>
      </c>
      <c r="Z40" s="1">
        <f t="shared" si="70"/>
        <v>958851.56463764573</v>
      </c>
      <c r="AA40" s="1">
        <f t="shared" si="70"/>
        <v>982822.85375358677</v>
      </c>
      <c r="AB40" s="1">
        <f t="shared" si="70"/>
        <v>1007393.4250974264</v>
      </c>
      <c r="AC40" s="1">
        <f t="shared" si="70"/>
        <v>1032578.260724862</v>
      </c>
      <c r="AD40" s="1">
        <f t="shared" si="70"/>
        <v>1058392.7172429834</v>
      </c>
      <c r="AE40" s="1">
        <f t="shared" si="70"/>
        <v>1084852.5351740578</v>
      </c>
      <c r="AF40" s="1">
        <f t="shared" si="70"/>
        <v>1111973.8485534091</v>
      </c>
      <c r="AG40" s="1">
        <f t="shared" si="70"/>
        <v>1139773.1947672442</v>
      </c>
      <c r="AH40" s="1">
        <f t="shared" si="70"/>
        <v>1168267.5246364251</v>
      </c>
      <c r="AI40" s="1">
        <f t="shared" si="70"/>
        <v>1197474.2127523357</v>
      </c>
      <c r="AJ40" s="1">
        <f t="shared" si="70"/>
        <v>1227411.0680711439</v>
      </c>
      <c r="AK40" s="1">
        <f t="shared" si="70"/>
        <v>1258096.3447729223</v>
      </c>
      <c r="AL40" s="1">
        <f t="shared" si="70"/>
        <v>1289548.7533922454</v>
      </c>
      <c r="AM40" s="1">
        <f t="shared" si="70"/>
        <v>1321787.4722270514</v>
      </c>
      <c r="AN40" s="1">
        <f t="shared" si="70"/>
        <v>1354832.1590327276</v>
      </c>
      <c r="AO40" s="1">
        <f t="shared" si="70"/>
        <v>1388702.9630085456</v>
      </c>
      <c r="AP40" s="1">
        <f t="shared" si="70"/>
        <v>1423420.537083759</v>
      </c>
      <c r="AQ40" s="1">
        <f t="shared" si="70"/>
        <v>1459006.0505108528</v>
      </c>
      <c r="AR40" s="1">
        <f t="shared" si="70"/>
        <v>1495481.2017736239</v>
      </c>
      <c r="AS40" s="1">
        <f t="shared" si="70"/>
        <v>1532868.2318179645</v>
      </c>
      <c r="AT40" s="1">
        <f t="shared" si="70"/>
        <v>1571189.9376134134</v>
      </c>
      <c r="AU40" s="1">
        <f t="shared" si="70"/>
        <v>1610469.6860537487</v>
      </c>
      <c r="AV40" s="1">
        <f t="shared" si="70"/>
        <v>1650731.4282050922</v>
      </c>
      <c r="AW40" s="1">
        <f t="shared" si="70"/>
        <v>1691999.7139102193</v>
      </c>
      <c r="AX40" s="1">
        <f t="shared" si="70"/>
        <v>1734299.7067579746</v>
      </c>
      <c r="AY40" s="1">
        <f t="shared" si="70"/>
        <v>1777657.1994269239</v>
      </c>
      <c r="AZ40" s="1">
        <f t="shared" si="70"/>
        <v>1822098.6294125968</v>
      </c>
      <c r="BA40" s="1">
        <f t="shared" si="70"/>
        <v>1867651.0951479115</v>
      </c>
      <c r="BB40" s="1">
        <f t="shared" si="70"/>
        <v>1914342.3725266091</v>
      </c>
      <c r="BC40" s="1">
        <f t="shared" si="70"/>
        <v>1962200.9318397741</v>
      </c>
      <c r="BD40" s="1">
        <f t="shared" si="70"/>
        <v>2011255.9551357683</v>
      </c>
      <c r="BE40" s="1">
        <f t="shared" si="70"/>
        <v>2061537.3540141622</v>
      </c>
      <c r="BF40" s="1">
        <f t="shared" si="70"/>
        <v>2113075.787864516</v>
      </c>
      <c r="BG40" s="1">
        <f t="shared" si="70"/>
        <v>2165902.6825611289</v>
      </c>
      <c r="BH40" s="1">
        <f t="shared" si="70"/>
        <v>2220050.2496251571</v>
      </c>
      <c r="BI40" s="1">
        <f t="shared" si="70"/>
        <v>2275551.5058657858</v>
      </c>
      <c r="BJ40" s="1">
        <f t="shared" si="70"/>
        <v>2332440.29351243</v>
      </c>
      <c r="BK40" s="1">
        <f t="shared" si="70"/>
        <v>2390751.3008502405</v>
      </c>
      <c r="BL40" s="1">
        <f t="shared" si="70"/>
        <v>2450520.0833714963</v>
      </c>
      <c r="BM40" s="1">
        <f t="shared" si="70"/>
        <v>2511783.0854557836</v>
      </c>
      <c r="BN40" s="1">
        <f t="shared" si="70"/>
        <v>2574577.6625921782</v>
      </c>
      <c r="BO40" s="1">
        <f t="shared" si="70"/>
        <v>2638942.1041569826</v>
      </c>
      <c r="BP40" s="1">
        <f t="shared" si="70"/>
        <v>2704915.6567609068</v>
      </c>
      <c r="BQ40" s="1">
        <f t="shared" si="70"/>
        <v>2772538.5481799291</v>
      </c>
      <c r="BR40" s="1">
        <f t="shared" si="70"/>
        <v>2841852.0118844272</v>
      </c>
      <c r="BS40" s="1">
        <f t="shared" si="70"/>
        <v>2912898.3121815375</v>
      </c>
      <c r="BT40" s="1">
        <f t="shared" si="70"/>
        <v>2985720.7699860758</v>
      </c>
      <c r="BU40" s="1">
        <f t="shared" si="70"/>
        <v>3060363.7892357274</v>
      </c>
      <c r="BV40" s="1">
        <f t="shared" si="70"/>
        <v>3136872.8839666201</v>
      </c>
      <c r="BW40" s="1">
        <f t="shared" si="70"/>
        <v>3215294.7060657851</v>
      </c>
      <c r="BX40" s="1">
        <f t="shared" si="70"/>
        <v>3295677.0737174293</v>
      </c>
      <c r="BY40" s="1">
        <f t="shared" si="70"/>
        <v>3378069.0005603647</v>
      </c>
      <c r="BZ40" s="1">
        <f t="shared" si="70"/>
        <v>3462520.7255743737</v>
      </c>
      <c r="CA40" s="1">
        <f t="shared" si="70"/>
        <v>3549083.7437137328</v>
      </c>
      <c r="CB40" s="1">
        <f t="shared" si="70"/>
        <v>3637810.8373065758</v>
      </c>
      <c r="CC40" s="1">
        <f t="shared" si="70"/>
        <v>3728756.10823924</v>
      </c>
      <c r="CD40" s="1">
        <f t="shared" ref="CD40:EO40" si="71">+CC40*(1+$S45)</f>
        <v>3821975.0109452205</v>
      </c>
      <c r="CE40" s="1">
        <f t="shared" si="71"/>
        <v>3917524.3862188505</v>
      </c>
      <c r="CF40" s="1">
        <f t="shared" si="71"/>
        <v>4015462.4958743216</v>
      </c>
      <c r="CG40" s="1">
        <f t="shared" si="71"/>
        <v>4115849.0582711794</v>
      </c>
      <c r="CH40" s="1">
        <f t="shared" si="71"/>
        <v>4218745.284727959</v>
      </c>
      <c r="CI40" s="1">
        <f t="shared" si="71"/>
        <v>4324213.916846158</v>
      </c>
      <c r="CJ40" s="1">
        <f t="shared" si="71"/>
        <v>4432319.2647673115</v>
      </c>
      <c r="CK40" s="1">
        <f t="shared" si="71"/>
        <v>4543127.2463864936</v>
      </c>
      <c r="CL40" s="1">
        <f t="shared" si="71"/>
        <v>4656705.4275461556</v>
      </c>
      <c r="CM40" s="1">
        <f t="shared" si="71"/>
        <v>4773123.0632348089</v>
      </c>
      <c r="CN40" s="1">
        <f t="shared" si="71"/>
        <v>4892451.1398156788</v>
      </c>
      <c r="CO40" s="1">
        <f t="shared" si="71"/>
        <v>5014762.4183110707</v>
      </c>
      <c r="CP40" s="1">
        <f t="shared" si="71"/>
        <v>5140131.478768847</v>
      </c>
      <c r="CQ40" s="1">
        <f t="shared" si="71"/>
        <v>5268634.7657380672</v>
      </c>
      <c r="CR40" s="1">
        <f t="shared" si="71"/>
        <v>5400350.6348815188</v>
      </c>
      <c r="CS40" s="1">
        <f t="shared" si="71"/>
        <v>5535359.4007535558</v>
      </c>
      <c r="CT40" s="1">
        <f t="shared" si="71"/>
        <v>5673743.385772394</v>
      </c>
      <c r="CU40" s="1">
        <f t="shared" si="71"/>
        <v>5815586.9704167033</v>
      </c>
      <c r="CV40" s="1">
        <f t="shared" si="71"/>
        <v>5960976.6446771203</v>
      </c>
      <c r="CW40" s="1">
        <f t="shared" si="71"/>
        <v>6110001.060794048</v>
      </c>
      <c r="CX40" s="1">
        <f t="shared" si="71"/>
        <v>6262751.0873138988</v>
      </c>
      <c r="CY40" s="1">
        <f t="shared" si="71"/>
        <v>6419319.8644967461</v>
      </c>
      <c r="CZ40" s="1">
        <f t="shared" si="71"/>
        <v>6579802.8611091645</v>
      </c>
      <c r="DA40" s="1">
        <f t="shared" si="71"/>
        <v>6744297.9326368934</v>
      </c>
      <c r="DB40" s="1">
        <f t="shared" si="71"/>
        <v>6912905.3809528155</v>
      </c>
      <c r="DC40" s="1">
        <f t="shared" si="71"/>
        <v>7085728.0154766357</v>
      </c>
      <c r="DD40" s="1">
        <f t="shared" si="71"/>
        <v>7262871.215863551</v>
      </c>
      <c r="DE40" s="1">
        <f t="shared" si="71"/>
        <v>7444442.9962601392</v>
      </c>
      <c r="DF40" s="1">
        <f t="shared" si="71"/>
        <v>7630554.071166642</v>
      </c>
      <c r="DG40" s="1">
        <f t="shared" si="71"/>
        <v>7821317.9229458077</v>
      </c>
      <c r="DH40" s="1">
        <f t="shared" si="71"/>
        <v>8016850.8710194519</v>
      </c>
      <c r="DI40" s="1">
        <f t="shared" si="71"/>
        <v>8217272.1427949378</v>
      </c>
      <c r="DJ40" s="1">
        <f t="shared" si="71"/>
        <v>8422703.9463648107</v>
      </c>
      <c r="DK40" s="1">
        <f t="shared" si="71"/>
        <v>8633271.5450239293</v>
      </c>
      <c r="DL40" s="1">
        <f t="shared" si="71"/>
        <v>8849103.3336495273</v>
      </c>
      <c r="DM40" s="1">
        <f t="shared" si="71"/>
        <v>9070330.9169907644</v>
      </c>
      <c r="DN40" s="1">
        <f t="shared" si="71"/>
        <v>9297089.1899155322</v>
      </c>
      <c r="DO40" s="1">
        <f t="shared" si="71"/>
        <v>9529516.4196634199</v>
      </c>
      <c r="DP40" s="1">
        <f t="shared" si="71"/>
        <v>9767754.3301550038</v>
      </c>
      <c r="DQ40" s="1">
        <f t="shared" si="71"/>
        <v>10011948.188408878</v>
      </c>
      <c r="DR40" s="1">
        <f t="shared" si="71"/>
        <v>10262246.893119099</v>
      </c>
      <c r="DS40" s="1">
        <f t="shared" si="71"/>
        <v>10518803.065447075</v>
      </c>
      <c r="DT40" s="1">
        <f t="shared" si="71"/>
        <v>10781773.142083252</v>
      </c>
      <c r="DU40" s="1">
        <f t="shared" si="71"/>
        <v>11051317.470635332</v>
      </c>
      <c r="DV40" s="1">
        <f t="shared" si="71"/>
        <v>11327600.407401215</v>
      </c>
      <c r="DW40" s="1">
        <f t="shared" si="71"/>
        <v>11610790.417586245</v>
      </c>
      <c r="DX40" s="1">
        <f t="shared" si="71"/>
        <v>11901060.178025899</v>
      </c>
      <c r="DY40" s="1">
        <f t="shared" si="71"/>
        <v>12198586.682476547</v>
      </c>
      <c r="DZ40" s="1">
        <f t="shared" si="71"/>
        <v>12503551.349538459</v>
      </c>
      <c r="EA40" s="1">
        <f t="shared" si="71"/>
        <v>12816140.133276919</v>
      </c>
      <c r="EB40" s="1">
        <f t="shared" si="71"/>
        <v>13136543.636608841</v>
      </c>
      <c r="EC40" s="1">
        <f t="shared" si="71"/>
        <v>13464957.227524061</v>
      </c>
      <c r="ED40" s="1">
        <f t="shared" si="71"/>
        <v>13801581.158212161</v>
      </c>
      <c r="EE40" s="1">
        <f t="shared" si="71"/>
        <v>14146620.687167464</v>
      </c>
      <c r="EF40" s="1">
        <f t="shared" si="71"/>
        <v>14500286.204346649</v>
      </c>
      <c r="EG40" s="1">
        <f t="shared" si="71"/>
        <v>14862793.359455314</v>
      </c>
      <c r="EH40" s="1">
        <f t="shared" si="71"/>
        <v>15234363.193441695</v>
      </c>
      <c r="EI40" s="1">
        <f t="shared" si="71"/>
        <v>15615222.273277735</v>
      </c>
      <c r="EJ40" s="1">
        <f t="shared" si="71"/>
        <v>16005602.830109678</v>
      </c>
      <c r="EK40" s="1">
        <f t="shared" si="71"/>
        <v>16405742.900862418</v>
      </c>
      <c r="EL40" s="1">
        <f t="shared" si="71"/>
        <v>16815886.473383978</v>
      </c>
      <c r="EM40" s="1">
        <f t="shared" si="71"/>
        <v>17236283.635218576</v>
      </c>
      <c r="EN40" s="1">
        <f t="shared" si="71"/>
        <v>17667190.726099037</v>
      </c>
      <c r="EO40" s="1">
        <f t="shared" si="71"/>
        <v>18108870.494251512</v>
      </c>
      <c r="EP40" s="1">
        <f t="shared" ref="EP40:FB40" si="72">+EO40*(1+$S45)</f>
        <v>18561592.256607797</v>
      </c>
      <c r="EQ40" s="1">
        <f t="shared" si="72"/>
        <v>19025632.06302299</v>
      </c>
      <c r="ER40" s="1">
        <f t="shared" si="72"/>
        <v>19501272.864598561</v>
      </c>
      <c r="ES40" s="1">
        <f t="shared" si="72"/>
        <v>19988804.686213523</v>
      </c>
      <c r="ET40" s="1">
        <f t="shared" si="72"/>
        <v>20488524.803368859</v>
      </c>
      <c r="EU40" s="1">
        <f t="shared" si="72"/>
        <v>21000737.923453078</v>
      </c>
      <c r="EV40" s="1">
        <f t="shared" si="72"/>
        <v>21525756.371539403</v>
      </c>
      <c r="EW40" s="1">
        <f t="shared" si="72"/>
        <v>22063900.280827887</v>
      </c>
      <c r="EX40" s="1">
        <f t="shared" si="72"/>
        <v>22615497.787848584</v>
      </c>
      <c r="EY40" s="1">
        <f t="shared" si="72"/>
        <v>23180885.232544798</v>
      </c>
      <c r="EZ40" s="1">
        <f t="shared" si="72"/>
        <v>23760407.363358416</v>
      </c>
      <c r="FA40" s="1">
        <f t="shared" si="72"/>
        <v>24354417.547442373</v>
      </c>
      <c r="FB40" s="1">
        <f t="shared" si="72"/>
        <v>24963277.986128431</v>
      </c>
    </row>
    <row r="41" spans="2:158" s="5" customFormat="1" x14ac:dyDescent="0.25">
      <c r="B41" s="5" t="s">
        <v>22</v>
      </c>
      <c r="D41" s="5">
        <v>0.28999999999999998</v>
      </c>
      <c r="E41" s="5">
        <v>0.39</v>
      </c>
      <c r="F41" s="5">
        <f>+F40/F42</f>
        <v>0.53768336447903953</v>
      </c>
      <c r="G41" s="5">
        <f t="shared" ref="G41:P41" si="73">+G40/G42</f>
        <v>0.76869279995798934</v>
      </c>
      <c r="H41" s="5">
        <f t="shared" si="73"/>
        <v>0.96566869033511404</v>
      </c>
      <c r="I41" s="5">
        <f t="shared" si="73"/>
        <v>1.2798526377324233</v>
      </c>
      <c r="J41" s="5">
        <f t="shared" si="73"/>
        <v>1.4767610504011619</v>
      </c>
      <c r="K41" s="5">
        <f t="shared" si="73"/>
        <v>1.6960203817470334</v>
      </c>
      <c r="L41" s="5">
        <f t="shared" si="73"/>
        <v>2.0330288055887258</v>
      </c>
      <c r="M41" s="5">
        <f t="shared" si="73"/>
        <v>2.2955607824323532</v>
      </c>
      <c r="N41" s="5">
        <f t="shared" si="73"/>
        <v>2.4764680879787964</v>
      </c>
      <c r="O41" s="5">
        <f t="shared" si="73"/>
        <v>2.80272484917313</v>
      </c>
      <c r="P41" s="5">
        <f t="shared" si="73"/>
        <v>3.0231295643924714</v>
      </c>
      <c r="Q41" s="1"/>
    </row>
    <row r="42" spans="2:158" s="1" customFormat="1" x14ac:dyDescent="0.25">
      <c r="B42" s="1" t="s">
        <v>21</v>
      </c>
      <c r="F42" s="1">
        <v>247774.13399999999</v>
      </c>
      <c r="G42" s="1">
        <v>247774.13399999999</v>
      </c>
      <c r="H42" s="1">
        <v>247774.13399999999</v>
      </c>
      <c r="I42" s="1">
        <v>247774.13399999999</v>
      </c>
      <c r="J42" s="1">
        <v>247774.13399999999</v>
      </c>
      <c r="K42" s="1">
        <v>247774.13399999999</v>
      </c>
      <c r="L42" s="1">
        <v>247774.13399999999</v>
      </c>
      <c r="M42" s="1">
        <v>247774.13399999999</v>
      </c>
      <c r="N42" s="1">
        <v>247774.13399999999</v>
      </c>
      <c r="O42" s="1">
        <v>247774.13399999999</v>
      </c>
      <c r="P42" s="1">
        <v>247774.13399999999</v>
      </c>
    </row>
    <row r="43" spans="2:158" s="1" customFormat="1" x14ac:dyDescent="0.25">
      <c r="D43" s="7"/>
      <c r="E43" s="7"/>
      <c r="F43" s="7"/>
    </row>
    <row r="44" spans="2:158" s="3" customFormat="1" x14ac:dyDescent="0.25">
      <c r="B44" s="3" t="s">
        <v>19</v>
      </c>
      <c r="D44" s="3">
        <f>+D26/D24</f>
        <v>0.41081224481637679</v>
      </c>
      <c r="E44" s="3">
        <f>+E26/E24</f>
        <v>0.39904964954774924</v>
      </c>
      <c r="F44" s="3">
        <f>+F26/F24</f>
        <v>0.41510031363367422</v>
      </c>
      <c r="G44" s="3">
        <v>0.42</v>
      </c>
      <c r="H44" s="3">
        <v>0.42</v>
      </c>
      <c r="I44" s="3">
        <v>0.43</v>
      </c>
      <c r="J44" s="3">
        <v>0.43</v>
      </c>
      <c r="K44" s="3">
        <v>0.43</v>
      </c>
      <c r="L44" s="3">
        <v>0.44</v>
      </c>
      <c r="M44" s="3">
        <v>0.44</v>
      </c>
      <c r="N44" s="3">
        <v>0.44</v>
      </c>
      <c r="O44" s="3">
        <v>0.45</v>
      </c>
      <c r="P44" s="3">
        <v>0.45</v>
      </c>
      <c r="R44" s="3" t="s">
        <v>44</v>
      </c>
      <c r="S44" s="3">
        <v>0.1</v>
      </c>
    </row>
    <row r="45" spans="2:158" s="3" customFormat="1" x14ac:dyDescent="0.25">
      <c r="B45" s="3" t="s">
        <v>20</v>
      </c>
      <c r="D45" s="3">
        <f>+D30/D24</f>
        <v>0.20850784698158772</v>
      </c>
      <c r="E45" s="3">
        <f>+E30/E24</f>
        <v>0.19142575343768009</v>
      </c>
      <c r="F45" s="3">
        <f>+F30/F24</f>
        <v>0.20623313323744832</v>
      </c>
      <c r="G45" s="3">
        <f t="shared" ref="G45:P45" si="74">+G30/G24</f>
        <v>0.2167859792627912</v>
      </c>
      <c r="H45" s="3">
        <f t="shared" si="74"/>
        <v>0.22411712635106507</v>
      </c>
      <c r="I45" s="3">
        <f t="shared" si="74"/>
        <v>0.24129635337153188</v>
      </c>
      <c r="J45" s="3">
        <f t="shared" si="74"/>
        <v>0.24648503834938207</v>
      </c>
      <c r="K45" s="3">
        <f t="shared" si="74"/>
        <v>0.25160878505912176</v>
      </c>
      <c r="L45" s="3">
        <f t="shared" si="74"/>
        <v>0.266262543795666</v>
      </c>
      <c r="M45" s="3">
        <f t="shared" si="74"/>
        <v>0.27090130754789737</v>
      </c>
      <c r="N45" s="3">
        <f t="shared" si="74"/>
        <v>0.27357233429907452</v>
      </c>
      <c r="O45" s="3">
        <f t="shared" si="74"/>
        <v>0.2862658097706825</v>
      </c>
      <c r="P45" s="3">
        <f t="shared" si="74"/>
        <v>0.2889699584788521</v>
      </c>
      <c r="R45" s="3" t="s">
        <v>45</v>
      </c>
      <c r="S45" s="3">
        <v>2.5000000000000001E-2</v>
      </c>
    </row>
    <row r="46" spans="2:158" s="3" customFormat="1" x14ac:dyDescent="0.25">
      <c r="B46" s="3" t="s">
        <v>0</v>
      </c>
      <c r="E46" s="3">
        <f>+E24/D24 -1</f>
        <v>0.22329206785878042</v>
      </c>
      <c r="F46" s="3">
        <f>+F24/E24 -1</f>
        <v>8.3717051645907814E-2</v>
      </c>
      <c r="G46" s="3">
        <f t="shared" ref="G46:P46" si="75">+G24/F24 -1</f>
        <v>7.7584627718526589E-2</v>
      </c>
      <c r="H46" s="3">
        <f t="shared" si="75"/>
        <v>8.1276990124277138E-2</v>
      </c>
      <c r="I46" s="3">
        <f t="shared" si="75"/>
        <v>8.4981859976072327E-2</v>
      </c>
      <c r="J46" s="3">
        <f t="shared" si="75"/>
        <v>6.7264645399033096E-2</v>
      </c>
      <c r="K46" s="3">
        <f t="shared" si="75"/>
        <v>6.9901740939499524E-2</v>
      </c>
      <c r="L46" s="3">
        <f t="shared" si="75"/>
        <v>6.7504803087576448E-2</v>
      </c>
      <c r="M46" s="3">
        <f t="shared" si="75"/>
        <v>7.076823407432431E-2</v>
      </c>
      <c r="N46" s="3">
        <f t="shared" si="75"/>
        <v>4.6246427901276643E-2</v>
      </c>
      <c r="O46" s="3">
        <f t="shared" si="75"/>
        <v>4.7923481364010811E-2</v>
      </c>
      <c r="P46" s="3">
        <f t="shared" si="75"/>
        <v>4.956524051075184E-2</v>
      </c>
      <c r="R46" s="3" t="s">
        <v>46</v>
      </c>
      <c r="S46" s="1">
        <f>NPV(S44,F40:FI40)</f>
        <v>6041492.6904182574</v>
      </c>
    </row>
    <row r="47" spans="2:158" s="1" customFormat="1" x14ac:dyDescent="0.25">
      <c r="R47" s="1" t="s">
        <v>39</v>
      </c>
      <c r="S47" s="1">
        <f>+Sheet2!D7</f>
        <v>-1987537</v>
      </c>
    </row>
    <row r="48" spans="2:158" s="1" customFormat="1" x14ac:dyDescent="0.25">
      <c r="B48" s="1" t="s">
        <v>35</v>
      </c>
      <c r="D48" s="1">
        <f>+D30-D31+D32+D35</f>
        <v>329287</v>
      </c>
      <c r="E48" s="1">
        <f t="shared" ref="E48:P48" si="76">+E30-E31+E32+E35</f>
        <v>387253</v>
      </c>
      <c r="F48" s="1">
        <f t="shared" si="76"/>
        <v>429190.28000000038</v>
      </c>
      <c r="G48" s="1">
        <f t="shared" si="76"/>
        <v>501805.1763229951</v>
      </c>
      <c r="H48" s="1">
        <f t="shared" si="76"/>
        <v>562058.91787493462</v>
      </c>
      <c r="I48" s="1">
        <f t="shared" si="76"/>
        <v>658165.89995279862</v>
      </c>
      <c r="J48" s="1">
        <f t="shared" si="76"/>
        <v>718399.00047910889</v>
      </c>
      <c r="K48" s="1">
        <f t="shared" si="76"/>
        <v>785469.11275767977</v>
      </c>
      <c r="L48" s="1">
        <f t="shared" si="76"/>
        <v>888557.96506395168</v>
      </c>
      <c r="M48" s="1">
        <f t="shared" si="76"/>
        <v>968864.91964387498</v>
      </c>
      <c r="N48" s="1">
        <f t="shared" si="76"/>
        <v>1024203.3776266446</v>
      </c>
      <c r="O48" s="1">
        <f t="shared" si="76"/>
        <v>1124003.3609187072</v>
      </c>
      <c r="P48" s="1">
        <f t="shared" si="76"/>
        <v>1191423.839243385</v>
      </c>
      <c r="R48" s="1" t="s">
        <v>47</v>
      </c>
      <c r="S48" s="1">
        <f>+S46+S47</f>
        <v>4053955.6904182574</v>
      </c>
    </row>
    <row r="49" spans="2:19" s="1" customFormat="1" x14ac:dyDescent="0.25">
      <c r="R49" s="1" t="s">
        <v>36</v>
      </c>
      <c r="S49" s="4">
        <f>+S48/P42</f>
        <v>16.361496759053377</v>
      </c>
    </row>
    <row r="50" spans="2:19" s="1" customFormat="1" x14ac:dyDescent="0.25">
      <c r="B50" s="1" t="s">
        <v>23</v>
      </c>
      <c r="D50" s="1">
        <v>407532</v>
      </c>
      <c r="E50" s="1">
        <v>524338</v>
      </c>
    </row>
    <row r="51" spans="2:19" s="1" customFormat="1" x14ac:dyDescent="0.25">
      <c r="B51" s="1" t="s">
        <v>24</v>
      </c>
      <c r="D51" s="1">
        <f>40344+82891</f>
        <v>123235</v>
      </c>
      <c r="E51" s="1">
        <f>63699+117713</f>
        <v>181412</v>
      </c>
    </row>
    <row r="52" spans="2:19" s="1" customFormat="1" x14ac:dyDescent="0.25">
      <c r="B52" s="1" t="s">
        <v>25</v>
      </c>
      <c r="D52" s="1">
        <f>+D50-D51</f>
        <v>284297</v>
      </c>
      <c r="E52" s="1">
        <f>+E50-E51</f>
        <v>342926</v>
      </c>
    </row>
    <row r="53" spans="2:19" s="1" customFormat="1" x14ac:dyDescent="0.25"/>
    <row r="54" spans="2:19" s="7" customFormat="1" x14ac:dyDescent="0.25">
      <c r="B54" s="7" t="s">
        <v>5</v>
      </c>
      <c r="D54" s="7">
        <f>+D27/D24</f>
        <v>5.9586303472344622E-2</v>
      </c>
      <c r="E54" s="7">
        <f t="shared" ref="E54:F54" si="77">+E27/E24</f>
        <v>6.7091454272863574E-2</v>
      </c>
      <c r="F54" s="7">
        <f t="shared" si="77"/>
        <v>7.124583368612103E-2</v>
      </c>
      <c r="G54" s="7">
        <f t="shared" ref="G54:P54" si="78">+G27/G24</f>
        <v>7.1999999999999995E-2</v>
      </c>
      <c r="H54" s="7">
        <f t="shared" si="78"/>
        <v>7.1999999999999995E-2</v>
      </c>
      <c r="I54" s="7">
        <f t="shared" si="78"/>
        <v>7.1999999999999995E-2</v>
      </c>
      <c r="J54" s="7">
        <f t="shared" si="78"/>
        <v>7.1999999999999995E-2</v>
      </c>
      <c r="K54" s="7">
        <f t="shared" si="78"/>
        <v>7.1999999999999995E-2</v>
      </c>
      <c r="L54" s="7">
        <f t="shared" si="78"/>
        <v>7.1999999999999995E-2</v>
      </c>
      <c r="M54" s="7">
        <f t="shared" si="78"/>
        <v>7.1999999999999995E-2</v>
      </c>
      <c r="N54" s="7">
        <f t="shared" si="78"/>
        <v>7.1999999999999995E-2</v>
      </c>
      <c r="O54" s="7">
        <f t="shared" si="78"/>
        <v>7.1999999999999995E-2</v>
      </c>
      <c r="P54" s="7">
        <f t="shared" si="78"/>
        <v>7.1999999999999995E-2</v>
      </c>
    </row>
    <row r="55" spans="2:19" s="7" customFormat="1" x14ac:dyDescent="0.25">
      <c r="B55" s="7" t="s">
        <v>6</v>
      </c>
      <c r="D55" s="7">
        <f>+D28/D24</f>
        <v>2.4804105590675325E-2</v>
      </c>
      <c r="E55" s="7">
        <f t="shared" ref="E55:F55" si="79">+E28/E24</f>
        <v>1.9546204440712273E-2</v>
      </c>
      <c r="F55" s="7">
        <f t="shared" si="79"/>
        <v>1.8965387172297385E-2</v>
      </c>
      <c r="G55" s="7">
        <f t="shared" ref="G55:P55" si="80">+G28/G24</f>
        <v>0.02</v>
      </c>
      <c r="H55" s="7">
        <f t="shared" si="80"/>
        <v>0.02</v>
      </c>
      <c r="I55" s="7">
        <f t="shared" si="80"/>
        <v>0.02</v>
      </c>
      <c r="J55" s="7">
        <f t="shared" si="80"/>
        <v>0.02</v>
      </c>
      <c r="K55" s="7">
        <f t="shared" si="80"/>
        <v>0.02</v>
      </c>
      <c r="L55" s="7">
        <f t="shared" si="80"/>
        <v>0.02</v>
      </c>
      <c r="M55" s="7">
        <f t="shared" si="80"/>
        <v>0.02</v>
      </c>
      <c r="N55" s="7">
        <f t="shared" si="80"/>
        <v>0.02</v>
      </c>
      <c r="O55" s="7">
        <f t="shared" si="80"/>
        <v>0.02</v>
      </c>
      <c r="P55" s="7">
        <f t="shared" si="80"/>
        <v>0.02</v>
      </c>
    </row>
    <row r="56" spans="2:19" s="1" customFormat="1" x14ac:dyDescent="0.25">
      <c r="B56" s="1" t="s">
        <v>7</v>
      </c>
      <c r="D56" s="7">
        <f>+D29/D24</f>
        <v>0.11791398877176916</v>
      </c>
      <c r="E56" s="7">
        <f t="shared" ref="E56:F56" si="81">+E29/E24</f>
        <v>0.12098623739649329</v>
      </c>
      <c r="F56" s="7">
        <f t="shared" si="81"/>
        <v>0.1186559595378075</v>
      </c>
      <c r="G56" s="7">
        <f t="shared" ref="G56:P56" si="82">+G29/G24</f>
        <v>0.11121402073720874</v>
      </c>
      <c r="H56" s="7">
        <f t="shared" si="82"/>
        <v>0.1038828736489348</v>
      </c>
      <c r="I56" s="7">
        <f t="shared" si="82"/>
        <v>9.6703646628468101E-2</v>
      </c>
      <c r="J56" s="7">
        <f t="shared" si="82"/>
        <v>9.1514961650617857E-2</v>
      </c>
      <c r="K56" s="7">
        <f t="shared" si="82"/>
        <v>8.6391214940878161E-2</v>
      </c>
      <c r="L56" s="7">
        <f t="shared" si="82"/>
        <v>8.1737456204333953E-2</v>
      </c>
      <c r="M56" s="7">
        <f t="shared" si="82"/>
        <v>7.709869245210256E-2</v>
      </c>
      <c r="N56" s="7">
        <f t="shared" si="82"/>
        <v>7.4427665700925419E-2</v>
      </c>
      <c r="O56" s="7">
        <f t="shared" si="82"/>
        <v>7.1734190229317568E-2</v>
      </c>
      <c r="P56" s="7">
        <f t="shared" si="82"/>
        <v>6.9030041521147875E-2</v>
      </c>
    </row>
    <row r="57" spans="2:19" s="1" customFormat="1" x14ac:dyDescent="0.25"/>
    <row r="58" spans="2:19" s="1" customFormat="1" x14ac:dyDescent="0.25">
      <c r="B58" s="1" t="s">
        <v>43</v>
      </c>
      <c r="E58" s="1">
        <v>67113</v>
      </c>
    </row>
    <row r="59" spans="2:19" s="1" customFormat="1" x14ac:dyDescent="0.25"/>
    <row r="60" spans="2:19" s="1" customFormat="1" x14ac:dyDescent="0.25"/>
    <row r="61" spans="2:19" s="1" customFormat="1" x14ac:dyDescent="0.25"/>
    <row r="62" spans="2:19" s="1" customFormat="1" x14ac:dyDescent="0.25"/>
    <row r="63" spans="2:19" s="1" customFormat="1" x14ac:dyDescent="0.25"/>
    <row r="64" spans="2:19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2026-02-18T16:57:15Z</dcterms:created>
  <dcterms:modified xsi:type="dcterms:W3CDTF">2026-02-18T17:56:44Z</dcterms:modified>
</cp:coreProperties>
</file>