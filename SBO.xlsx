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A1310F95-A1D9-4E9D-828D-A836CCDF39B6}" xr6:coauthVersionLast="47" xr6:coauthVersionMax="47" xr10:uidLastSave="{00000000-0000-0000-0000-000000000000}"/>
  <bookViews>
    <workbookView xWindow="-120" yWindow="-120" windowWidth="29040" windowHeight="15840" activeTab="1" xr2:uid="{A9662B96-D512-40EC-8CF1-23E354E3CF7A}"/>
  </bookViews>
  <sheets>
    <sheet name="Main" sheetId="2" r:id="rId1"/>
    <sheet name="Model" sheetId="1" r:id="rId2"/>
    <sheet name="Factors" sheetId="3" r:id="rId3"/>
  </sheets>
  <definedNames>
    <definedName name="TR">Model!$W$43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11" i="1"/>
  <c r="L11" i="1" s="1"/>
  <c r="M11" i="1" s="1"/>
  <c r="N11" i="1" s="1"/>
  <c r="O11" i="1" s="1"/>
  <c r="P11" i="1" s="1"/>
  <c r="Q11" i="1" s="1"/>
  <c r="R11" i="1" s="1"/>
  <c r="S11" i="1" s="1"/>
  <c r="T11" i="1" s="1"/>
  <c r="J11" i="1"/>
  <c r="L4" i="1"/>
  <c r="M4" i="1" s="1"/>
  <c r="N4" i="1" s="1"/>
  <c r="J8" i="1"/>
  <c r="K8" i="1" s="1"/>
  <c r="W45" i="1"/>
  <c r="J33" i="1"/>
  <c r="J32" i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J28" i="1"/>
  <c r="J27" i="1"/>
  <c r="K48" i="1"/>
  <c r="L48" i="1"/>
  <c r="M48" i="1"/>
  <c r="N48" i="1"/>
  <c r="O48" i="1"/>
  <c r="P48" i="1"/>
  <c r="Q48" i="1"/>
  <c r="R48" i="1"/>
  <c r="S48" i="1"/>
  <c r="T48" i="1"/>
  <c r="J48" i="1"/>
  <c r="K51" i="1"/>
  <c r="L51" i="1" s="1"/>
  <c r="J51" i="1"/>
  <c r="J38" i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D63" i="1"/>
  <c r="E63" i="1"/>
  <c r="F63" i="1"/>
  <c r="G63" i="1"/>
  <c r="H63" i="1"/>
  <c r="I63" i="1"/>
  <c r="D64" i="1"/>
  <c r="E64" i="1"/>
  <c r="F64" i="1"/>
  <c r="G64" i="1"/>
  <c r="H64" i="1"/>
  <c r="I64" i="1"/>
  <c r="D65" i="1"/>
  <c r="E65" i="1"/>
  <c r="F65" i="1"/>
  <c r="G65" i="1"/>
  <c r="H65" i="1"/>
  <c r="I65" i="1"/>
  <c r="C64" i="1"/>
  <c r="C65" i="1"/>
  <c r="C63" i="1"/>
  <c r="D8" i="1"/>
  <c r="E8" i="1"/>
  <c r="F8" i="1"/>
  <c r="G8" i="1"/>
  <c r="H8" i="1"/>
  <c r="I8" i="1"/>
  <c r="C8" i="1"/>
  <c r="J7" i="1"/>
  <c r="K7" i="1" s="1"/>
  <c r="I59" i="1"/>
  <c r="I60" i="1" s="1"/>
  <c r="I49" i="1"/>
  <c r="I52" i="1"/>
  <c r="C49" i="1"/>
  <c r="D49" i="1"/>
  <c r="E49" i="1"/>
  <c r="F49" i="1"/>
  <c r="G49" i="1"/>
  <c r="H49" i="1"/>
  <c r="I30" i="1"/>
  <c r="H30" i="1"/>
  <c r="G23" i="1"/>
  <c r="G22" i="1"/>
  <c r="G21" i="1"/>
  <c r="H23" i="1"/>
  <c r="H22" i="1"/>
  <c r="H21" i="1"/>
  <c r="K33" i="1"/>
  <c r="L33" i="1" s="1"/>
  <c r="M33" i="1" s="1"/>
  <c r="N33" i="1" s="1"/>
  <c r="O33" i="1" s="1"/>
  <c r="P33" i="1" s="1"/>
  <c r="Q33" i="1" s="1"/>
  <c r="R33" i="1" s="1"/>
  <c r="S33" i="1" s="1"/>
  <c r="T33" i="1" s="1"/>
  <c r="E42" i="1"/>
  <c r="F42" i="1"/>
  <c r="G42" i="1"/>
  <c r="H42" i="1"/>
  <c r="D42" i="1"/>
  <c r="J16" i="1" l="1"/>
  <c r="J24" i="1" s="1"/>
  <c r="L8" i="1"/>
  <c r="M8" i="1" s="1"/>
  <c r="N8" i="1" s="1"/>
  <c r="O8" i="1" s="1"/>
  <c r="P8" i="1" s="1"/>
  <c r="Q8" i="1" s="1"/>
  <c r="R8" i="1" s="1"/>
  <c r="S8" i="1" s="1"/>
  <c r="T8" i="1" s="1"/>
  <c r="M51" i="1"/>
  <c r="L7" i="1"/>
  <c r="M7" i="1" s="1"/>
  <c r="N7" i="1" s="1"/>
  <c r="O7" i="1" s="1"/>
  <c r="P7" i="1" s="1"/>
  <c r="Q7" i="1" s="1"/>
  <c r="R7" i="1" s="1"/>
  <c r="S7" i="1" s="1"/>
  <c r="T7" i="1" s="1"/>
  <c r="K16" i="1"/>
  <c r="I61" i="1"/>
  <c r="N51" i="1" l="1"/>
  <c r="L16" i="1"/>
  <c r="M16" i="1"/>
  <c r="O51" i="1" l="1"/>
  <c r="N16" i="1"/>
  <c r="P51" i="1" l="1"/>
  <c r="O16" i="1"/>
  <c r="Q51" i="1" l="1"/>
  <c r="P16" i="1"/>
  <c r="R51" i="1" l="1"/>
  <c r="Q16" i="1"/>
  <c r="S51" i="1" l="1"/>
  <c r="T51" i="1" s="1"/>
  <c r="R16" i="1"/>
  <c r="D45" i="1"/>
  <c r="E45" i="1"/>
  <c r="F45" i="1"/>
  <c r="G45" i="1"/>
  <c r="H45" i="1"/>
  <c r="D46" i="1"/>
  <c r="E46" i="1"/>
  <c r="F46" i="1"/>
  <c r="G46" i="1"/>
  <c r="H46" i="1"/>
  <c r="C46" i="1"/>
  <c r="C45" i="1"/>
  <c r="D43" i="1"/>
  <c r="E43" i="1"/>
  <c r="F43" i="1"/>
  <c r="G43" i="1"/>
  <c r="D44" i="1"/>
  <c r="E44" i="1"/>
  <c r="F44" i="1"/>
  <c r="G44" i="1"/>
  <c r="H44" i="1"/>
  <c r="H43" i="1"/>
  <c r="G59" i="1"/>
  <c r="H59" i="1"/>
  <c r="H60" i="1" s="1"/>
  <c r="C52" i="1"/>
  <c r="D52" i="1"/>
  <c r="E52" i="1"/>
  <c r="F52" i="1"/>
  <c r="G52" i="1"/>
  <c r="H52" i="1"/>
  <c r="C30" i="1"/>
  <c r="D30" i="1"/>
  <c r="E30" i="1"/>
  <c r="F30" i="1"/>
  <c r="G30" i="1"/>
  <c r="D26" i="1"/>
  <c r="D40" i="1" s="1"/>
  <c r="E26" i="1"/>
  <c r="F26" i="1"/>
  <c r="F40" i="1" s="1"/>
  <c r="G26" i="1"/>
  <c r="G40" i="1" s="1"/>
  <c r="H26" i="1"/>
  <c r="C26" i="1"/>
  <c r="C40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R24" i="1" l="1"/>
  <c r="R25" i="1" s="1"/>
  <c r="S16" i="1"/>
  <c r="T16" i="1"/>
  <c r="G61" i="1"/>
  <c r="G60" i="1"/>
  <c r="H40" i="1"/>
  <c r="H31" i="1"/>
  <c r="H34" i="1" s="1"/>
  <c r="H36" i="1" s="1"/>
  <c r="H61" i="1"/>
  <c r="I43" i="1"/>
  <c r="I44" i="1"/>
  <c r="E31" i="1"/>
  <c r="E34" i="1" s="1"/>
  <c r="E36" i="1" s="1"/>
  <c r="E41" i="1" s="1"/>
  <c r="E40" i="1"/>
  <c r="G31" i="1"/>
  <c r="G34" i="1" s="1"/>
  <c r="G36" i="1" s="1"/>
  <c r="G41" i="1" s="1"/>
  <c r="F31" i="1"/>
  <c r="F34" i="1" s="1"/>
  <c r="F36" i="1" s="1"/>
  <c r="F41" i="1" s="1"/>
  <c r="C31" i="1"/>
  <c r="C34" i="1" s="1"/>
  <c r="C36" i="1" s="1"/>
  <c r="C41" i="1" s="1"/>
  <c r="D31" i="1"/>
  <c r="D34" i="1" s="1"/>
  <c r="D36" i="1" s="1"/>
  <c r="D41" i="1" s="1"/>
  <c r="R46" i="1" l="1"/>
  <c r="T24" i="1"/>
  <c r="T25" i="1" s="1"/>
  <c r="S24" i="1"/>
  <c r="S25" i="1" s="1"/>
  <c r="S26" i="1" s="1"/>
  <c r="R26" i="1"/>
  <c r="R29" i="1"/>
  <c r="R30" i="1" s="1"/>
  <c r="R45" i="1"/>
  <c r="R27" i="1"/>
  <c r="R28" i="1"/>
  <c r="T26" i="1"/>
  <c r="H41" i="1"/>
  <c r="H37" i="1"/>
  <c r="I26" i="1"/>
  <c r="I31" i="1" s="1"/>
  <c r="I45" i="1"/>
  <c r="I42" i="1"/>
  <c r="I46" i="1"/>
  <c r="J25" i="1"/>
  <c r="T46" i="1" l="1"/>
  <c r="S46" i="1"/>
  <c r="J63" i="1"/>
  <c r="J26" i="1"/>
  <c r="J29" i="1"/>
  <c r="J30" i="1" s="1"/>
  <c r="J64" i="1"/>
  <c r="R31" i="1"/>
  <c r="R34" i="1" s="1"/>
  <c r="R35" i="1" s="1"/>
  <c r="R36" i="1" s="1"/>
  <c r="R50" i="1" s="1"/>
  <c r="R52" i="1" s="1"/>
  <c r="S28" i="1"/>
  <c r="S42" i="1"/>
  <c r="S29" i="1"/>
  <c r="S30" i="1" s="1"/>
  <c r="S45" i="1"/>
  <c r="S27" i="1"/>
  <c r="S31" i="1" s="1"/>
  <c r="S34" i="1" s="1"/>
  <c r="S35" i="1" s="1"/>
  <c r="S36" i="1" s="1"/>
  <c r="S50" i="1" s="1"/>
  <c r="S52" i="1" s="1"/>
  <c r="T28" i="1"/>
  <c r="T29" i="1"/>
  <c r="T30" i="1" s="1"/>
  <c r="T27" i="1"/>
  <c r="T42" i="1"/>
  <c r="T45" i="1"/>
  <c r="I40" i="1"/>
  <c r="I34" i="1"/>
  <c r="J46" i="1"/>
  <c r="J42" i="1"/>
  <c r="J45" i="1"/>
  <c r="K24" i="1"/>
  <c r="K25" i="1" s="1"/>
  <c r="J31" i="1" l="1"/>
  <c r="J34" i="1" s="1"/>
  <c r="J35" i="1" s="1"/>
  <c r="J36" i="1" s="1"/>
  <c r="J50" i="1" s="1"/>
  <c r="J52" i="1" s="1"/>
  <c r="J65" i="1"/>
  <c r="T31" i="1"/>
  <c r="T34" i="1" s="1"/>
  <c r="T35" i="1" s="1"/>
  <c r="T36" i="1" s="1"/>
  <c r="S37" i="1"/>
  <c r="S41" i="1"/>
  <c r="K27" i="1"/>
  <c r="K28" i="1"/>
  <c r="K29" i="1"/>
  <c r="K30" i="1" s="1"/>
  <c r="R41" i="1"/>
  <c r="R37" i="1"/>
  <c r="K26" i="1"/>
  <c r="I36" i="1"/>
  <c r="K46" i="1"/>
  <c r="K42" i="1"/>
  <c r="L24" i="1"/>
  <c r="L25" i="1" s="1"/>
  <c r="K45" i="1"/>
  <c r="T41" i="1" l="1"/>
  <c r="T50" i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DC52" i="1" s="1"/>
  <c r="DD52" i="1" s="1"/>
  <c r="DE52" i="1" s="1"/>
  <c r="DF52" i="1" s="1"/>
  <c r="DG52" i="1" s="1"/>
  <c r="DH52" i="1" s="1"/>
  <c r="DI52" i="1" s="1"/>
  <c r="DJ52" i="1" s="1"/>
  <c r="DK52" i="1" s="1"/>
  <c r="DL52" i="1" s="1"/>
  <c r="DM52" i="1" s="1"/>
  <c r="DN52" i="1" s="1"/>
  <c r="DO52" i="1" s="1"/>
  <c r="DP52" i="1" s="1"/>
  <c r="DQ52" i="1" s="1"/>
  <c r="DR52" i="1" s="1"/>
  <c r="DS52" i="1" s="1"/>
  <c r="DT52" i="1" s="1"/>
  <c r="DU52" i="1" s="1"/>
  <c r="DV52" i="1" s="1"/>
  <c r="DW52" i="1" s="1"/>
  <c r="DX52" i="1" s="1"/>
  <c r="DY52" i="1" s="1"/>
  <c r="DZ52" i="1" s="1"/>
  <c r="EA52" i="1" s="1"/>
  <c r="EB52" i="1" s="1"/>
  <c r="EC52" i="1" s="1"/>
  <c r="ED52" i="1" s="1"/>
  <c r="EE52" i="1" s="1"/>
  <c r="EF52" i="1" s="1"/>
  <c r="EG52" i="1" s="1"/>
  <c r="EH52" i="1" s="1"/>
  <c r="I37" i="1"/>
  <c r="T37" i="1"/>
  <c r="J41" i="1"/>
  <c r="J37" i="1"/>
  <c r="L27" i="1"/>
  <c r="L28" i="1"/>
  <c r="L29" i="1"/>
  <c r="L30" i="1" s="1"/>
  <c r="I41" i="1"/>
  <c r="K31" i="1"/>
  <c r="K34" i="1" s="1"/>
  <c r="K35" i="1" s="1"/>
  <c r="K36" i="1" s="1"/>
  <c r="K50" i="1" s="1"/>
  <c r="K52" i="1" s="1"/>
  <c r="L42" i="1"/>
  <c r="L26" i="1"/>
  <c r="M24" i="1"/>
  <c r="M25" i="1" s="1"/>
  <c r="L45" i="1"/>
  <c r="L46" i="1"/>
  <c r="M27" i="1" l="1"/>
  <c r="M28" i="1"/>
  <c r="M29" i="1"/>
  <c r="M30" i="1" s="1"/>
  <c r="K41" i="1"/>
  <c r="K37" i="1"/>
  <c r="M26" i="1"/>
  <c r="L31" i="1"/>
  <c r="L34" i="1" s="1"/>
  <c r="L35" i="1" s="1"/>
  <c r="L36" i="1" s="1"/>
  <c r="L50" i="1" s="1"/>
  <c r="L52" i="1" s="1"/>
  <c r="M46" i="1"/>
  <c r="M42" i="1"/>
  <c r="M45" i="1"/>
  <c r="N24" i="1"/>
  <c r="N25" i="1" s="1"/>
  <c r="L41" i="1" l="1"/>
  <c r="L37" i="1"/>
  <c r="N27" i="1"/>
  <c r="N28" i="1"/>
  <c r="N29" i="1"/>
  <c r="N30" i="1" s="1"/>
  <c r="N26" i="1"/>
  <c r="M31" i="1"/>
  <c r="M34" i="1" s="1"/>
  <c r="M35" i="1" s="1"/>
  <c r="M36" i="1" s="1"/>
  <c r="N46" i="1"/>
  <c r="N42" i="1"/>
  <c r="N45" i="1"/>
  <c r="O24" i="1"/>
  <c r="O25" i="1" s="1"/>
  <c r="M37" i="1" l="1"/>
  <c r="M50" i="1"/>
  <c r="M52" i="1" s="1"/>
  <c r="O27" i="1"/>
  <c r="O28" i="1"/>
  <c r="O29" i="1"/>
  <c r="O30" i="1" s="1"/>
  <c r="N31" i="1"/>
  <c r="N34" i="1" s="1"/>
  <c r="N35" i="1" s="1"/>
  <c r="N36" i="1" s="1"/>
  <c r="N50" i="1" s="1"/>
  <c r="N52" i="1" s="1"/>
  <c r="M41" i="1"/>
  <c r="O42" i="1"/>
  <c r="O26" i="1"/>
  <c r="P24" i="1"/>
  <c r="P25" i="1" s="1"/>
  <c r="O45" i="1"/>
  <c r="O46" i="1"/>
  <c r="N41" i="1" l="1"/>
  <c r="N37" i="1"/>
  <c r="P26" i="1"/>
  <c r="P27" i="1"/>
  <c r="P28" i="1"/>
  <c r="P29" i="1"/>
  <c r="P30" i="1" s="1"/>
  <c r="P31" i="1" s="1"/>
  <c r="P34" i="1" s="1"/>
  <c r="P35" i="1" s="1"/>
  <c r="P36" i="1" s="1"/>
  <c r="P50" i="1" s="1"/>
  <c r="P52" i="1" s="1"/>
  <c r="O31" i="1"/>
  <c r="O34" i="1" s="1"/>
  <c r="O35" i="1" s="1"/>
  <c r="O36" i="1" s="1"/>
  <c r="P46" i="1"/>
  <c r="P42" i="1"/>
  <c r="P45" i="1"/>
  <c r="Q24" i="1"/>
  <c r="Q25" i="1" s="1"/>
  <c r="O37" i="1" l="1"/>
  <c r="O50" i="1"/>
  <c r="O52" i="1" s="1"/>
  <c r="P41" i="1"/>
  <c r="P37" i="1"/>
  <c r="Q27" i="1"/>
  <c r="Q28" i="1"/>
  <c r="Q29" i="1"/>
  <c r="Q30" i="1" s="1"/>
  <c r="R42" i="1"/>
  <c r="O41" i="1"/>
  <c r="Q42" i="1"/>
  <c r="Q26" i="1"/>
  <c r="Q45" i="1"/>
  <c r="Q46" i="1"/>
  <c r="Q31" i="1" l="1"/>
  <c r="Q34" i="1" s="1"/>
  <c r="Q35" i="1" s="1"/>
  <c r="Q36" i="1" s="1"/>
  <c r="Q50" i="1" s="1"/>
  <c r="Q52" i="1" s="1"/>
  <c r="W44" i="1" s="1"/>
  <c r="W46" i="1" s="1"/>
  <c r="W47" i="1" s="1"/>
  <c r="Q37" i="1" l="1"/>
  <c r="Q41" i="1"/>
</calcChain>
</file>

<file path=xl/sharedStrings.xml><?xml version="1.0" encoding="utf-8"?>
<sst xmlns="http://schemas.openxmlformats.org/spreadsheetml/2006/main" count="104" uniqueCount="92">
  <si>
    <t>Revenue</t>
  </si>
  <si>
    <t>COGS</t>
  </si>
  <si>
    <t>Gross Profit</t>
  </si>
  <si>
    <t>Operating Income</t>
  </si>
  <si>
    <t>Interest Income</t>
  </si>
  <si>
    <t>Interest Expenses</t>
  </si>
  <si>
    <t>Pretax</t>
  </si>
  <si>
    <t>Taxes</t>
  </si>
  <si>
    <t>Net Income</t>
  </si>
  <si>
    <t>Selling</t>
  </si>
  <si>
    <t>G&amp;A</t>
  </si>
  <si>
    <t>Othern, net</t>
  </si>
  <si>
    <t>Gross Margin</t>
  </si>
  <si>
    <t>Net Margin</t>
  </si>
  <si>
    <t>CFFO</t>
  </si>
  <si>
    <t>CapEx</t>
  </si>
  <si>
    <t>∆ Working Capital</t>
  </si>
  <si>
    <t>Cash</t>
  </si>
  <si>
    <t>Inventories</t>
  </si>
  <si>
    <t>PP&amp;E</t>
  </si>
  <si>
    <t>Debt</t>
  </si>
  <si>
    <t>NAV</t>
  </si>
  <si>
    <t>AMS</t>
  </si>
  <si>
    <t>Oilfield Equipment</t>
  </si>
  <si>
    <t>AMS Sales Y/Y</t>
  </si>
  <si>
    <t>OE Sales Y/Y</t>
  </si>
  <si>
    <t>AMS Share</t>
  </si>
  <si>
    <t>OE Share</t>
  </si>
  <si>
    <t>NON-MAGNETIC STEELS</t>
  </si>
  <si>
    <t>HIGH-PRECISION COMPONENTS</t>
  </si>
  <si>
    <t>ADVANCED ADDITIVE MANUFACTURING</t>
  </si>
  <si>
    <t>HIGH-TECH SERVICE AND REPAIR</t>
  </si>
  <si>
    <t>Manufacture of high-alloy, non-magnetic steels offering high material</t>
  </si>
  <si>
    <t xml:space="preserve">strength and corrosion resistance </t>
  </si>
  <si>
    <t>High-precision manufacture of customized components from</t>
  </si>
  <si>
    <t>non-magnetic, corrosion resistant steels and other high-performing</t>
  </si>
  <si>
    <t>alloy steels</t>
  </si>
  <si>
    <t>AMS Company Portfolio:</t>
  </si>
  <si>
    <t>Manufacture of complex metal parts using Direct Metal Laser Sintering</t>
  </si>
  <si>
    <t>(DMLS)</t>
  </si>
  <si>
    <t>Repair and mechanical processing of existing components using</t>
  </si>
  <si>
    <t>state-of-the-art methods to extend product life and contribute to</t>
  </si>
  <si>
    <t>circular economy</t>
  </si>
  <si>
    <t>Oilfield Equipment Company Portfolio:</t>
  </si>
  <si>
    <t xml:space="preserve">HIGH-PERFORMANCE DRILLING MOTORS </t>
  </si>
  <si>
    <t>Cutting-edge drilling motors with high torques for directional and horizontal</t>
  </si>
  <si>
    <t>drilling</t>
  </si>
  <si>
    <t>CIRCULATION TOOLS</t>
  </si>
  <si>
    <t>Circulation tools for sealing liquid-permeable zones and hole cleaning</t>
  </si>
  <si>
    <t>during the drilling process</t>
  </si>
  <si>
    <t>ROTARY STEERABLE TOOLS</t>
  </si>
  <si>
    <t>Tools for intelligent drillstring steering in directional drilling with real-time</t>
  </si>
  <si>
    <t>integration capabilities</t>
  </si>
  <si>
    <t>WELL COMPLETION SOLUTIONS</t>
  </si>
  <si>
    <t>High-efficiency products and applications like: core completion equipment,</t>
  </si>
  <si>
    <t>frac plugs &amp; systems, toe initiation tools, packer products, artificial lift</t>
  </si>
  <si>
    <t>equipment</t>
  </si>
  <si>
    <t>Product Sales</t>
  </si>
  <si>
    <t>Service &amp; Repair</t>
  </si>
  <si>
    <t>Rental Revenue</t>
  </si>
  <si>
    <t>Revenue Y/Y</t>
  </si>
  <si>
    <t>Discount</t>
  </si>
  <si>
    <t>Terminal</t>
  </si>
  <si>
    <t>NPV</t>
  </si>
  <si>
    <t>Shares</t>
  </si>
  <si>
    <t>Price</t>
  </si>
  <si>
    <t>EPS</t>
  </si>
  <si>
    <t>R&amp;D</t>
  </si>
  <si>
    <t>net Debt</t>
  </si>
  <si>
    <t>Driver:</t>
  </si>
  <si>
    <t>new wells drilled</t>
  </si>
  <si>
    <t xml:space="preserve">Translation: </t>
  </si>
  <si>
    <t>oilfield service capex cycle</t>
  </si>
  <si>
    <t>installed base utilization</t>
  </si>
  <si>
    <t>production activity &amp; wear-and-tear</t>
  </si>
  <si>
    <t xml:space="preserve">Basic: </t>
  </si>
  <si>
    <t>maintenance of rigs</t>
  </si>
  <si>
    <t>construction of rigs</t>
  </si>
  <si>
    <t>WTI Crude</t>
  </si>
  <si>
    <t>Brent Crude</t>
  </si>
  <si>
    <t>Rig Count</t>
  </si>
  <si>
    <t>Rig Norm</t>
  </si>
  <si>
    <t>Mean Reversion</t>
  </si>
  <si>
    <t>Oil Sens.</t>
  </si>
  <si>
    <t>Rev/Rig</t>
  </si>
  <si>
    <t>FCFF</t>
  </si>
  <si>
    <t>D&amp;A</t>
  </si>
  <si>
    <t>Net Cash</t>
  </si>
  <si>
    <t>Value</t>
  </si>
  <si>
    <t>WTI norm</t>
  </si>
  <si>
    <t>Inflation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</si>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</sst>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#,##0.000"/>
    <numFmt numFmtId="167" formatCode="#,##0_ ;[Red]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0" applyNumberFormat="1"/>
    <xf numFmtId="2" fontId="0" fillId="0" borderId="0" xfId="1" applyNumberFormat="1" applyFont="1"/>
    <xf numFmtId="4" fontId="2" fillId="0" borderId="0" xfId="0" applyNumberFormat="1" applyFont="1"/>
    <xf numFmtId="165" fontId="0" fillId="0" borderId="0" xfId="1" applyNumberFormat="1" applyFont="1"/>
    <xf numFmtId="166" fontId="0" fillId="0" borderId="0" xfId="0" applyNumberFormat="1"/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43963</xdr:colOff>
      <xdr:row>2</xdr:row>
      <xdr:rowOff>183173</xdr:rowOff>
    </xdr:from>
    <xdr:to>
      <xdr:col>9</xdr:col>
      <xdr:colOff>51290</xdr:colOff>
      <xdr:row>61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8A04AC0-EBFC-0D19-091C-3BCD62F4C847}"/>
            </a:ext>
          </a:extLst>
        </xdr:cNvPr>
        <xdr:cNvCxnSpPr/>
      </xdr:nvCxnSpPr>
      <xdr:spPr>
        <a:xfrm>
          <a:off x="5736982" y="564173"/>
          <a:ext cx="7327" cy="95323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2E63-E873-4DFA-A4DF-FE507C69DA47}">
  <dimension ref="B3:F22"/>
  <sheetViews>
    <sheetView zoomScale="115" zoomScaleNormal="115" workbookViewId="0">
      <selection activeCell="E24" sqref="E24"/>
    </sheetView>
  </sheetViews>
  <sheetFormatPr defaultRowHeight="15" x14ac:dyDescent="0.25"/>
  <cols>
    <col min="2" max="2" width="36.85546875" bestFit="1" customWidth="1"/>
    <col min="3" max="3" width="64.7109375" bestFit="1" customWidth="1"/>
    <col min="5" max="5" width="37.42578125" bestFit="1" customWidth="1"/>
    <col min="6" max="6" width="70.140625" bestFit="1" customWidth="1"/>
  </cols>
  <sheetData>
    <row r="3" spans="2:6" x14ac:dyDescent="0.25">
      <c r="B3" t="s">
        <v>37</v>
      </c>
      <c r="E3" t="s">
        <v>43</v>
      </c>
    </row>
    <row r="5" spans="2:6" x14ac:dyDescent="0.25">
      <c r="B5" t="s">
        <v>28</v>
      </c>
      <c r="C5" t="s">
        <v>32</v>
      </c>
      <c r="E5" t="s">
        <v>44</v>
      </c>
      <c r="F5" t="s">
        <v>45</v>
      </c>
    </row>
    <row r="6" spans="2:6" x14ac:dyDescent="0.25">
      <c r="C6" t="s">
        <v>33</v>
      </c>
      <c r="F6" t="s">
        <v>46</v>
      </c>
    </row>
    <row r="8" spans="2:6" x14ac:dyDescent="0.25">
      <c r="B8" t="s">
        <v>29</v>
      </c>
      <c r="C8" t="s">
        <v>34</v>
      </c>
      <c r="E8" t="s">
        <v>47</v>
      </c>
      <c r="F8" t="s">
        <v>48</v>
      </c>
    </row>
    <row r="9" spans="2:6" x14ac:dyDescent="0.25">
      <c r="C9" t="s">
        <v>35</v>
      </c>
      <c r="F9" t="s">
        <v>49</v>
      </c>
    </row>
    <row r="10" spans="2:6" x14ac:dyDescent="0.25">
      <c r="C10" t="s">
        <v>36</v>
      </c>
    </row>
    <row r="11" spans="2:6" x14ac:dyDescent="0.25">
      <c r="E11" t="s">
        <v>50</v>
      </c>
      <c r="F11" t="s">
        <v>51</v>
      </c>
    </row>
    <row r="12" spans="2:6" x14ac:dyDescent="0.25">
      <c r="B12" t="s">
        <v>30</v>
      </c>
      <c r="C12" t="s">
        <v>38</v>
      </c>
      <c r="F12" t="s">
        <v>52</v>
      </c>
    </row>
    <row r="13" spans="2:6" x14ac:dyDescent="0.25">
      <c r="C13" t="s">
        <v>39</v>
      </c>
    </row>
    <row r="14" spans="2:6" x14ac:dyDescent="0.25">
      <c r="E14" t="s">
        <v>53</v>
      </c>
      <c r="F14" t="s">
        <v>54</v>
      </c>
    </row>
    <row r="15" spans="2:6" x14ac:dyDescent="0.25">
      <c r="B15" t="s">
        <v>31</v>
      </c>
      <c r="C15" t="s">
        <v>40</v>
      </c>
      <c r="F15" t="s">
        <v>55</v>
      </c>
    </row>
    <row r="16" spans="2:6" x14ac:dyDescent="0.25">
      <c r="C16" t="s">
        <v>41</v>
      </c>
      <c r="F16" t="s">
        <v>56</v>
      </c>
    </row>
    <row r="17" spans="2:6" x14ac:dyDescent="0.25">
      <c r="C17" t="s">
        <v>42</v>
      </c>
    </row>
    <row r="20" spans="2:6" x14ac:dyDescent="0.25">
      <c r="B20" t="s">
        <v>69</v>
      </c>
      <c r="C20" t="s">
        <v>73</v>
      </c>
      <c r="E20" t="s">
        <v>69</v>
      </c>
      <c r="F20" t="s">
        <v>70</v>
      </c>
    </row>
    <row r="21" spans="2:6" x14ac:dyDescent="0.25">
      <c r="B21" t="s">
        <v>71</v>
      </c>
      <c r="C21" t="s">
        <v>74</v>
      </c>
      <c r="E21" t="s">
        <v>71</v>
      </c>
      <c r="F21" t="s">
        <v>72</v>
      </c>
    </row>
    <row r="22" spans="2:6" x14ac:dyDescent="0.25">
      <c r="B22" t="s">
        <v>75</v>
      </c>
      <c r="C22" t="s">
        <v>76</v>
      </c>
      <c r="E22" t="s">
        <v>75</v>
      </c>
      <c r="F2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198F-E402-483F-B072-347730DCD3D9}">
  <dimension ref="B2:EH93"/>
  <sheetViews>
    <sheetView tabSelected="1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52" sqref="I52"/>
    </sheetView>
  </sheetViews>
  <sheetFormatPr defaultRowHeight="15" x14ac:dyDescent="0.25"/>
  <cols>
    <col min="1" max="1" width="2.85546875" customWidth="1"/>
    <col min="2" max="2" width="18.7109375" bestFit="1" customWidth="1"/>
    <col min="16" max="20" width="9.28515625" customWidth="1"/>
  </cols>
  <sheetData>
    <row r="2" spans="2:20" x14ac:dyDescent="0.25">
      <c r="C2">
        <v>2018</v>
      </c>
      <c r="D2">
        <f>+C2+1</f>
        <v>2019</v>
      </c>
      <c r="E2">
        <f t="shared" ref="E2:Q2" si="0">+D2+1</f>
        <v>2020</v>
      </c>
      <c r="F2">
        <f t="shared" si="0"/>
        <v>2021</v>
      </c>
      <c r="G2">
        <f t="shared" si="0"/>
        <v>2022</v>
      </c>
      <c r="H2">
        <f t="shared" si="0"/>
        <v>2023</v>
      </c>
      <c r="I2">
        <f t="shared" si="0"/>
        <v>2024</v>
      </c>
      <c r="J2">
        <f t="shared" si="0"/>
        <v>2025</v>
      </c>
      <c r="K2">
        <f t="shared" si="0"/>
        <v>2026</v>
      </c>
      <c r="L2">
        <f t="shared" si="0"/>
        <v>2027</v>
      </c>
      <c r="M2">
        <f t="shared" si="0"/>
        <v>2028</v>
      </c>
      <c r="N2">
        <f t="shared" si="0"/>
        <v>2029</v>
      </c>
      <c r="O2">
        <f t="shared" si="0"/>
        <v>2030</v>
      </c>
      <c r="P2">
        <f t="shared" si="0"/>
        <v>2031</v>
      </c>
      <c r="Q2">
        <f t="shared" si="0"/>
        <v>2032</v>
      </c>
      <c r="R2">
        <f t="shared" ref="R2" si="1">+Q2+1</f>
        <v>2033</v>
      </c>
      <c r="S2">
        <f t="shared" ref="S2" si="2">+R2+1</f>
        <v>2034</v>
      </c>
      <c r="T2">
        <f t="shared" ref="T2" si="3">+S2+1</f>
        <v>2035</v>
      </c>
    </row>
    <row r="3" spans="2:20" s="1" customFormat="1" x14ac:dyDescent="0.25"/>
    <row r="4" spans="2:20" s="1" customFormat="1" x14ac:dyDescent="0.25">
      <c r="B4" s="1" t="s">
        <v>78</v>
      </c>
      <c r="I4" s="1">
        <v>75</v>
      </c>
      <c r="J4" s="1">
        <v>70</v>
      </c>
      <c r="K4" s="1">
        <f>+J4*1.03</f>
        <v>72.100000000000009</v>
      </c>
      <c r="L4" s="1">
        <f t="shared" ref="L4:T4" si="4">+K4*1.03</f>
        <v>74.263000000000005</v>
      </c>
      <c r="M4" s="1">
        <f t="shared" si="4"/>
        <v>76.490890000000007</v>
      </c>
      <c r="N4" s="1">
        <f t="shared" si="4"/>
        <v>78.785616700000006</v>
      </c>
      <c r="O4" s="1">
        <v>80</v>
      </c>
      <c r="P4" s="1">
        <v>80</v>
      </c>
      <c r="Q4" s="1">
        <v>80</v>
      </c>
      <c r="R4" s="1">
        <v>80</v>
      </c>
      <c r="S4" s="1">
        <v>80</v>
      </c>
      <c r="T4" s="1">
        <v>80</v>
      </c>
    </row>
    <row r="5" spans="2:20" s="1" customFormat="1" x14ac:dyDescent="0.25">
      <c r="B5" s="1" t="s">
        <v>79</v>
      </c>
      <c r="J5" s="1">
        <v>67.75</v>
      </c>
    </row>
    <row r="6" spans="2:20" s="1" customFormat="1" x14ac:dyDescent="0.25"/>
    <row r="7" spans="2:20" s="1" customFormat="1" x14ac:dyDescent="0.25">
      <c r="B7" s="1" t="s">
        <v>80</v>
      </c>
      <c r="C7" s="1">
        <v>1020</v>
      </c>
      <c r="D7" s="1">
        <v>1002</v>
      </c>
      <c r="E7" s="1">
        <v>773</v>
      </c>
      <c r="F7" s="1">
        <v>825</v>
      </c>
      <c r="G7" s="1">
        <v>768</v>
      </c>
      <c r="H7" s="1">
        <v>828</v>
      </c>
      <c r="I7" s="1">
        <v>811</v>
      </c>
      <c r="J7" s="1">
        <f>+I7+Factors!$C$4*(Factors!$C$3-Model!I7)+Factors!$C$5*((Model!J4/Model!I4) -1)*Model!I7</f>
        <v>763.89666666666665</v>
      </c>
      <c r="K7" s="1">
        <f>+J7+Factors!$C$4*(Factors!$C$3-Model!J7)+Factors!$C$5*((Model!K4/Model!J4) -1)*Model!J7</f>
        <v>794.86635333333334</v>
      </c>
      <c r="L7" s="1">
        <f>+K7+Factors!$C$4*(Factors!$C$3-Model!K7)+Factors!$C$5*((Model!L4/Model!K4) -1)*Model!K7</f>
        <v>815.73992214666669</v>
      </c>
      <c r="M7" s="1">
        <f>+L7+Factors!$C$4*(Factors!$C$3-Model!L7)+Factors!$C$5*((Model!M4/Model!L4) -1)*Model!L7</f>
        <v>829.80870752685337</v>
      </c>
      <c r="N7" s="1">
        <f>+M7+Factors!$C$4*(Factors!$C$3-Model!M7)+Factors!$C$5*((Model!N4/Model!M4) -1)*Model!M7</f>
        <v>839.29106887309922</v>
      </c>
      <c r="O7" s="1">
        <f>+N7+Factors!$C$4*(Factors!$C$3-Model!N7)+Factors!$C$5*((Model!O4/Model!N4) -1)*Model!N7</f>
        <v>835.88850572623551</v>
      </c>
      <c r="P7" s="1">
        <f>+O7+Factors!$C$4*(Factors!$C$3-Model!O7)+Factors!$C$5*((Model!P4/Model!O4) -1)*Model!O7</f>
        <v>823.3275287220531</v>
      </c>
      <c r="Q7" s="1">
        <f>+P7+Factors!$C$4*(Factors!$C$3-Model!P7)+Factors!$C$5*((Model!Q4/Model!P4) -1)*Model!P7</f>
        <v>815.16289366933449</v>
      </c>
      <c r="R7" s="1">
        <f>+Q7+Factors!$C$4*(Factors!$C$3-Model!Q7)+Factors!$C$5*((Model!R4/Model!Q4) -1)*Model!Q7</f>
        <v>809.85588088506745</v>
      </c>
      <c r="S7" s="1">
        <f>+R7+Factors!$C$4*(Factors!$C$3-Model!R7)+Factors!$C$5*((Model!S4/Model!R4) -1)*Model!R7</f>
        <v>806.40632257529387</v>
      </c>
      <c r="T7" s="1">
        <f>+S7+Factors!$C$4*(Factors!$C$3-Model!S7)+Factors!$C$5*((Model!T4/Model!S4) -1)*Model!S7</f>
        <v>804.16410967394097</v>
      </c>
    </row>
    <row r="8" spans="2:20" s="1" customFormat="1" x14ac:dyDescent="0.25">
      <c r="B8" s="1" t="s">
        <v>84</v>
      </c>
      <c r="C8" s="1">
        <f>+C16/C7</f>
        <v>243.8235294117647</v>
      </c>
      <c r="D8" s="1">
        <f t="shared" ref="D8:I8" si="5">+D16/D7</f>
        <v>221.05788423153692</v>
      </c>
      <c r="E8" s="1">
        <f t="shared" si="5"/>
        <v>170.11642949547218</v>
      </c>
      <c r="F8" s="1">
        <f t="shared" si="5"/>
        <v>183.5151515151515</v>
      </c>
      <c r="G8" s="1">
        <f t="shared" si="5"/>
        <v>328.90625</v>
      </c>
      <c r="H8" s="1">
        <f t="shared" si="5"/>
        <v>310.62801932367148</v>
      </c>
      <c r="I8" s="1">
        <f t="shared" si="5"/>
        <v>339.28113440197285</v>
      </c>
      <c r="J8" s="1">
        <f>+I8*(1+Factors!$C$7)*(1+Factors!$C$8*((Model!J4/Factors!$C$6)-1))</f>
        <v>320.11175030826138</v>
      </c>
      <c r="K8" s="1">
        <f>+J8*(1+Factors!$C$7)*(1+Factors!$C$8*((Model!K4/Factors!$C$6)-1))</f>
        <v>307.16803168454686</v>
      </c>
      <c r="L8" s="1">
        <f>+K8*(1+Factors!$C$7)*(1+Factors!$C$8*((Model!L4/Factors!$C$6)-1))</f>
        <v>299.83038638526483</v>
      </c>
      <c r="M8" s="1">
        <f>+L8*(1+Factors!$C$7)*(1+Factors!$C$8*((Model!M4/Factors!$C$6)-1))</f>
        <v>297.77813988813188</v>
      </c>
      <c r="N8" s="1">
        <f>+M8*(1+Factors!$C$7)*(1+Factors!$C$8*((Model!N4/Factors!$C$6)-1))</f>
        <v>300.96733416447768</v>
      </c>
      <c r="O8" s="1">
        <f>+N8*(1+Factors!$C$7)*(1+Factors!$C$8*((Model!O4/Factors!$C$6)-1))</f>
        <v>306.98668084776722</v>
      </c>
      <c r="P8" s="1">
        <f>+O8*(1+Factors!$C$7)*(1+Factors!$C$8*((Model!P4/Factors!$C$6)-1))</f>
        <v>313.12641446472259</v>
      </c>
      <c r="Q8" s="1">
        <f>+P8*(1+Factors!$C$7)*(1+Factors!$C$8*((Model!Q4/Factors!$C$6)-1))</f>
        <v>319.38894275401702</v>
      </c>
      <c r="R8" s="1">
        <f>+Q8*(1+Factors!$C$7)*(1+Factors!$C$8*((Model!R4/Factors!$C$6)-1))</f>
        <v>325.77672160909736</v>
      </c>
      <c r="S8" s="1">
        <f>+R8*(1+Factors!$C$7)*(1+Factors!$C$8*((Model!S4/Factors!$C$6)-1))</f>
        <v>332.2922560412793</v>
      </c>
      <c r="T8" s="1">
        <f>+S8*(1+Factors!$C$7)*(1+Factors!$C$8*((Model!T4/Factors!$C$6)-1))</f>
        <v>338.93810116210489</v>
      </c>
    </row>
    <row r="9" spans="2:20" s="1" customFormat="1" x14ac:dyDescent="0.25"/>
    <row r="10" spans="2:20" s="1" customFormat="1" x14ac:dyDescent="0.25"/>
    <row r="11" spans="2:20" s="2" customFormat="1" x14ac:dyDescent="0.25">
      <c r="B11" s="2" t="s">
        <v>22</v>
      </c>
      <c r="C11" s="2">
        <v>171500</v>
      </c>
      <c r="D11" s="2">
        <v>223800</v>
      </c>
      <c r="E11" s="2">
        <v>159700</v>
      </c>
      <c r="F11" s="2">
        <v>141400</v>
      </c>
      <c r="G11" s="2">
        <v>248700</v>
      </c>
      <c r="H11" s="2">
        <v>328700</v>
      </c>
      <c r="I11" s="2">
        <v>285289</v>
      </c>
      <c r="J11" s="2">
        <f>+I11*1.05</f>
        <v>299553.45</v>
      </c>
      <c r="K11" s="2">
        <f t="shared" ref="K11:T11" si="6">+J11*1.05</f>
        <v>314531.1225</v>
      </c>
      <c r="L11" s="2">
        <f t="shared" si="6"/>
        <v>330257.678625</v>
      </c>
      <c r="M11" s="2">
        <f t="shared" si="6"/>
        <v>346770.56255625002</v>
      </c>
      <c r="N11" s="2">
        <f t="shared" si="6"/>
        <v>364109.09068406251</v>
      </c>
      <c r="O11" s="2">
        <f t="shared" si="6"/>
        <v>382314.54521826567</v>
      </c>
      <c r="P11" s="2">
        <f t="shared" si="6"/>
        <v>401430.27247917897</v>
      </c>
      <c r="Q11" s="2">
        <f t="shared" si="6"/>
        <v>421501.78610313794</v>
      </c>
      <c r="R11" s="2">
        <f t="shared" si="6"/>
        <v>442576.87540829484</v>
      </c>
      <c r="S11" s="2">
        <f t="shared" si="6"/>
        <v>464705.71917870961</v>
      </c>
      <c r="T11" s="2">
        <f t="shared" si="6"/>
        <v>487941.00513764512</v>
      </c>
    </row>
    <row r="12" spans="2:20" s="1" customFormat="1" x14ac:dyDescent="0.25">
      <c r="B12" s="1" t="s">
        <v>57</v>
      </c>
      <c r="G12" s="1">
        <v>225932</v>
      </c>
      <c r="H12" s="1">
        <v>305072</v>
      </c>
      <c r="I12" s="1">
        <v>264812</v>
      </c>
    </row>
    <row r="13" spans="2:20" s="1" customFormat="1" x14ac:dyDescent="0.25">
      <c r="B13" s="1" t="s">
        <v>58</v>
      </c>
      <c r="G13" s="1">
        <v>16362</v>
      </c>
      <c r="H13" s="1">
        <v>18432</v>
      </c>
      <c r="I13" s="1">
        <v>15874</v>
      </c>
    </row>
    <row r="14" spans="2:20" s="1" customFormat="1" x14ac:dyDescent="0.25">
      <c r="B14" s="1" t="s">
        <v>59</v>
      </c>
      <c r="G14" s="1">
        <v>6378</v>
      </c>
      <c r="H14" s="1">
        <v>5183</v>
      </c>
      <c r="I14" s="1">
        <v>4063</v>
      </c>
    </row>
    <row r="15" spans="2:20" s="1" customFormat="1" x14ac:dyDescent="0.25">
      <c r="J15" s="8"/>
    </row>
    <row r="16" spans="2:20" s="2" customFormat="1" x14ac:dyDescent="0.25">
      <c r="B16" s="2" t="s">
        <v>23</v>
      </c>
      <c r="C16" s="2">
        <v>248700</v>
      </c>
      <c r="D16" s="2">
        <v>221500</v>
      </c>
      <c r="E16" s="2">
        <v>131500</v>
      </c>
      <c r="F16" s="2">
        <v>151400</v>
      </c>
      <c r="G16" s="2">
        <v>252600</v>
      </c>
      <c r="H16" s="2">
        <v>257200</v>
      </c>
      <c r="I16" s="2">
        <v>275157</v>
      </c>
      <c r="J16" s="2">
        <f>+J8*J7</f>
        <v>244532.29902131317</v>
      </c>
      <c r="K16" s="2">
        <f t="shared" ref="K16:T16" si="7">+K8*K7</f>
        <v>244157.53320567356</v>
      </c>
      <c r="L16" s="2">
        <f t="shared" si="7"/>
        <v>244583.61604712092</v>
      </c>
      <c r="M16" s="2">
        <f t="shared" si="7"/>
        <v>247098.89339032126</v>
      </c>
      <c r="N16" s="2">
        <f t="shared" si="7"/>
        <v>252599.1955867917</v>
      </c>
      <c r="O16" s="2">
        <f t="shared" si="7"/>
        <v>256606.6379316969</v>
      </c>
      <c r="P16" s="2">
        <f t="shared" si="7"/>
        <v>257805.5969988374</v>
      </c>
      <c r="Q16" s="2">
        <f t="shared" si="7"/>
        <v>260354.01478135394</v>
      </c>
      <c r="R16" s="2">
        <f t="shared" si="7"/>
        <v>263832.19385058491</v>
      </c>
      <c r="S16" s="2">
        <f t="shared" si="7"/>
        <v>267962.57621449605</v>
      </c>
      <c r="T16" s="2">
        <f t="shared" si="7"/>
        <v>272561.85635560023</v>
      </c>
    </row>
    <row r="17" spans="2:20" s="1" customFormat="1" x14ac:dyDescent="0.25">
      <c r="B17" s="1" t="s">
        <v>57</v>
      </c>
      <c r="G17" s="1">
        <v>114839</v>
      </c>
      <c r="H17" s="1">
        <v>123391</v>
      </c>
      <c r="I17" s="1">
        <v>154698</v>
      </c>
    </row>
    <row r="18" spans="2:20" s="1" customFormat="1" x14ac:dyDescent="0.25">
      <c r="B18" s="1" t="s">
        <v>58</v>
      </c>
      <c r="G18" s="1">
        <v>7190</v>
      </c>
      <c r="H18" s="1">
        <v>5409</v>
      </c>
      <c r="I18" s="1">
        <v>7946</v>
      </c>
    </row>
    <row r="19" spans="2:20" s="1" customFormat="1" x14ac:dyDescent="0.25">
      <c r="B19" s="1" t="s">
        <v>59</v>
      </c>
      <c r="G19" s="1">
        <v>130538</v>
      </c>
      <c r="H19" s="1">
        <v>128384</v>
      </c>
      <c r="I19" s="1">
        <v>112513</v>
      </c>
    </row>
    <row r="20" spans="2:20" s="1" customFormat="1" x14ac:dyDescent="0.25"/>
    <row r="21" spans="2:20" s="1" customFormat="1" x14ac:dyDescent="0.25">
      <c r="B21" s="1" t="s">
        <v>57</v>
      </c>
      <c r="G21" s="1">
        <f t="shared" ref="G21:H23" si="8">+G17+G12</f>
        <v>340771</v>
      </c>
      <c r="H21" s="1">
        <f t="shared" si="8"/>
        <v>428463</v>
      </c>
      <c r="I21" s="1">
        <v>419510</v>
      </c>
    </row>
    <row r="22" spans="2:20" s="1" customFormat="1" x14ac:dyDescent="0.25">
      <c r="B22" s="1" t="s">
        <v>58</v>
      </c>
      <c r="G22" s="1">
        <f t="shared" si="8"/>
        <v>23552</v>
      </c>
      <c r="H22" s="1">
        <f t="shared" si="8"/>
        <v>23841</v>
      </c>
      <c r="I22" s="1">
        <v>23820</v>
      </c>
    </row>
    <row r="23" spans="2:20" s="1" customFormat="1" x14ac:dyDescent="0.25">
      <c r="B23" s="1" t="s">
        <v>59</v>
      </c>
      <c r="G23" s="1">
        <f t="shared" si="8"/>
        <v>136916</v>
      </c>
      <c r="H23" s="1">
        <f t="shared" si="8"/>
        <v>133567</v>
      </c>
      <c r="I23" s="1">
        <v>117116</v>
      </c>
    </row>
    <row r="24" spans="2:20" s="2" customFormat="1" x14ac:dyDescent="0.25">
      <c r="B24" s="2" t="s">
        <v>0</v>
      </c>
      <c r="C24" s="2">
        <v>420210</v>
      </c>
      <c r="D24" s="2">
        <v>445256</v>
      </c>
      <c r="E24" s="2">
        <v>291159</v>
      </c>
      <c r="F24" s="2">
        <v>292811</v>
      </c>
      <c r="G24" s="2">
        <v>501239</v>
      </c>
      <c r="H24" s="2">
        <v>585871</v>
      </c>
      <c r="I24" s="2">
        <v>560446</v>
      </c>
      <c r="J24" s="2">
        <f>+J11+J16</f>
        <v>544085.74902131315</v>
      </c>
      <c r="K24" s="2">
        <f t="shared" ref="J24:Q24" si="9">+K11+K16</f>
        <v>558688.65570567362</v>
      </c>
      <c r="L24" s="2">
        <f t="shared" si="9"/>
        <v>574841.29467212094</v>
      </c>
      <c r="M24" s="2">
        <f t="shared" si="9"/>
        <v>593869.45594657131</v>
      </c>
      <c r="N24" s="2">
        <f t="shared" si="9"/>
        <v>616708.28627085418</v>
      </c>
      <c r="O24" s="2">
        <f t="shared" si="9"/>
        <v>638921.18314996257</v>
      </c>
      <c r="P24" s="2">
        <f t="shared" si="9"/>
        <v>659235.86947801639</v>
      </c>
      <c r="Q24" s="2">
        <f t="shared" si="9"/>
        <v>681855.80088449188</v>
      </c>
      <c r="R24" s="2">
        <f t="shared" ref="R24:T24" si="10">+R11+R16</f>
        <v>706409.06925887975</v>
      </c>
      <c r="S24" s="2">
        <f t="shared" si="10"/>
        <v>732668.29539320571</v>
      </c>
      <c r="T24" s="2">
        <f t="shared" si="10"/>
        <v>760502.86149324535</v>
      </c>
    </row>
    <row r="25" spans="2:20" s="1" customFormat="1" x14ac:dyDescent="0.25">
      <c r="B25" s="1" t="s">
        <v>1</v>
      </c>
      <c r="C25" s="1">
        <v>274608</v>
      </c>
      <c r="D25" s="1">
        <v>312690</v>
      </c>
      <c r="E25" s="1">
        <v>225086</v>
      </c>
      <c r="F25" s="1">
        <v>216847</v>
      </c>
      <c r="G25" s="1">
        <v>332384</v>
      </c>
      <c r="H25" s="1">
        <v>383272</v>
      </c>
      <c r="I25" s="1">
        <v>390145</v>
      </c>
      <c r="J25" s="1">
        <f>+J24*(1-J40)</f>
        <v>380860.0243149192</v>
      </c>
      <c r="K25" s="1">
        <f t="shared" ref="K25:T25" si="11">+K24*(1-K40)</f>
        <v>391082.0589939715</v>
      </c>
      <c r="L25" s="1">
        <f t="shared" si="11"/>
        <v>402388.90627048461</v>
      </c>
      <c r="M25" s="1">
        <f t="shared" si="11"/>
        <v>415708.61916259991</v>
      </c>
      <c r="N25" s="1">
        <f t="shared" si="11"/>
        <v>431695.80038959789</v>
      </c>
      <c r="O25" s="1">
        <f t="shared" si="11"/>
        <v>447244.82820497378</v>
      </c>
      <c r="P25" s="1">
        <f t="shared" si="11"/>
        <v>461465.10863461142</v>
      </c>
      <c r="Q25" s="1">
        <f t="shared" si="11"/>
        <v>477299.06061914429</v>
      </c>
      <c r="R25" s="1">
        <f t="shared" si="11"/>
        <v>494486.34848121577</v>
      </c>
      <c r="S25" s="1">
        <f t="shared" si="11"/>
        <v>512867.80677524395</v>
      </c>
      <c r="T25" s="1">
        <f t="shared" si="11"/>
        <v>532352.00304527173</v>
      </c>
    </row>
    <row r="26" spans="2:20" s="1" customFormat="1" x14ac:dyDescent="0.25">
      <c r="B26" s="1" t="s">
        <v>2</v>
      </c>
      <c r="C26" s="1">
        <f>+C24-C25</f>
        <v>145602</v>
      </c>
      <c r="D26" s="1">
        <f t="shared" ref="D26:I26" si="12">+D24-D25</f>
        <v>132566</v>
      </c>
      <c r="E26" s="1">
        <f t="shared" si="12"/>
        <v>66073</v>
      </c>
      <c r="F26" s="1">
        <f t="shared" si="12"/>
        <v>75964</v>
      </c>
      <c r="G26" s="1">
        <f t="shared" si="12"/>
        <v>168855</v>
      </c>
      <c r="H26" s="1">
        <f t="shared" si="12"/>
        <v>202599</v>
      </c>
      <c r="I26" s="1">
        <f t="shared" si="12"/>
        <v>170301</v>
      </c>
      <c r="J26" s="1">
        <f t="shared" ref="J26" si="13">+J24-J25</f>
        <v>163225.72470639396</v>
      </c>
      <c r="K26" s="1">
        <f t="shared" ref="K26" si="14">+K24-K25</f>
        <v>167606.59671170212</v>
      </c>
      <c r="L26" s="1">
        <f t="shared" ref="L26" si="15">+L24-L25</f>
        <v>172452.38840163633</v>
      </c>
      <c r="M26" s="1">
        <f t="shared" ref="M26" si="16">+M24-M25</f>
        <v>178160.8367839714</v>
      </c>
      <c r="N26" s="1">
        <f t="shared" ref="N26" si="17">+N24-N25</f>
        <v>185012.48588125629</v>
      </c>
      <c r="O26" s="1">
        <f t="shared" ref="O26" si="18">+O24-O25</f>
        <v>191676.35494498879</v>
      </c>
      <c r="P26" s="1">
        <f t="shared" ref="P26" si="19">+P24-P25</f>
        <v>197770.76084340498</v>
      </c>
      <c r="Q26" s="1">
        <f t="shared" ref="Q26:T26" si="20">+Q24-Q25</f>
        <v>204556.74026534759</v>
      </c>
      <c r="R26" s="1">
        <f t="shared" si="20"/>
        <v>211922.72077766398</v>
      </c>
      <c r="S26" s="1">
        <f t="shared" si="20"/>
        <v>219800.48861796176</v>
      </c>
      <c r="T26" s="1">
        <f t="shared" si="20"/>
        <v>228150.85844797362</v>
      </c>
    </row>
    <row r="27" spans="2:20" s="1" customFormat="1" x14ac:dyDescent="0.25">
      <c r="B27" s="1" t="s">
        <v>9</v>
      </c>
      <c r="C27" s="1">
        <v>23864</v>
      </c>
      <c r="D27" s="1">
        <v>27493</v>
      </c>
      <c r="E27" s="1">
        <v>21112</v>
      </c>
      <c r="F27" s="1">
        <v>21368</v>
      </c>
      <c r="G27" s="1">
        <v>31339</v>
      </c>
      <c r="H27" s="1">
        <v>36357</v>
      </c>
      <c r="I27" s="1">
        <v>39226</v>
      </c>
      <c r="J27" s="1">
        <f>28578*1.33</f>
        <v>38008.740000000005</v>
      </c>
      <c r="K27" s="1">
        <f t="shared" ref="K27:T27" si="21">+K24*0.072</f>
        <v>40225.583210808494</v>
      </c>
      <c r="L27" s="1">
        <f t="shared" si="21"/>
        <v>41388.573216392702</v>
      </c>
      <c r="M27" s="1">
        <f t="shared" si="21"/>
        <v>42758.600828153132</v>
      </c>
      <c r="N27" s="1">
        <f t="shared" si="21"/>
        <v>44402.996611501498</v>
      </c>
      <c r="O27" s="1">
        <f t="shared" si="21"/>
        <v>46002.325186797301</v>
      </c>
      <c r="P27" s="1">
        <f t="shared" si="21"/>
        <v>47464.982602417178</v>
      </c>
      <c r="Q27" s="1">
        <f t="shared" si="21"/>
        <v>49093.617663683413</v>
      </c>
      <c r="R27" s="1">
        <f t="shared" si="21"/>
        <v>50861.452986639335</v>
      </c>
      <c r="S27" s="1">
        <f t="shared" si="21"/>
        <v>52752.117268310809</v>
      </c>
      <c r="T27" s="1">
        <f t="shared" si="21"/>
        <v>54756.206027513661</v>
      </c>
    </row>
    <row r="28" spans="2:20" s="1" customFormat="1" x14ac:dyDescent="0.25">
      <c r="B28" s="1" t="s">
        <v>10</v>
      </c>
      <c r="C28" s="1">
        <v>46123</v>
      </c>
      <c r="D28" s="1">
        <v>39821</v>
      </c>
      <c r="E28" s="1">
        <v>38817</v>
      </c>
      <c r="F28" s="1">
        <v>31306</v>
      </c>
      <c r="G28" s="1">
        <v>42544</v>
      </c>
      <c r="H28" s="1">
        <v>49646</v>
      </c>
      <c r="I28" s="1">
        <v>49059</v>
      </c>
      <c r="J28" s="1">
        <f>35000*1.33</f>
        <v>46550</v>
      </c>
      <c r="K28" s="1">
        <f t="shared" ref="K28:T28" si="22">+K24*0.088</f>
        <v>49164.601702099273</v>
      </c>
      <c r="L28" s="1">
        <f t="shared" si="22"/>
        <v>50586.033931146638</v>
      </c>
      <c r="M28" s="1">
        <f t="shared" si="22"/>
        <v>52260.512123298271</v>
      </c>
      <c r="N28" s="1">
        <f t="shared" si="22"/>
        <v>54270.329191835168</v>
      </c>
      <c r="O28" s="1">
        <f t="shared" si="22"/>
        <v>56225.0641171967</v>
      </c>
      <c r="P28" s="1">
        <f t="shared" si="22"/>
        <v>58012.756514065441</v>
      </c>
      <c r="Q28" s="1">
        <f t="shared" si="22"/>
        <v>60003.310477835279</v>
      </c>
      <c r="R28" s="1">
        <f t="shared" si="22"/>
        <v>62163.998094781418</v>
      </c>
      <c r="S28" s="1">
        <f t="shared" si="22"/>
        <v>64474.809994602096</v>
      </c>
      <c r="T28" s="1">
        <f t="shared" si="22"/>
        <v>66924.251811405586</v>
      </c>
    </row>
    <row r="29" spans="2:20" s="1" customFormat="1" x14ac:dyDescent="0.25">
      <c r="B29" s="1" t="s">
        <v>67</v>
      </c>
      <c r="H29" s="1">
        <v>8243</v>
      </c>
      <c r="I29" s="1">
        <v>10481</v>
      </c>
      <c r="J29" s="1">
        <f>+J24*0.02</f>
        <v>10881.714980426263</v>
      </c>
      <c r="K29" s="1">
        <f t="shared" ref="K29:T29" si="23">+K24*0.02</f>
        <v>11173.773114113472</v>
      </c>
      <c r="L29" s="1">
        <f t="shared" si="23"/>
        <v>11496.825893442419</v>
      </c>
      <c r="M29" s="1">
        <f t="shared" si="23"/>
        <v>11877.389118931427</v>
      </c>
      <c r="N29" s="1">
        <f t="shared" si="23"/>
        <v>12334.165725417084</v>
      </c>
      <c r="O29" s="1">
        <f t="shared" si="23"/>
        <v>12778.423662999252</v>
      </c>
      <c r="P29" s="1">
        <f t="shared" si="23"/>
        <v>13184.717389560328</v>
      </c>
      <c r="Q29" s="1">
        <f t="shared" si="23"/>
        <v>13637.116017689837</v>
      </c>
      <c r="R29" s="1">
        <f t="shared" si="23"/>
        <v>14128.181385177595</v>
      </c>
      <c r="S29" s="1">
        <f t="shared" si="23"/>
        <v>14653.365907864114</v>
      </c>
      <c r="T29" s="1">
        <f t="shared" si="23"/>
        <v>15210.057229864908</v>
      </c>
    </row>
    <row r="30" spans="2:20" s="1" customFormat="1" x14ac:dyDescent="0.25">
      <c r="B30" s="1" t="s">
        <v>11</v>
      </c>
      <c r="C30" s="1">
        <f>-16818+15760</f>
        <v>-1058</v>
      </c>
      <c r="D30" s="1">
        <f>-12915+8507</f>
        <v>-4408</v>
      </c>
      <c r="E30" s="1">
        <f>-18226+6454</f>
        <v>-11772</v>
      </c>
      <c r="F30" s="1">
        <f>-10284+15204</f>
        <v>4920</v>
      </c>
      <c r="G30" s="1">
        <f>-15357+16565</f>
        <v>1208</v>
      </c>
      <c r="H30" s="1">
        <f>-22395+8077+H29</f>
        <v>-6075</v>
      </c>
      <c r="I30" s="1">
        <f>-25470+13540+I29</f>
        <v>-1449</v>
      </c>
      <c r="J30" s="1">
        <f>-21122*1.33+14079*1.33+J29</f>
        <v>1514.5249804262603</v>
      </c>
      <c r="K30" s="1">
        <f t="shared" ref="K30:Q30" si="24">-10000+K29</f>
        <v>1173.7731141134718</v>
      </c>
      <c r="L30" s="1">
        <f t="shared" si="24"/>
        <v>1496.8258934424193</v>
      </c>
      <c r="M30" s="1">
        <f t="shared" si="24"/>
        <v>1877.3891189314272</v>
      </c>
      <c r="N30" s="1">
        <f t="shared" si="24"/>
        <v>2334.1657254170841</v>
      </c>
      <c r="O30" s="1">
        <f t="shared" si="24"/>
        <v>2778.423662999252</v>
      </c>
      <c r="P30" s="1">
        <f t="shared" si="24"/>
        <v>3184.7173895603282</v>
      </c>
      <c r="Q30" s="1">
        <f t="shared" si="24"/>
        <v>3637.1160176898375</v>
      </c>
      <c r="R30" s="1">
        <f t="shared" ref="R30" si="25">-10000+R29</f>
        <v>4128.1813851775951</v>
      </c>
      <c r="S30" s="1">
        <f t="shared" ref="S30" si="26">-10000+S29</f>
        <v>4653.365907864114</v>
      </c>
      <c r="T30" s="1">
        <f t="shared" ref="T30" si="27">-10000+T29</f>
        <v>5210.0572298649076</v>
      </c>
    </row>
    <row r="31" spans="2:20" s="2" customFormat="1" x14ac:dyDescent="0.25">
      <c r="B31" s="2" t="s">
        <v>3</v>
      </c>
      <c r="C31" s="2">
        <f>+C26-C27-C28+C30</f>
        <v>74557</v>
      </c>
      <c r="D31" s="2">
        <f t="shared" ref="D31:G31" si="28">+D26-D27-D28+D30</f>
        <v>60844</v>
      </c>
      <c r="E31" s="2">
        <f t="shared" si="28"/>
        <v>-5628</v>
      </c>
      <c r="F31" s="2">
        <f t="shared" si="28"/>
        <v>28210</v>
      </c>
      <c r="G31" s="2">
        <f t="shared" si="28"/>
        <v>96180</v>
      </c>
      <c r="H31" s="2">
        <f>+H26-H27-H28+H30-H29</f>
        <v>102278</v>
      </c>
      <c r="I31" s="2">
        <f>+I26-I27-I28+I30-I29</f>
        <v>70086</v>
      </c>
      <c r="J31" s="2">
        <f t="shared" ref="J31" si="29">+J26-J27-J28+J30</f>
        <v>80181.509686820209</v>
      </c>
      <c r="K31" s="2">
        <f t="shared" ref="K31" si="30">+K26-K27-K28+K30</f>
        <v>79390.184912907833</v>
      </c>
      <c r="L31" s="2">
        <f t="shared" ref="L31" si="31">+L26-L27-L28+L30</f>
        <v>81974.607147539413</v>
      </c>
      <c r="M31" s="2">
        <f t="shared" ref="M31" si="32">+M26-M27-M28+M30</f>
        <v>85019.112951451418</v>
      </c>
      <c r="N31" s="2">
        <f t="shared" ref="N31" si="33">+N26-N27-N28+N30</f>
        <v>88673.325803336716</v>
      </c>
      <c r="O31" s="2">
        <f t="shared" ref="O31" si="34">+O26-O27-O28+O30</f>
        <v>92227.389303994045</v>
      </c>
      <c r="P31" s="2">
        <f t="shared" ref="P31" si="35">+P26-P27-P28+P30</f>
        <v>95477.739116482699</v>
      </c>
      <c r="Q31" s="2">
        <f t="shared" ref="Q31:T31" si="36">+Q26-Q27-Q28+Q30</f>
        <v>99096.928141518729</v>
      </c>
      <c r="R31" s="2">
        <f t="shared" si="36"/>
        <v>103025.45108142082</v>
      </c>
      <c r="S31" s="2">
        <f t="shared" si="36"/>
        <v>107226.92726291297</v>
      </c>
      <c r="T31" s="2">
        <f t="shared" si="36"/>
        <v>111680.45783891928</v>
      </c>
    </row>
    <row r="32" spans="2:20" s="1" customFormat="1" x14ac:dyDescent="0.25">
      <c r="B32" s="1" t="s">
        <v>4</v>
      </c>
      <c r="C32" s="1">
        <v>2900</v>
      </c>
      <c r="D32" s="1">
        <v>3598</v>
      </c>
      <c r="E32" s="1">
        <v>1574</v>
      </c>
      <c r="F32" s="1">
        <v>441</v>
      </c>
      <c r="G32" s="1">
        <v>2854</v>
      </c>
      <c r="H32" s="1">
        <v>9038</v>
      </c>
      <c r="I32" s="1">
        <v>5705</v>
      </c>
      <c r="J32" s="1">
        <f>6515*1.33</f>
        <v>8664.9500000000007</v>
      </c>
      <c r="K32" s="1">
        <f t="shared" ref="K32:Q32" si="37">+J32*0.85</f>
        <v>7365.2075000000004</v>
      </c>
      <c r="L32" s="1">
        <f t="shared" si="37"/>
        <v>6260.426375</v>
      </c>
      <c r="M32" s="1">
        <f t="shared" si="37"/>
        <v>5321.36241875</v>
      </c>
      <c r="N32" s="1">
        <f t="shared" si="37"/>
        <v>4523.1580559374997</v>
      </c>
      <c r="O32" s="1">
        <f t="shared" si="37"/>
        <v>3844.6843475468745</v>
      </c>
      <c r="P32" s="1">
        <f t="shared" si="37"/>
        <v>3267.9816954148432</v>
      </c>
      <c r="Q32" s="1">
        <f t="shared" si="37"/>
        <v>2777.7844411026167</v>
      </c>
      <c r="R32" s="1">
        <f t="shared" ref="R32" si="38">+Q32*0.85</f>
        <v>2361.1167749372244</v>
      </c>
      <c r="S32" s="1">
        <f t="shared" ref="S32" si="39">+R32*0.85</f>
        <v>2006.9492586966408</v>
      </c>
      <c r="T32" s="1">
        <f t="shared" ref="T32" si="40">+S32*0.85</f>
        <v>1705.9068698921446</v>
      </c>
    </row>
    <row r="33" spans="2:23" s="1" customFormat="1" x14ac:dyDescent="0.25">
      <c r="B33" s="1" t="s">
        <v>5</v>
      </c>
      <c r="C33" s="1">
        <v>11401</v>
      </c>
      <c r="D33" s="1">
        <v>8699</v>
      </c>
      <c r="E33" s="1">
        <v>4823</v>
      </c>
      <c r="F33" s="1">
        <v>5374</v>
      </c>
      <c r="G33" s="1">
        <v>5692</v>
      </c>
      <c r="H33" s="1">
        <v>8544</v>
      </c>
      <c r="I33" s="1">
        <v>12204</v>
      </c>
      <c r="J33" s="1">
        <f>10907*1.33</f>
        <v>14506.310000000001</v>
      </c>
      <c r="K33" s="1">
        <f t="shared" ref="K33:Q33" si="41">+J33*0.98</f>
        <v>14216.183800000001</v>
      </c>
      <c r="L33" s="1">
        <f t="shared" si="41"/>
        <v>13931.860124000001</v>
      </c>
      <c r="M33" s="1">
        <f t="shared" si="41"/>
        <v>13653.22292152</v>
      </c>
      <c r="N33" s="1">
        <f t="shared" si="41"/>
        <v>13380.1584630896</v>
      </c>
      <c r="O33" s="1">
        <f t="shared" si="41"/>
        <v>13112.555293827807</v>
      </c>
      <c r="P33" s="1">
        <f t="shared" si="41"/>
        <v>12850.304187951251</v>
      </c>
      <c r="Q33" s="1">
        <f t="shared" si="41"/>
        <v>12593.298104192227</v>
      </c>
      <c r="R33" s="1">
        <f t="shared" ref="R33" si="42">+Q33*0.98</f>
        <v>12341.432142108382</v>
      </c>
      <c r="S33" s="1">
        <f t="shared" ref="S33" si="43">+R33*0.98</f>
        <v>12094.603499266215</v>
      </c>
      <c r="T33" s="1">
        <f t="shared" ref="T33" si="44">+S33*0.98</f>
        <v>11852.711429280891</v>
      </c>
    </row>
    <row r="34" spans="2:23" s="1" customFormat="1" x14ac:dyDescent="0.25">
      <c r="B34" s="1" t="s">
        <v>6</v>
      </c>
      <c r="C34" s="1">
        <f>+C31+C32-C33</f>
        <v>66056</v>
      </c>
      <c r="D34" s="1">
        <f t="shared" ref="D34:I34" si="45">+D31+D32-D33</f>
        <v>55743</v>
      </c>
      <c r="E34" s="1">
        <f t="shared" si="45"/>
        <v>-8877</v>
      </c>
      <c r="F34" s="1">
        <f t="shared" si="45"/>
        <v>23277</v>
      </c>
      <c r="G34" s="1">
        <f t="shared" si="45"/>
        <v>93342</v>
      </c>
      <c r="H34" s="1">
        <f t="shared" si="45"/>
        <v>102772</v>
      </c>
      <c r="I34" s="1">
        <f t="shared" si="45"/>
        <v>63587</v>
      </c>
      <c r="J34" s="1">
        <f t="shared" ref="J34" si="46">+J31+J32-J33</f>
        <v>74340.149686820208</v>
      </c>
      <c r="K34" s="1">
        <f t="shared" ref="K34" si="47">+K31+K32-K33</f>
        <v>72539.208612907838</v>
      </c>
      <c r="L34" s="1">
        <f t="shared" ref="L34" si="48">+L31+L32-L33</f>
        <v>74303.173398539409</v>
      </c>
      <c r="M34" s="1">
        <f t="shared" ref="M34" si="49">+M31+M32-M33</f>
        <v>76687.252448681407</v>
      </c>
      <c r="N34" s="1">
        <f t="shared" ref="N34" si="50">+N31+N32-N33</f>
        <v>79816.32539618462</v>
      </c>
      <c r="O34" s="1">
        <f t="shared" ref="O34" si="51">+O31+O32-O33</f>
        <v>82959.51835771311</v>
      </c>
      <c r="P34" s="1">
        <f t="shared" ref="P34" si="52">+P31+P32-P33</f>
        <v>85895.416623946294</v>
      </c>
      <c r="Q34" s="1">
        <f t="shared" ref="Q34:T34" si="53">+Q31+Q32-Q33</f>
        <v>89281.414478429113</v>
      </c>
      <c r="R34" s="1">
        <f t="shared" si="53"/>
        <v>93045.135714249656</v>
      </c>
      <c r="S34" s="1">
        <f t="shared" si="53"/>
        <v>97139.27302234339</v>
      </c>
      <c r="T34" s="1">
        <f t="shared" si="53"/>
        <v>101533.65327953052</v>
      </c>
    </row>
    <row r="35" spans="2:23" s="1" customFormat="1" x14ac:dyDescent="0.25">
      <c r="B35" s="1" t="s">
        <v>7</v>
      </c>
      <c r="C35" s="1">
        <v>14500</v>
      </c>
      <c r="D35" s="1">
        <v>15560</v>
      </c>
      <c r="E35" s="1">
        <v>-9496</v>
      </c>
      <c r="F35" s="1">
        <v>2412</v>
      </c>
      <c r="G35" s="1">
        <v>18144</v>
      </c>
      <c r="H35" s="1">
        <v>22635</v>
      </c>
      <c r="I35" s="1">
        <v>18292</v>
      </c>
      <c r="J35" s="1">
        <f t="shared" ref="J35:Q35" si="54">+J34*0.23</f>
        <v>17098.234427968648</v>
      </c>
      <c r="K35" s="1">
        <f t="shared" si="54"/>
        <v>16684.017980968805</v>
      </c>
      <c r="L35" s="1">
        <f t="shared" si="54"/>
        <v>17089.729881664065</v>
      </c>
      <c r="M35" s="1">
        <f t="shared" si="54"/>
        <v>17638.068063196726</v>
      </c>
      <c r="N35" s="1">
        <f t="shared" si="54"/>
        <v>18357.754841122463</v>
      </c>
      <c r="O35" s="1">
        <f t="shared" si="54"/>
        <v>19080.689222274017</v>
      </c>
      <c r="P35" s="1">
        <f t="shared" si="54"/>
        <v>19755.945823507649</v>
      </c>
      <c r="Q35" s="1">
        <f t="shared" si="54"/>
        <v>20534.725330038698</v>
      </c>
      <c r="R35" s="1">
        <f t="shared" ref="R35:T35" si="55">+R34*0.23</f>
        <v>21400.381214277422</v>
      </c>
      <c r="S35" s="1">
        <f t="shared" si="55"/>
        <v>22342.032795138981</v>
      </c>
      <c r="T35" s="1">
        <f t="shared" si="55"/>
        <v>23352.740254292021</v>
      </c>
    </row>
    <row r="36" spans="2:23" s="1" customFormat="1" x14ac:dyDescent="0.25">
      <c r="B36" s="1" t="s">
        <v>8</v>
      </c>
      <c r="C36" s="1">
        <f>+C34-C35</f>
        <v>51556</v>
      </c>
      <c r="D36" s="1">
        <f t="shared" ref="D36:I36" si="56">+D34-D35</f>
        <v>40183</v>
      </c>
      <c r="E36" s="1">
        <f t="shared" si="56"/>
        <v>619</v>
      </c>
      <c r="F36" s="1">
        <f t="shared" si="56"/>
        <v>20865</v>
      </c>
      <c r="G36" s="1">
        <f t="shared" si="56"/>
        <v>75198</v>
      </c>
      <c r="H36" s="1">
        <f t="shared" si="56"/>
        <v>80137</v>
      </c>
      <c r="I36" s="1">
        <f t="shared" si="56"/>
        <v>45295</v>
      </c>
      <c r="J36" s="1">
        <f t="shared" ref="J36" si="57">+J34-J35</f>
        <v>57241.915258851557</v>
      </c>
      <c r="K36" s="1">
        <f t="shared" ref="K36" si="58">+K34-K35</f>
        <v>55855.190631939033</v>
      </c>
      <c r="L36" s="1">
        <f t="shared" ref="L36" si="59">+L34-L35</f>
        <v>57213.443516875341</v>
      </c>
      <c r="M36" s="1">
        <f t="shared" ref="M36" si="60">+M34-M35</f>
        <v>59049.184385484681</v>
      </c>
      <c r="N36" s="1">
        <f t="shared" ref="N36" si="61">+N34-N35</f>
        <v>61458.570555062157</v>
      </c>
      <c r="O36" s="1">
        <f t="shared" ref="O36" si="62">+O34-O35</f>
        <v>63878.829135439097</v>
      </c>
      <c r="P36" s="1">
        <f t="shared" ref="P36" si="63">+P34-P35</f>
        <v>66139.470800438648</v>
      </c>
      <c r="Q36" s="1">
        <f t="shared" ref="Q36:T36" si="64">+Q34-Q35</f>
        <v>68746.689148390418</v>
      </c>
      <c r="R36" s="1">
        <f t="shared" si="64"/>
        <v>71644.75449997223</v>
      </c>
      <c r="S36" s="1">
        <f t="shared" si="64"/>
        <v>74797.240227204413</v>
      </c>
      <c r="T36" s="1">
        <f t="shared" si="64"/>
        <v>78180.913025238508</v>
      </c>
    </row>
    <row r="37" spans="2:23" s="6" customFormat="1" x14ac:dyDescent="0.25">
      <c r="B37" s="6" t="s">
        <v>66</v>
      </c>
      <c r="H37" s="6">
        <f>+H36/H38</f>
        <v>5.0938808657226504</v>
      </c>
      <c r="I37" s="6">
        <f>+I36/I38</f>
        <v>2.8741457911166401</v>
      </c>
      <c r="J37" s="6">
        <f>+J36/J38</f>
        <v>3.6322245240464417</v>
      </c>
      <c r="K37" s="6">
        <f t="shared" ref="K37:T37" si="65">+K36/K38</f>
        <v>3.5442313956685099</v>
      </c>
      <c r="L37" s="6">
        <f t="shared" si="65"/>
        <v>3.6304178801041367</v>
      </c>
      <c r="M37" s="6">
        <f t="shared" si="65"/>
        <v>3.746902853966469</v>
      </c>
      <c r="N37" s="6">
        <f t="shared" si="65"/>
        <v>3.8997878770035759</v>
      </c>
      <c r="O37" s="6">
        <f t="shared" si="65"/>
        <v>4.0533627972421078</v>
      </c>
      <c r="P37" s="6">
        <f t="shared" si="65"/>
        <v>4.1968093967935234</v>
      </c>
      <c r="Q37" s="6">
        <f t="shared" si="65"/>
        <v>4.3622476491676858</v>
      </c>
      <c r="R37" s="6">
        <f t="shared" si="65"/>
        <v>4.5461412871548763</v>
      </c>
      <c r="S37" s="6">
        <f t="shared" si="65"/>
        <v>4.7461788980275923</v>
      </c>
      <c r="T37" s="6">
        <f t="shared" si="65"/>
        <v>4.9608862372700155</v>
      </c>
    </row>
    <row r="38" spans="2:23" s="1" customFormat="1" x14ac:dyDescent="0.25">
      <c r="B38" s="1" t="s">
        <v>64</v>
      </c>
      <c r="H38" s="1">
        <v>15732.013000000001</v>
      </c>
      <c r="I38" s="1">
        <v>15759.465</v>
      </c>
      <c r="J38" s="1">
        <f>+I38+0</f>
        <v>15759.465</v>
      </c>
      <c r="K38" s="1">
        <f t="shared" ref="K38:T38" si="66">+J38+0</f>
        <v>15759.465</v>
      </c>
      <c r="L38" s="1">
        <f t="shared" si="66"/>
        <v>15759.465</v>
      </c>
      <c r="M38" s="1">
        <f t="shared" si="66"/>
        <v>15759.465</v>
      </c>
      <c r="N38" s="1">
        <f t="shared" si="66"/>
        <v>15759.465</v>
      </c>
      <c r="O38" s="1">
        <f t="shared" si="66"/>
        <v>15759.465</v>
      </c>
      <c r="P38" s="1">
        <f t="shared" si="66"/>
        <v>15759.465</v>
      </c>
      <c r="Q38" s="1">
        <f t="shared" si="66"/>
        <v>15759.465</v>
      </c>
      <c r="R38" s="1">
        <f t="shared" si="66"/>
        <v>15759.465</v>
      </c>
      <c r="S38" s="1">
        <f t="shared" si="66"/>
        <v>15759.465</v>
      </c>
      <c r="T38" s="1">
        <f t="shared" si="66"/>
        <v>15759.465</v>
      </c>
    </row>
    <row r="39" spans="2:23" s="1" customFormat="1" x14ac:dyDescent="0.2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5"/>
      <c r="P39" s="3"/>
      <c r="Q39" s="3"/>
    </row>
    <row r="40" spans="2:23" s="3" customFormat="1" x14ac:dyDescent="0.25">
      <c r="B40" s="3" t="s">
        <v>12</v>
      </c>
      <c r="C40" s="3">
        <f t="shared" ref="C40:G40" si="67">+C26/C24</f>
        <v>0.34649817948168771</v>
      </c>
      <c r="D40" s="3">
        <f t="shared" si="67"/>
        <v>0.2977298453024777</v>
      </c>
      <c r="E40" s="3">
        <f t="shared" si="67"/>
        <v>0.22693098959674954</v>
      </c>
      <c r="F40" s="3">
        <f t="shared" si="67"/>
        <v>0.25943014435933076</v>
      </c>
      <c r="G40" s="3">
        <f t="shared" si="67"/>
        <v>0.33687522319691804</v>
      </c>
      <c r="H40" s="3">
        <f>+H26/H24</f>
        <v>0.34580820692609804</v>
      </c>
      <c r="I40" s="3">
        <f>+I26/I24</f>
        <v>0.30386692027421019</v>
      </c>
      <c r="J40" s="3">
        <v>0.3</v>
      </c>
      <c r="K40" s="3">
        <v>0.3</v>
      </c>
      <c r="L40" s="3">
        <v>0.3</v>
      </c>
      <c r="M40" s="3">
        <v>0.3</v>
      </c>
      <c r="N40" s="3">
        <v>0.3</v>
      </c>
      <c r="O40" s="3">
        <v>0.3</v>
      </c>
      <c r="P40" s="3">
        <v>0.3</v>
      </c>
      <c r="Q40" s="3">
        <v>0.3</v>
      </c>
      <c r="R40" s="3">
        <v>0.3</v>
      </c>
      <c r="S40" s="3">
        <v>0.3</v>
      </c>
      <c r="T40" s="3">
        <v>0.3</v>
      </c>
    </row>
    <row r="41" spans="2:23" s="3" customFormat="1" x14ac:dyDescent="0.25">
      <c r="B41" s="3" t="s">
        <v>13</v>
      </c>
      <c r="C41" s="3">
        <f t="shared" ref="C41:G41" si="68">+C36/C24</f>
        <v>0.12269103543466361</v>
      </c>
      <c r="D41" s="3">
        <f t="shared" si="68"/>
        <v>9.0246959052769637E-2</v>
      </c>
      <c r="E41" s="3">
        <f t="shared" si="68"/>
        <v>2.1259861450272873E-3</v>
      </c>
      <c r="F41" s="3">
        <f t="shared" si="68"/>
        <v>7.1257568875486232E-2</v>
      </c>
      <c r="G41" s="3">
        <f t="shared" si="68"/>
        <v>0.15002423993344494</v>
      </c>
      <c r="H41" s="3">
        <f>+H36/H24</f>
        <v>0.13678267058789392</v>
      </c>
      <c r="I41" s="3">
        <f>+I36/I24</f>
        <v>8.0819561563469089E-2</v>
      </c>
      <c r="J41" s="3">
        <f t="shared" ref="J41:Q41" si="69">+J36/J24</f>
        <v>0.10520752539800349</v>
      </c>
      <c r="K41" s="3">
        <f t="shared" si="69"/>
        <v>9.9975523149631429E-2</v>
      </c>
      <c r="L41" s="3">
        <f t="shared" si="69"/>
        <v>9.9529111856010363E-2</v>
      </c>
      <c r="M41" s="3">
        <f t="shared" si="69"/>
        <v>9.9431253441660691E-2</v>
      </c>
      <c r="N41" s="3">
        <f t="shared" si="69"/>
        <v>9.9655820950117671E-2</v>
      </c>
      <c r="O41" s="3">
        <f t="shared" si="69"/>
        <v>9.9979200596399628E-2</v>
      </c>
      <c r="P41" s="3">
        <f t="shared" si="69"/>
        <v>0.10032747588933222</v>
      </c>
      <c r="Q41" s="3">
        <f t="shared" si="69"/>
        <v>0.10082291455057414</v>
      </c>
      <c r="R41" s="3">
        <f t="shared" ref="R41:T41" si="70">+R36/R24</f>
        <v>0.1014210570302239</v>
      </c>
      <c r="S41" s="3">
        <f t="shared" si="70"/>
        <v>0.10208881795146126</v>
      </c>
      <c r="T41" s="3">
        <f t="shared" si="70"/>
        <v>0.10280160270762229</v>
      </c>
    </row>
    <row r="42" spans="2:23" s="3" customFormat="1" x14ac:dyDescent="0.25">
      <c r="B42" s="3" t="s">
        <v>60</v>
      </c>
      <c r="D42" s="3">
        <f>+D24/C24 -1</f>
        <v>5.9603531567549606E-2</v>
      </c>
      <c r="E42" s="3">
        <f t="shared" ref="E42:Q42" si="71">+E24/D24 -1</f>
        <v>-0.34608629642273214</v>
      </c>
      <c r="F42" s="3">
        <f t="shared" si="71"/>
        <v>5.6738757860825828E-3</v>
      </c>
      <c r="G42" s="3">
        <f t="shared" si="71"/>
        <v>0.71181752051664726</v>
      </c>
      <c r="H42" s="3">
        <f t="shared" si="71"/>
        <v>0.16884560060170895</v>
      </c>
      <c r="I42" s="3">
        <f t="shared" si="71"/>
        <v>-4.3396925261704355E-2</v>
      </c>
      <c r="J42" s="3">
        <f t="shared" si="71"/>
        <v>-2.9191484957849401E-2</v>
      </c>
      <c r="K42" s="3">
        <f t="shared" si="71"/>
        <v>2.6839347861302709E-2</v>
      </c>
      <c r="L42" s="3">
        <f t="shared" si="71"/>
        <v>2.8911700285099151E-2</v>
      </c>
      <c r="M42" s="3">
        <f t="shared" si="71"/>
        <v>3.3101590736106967E-2</v>
      </c>
      <c r="N42" s="3">
        <f t="shared" si="71"/>
        <v>3.8457661183938008E-2</v>
      </c>
      <c r="O42" s="3">
        <f t="shared" si="71"/>
        <v>3.6018482925576745E-2</v>
      </c>
      <c r="P42" s="3">
        <f t="shared" si="71"/>
        <v>3.1795293165738814E-2</v>
      </c>
      <c r="Q42" s="3">
        <f t="shared" si="71"/>
        <v>3.4312349272478171E-2</v>
      </c>
      <c r="R42" s="3">
        <f t="shared" ref="R42" si="72">+R24/Q24 -1</f>
        <v>3.6009473473038955E-2</v>
      </c>
      <c r="S42" s="3">
        <f t="shared" ref="S42" si="73">+S24/R24 -1</f>
        <v>3.7172832678769918E-2</v>
      </c>
      <c r="T42" s="3">
        <f t="shared" ref="T42" si="74">+T24/S24 -1</f>
        <v>3.799067910411158E-2</v>
      </c>
      <c r="V42" s="3" t="s">
        <v>61</v>
      </c>
      <c r="W42" s="3">
        <v>0.1</v>
      </c>
    </row>
    <row r="43" spans="2:23" s="3" customFormat="1" x14ac:dyDescent="0.25">
      <c r="B43" s="3" t="s">
        <v>24</v>
      </c>
      <c r="D43" s="3">
        <f t="shared" ref="D43:I43" si="75">+D11/C11 -1</f>
        <v>0.30495626822157429</v>
      </c>
      <c r="E43" s="3">
        <f t="shared" si="75"/>
        <v>-0.28641644325290438</v>
      </c>
      <c r="F43" s="3">
        <f t="shared" si="75"/>
        <v>-0.11458985597996241</v>
      </c>
      <c r="G43" s="3">
        <f t="shared" si="75"/>
        <v>0.75884016973125878</v>
      </c>
      <c r="H43" s="3">
        <f t="shared" si="75"/>
        <v>0.32167269802975462</v>
      </c>
      <c r="I43" s="3">
        <f t="shared" si="75"/>
        <v>-0.13206875570428966</v>
      </c>
      <c r="V43" s="3" t="s">
        <v>62</v>
      </c>
      <c r="W43" s="3">
        <v>0.01</v>
      </c>
    </row>
    <row r="44" spans="2:23" s="3" customFormat="1" x14ac:dyDescent="0.25">
      <c r="B44" s="3" t="s">
        <v>25</v>
      </c>
      <c r="D44" s="3">
        <f t="shared" ref="D44:I44" si="76">+D16/C16 -1</f>
        <v>-0.10936871733011666</v>
      </c>
      <c r="E44" s="3">
        <f t="shared" si="76"/>
        <v>-0.4063205417607223</v>
      </c>
      <c r="F44" s="3">
        <f t="shared" si="76"/>
        <v>0.15133079847908748</v>
      </c>
      <c r="G44" s="3">
        <f t="shared" si="76"/>
        <v>0.66842800528401591</v>
      </c>
      <c r="H44" s="3">
        <f t="shared" si="76"/>
        <v>1.8210609659540689E-2</v>
      </c>
      <c r="I44" s="3">
        <f t="shared" si="76"/>
        <v>6.9817262830482063E-2</v>
      </c>
      <c r="V44" s="3" t="s">
        <v>63</v>
      </c>
      <c r="W44" s="9">
        <f>NPV(W42,J52:CD52)</f>
        <v>766616.78847364511</v>
      </c>
    </row>
    <row r="45" spans="2:23" s="3" customFormat="1" x14ac:dyDescent="0.25">
      <c r="B45" s="3" t="s">
        <v>26</v>
      </c>
      <c r="C45" s="3">
        <f t="shared" ref="C45:Q45" si="77">+C11/C24</f>
        <v>0.40812926869898386</v>
      </c>
      <c r="D45" s="3">
        <f t="shared" si="77"/>
        <v>0.50263219361445999</v>
      </c>
      <c r="E45" s="3">
        <f t="shared" si="77"/>
        <v>0.54849755631802555</v>
      </c>
      <c r="F45" s="3">
        <f t="shared" si="77"/>
        <v>0.48290535533159618</v>
      </c>
      <c r="G45" s="3">
        <f t="shared" si="77"/>
        <v>0.4961704895269522</v>
      </c>
      <c r="H45" s="3">
        <f t="shared" si="77"/>
        <v>0.56104500820146419</v>
      </c>
      <c r="I45" s="3">
        <f t="shared" si="77"/>
        <v>0.50903922947081437</v>
      </c>
      <c r="J45" s="3">
        <f t="shared" si="77"/>
        <v>0.55056294074753609</v>
      </c>
      <c r="K45" s="3">
        <f t="shared" si="77"/>
        <v>0.56298104371337043</v>
      </c>
      <c r="L45" s="3">
        <f t="shared" si="77"/>
        <v>0.57451975299264646</v>
      </c>
      <c r="M45" s="3">
        <f t="shared" si="77"/>
        <v>0.58391715398720212</v>
      </c>
      <c r="N45" s="3">
        <f t="shared" si="77"/>
        <v>0.59040732675375185</v>
      </c>
      <c r="O45" s="3">
        <f t="shared" si="77"/>
        <v>0.59837512873404264</v>
      </c>
      <c r="P45" s="3">
        <f t="shared" si="77"/>
        <v>0.60893269171932629</v>
      </c>
      <c r="Q45" s="3">
        <f t="shared" si="77"/>
        <v>0.61816851239862292</v>
      </c>
      <c r="R45" s="3">
        <f t="shared" ref="R45:T45" si="78">+R11/R24</f>
        <v>0.62651641190368468</v>
      </c>
      <c r="S45" s="3">
        <f t="shared" si="78"/>
        <v>0.63426481274082303</v>
      </c>
      <c r="T45" s="3">
        <f t="shared" si="78"/>
        <v>0.64160311531185332</v>
      </c>
      <c r="V45" s="3" t="s">
        <v>87</v>
      </c>
      <c r="W45" s="1">
        <f>281900-45786-272911</f>
        <v>-36797</v>
      </c>
    </row>
    <row r="46" spans="2:23" s="3" customFormat="1" x14ac:dyDescent="0.25">
      <c r="B46" s="3" t="s">
        <v>27</v>
      </c>
      <c r="C46" s="3">
        <f t="shared" ref="C46:Q46" si="79">+C16/C24</f>
        <v>0.59184693367601915</v>
      </c>
      <c r="D46" s="3">
        <f t="shared" si="79"/>
        <v>0.49746662594103169</v>
      </c>
      <c r="E46" s="3">
        <f t="shared" si="79"/>
        <v>0.45164326021177431</v>
      </c>
      <c r="F46" s="3">
        <f t="shared" si="79"/>
        <v>0.51705707777371757</v>
      </c>
      <c r="G46" s="3">
        <f t="shared" si="79"/>
        <v>0.50395120890433509</v>
      </c>
      <c r="H46" s="3">
        <f t="shared" si="79"/>
        <v>0.43900449074967013</v>
      </c>
      <c r="I46" s="3">
        <f t="shared" si="79"/>
        <v>0.49096077052918569</v>
      </c>
      <c r="J46" s="3">
        <f t="shared" si="79"/>
        <v>0.44943705925246397</v>
      </c>
      <c r="K46" s="3">
        <f t="shared" si="79"/>
        <v>0.43701895628662946</v>
      </c>
      <c r="L46" s="3">
        <f t="shared" si="79"/>
        <v>0.42548024700735354</v>
      </c>
      <c r="M46" s="3">
        <f t="shared" si="79"/>
        <v>0.41608284601279782</v>
      </c>
      <c r="N46" s="3">
        <f t="shared" si="79"/>
        <v>0.40959267324624826</v>
      </c>
      <c r="O46" s="3">
        <f t="shared" si="79"/>
        <v>0.40162487126595736</v>
      </c>
      <c r="P46" s="3">
        <f t="shared" si="79"/>
        <v>0.39106730828067371</v>
      </c>
      <c r="Q46" s="3">
        <f t="shared" si="79"/>
        <v>0.38183148760137714</v>
      </c>
      <c r="R46" s="3">
        <f t="shared" ref="R46:T46" si="80">+R16/R24</f>
        <v>0.37348358809631532</v>
      </c>
      <c r="S46" s="3">
        <f t="shared" si="80"/>
        <v>0.36573518725917692</v>
      </c>
      <c r="T46" s="3">
        <f t="shared" si="80"/>
        <v>0.35839688468814668</v>
      </c>
      <c r="V46" s="3" t="s">
        <v>88</v>
      </c>
      <c r="W46" s="1">
        <f>+W44+W45</f>
        <v>729819.78847364511</v>
      </c>
    </row>
    <row r="47" spans="2:23" s="1" customFormat="1" x14ac:dyDescent="0.25">
      <c r="V47" s="1" t="s">
        <v>65</v>
      </c>
      <c r="W47" s="4">
        <f>+W46/T38</f>
        <v>46.309934282264351</v>
      </c>
    </row>
    <row r="48" spans="2:23" s="1" customFormat="1" x14ac:dyDescent="0.25">
      <c r="B48" s="1" t="s">
        <v>86</v>
      </c>
      <c r="H48" s="1">
        <v>94209</v>
      </c>
      <c r="I48" s="1">
        <v>63608</v>
      </c>
      <c r="J48" s="1">
        <f>+SUM(C51:I51)/7</f>
        <v>28710.428571428572</v>
      </c>
      <c r="K48" s="1">
        <f t="shared" ref="K48:T48" si="81">+SUM(D51:J51)/7</f>
        <v>28577.34</v>
      </c>
      <c r="L48" s="1">
        <f t="shared" si="81"/>
        <v>29145.675371428573</v>
      </c>
      <c r="M48" s="1">
        <f t="shared" si="81"/>
        <v>31990.986021714289</v>
      </c>
      <c r="N48" s="1">
        <f t="shared" si="81"/>
        <v>34493.005742148576</v>
      </c>
      <c r="O48" s="1">
        <f t="shared" si="81"/>
        <v>35680.937285562977</v>
      </c>
      <c r="P48" s="1">
        <f t="shared" si="81"/>
        <v>36076.453174131384</v>
      </c>
      <c r="Q48" s="1">
        <f t="shared" si="81"/>
        <v>36797.982237614</v>
      </c>
      <c r="R48" s="1">
        <f t="shared" si="81"/>
        <v>37533.941882366278</v>
      </c>
      <c r="S48" s="1">
        <f t="shared" si="81"/>
        <v>38284.620720013612</v>
      </c>
      <c r="T48" s="1">
        <f t="shared" si="81"/>
        <v>39050.313134413875</v>
      </c>
    </row>
    <row r="49" spans="2:138" s="1" customFormat="1" x14ac:dyDescent="0.25">
      <c r="B49" s="1" t="s">
        <v>16</v>
      </c>
      <c r="C49" s="1">
        <f>+C50-96414</f>
        <v>-63037</v>
      </c>
      <c r="D49" s="1">
        <f>+D50-88426</f>
        <v>9720</v>
      </c>
      <c r="E49" s="1">
        <f>+E50-36562</f>
        <v>57778</v>
      </c>
      <c r="F49" s="1">
        <f>+F50-40391</f>
        <v>-17478</v>
      </c>
      <c r="G49" s="1">
        <f>+G50-114128</f>
        <v>-61749</v>
      </c>
      <c r="H49" s="1">
        <f>+H50-118092</f>
        <v>-31567</v>
      </c>
      <c r="I49" s="1">
        <f>+I50-76085</f>
        <v>22348</v>
      </c>
    </row>
    <row r="50" spans="2:138" s="2" customFormat="1" x14ac:dyDescent="0.25">
      <c r="B50" s="2" t="s">
        <v>14</v>
      </c>
      <c r="C50" s="2">
        <v>33377</v>
      </c>
      <c r="D50" s="2">
        <v>98146</v>
      </c>
      <c r="E50" s="2">
        <v>94340</v>
      </c>
      <c r="F50" s="2">
        <v>22913</v>
      </c>
      <c r="G50" s="2">
        <v>52379</v>
      </c>
      <c r="H50" s="2">
        <v>86525</v>
      </c>
      <c r="I50" s="2">
        <v>98433</v>
      </c>
      <c r="J50" s="2">
        <f>+J48+J36</f>
        <v>85952.343830280122</v>
      </c>
      <c r="K50" s="2">
        <f t="shared" ref="K50:T50" si="82">+K48+K36</f>
        <v>84432.530631939037</v>
      </c>
      <c r="L50" s="2">
        <f t="shared" si="82"/>
        <v>86359.118888303914</v>
      </c>
      <c r="M50" s="2">
        <f t="shared" si="82"/>
        <v>91040.170407198966</v>
      </c>
      <c r="N50" s="2">
        <f t="shared" si="82"/>
        <v>95951.576297210733</v>
      </c>
      <c r="O50" s="2">
        <f t="shared" si="82"/>
        <v>99559.766421002074</v>
      </c>
      <c r="P50" s="2">
        <f t="shared" si="82"/>
        <v>102215.92397457003</v>
      </c>
      <c r="Q50" s="2">
        <f t="shared" si="82"/>
        <v>105544.67138600443</v>
      </c>
      <c r="R50" s="2">
        <f t="shared" si="82"/>
        <v>109178.6963823385</v>
      </c>
      <c r="S50" s="2">
        <f t="shared" si="82"/>
        <v>113081.86094721803</v>
      </c>
      <c r="T50" s="2">
        <f t="shared" si="82"/>
        <v>117231.22615965237</v>
      </c>
    </row>
    <row r="51" spans="2:138" s="1" customFormat="1" x14ac:dyDescent="0.25">
      <c r="B51" s="1" t="s">
        <v>15</v>
      </c>
      <c r="C51" s="1">
        <v>35580</v>
      </c>
      <c r="D51" s="1">
        <v>31363</v>
      </c>
      <c r="E51" s="1">
        <v>16131</v>
      </c>
      <c r="F51" s="1">
        <v>19255</v>
      </c>
      <c r="G51" s="1">
        <v>29189</v>
      </c>
      <c r="H51" s="1">
        <v>35486</v>
      </c>
      <c r="I51" s="1">
        <v>33969</v>
      </c>
      <c r="J51" s="1">
        <f>+I51*1.02</f>
        <v>34648.379999999997</v>
      </c>
      <c r="K51" s="1">
        <f t="shared" ref="K51:T51" si="83">+J51*1.02</f>
        <v>35341.347600000001</v>
      </c>
      <c r="L51" s="1">
        <f t="shared" si="83"/>
        <v>36048.174552000004</v>
      </c>
      <c r="M51" s="1">
        <f t="shared" si="83"/>
        <v>36769.138043040002</v>
      </c>
      <c r="N51" s="1">
        <f t="shared" si="83"/>
        <v>37504.520803900799</v>
      </c>
      <c r="O51" s="1">
        <f t="shared" si="83"/>
        <v>38254.611219978819</v>
      </c>
      <c r="P51" s="1">
        <f t="shared" si="83"/>
        <v>39019.703444378392</v>
      </c>
      <c r="Q51" s="1">
        <f t="shared" si="83"/>
        <v>39800.097513265959</v>
      </c>
      <c r="R51" s="1">
        <f t="shared" si="83"/>
        <v>40596.099463531282</v>
      </c>
      <c r="S51" s="1">
        <f t="shared" si="83"/>
        <v>41408.021452801906</v>
      </c>
      <c r="T51" s="1">
        <f t="shared" si="83"/>
        <v>42236.181881857941</v>
      </c>
    </row>
    <row r="52" spans="2:138" s="1" customFormat="1" x14ac:dyDescent="0.25">
      <c r="B52" s="1" t="s">
        <v>85</v>
      </c>
      <c r="C52" s="1">
        <f t="shared" ref="C52:I52" si="84">+C50-C51</f>
        <v>-2203</v>
      </c>
      <c r="D52" s="1">
        <f t="shared" si="84"/>
        <v>66783</v>
      </c>
      <c r="E52" s="1">
        <f t="shared" si="84"/>
        <v>78209</v>
      </c>
      <c r="F52" s="1">
        <f t="shared" si="84"/>
        <v>3658</v>
      </c>
      <c r="G52" s="1">
        <f t="shared" si="84"/>
        <v>23190</v>
      </c>
      <c r="H52" s="1">
        <f t="shared" si="84"/>
        <v>51039</v>
      </c>
      <c r="I52" s="1">
        <f t="shared" si="84"/>
        <v>64464</v>
      </c>
      <c r="J52" s="1">
        <f>+J50-J51+J33-J32</f>
        <v>57145.323830280133</v>
      </c>
      <c r="K52" s="1">
        <f t="shared" ref="K52:T52" si="85">+K50-K51+K33-K32</f>
        <v>55942.159331939038</v>
      </c>
      <c r="L52" s="1">
        <f t="shared" si="85"/>
        <v>57982.378085303906</v>
      </c>
      <c r="M52" s="1">
        <f t="shared" si="85"/>
        <v>62602.892866928967</v>
      </c>
      <c r="N52" s="1">
        <f t="shared" si="85"/>
        <v>67304.05590046203</v>
      </c>
      <c r="O52" s="1">
        <f t="shared" si="85"/>
        <v>70573.02614730419</v>
      </c>
      <c r="P52" s="1">
        <f t="shared" si="85"/>
        <v>72778.543022728045</v>
      </c>
      <c r="Q52" s="1">
        <f t="shared" si="85"/>
        <v>75560.087535828075</v>
      </c>
      <c r="R52" s="1">
        <f t="shared" si="85"/>
        <v>78562.912285978382</v>
      </c>
      <c r="S52" s="1">
        <f t="shared" si="85"/>
        <v>81761.493734985692</v>
      </c>
      <c r="T52" s="1">
        <f t="shared" si="85"/>
        <v>85141.848837183177</v>
      </c>
      <c r="U52" s="1">
        <f t="shared" ref="U52:AZ52" si="86">+T52*(1+TR)</f>
        <v>85993.267325555003</v>
      </c>
      <c r="V52" s="1">
        <f t="shared" si="86"/>
        <v>86853.199998810553</v>
      </c>
      <c r="W52" s="1">
        <f t="shared" si="86"/>
        <v>87721.731998798656</v>
      </c>
      <c r="X52" s="1">
        <f t="shared" si="86"/>
        <v>88598.949318786646</v>
      </c>
      <c r="Y52" s="1">
        <f t="shared" si="86"/>
        <v>89484.938811974513</v>
      </c>
      <c r="Z52" s="1">
        <f t="shared" si="86"/>
        <v>90379.788200094263</v>
      </c>
      <c r="AA52" s="1">
        <f t="shared" si="86"/>
        <v>91283.586082095208</v>
      </c>
      <c r="AB52" s="1">
        <f t="shared" si="86"/>
        <v>92196.42194291616</v>
      </c>
      <c r="AC52" s="1">
        <f t="shared" si="86"/>
        <v>93118.386162345327</v>
      </c>
      <c r="AD52" s="1">
        <f t="shared" si="86"/>
        <v>94049.570023968787</v>
      </c>
      <c r="AE52" s="1">
        <f t="shared" si="86"/>
        <v>94990.065724208471</v>
      </c>
      <c r="AF52" s="1">
        <f t="shared" si="86"/>
        <v>95939.966381450562</v>
      </c>
      <c r="AG52" s="1">
        <f t="shared" si="86"/>
        <v>96899.366045265066</v>
      </c>
      <c r="AH52" s="1">
        <f t="shared" si="86"/>
        <v>97868.35970571771</v>
      </c>
      <c r="AI52" s="1">
        <f t="shared" si="86"/>
        <v>98847.043302774895</v>
      </c>
      <c r="AJ52" s="1">
        <f t="shared" si="86"/>
        <v>99835.51373580264</v>
      </c>
      <c r="AK52" s="1">
        <f t="shared" si="86"/>
        <v>100833.86887316067</v>
      </c>
      <c r="AL52" s="1">
        <f t="shared" si="86"/>
        <v>101842.20756189227</v>
      </c>
      <c r="AM52" s="1">
        <f t="shared" si="86"/>
        <v>102860.62963751119</v>
      </c>
      <c r="AN52" s="1">
        <f t="shared" si="86"/>
        <v>103889.2359338863</v>
      </c>
      <c r="AO52" s="1">
        <f t="shared" si="86"/>
        <v>104928.12829322516</v>
      </c>
      <c r="AP52" s="1">
        <f t="shared" si="86"/>
        <v>105977.40957615741</v>
      </c>
      <c r="AQ52" s="1">
        <f t="shared" si="86"/>
        <v>107037.18367191899</v>
      </c>
      <c r="AR52" s="1">
        <f t="shared" si="86"/>
        <v>108107.55550863818</v>
      </c>
      <c r="AS52" s="1">
        <f t="shared" si="86"/>
        <v>109188.63106372456</v>
      </c>
      <c r="AT52" s="1">
        <f t="shared" si="86"/>
        <v>110280.51737436181</v>
      </c>
      <c r="AU52" s="1">
        <f t="shared" si="86"/>
        <v>111383.32254810543</v>
      </c>
      <c r="AV52" s="1">
        <f t="shared" si="86"/>
        <v>112497.15577358648</v>
      </c>
      <c r="AW52" s="1">
        <f t="shared" si="86"/>
        <v>113622.12733132235</v>
      </c>
      <c r="AX52" s="1">
        <f t="shared" si="86"/>
        <v>114758.34860463557</v>
      </c>
      <c r="AY52" s="1">
        <f t="shared" si="86"/>
        <v>115905.93209068192</v>
      </c>
      <c r="AZ52" s="1">
        <f t="shared" si="86"/>
        <v>117064.99141158874</v>
      </c>
      <c r="BA52" s="1">
        <f t="shared" ref="BA52:CF52" si="87">+AZ52*(1+TR)</f>
        <v>118235.64132570462</v>
      </c>
      <c r="BB52" s="1">
        <f t="shared" si="87"/>
        <v>119417.99773896167</v>
      </c>
      <c r="BC52" s="1">
        <f t="shared" si="87"/>
        <v>120612.17771635129</v>
      </c>
      <c r="BD52" s="1">
        <f t="shared" si="87"/>
        <v>121818.2994935148</v>
      </c>
      <c r="BE52" s="1">
        <f t="shared" si="87"/>
        <v>123036.48248844995</v>
      </c>
      <c r="BF52" s="1">
        <f t="shared" si="87"/>
        <v>124266.84731333445</v>
      </c>
      <c r="BG52" s="1">
        <f t="shared" si="87"/>
        <v>125509.5157864678</v>
      </c>
      <c r="BH52" s="1">
        <f t="shared" si="87"/>
        <v>126764.61094433248</v>
      </c>
      <c r="BI52" s="1">
        <f t="shared" si="87"/>
        <v>128032.25705377581</v>
      </c>
      <c r="BJ52" s="1">
        <f t="shared" si="87"/>
        <v>129312.57962431357</v>
      </c>
      <c r="BK52" s="1">
        <f t="shared" si="87"/>
        <v>130605.70542055671</v>
      </c>
      <c r="BL52" s="1">
        <f t="shared" si="87"/>
        <v>131911.76247476228</v>
      </c>
      <c r="BM52" s="1">
        <f t="shared" si="87"/>
        <v>133230.8800995099</v>
      </c>
      <c r="BN52" s="1">
        <f t="shared" si="87"/>
        <v>134563.18890050499</v>
      </c>
      <c r="BO52" s="1">
        <f t="shared" si="87"/>
        <v>135908.82078951003</v>
      </c>
      <c r="BP52" s="1">
        <f t="shared" si="87"/>
        <v>137267.90899740515</v>
      </c>
      <c r="BQ52" s="1">
        <f t="shared" si="87"/>
        <v>138640.5880873792</v>
      </c>
      <c r="BR52" s="1">
        <f t="shared" si="87"/>
        <v>140026.99396825299</v>
      </c>
      <c r="BS52" s="1">
        <f t="shared" si="87"/>
        <v>141427.26390793553</v>
      </c>
      <c r="BT52" s="1">
        <f t="shared" si="87"/>
        <v>142841.5365470149</v>
      </c>
      <c r="BU52" s="1">
        <f t="shared" si="87"/>
        <v>144269.95191248503</v>
      </c>
      <c r="BV52" s="1">
        <f t="shared" si="87"/>
        <v>145712.65143160988</v>
      </c>
      <c r="BW52" s="1">
        <f t="shared" si="87"/>
        <v>147169.77794592598</v>
      </c>
      <c r="BX52" s="1">
        <f t="shared" si="87"/>
        <v>148641.47572538524</v>
      </c>
      <c r="BY52" s="1">
        <f t="shared" si="87"/>
        <v>150127.89048263911</v>
      </c>
      <c r="BZ52" s="1">
        <f t="shared" si="87"/>
        <v>151629.16938746549</v>
      </c>
      <c r="CA52" s="1">
        <f t="shared" si="87"/>
        <v>153145.46108134015</v>
      </c>
      <c r="CB52" s="1">
        <f t="shared" si="87"/>
        <v>154676.91569215356</v>
      </c>
      <c r="CC52" s="1">
        <f t="shared" si="87"/>
        <v>156223.6848490751</v>
      </c>
      <c r="CD52" s="1">
        <f t="shared" si="87"/>
        <v>157785.92169756585</v>
      </c>
      <c r="CE52" s="1">
        <f t="shared" si="87"/>
        <v>159363.78091454151</v>
      </c>
      <c r="CF52" s="1">
        <f t="shared" si="87"/>
        <v>160957.41872368692</v>
      </c>
      <c r="CG52" s="1">
        <f t="shared" ref="CG52:DL52" si="88">+CF52*(1+TR)</f>
        <v>162566.99291092379</v>
      </c>
      <c r="CH52" s="1">
        <f t="shared" si="88"/>
        <v>164192.66284003304</v>
      </c>
      <c r="CI52" s="1">
        <f t="shared" si="88"/>
        <v>165834.58946843338</v>
      </c>
      <c r="CJ52" s="1">
        <f t="shared" si="88"/>
        <v>167492.93536311772</v>
      </c>
      <c r="CK52" s="1">
        <f t="shared" si="88"/>
        <v>169167.86471674891</v>
      </c>
      <c r="CL52" s="1">
        <f t="shared" si="88"/>
        <v>170859.5433639164</v>
      </c>
      <c r="CM52" s="1">
        <f t="shared" si="88"/>
        <v>172568.13879755556</v>
      </c>
      <c r="CN52" s="1">
        <f t="shared" si="88"/>
        <v>174293.82018553111</v>
      </c>
      <c r="CO52" s="1">
        <f t="shared" si="88"/>
        <v>176036.75838738642</v>
      </c>
      <c r="CP52" s="1">
        <f t="shared" si="88"/>
        <v>177797.12597126028</v>
      </c>
      <c r="CQ52" s="1">
        <f t="shared" si="88"/>
        <v>179575.09723097287</v>
      </c>
      <c r="CR52" s="1">
        <f t="shared" si="88"/>
        <v>181370.8482032826</v>
      </c>
      <c r="CS52" s="1">
        <f t="shared" si="88"/>
        <v>183184.55668531542</v>
      </c>
      <c r="CT52" s="1">
        <f t="shared" si="88"/>
        <v>185016.40225216857</v>
      </c>
      <c r="CU52" s="1">
        <f t="shared" si="88"/>
        <v>186866.56627469027</v>
      </c>
      <c r="CV52" s="1">
        <f t="shared" si="88"/>
        <v>188735.23193743717</v>
      </c>
      <c r="CW52" s="1">
        <f t="shared" si="88"/>
        <v>190622.58425681153</v>
      </c>
      <c r="CX52" s="1">
        <f t="shared" si="88"/>
        <v>192528.81009937965</v>
      </c>
      <c r="CY52" s="1">
        <f t="shared" si="88"/>
        <v>194454.09820037344</v>
      </c>
      <c r="CZ52" s="1">
        <f t="shared" si="88"/>
        <v>196398.63918237717</v>
      </c>
      <c r="DA52" s="1">
        <f t="shared" si="88"/>
        <v>198362.62557420094</v>
      </c>
      <c r="DB52" s="1">
        <f t="shared" si="88"/>
        <v>200346.25182994295</v>
      </c>
      <c r="DC52" s="1">
        <f t="shared" si="88"/>
        <v>202349.71434824239</v>
      </c>
      <c r="DD52" s="1">
        <f t="shared" si="88"/>
        <v>204373.21149172483</v>
      </c>
      <c r="DE52" s="1">
        <f t="shared" si="88"/>
        <v>206416.94360664207</v>
      </c>
      <c r="DF52" s="1">
        <f t="shared" si="88"/>
        <v>208481.11304270849</v>
      </c>
      <c r="DG52" s="1">
        <f t="shared" si="88"/>
        <v>210565.92417313557</v>
      </c>
      <c r="DH52" s="1">
        <f t="shared" si="88"/>
        <v>212671.58341486694</v>
      </c>
      <c r="DI52" s="1">
        <f t="shared" si="88"/>
        <v>214798.2992490156</v>
      </c>
      <c r="DJ52" s="1">
        <f t="shared" si="88"/>
        <v>216946.28224150577</v>
      </c>
      <c r="DK52" s="1">
        <f t="shared" si="88"/>
        <v>219115.74506392083</v>
      </c>
      <c r="DL52" s="1">
        <f t="shared" si="88"/>
        <v>221306.90251456003</v>
      </c>
      <c r="DM52" s="1">
        <f t="shared" ref="DM52:EH52" si="89">+DL52*(1+TR)</f>
        <v>223519.97153970564</v>
      </c>
      <c r="DN52" s="1">
        <f t="shared" si="89"/>
        <v>225755.1712551027</v>
      </c>
      <c r="DO52" s="1">
        <f t="shared" si="89"/>
        <v>228012.72296765374</v>
      </c>
      <c r="DP52" s="1">
        <f t="shared" si="89"/>
        <v>230292.85019733029</v>
      </c>
      <c r="DQ52" s="1">
        <f t="shared" si="89"/>
        <v>232595.7786993036</v>
      </c>
      <c r="DR52" s="1">
        <f t="shared" si="89"/>
        <v>234921.73648629664</v>
      </c>
      <c r="DS52" s="1">
        <f t="shared" si="89"/>
        <v>237270.9538511596</v>
      </c>
      <c r="DT52" s="1">
        <f t="shared" si="89"/>
        <v>239643.66338967122</v>
      </c>
      <c r="DU52" s="1">
        <f t="shared" si="89"/>
        <v>242040.10002356794</v>
      </c>
      <c r="DV52" s="1">
        <f t="shared" si="89"/>
        <v>244460.50102380363</v>
      </c>
      <c r="DW52" s="1">
        <f t="shared" si="89"/>
        <v>246905.10603404167</v>
      </c>
      <c r="DX52" s="1">
        <f t="shared" si="89"/>
        <v>249374.1570943821</v>
      </c>
      <c r="DY52" s="1">
        <f t="shared" si="89"/>
        <v>251867.89866532592</v>
      </c>
      <c r="DZ52" s="1">
        <f t="shared" si="89"/>
        <v>254386.57765197917</v>
      </c>
      <c r="EA52" s="1">
        <f t="shared" si="89"/>
        <v>256930.44342849895</v>
      </c>
      <c r="EB52" s="1">
        <f t="shared" si="89"/>
        <v>259499.74786278396</v>
      </c>
      <c r="EC52" s="1">
        <f t="shared" si="89"/>
        <v>262094.74534141179</v>
      </c>
      <c r="ED52" s="1">
        <f t="shared" si="89"/>
        <v>264715.69279482594</v>
      </c>
      <c r="EE52" s="1">
        <f t="shared" si="89"/>
        <v>267362.84972277418</v>
      </c>
      <c r="EF52" s="1">
        <f t="shared" si="89"/>
        <v>270036.47822000191</v>
      </c>
      <c r="EG52" s="1">
        <f t="shared" si="89"/>
        <v>272736.84300220193</v>
      </c>
      <c r="EH52" s="1">
        <f t="shared" si="89"/>
        <v>275464.21143222396</v>
      </c>
    </row>
    <row r="53" spans="2:138" s="1" customFormat="1" x14ac:dyDescent="0.25"/>
    <row r="54" spans="2:138" s="1" customFormat="1" x14ac:dyDescent="0.25"/>
    <row r="55" spans="2:138" s="1" customFormat="1" x14ac:dyDescent="0.25">
      <c r="B55" s="1" t="s">
        <v>17</v>
      </c>
      <c r="G55" s="1">
        <v>287764</v>
      </c>
      <c r="H55" s="1">
        <v>162351</v>
      </c>
      <c r="I55" s="1">
        <v>314686</v>
      </c>
    </row>
    <row r="56" spans="2:138" s="1" customFormat="1" x14ac:dyDescent="0.25">
      <c r="B56" s="1" t="s">
        <v>18</v>
      </c>
      <c r="G56" s="1">
        <v>175873</v>
      </c>
      <c r="H56" s="1">
        <v>205811</v>
      </c>
      <c r="I56" s="1">
        <v>188668</v>
      </c>
    </row>
    <row r="57" spans="2:138" s="1" customFormat="1" x14ac:dyDescent="0.25">
      <c r="B57" s="1" t="s">
        <v>19</v>
      </c>
      <c r="G57" s="1">
        <v>123801</v>
      </c>
      <c r="H57" s="1">
        <v>130436</v>
      </c>
      <c r="I57" s="1">
        <v>145061</v>
      </c>
    </row>
    <row r="58" spans="2:138" s="1" customFormat="1" x14ac:dyDescent="0.25"/>
    <row r="59" spans="2:138" s="1" customFormat="1" x14ac:dyDescent="0.25">
      <c r="B59" s="1" t="s">
        <v>20</v>
      </c>
      <c r="G59" s="1">
        <f>30765+58552+163977</f>
        <v>253294</v>
      </c>
      <c r="H59" s="1">
        <f>38144+41638+174839</f>
        <v>254621</v>
      </c>
      <c r="I59" s="1">
        <f>29786+298071</f>
        <v>327857</v>
      </c>
    </row>
    <row r="60" spans="2:138" s="1" customFormat="1" x14ac:dyDescent="0.25">
      <c r="B60" s="1" t="s">
        <v>68</v>
      </c>
      <c r="G60" s="1">
        <f>+G59-G55</f>
        <v>-34470</v>
      </c>
      <c r="H60" s="1">
        <f>+H59-H55</f>
        <v>92270</v>
      </c>
      <c r="I60" s="1">
        <f>+I59-I55</f>
        <v>13171</v>
      </c>
    </row>
    <row r="61" spans="2:138" s="1" customFormat="1" x14ac:dyDescent="0.25">
      <c r="B61" s="1" t="s">
        <v>21</v>
      </c>
      <c r="G61" s="1">
        <f>+G55+G56+G57-G59</f>
        <v>334144</v>
      </c>
      <c r="H61" s="1">
        <f>+H55+H56+H57-H59</f>
        <v>243977</v>
      </c>
      <c r="I61" s="1">
        <f>+I55+I56+I57-I59</f>
        <v>320558</v>
      </c>
    </row>
    <row r="62" spans="2:138" s="1" customFormat="1" x14ac:dyDescent="0.25"/>
    <row r="63" spans="2:138" s="7" customFormat="1" x14ac:dyDescent="0.25">
      <c r="B63" s="7" t="s">
        <v>9</v>
      </c>
      <c r="C63" s="7">
        <f>+C27/C$24</f>
        <v>5.6790652292901166E-2</v>
      </c>
      <c r="D63" s="7">
        <f t="shared" ref="D63:J63" si="90">+D27/D$24</f>
        <v>6.1746500889375999E-2</v>
      </c>
      <c r="E63" s="7">
        <f t="shared" si="90"/>
        <v>7.2510209198410489E-2</v>
      </c>
      <c r="F63" s="7">
        <f t="shared" si="90"/>
        <v>7.297540051432494E-2</v>
      </c>
      <c r="G63" s="7">
        <f t="shared" si="90"/>
        <v>6.2523067837897683E-2</v>
      </c>
      <c r="H63" s="7">
        <f t="shared" si="90"/>
        <v>6.2056322978949294E-2</v>
      </c>
      <c r="I63" s="7">
        <f t="shared" si="90"/>
        <v>6.9990685989372747E-2</v>
      </c>
      <c r="J63" s="7">
        <f t="shared" si="90"/>
        <v>6.9857995855192145E-2</v>
      </c>
    </row>
    <row r="64" spans="2:138" s="7" customFormat="1" x14ac:dyDescent="0.25">
      <c r="B64" s="7" t="s">
        <v>10</v>
      </c>
      <c r="C64" s="7">
        <f t="shared" ref="C64:J65" si="91">+C28/C$24</f>
        <v>0.10976178577377978</v>
      </c>
      <c r="D64" s="7">
        <f t="shared" si="91"/>
        <v>8.9433943618951794E-2</v>
      </c>
      <c r="E64" s="7">
        <f t="shared" si="91"/>
        <v>0.13331890822540263</v>
      </c>
      <c r="F64" s="7">
        <f t="shared" si="91"/>
        <v>0.10691538227730515</v>
      </c>
      <c r="G64" s="7">
        <f t="shared" si="91"/>
        <v>8.4877673125993786E-2</v>
      </c>
      <c r="H64" s="7">
        <f t="shared" si="91"/>
        <v>8.4738790621143562E-2</v>
      </c>
      <c r="I64" s="7">
        <f t="shared" si="91"/>
        <v>8.7535641257141639E-2</v>
      </c>
      <c r="J64" s="7">
        <f t="shared" si="91"/>
        <v>8.5556366958209978E-2</v>
      </c>
    </row>
    <row r="65" spans="2:10" s="7" customFormat="1" x14ac:dyDescent="0.25">
      <c r="B65" s="7" t="s">
        <v>67</v>
      </c>
      <c r="C65" s="7">
        <f t="shared" si="91"/>
        <v>0</v>
      </c>
      <c r="D65" s="7">
        <f t="shared" si="91"/>
        <v>0</v>
      </c>
      <c r="E65" s="7">
        <f t="shared" si="91"/>
        <v>0</v>
      </c>
      <c r="F65" s="7">
        <f t="shared" si="91"/>
        <v>0</v>
      </c>
      <c r="G65" s="7">
        <f t="shared" si="91"/>
        <v>0</v>
      </c>
      <c r="H65" s="7">
        <f t="shared" si="91"/>
        <v>1.4069650144827103E-2</v>
      </c>
      <c r="I65" s="7">
        <f t="shared" si="91"/>
        <v>1.8701177276668937E-2</v>
      </c>
      <c r="J65" s="7">
        <f t="shared" si="91"/>
        <v>0.02</v>
      </c>
    </row>
    <row r="66" spans="2:10" s="1" customFormat="1" x14ac:dyDescent="0.25"/>
    <row r="67" spans="2:10" s="1" customFormat="1" x14ac:dyDescent="0.25"/>
    <row r="68" spans="2:10" s="1" customFormat="1" x14ac:dyDescent="0.25"/>
    <row r="69" spans="2:10" s="1" customFormat="1" x14ac:dyDescent="0.25"/>
    <row r="70" spans="2:10" s="1" customFormat="1" x14ac:dyDescent="0.25"/>
    <row r="71" spans="2:10" s="1" customFormat="1" x14ac:dyDescent="0.25"/>
    <row r="72" spans="2:10" s="1" customFormat="1" x14ac:dyDescent="0.25"/>
    <row r="73" spans="2:10" s="1" customFormat="1" x14ac:dyDescent="0.25"/>
    <row r="74" spans="2:10" s="1" customFormat="1" x14ac:dyDescent="0.25"/>
    <row r="75" spans="2:10" s="1" customFormat="1" x14ac:dyDescent="0.25"/>
    <row r="76" spans="2:10" s="1" customFormat="1" x14ac:dyDescent="0.25"/>
    <row r="77" spans="2:10" s="1" customFormat="1" x14ac:dyDescent="0.25"/>
    <row r="78" spans="2:10" s="1" customFormat="1" x14ac:dyDescent="0.25"/>
    <row r="79" spans="2:10" s="1" customFormat="1" x14ac:dyDescent="0.25"/>
    <row r="80" spans="2:1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D258-3E3D-4A57-8BFF-142F56995DB3}">
  <dimension ref="B3:C8"/>
  <sheetViews>
    <sheetView topLeftCell="A2" zoomScale="175" zoomScaleNormal="175" workbookViewId="0">
      <selection activeCell="C7" sqref="C7"/>
    </sheetView>
  </sheetViews>
  <sheetFormatPr defaultRowHeight="15" x14ac:dyDescent="0.25"/>
  <cols>
    <col min="2" max="2" width="15.42578125" bestFit="1" customWidth="1"/>
  </cols>
  <sheetData>
    <row r="3" spans="2:3" x14ac:dyDescent="0.25">
      <c r="B3" t="s">
        <v>81</v>
      </c>
      <c r="C3">
        <v>800</v>
      </c>
    </row>
    <row r="4" spans="2:3" x14ac:dyDescent="0.25">
      <c r="B4" t="s">
        <v>82</v>
      </c>
      <c r="C4">
        <v>0.35</v>
      </c>
    </row>
    <row r="5" spans="2:3" x14ac:dyDescent="0.25">
      <c r="B5" t="s">
        <v>83</v>
      </c>
      <c r="C5">
        <v>0.8</v>
      </c>
    </row>
    <row r="6" spans="2:3" x14ac:dyDescent="0.25">
      <c r="B6" t="s">
        <v>89</v>
      </c>
      <c r="C6">
        <v>80</v>
      </c>
    </row>
    <row r="7" spans="2:3" x14ac:dyDescent="0.25">
      <c r="B7" t="s">
        <v>90</v>
      </c>
      <c r="C7">
        <v>0.02</v>
      </c>
    </row>
    <row r="8" spans="2:3" x14ac:dyDescent="0.25">
      <c r="B8" t="s">
        <v>91</v>
      </c>
      <c r="C8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</vt:lpstr>
      <vt:lpstr>Model</vt:lpstr>
      <vt:lpstr>Factors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2024-06-01T12:36:41Z</dcterms:created>
  <dcterms:modified xsi:type="dcterms:W3CDTF">2026-03-09T23:00:48Z</dcterms:modified>
</cp:coreProperties>
</file>