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D5D6E369-38DA-48CD-9DB6-404716B906DF}" xr6:coauthVersionLast="47" xr6:coauthVersionMax="47" xr10:uidLastSave="{00000000-0000-0000-0000-000000000000}"/>
  <bookViews>
    <workbookView xWindow="-120" yWindow="-120" windowWidth="29040" windowHeight="15840" activeTab="1" xr2:uid="{F1409237-2022-4378-A57F-6A16C138FA4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66" i="2" l="1"/>
  <c r="L66" i="2"/>
  <c r="L65" i="2"/>
  <c r="M65" i="2"/>
  <c r="N65" i="2"/>
  <c r="O65" i="2"/>
  <c r="P65" i="2"/>
  <c r="Q65" i="2"/>
  <c r="R65" i="2"/>
  <c r="M68" i="2"/>
  <c r="M69" i="2" s="1"/>
  <c r="M66" i="2" s="1"/>
  <c r="N68" i="2" s="1"/>
  <c r="L69" i="2"/>
  <c r="L68" i="2"/>
  <c r="K66" i="2"/>
  <c r="L67" i="2"/>
  <c r="M67" i="2" s="1"/>
  <c r="N67" i="2" s="1"/>
  <c r="O67" i="2" s="1"/>
  <c r="P67" i="2" s="1"/>
  <c r="Q67" i="2" s="1"/>
  <c r="R67" i="2" s="1"/>
  <c r="S67" i="2" s="1"/>
  <c r="T67" i="2" s="1"/>
  <c r="U67" i="2" s="1"/>
  <c r="J58" i="2"/>
  <c r="I58" i="2"/>
  <c r="H58" i="2"/>
  <c r="L11" i="2"/>
  <c r="M11" i="2" s="1"/>
  <c r="N11" i="2" s="1"/>
  <c r="O11" i="2" s="1"/>
  <c r="P11" i="2" s="1"/>
  <c r="Q11" i="2" s="1"/>
  <c r="R11" i="2" s="1"/>
  <c r="S11" i="2" s="1"/>
  <c r="T11" i="2" s="1"/>
  <c r="U11" i="2" s="1"/>
  <c r="L10" i="2"/>
  <c r="M10" i="2" s="1"/>
  <c r="N10" i="2" s="1"/>
  <c r="O10" i="2" s="1"/>
  <c r="P10" i="2" s="1"/>
  <c r="Q10" i="2" s="1"/>
  <c r="R10" i="2" s="1"/>
  <c r="S10" i="2" s="1"/>
  <c r="T10" i="2" s="1"/>
  <c r="U10" i="2" s="1"/>
  <c r="L6" i="2"/>
  <c r="M6" i="2" s="1"/>
  <c r="N6" i="2" s="1"/>
  <c r="O6" i="2" s="1"/>
  <c r="P6" i="2" s="1"/>
  <c r="Q6" i="2" s="1"/>
  <c r="R6" i="2" s="1"/>
  <c r="S6" i="2" s="1"/>
  <c r="T6" i="2" s="1"/>
  <c r="U6" i="2" s="1"/>
  <c r="H6" i="2"/>
  <c r="I6" i="2"/>
  <c r="J5" i="2"/>
  <c r="K3" i="2"/>
  <c r="K7" i="2"/>
  <c r="F15" i="2"/>
  <c r="G15" i="2"/>
  <c r="H15" i="2"/>
  <c r="I15" i="2"/>
  <c r="J15" i="2"/>
  <c r="E15" i="2"/>
  <c r="E16" i="2" s="1"/>
  <c r="F20" i="2"/>
  <c r="F19" i="2"/>
  <c r="F18" i="2"/>
  <c r="G20" i="2"/>
  <c r="G19" i="2"/>
  <c r="G18" i="2"/>
  <c r="H20" i="2"/>
  <c r="H19" i="2"/>
  <c r="H18" i="2"/>
  <c r="I20" i="2"/>
  <c r="I19" i="2"/>
  <c r="I18" i="2"/>
  <c r="X61" i="2"/>
  <c r="L49" i="2"/>
  <c r="J45" i="2"/>
  <c r="G2" i="2"/>
  <c r="F2" i="2" s="1"/>
  <c r="E2" i="2" s="1"/>
  <c r="D2" i="2" s="1"/>
  <c r="J20" i="2"/>
  <c r="J19" i="2"/>
  <c r="J18" i="2"/>
  <c r="K53" i="2"/>
  <c r="K50" i="2"/>
  <c r="K49" i="2"/>
  <c r="K44" i="2"/>
  <c r="K43" i="2"/>
  <c r="L43" i="2" s="1"/>
  <c r="M43" i="2" s="1"/>
  <c r="N43" i="2" s="1"/>
  <c r="O43" i="2" s="1"/>
  <c r="P43" i="2" s="1"/>
  <c r="Q43" i="2" s="1"/>
  <c r="R43" i="2" s="1"/>
  <c r="S43" i="2" s="1"/>
  <c r="T43" i="2" s="1"/>
  <c r="U43" i="2" s="1"/>
  <c r="K42" i="2"/>
  <c r="K41" i="2"/>
  <c r="K37" i="2"/>
  <c r="L37" i="2" s="1"/>
  <c r="M37" i="2" s="1"/>
  <c r="N37" i="2" s="1"/>
  <c r="O37" i="2" s="1"/>
  <c r="P37" i="2" s="1"/>
  <c r="Q37" i="2" s="1"/>
  <c r="R37" i="2" s="1"/>
  <c r="S37" i="2" s="1"/>
  <c r="T37" i="2" s="1"/>
  <c r="U37" i="2" s="1"/>
  <c r="K36" i="2"/>
  <c r="K35" i="2"/>
  <c r="L35" i="2" s="1"/>
  <c r="M35" i="2" s="1"/>
  <c r="N35" i="2" s="1"/>
  <c r="O35" i="2" s="1"/>
  <c r="P35" i="2" s="1"/>
  <c r="Q35" i="2" s="1"/>
  <c r="R35" i="2" s="1"/>
  <c r="S35" i="2" s="1"/>
  <c r="T35" i="2" s="1"/>
  <c r="U35" i="2" s="1"/>
  <c r="K34" i="2"/>
  <c r="K33" i="2"/>
  <c r="L33" i="2" s="1"/>
  <c r="M33" i="2" s="1"/>
  <c r="N33" i="2" s="1"/>
  <c r="K32" i="2"/>
  <c r="K31" i="2"/>
  <c r="K29" i="2"/>
  <c r="K28" i="2"/>
  <c r="L28" i="2" s="1"/>
  <c r="L36" i="2" s="1"/>
  <c r="K27" i="2"/>
  <c r="K26" i="2"/>
  <c r="K25" i="2"/>
  <c r="L25" i="2" s="1"/>
  <c r="K24" i="2"/>
  <c r="L24" i="2" s="1"/>
  <c r="K23" i="2"/>
  <c r="K18" i="2" s="1"/>
  <c r="I50" i="2"/>
  <c r="I45" i="2"/>
  <c r="J38" i="2"/>
  <c r="I38" i="2"/>
  <c r="I30" i="2"/>
  <c r="J30" i="2"/>
  <c r="I2" i="2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N69" i="2" l="1"/>
  <c r="N66" i="2" s="1"/>
  <c r="O68" i="2" s="1"/>
  <c r="L12" i="2"/>
  <c r="M24" i="2"/>
  <c r="N24" i="2" s="1"/>
  <c r="O24" i="2" s="1"/>
  <c r="P24" i="2" s="1"/>
  <c r="Q24" i="2" s="1"/>
  <c r="R24" i="2" s="1"/>
  <c r="S24" i="2" s="1"/>
  <c r="T24" i="2" s="1"/>
  <c r="U24" i="2" s="1"/>
  <c r="K12" i="2"/>
  <c r="J21" i="2"/>
  <c r="U5" i="2"/>
  <c r="L5" i="2"/>
  <c r="O5" i="2"/>
  <c r="S5" i="2"/>
  <c r="R5" i="2"/>
  <c r="Q5" i="2"/>
  <c r="P5" i="2"/>
  <c r="M5" i="2"/>
  <c r="N5" i="2"/>
  <c r="F16" i="2"/>
  <c r="G16" i="2" s="1"/>
  <c r="H16" i="2" s="1"/>
  <c r="K15" i="2"/>
  <c r="O33" i="2"/>
  <c r="P33" i="2" s="1"/>
  <c r="Q33" i="2" s="1"/>
  <c r="R33" i="2" s="1"/>
  <c r="S33" i="2" s="1"/>
  <c r="T33" i="2" s="1"/>
  <c r="U33" i="2" s="1"/>
  <c r="M25" i="2"/>
  <c r="N25" i="2" s="1"/>
  <c r="O25" i="2" s="1"/>
  <c r="L32" i="2"/>
  <c r="M28" i="2"/>
  <c r="L20" i="2"/>
  <c r="L23" i="2"/>
  <c r="L15" i="2" s="1"/>
  <c r="K19" i="2"/>
  <c r="K20" i="2"/>
  <c r="L19" i="2"/>
  <c r="K30" i="2"/>
  <c r="K21" i="2" s="1"/>
  <c r="L42" i="2" s="1"/>
  <c r="K45" i="2"/>
  <c r="K38" i="2"/>
  <c r="I39" i="2"/>
  <c r="I46" i="2" s="1"/>
  <c r="I52" i="2" s="1"/>
  <c r="I54" i="2" s="1"/>
  <c r="J39" i="2"/>
  <c r="J46" i="2" s="1"/>
  <c r="J52" i="2" s="1"/>
  <c r="J54" i="2" s="1"/>
  <c r="O69" i="2" l="1"/>
  <c r="O66" i="2" s="1"/>
  <c r="P68" i="2" s="1"/>
  <c r="M32" i="2"/>
  <c r="N12" i="2"/>
  <c r="M12" i="2"/>
  <c r="M19" i="2"/>
  <c r="N19" i="2"/>
  <c r="N32" i="2"/>
  <c r="N20" i="2"/>
  <c r="O32" i="2"/>
  <c r="O12" i="2"/>
  <c r="I16" i="2"/>
  <c r="H8" i="2"/>
  <c r="T5" i="2"/>
  <c r="M23" i="2"/>
  <c r="M15" i="2" s="1"/>
  <c r="M20" i="2"/>
  <c r="L45" i="2"/>
  <c r="L18" i="2"/>
  <c r="L26" i="2"/>
  <c r="L30" i="2" s="1"/>
  <c r="L21" i="2" s="1"/>
  <c r="M41" i="2" s="1"/>
  <c r="L31" i="2"/>
  <c r="N28" i="2"/>
  <c r="M36" i="2"/>
  <c r="P25" i="2"/>
  <c r="O20" i="2"/>
  <c r="K39" i="2"/>
  <c r="K46" i="2" s="1"/>
  <c r="K52" i="2" s="1"/>
  <c r="K54" i="2" s="1"/>
  <c r="K65" i="2" s="1"/>
  <c r="O19" i="2"/>
  <c r="P69" i="2" l="1"/>
  <c r="P66" i="2" s="1"/>
  <c r="Q68" i="2" s="1"/>
  <c r="P32" i="2"/>
  <c r="P12" i="2"/>
  <c r="M18" i="2"/>
  <c r="N23" i="2"/>
  <c r="N15" i="2" s="1"/>
  <c r="M26" i="2"/>
  <c r="M30" i="2" s="1"/>
  <c r="M21" i="2" s="1"/>
  <c r="N41" i="2" s="1"/>
  <c r="M31" i="2"/>
  <c r="J16" i="2"/>
  <c r="I8" i="2"/>
  <c r="M42" i="2"/>
  <c r="O28" i="2"/>
  <c r="N36" i="2"/>
  <c r="L34" i="2"/>
  <c r="Q25" i="2"/>
  <c r="P20" i="2"/>
  <c r="P19" i="2"/>
  <c r="Q69" i="2" l="1"/>
  <c r="Q66" i="2" s="1"/>
  <c r="R68" i="2"/>
  <c r="N42" i="2"/>
  <c r="N18" i="2"/>
  <c r="N31" i="2"/>
  <c r="O23" i="2"/>
  <c r="O15" i="2" s="1"/>
  <c r="Q32" i="2"/>
  <c r="Q12" i="2"/>
  <c r="M34" i="2"/>
  <c r="M38" i="2" s="1"/>
  <c r="M39" i="2" s="1"/>
  <c r="N26" i="2"/>
  <c r="N30" i="2" s="1"/>
  <c r="N21" i="2" s="1"/>
  <c r="O42" i="2" s="1"/>
  <c r="J8" i="2"/>
  <c r="K16" i="2"/>
  <c r="M45" i="2"/>
  <c r="N45" i="2"/>
  <c r="L38" i="2"/>
  <c r="L39" i="2" s="1"/>
  <c r="L46" i="2" s="1"/>
  <c r="L52" i="2" s="1"/>
  <c r="L54" i="2" s="1"/>
  <c r="L60" i="2" s="1"/>
  <c r="M49" i="2" s="1"/>
  <c r="P28" i="2"/>
  <c r="O36" i="2"/>
  <c r="O26" i="2"/>
  <c r="O30" i="2" s="1"/>
  <c r="Q20" i="2"/>
  <c r="R25" i="2"/>
  <c r="P23" i="2"/>
  <c r="O18" i="2"/>
  <c r="Q19" i="2"/>
  <c r="R69" i="2" l="1"/>
  <c r="S68" i="2"/>
  <c r="O31" i="2"/>
  <c r="O41" i="2"/>
  <c r="O21" i="2"/>
  <c r="P41" i="2" s="1"/>
  <c r="M46" i="2"/>
  <c r="N34" i="2"/>
  <c r="O34" i="2" s="1"/>
  <c r="M52" i="2"/>
  <c r="M54" i="2" s="1"/>
  <c r="M60" i="2" s="1"/>
  <c r="N49" i="2" s="1"/>
  <c r="R32" i="2"/>
  <c r="R12" i="2"/>
  <c r="K8" i="2"/>
  <c r="L16" i="2"/>
  <c r="L8" i="2" s="1"/>
  <c r="Q23" i="2"/>
  <c r="Q15" i="2" s="1"/>
  <c r="P15" i="2"/>
  <c r="O45" i="2"/>
  <c r="Q28" i="2"/>
  <c r="P36" i="2"/>
  <c r="P31" i="2"/>
  <c r="P26" i="2"/>
  <c r="P30" i="2" s="1"/>
  <c r="P21" i="2" s="1"/>
  <c r="N38" i="2"/>
  <c r="N39" i="2" s="1"/>
  <c r="N46" i="2" s="1"/>
  <c r="S25" i="2"/>
  <c r="R20" i="2"/>
  <c r="P18" i="2"/>
  <c r="R19" i="2"/>
  <c r="S69" i="2" l="1"/>
  <c r="T68" i="2"/>
  <c r="Q18" i="2"/>
  <c r="P42" i="2"/>
  <c r="R23" i="2"/>
  <c r="S32" i="2"/>
  <c r="S12" i="2"/>
  <c r="M16" i="2"/>
  <c r="M8" i="2" s="1"/>
  <c r="S23" i="2"/>
  <c r="R15" i="2"/>
  <c r="N52" i="2"/>
  <c r="N54" i="2" s="1"/>
  <c r="N60" i="2" s="1"/>
  <c r="O49" i="2" s="1"/>
  <c r="Q41" i="2"/>
  <c r="P45" i="2"/>
  <c r="Q42" i="2"/>
  <c r="Q31" i="2"/>
  <c r="Q26" i="2"/>
  <c r="Q30" i="2" s="1"/>
  <c r="Q21" i="2" s="1"/>
  <c r="P34" i="2"/>
  <c r="P38" i="2" s="1"/>
  <c r="P39" i="2" s="1"/>
  <c r="O38" i="2"/>
  <c r="O39" i="2" s="1"/>
  <c r="O46" i="2" s="1"/>
  <c r="R28" i="2"/>
  <c r="Q36" i="2"/>
  <c r="T25" i="2"/>
  <c r="S20" i="2"/>
  <c r="S19" i="2"/>
  <c r="T69" i="2" l="1"/>
  <c r="U68" i="2"/>
  <c r="U69" i="2" s="1"/>
  <c r="P46" i="2"/>
  <c r="T32" i="2"/>
  <c r="T12" i="2"/>
  <c r="N16" i="2"/>
  <c r="N8" i="2" s="1"/>
  <c r="T23" i="2"/>
  <c r="S15" i="2"/>
  <c r="O52" i="2"/>
  <c r="O54" i="2" s="1"/>
  <c r="O60" i="2" s="1"/>
  <c r="P49" i="2" s="1"/>
  <c r="P52" i="2" s="1"/>
  <c r="P54" i="2" s="1"/>
  <c r="P60" i="2" s="1"/>
  <c r="Q49" i="2" s="1"/>
  <c r="R42" i="2"/>
  <c r="R41" i="2"/>
  <c r="Q45" i="2"/>
  <c r="R26" i="2"/>
  <c r="R30" i="2" s="1"/>
  <c r="R21" i="2" s="1"/>
  <c r="R31" i="2"/>
  <c r="S28" i="2"/>
  <c r="R36" i="2"/>
  <c r="Q34" i="2"/>
  <c r="T20" i="2"/>
  <c r="U25" i="2"/>
  <c r="U20" i="2" s="1"/>
  <c r="R18" i="2"/>
  <c r="U12" i="2"/>
  <c r="T19" i="2"/>
  <c r="O16" i="2" l="1"/>
  <c r="O8" i="2" s="1"/>
  <c r="U23" i="2"/>
  <c r="U15" i="2" s="1"/>
  <c r="T15" i="2"/>
  <c r="R34" i="2"/>
  <c r="R38" i="2" s="1"/>
  <c r="R39" i="2" s="1"/>
  <c r="S41" i="2"/>
  <c r="R45" i="2"/>
  <c r="S42" i="2"/>
  <c r="S26" i="2"/>
  <c r="S30" i="2" s="1"/>
  <c r="S21" i="2" s="1"/>
  <c r="S31" i="2"/>
  <c r="Q38" i="2"/>
  <c r="Q39" i="2" s="1"/>
  <c r="Q46" i="2" s="1"/>
  <c r="Q52" i="2" s="1"/>
  <c r="Q54" i="2" s="1"/>
  <c r="T28" i="2"/>
  <c r="S36" i="2"/>
  <c r="U19" i="2"/>
  <c r="U32" i="2"/>
  <c r="S18" i="2"/>
  <c r="P16" i="2" l="1"/>
  <c r="P8" i="2" s="1"/>
  <c r="Q60" i="2"/>
  <c r="R49" i="2" s="1"/>
  <c r="S34" i="2"/>
  <c r="S38" i="2" s="1"/>
  <c r="S39" i="2" s="1"/>
  <c r="T42" i="2"/>
  <c r="R46" i="2"/>
  <c r="T41" i="2"/>
  <c r="S45" i="2"/>
  <c r="T26" i="2"/>
  <c r="T30" i="2" s="1"/>
  <c r="T21" i="2" s="1"/>
  <c r="T31" i="2"/>
  <c r="U28" i="2"/>
  <c r="U36" i="2" s="1"/>
  <c r="T36" i="2"/>
  <c r="T18" i="2"/>
  <c r="Q16" i="2" l="1"/>
  <c r="Q8" i="2" s="1"/>
  <c r="T34" i="2"/>
  <c r="R52" i="2"/>
  <c r="R54" i="2" s="1"/>
  <c r="S46" i="2"/>
  <c r="U41" i="2"/>
  <c r="T45" i="2"/>
  <c r="U42" i="2"/>
  <c r="U18" i="2"/>
  <c r="U26" i="2"/>
  <c r="U30" i="2" s="1"/>
  <c r="U31" i="2"/>
  <c r="R16" i="2" l="1"/>
  <c r="R8" i="2" s="1"/>
  <c r="T38" i="2"/>
  <c r="T39" i="2" s="1"/>
  <c r="T46" i="2" s="1"/>
  <c r="U34" i="2"/>
  <c r="R60" i="2"/>
  <c r="S49" i="2" s="1"/>
  <c r="S52" i="2" s="1"/>
  <c r="U21" i="2"/>
  <c r="U45" i="2"/>
  <c r="U38" i="2"/>
  <c r="U39" i="2" s="1"/>
  <c r="S53" i="2" l="1"/>
  <c r="S54" i="2"/>
  <c r="S16" i="2"/>
  <c r="S8" i="2" s="1"/>
  <c r="U46" i="2"/>
  <c r="S60" i="2" l="1"/>
  <c r="T49" i="2" s="1"/>
  <c r="T52" i="2" s="1"/>
  <c r="T53" i="2" s="1"/>
  <c r="T54" i="2" s="1"/>
  <c r="T60" i="2" s="1"/>
  <c r="U49" i="2" s="1"/>
  <c r="U52" i="2" s="1"/>
  <c r="U53" i="2" s="1"/>
  <c r="U54" i="2" s="1"/>
  <c r="U60" i="2" s="1"/>
  <c r="T16" i="2"/>
  <c r="T8" i="2" s="1"/>
  <c r="V54" i="2" l="1"/>
  <c r="W54" i="2" s="1"/>
  <c r="X54" i="2" s="1"/>
  <c r="Y54" i="2" s="1"/>
  <c r="Z54" i="2" s="1"/>
  <c r="AA54" i="2" s="1"/>
  <c r="AB54" i="2" s="1"/>
  <c r="AC54" i="2" s="1"/>
  <c r="AD54" i="2" s="1"/>
  <c r="AE54" i="2" s="1"/>
  <c r="AF54" i="2" s="1"/>
  <c r="AG54" i="2" s="1"/>
  <c r="AH54" i="2" s="1"/>
  <c r="AI54" i="2" s="1"/>
  <c r="AJ54" i="2" s="1"/>
  <c r="AK54" i="2" s="1"/>
  <c r="AL54" i="2" s="1"/>
  <c r="AM54" i="2" s="1"/>
  <c r="AN54" i="2" s="1"/>
  <c r="AO54" i="2" s="1"/>
  <c r="AP54" i="2" s="1"/>
  <c r="AQ54" i="2" s="1"/>
  <c r="AR54" i="2" s="1"/>
  <c r="AS54" i="2" s="1"/>
  <c r="AT54" i="2" s="1"/>
  <c r="AU54" i="2" s="1"/>
  <c r="AV54" i="2" s="1"/>
  <c r="AW54" i="2" s="1"/>
  <c r="AX54" i="2" s="1"/>
  <c r="AY54" i="2" s="1"/>
  <c r="AZ54" i="2" s="1"/>
  <c r="BA54" i="2" s="1"/>
  <c r="BB54" i="2" s="1"/>
  <c r="BC54" i="2" s="1"/>
  <c r="BD54" i="2" s="1"/>
  <c r="BE54" i="2" s="1"/>
  <c r="BF54" i="2" s="1"/>
  <c r="BG54" i="2" s="1"/>
  <c r="BH54" i="2" s="1"/>
  <c r="BI54" i="2" s="1"/>
  <c r="BJ54" i="2" s="1"/>
  <c r="BK54" i="2" s="1"/>
  <c r="BL54" i="2" s="1"/>
  <c r="BM54" i="2" s="1"/>
  <c r="BN54" i="2" s="1"/>
  <c r="BO54" i="2" s="1"/>
  <c r="BP54" i="2" s="1"/>
  <c r="BQ54" i="2" s="1"/>
  <c r="BR54" i="2" s="1"/>
  <c r="BS54" i="2" s="1"/>
  <c r="BT54" i="2" s="1"/>
  <c r="BU54" i="2" s="1"/>
  <c r="BV54" i="2" s="1"/>
  <c r="BW54" i="2" s="1"/>
  <c r="BX54" i="2" s="1"/>
  <c r="BY54" i="2" s="1"/>
  <c r="BZ54" i="2" s="1"/>
  <c r="CA54" i="2" s="1"/>
  <c r="CB54" i="2" s="1"/>
  <c r="CC54" i="2" s="1"/>
  <c r="CD54" i="2" s="1"/>
  <c r="CE54" i="2" s="1"/>
  <c r="CF54" i="2" s="1"/>
  <c r="CG54" i="2" s="1"/>
  <c r="CH54" i="2" s="1"/>
  <c r="CI54" i="2" s="1"/>
  <c r="CJ54" i="2" s="1"/>
  <c r="CK54" i="2" s="1"/>
  <c r="CL54" i="2" s="1"/>
  <c r="CM54" i="2" s="1"/>
  <c r="CN54" i="2" s="1"/>
  <c r="CO54" i="2" s="1"/>
  <c r="CP54" i="2" s="1"/>
  <c r="CQ54" i="2" s="1"/>
  <c r="CR54" i="2" s="1"/>
  <c r="CS54" i="2" s="1"/>
  <c r="CT54" i="2" s="1"/>
  <c r="CU54" i="2" s="1"/>
  <c r="CV54" i="2" s="1"/>
  <c r="CW54" i="2" s="1"/>
  <c r="CX54" i="2" s="1"/>
  <c r="CY54" i="2" s="1"/>
  <c r="CZ54" i="2" s="1"/>
  <c r="DA54" i="2" s="1"/>
  <c r="DB54" i="2" s="1"/>
  <c r="DC54" i="2" s="1"/>
  <c r="DD54" i="2" s="1"/>
  <c r="DE54" i="2" s="1"/>
  <c r="DF54" i="2" s="1"/>
  <c r="DG54" i="2" s="1"/>
  <c r="DH54" i="2" s="1"/>
  <c r="DI54" i="2" s="1"/>
  <c r="U16" i="2"/>
  <c r="U8" i="2" s="1"/>
  <c r="X60" i="2" l="1"/>
  <c r="X6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Maximilian Kutzer</author>
  </authors>
  <commentList>
    <comment ref="B24" authorId="0" shapeId="0" xr:uid="{ECA53E4C-E899-47F2-9060-79E4DC2B2E20}">
      <text>
        <r>
          <rPr>
            <b/>
            <sz val="9"/>
            <color indexed="81"/>
            <rFont val="Tahoma"/>
            <family val="2"/>
          </rPr>
          <t>Maximilian Kutzer:</t>
        </r>
        <r>
          <rPr>
            <sz val="9"/>
            <color indexed="81"/>
            <rFont val="Tahoma"/>
            <family val="2"/>
          </rPr>
          <t xml:space="preserve">
Owner-Operator model</t>
        </r>
      </text>
    </comment>
  </commentList>
</comments>
</file>

<file path=xl/sharedStrings.xml><?xml version="1.0" encoding="utf-8"?>
<sst xmlns="http://schemas.openxmlformats.org/spreadsheetml/2006/main" count="65" uniqueCount="61">
  <si>
    <t>Products:</t>
  </si>
  <si>
    <t xml:space="preserve">Blink Network </t>
  </si>
  <si>
    <t>Charging Equipment</t>
  </si>
  <si>
    <t>Chargin Service</t>
  </si>
  <si>
    <t>Product Sales</t>
  </si>
  <si>
    <t>Network Fees</t>
  </si>
  <si>
    <t>Warrenty</t>
  </si>
  <si>
    <t>Grand and fees rebate</t>
  </si>
  <si>
    <t>Car-sharing services</t>
  </si>
  <si>
    <t>Other</t>
  </si>
  <si>
    <t>Total Revenue</t>
  </si>
  <si>
    <t>Cost of Product Sales</t>
  </si>
  <si>
    <t>Cost of Charging Services</t>
  </si>
  <si>
    <t>Host provider fees</t>
  </si>
  <si>
    <t>Warrenty usage</t>
  </si>
  <si>
    <t>D&amp;A</t>
  </si>
  <si>
    <t>Cost of Goods</t>
  </si>
  <si>
    <t>Gross Profit</t>
  </si>
  <si>
    <t>Compensation</t>
  </si>
  <si>
    <t>G&amp;A</t>
  </si>
  <si>
    <t>Other Expenses</t>
  </si>
  <si>
    <t>Charge in fair value</t>
  </si>
  <si>
    <t>Operating Expenses</t>
  </si>
  <si>
    <t>Operating Income</t>
  </si>
  <si>
    <t>Interest expenses</t>
  </si>
  <si>
    <t>Pretax</t>
  </si>
  <si>
    <t>Taxes</t>
  </si>
  <si>
    <t>Net Income</t>
  </si>
  <si>
    <t>Dividend &amp; Interest</t>
  </si>
  <si>
    <t>Other, net</t>
  </si>
  <si>
    <t>Network Costs</t>
  </si>
  <si>
    <t>Charging Service</t>
  </si>
  <si>
    <t>Revenue Y/Y</t>
  </si>
  <si>
    <t>CFFO</t>
  </si>
  <si>
    <t>CapEx</t>
  </si>
  <si>
    <t>FCF</t>
  </si>
  <si>
    <t>Cash</t>
  </si>
  <si>
    <t>Securities</t>
  </si>
  <si>
    <t>Inventory</t>
  </si>
  <si>
    <t>PP&amp;E</t>
  </si>
  <si>
    <t>Discount</t>
  </si>
  <si>
    <t>Terminal</t>
  </si>
  <si>
    <t>Yield</t>
  </si>
  <si>
    <t>NPV</t>
  </si>
  <si>
    <t>Net Cash</t>
  </si>
  <si>
    <t>Value</t>
  </si>
  <si>
    <t>Unit cost</t>
  </si>
  <si>
    <t>Units Sold</t>
  </si>
  <si>
    <t>Total Units Sold</t>
  </si>
  <si>
    <t>Tesla Chargin Stations</t>
  </si>
  <si>
    <t>US Charagin Stations</t>
  </si>
  <si>
    <t>Tesla Share</t>
  </si>
  <si>
    <t>Blink Share</t>
  </si>
  <si>
    <t>US Charagin Locations</t>
  </si>
  <si>
    <t>US Charging Market, Mn</t>
  </si>
  <si>
    <t>US Charging as a Service</t>
  </si>
  <si>
    <t>Sale of Stock</t>
  </si>
  <si>
    <t>Shares</t>
  </si>
  <si>
    <t>Stock Value</t>
  </si>
  <si>
    <t>Stock Price</t>
  </si>
  <si>
    <t>Shares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</si>
</sst>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3" fontId="0" fillId="0" borderId="0" xfId="0" applyNumberFormat="1"/>
    <xf numFmtId="3" fontId="2" fillId="0" borderId="0" xfId="0" applyNumberFormat="1" applyFont="1"/>
    <xf numFmtId="3" fontId="0" fillId="0" borderId="0" xfId="0" applyNumberFormat="1" applyFont="1"/>
    <xf numFmtId="9" fontId="0" fillId="0" borderId="0" xfId="1" applyFon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611605</xdr:colOff>
      <xdr:row>17</xdr:row>
      <xdr:rowOff>70185</xdr:rowOff>
    </xdr:from>
    <xdr:to>
      <xdr:col>10</xdr:col>
      <xdr:colOff>5013</xdr:colOff>
      <xdr:row>69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1B554BC8-E433-3254-C8D4-FABE73E779E2}"/>
            </a:ext>
          </a:extLst>
        </xdr:cNvPr>
        <xdr:cNvCxnSpPr/>
      </xdr:nvCxnSpPr>
      <xdr:spPr>
        <a:xfrm flipH="1">
          <a:off x="6647447" y="3308685"/>
          <a:ext cx="5013" cy="98358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AC85-EE23-4392-A0C5-AB78D7026AA9}">
  <dimension ref="B3:B5"/>
  <sheetViews>
    <sheetView zoomScale="190" zoomScaleNormal="190" workbookViewId="0">
      <selection activeCell="B4" sqref="B4:B5"/>
    </sheetView>
  </sheetViews>
  <sheetFormatPr defaultRowHeight="15" x14ac:dyDescent="0.25"/>
  <cols>
    <col min="2" max="2" width="18.140625" bestFit="1" customWidth="1"/>
  </cols>
  <sheetData>
    <row r="3" spans="2:2" x14ac:dyDescent="0.25">
      <c r="B3" s="1" t="s">
        <v>0</v>
      </c>
    </row>
    <row r="4" spans="2:2" x14ac:dyDescent="0.25">
      <c r="B4" t="s">
        <v>2</v>
      </c>
    </row>
    <row r="5" spans="2:2" x14ac:dyDescent="0.25">
      <c r="B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57DF0-5639-4A91-A400-905B7F615517}">
  <dimension ref="B2:DI127"/>
  <sheetViews>
    <sheetView tabSelected="1" zoomScale="190" zoomScaleNormal="190" workbookViewId="0">
      <pane xSplit="2" ySplit="2" topLeftCell="I63" activePane="bottomRight" state="frozen"/>
      <selection pane="topRight" activeCell="C1" sqref="C1"/>
      <selection pane="bottomLeft" activeCell="A3" sqref="A3"/>
      <selection pane="bottomRight" activeCell="R70" sqref="R70"/>
    </sheetView>
  </sheetViews>
  <sheetFormatPr defaultRowHeight="15" x14ac:dyDescent="0.25"/>
  <cols>
    <col min="1" max="1" width="2.85546875" customWidth="1"/>
    <col min="2" max="2" width="23.42578125" bestFit="1" customWidth="1"/>
  </cols>
  <sheetData>
    <row r="2" spans="2:21" x14ac:dyDescent="0.25">
      <c r="D2">
        <f>+E2-1</f>
        <v>2018</v>
      </c>
      <c r="E2">
        <f>+F2-1</f>
        <v>2019</v>
      </c>
      <c r="F2">
        <f>+G2-1</f>
        <v>2020</v>
      </c>
      <c r="G2">
        <f>+H2-1</f>
        <v>2021</v>
      </c>
      <c r="H2">
        <v>2022</v>
      </c>
      <c r="I2">
        <f>+H2+1</f>
        <v>2023</v>
      </c>
      <c r="J2">
        <f>+I2+1</f>
        <v>2024</v>
      </c>
      <c r="K2">
        <f>+J2+1</f>
        <v>2025</v>
      </c>
      <c r="L2">
        <f>+K2+1</f>
        <v>2026</v>
      </c>
      <c r="M2">
        <f t="shared" ref="M2:U2" si="0">+L2+1</f>
        <v>2027</v>
      </c>
      <c r="N2">
        <f t="shared" si="0"/>
        <v>2028</v>
      </c>
      <c r="O2">
        <f t="shared" si="0"/>
        <v>2029</v>
      </c>
      <c r="P2">
        <f t="shared" si="0"/>
        <v>2030</v>
      </c>
      <c r="Q2">
        <f t="shared" si="0"/>
        <v>2031</v>
      </c>
      <c r="R2">
        <f t="shared" si="0"/>
        <v>2032</v>
      </c>
      <c r="S2">
        <f t="shared" si="0"/>
        <v>2033</v>
      </c>
      <c r="T2">
        <f t="shared" si="0"/>
        <v>2034</v>
      </c>
      <c r="U2">
        <f t="shared" si="0"/>
        <v>2035</v>
      </c>
    </row>
    <row r="3" spans="2:21" s="2" customFormat="1" x14ac:dyDescent="0.25">
      <c r="K3" s="6">
        <f>+K6/K5</f>
        <v>3.0870036323339285</v>
      </c>
    </row>
    <row r="4" spans="2:21" s="2" customFormat="1" x14ac:dyDescent="0.25">
      <c r="B4" s="2" t="s">
        <v>49</v>
      </c>
      <c r="K4" s="2">
        <v>34279</v>
      </c>
    </row>
    <row r="5" spans="2:21" s="2" customFormat="1" x14ac:dyDescent="0.25">
      <c r="B5" s="2" t="s">
        <v>53</v>
      </c>
      <c r="H5" s="2">
        <v>27031</v>
      </c>
      <c r="I5" s="2">
        <v>31816</v>
      </c>
      <c r="J5" s="2">
        <f>+J6/3</f>
        <v>68000</v>
      </c>
      <c r="K5" s="2">
        <v>81215</v>
      </c>
      <c r="L5" s="2">
        <f>+L6/3</f>
        <v>96105.883333333317</v>
      </c>
      <c r="M5" s="2">
        <f t="shared" ref="M5:U5" si="1">+M6/3</f>
        <v>110521.76583333331</v>
      </c>
      <c r="N5" s="2">
        <f t="shared" si="1"/>
        <v>127100.0307083333</v>
      </c>
      <c r="O5" s="2">
        <f t="shared" si="1"/>
        <v>146165.03531458328</v>
      </c>
      <c r="P5" s="2">
        <f t="shared" si="1"/>
        <v>168089.79061177076</v>
      </c>
      <c r="Q5" s="2">
        <f t="shared" si="1"/>
        <v>193303.25920353635</v>
      </c>
      <c r="R5" s="2">
        <f t="shared" si="1"/>
        <v>222298.74808406678</v>
      </c>
      <c r="S5" s="2">
        <f t="shared" si="1"/>
        <v>255643.56029667679</v>
      </c>
      <c r="T5" s="2">
        <f t="shared" si="1"/>
        <v>293990.09434117825</v>
      </c>
      <c r="U5" s="2">
        <f t="shared" si="1"/>
        <v>338088.60849235498</v>
      </c>
    </row>
    <row r="6" spans="2:21" s="2" customFormat="1" x14ac:dyDescent="0.25">
      <c r="B6" s="2" t="s">
        <v>50</v>
      </c>
      <c r="H6" s="2">
        <f>+H5*3</f>
        <v>81093</v>
      </c>
      <c r="I6" s="2">
        <f>+I5*3</f>
        <v>95448</v>
      </c>
      <c r="J6" s="2">
        <v>204000</v>
      </c>
      <c r="K6" s="2">
        <v>250711</v>
      </c>
      <c r="L6" s="2">
        <f>+K6*1.15</f>
        <v>288317.64999999997</v>
      </c>
      <c r="M6" s="2">
        <f t="shared" ref="M6:U6" si="2">+L6*1.15</f>
        <v>331565.29749999993</v>
      </c>
      <c r="N6" s="2">
        <f t="shared" si="2"/>
        <v>381300.09212499991</v>
      </c>
      <c r="O6" s="2">
        <f t="shared" si="2"/>
        <v>438495.10594374983</v>
      </c>
      <c r="P6" s="2">
        <f t="shared" si="2"/>
        <v>504269.37183531228</v>
      </c>
      <c r="Q6" s="2">
        <f t="shared" si="2"/>
        <v>579909.77761060908</v>
      </c>
      <c r="R6" s="2">
        <f t="shared" si="2"/>
        <v>666896.24425220035</v>
      </c>
      <c r="S6" s="2">
        <f t="shared" si="2"/>
        <v>766930.68089003034</v>
      </c>
      <c r="T6" s="2">
        <f t="shared" si="2"/>
        <v>881970.28302353481</v>
      </c>
      <c r="U6" s="2">
        <f t="shared" si="2"/>
        <v>1014265.8254770649</v>
      </c>
    </row>
    <row r="7" spans="2:21" s="5" customFormat="1" x14ac:dyDescent="0.25">
      <c r="B7" s="5" t="s">
        <v>51</v>
      </c>
      <c r="K7" s="5">
        <f>+K4/K6</f>
        <v>0.13672714799111327</v>
      </c>
    </row>
    <row r="8" spans="2:21" s="5" customFormat="1" x14ac:dyDescent="0.25">
      <c r="B8" s="5" t="s">
        <v>52</v>
      </c>
      <c r="H8" s="5">
        <f>+H16/H6</f>
        <v>0.11760042702294191</v>
      </c>
      <c r="I8" s="5">
        <f>+I16/I6</f>
        <v>0.26367685620891557</v>
      </c>
      <c r="J8" s="5">
        <f>+J16/J6</f>
        <v>0.18058473389355745</v>
      </c>
      <c r="K8" s="5">
        <f>+K16/K6</f>
        <v>0.17416406026973574</v>
      </c>
      <c r="L8" s="5">
        <f>+L16/L6</f>
        <v>0.17985550906885417</v>
      </c>
      <c r="M8" s="5">
        <f>+M16/M6</f>
        <v>0.18603974716107233</v>
      </c>
      <c r="N8" s="5">
        <f>+N16/N6</f>
        <v>0.19270619995076599</v>
      </c>
      <c r="O8" s="5">
        <f>+O16/O6</f>
        <v>0.19984800701863981</v>
      </c>
      <c r="P8" s="5">
        <f>+P16/P6</f>
        <v>0.20746163918052138</v>
      </c>
      <c r="Q8" s="5">
        <f>+Q16/Q6</f>
        <v>0.21408218888650535</v>
      </c>
      <c r="R8" s="5">
        <f>+R16/R6</f>
        <v>0.21983918863083926</v>
      </c>
      <c r="S8" s="5">
        <f>+S16/S6</f>
        <v>0.22484527536504262</v>
      </c>
      <c r="T8" s="5">
        <f>+T16/T6</f>
        <v>0.22919839426434993</v>
      </c>
      <c r="U8" s="5">
        <f>+U16/U6</f>
        <v>0.23298371504635626</v>
      </c>
    </row>
    <row r="9" spans="2:21" s="2" customFormat="1" x14ac:dyDescent="0.25"/>
    <row r="10" spans="2:21" s="2" customFormat="1" x14ac:dyDescent="0.25">
      <c r="B10" s="2" t="s">
        <v>54</v>
      </c>
      <c r="K10" s="2">
        <v>5090</v>
      </c>
      <c r="L10" s="2">
        <f>+K10*1.3</f>
        <v>6617</v>
      </c>
      <c r="M10" s="2">
        <f t="shared" ref="M10:P10" si="3">+L10*1.3</f>
        <v>8602.1</v>
      </c>
      <c r="N10" s="2">
        <f t="shared" si="3"/>
        <v>11182.730000000001</v>
      </c>
      <c r="O10" s="2">
        <f t="shared" si="3"/>
        <v>14537.549000000003</v>
      </c>
      <c r="P10" s="2">
        <f t="shared" si="3"/>
        <v>18898.813700000002</v>
      </c>
      <c r="Q10" s="2">
        <f>+P10*1.12</f>
        <v>21166.671344000006</v>
      </c>
      <c r="R10" s="2">
        <f t="shared" ref="R10:U10" si="4">+Q10*1.12</f>
        <v>23706.671905280007</v>
      </c>
      <c r="S10" s="2">
        <f t="shared" si="4"/>
        <v>26551.472533913609</v>
      </c>
      <c r="T10" s="2">
        <f t="shared" si="4"/>
        <v>29737.649237983245</v>
      </c>
      <c r="U10" s="2">
        <f t="shared" si="4"/>
        <v>33306.167146541236</v>
      </c>
    </row>
    <row r="11" spans="2:21" s="2" customFormat="1" x14ac:dyDescent="0.25">
      <c r="B11" s="2" t="s">
        <v>55</v>
      </c>
      <c r="K11" s="2">
        <v>268320</v>
      </c>
      <c r="L11" s="2">
        <f>+K11*1.1</f>
        <v>295152</v>
      </c>
      <c r="M11" s="2">
        <f t="shared" ref="M11:U11" si="5">+L11*1.1</f>
        <v>324667.2</v>
      </c>
      <c r="N11" s="2">
        <f t="shared" si="5"/>
        <v>357133.92000000004</v>
      </c>
      <c r="O11" s="2">
        <f t="shared" si="5"/>
        <v>392847.31200000009</v>
      </c>
      <c r="P11" s="2">
        <f t="shared" si="5"/>
        <v>432132.04320000013</v>
      </c>
      <c r="Q11" s="2">
        <f t="shared" si="5"/>
        <v>475345.24752000021</v>
      </c>
      <c r="R11" s="2">
        <f t="shared" si="5"/>
        <v>522879.77227200026</v>
      </c>
      <c r="S11" s="2">
        <f t="shared" si="5"/>
        <v>575167.74949920038</v>
      </c>
      <c r="T11" s="2">
        <f t="shared" si="5"/>
        <v>632684.52444912051</v>
      </c>
      <c r="U11" s="2">
        <f t="shared" si="5"/>
        <v>695952.97689403256</v>
      </c>
    </row>
    <row r="12" spans="2:21" s="2" customFormat="1" x14ac:dyDescent="0.25">
      <c r="B12" s="2" t="s">
        <v>52</v>
      </c>
      <c r="K12" s="5">
        <f>+K24/K11</f>
        <v>0.11018399672033394</v>
      </c>
      <c r="L12" s="5">
        <f>+L24/L11</f>
        <v>0.14023417764406138</v>
      </c>
      <c r="M12" s="5">
        <f>+M24/M11</f>
        <v>0.17210558165407533</v>
      </c>
      <c r="N12" s="5">
        <f>+N24/N11</f>
        <v>0.20339750559117992</v>
      </c>
      <c r="O12" s="5">
        <f>+O24/O11</f>
        <v>0.23113352908088622</v>
      </c>
      <c r="P12" s="5">
        <f>+P24/P11</f>
        <v>0.25214566808823952</v>
      </c>
      <c r="Q12" s="5">
        <f>+Q24/Q11</f>
        <v>0.27506800155080668</v>
      </c>
      <c r="R12" s="5">
        <f>+R24/R11</f>
        <v>0.30007418350997089</v>
      </c>
      <c r="S12" s="5">
        <f>+S24/S11</f>
        <v>0.32735365473815004</v>
      </c>
      <c r="T12" s="5">
        <f>+T24/T11</f>
        <v>0.35711307789616359</v>
      </c>
      <c r="U12" s="5">
        <f>+U24/U11</f>
        <v>0.38957790315945118</v>
      </c>
    </row>
    <row r="13" spans="2:21" s="2" customFormat="1" x14ac:dyDescent="0.25"/>
    <row r="14" spans="2:21" s="2" customFormat="1" x14ac:dyDescent="0.25">
      <c r="B14" s="2" t="s">
        <v>46</v>
      </c>
      <c r="E14" s="2">
        <v>7</v>
      </c>
      <c r="F14" s="2">
        <v>7</v>
      </c>
      <c r="G14" s="2">
        <v>7</v>
      </c>
      <c r="H14" s="2">
        <v>7</v>
      </c>
      <c r="I14" s="2">
        <v>7</v>
      </c>
      <c r="J14" s="2">
        <v>7</v>
      </c>
      <c r="K14" s="2">
        <v>7</v>
      </c>
      <c r="L14" s="2">
        <v>7</v>
      </c>
      <c r="M14" s="2">
        <v>7</v>
      </c>
      <c r="N14" s="2">
        <v>7</v>
      </c>
      <c r="O14" s="2">
        <v>7</v>
      </c>
      <c r="P14" s="2">
        <v>7</v>
      </c>
      <c r="Q14" s="2">
        <v>7</v>
      </c>
      <c r="R14" s="2">
        <v>7</v>
      </c>
      <c r="S14" s="2">
        <v>7</v>
      </c>
      <c r="T14" s="2">
        <v>7</v>
      </c>
      <c r="U14" s="2">
        <v>7</v>
      </c>
    </row>
    <row r="15" spans="2:21" s="2" customFormat="1" x14ac:dyDescent="0.25">
      <c r="B15" s="2" t="s">
        <v>47</v>
      </c>
      <c r="E15" s="2">
        <f>+E23/E14</f>
        <v>118</v>
      </c>
      <c r="F15" s="2">
        <f t="shared" ref="F15:J15" si="6">+F23/F14</f>
        <v>633.14285714285711</v>
      </c>
      <c r="G15" s="2">
        <f t="shared" si="6"/>
        <v>2211.4285714285716</v>
      </c>
      <c r="H15" s="2">
        <f t="shared" si="6"/>
        <v>6574</v>
      </c>
      <c r="I15" s="2">
        <f t="shared" si="6"/>
        <v>15630.857142857143</v>
      </c>
      <c r="J15" s="2">
        <f t="shared" si="6"/>
        <v>11671.857142857143</v>
      </c>
      <c r="K15" s="2">
        <f t="shared" ref="K15" si="7">+K23/K14</f>
        <v>6825.56</v>
      </c>
      <c r="L15" s="2">
        <f t="shared" ref="L15" si="8">+L23/L14</f>
        <v>8190.6720000000005</v>
      </c>
      <c r="M15" s="2">
        <f t="shared" ref="M15" si="9">+M23/M14</f>
        <v>9828.8064000000013</v>
      </c>
      <c r="N15" s="2">
        <f t="shared" ref="N15" si="10">+N23/N14</f>
        <v>11794.567680000002</v>
      </c>
      <c r="O15" s="2">
        <f t="shared" ref="O15" si="11">+O23/O14</f>
        <v>14153.481216</v>
      </c>
      <c r="P15" s="2">
        <f t="shared" ref="P15" si="12">+P23/P14</f>
        <v>16984.1774592</v>
      </c>
      <c r="Q15" s="2">
        <f t="shared" ref="Q15" si="13">+Q23/Q14</f>
        <v>19531.804078079997</v>
      </c>
      <c r="R15" s="2">
        <f t="shared" ref="R15" si="14">+R23/R14</f>
        <v>22461.574689791996</v>
      </c>
      <c r="S15" s="2">
        <f t="shared" ref="S15" si="15">+S23/S14</f>
        <v>25830.81089326079</v>
      </c>
      <c r="T15" s="2">
        <f t="shared" ref="T15" si="16">+T23/T14</f>
        <v>29705.432527249908</v>
      </c>
      <c r="U15" s="2">
        <f t="shared" ref="U15" si="17">+U23/U14</f>
        <v>34161.247406337388</v>
      </c>
    </row>
    <row r="16" spans="2:21" s="2" customFormat="1" x14ac:dyDescent="0.25">
      <c r="B16" s="2" t="s">
        <v>48</v>
      </c>
      <c r="E16" s="2">
        <f>+E15+D16</f>
        <v>118</v>
      </c>
      <c r="F16" s="2">
        <f t="shared" ref="F16:J16" si="18">+F15+E16</f>
        <v>751.14285714285711</v>
      </c>
      <c r="G16" s="2">
        <f t="shared" si="18"/>
        <v>2962.5714285714284</v>
      </c>
      <c r="H16" s="2">
        <f t="shared" si="18"/>
        <v>9536.5714285714275</v>
      </c>
      <c r="I16" s="2">
        <f t="shared" si="18"/>
        <v>25167.428571428572</v>
      </c>
      <c r="J16" s="2">
        <f t="shared" si="18"/>
        <v>36839.285714285717</v>
      </c>
      <c r="K16" s="2">
        <f t="shared" ref="K16" si="19">+K15+J16</f>
        <v>43664.845714285715</v>
      </c>
      <c r="L16" s="2">
        <f t="shared" ref="L16" si="20">+L15+K16</f>
        <v>51855.517714285714</v>
      </c>
      <c r="M16" s="2">
        <f t="shared" ref="M16" si="21">+M15+L16</f>
        <v>61684.324114285715</v>
      </c>
      <c r="N16" s="2">
        <f t="shared" ref="N16" si="22">+N15+M16</f>
        <v>73478.891794285722</v>
      </c>
      <c r="O16" s="2">
        <f t="shared" ref="O16" si="23">+O15+N16</f>
        <v>87632.373010285723</v>
      </c>
      <c r="P16" s="2">
        <f t="shared" ref="P16" si="24">+P15+O16</f>
        <v>104616.55046948572</v>
      </c>
      <c r="Q16" s="2">
        <f t="shared" ref="Q16" si="25">+Q15+P16</f>
        <v>124148.35454756572</v>
      </c>
      <c r="R16" s="2">
        <f t="shared" ref="R16" si="26">+R15+Q16</f>
        <v>146609.92923735772</v>
      </c>
      <c r="S16" s="2">
        <f t="shared" ref="S16" si="27">+S15+R16</f>
        <v>172440.74013061851</v>
      </c>
      <c r="T16" s="2">
        <f t="shared" ref="T16" si="28">+T15+S16</f>
        <v>202146.17265786842</v>
      </c>
      <c r="U16" s="2">
        <f t="shared" ref="U16" si="29">+U15+T16</f>
        <v>236307.4200642058</v>
      </c>
    </row>
    <row r="17" spans="2:21" s="2" customFormat="1" x14ac:dyDescent="0.25"/>
    <row r="18" spans="2:21" s="2" customFormat="1" x14ac:dyDescent="0.25">
      <c r="B18" s="2" t="s">
        <v>4</v>
      </c>
      <c r="F18" s="5">
        <f>+F23/E23 -1</f>
        <v>4.3656174334140436</v>
      </c>
      <c r="G18" s="5">
        <f>+G23/F23 -1</f>
        <v>2.4927797833935017</v>
      </c>
      <c r="H18" s="5">
        <f>+H23/G23 -1</f>
        <v>1.9727390180878555</v>
      </c>
      <c r="I18" s="5">
        <f>+I23/H23 -1</f>
        <v>1.3776782997957322</v>
      </c>
      <c r="J18" s="5">
        <f>+J23/I23 -1</f>
        <v>-0.25328105578708782</v>
      </c>
      <c r="K18" s="5">
        <f>+K23/J23 -1</f>
        <v>-0.4152121709117168</v>
      </c>
      <c r="L18" s="5">
        <f t="shared" ref="L18:U18" si="30">+L23/K23 -1</f>
        <v>0.19999999999999996</v>
      </c>
      <c r="M18" s="5">
        <f t="shared" si="30"/>
        <v>0.19999999999999996</v>
      </c>
      <c r="N18" s="5">
        <f t="shared" si="30"/>
        <v>0.19999999999999996</v>
      </c>
      <c r="O18" s="5">
        <f t="shared" si="30"/>
        <v>0.19999999999999996</v>
      </c>
      <c r="P18" s="5">
        <f t="shared" si="30"/>
        <v>0.19999999999999996</v>
      </c>
      <c r="Q18" s="5">
        <f t="shared" si="30"/>
        <v>0.14999999999999991</v>
      </c>
      <c r="R18" s="5">
        <f t="shared" si="30"/>
        <v>0.14999999999999991</v>
      </c>
      <c r="S18" s="5">
        <f t="shared" si="30"/>
        <v>0.14999999999999991</v>
      </c>
      <c r="T18" s="5">
        <f t="shared" si="30"/>
        <v>0.14999999999999991</v>
      </c>
      <c r="U18" s="5">
        <f t="shared" si="30"/>
        <v>0.14999999999999991</v>
      </c>
    </row>
    <row r="19" spans="2:21" s="2" customFormat="1" x14ac:dyDescent="0.25">
      <c r="B19" s="2" t="s">
        <v>3</v>
      </c>
      <c r="F19" s="5">
        <f>+F24/E24 -1</f>
        <v>-0.43193524650478288</v>
      </c>
      <c r="G19" s="5">
        <f>+G24/F24 -1</f>
        <v>2.8575129533678756</v>
      </c>
      <c r="H19" s="5">
        <f>+H24/G24 -1</f>
        <v>1.3055742108797852</v>
      </c>
      <c r="I19" s="5">
        <f>+I24/H24 -1</f>
        <v>1.2787649286338478</v>
      </c>
      <c r="J19" s="5">
        <f>+J24/I24 -1</f>
        <v>0.37063786271251442</v>
      </c>
      <c r="K19" s="5">
        <f>+K24/J24 -1</f>
        <v>0.37862298904173475</v>
      </c>
      <c r="L19" s="5">
        <f t="shared" ref="L19:U19" si="31">+L24/K24 -1</f>
        <v>0.39999999999999991</v>
      </c>
      <c r="M19" s="5">
        <f t="shared" si="31"/>
        <v>0.35000000000000009</v>
      </c>
      <c r="N19" s="5">
        <f t="shared" si="31"/>
        <v>0.30000000000000004</v>
      </c>
      <c r="O19" s="5">
        <f t="shared" si="31"/>
        <v>0.25</v>
      </c>
      <c r="P19" s="5">
        <f t="shared" si="31"/>
        <v>0.19999999999999996</v>
      </c>
      <c r="Q19" s="5">
        <f t="shared" si="31"/>
        <v>0.19999999999999996</v>
      </c>
      <c r="R19" s="5">
        <f t="shared" si="31"/>
        <v>0.19999999999999996</v>
      </c>
      <c r="S19" s="5">
        <f t="shared" si="31"/>
        <v>0.19999999999999996</v>
      </c>
      <c r="T19" s="5">
        <f t="shared" si="31"/>
        <v>0.19999999999999996</v>
      </c>
      <c r="U19" s="5">
        <f t="shared" si="31"/>
        <v>0.19999999999999996</v>
      </c>
    </row>
    <row r="20" spans="2:21" s="2" customFormat="1" x14ac:dyDescent="0.25">
      <c r="B20" s="2" t="s">
        <v>5</v>
      </c>
      <c r="F20" s="5">
        <f>+F25/E25 -1</f>
        <v>0.14617940199335555</v>
      </c>
      <c r="G20" s="5">
        <f>+G25/F25 -1</f>
        <v>0.93333333333333335</v>
      </c>
      <c r="H20" s="5">
        <f>+H25/G25 -1</f>
        <v>5.5517241379310347</v>
      </c>
      <c r="I20" s="5">
        <f>+I25/H25 -1</f>
        <v>0.71189931350114422</v>
      </c>
      <c r="J20" s="5">
        <f>+J25/I25 -1</f>
        <v>0.16508488170030744</v>
      </c>
      <c r="K20" s="5">
        <f>+K25/J25 -1</f>
        <v>0.29002065167508029</v>
      </c>
      <c r="L20" s="5">
        <f t="shared" ref="L20:U20" si="32">+L25/K25 -1</f>
        <v>0.30000000000000004</v>
      </c>
      <c r="M20" s="5">
        <f t="shared" si="32"/>
        <v>0.30000000000000004</v>
      </c>
      <c r="N20" s="5">
        <f t="shared" si="32"/>
        <v>0.30000000000000004</v>
      </c>
      <c r="O20" s="5">
        <f t="shared" si="32"/>
        <v>0.30000000000000004</v>
      </c>
      <c r="P20" s="5">
        <f t="shared" si="32"/>
        <v>0.30000000000000004</v>
      </c>
      <c r="Q20" s="5">
        <f t="shared" si="32"/>
        <v>0.30000000000000004</v>
      </c>
      <c r="R20" s="5">
        <f t="shared" si="32"/>
        <v>0.30000000000000004</v>
      </c>
      <c r="S20" s="5">
        <f t="shared" si="32"/>
        <v>0.30000000000000004</v>
      </c>
      <c r="T20" s="5">
        <f t="shared" si="32"/>
        <v>0.30000000000000004</v>
      </c>
      <c r="U20" s="5">
        <f t="shared" si="32"/>
        <v>0.30000000000000004</v>
      </c>
    </row>
    <row r="21" spans="2:21" s="2" customFormat="1" x14ac:dyDescent="0.25">
      <c r="B21" s="2" t="s">
        <v>32</v>
      </c>
      <c r="F21" s="5"/>
      <c r="G21" s="5"/>
      <c r="H21" s="5"/>
      <c r="I21" s="5"/>
      <c r="J21" s="5">
        <f>+J30/I30 -1</f>
        <v>-0.10242677705230518</v>
      </c>
      <c r="K21" s="5">
        <f>+K30/J30 -1</f>
        <v>-0.19427696379470194</v>
      </c>
      <c r="L21" s="5">
        <f>+L30/K30 -1</f>
        <v>0.25095312020092897</v>
      </c>
      <c r="M21" s="5">
        <f t="shared" ref="M21:U21" si="33">+M30/L30 -1</f>
        <v>0.24828306925439203</v>
      </c>
      <c r="N21" s="5">
        <f t="shared" si="33"/>
        <v>0.23742296223168879</v>
      </c>
      <c r="O21" s="5">
        <f t="shared" si="33"/>
        <v>0.22310101379721314</v>
      </c>
      <c r="P21" s="5">
        <f t="shared" si="33"/>
        <v>0.20678282770035739</v>
      </c>
      <c r="Q21" s="5">
        <f t="shared" si="33"/>
        <v>0.18633188150203783</v>
      </c>
      <c r="R21" s="5">
        <f t="shared" si="33"/>
        <v>0.18921405074491471</v>
      </c>
      <c r="S21" s="5">
        <f t="shared" si="33"/>
        <v>0.19210639914043059</v>
      </c>
      <c r="T21" s="5">
        <f t="shared" si="33"/>
        <v>0.19501889820518192</v>
      </c>
      <c r="U21" s="5">
        <f t="shared" si="33"/>
        <v>0.19795947282076387</v>
      </c>
    </row>
    <row r="22" spans="2:21" s="2" customFormat="1" x14ac:dyDescent="0.25">
      <c r="I22" s="8"/>
      <c r="J22" s="8"/>
      <c r="K22" s="8"/>
    </row>
    <row r="23" spans="2:21" s="2" customFormat="1" x14ac:dyDescent="0.25">
      <c r="B23" s="2" t="s">
        <v>4</v>
      </c>
      <c r="E23" s="2">
        <v>826</v>
      </c>
      <c r="F23" s="2">
        <v>4432</v>
      </c>
      <c r="G23" s="2">
        <v>15480</v>
      </c>
      <c r="H23" s="2">
        <v>46018</v>
      </c>
      <c r="I23" s="2">
        <v>109416</v>
      </c>
      <c r="J23" s="2">
        <v>81703</v>
      </c>
      <c r="K23" s="2">
        <f>35924*1.33</f>
        <v>47778.920000000006</v>
      </c>
      <c r="L23" s="2">
        <f>+K23*1.2</f>
        <v>57334.704000000005</v>
      </c>
      <c r="M23" s="2">
        <f t="shared" ref="M23:P23" si="34">+L23*1.2</f>
        <v>68801.644800000009</v>
      </c>
      <c r="N23" s="2">
        <f t="shared" si="34"/>
        <v>82561.973760000008</v>
      </c>
      <c r="O23" s="2">
        <f t="shared" si="34"/>
        <v>99074.368512000001</v>
      </c>
      <c r="P23" s="2">
        <f t="shared" si="34"/>
        <v>118889.2422144</v>
      </c>
      <c r="Q23" s="2">
        <f>+P23*1.15</f>
        <v>136722.62854655998</v>
      </c>
      <c r="R23" s="2">
        <f t="shared" ref="R23:U23" si="35">+Q23*1.15</f>
        <v>157231.02282854397</v>
      </c>
      <c r="S23" s="2">
        <f t="shared" si="35"/>
        <v>180815.67625282553</v>
      </c>
      <c r="T23" s="2">
        <f t="shared" si="35"/>
        <v>207938.02769074935</v>
      </c>
      <c r="U23" s="2">
        <f t="shared" si="35"/>
        <v>239128.73184436173</v>
      </c>
    </row>
    <row r="24" spans="2:21" s="2" customFormat="1" x14ac:dyDescent="0.25">
      <c r="B24" s="2" t="s">
        <v>31</v>
      </c>
      <c r="E24" s="2">
        <v>1359</v>
      </c>
      <c r="F24" s="2">
        <v>772</v>
      </c>
      <c r="G24" s="2">
        <v>2978</v>
      </c>
      <c r="H24" s="2">
        <v>6866</v>
      </c>
      <c r="I24" s="2">
        <v>15646</v>
      </c>
      <c r="J24" s="2">
        <v>21445</v>
      </c>
      <c r="K24" s="2">
        <f>22229*1.33</f>
        <v>29564.570000000003</v>
      </c>
      <c r="L24" s="2">
        <f>+K24*1.4</f>
        <v>41390.398000000001</v>
      </c>
      <c r="M24" s="2">
        <f>+L24*1.35</f>
        <v>55877.037300000004</v>
      </c>
      <c r="N24" s="2">
        <f>+M24*1.3</f>
        <v>72640.148490000007</v>
      </c>
      <c r="O24" s="2">
        <f>+N24*1.25</f>
        <v>90800.185612500005</v>
      </c>
      <c r="P24" s="2">
        <f>+O24*1.2</f>
        <v>108960.222735</v>
      </c>
      <c r="Q24" s="2">
        <f t="shared" ref="Q24:U24" si="36">+P24*1.2</f>
        <v>130752.267282</v>
      </c>
      <c r="R24" s="2">
        <f t="shared" si="36"/>
        <v>156902.72073840001</v>
      </c>
      <c r="S24" s="2">
        <f t="shared" si="36"/>
        <v>188283.26488608</v>
      </c>
      <c r="T24" s="2">
        <f t="shared" si="36"/>
        <v>225939.917863296</v>
      </c>
      <c r="U24" s="2">
        <f t="shared" si="36"/>
        <v>271127.90143595519</v>
      </c>
    </row>
    <row r="25" spans="2:21" s="2" customFormat="1" x14ac:dyDescent="0.25">
      <c r="B25" s="2" t="s">
        <v>5</v>
      </c>
      <c r="E25" s="2">
        <v>301</v>
      </c>
      <c r="F25" s="2">
        <v>345</v>
      </c>
      <c r="G25" s="2">
        <v>667</v>
      </c>
      <c r="H25" s="2">
        <v>4370</v>
      </c>
      <c r="I25" s="2">
        <v>7481</v>
      </c>
      <c r="J25" s="2">
        <v>8716</v>
      </c>
      <c r="K25" s="2">
        <f>8454*1.33</f>
        <v>11243.82</v>
      </c>
      <c r="L25" s="2">
        <f>+K25*1.3</f>
        <v>14616.966</v>
      </c>
      <c r="M25" s="2">
        <f t="shared" ref="M25:U25" si="37">+L25*1.3</f>
        <v>19002.055800000002</v>
      </c>
      <c r="N25" s="2">
        <f t="shared" si="37"/>
        <v>24702.672540000003</v>
      </c>
      <c r="O25" s="2">
        <f t="shared" si="37"/>
        <v>32113.474302000006</v>
      </c>
      <c r="P25" s="2">
        <f t="shared" si="37"/>
        <v>41747.516592600012</v>
      </c>
      <c r="Q25" s="2">
        <f t="shared" si="37"/>
        <v>54271.77157038002</v>
      </c>
      <c r="R25" s="2">
        <f t="shared" si="37"/>
        <v>70553.303041494029</v>
      </c>
      <c r="S25" s="2">
        <f t="shared" si="37"/>
        <v>91719.293953942237</v>
      </c>
      <c r="T25" s="2">
        <f t="shared" si="37"/>
        <v>119235.08214012491</v>
      </c>
      <c r="U25" s="2">
        <f t="shared" si="37"/>
        <v>155005.60678216239</v>
      </c>
    </row>
    <row r="26" spans="2:21" s="2" customFormat="1" x14ac:dyDescent="0.25">
      <c r="B26" s="2" t="s">
        <v>6</v>
      </c>
      <c r="I26" s="2">
        <v>3258</v>
      </c>
      <c r="J26" s="2">
        <v>6427</v>
      </c>
      <c r="K26" s="2">
        <f>4023*1.33</f>
        <v>5350.59</v>
      </c>
      <c r="L26" s="2">
        <f>+L23*0.1</f>
        <v>5733.4704000000011</v>
      </c>
      <c r="M26" s="2">
        <f t="shared" ref="M26:U26" si="38">+M23*0.1</f>
        <v>6880.1644800000013</v>
      </c>
      <c r="N26" s="2">
        <f t="shared" si="38"/>
        <v>8256.1973760000019</v>
      </c>
      <c r="O26" s="2">
        <f t="shared" si="38"/>
        <v>9907.4368512000001</v>
      </c>
      <c r="P26" s="2">
        <f t="shared" si="38"/>
        <v>11888.92422144</v>
      </c>
      <c r="Q26" s="2">
        <f t="shared" si="38"/>
        <v>13672.262854655999</v>
      </c>
      <c r="R26" s="2">
        <f t="shared" si="38"/>
        <v>15723.102282854397</v>
      </c>
      <c r="S26" s="2">
        <f t="shared" si="38"/>
        <v>18081.567625282554</v>
      </c>
      <c r="T26" s="2">
        <f t="shared" si="38"/>
        <v>20793.802769074937</v>
      </c>
      <c r="U26" s="2">
        <f t="shared" si="38"/>
        <v>23912.873184436176</v>
      </c>
    </row>
    <row r="27" spans="2:21" s="2" customFormat="1" x14ac:dyDescent="0.25">
      <c r="B27" s="2" t="s">
        <v>7</v>
      </c>
      <c r="I27" s="2">
        <v>469</v>
      </c>
      <c r="J27" s="2">
        <v>1704</v>
      </c>
      <c r="K27" s="2">
        <f>251*1.33</f>
        <v>333.83000000000004</v>
      </c>
      <c r="L27" s="2">
        <v>350</v>
      </c>
      <c r="M27" s="2">
        <v>350</v>
      </c>
      <c r="N27" s="2">
        <v>350</v>
      </c>
      <c r="O27" s="2">
        <v>350</v>
      </c>
      <c r="P27" s="2">
        <v>350</v>
      </c>
      <c r="Q27" s="2">
        <v>350</v>
      </c>
      <c r="R27" s="2">
        <v>350</v>
      </c>
      <c r="S27" s="2">
        <v>350</v>
      </c>
      <c r="T27" s="2">
        <v>350</v>
      </c>
      <c r="U27" s="2">
        <v>350</v>
      </c>
    </row>
    <row r="28" spans="2:21" s="2" customFormat="1" x14ac:dyDescent="0.25">
      <c r="B28" s="2" t="s">
        <v>8</v>
      </c>
      <c r="I28" s="2">
        <v>3302</v>
      </c>
      <c r="J28" s="2">
        <v>4667</v>
      </c>
      <c r="K28" s="2">
        <f>3517*1.33</f>
        <v>4677.6100000000006</v>
      </c>
      <c r="L28" s="2">
        <f>+K28*1.02</f>
        <v>4771.1622000000007</v>
      </c>
      <c r="M28" s="2">
        <f t="shared" ref="M28:U28" si="39">+L28*1.02</f>
        <v>4866.5854440000012</v>
      </c>
      <c r="N28" s="2">
        <f t="shared" si="39"/>
        <v>4963.9171528800016</v>
      </c>
      <c r="O28" s="2">
        <f t="shared" si="39"/>
        <v>5063.1954959376017</v>
      </c>
      <c r="P28" s="2">
        <f t="shared" si="39"/>
        <v>5164.4594058563534</v>
      </c>
      <c r="Q28" s="2">
        <f t="shared" si="39"/>
        <v>5267.7485939734806</v>
      </c>
      <c r="R28" s="2">
        <f t="shared" si="39"/>
        <v>5373.1035658529499</v>
      </c>
      <c r="S28" s="2">
        <f t="shared" si="39"/>
        <v>5480.5656371700088</v>
      </c>
      <c r="T28" s="2">
        <f t="shared" si="39"/>
        <v>5590.1769499134089</v>
      </c>
      <c r="U28" s="2">
        <f t="shared" si="39"/>
        <v>5701.9804889116767</v>
      </c>
    </row>
    <row r="29" spans="2:21" s="2" customFormat="1" x14ac:dyDescent="0.25">
      <c r="B29" s="2" t="s">
        <v>9</v>
      </c>
      <c r="I29" s="2">
        <v>1026</v>
      </c>
      <c r="J29" s="2">
        <v>1535</v>
      </c>
      <c r="K29" s="2">
        <f>2053*1.33</f>
        <v>2730.4900000000002</v>
      </c>
      <c r="L29" s="2">
        <v>3000</v>
      </c>
      <c r="M29" s="2">
        <v>3000</v>
      </c>
      <c r="N29" s="2">
        <v>3000</v>
      </c>
      <c r="O29" s="2">
        <v>3000</v>
      </c>
      <c r="P29" s="2">
        <v>3000</v>
      </c>
      <c r="Q29" s="2">
        <v>3000</v>
      </c>
      <c r="R29" s="2">
        <v>3000</v>
      </c>
      <c r="S29" s="2">
        <v>3000</v>
      </c>
      <c r="T29" s="2">
        <v>3000</v>
      </c>
      <c r="U29" s="2">
        <v>3000</v>
      </c>
    </row>
    <row r="30" spans="2:21" s="3" customFormat="1" x14ac:dyDescent="0.25">
      <c r="B30" s="3" t="s">
        <v>10</v>
      </c>
      <c r="I30" s="3">
        <f>+SUM(I23:I29)</f>
        <v>140598</v>
      </c>
      <c r="J30" s="3">
        <f>+SUM(J23:J29)</f>
        <v>126197</v>
      </c>
      <c r="K30" s="3">
        <f>+SUM(K23:K29)</f>
        <v>101679.83</v>
      </c>
      <c r="L30" s="3">
        <f t="shared" ref="L30:U30" si="40">+SUM(L23:L29)</f>
        <v>127196.70060000003</v>
      </c>
      <c r="M30" s="3">
        <f t="shared" si="40"/>
        <v>158777.48782400001</v>
      </c>
      <c r="N30" s="3">
        <f t="shared" si="40"/>
        <v>196474.90931888</v>
      </c>
      <c r="O30" s="3">
        <f t="shared" si="40"/>
        <v>240308.66077363765</v>
      </c>
      <c r="P30" s="3">
        <f t="shared" si="40"/>
        <v>290000.36516929639</v>
      </c>
      <c r="Q30" s="3">
        <f t="shared" si="40"/>
        <v>344036.67884756945</v>
      </c>
      <c r="R30" s="3">
        <f t="shared" si="40"/>
        <v>409133.25245714537</v>
      </c>
      <c r="S30" s="3">
        <f t="shared" si="40"/>
        <v>487730.36835530034</v>
      </c>
      <c r="T30" s="3">
        <f t="shared" si="40"/>
        <v>582847.00741315854</v>
      </c>
      <c r="U30" s="3">
        <f t="shared" si="40"/>
        <v>698227.09373582725</v>
      </c>
    </row>
    <row r="31" spans="2:21" s="2" customFormat="1" x14ac:dyDescent="0.25">
      <c r="B31" s="2" t="s">
        <v>11</v>
      </c>
      <c r="I31" s="2">
        <v>72532</v>
      </c>
      <c r="J31" s="2">
        <v>54164</v>
      </c>
      <c r="K31" s="2">
        <f>30571*1.33</f>
        <v>40659.43</v>
      </c>
      <c r="L31" s="2">
        <f>+L23*0.663</f>
        <v>38012.908752000003</v>
      </c>
      <c r="M31" s="2">
        <f t="shared" ref="M31:U31" si="41">+M23*0.663</f>
        <v>45615.490502400011</v>
      </c>
      <c r="N31" s="2">
        <f t="shared" si="41"/>
        <v>54738.588602880009</v>
      </c>
      <c r="O31" s="2">
        <f t="shared" si="41"/>
        <v>65686.30632345601</v>
      </c>
      <c r="P31" s="2">
        <f t="shared" si="41"/>
        <v>78823.567588147198</v>
      </c>
      <c r="Q31" s="2">
        <f t="shared" si="41"/>
        <v>90647.102726369267</v>
      </c>
      <c r="R31" s="2">
        <f t="shared" si="41"/>
        <v>104244.16813532465</v>
      </c>
      <c r="S31" s="2">
        <f t="shared" si="41"/>
        <v>119880.79335562333</v>
      </c>
      <c r="T31" s="2">
        <f t="shared" si="41"/>
        <v>137862.91235896683</v>
      </c>
      <c r="U31" s="2">
        <f t="shared" si="41"/>
        <v>158542.34921281182</v>
      </c>
    </row>
    <row r="32" spans="2:21" s="2" customFormat="1" x14ac:dyDescent="0.25">
      <c r="B32" s="2" t="s">
        <v>12</v>
      </c>
      <c r="I32" s="2">
        <v>3540</v>
      </c>
      <c r="J32" s="2">
        <v>2613</v>
      </c>
      <c r="K32" s="2">
        <f>3320*1.33</f>
        <v>4415.6000000000004</v>
      </c>
      <c r="L32" s="2">
        <f>+L24*0.15</f>
        <v>6208.5596999999998</v>
      </c>
      <c r="M32" s="2">
        <f t="shared" ref="M32:U32" si="42">+M24*0.15</f>
        <v>8381.5555949999998</v>
      </c>
      <c r="N32" s="2">
        <f>+N24*0.15</f>
        <v>10896.022273500001</v>
      </c>
      <c r="O32" s="2">
        <f t="shared" si="42"/>
        <v>13620.027841875</v>
      </c>
      <c r="P32" s="2">
        <f t="shared" si="42"/>
        <v>16344.03341025</v>
      </c>
      <c r="Q32" s="2">
        <f t="shared" si="42"/>
        <v>19612.840092300001</v>
      </c>
      <c r="R32" s="2">
        <f t="shared" si="42"/>
        <v>23535.40811076</v>
      </c>
      <c r="S32" s="2">
        <f t="shared" si="42"/>
        <v>28242.489732911999</v>
      </c>
      <c r="T32" s="2">
        <f t="shared" si="42"/>
        <v>33890.987679494399</v>
      </c>
      <c r="U32" s="2">
        <f t="shared" si="42"/>
        <v>40669.185215393278</v>
      </c>
    </row>
    <row r="33" spans="2:21" s="2" customFormat="1" x14ac:dyDescent="0.25">
      <c r="B33" s="2" t="s">
        <v>30</v>
      </c>
      <c r="I33" s="2">
        <v>9140</v>
      </c>
      <c r="J33" s="2">
        <v>12870</v>
      </c>
      <c r="K33" s="2">
        <f>11779*1.33</f>
        <v>15666.070000000002</v>
      </c>
      <c r="L33" s="2">
        <f>+K33*1.2</f>
        <v>18799.284</v>
      </c>
      <c r="M33" s="2">
        <f t="shared" ref="M33:U33" si="43">+L33*1.2</f>
        <v>22559.140799999997</v>
      </c>
      <c r="N33" s="2">
        <f t="shared" si="43"/>
        <v>27070.968959999995</v>
      </c>
      <c r="O33" s="2">
        <f>+N33*1.2</f>
        <v>32485.162751999993</v>
      </c>
      <c r="P33" s="2">
        <f t="shared" si="43"/>
        <v>38982.195302399989</v>
      </c>
      <c r="Q33" s="2">
        <f t="shared" si="43"/>
        <v>46778.634362879988</v>
      </c>
      <c r="R33" s="2">
        <f t="shared" si="43"/>
        <v>56134.361235455981</v>
      </c>
      <c r="S33" s="2">
        <f t="shared" si="43"/>
        <v>67361.233482547177</v>
      </c>
      <c r="T33" s="2">
        <f t="shared" si="43"/>
        <v>80833.480179056613</v>
      </c>
      <c r="U33" s="2">
        <f t="shared" si="43"/>
        <v>97000.176214867926</v>
      </c>
    </row>
    <row r="34" spans="2:21" s="2" customFormat="1" x14ac:dyDescent="0.25">
      <c r="B34" s="2" t="s">
        <v>13</v>
      </c>
      <c r="I34" s="2">
        <v>1969</v>
      </c>
      <c r="J34" s="2">
        <v>2399</v>
      </c>
      <c r="K34" s="2">
        <f>1726*1.33</f>
        <v>2295.58</v>
      </c>
      <c r="L34" s="2">
        <f>+K34*(1+(L30/K30 -1))</f>
        <v>2871.6629636708485</v>
      </c>
      <c r="M34" s="2">
        <f t="shared" ref="M34:T34" si="44">+L34*(1+(M30/L30 -1))</f>
        <v>3584.6482581552104</v>
      </c>
      <c r="N34" s="2">
        <f t="shared" si="44"/>
        <v>4435.7260661650844</v>
      </c>
      <c r="O34" s="2">
        <f t="shared" si="44"/>
        <v>5425.3410484532387</v>
      </c>
      <c r="P34" s="2">
        <f t="shared" si="44"/>
        <v>6547.208411691221</v>
      </c>
      <c r="Q34" s="2">
        <f t="shared" si="44"/>
        <v>7767.1620736276154</v>
      </c>
      <c r="R34" s="2">
        <f t="shared" si="44"/>
        <v>9236.8182723709688</v>
      </c>
      <c r="S34" s="2">
        <f t="shared" si="44"/>
        <v>11011.270170190688</v>
      </c>
      <c r="T34" s="2">
        <f t="shared" si="44"/>
        <v>13158.675946620862</v>
      </c>
      <c r="U34" s="2">
        <f>+T34*(1+(U30/T30 -1))</f>
        <v>15763.560500033194</v>
      </c>
    </row>
    <row r="35" spans="2:21" s="2" customFormat="1" x14ac:dyDescent="0.25">
      <c r="B35" s="2" t="s">
        <v>14</v>
      </c>
      <c r="I35" s="2">
        <v>4605</v>
      </c>
      <c r="J35" s="2">
        <v>2602</v>
      </c>
      <c r="K35" s="2">
        <f>2915*1.33</f>
        <v>3876.9500000000003</v>
      </c>
      <c r="L35" s="2">
        <f>+K35*1.2</f>
        <v>4652.34</v>
      </c>
      <c r="M35" s="2">
        <f t="shared" ref="M35:T35" si="45">+L35*1.2</f>
        <v>5582.808</v>
      </c>
      <c r="N35" s="2">
        <f t="shared" si="45"/>
        <v>6699.3696</v>
      </c>
      <c r="O35" s="2">
        <f t="shared" si="45"/>
        <v>8039.24352</v>
      </c>
      <c r="P35" s="2">
        <f t="shared" si="45"/>
        <v>9647.092224</v>
      </c>
      <c r="Q35" s="2">
        <f t="shared" si="45"/>
        <v>11576.5106688</v>
      </c>
      <c r="R35" s="2">
        <f t="shared" si="45"/>
        <v>13891.81280256</v>
      </c>
      <c r="S35" s="2">
        <f t="shared" si="45"/>
        <v>16670.175363071998</v>
      </c>
      <c r="T35" s="2">
        <f t="shared" si="45"/>
        <v>20004.210435686397</v>
      </c>
      <c r="U35" s="2">
        <f>+T35*1.2</f>
        <v>24005.052522823677</v>
      </c>
    </row>
    <row r="36" spans="2:21" s="2" customFormat="1" x14ac:dyDescent="0.25">
      <c r="B36" s="2" t="s">
        <v>8</v>
      </c>
      <c r="I36" s="2">
        <v>4356</v>
      </c>
      <c r="J36" s="2">
        <v>4469</v>
      </c>
      <c r="K36" s="2">
        <f>3190*1.33</f>
        <v>4242.7</v>
      </c>
      <c r="L36" s="2">
        <f>+L28*0.85</f>
        <v>4055.4878700000004</v>
      </c>
      <c r="M36" s="2">
        <f>+M28*0.8</f>
        <v>3893.2683552000012</v>
      </c>
      <c r="N36" s="2">
        <f t="shared" ref="N36:U36" si="46">+N28*0.8</f>
        <v>3971.1337223040014</v>
      </c>
      <c r="O36" s="2">
        <f t="shared" si="46"/>
        <v>4050.5563967500816</v>
      </c>
      <c r="P36" s="2">
        <f t="shared" si="46"/>
        <v>4131.5675246850833</v>
      </c>
      <c r="Q36" s="2">
        <f t="shared" si="46"/>
        <v>4214.1988751787849</v>
      </c>
      <c r="R36" s="2">
        <f t="shared" si="46"/>
        <v>4298.4828526823603</v>
      </c>
      <c r="S36" s="2">
        <f t="shared" si="46"/>
        <v>4384.4525097360074</v>
      </c>
      <c r="T36" s="2">
        <f t="shared" si="46"/>
        <v>4472.1415599307275</v>
      </c>
      <c r="U36" s="2">
        <f t="shared" si="46"/>
        <v>4561.5843911293414</v>
      </c>
    </row>
    <row r="37" spans="2:21" s="2" customFormat="1" x14ac:dyDescent="0.25">
      <c r="B37" s="2" t="s">
        <v>15</v>
      </c>
      <c r="I37" s="2">
        <v>4250</v>
      </c>
      <c r="J37" s="2">
        <v>6299</v>
      </c>
      <c r="K37" s="2">
        <f>3821*1.33</f>
        <v>5081.93</v>
      </c>
      <c r="L37" s="2">
        <f>+K37*1.02</f>
        <v>5183.5686000000005</v>
      </c>
      <c r="M37" s="2">
        <f t="shared" ref="M37:U37" si="47">+L37*1.02</f>
        <v>5287.2399720000003</v>
      </c>
      <c r="N37" s="2">
        <f t="shared" si="47"/>
        <v>5392.9847714400003</v>
      </c>
      <c r="O37" s="2">
        <f t="shared" si="47"/>
        <v>5500.8444668688007</v>
      </c>
      <c r="P37" s="2">
        <f t="shared" si="47"/>
        <v>5610.8613562061764</v>
      </c>
      <c r="Q37" s="2">
        <f t="shared" si="47"/>
        <v>5723.0785833302998</v>
      </c>
      <c r="R37" s="2">
        <f t="shared" si="47"/>
        <v>5837.5401549969056</v>
      </c>
      <c r="S37" s="2">
        <f t="shared" si="47"/>
        <v>5954.2909580968435</v>
      </c>
      <c r="T37" s="2">
        <f t="shared" si="47"/>
        <v>6073.3767772587807</v>
      </c>
      <c r="U37" s="2">
        <f t="shared" si="47"/>
        <v>6194.8443128039562</v>
      </c>
    </row>
    <row r="38" spans="2:21" s="3" customFormat="1" x14ac:dyDescent="0.25">
      <c r="B38" s="3" t="s">
        <v>16</v>
      </c>
      <c r="I38" s="3">
        <f>+SUM(I31:I37)</f>
        <v>100392</v>
      </c>
      <c r="J38" s="3">
        <f>+SUM(J31:J37)</f>
        <v>85416</v>
      </c>
      <c r="K38" s="3">
        <f>+SUM(K31:K37)</f>
        <v>76238.260000000009</v>
      </c>
      <c r="L38" s="3">
        <f>+SUM(L31:L37)</f>
        <v>79783.811885670846</v>
      </c>
      <c r="M38" s="3">
        <f t="shared" ref="M38:U38" si="48">+SUM(M31:M37)</f>
        <v>94904.151482755216</v>
      </c>
      <c r="N38" s="3">
        <f t="shared" si="48"/>
        <v>113204.7939962891</v>
      </c>
      <c r="O38" s="3">
        <f t="shared" si="48"/>
        <v>134807.48234940312</v>
      </c>
      <c r="P38" s="3">
        <f t="shared" si="48"/>
        <v>160086.52581737968</v>
      </c>
      <c r="Q38" s="3">
        <f t="shared" si="48"/>
        <v>186319.52738248595</v>
      </c>
      <c r="R38" s="3">
        <f t="shared" si="48"/>
        <v>217178.59156415085</v>
      </c>
      <c r="S38" s="3">
        <f t="shared" si="48"/>
        <v>253504.70557217806</v>
      </c>
      <c r="T38" s="3">
        <f t="shared" si="48"/>
        <v>296295.78493701463</v>
      </c>
      <c r="U38" s="3">
        <f t="shared" si="48"/>
        <v>346736.75236986316</v>
      </c>
    </row>
    <row r="39" spans="2:21" s="4" customFormat="1" x14ac:dyDescent="0.25">
      <c r="B39" s="4" t="s">
        <v>17</v>
      </c>
      <c r="I39" s="4">
        <f>+I30-I38</f>
        <v>40206</v>
      </c>
      <c r="J39" s="4">
        <f>+J30-J38</f>
        <v>40781</v>
      </c>
      <c r="K39" s="4">
        <f>+K30-K38</f>
        <v>25441.569999999992</v>
      </c>
      <c r="L39" s="4">
        <f>+L30-L38</f>
        <v>47412.888714329179</v>
      </c>
      <c r="M39" s="4">
        <f t="shared" ref="M39:U39" si="49">+M30-M38</f>
        <v>63873.336341244794</v>
      </c>
      <c r="N39" s="4">
        <f t="shared" si="49"/>
        <v>83270.115322590907</v>
      </c>
      <c r="O39" s="4">
        <f t="shared" si="49"/>
        <v>105501.17842423453</v>
      </c>
      <c r="P39" s="4">
        <f t="shared" si="49"/>
        <v>129913.83935191671</v>
      </c>
      <c r="Q39" s="4">
        <f t="shared" si="49"/>
        <v>157717.1514650835</v>
      </c>
      <c r="R39" s="4">
        <f t="shared" si="49"/>
        <v>191954.66089299452</v>
      </c>
      <c r="S39" s="4">
        <f t="shared" si="49"/>
        <v>234225.66278312227</v>
      </c>
      <c r="T39" s="4">
        <f t="shared" si="49"/>
        <v>286551.22247614391</v>
      </c>
      <c r="U39" s="4">
        <f t="shared" si="49"/>
        <v>351490.34136596409</v>
      </c>
    </row>
    <row r="40" spans="2:21" s="2" customFormat="1" x14ac:dyDescent="0.25">
      <c r="I40" s="7"/>
      <c r="J40" s="7"/>
      <c r="K40" s="7"/>
    </row>
    <row r="41" spans="2:21" s="2" customFormat="1" x14ac:dyDescent="0.25">
      <c r="B41" s="2" t="s">
        <v>18</v>
      </c>
      <c r="I41" s="2">
        <v>92669</v>
      </c>
      <c r="J41" s="2">
        <v>58665</v>
      </c>
      <c r="K41" s="2">
        <f>38849*1.33</f>
        <v>51669.170000000006</v>
      </c>
      <c r="L41" s="2">
        <v>50000</v>
      </c>
      <c r="M41" s="2">
        <f>+L41*(1+L21/2)</f>
        <v>56273.828005023228</v>
      </c>
      <c r="N41" s="2">
        <f t="shared" ref="N41:U41" si="50">+M41*(1+M21/2)</f>
        <v>63259.747372913698</v>
      </c>
      <c r="O41" s="2">
        <f t="shared" si="50"/>
        <v>70769.405678566429</v>
      </c>
      <c r="P41" s="2">
        <f t="shared" si="50"/>
        <v>78663.768754923629</v>
      </c>
      <c r="Q41" s="2">
        <f t="shared" si="50"/>
        <v>86796.927025278696</v>
      </c>
      <c r="R41" s="2">
        <f t="shared" si="50"/>
        <v>94883.444385886309</v>
      </c>
      <c r="S41" s="2">
        <f t="shared" si="50"/>
        <v>103860.084816328</v>
      </c>
      <c r="T41" s="2">
        <f t="shared" si="50"/>
        <v>113836.17827057025</v>
      </c>
      <c r="U41" s="2">
        <f t="shared" si="50"/>
        <v>124936.2813016779</v>
      </c>
    </row>
    <row r="42" spans="2:21" s="2" customFormat="1" x14ac:dyDescent="0.25">
      <c r="B42" s="2" t="s">
        <v>19</v>
      </c>
      <c r="I42" s="2">
        <v>35030</v>
      </c>
      <c r="J42" s="2">
        <v>31779</v>
      </c>
      <c r="K42" s="2">
        <f>26135*1.33</f>
        <v>34759.550000000003</v>
      </c>
      <c r="L42" s="2">
        <f>+K42*(1+K21/2)</f>
        <v>31383.060081564938</v>
      </c>
      <c r="M42" s="2">
        <f t="shared" ref="M42:U42" si="51">+L42*(1+L21/2)</f>
        <v>35320.898506025915</v>
      </c>
      <c r="N42" s="2">
        <f t="shared" si="51"/>
        <v>39705.689050975408</v>
      </c>
      <c r="O42" s="2">
        <f t="shared" si="51"/>
        <v>44419.210206941862</v>
      </c>
      <c r="P42" s="2">
        <f t="shared" si="51"/>
        <v>49374.195621561979</v>
      </c>
      <c r="Q42" s="2">
        <f t="shared" si="51"/>
        <v>54479.063514590584</v>
      </c>
      <c r="R42" s="2">
        <f t="shared" si="51"/>
        <v>59554.656718161918</v>
      </c>
      <c r="S42" s="2">
        <f t="shared" si="51"/>
        <v>65188.945637345052</v>
      </c>
      <c r="T42" s="2">
        <f t="shared" si="51"/>
        <v>71450.552442420885</v>
      </c>
      <c r="U42" s="2">
        <f t="shared" si="51"/>
        <v>78417.656449157133</v>
      </c>
    </row>
    <row r="43" spans="2:21" s="2" customFormat="1" x14ac:dyDescent="0.25">
      <c r="B43" s="2" t="s">
        <v>20</v>
      </c>
      <c r="I43" s="2">
        <v>17825</v>
      </c>
      <c r="J43" s="2">
        <v>20391</v>
      </c>
      <c r="K43" s="2">
        <f>16877*1.33</f>
        <v>22446.41</v>
      </c>
      <c r="L43" s="2">
        <f>+K43+2000</f>
        <v>24446.41</v>
      </c>
      <c r="M43" s="2">
        <f t="shared" ref="M43:U43" si="52">+L43+2000</f>
        <v>26446.41</v>
      </c>
      <c r="N43" s="2">
        <f t="shared" si="52"/>
        <v>28446.41</v>
      </c>
      <c r="O43" s="2">
        <f t="shared" si="52"/>
        <v>30446.41</v>
      </c>
      <c r="P43" s="2">
        <f t="shared" si="52"/>
        <v>32446.41</v>
      </c>
      <c r="Q43" s="2">
        <f t="shared" si="52"/>
        <v>34446.410000000003</v>
      </c>
      <c r="R43" s="2">
        <f t="shared" si="52"/>
        <v>36446.410000000003</v>
      </c>
      <c r="S43" s="2">
        <f t="shared" si="52"/>
        <v>38446.410000000003</v>
      </c>
      <c r="T43" s="2">
        <f t="shared" si="52"/>
        <v>40446.410000000003</v>
      </c>
      <c r="U43" s="2">
        <f t="shared" si="52"/>
        <v>42446.41</v>
      </c>
    </row>
    <row r="44" spans="2:21" s="2" customFormat="1" x14ac:dyDescent="0.25">
      <c r="B44" s="2" t="s">
        <v>21</v>
      </c>
      <c r="I44" s="2">
        <v>0</v>
      </c>
      <c r="J44" s="2">
        <v>2910</v>
      </c>
      <c r="K44" s="2">
        <f>-9238*1.33</f>
        <v>-12286.54</v>
      </c>
    </row>
    <row r="45" spans="2:21" s="3" customFormat="1" x14ac:dyDescent="0.25">
      <c r="B45" s="3" t="s">
        <v>22</v>
      </c>
      <c r="I45" s="3">
        <f>+SUM(I41:I44)</f>
        <v>145524</v>
      </c>
      <c r="J45" s="3">
        <f>+SUM(J41:J44)</f>
        <v>113745</v>
      </c>
      <c r="K45" s="3">
        <f>+SUM(K41:K44)</f>
        <v>96588.59</v>
      </c>
      <c r="L45" s="3">
        <f>+SUM(L41:L44)</f>
        <v>105829.47008156494</v>
      </c>
      <c r="M45" s="3">
        <f>+SUM(M41:M44)</f>
        <v>118041.13651104915</v>
      </c>
      <c r="N45" s="3">
        <f>+SUM(N41:N44)</f>
        <v>131411.8464238891</v>
      </c>
      <c r="O45" s="3">
        <f>+SUM(O41:O44)</f>
        <v>145635.02588550828</v>
      </c>
      <c r="P45" s="3">
        <f>+SUM(P41:P44)</f>
        <v>160484.37437648562</v>
      </c>
      <c r="Q45" s="3">
        <f>+SUM(Q41:Q44)</f>
        <v>175722.4005398693</v>
      </c>
      <c r="R45" s="3">
        <f>+SUM(R41:R44)</f>
        <v>190884.51110404823</v>
      </c>
      <c r="S45" s="3">
        <f>+SUM(S41:S44)</f>
        <v>207495.44045367304</v>
      </c>
      <c r="T45" s="3">
        <f>+SUM(T41:T44)</f>
        <v>225733.14071299115</v>
      </c>
      <c r="U45" s="3">
        <f>+SUM(U41:U44)</f>
        <v>245800.34775083503</v>
      </c>
    </row>
    <row r="46" spans="2:21" s="3" customFormat="1" x14ac:dyDescent="0.25">
      <c r="B46" s="3" t="s">
        <v>23</v>
      </c>
      <c r="I46" s="3">
        <f>+I39-I45</f>
        <v>-105318</v>
      </c>
      <c r="J46" s="3">
        <f>+J39-J45</f>
        <v>-72964</v>
      </c>
      <c r="K46" s="3">
        <f>+K39-K45</f>
        <v>-71147.02</v>
      </c>
      <c r="L46" s="3">
        <f>+L39-L45</f>
        <v>-58416.581367235762</v>
      </c>
      <c r="M46" s="3">
        <f>+M39-M45</f>
        <v>-54167.800169804352</v>
      </c>
      <c r="N46" s="3">
        <f>+N39-N45</f>
        <v>-48141.731101298195</v>
      </c>
      <c r="O46" s="3">
        <f>+O39-O45</f>
        <v>-40133.847461273748</v>
      </c>
      <c r="P46" s="3">
        <f>+P39-P45</f>
        <v>-30570.535024568904</v>
      </c>
      <c r="Q46" s="3">
        <f>+Q39-Q45</f>
        <v>-18005.249074785796</v>
      </c>
      <c r="R46" s="3">
        <f>+R39-R45</f>
        <v>1070.1497889462917</v>
      </c>
      <c r="S46" s="3">
        <f>+S39-S45</f>
        <v>26730.222329449229</v>
      </c>
      <c r="T46" s="3">
        <f>+T39-T45</f>
        <v>60818.081763152761</v>
      </c>
      <c r="U46" s="3">
        <f>+U39-U45</f>
        <v>105689.99361512906</v>
      </c>
    </row>
    <row r="47" spans="2:21" s="2" customFormat="1" x14ac:dyDescent="0.25"/>
    <row r="48" spans="2:21" s="2" customFormat="1" x14ac:dyDescent="0.25">
      <c r="B48" s="2" t="s">
        <v>24</v>
      </c>
      <c r="I48" s="2">
        <v>3546</v>
      </c>
      <c r="J48" s="2">
        <v>431</v>
      </c>
      <c r="K48" s="2">
        <v>-28</v>
      </c>
    </row>
    <row r="49" spans="2:113" s="2" customFormat="1" x14ac:dyDescent="0.25">
      <c r="B49" s="2" t="s">
        <v>28</v>
      </c>
      <c r="I49" s="2">
        <v>1909</v>
      </c>
      <c r="J49" s="2">
        <v>2935</v>
      </c>
      <c r="K49" s="2">
        <f>883*1.33</f>
        <v>1174.3900000000001</v>
      </c>
      <c r="L49" s="2">
        <f>+K60*$X59</f>
        <v>1000</v>
      </c>
      <c r="M49" s="2">
        <f>+L60*$X59</f>
        <v>-1316.6632546894305</v>
      </c>
      <c r="N49" s="2">
        <f>+M60*$X59</f>
        <v>-3556.0417916691817</v>
      </c>
      <c r="O49" s="2">
        <f>+N60*$X59</f>
        <v>-5643.9527073878771</v>
      </c>
      <c r="P49" s="2">
        <f>+O60*$X59</f>
        <v>-7495.0647141343425</v>
      </c>
      <c r="Q49" s="2">
        <f>+P60*$X59</f>
        <v>-9037.6887036824737</v>
      </c>
      <c r="R49" s="2">
        <f>+Q60*$X59</f>
        <v>-10139.406214821203</v>
      </c>
      <c r="S49" s="2">
        <f>+R60*$X59</f>
        <v>-10522.176471856199</v>
      </c>
      <c r="T49" s="2">
        <f>+S60*$X59</f>
        <v>-9971.1029126980375</v>
      </c>
      <c r="U49" s="2">
        <f>+T60*$X59</f>
        <v>-8242.3056317825758</v>
      </c>
    </row>
    <row r="50" spans="2:113" s="2" customFormat="1" x14ac:dyDescent="0.25">
      <c r="B50" s="2" t="s">
        <v>29</v>
      </c>
      <c r="I50" s="2">
        <f>-1000+8-22</f>
        <v>-1014</v>
      </c>
      <c r="J50" s="2">
        <v>26</v>
      </c>
      <c r="K50" s="2">
        <f>-8+2</f>
        <v>-6</v>
      </c>
    </row>
    <row r="51" spans="2:113" s="2" customFormat="1" x14ac:dyDescent="0.25"/>
    <row r="52" spans="2:113" s="2" customFormat="1" x14ac:dyDescent="0.25">
      <c r="B52" s="2" t="s">
        <v>25</v>
      </c>
      <c r="I52" s="2">
        <f>+I46-I48+I49+I50</f>
        <v>-107969</v>
      </c>
      <c r="J52" s="2">
        <f>+J46-J48+J49+J50</f>
        <v>-70434</v>
      </c>
      <c r="K52" s="2">
        <f>+K46-K48+K49+K50</f>
        <v>-69950.63</v>
      </c>
      <c r="L52" s="2">
        <f>+L46-L48+L49+L50</f>
        <v>-57416.581367235762</v>
      </c>
      <c r="M52" s="2">
        <f t="shared" ref="M52:U52" si="53">+M46-M48+M49+M50</f>
        <v>-55484.463424493784</v>
      </c>
      <c r="N52" s="2">
        <f t="shared" si="53"/>
        <v>-51697.772892967376</v>
      </c>
      <c r="O52" s="2">
        <f t="shared" si="53"/>
        <v>-45777.800168661626</v>
      </c>
      <c r="P52" s="2">
        <f t="shared" si="53"/>
        <v>-38065.599738703248</v>
      </c>
      <c r="Q52" s="2">
        <f t="shared" si="53"/>
        <v>-27042.937778468269</v>
      </c>
      <c r="R52" s="2">
        <f t="shared" si="53"/>
        <v>-9069.2564258749117</v>
      </c>
      <c r="S52" s="2">
        <f t="shared" si="53"/>
        <v>16208.04585759303</v>
      </c>
      <c r="T52" s="2">
        <f t="shared" si="53"/>
        <v>50846.978850454725</v>
      </c>
      <c r="U52" s="2">
        <f t="shared" si="53"/>
        <v>97447.687983346492</v>
      </c>
    </row>
    <row r="53" spans="2:113" s="2" customFormat="1" x14ac:dyDescent="0.25">
      <c r="B53" s="2" t="s">
        <v>26</v>
      </c>
      <c r="I53" s="2">
        <v>1494</v>
      </c>
      <c r="J53" s="2">
        <v>714</v>
      </c>
      <c r="K53" s="2">
        <f>163*1.33</f>
        <v>216.79000000000002</v>
      </c>
      <c r="L53" s="2">
        <v>500</v>
      </c>
      <c r="M53" s="2">
        <v>500</v>
      </c>
      <c r="N53" s="2">
        <v>500</v>
      </c>
      <c r="O53" s="2">
        <v>500</v>
      </c>
      <c r="P53" s="2">
        <v>500</v>
      </c>
      <c r="Q53" s="2">
        <v>500</v>
      </c>
      <c r="R53" s="2">
        <v>500</v>
      </c>
      <c r="S53" s="2">
        <f t="shared" ref="S53:U53" si="54">+S52*0.15</f>
        <v>2431.2068786389545</v>
      </c>
      <c r="T53" s="2">
        <f t="shared" si="54"/>
        <v>7627.0468275682088</v>
      </c>
      <c r="U53" s="2">
        <f t="shared" si="54"/>
        <v>14617.153197501973</v>
      </c>
    </row>
    <row r="54" spans="2:113" s="3" customFormat="1" x14ac:dyDescent="0.25">
      <c r="B54" s="3" t="s">
        <v>27</v>
      </c>
      <c r="I54" s="3">
        <f>+I52-I53</f>
        <v>-109463</v>
      </c>
      <c r="J54" s="3">
        <f>+J52-J53</f>
        <v>-71148</v>
      </c>
      <c r="K54" s="3">
        <f>+K52-K53</f>
        <v>-70167.42</v>
      </c>
      <c r="L54" s="3">
        <f>+L52-L53</f>
        <v>-57916.581367235762</v>
      </c>
      <c r="M54" s="3">
        <f t="shared" ref="M54:U54" si="55">+M52-M53</f>
        <v>-55984.463424493784</v>
      </c>
      <c r="N54" s="3">
        <f t="shared" si="55"/>
        <v>-52197.772892967376</v>
      </c>
      <c r="O54" s="3">
        <f t="shared" si="55"/>
        <v>-46277.800168661626</v>
      </c>
      <c r="P54" s="3">
        <f t="shared" si="55"/>
        <v>-38565.599738703248</v>
      </c>
      <c r="Q54" s="3">
        <f t="shared" si="55"/>
        <v>-27542.937778468269</v>
      </c>
      <c r="R54" s="3">
        <f t="shared" si="55"/>
        <v>-9569.2564258749117</v>
      </c>
      <c r="S54" s="3">
        <f>+S52-S53</f>
        <v>13776.838978954074</v>
      </c>
      <c r="T54" s="3">
        <f t="shared" si="55"/>
        <v>43219.932022886518</v>
      </c>
      <c r="U54" s="3">
        <f t="shared" si="55"/>
        <v>82830.534785844517</v>
      </c>
      <c r="V54" s="3">
        <f>+U54*(1+$X58)</f>
        <v>84487.145481561412</v>
      </c>
      <c r="W54" s="3">
        <f>+V54*(1+$X58)</f>
        <v>86176.888391192639</v>
      </c>
      <c r="X54" s="3">
        <f>+W54*(1+$X58)</f>
        <v>87900.426159016497</v>
      </c>
      <c r="Y54" s="3">
        <f>+X54*(1+$X58)</f>
        <v>89658.434682196836</v>
      </c>
      <c r="Z54" s="3">
        <f>+Y54*(1+$X58)</f>
        <v>91451.603375840772</v>
      </c>
      <c r="AA54" s="3">
        <f>+Z54*(1+$X58)</f>
        <v>93280.635443357591</v>
      </c>
      <c r="AB54" s="3">
        <f>+AA54*(1+$X58)</f>
        <v>95146.24815222474</v>
      </c>
      <c r="AC54" s="3">
        <f>+AB54*(1+$X58)</f>
        <v>97049.173115269237</v>
      </c>
      <c r="AD54" s="3">
        <f>+AC54*(1+$X58)</f>
        <v>98990.156577574628</v>
      </c>
      <c r="AE54" s="3">
        <f>+AD54*(1+$X58)</f>
        <v>100969.95970912612</v>
      </c>
      <c r="AF54" s="3">
        <f>+AE54*(1+$X58)</f>
        <v>102989.35890330865</v>
      </c>
      <c r="AG54" s="3">
        <f>+AF54*(1+$X58)</f>
        <v>105049.14608137483</v>
      </c>
      <c r="AH54" s="3">
        <f>+AG54*(1+$X58)</f>
        <v>107150.12900300232</v>
      </c>
      <c r="AI54" s="3">
        <f>+AH54*(1+$X58)</f>
        <v>109293.13158306236</v>
      </c>
      <c r="AJ54" s="3">
        <f>+AI54*(1+$X58)</f>
        <v>111478.99421472361</v>
      </c>
      <c r="AK54" s="3">
        <f>+AJ54*(1+$X58)</f>
        <v>113708.57409901809</v>
      </c>
      <c r="AL54" s="3">
        <f>+AK54*(1+$X58)</f>
        <v>115982.74558099845</v>
      </c>
      <c r="AM54" s="3">
        <f>+AL54*(1+$X58)</f>
        <v>118302.40049261843</v>
      </c>
      <c r="AN54" s="3">
        <f>+AM54*(1+$X58)</f>
        <v>120668.4485024708</v>
      </c>
      <c r="AO54" s="3">
        <f>+AN54*(1+$X58)</f>
        <v>123081.81747252021</v>
      </c>
      <c r="AP54" s="3">
        <f>+AO54*(1+$X58)</f>
        <v>125543.45382197062</v>
      </c>
      <c r="AQ54" s="3">
        <f>+AP54*(1+$X58)</f>
        <v>128054.32289841003</v>
      </c>
      <c r="AR54" s="3">
        <f>+AQ54*(1+$X58)</f>
        <v>130615.40935637824</v>
      </c>
      <c r="AS54" s="3">
        <f>+AR54*(1+$X58)</f>
        <v>133227.7175435058</v>
      </c>
      <c r="AT54" s="3">
        <f>+AS54*(1+$X58)</f>
        <v>135892.27189437591</v>
      </c>
      <c r="AU54" s="3">
        <f>+AT54*(1+$X58)</f>
        <v>138610.11733226344</v>
      </c>
      <c r="AV54" s="3">
        <f>+AU54*(1+$X58)</f>
        <v>141382.31967890871</v>
      </c>
      <c r="AW54" s="3">
        <f>+AV54*(1+$X58)</f>
        <v>144209.96607248689</v>
      </c>
      <c r="AX54" s="3">
        <f>+AW54*(1+$X58)</f>
        <v>147094.16539393662</v>
      </c>
      <c r="AY54" s="3">
        <f>+AX54*(1+$X58)</f>
        <v>150036.04870181537</v>
      </c>
      <c r="AZ54" s="3">
        <f>+AY54*(1+$X58)</f>
        <v>153036.76967585168</v>
      </c>
      <c r="BA54" s="3">
        <f>+AZ54*(1+$X58)</f>
        <v>156097.50506936872</v>
      </c>
      <c r="BB54" s="3">
        <f>+BA54*(1+$X58)</f>
        <v>159219.45517075609</v>
      </c>
      <c r="BC54" s="3">
        <f>+BB54*(1+$X58)</f>
        <v>162403.84427417122</v>
      </c>
      <c r="BD54" s="3">
        <f>+BC54*(1+$X58)</f>
        <v>165651.92115965465</v>
      </c>
      <c r="BE54" s="3">
        <f>+BD54*(1+$X58)</f>
        <v>168964.95958284775</v>
      </c>
      <c r="BF54" s="3">
        <f>+BE54*(1+$X58)</f>
        <v>172344.25877450471</v>
      </c>
      <c r="BG54" s="3">
        <f>+BF54*(1+$X58)</f>
        <v>175791.14394999482</v>
      </c>
      <c r="BH54" s="3">
        <f>+BG54*(1+$X58)</f>
        <v>179306.96682899471</v>
      </c>
      <c r="BI54" s="3">
        <f>+BH54*(1+$X58)</f>
        <v>182893.1061655746</v>
      </c>
      <c r="BJ54" s="3">
        <f>+BI54*(1+$X58)</f>
        <v>186550.9682888861</v>
      </c>
      <c r="BK54" s="3">
        <f>+BJ54*(1+$X58)</f>
        <v>190281.98765466383</v>
      </c>
      <c r="BL54" s="3">
        <f>+BK54*(1+$X58)</f>
        <v>194087.6274077571</v>
      </c>
      <c r="BM54" s="3">
        <f>+BL54*(1+$X58)</f>
        <v>197969.37995591224</v>
      </c>
      <c r="BN54" s="3">
        <f>+BM54*(1+$X58)</f>
        <v>201928.7675550305</v>
      </c>
      <c r="BO54" s="3">
        <f>+BN54*(1+$X58)</f>
        <v>205967.34290613112</v>
      </c>
      <c r="BP54" s="3">
        <f>+BO54*(1+$X58)</f>
        <v>210086.68976425374</v>
      </c>
      <c r="BQ54" s="3">
        <f>+BP54*(1+$X58)</f>
        <v>214288.42355953882</v>
      </c>
      <c r="BR54" s="3">
        <f>+BQ54*(1+$X58)</f>
        <v>218574.19203072961</v>
      </c>
      <c r="BS54" s="3">
        <f>+BR54*(1+$X58)</f>
        <v>222945.6758713442</v>
      </c>
      <c r="BT54" s="3">
        <f>+BS54*(1+$X58)</f>
        <v>227404.58938877107</v>
      </c>
      <c r="BU54" s="3">
        <f>+BT54*(1+$X58)</f>
        <v>231952.6811765465</v>
      </c>
      <c r="BV54" s="3">
        <f>+BU54*(1+$X58)</f>
        <v>236591.73480007742</v>
      </c>
      <c r="BW54" s="3">
        <f>+BV54*(1+$X58)</f>
        <v>241323.56949607897</v>
      </c>
      <c r="BX54" s="3">
        <f>+BW54*(1+$X58)</f>
        <v>246150.04088600056</v>
      </c>
      <c r="BY54" s="3">
        <f>+BX54*(1+$X58)</f>
        <v>251073.04170372058</v>
      </c>
      <c r="BZ54" s="3">
        <f>+BY54*(1+$X58)</f>
        <v>256094.50253779499</v>
      </c>
      <c r="CA54" s="3">
        <f>+BZ54*(1+$X58)</f>
        <v>261216.39258855089</v>
      </c>
      <c r="CB54" s="3">
        <f>+CA54*(1+$X58)</f>
        <v>266440.72044032189</v>
      </c>
      <c r="CC54" s="3">
        <f>+CB54*(1+$X58)</f>
        <v>271769.53484912834</v>
      </c>
      <c r="CD54" s="3">
        <f>+CC54*(1+$X58)</f>
        <v>277204.9255461109</v>
      </c>
      <c r="CE54" s="3">
        <f>+CD54*(1+$X58)</f>
        <v>282749.02405703312</v>
      </c>
      <c r="CF54" s="3">
        <f>+CE54*(1+$X58)</f>
        <v>288404.00453817379</v>
      </c>
      <c r="CG54" s="3">
        <f>+CF54*(1+$X58)</f>
        <v>294172.08462893724</v>
      </c>
      <c r="CH54" s="3">
        <f>+CG54*(1+$X58)</f>
        <v>300055.52632151596</v>
      </c>
      <c r="CI54" s="3">
        <f>+CH54*(1+$X58)</f>
        <v>306056.63684794627</v>
      </c>
      <c r="CJ54" s="3">
        <f>+CI54*(1+$X58)</f>
        <v>312177.76958490518</v>
      </c>
      <c r="CK54" s="3">
        <f>+CJ54*(1+$X58)</f>
        <v>318421.32497660327</v>
      </c>
      <c r="CL54" s="3">
        <f>+CK54*(1+$X58)</f>
        <v>324789.75147613534</v>
      </c>
      <c r="CM54" s="3">
        <f>+CL54*(1+$X58)</f>
        <v>331285.54650565807</v>
      </c>
      <c r="CN54" s="3">
        <f>+CM54*(1+$X58)</f>
        <v>337911.25743577123</v>
      </c>
      <c r="CO54" s="3">
        <f>+CN54*(1+$X58)</f>
        <v>344669.48258448666</v>
      </c>
      <c r="CP54" s="3">
        <f>+CO54*(1+$X58)</f>
        <v>351562.87223617639</v>
      </c>
      <c r="CQ54" s="3">
        <f>+CP54*(1+$X58)</f>
        <v>358594.1296808999</v>
      </c>
      <c r="CR54" s="3">
        <f>+CQ54*(1+$X58)</f>
        <v>365766.01227451791</v>
      </c>
      <c r="CS54" s="3">
        <f>+CR54*(1+$X58)</f>
        <v>373081.33252000826</v>
      </c>
      <c r="CT54" s="3">
        <f>+CS54*(1+$X58)</f>
        <v>380542.95917040843</v>
      </c>
      <c r="CU54" s="3">
        <f>+CT54*(1+$X58)</f>
        <v>388153.81835381663</v>
      </c>
      <c r="CV54" s="3">
        <f>+CU54*(1+$X58)</f>
        <v>395916.89472089295</v>
      </c>
      <c r="CW54" s="3">
        <f>+CV54*(1+$X58)</f>
        <v>403835.23261531082</v>
      </c>
      <c r="CX54" s="3">
        <f>+CW54*(1+$X58)</f>
        <v>411911.93726761703</v>
      </c>
      <c r="CY54" s="3">
        <f>+CX54*(1+$X58)</f>
        <v>420150.1760129694</v>
      </c>
      <c r="CZ54" s="3">
        <f>+CY54*(1+$X58)</f>
        <v>428553.1795332288</v>
      </c>
      <c r="DA54" s="3">
        <f>+CZ54*(1+$X58)</f>
        <v>437124.24312389339</v>
      </c>
      <c r="DB54" s="3">
        <f>+DA54*(1+$X58)</f>
        <v>445866.72798637126</v>
      </c>
      <c r="DC54" s="3">
        <f>+DB54*(1+$X58)</f>
        <v>454784.06254609872</v>
      </c>
      <c r="DD54" s="3">
        <f>+DC54*(1+$X58)</f>
        <v>463879.7437970207</v>
      </c>
      <c r="DE54" s="3">
        <f>+DD54*(1+$X58)</f>
        <v>473157.33867296111</v>
      </c>
      <c r="DF54" s="3">
        <f>+DE54*(1+$X58)</f>
        <v>482620.48544642032</v>
      </c>
      <c r="DG54" s="3">
        <f>+DF54*(1+$X58)</f>
        <v>492272.89515534876</v>
      </c>
      <c r="DH54" s="3">
        <f>+DG54*(1+$X58)</f>
        <v>502118.35305845574</v>
      </c>
      <c r="DI54" s="3">
        <f>+DH54*(1+$X58)</f>
        <v>512160.72011962486</v>
      </c>
    </row>
    <row r="55" spans="2:113" s="2" customFormat="1" x14ac:dyDescent="0.25"/>
    <row r="56" spans="2:113" s="2" customFormat="1" x14ac:dyDescent="0.25">
      <c r="B56" s="2" t="s">
        <v>33</v>
      </c>
      <c r="H56" s="2">
        <v>-82365</v>
      </c>
      <c r="I56" s="2">
        <v>-97570</v>
      </c>
      <c r="J56" s="2">
        <v>-47162</v>
      </c>
    </row>
    <row r="57" spans="2:113" s="2" customFormat="1" x14ac:dyDescent="0.25">
      <c r="B57" s="2" t="s">
        <v>34</v>
      </c>
      <c r="H57" s="2">
        <v>5249</v>
      </c>
      <c r="I57" s="2">
        <v>7552</v>
      </c>
      <c r="J57" s="2">
        <v>8617</v>
      </c>
      <c r="W57" s="2" t="s">
        <v>40</v>
      </c>
      <c r="X57" s="5">
        <v>0.09</v>
      </c>
    </row>
    <row r="58" spans="2:113" s="2" customFormat="1" x14ac:dyDescent="0.25">
      <c r="B58" s="2" t="s">
        <v>35</v>
      </c>
      <c r="H58" s="2">
        <f>+H56-H57</f>
        <v>-87614</v>
      </c>
      <c r="I58" s="2">
        <f>+I56-I57</f>
        <v>-105122</v>
      </c>
      <c r="J58" s="2">
        <f>+J56-J57</f>
        <v>-55779</v>
      </c>
      <c r="W58" s="2" t="s">
        <v>41</v>
      </c>
      <c r="X58" s="5">
        <v>0.02</v>
      </c>
    </row>
    <row r="59" spans="2:113" s="2" customFormat="1" x14ac:dyDescent="0.25">
      <c r="W59" s="2" t="s">
        <v>42</v>
      </c>
      <c r="X59" s="5">
        <v>0.04</v>
      </c>
    </row>
    <row r="60" spans="2:113" s="2" customFormat="1" x14ac:dyDescent="0.25">
      <c r="B60" s="2" t="s">
        <v>36</v>
      </c>
      <c r="J60" s="2">
        <v>41774</v>
      </c>
      <c r="K60" s="2">
        <v>25000</v>
      </c>
      <c r="L60" s="2">
        <f>+K60+L54</f>
        <v>-32916.581367235762</v>
      </c>
      <c r="M60" s="2">
        <f>+L60+M54</f>
        <v>-88901.044791729539</v>
      </c>
      <c r="N60" s="2">
        <f>+M60+N54</f>
        <v>-141098.81768469693</v>
      </c>
      <c r="O60" s="2">
        <f>+N60+O54</f>
        <v>-187376.61785335856</v>
      </c>
      <c r="P60" s="2">
        <f>+O60+P54</f>
        <v>-225942.21759206182</v>
      </c>
      <c r="Q60" s="2">
        <f>+P60+Q54</f>
        <v>-253485.15537053009</v>
      </c>
      <c r="R60" s="2">
        <f>+Q60+R54</f>
        <v>-263054.41179640498</v>
      </c>
      <c r="S60" s="2">
        <f>+R60+S54</f>
        <v>-249277.57281745091</v>
      </c>
      <c r="T60" s="2">
        <f>+S60+T54</f>
        <v>-206057.64079456439</v>
      </c>
      <c r="U60" s="2">
        <f>+T60+U54</f>
        <v>-123227.10600871987</v>
      </c>
      <c r="W60" s="3" t="s">
        <v>43</v>
      </c>
      <c r="X60" s="3">
        <f>NPV(X57,K54:DI54)</f>
        <v>257121.71605383803</v>
      </c>
    </row>
    <row r="61" spans="2:113" s="2" customFormat="1" x14ac:dyDescent="0.25">
      <c r="B61" s="2" t="s">
        <v>37</v>
      </c>
      <c r="J61" s="2">
        <v>13630</v>
      </c>
      <c r="K61" s="2">
        <v>0</v>
      </c>
      <c r="W61" s="2" t="s">
        <v>44</v>
      </c>
      <c r="X61" s="2">
        <f>+K60</f>
        <v>25000</v>
      </c>
    </row>
    <row r="62" spans="2:113" s="2" customFormat="1" x14ac:dyDescent="0.25">
      <c r="B62" s="2" t="s">
        <v>38</v>
      </c>
      <c r="J62" s="2">
        <v>38280</v>
      </c>
      <c r="K62" s="2">
        <v>31427</v>
      </c>
      <c r="W62" s="2" t="s">
        <v>45</v>
      </c>
      <c r="X62" s="2">
        <f>+X60+X61</f>
        <v>282121.71605383803</v>
      </c>
    </row>
    <row r="63" spans="2:113" s="2" customFormat="1" x14ac:dyDescent="0.25">
      <c r="B63" s="2" t="s">
        <v>39</v>
      </c>
      <c r="J63" s="2">
        <v>38671</v>
      </c>
      <c r="K63" s="2">
        <v>37661</v>
      </c>
    </row>
    <row r="64" spans="2:113" s="2" customFormat="1" x14ac:dyDescent="0.25"/>
    <row r="65" spans="2:21" s="2" customFormat="1" x14ac:dyDescent="0.25">
      <c r="B65" s="2" t="s">
        <v>56</v>
      </c>
      <c r="H65" s="2">
        <v>7386</v>
      </c>
      <c r="I65" s="2">
        <v>208865</v>
      </c>
      <c r="J65" s="2">
        <v>26396</v>
      </c>
      <c r="K65" s="2">
        <f>-K54</f>
        <v>70167.42</v>
      </c>
      <c r="L65" s="2">
        <f t="shared" ref="L65:U65" si="56">-L54</f>
        <v>57916.581367235762</v>
      </c>
      <c r="M65" s="2">
        <f t="shared" si="56"/>
        <v>55984.463424493784</v>
      </c>
      <c r="N65" s="2">
        <f t="shared" si="56"/>
        <v>52197.772892967376</v>
      </c>
      <c r="O65" s="2">
        <f t="shared" si="56"/>
        <v>46277.800168661626</v>
      </c>
      <c r="P65" s="2">
        <f t="shared" si="56"/>
        <v>38565.599738703248</v>
      </c>
      <c r="Q65" s="2">
        <f t="shared" si="56"/>
        <v>27542.937778468269</v>
      </c>
      <c r="R65" s="2">
        <f t="shared" si="56"/>
        <v>9569.2564258749117</v>
      </c>
    </row>
    <row r="66" spans="2:21" s="2" customFormat="1" x14ac:dyDescent="0.25">
      <c r="B66" s="2" t="s">
        <v>60</v>
      </c>
      <c r="K66" s="2">
        <f>+K65/K69 /1000</f>
        <v>51.593691176470578</v>
      </c>
      <c r="L66" s="2">
        <f t="shared" ref="L66:R66" si="57">+L65/L69 /1000</f>
        <v>61.689954745527515</v>
      </c>
      <c r="M66" s="2">
        <f t="shared" si="57"/>
        <v>81.770923758061926</v>
      </c>
      <c r="N66" s="2">
        <f t="shared" si="57"/>
        <v>103.6007241682213</v>
      </c>
      <c r="O66" s="2">
        <f t="shared" si="57"/>
        <v>122.58434341889259</v>
      </c>
      <c r="P66" s="2">
        <f t="shared" si="57"/>
        <v>132.4603846601641</v>
      </c>
      <c r="Q66" s="2">
        <f t="shared" si="57"/>
        <v>117.98794636641215</v>
      </c>
      <c r="R66" s="2">
        <f>+R65/R69 /1000</f>
        <v>48.230154586476417</v>
      </c>
    </row>
    <row r="67" spans="2:21" s="2" customFormat="1" x14ac:dyDescent="0.25">
      <c r="B67" s="2" t="s">
        <v>58</v>
      </c>
      <c r="K67" s="2">
        <v>156000</v>
      </c>
      <c r="L67" s="2">
        <f>+K67+0</f>
        <v>156000</v>
      </c>
      <c r="M67" s="2">
        <f t="shared" ref="M67:T67" si="58">+L67+0</f>
        <v>156000</v>
      </c>
      <c r="N67" s="2">
        <f t="shared" si="58"/>
        <v>156000</v>
      </c>
      <c r="O67" s="2">
        <f t="shared" si="58"/>
        <v>156000</v>
      </c>
      <c r="P67" s="2">
        <f t="shared" si="58"/>
        <v>156000</v>
      </c>
      <c r="Q67" s="2">
        <f t="shared" si="58"/>
        <v>156000</v>
      </c>
      <c r="R67" s="2">
        <f t="shared" si="58"/>
        <v>156000</v>
      </c>
      <c r="S67" s="2">
        <f t="shared" si="58"/>
        <v>156000</v>
      </c>
      <c r="T67" s="2">
        <f t="shared" si="58"/>
        <v>156000</v>
      </c>
      <c r="U67" s="2">
        <f>+T67+0</f>
        <v>156000</v>
      </c>
    </row>
    <row r="68" spans="2:21" s="2" customFormat="1" x14ac:dyDescent="0.25">
      <c r="B68" s="2" t="s">
        <v>57</v>
      </c>
      <c r="K68" s="2">
        <v>114.57</v>
      </c>
      <c r="L68" s="2">
        <f>+K68+K66</f>
        <v>166.16369117647056</v>
      </c>
      <c r="M68" s="2">
        <f t="shared" ref="M68:U68" si="59">+L68+L66</f>
        <v>227.85364592199807</v>
      </c>
      <c r="N68" s="2">
        <f t="shared" si="59"/>
        <v>309.62456968006001</v>
      </c>
      <c r="O68" s="2">
        <f t="shared" si="59"/>
        <v>413.2252938482813</v>
      </c>
      <c r="P68" s="2">
        <f t="shared" si="59"/>
        <v>535.80963726717391</v>
      </c>
      <c r="Q68" s="2">
        <f t="shared" si="59"/>
        <v>668.27002192733801</v>
      </c>
      <c r="R68" s="2">
        <f t="shared" si="59"/>
        <v>786.2579682937502</v>
      </c>
      <c r="S68" s="2">
        <f t="shared" si="59"/>
        <v>834.48812288022657</v>
      </c>
      <c r="T68" s="2">
        <f t="shared" si="59"/>
        <v>834.48812288022657</v>
      </c>
      <c r="U68" s="2">
        <f t="shared" si="59"/>
        <v>834.48812288022657</v>
      </c>
    </row>
    <row r="69" spans="2:21" s="9" customFormat="1" x14ac:dyDescent="0.25">
      <c r="B69" s="9" t="s">
        <v>59</v>
      </c>
      <c r="K69" s="9">
        <v>1.36</v>
      </c>
      <c r="L69" s="9">
        <f>+L67/L68 /1000</f>
        <v>0.93883326071712958</v>
      </c>
      <c r="M69" s="9">
        <f t="shared" ref="M69:U69" si="60">+M67/M68 /1000</f>
        <v>0.68465000579101554</v>
      </c>
      <c r="N69" s="9">
        <f t="shared" si="60"/>
        <v>0.50383598485481074</v>
      </c>
      <c r="O69" s="9">
        <f t="shared" si="60"/>
        <v>0.37751803271093209</v>
      </c>
      <c r="P69" s="9">
        <f t="shared" si="60"/>
        <v>0.29114817866221548</v>
      </c>
      <c r="Q69" s="9">
        <f t="shared" si="60"/>
        <v>0.23343857255497558</v>
      </c>
      <c r="R69" s="9">
        <f t="shared" si="60"/>
        <v>0.19840816410234149</v>
      </c>
      <c r="S69" s="9">
        <f t="shared" si="60"/>
        <v>0.18694094705814113</v>
      </c>
      <c r="T69" s="9">
        <f t="shared" si="60"/>
        <v>0.18694094705814113</v>
      </c>
      <c r="U69" s="9">
        <f t="shared" si="60"/>
        <v>0.18694094705814113</v>
      </c>
    </row>
    <row r="70" spans="2:21" s="2" customFormat="1" x14ac:dyDescent="0.25"/>
    <row r="71" spans="2:21" s="2" customFormat="1" x14ac:dyDescent="0.25"/>
    <row r="72" spans="2:21" s="2" customFormat="1" x14ac:dyDescent="0.25"/>
    <row r="73" spans="2:21" s="2" customFormat="1" x14ac:dyDescent="0.25"/>
    <row r="74" spans="2:21" s="2" customFormat="1" x14ac:dyDescent="0.25"/>
    <row r="75" spans="2:21" s="2" customFormat="1" x14ac:dyDescent="0.25"/>
    <row r="76" spans="2:21" s="2" customFormat="1" x14ac:dyDescent="0.25"/>
    <row r="77" spans="2:21" s="2" customFormat="1" x14ac:dyDescent="0.25"/>
    <row r="78" spans="2:21" s="2" customFormat="1" x14ac:dyDescent="0.25"/>
    <row r="79" spans="2:21" s="2" customFormat="1" x14ac:dyDescent="0.25"/>
    <row r="80" spans="2:21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2025-11-19T22:37:59Z</dcterms:created>
  <dcterms:modified xsi:type="dcterms:W3CDTF">2025-11-20T00:01:12Z</dcterms:modified>
</cp:coreProperties>
</file>