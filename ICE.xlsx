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874FAE4-5B68-46F5-9D59-AFFB14D76688}" xr6:coauthVersionLast="47" xr6:coauthVersionMax="47" xr10:uidLastSave="{00000000-0000-0000-0000-000000000000}"/>
  <bookViews>
    <workbookView xWindow="-120" yWindow="-120" windowWidth="29040" windowHeight="15840" xr2:uid="{D69B3542-6182-45D1-BC59-437A8ACC1228}"/>
  </bookViews>
  <sheets>
    <sheet name="Sheet1" sheetId="1" r:id="rId1"/>
  </sheets>
  <definedNames>
    <definedName name="TR">Sheet1!$T$43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" i="1" l="1"/>
  <c r="L30" i="1" s="1"/>
  <c r="M30" i="1" s="1"/>
  <c r="N30" i="1" s="1"/>
  <c r="O30" i="1" s="1"/>
  <c r="P30" i="1" s="1"/>
  <c r="Q30" i="1" s="1"/>
  <c r="K31" i="1"/>
  <c r="L31" i="1" s="1"/>
  <c r="M31" i="1" s="1"/>
  <c r="N31" i="1" s="1"/>
  <c r="O31" i="1" s="1"/>
  <c r="P31" i="1" s="1"/>
  <c r="Q31" i="1" s="1"/>
  <c r="J24" i="1"/>
  <c r="K24" i="1" s="1"/>
  <c r="L24" i="1" s="1"/>
  <c r="M24" i="1" s="1"/>
  <c r="N24" i="1" s="1"/>
  <c r="O24" i="1" s="1"/>
  <c r="P24" i="1" s="1"/>
  <c r="Q24" i="1" s="1"/>
  <c r="J13" i="1"/>
  <c r="K13" i="1" s="1"/>
  <c r="J14" i="1"/>
  <c r="J9" i="1" s="1"/>
  <c r="J15" i="1"/>
  <c r="J10" i="1" s="1"/>
  <c r="I8" i="1"/>
  <c r="I9" i="1"/>
  <c r="I10" i="1"/>
  <c r="H10" i="1"/>
  <c r="H9" i="1"/>
  <c r="H8" i="1"/>
  <c r="I53" i="1"/>
  <c r="I55" i="1" s="1"/>
  <c r="H53" i="1"/>
  <c r="H55" i="1" s="1"/>
  <c r="H52" i="1"/>
  <c r="I52" i="1"/>
  <c r="I49" i="1"/>
  <c r="I50" i="1" s="1"/>
  <c r="H49" i="1"/>
  <c r="H50" i="1" s="1"/>
  <c r="G49" i="1"/>
  <c r="G50" i="1" s="1"/>
  <c r="I28" i="1"/>
  <c r="I17" i="1"/>
  <c r="I20" i="1" s="1"/>
  <c r="I41" i="1" s="1"/>
  <c r="H28" i="1"/>
  <c r="H17" i="1"/>
  <c r="H20" i="1" s="1"/>
  <c r="H41" i="1" s="1"/>
  <c r="G28" i="1"/>
  <c r="G17" i="1"/>
  <c r="G20" i="1" s="1"/>
  <c r="G41" i="1" s="1"/>
  <c r="H2" i="1"/>
  <c r="I2" i="1" s="1"/>
  <c r="J2" i="1" s="1"/>
  <c r="K2" i="1" s="1"/>
  <c r="L2" i="1" s="1"/>
  <c r="M2" i="1" s="1"/>
  <c r="N2" i="1" s="1"/>
  <c r="O2" i="1" s="1"/>
  <c r="P2" i="1" s="1"/>
  <c r="Q2" i="1" s="1"/>
  <c r="C28" i="1"/>
  <c r="C17" i="1"/>
  <c r="C20" i="1" s="1"/>
  <c r="C29" i="1" l="1"/>
  <c r="C33" i="1" s="1"/>
  <c r="C35" i="1" s="1"/>
  <c r="L13" i="1"/>
  <c r="K22" i="1"/>
  <c r="J22" i="1"/>
  <c r="K15" i="1"/>
  <c r="L15" i="1" s="1"/>
  <c r="M15" i="1" s="1"/>
  <c r="N15" i="1" s="1"/>
  <c r="O15" i="1" s="1"/>
  <c r="P15" i="1" s="1"/>
  <c r="Q15" i="1" s="1"/>
  <c r="Q10" i="1" s="1"/>
  <c r="K14" i="1"/>
  <c r="L14" i="1" s="1"/>
  <c r="M14" i="1" s="1"/>
  <c r="N14" i="1" s="1"/>
  <c r="O14" i="1" s="1"/>
  <c r="P14" i="1" s="1"/>
  <c r="Q14" i="1" s="1"/>
  <c r="Q9" i="1" s="1"/>
  <c r="H11" i="1"/>
  <c r="I11" i="1"/>
  <c r="J8" i="1"/>
  <c r="L8" i="1"/>
  <c r="K8" i="1"/>
  <c r="J17" i="1"/>
  <c r="J21" i="1" s="1"/>
  <c r="I29" i="1"/>
  <c r="I33" i="1" s="1"/>
  <c r="H29" i="1"/>
  <c r="H33" i="1" s="1"/>
  <c r="G29" i="1"/>
  <c r="G33" i="1" s="1"/>
  <c r="L10" i="1" l="1"/>
  <c r="M10" i="1"/>
  <c r="N10" i="1"/>
  <c r="O10" i="1"/>
  <c r="P10" i="1"/>
  <c r="H35" i="1"/>
  <c r="H37" i="1" s="1"/>
  <c r="H38" i="1" s="1"/>
  <c r="H42" i="1"/>
  <c r="O9" i="1"/>
  <c r="G35" i="1"/>
  <c r="G37" i="1" s="1"/>
  <c r="G42" i="1"/>
  <c r="L9" i="1"/>
  <c r="M9" i="1"/>
  <c r="N9" i="1"/>
  <c r="K17" i="1"/>
  <c r="K21" i="1" s="1"/>
  <c r="K9" i="1"/>
  <c r="I35" i="1"/>
  <c r="I37" i="1" s="1"/>
  <c r="I38" i="1" s="1"/>
  <c r="I46" i="1" s="1"/>
  <c r="I42" i="1"/>
  <c r="P9" i="1"/>
  <c r="K10" i="1"/>
  <c r="M13" i="1"/>
  <c r="M17" i="1" s="1"/>
  <c r="M21" i="1" s="1"/>
  <c r="L22" i="1"/>
  <c r="J25" i="1"/>
  <c r="J26" i="1"/>
  <c r="J20" i="1"/>
  <c r="J11" i="1"/>
  <c r="L17" i="1"/>
  <c r="L21" i="1" s="1"/>
  <c r="H43" i="1" l="1"/>
  <c r="G43" i="1"/>
  <c r="K11" i="1"/>
  <c r="K20" i="1"/>
  <c r="N13" i="1"/>
  <c r="M22" i="1"/>
  <c r="M8" i="1"/>
  <c r="I43" i="1"/>
  <c r="K25" i="1"/>
  <c r="K26" i="1"/>
  <c r="M26" i="1"/>
  <c r="M20" i="1"/>
  <c r="M25" i="1"/>
  <c r="J28" i="1"/>
  <c r="J29" i="1" s="1"/>
  <c r="J33" i="1" s="1"/>
  <c r="J34" i="1" s="1"/>
  <c r="L26" i="1"/>
  <c r="L20" i="1"/>
  <c r="L25" i="1"/>
  <c r="L28" i="1"/>
  <c r="L11" i="1"/>
  <c r="M11" i="1"/>
  <c r="N17" i="1"/>
  <c r="N21" i="1" s="1"/>
  <c r="K28" i="1" l="1"/>
  <c r="K29" i="1" s="1"/>
  <c r="K33" i="1" s="1"/>
  <c r="K34" i="1" s="1"/>
  <c r="K35" i="1" s="1"/>
  <c r="M28" i="1"/>
  <c r="O13" i="1"/>
  <c r="O17" i="1" s="1"/>
  <c r="O21" i="1" s="1"/>
  <c r="N22" i="1"/>
  <c r="N8" i="1"/>
  <c r="L29" i="1"/>
  <c r="L33" i="1" s="1"/>
  <c r="L34" i="1" s="1"/>
  <c r="M29" i="1"/>
  <c r="M33" i="1" s="1"/>
  <c r="M34" i="1" s="1"/>
  <c r="J35" i="1"/>
  <c r="J45" i="1" s="1"/>
  <c r="J42" i="1"/>
  <c r="N26" i="1"/>
  <c r="N25" i="1"/>
  <c r="N20" i="1"/>
  <c r="N11" i="1"/>
  <c r="K42" i="1" l="1"/>
  <c r="N28" i="1"/>
  <c r="N29" i="1" s="1"/>
  <c r="N33" i="1" s="1"/>
  <c r="N34" i="1" s="1"/>
  <c r="K45" i="1"/>
  <c r="K43" i="1"/>
  <c r="K37" i="1"/>
  <c r="K38" i="1" s="1"/>
  <c r="K46" i="1" s="1"/>
  <c r="P13" i="1"/>
  <c r="O22" i="1"/>
  <c r="O8" i="1"/>
  <c r="J43" i="1"/>
  <c r="J37" i="1"/>
  <c r="J38" i="1" s="1"/>
  <c r="J46" i="1" s="1"/>
  <c r="N35" i="1"/>
  <c r="N42" i="1"/>
  <c r="M35" i="1"/>
  <c r="M42" i="1"/>
  <c r="L35" i="1"/>
  <c r="L45" i="1" s="1"/>
  <c r="L42" i="1"/>
  <c r="O25" i="1"/>
  <c r="O26" i="1"/>
  <c r="O20" i="1"/>
  <c r="O11" i="1"/>
  <c r="P17" i="1"/>
  <c r="P21" i="1" s="1"/>
  <c r="M45" i="1" l="1"/>
  <c r="N45" i="1"/>
  <c r="Q13" i="1"/>
  <c r="P22" i="1"/>
  <c r="P8" i="1"/>
  <c r="L43" i="1"/>
  <c r="L37" i="1"/>
  <c r="L38" i="1" s="1"/>
  <c r="L46" i="1" s="1"/>
  <c r="M43" i="1"/>
  <c r="M37" i="1"/>
  <c r="M38" i="1" s="1"/>
  <c r="M46" i="1" s="1"/>
  <c r="N43" i="1"/>
  <c r="N37" i="1"/>
  <c r="N38" i="1" s="1"/>
  <c r="N46" i="1" s="1"/>
  <c r="P25" i="1"/>
  <c r="P26" i="1"/>
  <c r="P20" i="1"/>
  <c r="O28" i="1"/>
  <c r="O29" i="1" s="1"/>
  <c r="O33" i="1" s="1"/>
  <c r="O34" i="1" s="1"/>
  <c r="P11" i="1"/>
  <c r="P28" i="1" l="1"/>
  <c r="Q22" i="1"/>
  <c r="Q8" i="1"/>
  <c r="Q17" i="1"/>
  <c r="P29" i="1"/>
  <c r="P33" i="1" s="1"/>
  <c r="P34" i="1" s="1"/>
  <c r="O35" i="1"/>
  <c r="O45" i="1" s="1"/>
  <c r="O42" i="1"/>
  <c r="P42" i="1" l="1"/>
  <c r="P35" i="1"/>
  <c r="P45" i="1" s="1"/>
  <c r="Q21" i="1"/>
  <c r="Q26" i="1"/>
  <c r="Q25" i="1"/>
  <c r="Q20" i="1"/>
  <c r="Q11" i="1"/>
  <c r="P43" i="1"/>
  <c r="P37" i="1"/>
  <c r="P38" i="1" s="1"/>
  <c r="P46" i="1" s="1"/>
  <c r="O43" i="1"/>
  <c r="O37" i="1"/>
  <c r="O38" i="1" s="1"/>
  <c r="O46" i="1" s="1"/>
  <c r="Q28" i="1" l="1"/>
  <c r="Q29" i="1" s="1"/>
  <c r="Q33" i="1" s="1"/>
  <c r="Q34" i="1" l="1"/>
  <c r="Q35" i="1"/>
  <c r="Q45" i="1" s="1"/>
  <c r="Q42" i="1"/>
  <c r="R35" i="1" l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Q43" i="1"/>
  <c r="Q37" i="1"/>
  <c r="Q38" i="1" s="1"/>
  <c r="Q46" i="1" s="1"/>
  <c r="T44" i="1" l="1"/>
  <c r="T46" i="1" s="1"/>
  <c r="T47" i="1" s="1"/>
</calcChain>
</file>

<file path=xl/sharedStrings.xml><?xml version="1.0" encoding="utf-8"?>
<sst xmlns="http://schemas.openxmlformats.org/spreadsheetml/2006/main" count="48" uniqueCount="45">
  <si>
    <t>Exchanges</t>
  </si>
  <si>
    <t>Fixed Income and Data Services</t>
  </si>
  <si>
    <t>Mortgage Technology</t>
  </si>
  <si>
    <t>Revenue</t>
  </si>
  <si>
    <t>Section 31 fees</t>
  </si>
  <si>
    <t>Liquidity, routing &amp; clearing</t>
  </si>
  <si>
    <t>Gross Profit</t>
  </si>
  <si>
    <t>Compensation</t>
  </si>
  <si>
    <t>Professional Services</t>
  </si>
  <si>
    <t>Integration Cost from Acquisitions</t>
  </si>
  <si>
    <t>Tech &amp; Coms</t>
  </si>
  <si>
    <t>Rent</t>
  </si>
  <si>
    <t>SG&amp;A</t>
  </si>
  <si>
    <t>D&amp;A</t>
  </si>
  <si>
    <t>Operating Expenses</t>
  </si>
  <si>
    <t>Interest Income</t>
  </si>
  <si>
    <t>Interest Expense</t>
  </si>
  <si>
    <t>EBT</t>
  </si>
  <si>
    <t>EBIT</t>
  </si>
  <si>
    <t>Taxes</t>
  </si>
  <si>
    <t>Net Income</t>
  </si>
  <si>
    <t>Other, net</t>
  </si>
  <si>
    <t>Non Controll</t>
  </si>
  <si>
    <t>Company Income</t>
  </si>
  <si>
    <t>Gross Margin</t>
  </si>
  <si>
    <t>Net Margin</t>
  </si>
  <si>
    <t>CFFO</t>
  </si>
  <si>
    <t>CapEx</t>
  </si>
  <si>
    <t>FCF</t>
  </si>
  <si>
    <t>Cash</t>
  </si>
  <si>
    <t>Debt</t>
  </si>
  <si>
    <t>Cost of Debt</t>
  </si>
  <si>
    <t>Growth</t>
  </si>
  <si>
    <t>Total</t>
  </si>
  <si>
    <t>EBIT Margin</t>
  </si>
  <si>
    <t>Terminal</t>
  </si>
  <si>
    <t>Discount</t>
  </si>
  <si>
    <t>NPV</t>
  </si>
  <si>
    <t>Net Cash</t>
  </si>
  <si>
    <t>Value</t>
  </si>
  <si>
    <t>Income Y/Y</t>
  </si>
  <si>
    <t>Shares</t>
  </si>
  <si>
    <t>EPS</t>
  </si>
  <si>
    <t>Price at 20PE</t>
  </si>
  <si>
    <t>Polymarket (22%)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</si>
</sst>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185057</xdr:rowOff>
    </xdr:from>
    <xdr:to>
      <xdr:col>9</xdr:col>
      <xdr:colOff>5443</xdr:colOff>
      <xdr:row>55</xdr:row>
      <xdr:rowOff>5443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D77EDA-A198-B93A-DF31-A763EEA44B2D}"/>
            </a:ext>
          </a:extLst>
        </xdr:cNvPr>
        <xdr:cNvCxnSpPr/>
      </xdr:nvCxnSpPr>
      <xdr:spPr>
        <a:xfrm>
          <a:off x="5562600" y="2280557"/>
          <a:ext cx="5443" cy="8202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3C52-62C4-488F-9BF5-B96A96583F3C}">
  <dimension ref="B2:ED134"/>
  <sheetViews>
    <sheetView tabSelected="1" zoomScale="175" zoomScaleNormal="175" workbookViewId="0">
      <pane xSplit="2" ySplit="2" topLeftCell="G30" activePane="bottomRight" state="frozen"/>
      <selection pane="topRight" activeCell="C1" sqref="C1"/>
      <selection pane="bottomLeft" activeCell="A3" sqref="A3"/>
      <selection pane="bottomRight" activeCell="T45" sqref="T45"/>
    </sheetView>
  </sheetViews>
  <sheetFormatPr defaultRowHeight="15" x14ac:dyDescent="0.25"/>
  <cols>
    <col min="1" max="1" width="3" customWidth="1"/>
    <col min="2" max="2" width="16.42578125" customWidth="1"/>
  </cols>
  <sheetData>
    <row r="2" spans="2:17" x14ac:dyDescent="0.25">
      <c r="G2">
        <v>2022</v>
      </c>
      <c r="H2">
        <f>+G2+1</f>
        <v>2023</v>
      </c>
      <c r="I2">
        <f>+H2+1</f>
        <v>2024</v>
      </c>
      <c r="J2">
        <f t="shared" ref="J2:Q2" si="0">+I2+1</f>
        <v>2025</v>
      </c>
      <c r="K2">
        <f t="shared" si="0"/>
        <v>2026</v>
      </c>
      <c r="L2">
        <f t="shared" si="0"/>
        <v>2027</v>
      </c>
      <c r="M2">
        <f t="shared" si="0"/>
        <v>2028</v>
      </c>
      <c r="N2">
        <f t="shared" si="0"/>
        <v>2029</v>
      </c>
      <c r="O2">
        <f t="shared" si="0"/>
        <v>2030</v>
      </c>
      <c r="P2">
        <f>+O2+1</f>
        <v>2031</v>
      </c>
      <c r="Q2">
        <f t="shared" si="0"/>
        <v>2032</v>
      </c>
    </row>
    <row r="3" spans="2:17" s="1" customFormat="1" x14ac:dyDescent="0.25"/>
    <row r="4" spans="2:17" s="1" customFormat="1" x14ac:dyDescent="0.25"/>
    <row r="5" spans="2:17" s="1" customFormat="1" x14ac:dyDescent="0.25"/>
    <row r="6" spans="2:17" s="1" customFormat="1" x14ac:dyDescent="0.25"/>
    <row r="7" spans="2:17" s="1" customFormat="1" x14ac:dyDescent="0.25">
      <c r="B7" s="1" t="s">
        <v>32</v>
      </c>
    </row>
    <row r="8" spans="2:17" s="3" customFormat="1" x14ac:dyDescent="0.25">
      <c r="B8" s="3" t="s">
        <v>0</v>
      </c>
      <c r="H8" s="4">
        <f t="shared" ref="H8:I10" si="1">+H13/G13 -1</f>
        <v>-9.3530787217459554E-3</v>
      </c>
      <c r="I8" s="4">
        <f t="shared" si="1"/>
        <v>0.17088906372934698</v>
      </c>
      <c r="J8" s="4">
        <f t="shared" ref="J8:Q8" si="2">+J13/I13 -1</f>
        <v>6.0000000000000053E-2</v>
      </c>
      <c r="K8" s="4">
        <f t="shared" si="2"/>
        <v>6.0000000000000053E-2</v>
      </c>
      <c r="L8" s="4">
        <f t="shared" si="2"/>
        <v>6.0000000000000053E-2</v>
      </c>
      <c r="M8" s="4">
        <f t="shared" si="2"/>
        <v>6.0000000000000053E-2</v>
      </c>
      <c r="N8" s="4">
        <f t="shared" si="2"/>
        <v>6.0000000000000053E-2</v>
      </c>
      <c r="O8" s="4">
        <f t="shared" si="2"/>
        <v>6.0000000000000053E-2</v>
      </c>
      <c r="P8" s="4">
        <f t="shared" si="2"/>
        <v>6.0000000000000053E-2</v>
      </c>
      <c r="Q8" s="4">
        <f t="shared" si="2"/>
        <v>6.0000000000000053E-2</v>
      </c>
    </row>
    <row r="9" spans="2:17" s="3" customFormat="1" x14ac:dyDescent="0.25">
      <c r="B9" s="3" t="s">
        <v>1</v>
      </c>
      <c r="H9" s="4">
        <f t="shared" si="1"/>
        <v>6.6443594646271587E-2</v>
      </c>
      <c r="I9" s="4">
        <f t="shared" si="1"/>
        <v>3.0031376064544979E-2</v>
      </c>
      <c r="J9" s="4">
        <f t="shared" ref="J9:Q9" si="3">+J14/I14 -1</f>
        <v>8.0000000000000071E-2</v>
      </c>
      <c r="K9" s="4">
        <f t="shared" si="3"/>
        <v>8.0000000000000071E-2</v>
      </c>
      <c r="L9" s="4">
        <f t="shared" si="3"/>
        <v>8.0000000000000071E-2</v>
      </c>
      <c r="M9" s="4">
        <f t="shared" si="3"/>
        <v>8.0000000000000071E-2</v>
      </c>
      <c r="N9" s="4">
        <f t="shared" si="3"/>
        <v>8.0000000000000071E-2</v>
      </c>
      <c r="O9" s="4">
        <f t="shared" si="3"/>
        <v>8.0000000000000071E-2</v>
      </c>
      <c r="P9" s="4">
        <f t="shared" si="3"/>
        <v>8.0000000000000071E-2</v>
      </c>
      <c r="Q9" s="4">
        <f t="shared" si="3"/>
        <v>8.0000000000000071E-2</v>
      </c>
    </row>
    <row r="10" spans="2:17" s="3" customFormat="1" x14ac:dyDescent="0.25">
      <c r="B10" s="3" t="s">
        <v>2</v>
      </c>
      <c r="H10" s="4">
        <f t="shared" si="1"/>
        <v>0.16651904340124002</v>
      </c>
      <c r="I10" s="4">
        <f t="shared" si="1"/>
        <v>0.53530751708428248</v>
      </c>
      <c r="J10" s="4">
        <f t="shared" ref="J10:Q10" si="4">+J15/I15 -1</f>
        <v>5.0000000000000044E-2</v>
      </c>
      <c r="K10" s="4">
        <f t="shared" si="4"/>
        <v>5.0000000000000044E-2</v>
      </c>
      <c r="L10" s="4">
        <f t="shared" si="4"/>
        <v>5.0000000000000044E-2</v>
      </c>
      <c r="M10" s="4">
        <f t="shared" si="4"/>
        <v>5.0000000000000044E-2</v>
      </c>
      <c r="N10" s="4">
        <f t="shared" si="4"/>
        <v>5.0000000000000044E-2</v>
      </c>
      <c r="O10" s="4">
        <f t="shared" si="4"/>
        <v>5.0000000000000044E-2</v>
      </c>
      <c r="P10" s="4">
        <f t="shared" si="4"/>
        <v>5.0000000000000044E-2</v>
      </c>
      <c r="Q10" s="4">
        <f t="shared" si="4"/>
        <v>5.0000000000000044E-2</v>
      </c>
    </row>
    <row r="11" spans="2:17" s="3" customFormat="1" x14ac:dyDescent="0.25">
      <c r="B11" s="3" t="s">
        <v>33</v>
      </c>
      <c r="H11" s="4">
        <f>+H17/G17 -1</f>
        <v>2.7708592777085927E-2</v>
      </c>
      <c r="I11" s="4">
        <f>+I17/H17 -1</f>
        <v>0.18761991315762905</v>
      </c>
      <c r="J11" s="4">
        <f t="shared" ref="J11:Q11" si="5">+J17/I17 -1</f>
        <v>6.2188589405662853E-2</v>
      </c>
      <c r="K11" s="4">
        <f t="shared" si="5"/>
        <v>6.2273846498671181E-2</v>
      </c>
      <c r="L11" s="4">
        <f t="shared" si="5"/>
        <v>6.235978662747832E-2</v>
      </c>
      <c r="M11" s="4">
        <f t="shared" si="5"/>
        <v>6.2446408352573979E-2</v>
      </c>
      <c r="N11" s="4">
        <f t="shared" si="5"/>
        <v>6.2533709910413515E-2</v>
      </c>
      <c r="O11" s="4">
        <f t="shared" si="5"/>
        <v>6.2621689207473796E-2</v>
      </c>
      <c r="P11" s="4">
        <f t="shared" si="5"/>
        <v>6.2710343814509573E-2</v>
      </c>
      <c r="Q11" s="4">
        <f t="shared" si="5"/>
        <v>6.2799670961023679E-2</v>
      </c>
    </row>
    <row r="12" spans="2:17" s="4" customFormat="1" x14ac:dyDescent="0.25"/>
    <row r="13" spans="2:17" s="1" customFormat="1" x14ac:dyDescent="0.25">
      <c r="B13" s="1" t="s">
        <v>0</v>
      </c>
      <c r="G13" s="1">
        <v>6415</v>
      </c>
      <c r="H13" s="1">
        <v>6355</v>
      </c>
      <c r="I13" s="1">
        <v>7441</v>
      </c>
      <c r="J13" s="1">
        <f>+I13*1.06</f>
        <v>7887.46</v>
      </c>
      <c r="K13" s="1">
        <f t="shared" ref="K13:Q13" si="6">+J13*1.06</f>
        <v>8360.7075999999997</v>
      </c>
      <c r="L13" s="1">
        <f t="shared" si="6"/>
        <v>8862.3500559999993</v>
      </c>
      <c r="M13" s="1">
        <f t="shared" si="6"/>
        <v>9394.0910593600001</v>
      </c>
      <c r="N13" s="1">
        <f t="shared" si="6"/>
        <v>9957.7365229216011</v>
      </c>
      <c r="O13" s="1">
        <f t="shared" si="6"/>
        <v>10555.200714296898</v>
      </c>
      <c r="P13" s="1">
        <f t="shared" si="6"/>
        <v>11188.512757154713</v>
      </c>
      <c r="Q13" s="1">
        <f t="shared" si="6"/>
        <v>11859.823522583996</v>
      </c>
    </row>
    <row r="14" spans="2:17" s="1" customFormat="1" x14ac:dyDescent="0.25">
      <c r="B14" s="1" t="s">
        <v>1</v>
      </c>
      <c r="G14" s="1">
        <v>2092</v>
      </c>
      <c r="H14" s="1">
        <v>2231</v>
      </c>
      <c r="I14" s="1">
        <v>2298</v>
      </c>
      <c r="J14" s="1">
        <f>+I14*1.08</f>
        <v>2481.84</v>
      </c>
      <c r="K14" s="1">
        <f t="shared" ref="K14:Q14" si="7">+J14*1.08</f>
        <v>2680.3872000000001</v>
      </c>
      <c r="L14" s="1">
        <f t="shared" si="7"/>
        <v>2894.8181760000002</v>
      </c>
      <c r="M14" s="1">
        <f t="shared" si="7"/>
        <v>3126.4036300800003</v>
      </c>
      <c r="N14" s="1">
        <f t="shared" si="7"/>
        <v>3376.5159204864008</v>
      </c>
      <c r="O14" s="1">
        <f t="shared" si="7"/>
        <v>3646.6371941253133</v>
      </c>
      <c r="P14" s="1">
        <f t="shared" si="7"/>
        <v>3938.3681696553385</v>
      </c>
      <c r="Q14" s="1">
        <f t="shared" si="7"/>
        <v>4253.4376232277655</v>
      </c>
    </row>
    <row r="15" spans="2:17" s="1" customFormat="1" x14ac:dyDescent="0.25">
      <c r="B15" s="1" t="s">
        <v>2</v>
      </c>
      <c r="G15" s="1">
        <v>1129</v>
      </c>
      <c r="H15" s="1">
        <v>1317</v>
      </c>
      <c r="I15" s="1">
        <v>2022</v>
      </c>
      <c r="J15" s="1">
        <f>+I15*1.05</f>
        <v>2123.1</v>
      </c>
      <c r="K15" s="1">
        <f t="shared" ref="K15:Q15" si="8">+J15*1.05</f>
        <v>2229.2550000000001</v>
      </c>
      <c r="L15" s="1">
        <f t="shared" si="8"/>
        <v>2340.7177500000003</v>
      </c>
      <c r="M15" s="1">
        <f t="shared" si="8"/>
        <v>2457.7536375000004</v>
      </c>
      <c r="N15" s="1">
        <f t="shared" si="8"/>
        <v>2580.6413193750004</v>
      </c>
      <c r="O15" s="1">
        <f t="shared" si="8"/>
        <v>2709.6733853437504</v>
      </c>
      <c r="P15" s="1">
        <f t="shared" si="8"/>
        <v>2845.1570546109378</v>
      </c>
      <c r="Q15" s="1">
        <f t="shared" si="8"/>
        <v>2987.4149073414846</v>
      </c>
    </row>
    <row r="16" spans="2:17" s="1" customFormat="1" x14ac:dyDescent="0.25">
      <c r="B16" s="1" t="s">
        <v>44</v>
      </c>
    </row>
    <row r="17" spans="2:17" s="2" customFormat="1" x14ac:dyDescent="0.25">
      <c r="B17" s="2" t="s">
        <v>3</v>
      </c>
      <c r="C17" s="2">
        <f>+C13+C14+C15</f>
        <v>0</v>
      </c>
      <c r="G17" s="2">
        <f>+G13+G14+G15</f>
        <v>9636</v>
      </c>
      <c r="H17" s="2">
        <f>+H13+H14+H15</f>
        <v>9903</v>
      </c>
      <c r="I17" s="2">
        <f>+I13+I14+I15</f>
        <v>11761</v>
      </c>
      <c r="J17" s="2">
        <f>+J13+J14+J15</f>
        <v>12492.4</v>
      </c>
      <c r="K17" s="2">
        <f t="shared" ref="K17:Q17" si="9">+K13+K14+K15</f>
        <v>13270.3498</v>
      </c>
      <c r="L17" s="2">
        <f t="shared" si="9"/>
        <v>14097.885982</v>
      </c>
      <c r="M17" s="2">
        <f t="shared" si="9"/>
        <v>14978.24832694</v>
      </c>
      <c r="N17" s="2">
        <f t="shared" si="9"/>
        <v>15914.893762783002</v>
      </c>
      <c r="O17" s="2">
        <f t="shared" si="9"/>
        <v>16911.511293765961</v>
      </c>
      <c r="P17" s="2">
        <f t="shared" si="9"/>
        <v>17972.037981420988</v>
      </c>
      <c r="Q17" s="2">
        <f t="shared" si="9"/>
        <v>19100.676053153245</v>
      </c>
    </row>
    <row r="18" spans="2:17" s="1" customFormat="1" x14ac:dyDescent="0.25">
      <c r="B18" s="1" t="s">
        <v>4</v>
      </c>
      <c r="G18" s="1">
        <v>499</v>
      </c>
      <c r="H18" s="1">
        <v>293</v>
      </c>
      <c r="I18" s="1">
        <v>679</v>
      </c>
    </row>
    <row r="19" spans="2:17" s="1" customFormat="1" x14ac:dyDescent="0.25">
      <c r="B19" s="1" t="s">
        <v>5</v>
      </c>
      <c r="G19" s="1">
        <v>1845</v>
      </c>
      <c r="H19" s="1">
        <v>1622</v>
      </c>
      <c r="I19" s="1">
        <v>1803</v>
      </c>
    </row>
    <row r="20" spans="2:17" s="1" customFormat="1" x14ac:dyDescent="0.25">
      <c r="B20" s="1" t="s">
        <v>6</v>
      </c>
      <c r="C20" s="1">
        <f>+C17-C18-C19</f>
        <v>0</v>
      </c>
      <c r="G20" s="1">
        <f>+G17-G18-G19</f>
        <v>7292</v>
      </c>
      <c r="H20" s="1">
        <f>+H17-H18-H19</f>
        <v>7988</v>
      </c>
      <c r="I20" s="1">
        <f>+I17-I18-I19</f>
        <v>9279</v>
      </c>
      <c r="J20" s="1">
        <f>+J17*0.8</f>
        <v>9993.92</v>
      </c>
      <c r="K20" s="1">
        <f t="shared" ref="K20:Q20" si="10">+K17*0.8</f>
        <v>10616.279840000001</v>
      </c>
      <c r="L20" s="1">
        <f t="shared" si="10"/>
        <v>11278.3087856</v>
      </c>
      <c r="M20" s="1">
        <f t="shared" si="10"/>
        <v>11982.598661552001</v>
      </c>
      <c r="N20" s="1">
        <f t="shared" si="10"/>
        <v>12731.915010226403</v>
      </c>
      <c r="O20" s="1">
        <f t="shared" si="10"/>
        <v>13529.209035012769</v>
      </c>
      <c r="P20" s="1">
        <f t="shared" si="10"/>
        <v>14377.630385136792</v>
      </c>
      <c r="Q20" s="1">
        <f t="shared" si="10"/>
        <v>15280.540842522598</v>
      </c>
    </row>
    <row r="21" spans="2:17" s="1" customFormat="1" x14ac:dyDescent="0.25">
      <c r="B21" s="1" t="s">
        <v>7</v>
      </c>
      <c r="G21" s="1">
        <v>1407</v>
      </c>
      <c r="H21" s="1">
        <v>1595</v>
      </c>
      <c r="I21" s="1">
        <v>1909</v>
      </c>
      <c r="J21" s="1">
        <f>+J17*0.16</f>
        <v>1998.7839999999999</v>
      </c>
      <c r="K21" s="1">
        <f t="shared" ref="K21:Q21" si="11">+K17*0.16</f>
        <v>2123.2559679999999</v>
      </c>
      <c r="L21" s="1">
        <f t="shared" si="11"/>
        <v>2255.6617571199999</v>
      </c>
      <c r="M21" s="1">
        <f t="shared" si="11"/>
        <v>2396.5197323103998</v>
      </c>
      <c r="N21" s="1">
        <f t="shared" si="11"/>
        <v>2546.3830020452801</v>
      </c>
      <c r="O21" s="1">
        <f t="shared" si="11"/>
        <v>2705.8418070025541</v>
      </c>
      <c r="P21" s="1">
        <f t="shared" si="11"/>
        <v>2875.526077027358</v>
      </c>
      <c r="Q21" s="1">
        <f t="shared" si="11"/>
        <v>3056.1081685045192</v>
      </c>
    </row>
    <row r="22" spans="2:17" s="1" customFormat="1" x14ac:dyDescent="0.25">
      <c r="B22" s="1" t="s">
        <v>8</v>
      </c>
      <c r="G22" s="1">
        <v>131</v>
      </c>
      <c r="H22" s="1">
        <v>123</v>
      </c>
      <c r="I22" s="1">
        <v>154</v>
      </c>
      <c r="J22" s="1">
        <f>+J13*0.02</f>
        <v>157.7492</v>
      </c>
      <c r="K22" s="1">
        <f t="shared" ref="K22:Q22" si="12">+K13*0.02</f>
        <v>167.21415199999998</v>
      </c>
      <c r="L22" s="1">
        <f t="shared" si="12"/>
        <v>177.24700111999999</v>
      </c>
      <c r="M22" s="1">
        <f t="shared" si="12"/>
        <v>187.88182118720002</v>
      </c>
      <c r="N22" s="1">
        <f t="shared" si="12"/>
        <v>199.15473045843203</v>
      </c>
      <c r="O22" s="1">
        <f t="shared" si="12"/>
        <v>211.10401428593795</v>
      </c>
      <c r="P22" s="1">
        <f t="shared" si="12"/>
        <v>223.77025514309426</v>
      </c>
      <c r="Q22" s="1">
        <f t="shared" si="12"/>
        <v>237.19647045167994</v>
      </c>
    </row>
    <row r="23" spans="2:17" s="1" customFormat="1" x14ac:dyDescent="0.25">
      <c r="B23" s="1" t="s">
        <v>9</v>
      </c>
      <c r="G23" s="1">
        <v>93</v>
      </c>
      <c r="H23" s="1">
        <v>269</v>
      </c>
      <c r="I23" s="1">
        <v>104</v>
      </c>
      <c r="J23" s="1">
        <v>100</v>
      </c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100</v>
      </c>
    </row>
    <row r="24" spans="2:17" s="1" customFormat="1" x14ac:dyDescent="0.25">
      <c r="B24" s="1" t="s">
        <v>10</v>
      </c>
      <c r="G24" s="1">
        <v>683</v>
      </c>
      <c r="H24" s="1">
        <v>734</v>
      </c>
      <c r="I24" s="1">
        <v>848</v>
      </c>
      <c r="J24" s="1">
        <f>+I24*1.05</f>
        <v>890.40000000000009</v>
      </c>
      <c r="K24" s="1">
        <f t="shared" ref="K24:Q24" si="13">+J24*1.05</f>
        <v>934.92000000000019</v>
      </c>
      <c r="L24" s="1">
        <f t="shared" si="13"/>
        <v>981.66600000000028</v>
      </c>
      <c r="M24" s="1">
        <f t="shared" si="13"/>
        <v>1030.7493000000004</v>
      </c>
      <c r="N24" s="1">
        <f t="shared" si="13"/>
        <v>1082.2867650000005</v>
      </c>
      <c r="O24" s="1">
        <f t="shared" si="13"/>
        <v>1136.4011032500007</v>
      </c>
      <c r="P24" s="1">
        <f t="shared" si="13"/>
        <v>1193.2211584125007</v>
      </c>
      <c r="Q24" s="1">
        <f t="shared" si="13"/>
        <v>1252.8822163331258</v>
      </c>
    </row>
    <row r="25" spans="2:17" s="1" customFormat="1" x14ac:dyDescent="0.25">
      <c r="B25" s="1" t="s">
        <v>11</v>
      </c>
      <c r="G25" s="1">
        <v>83</v>
      </c>
      <c r="H25" s="1">
        <v>92</v>
      </c>
      <c r="I25" s="1">
        <v>111</v>
      </c>
      <c r="J25" s="1">
        <f>+J17*0.0095</f>
        <v>118.67779999999999</v>
      </c>
      <c r="K25" s="1">
        <f t="shared" ref="K25:Q25" si="14">+K17*0.0095</f>
        <v>126.0683231</v>
      </c>
      <c r="L25" s="1">
        <f t="shared" si="14"/>
        <v>133.92991682900001</v>
      </c>
      <c r="M25" s="1">
        <f t="shared" si="14"/>
        <v>142.29335910592999</v>
      </c>
      <c r="N25" s="1">
        <f t="shared" si="14"/>
        <v>151.19149074643852</v>
      </c>
      <c r="O25" s="1">
        <f t="shared" si="14"/>
        <v>160.65935729077663</v>
      </c>
      <c r="P25" s="1">
        <f t="shared" si="14"/>
        <v>170.73436082349937</v>
      </c>
      <c r="Q25" s="1">
        <f t="shared" si="14"/>
        <v>181.45642250495584</v>
      </c>
    </row>
    <row r="26" spans="2:17" s="1" customFormat="1" x14ac:dyDescent="0.25">
      <c r="B26" s="1" t="s">
        <v>12</v>
      </c>
      <c r="G26" s="1">
        <v>226</v>
      </c>
      <c r="H26" s="1">
        <v>266</v>
      </c>
      <c r="I26" s="1">
        <v>307</v>
      </c>
      <c r="J26" s="1">
        <f>+J17*0.025</f>
        <v>312.31</v>
      </c>
      <c r="K26" s="1">
        <f t="shared" ref="K26:Q26" si="15">+K17*0.025</f>
        <v>331.75874500000003</v>
      </c>
      <c r="L26" s="1">
        <f t="shared" si="15"/>
        <v>352.44714955000001</v>
      </c>
      <c r="M26" s="1">
        <f t="shared" si="15"/>
        <v>374.45620817350004</v>
      </c>
      <c r="N26" s="1">
        <f t="shared" si="15"/>
        <v>397.87234406957509</v>
      </c>
      <c r="O26" s="1">
        <f t="shared" si="15"/>
        <v>422.78778234414904</v>
      </c>
      <c r="P26" s="1">
        <f t="shared" si="15"/>
        <v>449.30094953552475</v>
      </c>
      <c r="Q26" s="1">
        <f t="shared" si="15"/>
        <v>477.51690132883118</v>
      </c>
    </row>
    <row r="27" spans="2:17" s="1" customFormat="1" x14ac:dyDescent="0.25">
      <c r="B27" s="1" t="s">
        <v>13</v>
      </c>
      <c r="G27" s="1">
        <v>1031</v>
      </c>
      <c r="H27" s="1">
        <v>1215</v>
      </c>
      <c r="I27" s="1">
        <v>1537</v>
      </c>
      <c r="J27" s="1">
        <v>1700</v>
      </c>
      <c r="K27" s="1">
        <v>1500</v>
      </c>
      <c r="L27" s="1">
        <v>1500</v>
      </c>
      <c r="M27" s="1">
        <v>1500</v>
      </c>
      <c r="N27" s="1">
        <v>1500</v>
      </c>
      <c r="O27" s="1">
        <v>1500</v>
      </c>
      <c r="P27" s="1">
        <v>1500</v>
      </c>
      <c r="Q27" s="1">
        <v>1500</v>
      </c>
    </row>
    <row r="28" spans="2:17" s="1" customFormat="1" x14ac:dyDescent="0.25">
      <c r="B28" s="1" t="s">
        <v>14</v>
      </c>
      <c r="C28" s="1">
        <f>+SUM(C21:C27)</f>
        <v>0</v>
      </c>
      <c r="G28" s="1">
        <f>+SUM(G21:G27)</f>
        <v>3654</v>
      </c>
      <c r="H28" s="1">
        <f>+SUM(H21:H27)</f>
        <v>4294</v>
      </c>
      <c r="I28" s="1">
        <f>+SUM(I21:I27)</f>
        <v>4970</v>
      </c>
      <c r="J28" s="1">
        <f>+SUM(J21:J27)</f>
        <v>5277.9210000000003</v>
      </c>
      <c r="K28" s="1">
        <f t="shared" ref="K28:Q28" si="16">+SUM(K21:K27)</f>
        <v>5283.2171880999995</v>
      </c>
      <c r="L28" s="1">
        <f t="shared" si="16"/>
        <v>5500.951824619</v>
      </c>
      <c r="M28" s="1">
        <f t="shared" si="16"/>
        <v>5731.9004207770304</v>
      </c>
      <c r="N28" s="1">
        <f t="shared" si="16"/>
        <v>5976.888332319726</v>
      </c>
      <c r="O28" s="1">
        <f t="shared" si="16"/>
        <v>6236.7940641734185</v>
      </c>
      <c r="P28" s="1">
        <f t="shared" si="16"/>
        <v>6512.5528009419777</v>
      </c>
      <c r="Q28" s="1">
        <f t="shared" si="16"/>
        <v>6805.1601791231124</v>
      </c>
    </row>
    <row r="29" spans="2:17" s="1" customFormat="1" x14ac:dyDescent="0.25">
      <c r="B29" s="1" t="s">
        <v>18</v>
      </c>
      <c r="C29" s="1">
        <f>+C20-C28</f>
        <v>0</v>
      </c>
      <c r="G29" s="1">
        <f>+G20-G28</f>
        <v>3638</v>
      </c>
      <c r="H29" s="1">
        <f>+H20-H28</f>
        <v>3694</v>
      </c>
      <c r="I29" s="1">
        <f>+I20-I28</f>
        <v>4309</v>
      </c>
      <c r="J29" s="1">
        <f>+J20-J28</f>
        <v>4715.9989999999998</v>
      </c>
      <c r="K29" s="1">
        <f t="shared" ref="K29:Q29" si="17">+K20-K28</f>
        <v>5333.0626519000016</v>
      </c>
      <c r="L29" s="1">
        <f t="shared" si="17"/>
        <v>5777.3569609810002</v>
      </c>
      <c r="M29" s="1">
        <f t="shared" si="17"/>
        <v>6250.6982407749711</v>
      </c>
      <c r="N29" s="1">
        <f t="shared" si="17"/>
        <v>6755.0266779066769</v>
      </c>
      <c r="O29" s="1">
        <f t="shared" si="17"/>
        <v>7292.4149708393506</v>
      </c>
      <c r="P29" s="1">
        <f t="shared" si="17"/>
        <v>7865.0775841948143</v>
      </c>
      <c r="Q29" s="1">
        <f t="shared" si="17"/>
        <v>8475.3806633994864</v>
      </c>
    </row>
    <row r="30" spans="2:17" s="1" customFormat="1" x14ac:dyDescent="0.25">
      <c r="B30" s="1" t="s">
        <v>15</v>
      </c>
      <c r="G30" s="1">
        <v>108</v>
      </c>
      <c r="H30" s="1">
        <v>319</v>
      </c>
      <c r="I30" s="1">
        <v>141</v>
      </c>
      <c r="J30" s="1">
        <v>120</v>
      </c>
      <c r="K30" s="1">
        <f>+J30*0.98</f>
        <v>117.6</v>
      </c>
      <c r="L30" s="1">
        <f t="shared" ref="L30:Q30" si="18">+K30*0.98</f>
        <v>115.24799999999999</v>
      </c>
      <c r="M30" s="1">
        <f t="shared" si="18"/>
        <v>112.94303999999998</v>
      </c>
      <c r="N30" s="1">
        <f t="shared" si="18"/>
        <v>110.68417919999997</v>
      </c>
      <c r="O30" s="1">
        <f t="shared" si="18"/>
        <v>108.47049561599998</v>
      </c>
      <c r="P30" s="1">
        <f t="shared" si="18"/>
        <v>106.30108570367997</v>
      </c>
      <c r="Q30" s="1">
        <f t="shared" si="18"/>
        <v>104.17506398960637</v>
      </c>
    </row>
    <row r="31" spans="2:17" s="1" customFormat="1" x14ac:dyDescent="0.25">
      <c r="B31" s="1" t="s">
        <v>16</v>
      </c>
      <c r="G31" s="1">
        <v>616</v>
      </c>
      <c r="H31" s="1">
        <v>808</v>
      </c>
      <c r="I31" s="1">
        <v>910</v>
      </c>
      <c r="J31" s="1">
        <v>900</v>
      </c>
      <c r="K31" s="1">
        <f>+J31*0.98</f>
        <v>882</v>
      </c>
      <c r="L31" s="1">
        <f t="shared" ref="L31:Q31" si="19">+K31*0.98</f>
        <v>864.36</v>
      </c>
      <c r="M31" s="1">
        <f t="shared" si="19"/>
        <v>847.07280000000003</v>
      </c>
      <c r="N31" s="1">
        <f t="shared" si="19"/>
        <v>830.13134400000001</v>
      </c>
      <c r="O31" s="1">
        <f t="shared" si="19"/>
        <v>813.52871712000001</v>
      </c>
      <c r="P31" s="1">
        <f t="shared" si="19"/>
        <v>797.25814277760003</v>
      </c>
      <c r="Q31" s="1">
        <f t="shared" si="19"/>
        <v>781.31297992204804</v>
      </c>
    </row>
    <row r="32" spans="2:17" s="1" customFormat="1" x14ac:dyDescent="0.25">
      <c r="B32" s="1" t="s">
        <v>21</v>
      </c>
      <c r="G32" s="1">
        <v>-1322</v>
      </c>
      <c r="H32" s="1">
        <v>-311</v>
      </c>
      <c r="I32" s="1">
        <v>88</v>
      </c>
    </row>
    <row r="33" spans="2:134" s="1" customFormat="1" x14ac:dyDescent="0.25">
      <c r="B33" s="1" t="s">
        <v>17</v>
      </c>
      <c r="C33" s="1">
        <f>+C29+C30-C31+C32</f>
        <v>0</v>
      </c>
      <c r="G33" s="1">
        <f>+G29+G30-G31+G32</f>
        <v>1808</v>
      </c>
      <c r="H33" s="1">
        <f>+H29+H30-H31+H32</f>
        <v>2894</v>
      </c>
      <c r="I33" s="1">
        <f>+I29+I30-I31+I32</f>
        <v>3628</v>
      </c>
      <c r="J33" s="1">
        <f>+J29+J30-J31+J32</f>
        <v>3935.9989999999998</v>
      </c>
      <c r="K33" s="1">
        <f t="shared" ref="K33:Q33" si="20">+K29+K30-K31+K32</f>
        <v>4568.6626519000019</v>
      </c>
      <c r="L33" s="1">
        <f t="shared" si="20"/>
        <v>5028.2449609810001</v>
      </c>
      <c r="M33" s="1">
        <f t="shared" si="20"/>
        <v>5516.5684807749712</v>
      </c>
      <c r="N33" s="1">
        <f t="shared" si="20"/>
        <v>6035.5795131066761</v>
      </c>
      <c r="O33" s="1">
        <f t="shared" si="20"/>
        <v>6587.3567493353512</v>
      </c>
      <c r="P33" s="1">
        <f t="shared" si="20"/>
        <v>7174.1205271208937</v>
      </c>
      <c r="Q33" s="1">
        <f t="shared" si="20"/>
        <v>7798.2427474670458</v>
      </c>
    </row>
    <row r="34" spans="2:134" s="1" customFormat="1" x14ac:dyDescent="0.25">
      <c r="B34" s="1" t="s">
        <v>19</v>
      </c>
      <c r="G34" s="1">
        <v>310</v>
      </c>
      <c r="H34" s="1">
        <v>456</v>
      </c>
      <c r="I34" s="1">
        <v>826</v>
      </c>
      <c r="J34" s="1">
        <f>+J33*0.23</f>
        <v>905.27976999999998</v>
      </c>
      <c r="K34" s="1">
        <f t="shared" ref="K34:Q34" si="21">+K33*0.23</f>
        <v>1050.7924099370005</v>
      </c>
      <c r="L34" s="1">
        <f t="shared" si="21"/>
        <v>1156.49634102563</v>
      </c>
      <c r="M34" s="1">
        <f t="shared" si="21"/>
        <v>1268.8107505782434</v>
      </c>
      <c r="N34" s="1">
        <f t="shared" si="21"/>
        <v>1388.1832880145355</v>
      </c>
      <c r="O34" s="1">
        <f t="shared" si="21"/>
        <v>1515.0920523471309</v>
      </c>
      <c r="P34" s="1">
        <f t="shared" si="21"/>
        <v>1650.0477212378057</v>
      </c>
      <c r="Q34" s="1">
        <f t="shared" si="21"/>
        <v>1793.5958319174206</v>
      </c>
    </row>
    <row r="35" spans="2:134" s="2" customFormat="1" x14ac:dyDescent="0.25">
      <c r="B35" s="2" t="s">
        <v>20</v>
      </c>
      <c r="C35" s="2">
        <f>+C33-C34</f>
        <v>0</v>
      </c>
      <c r="G35" s="2">
        <f>+G33-G34</f>
        <v>1498</v>
      </c>
      <c r="H35" s="2">
        <f>+H33-H34</f>
        <v>2438</v>
      </c>
      <c r="I35" s="2">
        <f>+I33-I34</f>
        <v>2802</v>
      </c>
      <c r="J35" s="2">
        <f>+J33-J34</f>
        <v>3030.7192299999997</v>
      </c>
      <c r="K35" s="2">
        <f t="shared" ref="K35:Q35" si="22">+K33-K34</f>
        <v>3517.8702419630017</v>
      </c>
      <c r="L35" s="2">
        <f t="shared" si="22"/>
        <v>3871.74861995537</v>
      </c>
      <c r="M35" s="2">
        <f t="shared" si="22"/>
        <v>4247.7577301967276</v>
      </c>
      <c r="N35" s="2">
        <f t="shared" si="22"/>
        <v>4647.3962250921404</v>
      </c>
      <c r="O35" s="2">
        <f t="shared" si="22"/>
        <v>5072.2646969882207</v>
      </c>
      <c r="P35" s="2">
        <f t="shared" si="22"/>
        <v>5524.0728058830882</v>
      </c>
      <c r="Q35" s="2">
        <f t="shared" si="22"/>
        <v>6004.6469155496252</v>
      </c>
      <c r="R35" s="2">
        <f t="shared" ref="R35:AW35" si="23">+Q35*(1+TR)</f>
        <v>6124.7398538606176</v>
      </c>
      <c r="S35" s="2">
        <f t="shared" si="23"/>
        <v>6247.2346509378303</v>
      </c>
      <c r="T35" s="2">
        <f t="shared" si="23"/>
        <v>6372.1793439565872</v>
      </c>
      <c r="U35" s="2">
        <f t="shared" si="23"/>
        <v>6499.6229308357188</v>
      </c>
      <c r="V35" s="2">
        <f t="shared" si="23"/>
        <v>6629.6153894524332</v>
      </c>
      <c r="W35" s="2">
        <f t="shared" si="23"/>
        <v>6762.2076972414816</v>
      </c>
      <c r="X35" s="2">
        <f t="shared" si="23"/>
        <v>6897.4518511863116</v>
      </c>
      <c r="Y35" s="2">
        <f t="shared" si="23"/>
        <v>7035.4008882100379</v>
      </c>
      <c r="Z35" s="2">
        <f t="shared" si="23"/>
        <v>7176.108905974239</v>
      </c>
      <c r="AA35" s="2">
        <f t="shared" si="23"/>
        <v>7319.631084093724</v>
      </c>
      <c r="AB35" s="2">
        <f t="shared" si="23"/>
        <v>7466.0237057755985</v>
      </c>
      <c r="AC35" s="2">
        <f t="shared" si="23"/>
        <v>7615.3441798911108</v>
      </c>
      <c r="AD35" s="2">
        <f t="shared" si="23"/>
        <v>7767.6510634889328</v>
      </c>
      <c r="AE35" s="2">
        <f t="shared" si="23"/>
        <v>7923.0040847587115</v>
      </c>
      <c r="AF35" s="2">
        <f t="shared" si="23"/>
        <v>8081.4641664538858</v>
      </c>
      <c r="AG35" s="2">
        <f t="shared" si="23"/>
        <v>8243.0934497829639</v>
      </c>
      <c r="AH35" s="2">
        <f t="shared" si="23"/>
        <v>8407.9553187786241</v>
      </c>
      <c r="AI35" s="2">
        <f t="shared" si="23"/>
        <v>8576.1144251541973</v>
      </c>
      <c r="AJ35" s="2">
        <f t="shared" si="23"/>
        <v>8747.6367136572808</v>
      </c>
      <c r="AK35" s="2">
        <f t="shared" si="23"/>
        <v>8922.5894479304261</v>
      </c>
      <c r="AL35" s="2">
        <f t="shared" si="23"/>
        <v>9101.0412368890356</v>
      </c>
      <c r="AM35" s="2">
        <f t="shared" si="23"/>
        <v>9283.062061626817</v>
      </c>
      <c r="AN35" s="2">
        <f t="shared" si="23"/>
        <v>9468.7233028593528</v>
      </c>
      <c r="AO35" s="2">
        <f t="shared" si="23"/>
        <v>9658.0977689165393</v>
      </c>
      <c r="AP35" s="2">
        <f t="shared" si="23"/>
        <v>9851.2597242948705</v>
      </c>
      <c r="AQ35" s="2">
        <f t="shared" si="23"/>
        <v>10048.284918780768</v>
      </c>
      <c r="AR35" s="2">
        <f t="shared" si="23"/>
        <v>10249.250617156384</v>
      </c>
      <c r="AS35" s="2">
        <f t="shared" si="23"/>
        <v>10454.235629499512</v>
      </c>
      <c r="AT35" s="2">
        <f t="shared" si="23"/>
        <v>10663.320342089502</v>
      </c>
      <c r="AU35" s="2">
        <f t="shared" si="23"/>
        <v>10876.586748931293</v>
      </c>
      <c r="AV35" s="2">
        <f t="shared" si="23"/>
        <v>11094.118483909919</v>
      </c>
      <c r="AW35" s="2">
        <f t="shared" si="23"/>
        <v>11316.000853588117</v>
      </c>
      <c r="AX35" s="2">
        <f t="shared" ref="AX35:CC35" si="24">+AW35*(1+TR)</f>
        <v>11542.32087065988</v>
      </c>
      <c r="AY35" s="2">
        <f t="shared" si="24"/>
        <v>11773.167288073078</v>
      </c>
      <c r="AZ35" s="2">
        <f t="shared" si="24"/>
        <v>12008.63063383454</v>
      </c>
      <c r="BA35" s="2">
        <f t="shared" si="24"/>
        <v>12248.803246511232</v>
      </c>
      <c r="BB35" s="2">
        <f t="shared" si="24"/>
        <v>12493.779311441456</v>
      </c>
      <c r="BC35" s="2">
        <f t="shared" si="24"/>
        <v>12743.654897670285</v>
      </c>
      <c r="BD35" s="2">
        <f t="shared" si="24"/>
        <v>12998.527995623692</v>
      </c>
      <c r="BE35" s="2">
        <f t="shared" si="24"/>
        <v>13258.498555536165</v>
      </c>
      <c r="BF35" s="2">
        <f t="shared" si="24"/>
        <v>13523.668526646888</v>
      </c>
      <c r="BG35" s="2">
        <f t="shared" si="24"/>
        <v>13794.141897179827</v>
      </c>
      <c r="BH35" s="2">
        <f t="shared" si="24"/>
        <v>14070.024735123423</v>
      </c>
      <c r="BI35" s="2">
        <f t="shared" si="24"/>
        <v>14351.425229825893</v>
      </c>
      <c r="BJ35" s="2">
        <f t="shared" si="24"/>
        <v>14638.45373442241</v>
      </c>
      <c r="BK35" s="2">
        <f t="shared" si="24"/>
        <v>14931.222809110859</v>
      </c>
      <c r="BL35" s="2">
        <f t="shared" si="24"/>
        <v>15229.847265293076</v>
      </c>
      <c r="BM35" s="2">
        <f t="shared" si="24"/>
        <v>15534.444210598938</v>
      </c>
      <c r="BN35" s="2">
        <f t="shared" si="24"/>
        <v>15845.133094810917</v>
      </c>
      <c r="BO35" s="2">
        <f t="shared" si="24"/>
        <v>16162.035756707135</v>
      </c>
      <c r="BP35" s="2">
        <f t="shared" si="24"/>
        <v>16485.276471841276</v>
      </c>
      <c r="BQ35" s="2">
        <f t="shared" si="24"/>
        <v>16814.982001278102</v>
      </c>
      <c r="BR35" s="2">
        <f t="shared" si="24"/>
        <v>17151.281641303663</v>
      </c>
      <c r="BS35" s="2">
        <f t="shared" si="24"/>
        <v>17494.307274129736</v>
      </c>
      <c r="BT35" s="2">
        <f t="shared" si="24"/>
        <v>17844.193419612333</v>
      </c>
      <c r="BU35" s="2">
        <f t="shared" si="24"/>
        <v>18201.077288004581</v>
      </c>
      <c r="BV35" s="2">
        <f t="shared" si="24"/>
        <v>18565.098833764674</v>
      </c>
      <c r="BW35" s="2">
        <f t="shared" si="24"/>
        <v>18936.400810439969</v>
      </c>
      <c r="BX35" s="2">
        <f t="shared" si="24"/>
        <v>19315.128826648768</v>
      </c>
      <c r="BY35" s="2">
        <f t="shared" si="24"/>
        <v>19701.431403181745</v>
      </c>
      <c r="BZ35" s="2">
        <f t="shared" si="24"/>
        <v>20095.46003124538</v>
      </c>
      <c r="CA35" s="2">
        <f t="shared" si="24"/>
        <v>20497.369231870289</v>
      </c>
      <c r="CB35" s="2">
        <f t="shared" si="24"/>
        <v>20907.316616507695</v>
      </c>
      <c r="CC35" s="2">
        <f t="shared" si="24"/>
        <v>21325.462948837849</v>
      </c>
      <c r="CD35" s="2">
        <f t="shared" ref="CD35:DI35" si="25">+CC35*(1+TR)</f>
        <v>21751.972207814608</v>
      </c>
      <c r="CE35" s="2">
        <f t="shared" si="25"/>
        <v>22187.011651970901</v>
      </c>
      <c r="CF35" s="2">
        <f t="shared" si="25"/>
        <v>22630.751885010319</v>
      </c>
      <c r="CG35" s="2">
        <f t="shared" si="25"/>
        <v>23083.366922710524</v>
      </c>
      <c r="CH35" s="2">
        <f t="shared" si="25"/>
        <v>23545.034261164736</v>
      </c>
      <c r="CI35" s="2">
        <f t="shared" si="25"/>
        <v>24015.934946388032</v>
      </c>
      <c r="CJ35" s="2">
        <f t="shared" si="25"/>
        <v>24496.253645315792</v>
      </c>
      <c r="CK35" s="2">
        <f t="shared" si="25"/>
        <v>24986.178718222109</v>
      </c>
      <c r="CL35" s="2">
        <f t="shared" si="25"/>
        <v>25485.90229258655</v>
      </c>
      <c r="CM35" s="2">
        <f t="shared" si="25"/>
        <v>25995.620338438282</v>
      </c>
      <c r="CN35" s="2">
        <f t="shared" si="25"/>
        <v>26515.532745207049</v>
      </c>
      <c r="CO35" s="2">
        <f t="shared" si="25"/>
        <v>27045.843400111189</v>
      </c>
      <c r="CP35" s="2">
        <f t="shared" si="25"/>
        <v>27586.760268113412</v>
      </c>
      <c r="CQ35" s="2">
        <f t="shared" si="25"/>
        <v>28138.495473475679</v>
      </c>
      <c r="CR35" s="2">
        <f t="shared" si="25"/>
        <v>28701.265382945192</v>
      </c>
      <c r="CS35" s="2">
        <f t="shared" si="25"/>
        <v>29275.290690604095</v>
      </c>
      <c r="CT35" s="2">
        <f t="shared" si="25"/>
        <v>29860.796504416179</v>
      </c>
      <c r="CU35" s="2">
        <f t="shared" si="25"/>
        <v>30458.012434504504</v>
      </c>
      <c r="CV35" s="2">
        <f t="shared" si="25"/>
        <v>31067.172683194596</v>
      </c>
      <c r="CW35" s="2">
        <f t="shared" si="25"/>
        <v>31688.516136858489</v>
      </c>
      <c r="CX35" s="2">
        <f t="shared" si="25"/>
        <v>32322.28645959566</v>
      </c>
      <c r="CY35" s="2">
        <f t="shared" si="25"/>
        <v>32968.732188787573</v>
      </c>
      <c r="CZ35" s="2">
        <f t="shared" si="25"/>
        <v>33628.106832563324</v>
      </c>
      <c r="DA35" s="2">
        <f t="shared" si="25"/>
        <v>34300.668969214588</v>
      </c>
      <c r="DB35" s="2">
        <f t="shared" si="25"/>
        <v>34986.682348598879</v>
      </c>
      <c r="DC35" s="2">
        <f t="shared" si="25"/>
        <v>35686.41599557086</v>
      </c>
      <c r="DD35" s="2">
        <f t="shared" si="25"/>
        <v>36400.144315482277</v>
      </c>
      <c r="DE35" s="2">
        <f t="shared" si="25"/>
        <v>37128.147201791922</v>
      </c>
      <c r="DF35" s="2">
        <f t="shared" si="25"/>
        <v>37870.710145827761</v>
      </c>
      <c r="DG35" s="2">
        <f t="shared" si="25"/>
        <v>38628.124348744313</v>
      </c>
      <c r="DH35" s="2">
        <f t="shared" si="25"/>
        <v>39400.6868357192</v>
      </c>
      <c r="DI35" s="2">
        <f t="shared" si="25"/>
        <v>40188.700572433583</v>
      </c>
      <c r="DJ35" s="2">
        <f t="shared" ref="DJ35:ED35" si="26">+DI35*(1+TR)</f>
        <v>40992.474583882256</v>
      </c>
      <c r="DK35" s="2">
        <f t="shared" si="26"/>
        <v>41812.324075559904</v>
      </c>
      <c r="DL35" s="2">
        <f t="shared" si="26"/>
        <v>42648.5705570711</v>
      </c>
      <c r="DM35" s="2">
        <f t="shared" si="26"/>
        <v>43501.541968212521</v>
      </c>
      <c r="DN35" s="2">
        <f t="shared" si="26"/>
        <v>44371.572807576769</v>
      </c>
      <c r="DO35" s="2">
        <f t="shared" si="26"/>
        <v>45259.004263728304</v>
      </c>
      <c r="DP35" s="2">
        <f t="shared" si="26"/>
        <v>46164.18434900287</v>
      </c>
      <c r="DQ35" s="2">
        <f t="shared" si="26"/>
        <v>47087.468035982929</v>
      </c>
      <c r="DR35" s="2">
        <f t="shared" si="26"/>
        <v>48029.217396702588</v>
      </c>
      <c r="DS35" s="2">
        <f t="shared" si="26"/>
        <v>48989.801744636643</v>
      </c>
      <c r="DT35" s="2">
        <f t="shared" si="26"/>
        <v>49969.59777952938</v>
      </c>
      <c r="DU35" s="2">
        <f t="shared" si="26"/>
        <v>50968.989735119969</v>
      </c>
      <c r="DV35" s="2">
        <f t="shared" si="26"/>
        <v>51988.369529822368</v>
      </c>
      <c r="DW35" s="2">
        <f t="shared" si="26"/>
        <v>53028.136920418816</v>
      </c>
      <c r="DX35" s="2">
        <f t="shared" si="26"/>
        <v>54088.699658827194</v>
      </c>
      <c r="DY35" s="2">
        <f t="shared" si="26"/>
        <v>55170.47365200374</v>
      </c>
      <c r="DZ35" s="2">
        <f t="shared" si="26"/>
        <v>56273.883125043816</v>
      </c>
      <c r="EA35" s="2">
        <f t="shared" si="26"/>
        <v>57399.360787544691</v>
      </c>
      <c r="EB35" s="2">
        <f t="shared" si="26"/>
        <v>58547.348003295585</v>
      </c>
      <c r="EC35" s="2">
        <f t="shared" si="26"/>
        <v>59718.294963361499</v>
      </c>
      <c r="ED35" s="2">
        <f t="shared" si="26"/>
        <v>60912.660862628727</v>
      </c>
    </row>
    <row r="36" spans="2:134" s="1" customFormat="1" x14ac:dyDescent="0.25">
      <c r="B36" s="1" t="s">
        <v>22</v>
      </c>
      <c r="G36" s="1">
        <v>52</v>
      </c>
      <c r="H36" s="1">
        <v>70</v>
      </c>
      <c r="I36" s="1">
        <v>48</v>
      </c>
      <c r="J36" s="1">
        <v>50</v>
      </c>
      <c r="K36" s="1">
        <v>50</v>
      </c>
      <c r="L36" s="1">
        <v>50</v>
      </c>
      <c r="M36" s="1">
        <v>50</v>
      </c>
      <c r="N36" s="1">
        <v>50</v>
      </c>
      <c r="O36" s="1">
        <v>50</v>
      </c>
      <c r="P36" s="1">
        <v>50</v>
      </c>
      <c r="Q36" s="1">
        <v>50</v>
      </c>
    </row>
    <row r="37" spans="2:134" s="1" customFormat="1" x14ac:dyDescent="0.25">
      <c r="B37" s="1" t="s">
        <v>23</v>
      </c>
      <c r="G37" s="1">
        <f>+G35-G36</f>
        <v>1446</v>
      </c>
      <c r="H37" s="1">
        <f>+H35-H36</f>
        <v>2368</v>
      </c>
      <c r="I37" s="1">
        <f>+I35-I36</f>
        <v>2754</v>
      </c>
      <c r="J37" s="1">
        <f t="shared" ref="J37:Q37" si="27">+J35-J36</f>
        <v>2980.7192299999997</v>
      </c>
      <c r="K37" s="1">
        <f t="shared" si="27"/>
        <v>3467.8702419630017</v>
      </c>
      <c r="L37" s="1">
        <f t="shared" si="27"/>
        <v>3821.74861995537</v>
      </c>
      <c r="M37" s="1">
        <f t="shared" si="27"/>
        <v>4197.7577301967276</v>
      </c>
      <c r="N37" s="1">
        <f t="shared" si="27"/>
        <v>4597.3962250921404</v>
      </c>
      <c r="O37" s="1">
        <f t="shared" si="27"/>
        <v>5022.2646969882207</v>
      </c>
      <c r="P37" s="1">
        <f t="shared" si="27"/>
        <v>5474.0728058830882</v>
      </c>
      <c r="Q37" s="1">
        <f t="shared" si="27"/>
        <v>5954.6469155496252</v>
      </c>
    </row>
    <row r="38" spans="2:134" s="5" customFormat="1" x14ac:dyDescent="0.25">
      <c r="B38" s="5" t="s">
        <v>42</v>
      </c>
      <c r="H38" s="5">
        <f>+H37/H39</f>
        <v>4.1326352530541008</v>
      </c>
      <c r="I38" s="5">
        <f t="shared" ref="I38:Q38" si="28">+I37/I39</f>
        <v>4.7979094076655056</v>
      </c>
      <c r="J38" s="5">
        <f t="shared" si="28"/>
        <v>5.2110476048951044</v>
      </c>
      <c r="K38" s="5">
        <f t="shared" si="28"/>
        <v>6.0627102132220312</v>
      </c>
      <c r="L38" s="5">
        <f t="shared" si="28"/>
        <v>6.681378706215682</v>
      </c>
      <c r="M38" s="5">
        <f t="shared" si="28"/>
        <v>7.3387372905537198</v>
      </c>
      <c r="N38" s="5">
        <f t="shared" si="28"/>
        <v>8.0374059879233233</v>
      </c>
      <c r="O38" s="5">
        <f t="shared" si="28"/>
        <v>8.7801830366926943</v>
      </c>
      <c r="P38" s="5">
        <f t="shared" si="28"/>
        <v>9.5700573529424613</v>
      </c>
      <c r="Q38" s="5">
        <f t="shared" si="28"/>
        <v>10.410221880331513</v>
      </c>
    </row>
    <row r="39" spans="2:134" s="1" customFormat="1" x14ac:dyDescent="0.25">
      <c r="B39" s="1" t="s">
        <v>41</v>
      </c>
      <c r="H39" s="1">
        <v>573</v>
      </c>
      <c r="I39" s="1">
        <v>574</v>
      </c>
      <c r="J39" s="1">
        <v>572</v>
      </c>
      <c r="K39" s="1">
        <v>572</v>
      </c>
      <c r="L39" s="1">
        <v>572</v>
      </c>
      <c r="M39" s="1">
        <v>572</v>
      </c>
      <c r="N39" s="1">
        <v>572</v>
      </c>
      <c r="O39" s="1">
        <v>572</v>
      </c>
      <c r="P39" s="1">
        <v>572</v>
      </c>
      <c r="Q39" s="1">
        <v>572</v>
      </c>
    </row>
    <row r="40" spans="2:134" s="1" customFormat="1" x14ac:dyDescent="0.25">
      <c r="G40" s="5"/>
      <c r="H40" s="5"/>
      <c r="I40" s="5"/>
    </row>
    <row r="41" spans="2:134" s="3" customFormat="1" x14ac:dyDescent="0.25">
      <c r="B41" s="3" t="s">
        <v>24</v>
      </c>
      <c r="G41" s="3">
        <f>+G20/G17</f>
        <v>0.75674553756745533</v>
      </c>
      <c r="H41" s="3">
        <f>+H20/H17</f>
        <v>0.80662425527617898</v>
      </c>
      <c r="I41" s="3">
        <f>+I20/I17</f>
        <v>0.78896352350990562</v>
      </c>
    </row>
    <row r="42" spans="2:134" s="3" customFormat="1" x14ac:dyDescent="0.25">
      <c r="B42" s="3" t="s">
        <v>34</v>
      </c>
      <c r="G42" s="3">
        <f>+G33/G17</f>
        <v>0.18762972187629723</v>
      </c>
      <c r="H42" s="3">
        <f t="shared" ref="H42:Q42" si="29">+H33/H17</f>
        <v>0.29223467636069878</v>
      </c>
      <c r="I42" s="3">
        <f t="shared" si="29"/>
        <v>0.30847717030864724</v>
      </c>
      <c r="J42" s="3">
        <f t="shared" si="29"/>
        <v>0.31507148346194486</v>
      </c>
      <c r="K42" s="3">
        <f t="shared" si="29"/>
        <v>0.34427597770633012</v>
      </c>
      <c r="L42" s="3">
        <f t="shared" si="29"/>
        <v>0.35666659294882924</v>
      </c>
      <c r="M42" s="3">
        <f t="shared" si="29"/>
        <v>0.36830531583942472</v>
      </c>
      <c r="N42" s="3">
        <f t="shared" si="29"/>
        <v>0.37924095523784684</v>
      </c>
      <c r="O42" s="3">
        <f t="shared" si="29"/>
        <v>0.38951910535421091</v>
      </c>
      <c r="P42" s="3">
        <f t="shared" si="29"/>
        <v>0.39918235953748304</v>
      </c>
      <c r="Q42" s="3">
        <f t="shared" si="29"/>
        <v>0.40827050968071199</v>
      </c>
      <c r="S42" s="3" t="s">
        <v>36</v>
      </c>
      <c r="T42" s="4">
        <v>0.1</v>
      </c>
    </row>
    <row r="43" spans="2:134" s="3" customFormat="1" x14ac:dyDescent="0.25">
      <c r="B43" s="3" t="s">
        <v>25</v>
      </c>
      <c r="G43" s="3">
        <f>+G35/G17</f>
        <v>0.15545869655458697</v>
      </c>
      <c r="H43" s="3">
        <f t="shared" ref="H43:Q43" si="30">+H35/H17</f>
        <v>0.24618802383116228</v>
      </c>
      <c r="I43" s="3">
        <f t="shared" si="30"/>
        <v>0.23824504718986481</v>
      </c>
      <c r="J43" s="3">
        <f t="shared" si="30"/>
        <v>0.24260504226569754</v>
      </c>
      <c r="K43" s="3">
        <f t="shared" si="30"/>
        <v>0.2650925028338742</v>
      </c>
      <c r="L43" s="3">
        <f t="shared" si="30"/>
        <v>0.27463327657059855</v>
      </c>
      <c r="M43" s="3">
        <f t="shared" si="30"/>
        <v>0.28359509319635701</v>
      </c>
      <c r="N43" s="3">
        <f t="shared" si="30"/>
        <v>0.29201553553314202</v>
      </c>
      <c r="O43" s="3">
        <f t="shared" si="30"/>
        <v>0.29992971112274242</v>
      </c>
      <c r="P43" s="3">
        <f t="shared" si="30"/>
        <v>0.30737041684386196</v>
      </c>
      <c r="Q43" s="3">
        <f t="shared" si="30"/>
        <v>0.31436829245414821</v>
      </c>
      <c r="S43" s="3" t="s">
        <v>35</v>
      </c>
      <c r="T43" s="3">
        <v>0.02</v>
      </c>
    </row>
    <row r="44" spans="2:134" s="3" customFormat="1" x14ac:dyDescent="0.25">
      <c r="S44" s="1" t="s">
        <v>37</v>
      </c>
      <c r="T44" s="1">
        <f>NPV(T42,J35:ED35)</f>
        <v>58567.724069332486</v>
      </c>
    </row>
    <row r="45" spans="2:134" s="3" customFormat="1" x14ac:dyDescent="0.25">
      <c r="B45" s="3" t="s">
        <v>40</v>
      </c>
      <c r="J45" s="3">
        <f>+J35/I35 -1</f>
        <v>8.1627134189864226E-2</v>
      </c>
      <c r="K45" s="3">
        <f t="shared" ref="K45:Q45" si="31">+K35/J35 -1</f>
        <v>0.16073775727585371</v>
      </c>
      <c r="L45" s="3">
        <f t="shared" si="31"/>
        <v>0.10059449429689638</v>
      </c>
      <c r="M45" s="3">
        <f t="shared" si="31"/>
        <v>9.7116095890980692E-2</v>
      </c>
      <c r="N45" s="3">
        <f t="shared" si="31"/>
        <v>9.4082224147210125E-2</v>
      </c>
      <c r="O45" s="3">
        <f t="shared" si="31"/>
        <v>9.1420755046048852E-2</v>
      </c>
      <c r="P45" s="3">
        <f t="shared" si="31"/>
        <v>8.9074237226448361E-2</v>
      </c>
      <c r="Q45" s="3">
        <f t="shared" si="31"/>
        <v>8.6996338852509236E-2</v>
      </c>
      <c r="S45" s="1" t="s">
        <v>38</v>
      </c>
      <c r="T45" s="1"/>
    </row>
    <row r="46" spans="2:134" s="3" customFormat="1" x14ac:dyDescent="0.25">
      <c r="B46" s="3" t="s">
        <v>43</v>
      </c>
      <c r="G46" s="1"/>
      <c r="H46" s="1"/>
      <c r="I46" s="1">
        <f>+I38*20</f>
        <v>95.958188153310118</v>
      </c>
      <c r="J46" s="1">
        <f t="shared" ref="J46:Q46" si="32">+J38*20</f>
        <v>104.22095209790209</v>
      </c>
      <c r="K46" s="1">
        <f t="shared" si="32"/>
        <v>121.25420426444063</v>
      </c>
      <c r="L46" s="1">
        <f t="shared" si="32"/>
        <v>133.62757412431364</v>
      </c>
      <c r="M46" s="1">
        <f t="shared" si="32"/>
        <v>146.77474581107441</v>
      </c>
      <c r="N46" s="1">
        <f t="shared" si="32"/>
        <v>160.74811975846646</v>
      </c>
      <c r="O46" s="1">
        <f t="shared" si="32"/>
        <v>175.60366073385387</v>
      </c>
      <c r="P46" s="1">
        <f t="shared" si="32"/>
        <v>191.40114705884923</v>
      </c>
      <c r="Q46" s="1">
        <f t="shared" si="32"/>
        <v>208.20443760663025</v>
      </c>
      <c r="S46" s="1" t="s">
        <v>39</v>
      </c>
      <c r="T46" s="1">
        <f>+T44+T45</f>
        <v>58567.724069332486</v>
      </c>
    </row>
    <row r="47" spans="2:134" s="1" customFormat="1" x14ac:dyDescent="0.25">
      <c r="T47" s="1">
        <f>+T46/Q39</f>
        <v>102.39112599533651</v>
      </c>
    </row>
    <row r="48" spans="2:134" s="1" customFormat="1" x14ac:dyDescent="0.25">
      <c r="B48" s="1" t="s">
        <v>26</v>
      </c>
      <c r="G48" s="1">
        <v>3554</v>
      </c>
      <c r="H48" s="1">
        <v>3542</v>
      </c>
      <c r="I48" s="1">
        <v>4609</v>
      </c>
    </row>
    <row r="49" spans="2:9" s="1" customFormat="1" x14ac:dyDescent="0.25">
      <c r="B49" s="1" t="s">
        <v>27</v>
      </c>
      <c r="G49" s="1">
        <f>225+257</f>
        <v>482</v>
      </c>
      <c r="H49" s="1">
        <f>190+299</f>
        <v>489</v>
      </c>
      <c r="I49" s="1">
        <f>406+346</f>
        <v>752</v>
      </c>
    </row>
    <row r="50" spans="2:9" s="2" customFormat="1" x14ac:dyDescent="0.25">
      <c r="B50" s="2" t="s">
        <v>28</v>
      </c>
      <c r="G50" s="2">
        <f>+G48-G49</f>
        <v>3072</v>
      </c>
      <c r="H50" s="2">
        <f>+H48-H49</f>
        <v>3053</v>
      </c>
      <c r="I50" s="2">
        <f>+I48-I49</f>
        <v>3857</v>
      </c>
    </row>
    <row r="51" spans="2:9" s="1" customFormat="1" x14ac:dyDescent="0.25"/>
    <row r="52" spans="2:9" s="1" customFormat="1" x14ac:dyDescent="0.25">
      <c r="B52" s="1" t="s">
        <v>29</v>
      </c>
      <c r="H52" s="1">
        <f>899+531+680</f>
        <v>2110</v>
      </c>
      <c r="I52" s="1">
        <f>844+1142+594</f>
        <v>2580</v>
      </c>
    </row>
    <row r="53" spans="2:9" s="1" customFormat="1" x14ac:dyDescent="0.25">
      <c r="B53" s="1" t="s">
        <v>30</v>
      </c>
      <c r="H53" s="1">
        <f>1954+20659</f>
        <v>22613</v>
      </c>
      <c r="I53" s="1">
        <f>17341+3027</f>
        <v>20368</v>
      </c>
    </row>
    <row r="54" spans="2:9" s="1" customFormat="1" x14ac:dyDescent="0.25"/>
    <row r="55" spans="2:9" s="4" customFormat="1" x14ac:dyDescent="0.25">
      <c r="B55" s="4" t="s">
        <v>31</v>
      </c>
      <c r="H55" s="4">
        <f>+H31/H53</f>
        <v>3.5731658780347585E-2</v>
      </c>
      <c r="I55" s="4">
        <f>+I31/I53</f>
        <v>4.4677926158680284E-2</v>
      </c>
    </row>
    <row r="56" spans="2:9" s="1" customFormat="1" x14ac:dyDescent="0.25"/>
    <row r="57" spans="2:9" s="1" customFormat="1" x14ac:dyDescent="0.25"/>
    <row r="58" spans="2:9" s="1" customFormat="1" x14ac:dyDescent="0.25"/>
    <row r="59" spans="2:9" s="1" customFormat="1" x14ac:dyDescent="0.25"/>
    <row r="60" spans="2:9" s="1" customFormat="1" x14ac:dyDescent="0.25"/>
    <row r="61" spans="2:9" s="1" customFormat="1" x14ac:dyDescent="0.25"/>
    <row r="62" spans="2:9" s="1" customFormat="1" x14ac:dyDescent="0.25"/>
    <row r="63" spans="2:9" s="1" customFormat="1" x14ac:dyDescent="0.25"/>
    <row r="64" spans="2:9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2025-10-14T17:13:05Z</dcterms:created>
  <dcterms:modified xsi:type="dcterms:W3CDTF">2026-02-06T13:32:08Z</dcterms:modified>
</cp:coreProperties>
</file>