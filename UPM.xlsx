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09507ED2-D9AC-47B5-9ED8-C8E1AE8BE8F4}" xr6:coauthVersionLast="47" xr6:coauthVersionMax="47" xr10:uidLastSave="{00000000-0000-0000-0000-000000000000}"/>
  <bookViews>
    <workbookView xWindow="-120" yWindow="-120" windowWidth="29040" windowHeight="15840" xr2:uid="{9D0248DA-541A-4604-9908-43294F40F574}"/>
  </bookViews>
  <sheets>
    <sheet name="Sheet1" sheetId="1" r:id="rId1"/>
  </sheets>
  <definedNames>
    <definedName name="Share">Sheet1!$S$58</definedName>
    <definedName name="TR">Sheet1!$S$56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" i="1" l="1"/>
  <c r="I43" i="1" s="1"/>
  <c r="J43" i="1" s="1"/>
  <c r="K43" i="1" s="1"/>
  <c r="L43" i="1" s="1"/>
  <c r="M43" i="1" s="1"/>
  <c r="N43" i="1" s="1"/>
  <c r="O43" i="1" s="1"/>
  <c r="P43" i="1" s="1"/>
  <c r="M51" i="1"/>
  <c r="N51" i="1" s="1"/>
  <c r="O51" i="1" s="1"/>
  <c r="P51" i="1" s="1"/>
  <c r="L50" i="1"/>
  <c r="M50" i="1" s="1"/>
  <c r="K50" i="1"/>
  <c r="K52" i="1" s="1"/>
  <c r="J50" i="1"/>
  <c r="J52" i="1" s="1"/>
  <c r="I50" i="1"/>
  <c r="I52" i="1" s="1"/>
  <c r="H50" i="1"/>
  <c r="H52" i="1" s="1"/>
  <c r="H33" i="1"/>
  <c r="I33" i="1" s="1"/>
  <c r="J33" i="1" s="1"/>
  <c r="K33" i="1" s="1"/>
  <c r="L33" i="1" s="1"/>
  <c r="M33" i="1" s="1"/>
  <c r="N33" i="1" s="1"/>
  <c r="O33" i="1" s="1"/>
  <c r="P33" i="1" s="1"/>
  <c r="F11" i="1"/>
  <c r="F10" i="1"/>
  <c r="F9" i="1"/>
  <c r="F8" i="1"/>
  <c r="F7" i="1"/>
  <c r="F6" i="1"/>
  <c r="F5" i="1"/>
  <c r="F13" i="1"/>
  <c r="F4" i="1" s="1"/>
  <c r="H34" i="1"/>
  <c r="I34" i="1" s="1"/>
  <c r="J34" i="1" s="1"/>
  <c r="K34" i="1" s="1"/>
  <c r="L34" i="1" s="1"/>
  <c r="M34" i="1" s="1"/>
  <c r="N34" i="1" s="1"/>
  <c r="O34" i="1" s="1"/>
  <c r="P34" i="1" s="1"/>
  <c r="H39" i="1"/>
  <c r="I39" i="1" s="1"/>
  <c r="J39" i="1" s="1"/>
  <c r="G5" i="1"/>
  <c r="G6" i="1"/>
  <c r="G7" i="1"/>
  <c r="G8" i="1"/>
  <c r="G9" i="1"/>
  <c r="G10" i="1"/>
  <c r="G11" i="1"/>
  <c r="F30" i="1"/>
  <c r="F38" i="1" s="1"/>
  <c r="G30" i="1"/>
  <c r="G38" i="1" s="1"/>
  <c r="G13" i="1"/>
  <c r="G4" i="1" s="1"/>
  <c r="H20" i="1"/>
  <c r="H28" i="1"/>
  <c r="I28" i="1" s="1"/>
  <c r="J28" i="1" s="1"/>
  <c r="K28" i="1" s="1"/>
  <c r="L28" i="1" s="1"/>
  <c r="H19" i="1"/>
  <c r="H10" i="1" s="1"/>
  <c r="H27" i="1"/>
  <c r="I27" i="1" s="1"/>
  <c r="H18" i="1"/>
  <c r="H26" i="1"/>
  <c r="I26" i="1" s="1"/>
  <c r="H17" i="1"/>
  <c r="H8" i="1" s="1"/>
  <c r="H25" i="1"/>
  <c r="I25" i="1" s="1"/>
  <c r="H24" i="1"/>
  <c r="I24" i="1" s="1"/>
  <c r="H16" i="1"/>
  <c r="H7" i="1" s="1"/>
  <c r="H15" i="1"/>
  <c r="H23" i="1"/>
  <c r="I23" i="1" s="1"/>
  <c r="H14" i="1"/>
  <c r="H22" i="1"/>
  <c r="I22" i="1" s="1"/>
  <c r="F62" i="1"/>
  <c r="F63" i="1" s="1"/>
  <c r="G62" i="1"/>
  <c r="G63" i="1" s="1"/>
  <c r="F56" i="1"/>
  <c r="G56" i="1"/>
  <c r="F52" i="1"/>
  <c r="G52" i="1"/>
  <c r="G2" i="1"/>
  <c r="H2" i="1" s="1"/>
  <c r="I2" i="1" s="1"/>
  <c r="J2" i="1" s="1"/>
  <c r="K2" i="1" s="1"/>
  <c r="L2" i="1" s="1"/>
  <c r="M2" i="1" s="1"/>
  <c r="N2" i="1" s="1"/>
  <c r="O2" i="1" s="1"/>
  <c r="P2" i="1" s="1"/>
  <c r="H5" i="1" l="1"/>
  <c r="H9" i="1"/>
  <c r="H11" i="1"/>
  <c r="H6" i="1"/>
  <c r="I30" i="1"/>
  <c r="J22" i="1"/>
  <c r="I14" i="1"/>
  <c r="M28" i="1"/>
  <c r="L20" i="1"/>
  <c r="I15" i="1"/>
  <c r="J23" i="1"/>
  <c r="I16" i="1"/>
  <c r="J24" i="1"/>
  <c r="I19" i="1"/>
  <c r="J27" i="1"/>
  <c r="J25" i="1"/>
  <c r="I17" i="1"/>
  <c r="J26" i="1"/>
  <c r="I18" i="1"/>
  <c r="H30" i="1"/>
  <c r="F21" i="1"/>
  <c r="N50" i="1"/>
  <c r="M52" i="1"/>
  <c r="L52" i="1"/>
  <c r="K39" i="1"/>
  <c r="L39" i="1" s="1"/>
  <c r="G57" i="1"/>
  <c r="H13" i="1"/>
  <c r="G40" i="1"/>
  <c r="G42" i="1" s="1"/>
  <c r="G47" i="1" s="1"/>
  <c r="G46" i="1"/>
  <c r="F40" i="1"/>
  <c r="F42" i="1" s="1"/>
  <c r="F47" i="1" s="1"/>
  <c r="F46" i="1"/>
  <c r="G48" i="1"/>
  <c r="H38" i="1" l="1"/>
  <c r="H46" i="1" s="1"/>
  <c r="K23" i="1"/>
  <c r="J15" i="1"/>
  <c r="K25" i="1"/>
  <c r="J17" i="1"/>
  <c r="N28" i="1"/>
  <c r="M20" i="1"/>
  <c r="I13" i="1"/>
  <c r="H4" i="1"/>
  <c r="H48" i="1"/>
  <c r="H32" i="1"/>
  <c r="H35" i="1"/>
  <c r="J18" i="1"/>
  <c r="K26" i="1"/>
  <c r="K22" i="1"/>
  <c r="J30" i="1"/>
  <c r="J14" i="1"/>
  <c r="K27" i="1"/>
  <c r="J19" i="1"/>
  <c r="K24" i="1"/>
  <c r="J16" i="1"/>
  <c r="I32" i="1"/>
  <c r="I38" i="1" s="1"/>
  <c r="I48" i="1"/>
  <c r="I35" i="1"/>
  <c r="O50" i="1"/>
  <c r="N52" i="1"/>
  <c r="M39" i="1"/>
  <c r="H40" i="1" l="1"/>
  <c r="H41" i="1" s="1"/>
  <c r="H42" i="1" s="1"/>
  <c r="H44" i="1" s="1"/>
  <c r="I46" i="1"/>
  <c r="I40" i="1"/>
  <c r="I41" i="1" s="1"/>
  <c r="I42" i="1" s="1"/>
  <c r="L24" i="1"/>
  <c r="K16" i="1"/>
  <c r="J13" i="1"/>
  <c r="L25" i="1"/>
  <c r="K17" i="1"/>
  <c r="L27" i="1"/>
  <c r="K19" i="1"/>
  <c r="L26" i="1"/>
  <c r="K18" i="1"/>
  <c r="H47" i="1"/>
  <c r="L22" i="1"/>
  <c r="K30" i="1"/>
  <c r="K14" i="1"/>
  <c r="L23" i="1"/>
  <c r="K15" i="1"/>
  <c r="O28" i="1"/>
  <c r="N20" i="1"/>
  <c r="J32" i="1"/>
  <c r="J35" i="1"/>
  <c r="J48" i="1"/>
  <c r="J38" i="1"/>
  <c r="P50" i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Y52" i="1" s="1"/>
  <c r="AZ52" i="1" s="1"/>
  <c r="BA52" i="1" s="1"/>
  <c r="BB52" i="1" s="1"/>
  <c r="BC52" i="1" s="1"/>
  <c r="BD52" i="1" s="1"/>
  <c r="BE52" i="1" s="1"/>
  <c r="BF52" i="1" s="1"/>
  <c r="BG52" i="1" s="1"/>
  <c r="BH52" i="1" s="1"/>
  <c r="BI52" i="1" s="1"/>
  <c r="BJ52" i="1" s="1"/>
  <c r="BK52" i="1" s="1"/>
  <c r="BL52" i="1" s="1"/>
  <c r="BM52" i="1" s="1"/>
  <c r="BN52" i="1" s="1"/>
  <c r="BO52" i="1" s="1"/>
  <c r="BP52" i="1" s="1"/>
  <c r="BQ52" i="1" s="1"/>
  <c r="BR52" i="1" s="1"/>
  <c r="BS52" i="1" s="1"/>
  <c r="BT52" i="1" s="1"/>
  <c r="BU52" i="1" s="1"/>
  <c r="BV52" i="1" s="1"/>
  <c r="BW52" i="1" s="1"/>
  <c r="BX52" i="1" s="1"/>
  <c r="BY52" i="1" s="1"/>
  <c r="BZ52" i="1" s="1"/>
  <c r="CA52" i="1" s="1"/>
  <c r="CB52" i="1" s="1"/>
  <c r="CC52" i="1" s="1"/>
  <c r="CD52" i="1" s="1"/>
  <c r="CE52" i="1" s="1"/>
  <c r="CF52" i="1" s="1"/>
  <c r="CG52" i="1" s="1"/>
  <c r="CH52" i="1" s="1"/>
  <c r="CI52" i="1" s="1"/>
  <c r="CJ52" i="1" s="1"/>
  <c r="CK52" i="1" s="1"/>
  <c r="CL52" i="1" s="1"/>
  <c r="CM52" i="1" s="1"/>
  <c r="CN52" i="1" s="1"/>
  <c r="CO52" i="1" s="1"/>
  <c r="CP52" i="1" s="1"/>
  <c r="CQ52" i="1" s="1"/>
  <c r="CR52" i="1" s="1"/>
  <c r="CS52" i="1" s="1"/>
  <c r="CT52" i="1" s="1"/>
  <c r="CU52" i="1" s="1"/>
  <c r="CV52" i="1" s="1"/>
  <c r="CW52" i="1" s="1"/>
  <c r="CX52" i="1" s="1"/>
  <c r="CY52" i="1" s="1"/>
  <c r="CZ52" i="1" s="1"/>
  <c r="DA52" i="1" s="1"/>
  <c r="DB52" i="1" s="1"/>
  <c r="DC52" i="1" s="1"/>
  <c r="DD52" i="1" s="1"/>
  <c r="DE52" i="1" s="1"/>
  <c r="DF52" i="1" s="1"/>
  <c r="DG52" i="1" s="1"/>
  <c r="DH52" i="1" s="1"/>
  <c r="DI52" i="1" s="1"/>
  <c r="DJ52" i="1" s="1"/>
  <c r="DK52" i="1" s="1"/>
  <c r="DL52" i="1" s="1"/>
  <c r="DM52" i="1" s="1"/>
  <c r="DN52" i="1" s="1"/>
  <c r="DO52" i="1" s="1"/>
  <c r="DP52" i="1" s="1"/>
  <c r="DQ52" i="1" s="1"/>
  <c r="DR52" i="1" s="1"/>
  <c r="DS52" i="1" s="1"/>
  <c r="DT52" i="1" s="1"/>
  <c r="DU52" i="1" s="1"/>
  <c r="O52" i="1"/>
  <c r="N39" i="1"/>
  <c r="I47" i="1" l="1"/>
  <c r="I44" i="1"/>
  <c r="P28" i="1"/>
  <c r="P20" i="1" s="1"/>
  <c r="O20" i="1"/>
  <c r="M25" i="1"/>
  <c r="L17" i="1"/>
  <c r="M23" i="1"/>
  <c r="L15" i="1"/>
  <c r="M27" i="1"/>
  <c r="L19" i="1"/>
  <c r="K13" i="1"/>
  <c r="M26" i="1"/>
  <c r="L18" i="1"/>
  <c r="M24" i="1"/>
  <c r="L16" i="1"/>
  <c r="J46" i="1"/>
  <c r="J40" i="1"/>
  <c r="J41" i="1" s="1"/>
  <c r="J42" i="1" s="1"/>
  <c r="J44" i="1" s="1"/>
  <c r="K32" i="1"/>
  <c r="K48" i="1"/>
  <c r="K35" i="1"/>
  <c r="K38" i="1"/>
  <c r="M22" i="1"/>
  <c r="L30" i="1"/>
  <c r="L14" i="1"/>
  <c r="L13" i="1" s="1"/>
  <c r="O39" i="1"/>
  <c r="K46" i="1" l="1"/>
  <c r="K40" i="1"/>
  <c r="K41" i="1" s="1"/>
  <c r="K42" i="1" s="1"/>
  <c r="N26" i="1"/>
  <c r="M18" i="1"/>
  <c r="N22" i="1"/>
  <c r="M30" i="1"/>
  <c r="M14" i="1"/>
  <c r="J47" i="1"/>
  <c r="N24" i="1"/>
  <c r="M16" i="1"/>
  <c r="L32" i="1"/>
  <c r="L38" i="1" s="1"/>
  <c r="L48" i="1"/>
  <c r="L35" i="1"/>
  <c r="N23" i="1"/>
  <c r="M15" i="1"/>
  <c r="N27" i="1"/>
  <c r="M19" i="1"/>
  <c r="N25" i="1"/>
  <c r="M17" i="1"/>
  <c r="P39" i="1"/>
  <c r="K47" i="1" l="1"/>
  <c r="K44" i="1"/>
  <c r="L46" i="1"/>
  <c r="L40" i="1"/>
  <c r="L41" i="1" s="1"/>
  <c r="L42" i="1" s="1"/>
  <c r="L44" i="1" s="1"/>
  <c r="O24" i="1"/>
  <c r="N16" i="1"/>
  <c r="O25" i="1"/>
  <c r="N17" i="1"/>
  <c r="M13" i="1"/>
  <c r="O27" i="1"/>
  <c r="N19" i="1"/>
  <c r="M35" i="1"/>
  <c r="M32" i="1"/>
  <c r="M48" i="1"/>
  <c r="N30" i="1"/>
  <c r="N14" i="1"/>
  <c r="O22" i="1"/>
  <c r="O23" i="1"/>
  <c r="N15" i="1"/>
  <c r="O26" i="1"/>
  <c r="N18" i="1"/>
  <c r="M38" i="1" l="1"/>
  <c r="M46" i="1" s="1"/>
  <c r="P27" i="1"/>
  <c r="P19" i="1" s="1"/>
  <c r="O19" i="1"/>
  <c r="P26" i="1"/>
  <c r="P18" i="1" s="1"/>
  <c r="O18" i="1"/>
  <c r="P23" i="1"/>
  <c r="P15" i="1" s="1"/>
  <c r="O15" i="1"/>
  <c r="P25" i="1"/>
  <c r="P17" i="1" s="1"/>
  <c r="O17" i="1"/>
  <c r="P22" i="1"/>
  <c r="O14" i="1"/>
  <c r="O13" i="1" s="1"/>
  <c r="O30" i="1"/>
  <c r="N13" i="1"/>
  <c r="P24" i="1"/>
  <c r="P16" i="1" s="1"/>
  <c r="O16" i="1"/>
  <c r="N35" i="1"/>
  <c r="N32" i="1"/>
  <c r="N48" i="1"/>
  <c r="N38" i="1"/>
  <c r="L47" i="1"/>
  <c r="M40" i="1" l="1"/>
  <c r="M41" i="1" s="1"/>
  <c r="M42" i="1" s="1"/>
  <c r="P14" i="1"/>
  <c r="P30" i="1"/>
  <c r="N46" i="1"/>
  <c r="N40" i="1"/>
  <c r="N41" i="1" s="1"/>
  <c r="N42" i="1" s="1"/>
  <c r="N44" i="1" s="1"/>
  <c r="P13" i="1"/>
  <c r="O35" i="1"/>
  <c r="O48" i="1"/>
  <c r="O32" i="1"/>
  <c r="O38" i="1"/>
  <c r="M47" i="1" l="1"/>
  <c r="M44" i="1"/>
  <c r="O46" i="1"/>
  <c r="O40" i="1"/>
  <c r="O41" i="1" s="1"/>
  <c r="O42" i="1" s="1"/>
  <c r="N47" i="1"/>
  <c r="P35" i="1"/>
  <c r="P48" i="1"/>
  <c r="P32" i="1"/>
  <c r="P38" i="1"/>
  <c r="O47" i="1" l="1"/>
  <c r="O44" i="1"/>
  <c r="P46" i="1"/>
  <c r="P40" i="1"/>
  <c r="P41" i="1" s="1"/>
  <c r="P42" i="1" s="1"/>
  <c r="P44" i="1" s="1"/>
  <c r="Q42" i="1" l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G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T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CG42" i="1" s="1"/>
  <c r="CH42" i="1" s="1"/>
  <c r="CI42" i="1" s="1"/>
  <c r="CJ42" i="1" s="1"/>
  <c r="CK42" i="1" s="1"/>
  <c r="CL42" i="1" s="1"/>
  <c r="CM42" i="1" s="1"/>
  <c r="CN42" i="1" s="1"/>
  <c r="CO42" i="1" s="1"/>
  <c r="CP42" i="1" s="1"/>
  <c r="CQ42" i="1" s="1"/>
  <c r="CR42" i="1" s="1"/>
  <c r="CS42" i="1" s="1"/>
  <c r="CT42" i="1" s="1"/>
  <c r="CU42" i="1" s="1"/>
  <c r="CV42" i="1" s="1"/>
  <c r="CW42" i="1" s="1"/>
  <c r="CX42" i="1" s="1"/>
  <c r="CY42" i="1" s="1"/>
  <c r="CZ42" i="1" s="1"/>
  <c r="DA42" i="1" s="1"/>
  <c r="DB42" i="1" s="1"/>
  <c r="DC42" i="1" s="1"/>
  <c r="DD42" i="1" s="1"/>
  <c r="DE42" i="1" s="1"/>
  <c r="DF42" i="1" s="1"/>
  <c r="DG42" i="1" s="1"/>
  <c r="DH42" i="1" s="1"/>
  <c r="DI42" i="1" s="1"/>
  <c r="DJ42" i="1" s="1"/>
  <c r="DK42" i="1" s="1"/>
  <c r="DL42" i="1" s="1"/>
  <c r="DM42" i="1" s="1"/>
  <c r="DN42" i="1" s="1"/>
  <c r="DO42" i="1" s="1"/>
  <c r="DP42" i="1" s="1"/>
  <c r="DQ42" i="1" s="1"/>
  <c r="DR42" i="1" s="1"/>
  <c r="DS42" i="1" s="1"/>
  <c r="DT42" i="1" s="1"/>
  <c r="DU42" i="1" s="1"/>
  <c r="P47" i="1"/>
  <c r="S57" i="1" l="1"/>
  <c r="S59" i="1" s="1"/>
  <c r="S61" i="1" s="1"/>
</calcChain>
</file>

<file path=xl/sharedStrings.xml><?xml version="1.0" encoding="utf-8"?>
<sst xmlns="http://schemas.openxmlformats.org/spreadsheetml/2006/main" count="60" uniqueCount="45">
  <si>
    <t>Revenue</t>
  </si>
  <si>
    <t>Fibres</t>
  </si>
  <si>
    <t>Energy</t>
  </si>
  <si>
    <t>Raflatac</t>
  </si>
  <si>
    <t>Specialty Paper</t>
  </si>
  <si>
    <t>Communication Paper</t>
  </si>
  <si>
    <t>Plywood</t>
  </si>
  <si>
    <t>Other</t>
  </si>
  <si>
    <t>Materials</t>
  </si>
  <si>
    <t>Employee costs</t>
  </si>
  <si>
    <t>Other costs</t>
  </si>
  <si>
    <t>Delivery</t>
  </si>
  <si>
    <t>Operating Income</t>
  </si>
  <si>
    <t>D&amp;A</t>
  </si>
  <si>
    <t>Finance, net</t>
  </si>
  <si>
    <t>Pretax</t>
  </si>
  <si>
    <t>Taxes</t>
  </si>
  <si>
    <t>Net Income</t>
  </si>
  <si>
    <t>Net Margin</t>
  </si>
  <si>
    <t>Ravenue</t>
  </si>
  <si>
    <t>CFFO</t>
  </si>
  <si>
    <t>CapEx</t>
  </si>
  <si>
    <t>FCF</t>
  </si>
  <si>
    <t>Operating Margin</t>
  </si>
  <si>
    <t>Current Assets</t>
  </si>
  <si>
    <t>Current Liab.</t>
  </si>
  <si>
    <t>Working Capital</t>
  </si>
  <si>
    <t>Delta</t>
  </si>
  <si>
    <t>Cash</t>
  </si>
  <si>
    <t>Forrest</t>
  </si>
  <si>
    <t>PP&amp;E</t>
  </si>
  <si>
    <t>Debt</t>
  </si>
  <si>
    <t>NAV</t>
  </si>
  <si>
    <t>Operating Profit</t>
  </si>
  <si>
    <t>Eliminations</t>
  </si>
  <si>
    <t>Other Income</t>
  </si>
  <si>
    <t>Forrest value change</t>
  </si>
  <si>
    <t>Discount</t>
  </si>
  <si>
    <t>Terminal</t>
  </si>
  <si>
    <t>NPV</t>
  </si>
  <si>
    <t>Share</t>
  </si>
  <si>
    <t>Price</t>
  </si>
  <si>
    <t>Current</t>
  </si>
  <si>
    <t>Shares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</si>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</sst>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4" fontId="0" fillId="0" borderId="0" xfId="0" applyNumberFormat="1"/>
    <xf numFmtId="164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7327</xdr:colOff>
      <xdr:row>21</xdr:row>
      <xdr:rowOff>0</xdr:rowOff>
    </xdr:from>
    <xdr:to>
      <xdr:col>7</xdr:col>
      <xdr:colOff>7327</xdr:colOff>
      <xdr:row>57</xdr:row>
      <xdr:rowOff>168519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9F423F7-311D-846A-21B5-B6D0EDF4947B}"/>
            </a:ext>
          </a:extLst>
        </xdr:cNvPr>
        <xdr:cNvCxnSpPr/>
      </xdr:nvCxnSpPr>
      <xdr:spPr>
        <a:xfrm>
          <a:off x="4630615" y="571500"/>
          <a:ext cx="0" cy="60740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A5B1-BCB1-403D-8B80-55CA93D59E21}">
  <dimension ref="B2:DU63"/>
  <sheetViews>
    <sheetView tabSelected="1" zoomScale="130" zoomScaleNormal="130" workbookViewId="0">
      <pane xSplit="2" ySplit="2" topLeftCell="D39" activePane="bottomRight" state="frozen"/>
      <selection pane="topRight" activeCell="C1" sqref="C1"/>
      <selection pane="bottomLeft" activeCell="A3" sqref="A3"/>
      <selection pane="bottomRight" activeCell="S62" sqref="S62"/>
    </sheetView>
  </sheetViews>
  <sheetFormatPr defaultRowHeight="15" x14ac:dyDescent="0.25"/>
  <cols>
    <col min="1" max="1" width="2.85546875" style="1" customWidth="1"/>
    <col min="2" max="2" width="20.85546875" style="1" bestFit="1" customWidth="1"/>
    <col min="3" max="16384" width="9.140625" style="1"/>
  </cols>
  <sheetData>
    <row r="2" spans="2:16" customFormat="1" x14ac:dyDescent="0.25">
      <c r="F2">
        <v>2022</v>
      </c>
      <c r="G2">
        <f>+F2+1</f>
        <v>2023</v>
      </c>
      <c r="H2">
        <f t="shared" ref="H2:P2" si="0">+G2+1</f>
        <v>2024</v>
      </c>
      <c r="I2">
        <f t="shared" si="0"/>
        <v>2025</v>
      </c>
      <c r="J2">
        <f t="shared" si="0"/>
        <v>2026</v>
      </c>
      <c r="K2">
        <f t="shared" si="0"/>
        <v>2027</v>
      </c>
      <c r="L2">
        <f t="shared" si="0"/>
        <v>2028</v>
      </c>
      <c r="M2">
        <f t="shared" si="0"/>
        <v>2029</v>
      </c>
      <c r="N2">
        <f t="shared" si="0"/>
        <v>2030</v>
      </c>
      <c r="O2">
        <f t="shared" si="0"/>
        <v>2031</v>
      </c>
      <c r="P2">
        <f t="shared" si="0"/>
        <v>2032</v>
      </c>
    </row>
    <row r="4" spans="2:16" x14ac:dyDescent="0.25">
      <c r="B4" s="2" t="s">
        <v>23</v>
      </c>
      <c r="F4" s="3">
        <f>+F13/F30</f>
        <v>0.17003668628956572</v>
      </c>
      <c r="G4" s="3">
        <f>+G13/G30</f>
        <v>6.2804703183252084E-2</v>
      </c>
      <c r="H4" s="3">
        <f>+H13/H30</f>
        <v>9.8021874887196367E-2</v>
      </c>
    </row>
    <row r="5" spans="2:16" s="3" customFormat="1" x14ac:dyDescent="0.25">
      <c r="B5" s="3" t="s">
        <v>1</v>
      </c>
      <c r="F5" s="3">
        <f>+F14/F22</f>
        <v>0.191198224852071</v>
      </c>
      <c r="G5" s="3">
        <f>+G14/G22</f>
        <v>3.8107752956636008E-2</v>
      </c>
      <c r="H5" s="3">
        <f>+H14/H22</f>
        <v>0.14558122478914559</v>
      </c>
    </row>
    <row r="6" spans="2:16" s="3" customFormat="1" x14ac:dyDescent="0.25">
      <c r="B6" s="3" t="s">
        <v>2</v>
      </c>
      <c r="F6" s="3">
        <f t="shared" ref="F6" si="1">+F15/F23</f>
        <v>0.51907356948228878</v>
      </c>
      <c r="G6" s="3">
        <f t="shared" ref="G6:H10" si="2">+G15/G23</f>
        <v>0.28980891719745222</v>
      </c>
      <c r="H6" s="3">
        <f t="shared" si="2"/>
        <v>0.26666666666666672</v>
      </c>
    </row>
    <row r="7" spans="2:16" s="3" customFormat="1" x14ac:dyDescent="0.25">
      <c r="B7" s="3" t="s">
        <v>3</v>
      </c>
      <c r="F7" s="3">
        <f t="shared" ref="F7" si="3">+F16/F24</f>
        <v>0.10242179616548941</v>
      </c>
      <c r="G7" s="3">
        <f t="shared" si="2"/>
        <v>5.4545454545454543E-2</v>
      </c>
      <c r="H7" s="3">
        <f t="shared" si="2"/>
        <v>8.8907705334462322E-2</v>
      </c>
    </row>
    <row r="8" spans="2:16" s="3" customFormat="1" x14ac:dyDescent="0.25">
      <c r="B8" s="3" t="s">
        <v>4</v>
      </c>
      <c r="F8" s="3">
        <f t="shared" ref="F8" si="4">+F17/F25</f>
        <v>9.1234347048300538E-2</v>
      </c>
      <c r="G8" s="3">
        <f t="shared" si="2"/>
        <v>6.5993265993265993E-2</v>
      </c>
      <c r="H8" s="3">
        <f t="shared" si="2"/>
        <v>0.10100090991810738</v>
      </c>
    </row>
    <row r="9" spans="2:16" s="3" customFormat="1" x14ac:dyDescent="0.25">
      <c r="B9" s="3" t="s">
        <v>5</v>
      </c>
      <c r="F9" s="3">
        <f t="shared" ref="F9" si="5">+F18/F26</f>
        <v>0.12967529798602548</v>
      </c>
      <c r="G9" s="3">
        <f t="shared" si="2"/>
        <v>4.8360200111172875E-2</v>
      </c>
      <c r="H9" s="3">
        <f t="shared" si="2"/>
        <v>3.7086092715231792E-2</v>
      </c>
    </row>
    <row r="10" spans="2:16" s="3" customFormat="1" x14ac:dyDescent="0.25">
      <c r="B10" s="3" t="s">
        <v>6</v>
      </c>
      <c r="F10" s="3">
        <f t="shared" ref="F10" si="6">+F19/F27</f>
        <v>8.1632653061224483E-2</v>
      </c>
      <c r="G10" s="3">
        <f t="shared" si="2"/>
        <v>0.11848341232227488</v>
      </c>
      <c r="H10" s="3">
        <f t="shared" si="2"/>
        <v>0.10903426791277258</v>
      </c>
    </row>
    <row r="11" spans="2:16" s="3" customFormat="1" x14ac:dyDescent="0.25">
      <c r="B11" s="3" t="s">
        <v>7</v>
      </c>
      <c r="F11" s="3">
        <f>+F20/F28</f>
        <v>0.10094637223974763</v>
      </c>
      <c r="G11" s="3">
        <f>+G20/G28</f>
        <v>-5.4862842892768077E-2</v>
      </c>
      <c r="H11" s="3">
        <f>+H20/H28</f>
        <v>-4.3908880818752057E-2</v>
      </c>
    </row>
    <row r="12" spans="2:16" s="3" customFormat="1" x14ac:dyDescent="0.25"/>
    <row r="13" spans="2:16" x14ac:dyDescent="0.25">
      <c r="B13" s="2" t="s">
        <v>33</v>
      </c>
      <c r="F13" s="2">
        <f>+SUM(F14:F20)</f>
        <v>1993</v>
      </c>
      <c r="G13" s="2">
        <f>+SUM(G14:G20)</f>
        <v>657</v>
      </c>
      <c r="H13" s="2">
        <f>+SUM(H14:H20)</f>
        <v>1086.2000000000003</v>
      </c>
      <c r="I13" s="2">
        <f t="shared" ref="I13:P13" si="7">+SUM(I14:I20)</f>
        <v>1184.10745</v>
      </c>
      <c r="J13" s="2">
        <f t="shared" si="7"/>
        <v>1231.1463935000002</v>
      </c>
      <c r="K13" s="2">
        <f t="shared" si="7"/>
        <v>1279.4027608050001</v>
      </c>
      <c r="L13" s="2">
        <f t="shared" si="7"/>
        <v>1360.1281908805499</v>
      </c>
      <c r="M13" s="2">
        <f t="shared" si="7"/>
        <v>1448.7509305218887</v>
      </c>
      <c r="N13" s="2">
        <f t="shared" si="7"/>
        <v>1498.0413719006015</v>
      </c>
      <c r="O13" s="2">
        <f t="shared" si="7"/>
        <v>1542.9486470017932</v>
      </c>
      <c r="P13" s="2">
        <f t="shared" si="7"/>
        <v>1589.5994210004226</v>
      </c>
    </row>
    <row r="14" spans="2:16" x14ac:dyDescent="0.25">
      <c r="B14" s="1" t="s">
        <v>1</v>
      </c>
      <c r="F14" s="1">
        <v>517</v>
      </c>
      <c r="G14" s="1">
        <v>116</v>
      </c>
      <c r="H14" s="1">
        <f>397*1.3</f>
        <v>516.1</v>
      </c>
      <c r="I14" s="1">
        <f>+I22*0.15</f>
        <v>547.71794999999997</v>
      </c>
      <c r="J14" s="1">
        <f t="shared" ref="J14:P14" si="8">+J22*0.15</f>
        <v>564.14948849999996</v>
      </c>
      <c r="K14" s="1">
        <f t="shared" si="8"/>
        <v>581.07397315499998</v>
      </c>
      <c r="L14" s="1">
        <f t="shared" si="8"/>
        <v>598.50619234965006</v>
      </c>
      <c r="M14" s="1">
        <f t="shared" si="8"/>
        <v>616.46137812013956</v>
      </c>
      <c r="N14" s="1">
        <f t="shared" si="8"/>
        <v>634.95521946374379</v>
      </c>
      <c r="O14" s="1">
        <f t="shared" si="8"/>
        <v>647.65432385301858</v>
      </c>
      <c r="P14" s="1">
        <f t="shared" si="8"/>
        <v>660.60741033007901</v>
      </c>
    </row>
    <row r="15" spans="2:16" x14ac:dyDescent="0.25">
      <c r="B15" s="1" t="s">
        <v>2</v>
      </c>
      <c r="F15" s="1">
        <v>381</v>
      </c>
      <c r="G15" s="1">
        <v>182</v>
      </c>
      <c r="H15" s="1">
        <f>124*1.3</f>
        <v>161.20000000000002</v>
      </c>
      <c r="I15" s="1">
        <f>+I23*0.25</f>
        <v>154.14750000000001</v>
      </c>
      <c r="J15" s="1">
        <f t="shared" ref="J15:P15" si="9">+J23*0.25</f>
        <v>157.23045000000002</v>
      </c>
      <c r="K15" s="1">
        <f t="shared" si="9"/>
        <v>160.37505900000002</v>
      </c>
      <c r="L15" s="1">
        <f t="shared" si="9"/>
        <v>163.58256018000003</v>
      </c>
      <c r="M15" s="1">
        <f t="shared" si="9"/>
        <v>166.85421138360005</v>
      </c>
      <c r="N15" s="1">
        <f t="shared" si="9"/>
        <v>170.19129561127204</v>
      </c>
      <c r="O15" s="1">
        <f t="shared" si="9"/>
        <v>173.59512152349748</v>
      </c>
      <c r="P15" s="1">
        <f t="shared" si="9"/>
        <v>177.06702395396744</v>
      </c>
    </row>
    <row r="16" spans="2:16" x14ac:dyDescent="0.25">
      <c r="B16" s="1" t="s">
        <v>3</v>
      </c>
      <c r="F16" s="1">
        <v>203</v>
      </c>
      <c r="G16" s="1">
        <v>81</v>
      </c>
      <c r="H16" s="1">
        <f>105*1.3</f>
        <v>136.5</v>
      </c>
      <c r="I16" s="1">
        <f>+I24*0.1</f>
        <v>159.6712</v>
      </c>
      <c r="J16" s="1">
        <f t="shared" ref="J16:P16" si="10">+J24*0.1</f>
        <v>166.05804800000001</v>
      </c>
      <c r="K16" s="1">
        <f t="shared" si="10"/>
        <v>172.70036992000001</v>
      </c>
      <c r="L16" s="1">
        <f t="shared" si="10"/>
        <v>179.60838471680003</v>
      </c>
      <c r="M16" s="1">
        <f t="shared" si="10"/>
        <v>186.79272010547203</v>
      </c>
      <c r="N16" s="1">
        <f t="shared" si="10"/>
        <v>194.26442890969091</v>
      </c>
      <c r="O16" s="1">
        <f t="shared" si="10"/>
        <v>202.03500606607855</v>
      </c>
      <c r="P16" s="1">
        <f t="shared" si="10"/>
        <v>210.11640630872171</v>
      </c>
    </row>
    <row r="17" spans="2:16" x14ac:dyDescent="0.25">
      <c r="B17" s="1" t="s">
        <v>4</v>
      </c>
      <c r="F17" s="1">
        <v>153</v>
      </c>
      <c r="G17" s="1">
        <v>98</v>
      </c>
      <c r="H17" s="1">
        <f>111*1.3</f>
        <v>144.30000000000001</v>
      </c>
      <c r="I17" s="1">
        <f>+I25*0.1</f>
        <v>148.58480000000003</v>
      </c>
      <c r="J17" s="1">
        <f t="shared" ref="J17:P17" si="11">+J25*0.1</f>
        <v>154.52819200000005</v>
      </c>
      <c r="K17" s="1">
        <f t="shared" si="11"/>
        <v>160.70931968000005</v>
      </c>
      <c r="L17" s="1">
        <f t="shared" si="11"/>
        <v>167.13769246720005</v>
      </c>
      <c r="M17" s="1">
        <f t="shared" si="11"/>
        <v>173.82320016588807</v>
      </c>
      <c r="N17" s="1">
        <f t="shared" si="11"/>
        <v>180.77612817252361</v>
      </c>
      <c r="O17" s="1">
        <f t="shared" si="11"/>
        <v>188.00717329942455</v>
      </c>
      <c r="P17" s="1">
        <f t="shared" si="11"/>
        <v>195.52746023140153</v>
      </c>
    </row>
    <row r="18" spans="2:16" x14ac:dyDescent="0.25">
      <c r="B18" s="1" t="s">
        <v>5</v>
      </c>
      <c r="F18" s="1">
        <v>631</v>
      </c>
      <c r="G18" s="1">
        <v>174</v>
      </c>
      <c r="H18" s="1">
        <f>84*1.3</f>
        <v>109.2</v>
      </c>
      <c r="I18" s="1">
        <f>+I26*0.05</f>
        <v>150.1695</v>
      </c>
      <c r="J18" s="1">
        <f t="shared" ref="J18:P18" si="12">+J26*0.05</f>
        <v>153.17289000000002</v>
      </c>
      <c r="K18" s="1">
        <f t="shared" si="12"/>
        <v>156.2363478</v>
      </c>
      <c r="L18" s="1">
        <f t="shared" si="12"/>
        <v>159.36107475599999</v>
      </c>
      <c r="M18" s="1">
        <f t="shared" si="12"/>
        <v>162.54829625112001</v>
      </c>
      <c r="N18" s="1">
        <f t="shared" si="12"/>
        <v>165.79926217614241</v>
      </c>
      <c r="O18" s="1">
        <f t="shared" si="12"/>
        <v>169.11524741966525</v>
      </c>
      <c r="P18" s="1">
        <f t="shared" si="12"/>
        <v>172.49755236805856</v>
      </c>
    </row>
    <row r="19" spans="2:16" x14ac:dyDescent="0.25">
      <c r="B19" s="1" t="s">
        <v>6</v>
      </c>
      <c r="F19" s="1">
        <v>44</v>
      </c>
      <c r="G19" s="1">
        <v>50</v>
      </c>
      <c r="H19" s="1">
        <f>35*1.3</f>
        <v>45.5</v>
      </c>
      <c r="I19" s="1">
        <f>+I27*0.1</f>
        <v>43.816500000000005</v>
      </c>
      <c r="J19" s="1">
        <f t="shared" ref="J19:P19" si="13">+J27*0.1</f>
        <v>46.007325000000009</v>
      </c>
      <c r="K19" s="1">
        <f t="shared" si="13"/>
        <v>48.307691250000005</v>
      </c>
      <c r="L19" s="1">
        <f t="shared" si="13"/>
        <v>50.723075812500014</v>
      </c>
      <c r="M19" s="1">
        <f t="shared" si="13"/>
        <v>53.259229603125021</v>
      </c>
      <c r="N19" s="1">
        <f t="shared" si="13"/>
        <v>55.92219108328127</v>
      </c>
      <c r="O19" s="1">
        <f t="shared" si="13"/>
        <v>58.718300637445338</v>
      </c>
      <c r="P19" s="1">
        <f t="shared" si="13"/>
        <v>61.654215669317608</v>
      </c>
    </row>
    <row r="20" spans="2:16" x14ac:dyDescent="0.25">
      <c r="B20" s="1" t="s">
        <v>7</v>
      </c>
      <c r="F20" s="1">
        <v>64</v>
      </c>
      <c r="G20" s="1">
        <v>-44</v>
      </c>
      <c r="H20" s="1">
        <f>-38*0.7</f>
        <v>-26.599999999999998</v>
      </c>
      <c r="I20" s="1">
        <v>-20</v>
      </c>
      <c r="J20" s="1">
        <v>-10</v>
      </c>
      <c r="K20" s="1">
        <v>0</v>
      </c>
      <c r="L20" s="1">
        <f>+L28*0.05</f>
        <v>41.209210598400013</v>
      </c>
      <c r="M20" s="1">
        <f>+M28*0.1</f>
        <v>89.011894892544035</v>
      </c>
      <c r="N20" s="1">
        <f t="shared" ref="N20:P20" si="14">+N28*0.1</f>
        <v>96.13284648394756</v>
      </c>
      <c r="O20" s="1">
        <f t="shared" si="14"/>
        <v>103.82347420266338</v>
      </c>
      <c r="P20" s="1">
        <f t="shared" si="14"/>
        <v>112.12935213887646</v>
      </c>
    </row>
    <row r="21" spans="2:16" x14ac:dyDescent="0.25">
      <c r="F21" s="5">
        <f>+F32/F30</f>
        <v>0.53408412251514381</v>
      </c>
      <c r="G21" s="5"/>
    </row>
    <row r="22" spans="2:16" x14ac:dyDescent="0.25">
      <c r="B22" s="1" t="s">
        <v>1</v>
      </c>
      <c r="F22" s="1">
        <v>2704</v>
      </c>
      <c r="G22" s="1">
        <v>3044</v>
      </c>
      <c r="H22" s="1">
        <f>2727*1.3</f>
        <v>3545.1</v>
      </c>
      <c r="I22" s="1">
        <f>+H22*1.03</f>
        <v>3651.453</v>
      </c>
      <c r="J22" s="1">
        <f t="shared" ref="J22:N22" si="15">+I22*1.03</f>
        <v>3760.9965900000002</v>
      </c>
      <c r="K22" s="1">
        <f t="shared" si="15"/>
        <v>3873.8264877000001</v>
      </c>
      <c r="L22" s="1">
        <f t="shared" si="15"/>
        <v>3990.0412823310003</v>
      </c>
      <c r="M22" s="1">
        <f t="shared" si="15"/>
        <v>4109.7425208009308</v>
      </c>
      <c r="N22" s="1">
        <f t="shared" si="15"/>
        <v>4233.0347964249586</v>
      </c>
      <c r="O22" s="1">
        <f t="shared" ref="O22:P22" si="16">+N22*1.02</f>
        <v>4317.6954923534577</v>
      </c>
      <c r="P22" s="1">
        <f t="shared" si="16"/>
        <v>4404.0494022005269</v>
      </c>
    </row>
    <row r="23" spans="2:16" x14ac:dyDescent="0.25">
      <c r="B23" s="1" t="s">
        <v>2</v>
      </c>
      <c r="F23" s="1">
        <v>734</v>
      </c>
      <c r="G23" s="1">
        <v>628</v>
      </c>
      <c r="H23" s="1">
        <f>465*1.3</f>
        <v>604.5</v>
      </c>
      <c r="I23" s="1">
        <f>+H23*1.02</f>
        <v>616.59</v>
      </c>
      <c r="J23" s="1">
        <f t="shared" ref="J23:P23" si="17">+I23*1.02</f>
        <v>628.92180000000008</v>
      </c>
      <c r="K23" s="1">
        <f t="shared" si="17"/>
        <v>641.50023600000009</v>
      </c>
      <c r="L23" s="1">
        <f t="shared" si="17"/>
        <v>654.33024072000012</v>
      </c>
      <c r="M23" s="1">
        <f t="shared" si="17"/>
        <v>667.41684553440018</v>
      </c>
      <c r="N23" s="1">
        <f t="shared" si="17"/>
        <v>680.76518244508816</v>
      </c>
      <c r="O23" s="1">
        <f t="shared" si="17"/>
        <v>694.38048609398993</v>
      </c>
      <c r="P23" s="1">
        <f t="shared" si="17"/>
        <v>708.26809581586974</v>
      </c>
    </row>
    <row r="24" spans="2:16" x14ac:dyDescent="0.25">
      <c r="B24" s="1" t="s">
        <v>3</v>
      </c>
      <c r="F24" s="1">
        <v>1982</v>
      </c>
      <c r="G24" s="1">
        <v>1485</v>
      </c>
      <c r="H24" s="1">
        <f>1181*1.3</f>
        <v>1535.3</v>
      </c>
      <c r="I24" s="1">
        <f>+H24*1.04</f>
        <v>1596.712</v>
      </c>
      <c r="J24" s="1">
        <f t="shared" ref="J24:P24" si="18">+I24*1.04</f>
        <v>1660.5804800000001</v>
      </c>
      <c r="K24" s="1">
        <f t="shared" si="18"/>
        <v>1727.0036992</v>
      </c>
      <c r="L24" s="1">
        <f t="shared" si="18"/>
        <v>1796.0838471680001</v>
      </c>
      <c r="M24" s="1">
        <f t="shared" si="18"/>
        <v>1867.9272010547202</v>
      </c>
      <c r="N24" s="1">
        <f t="shared" si="18"/>
        <v>1942.644289096909</v>
      </c>
      <c r="O24" s="1">
        <f t="shared" si="18"/>
        <v>2020.3500606607854</v>
      </c>
      <c r="P24" s="1">
        <f t="shared" si="18"/>
        <v>2101.1640630872171</v>
      </c>
    </row>
    <row r="25" spans="2:16" x14ac:dyDescent="0.25">
      <c r="B25" s="1" t="s">
        <v>4</v>
      </c>
      <c r="F25" s="1">
        <v>1677</v>
      </c>
      <c r="G25" s="1">
        <v>1485</v>
      </c>
      <c r="H25" s="1">
        <f>1099*1.3</f>
        <v>1428.7</v>
      </c>
      <c r="I25" s="1">
        <f>+H25*1.04</f>
        <v>1485.8480000000002</v>
      </c>
      <c r="J25" s="1">
        <f t="shared" ref="J25:P25" si="19">+I25*1.04</f>
        <v>1545.2819200000004</v>
      </c>
      <c r="K25" s="1">
        <f t="shared" si="19"/>
        <v>1607.0931968000004</v>
      </c>
      <c r="L25" s="1">
        <f t="shared" si="19"/>
        <v>1671.3769246720005</v>
      </c>
      <c r="M25" s="1">
        <f t="shared" si="19"/>
        <v>1738.2320016588806</v>
      </c>
      <c r="N25" s="1">
        <f t="shared" si="19"/>
        <v>1807.7612817252359</v>
      </c>
      <c r="O25" s="1">
        <f t="shared" si="19"/>
        <v>1880.0717329942454</v>
      </c>
      <c r="P25" s="1">
        <f t="shared" si="19"/>
        <v>1955.2746023140153</v>
      </c>
    </row>
    <row r="26" spans="2:16" x14ac:dyDescent="0.25">
      <c r="B26" s="1" t="s">
        <v>5</v>
      </c>
      <c r="F26" s="1">
        <v>4866</v>
      </c>
      <c r="G26" s="1">
        <v>3598</v>
      </c>
      <c r="H26" s="1">
        <f>2265*1.3</f>
        <v>2944.5</v>
      </c>
      <c r="I26" s="1">
        <f>+H26*1.02</f>
        <v>3003.39</v>
      </c>
      <c r="J26" s="1">
        <f t="shared" ref="J26:P26" si="20">+I26*1.02</f>
        <v>3063.4578000000001</v>
      </c>
      <c r="K26" s="1">
        <f t="shared" si="20"/>
        <v>3124.726956</v>
      </c>
      <c r="L26" s="1">
        <f t="shared" si="20"/>
        <v>3187.2214951199999</v>
      </c>
      <c r="M26" s="1">
        <f t="shared" si="20"/>
        <v>3250.9659250223999</v>
      </c>
      <c r="N26" s="1">
        <f t="shared" si="20"/>
        <v>3315.9852435228481</v>
      </c>
      <c r="O26" s="1">
        <f t="shared" si="20"/>
        <v>3382.304948393305</v>
      </c>
      <c r="P26" s="1">
        <f t="shared" si="20"/>
        <v>3449.9510473611713</v>
      </c>
    </row>
    <row r="27" spans="2:16" x14ac:dyDescent="0.25">
      <c r="B27" s="1" t="s">
        <v>6</v>
      </c>
      <c r="F27" s="1">
        <v>539</v>
      </c>
      <c r="G27" s="1">
        <v>422</v>
      </c>
      <c r="H27" s="1">
        <f>321*1.3</f>
        <v>417.3</v>
      </c>
      <c r="I27" s="1">
        <f>+H27*1.05</f>
        <v>438.16500000000002</v>
      </c>
      <c r="J27" s="1">
        <f t="shared" ref="J27:P27" si="21">+I27*1.05</f>
        <v>460.07325000000003</v>
      </c>
      <c r="K27" s="1">
        <f t="shared" si="21"/>
        <v>483.07691250000005</v>
      </c>
      <c r="L27" s="1">
        <f t="shared" si="21"/>
        <v>507.23075812500008</v>
      </c>
      <c r="M27" s="1">
        <f t="shared" si="21"/>
        <v>532.59229603125016</v>
      </c>
      <c r="N27" s="1">
        <f t="shared" si="21"/>
        <v>559.22191083281268</v>
      </c>
      <c r="O27" s="1">
        <f t="shared" si="21"/>
        <v>587.18300637445338</v>
      </c>
      <c r="P27" s="1">
        <f t="shared" si="21"/>
        <v>616.54215669317603</v>
      </c>
    </row>
    <row r="28" spans="2:16" x14ac:dyDescent="0.25">
      <c r="B28" s="1" t="s">
        <v>7</v>
      </c>
      <c r="F28" s="1">
        <v>634</v>
      </c>
      <c r="G28" s="1">
        <v>802</v>
      </c>
      <c r="H28" s="1">
        <f>466*1.3</f>
        <v>605.80000000000007</v>
      </c>
      <c r="I28" s="1">
        <f>+H28*1.08</f>
        <v>654.26400000000012</v>
      </c>
      <c r="J28" s="1">
        <f t="shared" ref="J28:P28" si="22">+I28*1.08</f>
        <v>706.60512000000017</v>
      </c>
      <c r="K28" s="1">
        <f t="shared" si="22"/>
        <v>763.1335296000002</v>
      </c>
      <c r="L28" s="1">
        <f t="shared" si="22"/>
        <v>824.18421196800023</v>
      </c>
      <c r="M28" s="1">
        <f t="shared" si="22"/>
        <v>890.11894892544035</v>
      </c>
      <c r="N28" s="1">
        <f t="shared" si="22"/>
        <v>961.3284648394756</v>
      </c>
      <c r="O28" s="1">
        <f t="shared" si="22"/>
        <v>1038.2347420266337</v>
      </c>
      <c r="P28" s="1">
        <f t="shared" si="22"/>
        <v>1121.2935213887645</v>
      </c>
    </row>
    <row r="29" spans="2:16" x14ac:dyDescent="0.25">
      <c r="B29" s="1" t="s">
        <v>34</v>
      </c>
      <c r="F29" s="1">
        <v>1415</v>
      </c>
      <c r="G29" s="1">
        <v>1003</v>
      </c>
    </row>
    <row r="30" spans="2:16" s="2" customFormat="1" x14ac:dyDescent="0.25">
      <c r="B30" s="2" t="s">
        <v>0</v>
      </c>
      <c r="F30" s="2">
        <f>+SUM(F22:F28)-F29</f>
        <v>11721</v>
      </c>
      <c r="G30" s="2">
        <f>+SUM(G22:G28)-G29</f>
        <v>10461</v>
      </c>
      <c r="H30" s="2">
        <f>+SUM(H22:H28)-H29</f>
        <v>11081.199999999999</v>
      </c>
      <c r="I30" s="2">
        <f t="shared" ref="I30:P30" si="23">+SUM(I22:I28)-I29</f>
        <v>11446.421999999999</v>
      </c>
      <c r="J30" s="2">
        <f t="shared" si="23"/>
        <v>11825.91696</v>
      </c>
      <c r="K30" s="2">
        <f t="shared" si="23"/>
        <v>12220.361017800002</v>
      </c>
      <c r="L30" s="2">
        <f t="shared" si="23"/>
        <v>12630.468760104002</v>
      </c>
      <c r="M30" s="2">
        <f t="shared" si="23"/>
        <v>13056.995739028023</v>
      </c>
      <c r="N30" s="2">
        <f t="shared" si="23"/>
        <v>13500.741168887329</v>
      </c>
      <c r="O30" s="2">
        <f t="shared" si="23"/>
        <v>13920.22046889687</v>
      </c>
      <c r="P30" s="2">
        <f t="shared" si="23"/>
        <v>14356.542888860742</v>
      </c>
    </row>
    <row r="31" spans="2:16" x14ac:dyDescent="0.25">
      <c r="B31" s="1" t="s">
        <v>35</v>
      </c>
      <c r="F31" s="1">
        <v>231</v>
      </c>
      <c r="G31" s="1">
        <v>228</v>
      </c>
      <c r="I31" s="1">
        <v>230</v>
      </c>
      <c r="J31" s="1">
        <v>230</v>
      </c>
      <c r="K31" s="1">
        <v>230</v>
      </c>
      <c r="L31" s="1">
        <v>230</v>
      </c>
      <c r="M31" s="1">
        <v>230</v>
      </c>
      <c r="N31" s="1">
        <v>230</v>
      </c>
      <c r="O31" s="1">
        <v>230</v>
      </c>
      <c r="P31" s="1">
        <v>230</v>
      </c>
    </row>
    <row r="32" spans="2:16" x14ac:dyDescent="0.25">
      <c r="B32" s="1" t="s">
        <v>8</v>
      </c>
      <c r="F32" s="1">
        <v>6260</v>
      </c>
      <c r="G32" s="1">
        <v>6000</v>
      </c>
      <c r="H32" s="1">
        <f>+H30*0.535</f>
        <v>5928.442</v>
      </c>
      <c r="I32" s="1">
        <f t="shared" ref="I32:P32" si="24">+I30*0.535</f>
        <v>6123.8357699999997</v>
      </c>
      <c r="J32" s="1">
        <f t="shared" si="24"/>
        <v>6326.865573600001</v>
      </c>
      <c r="K32" s="1">
        <f t="shared" si="24"/>
        <v>6537.893144523001</v>
      </c>
      <c r="L32" s="1">
        <f t="shared" si="24"/>
        <v>6757.3007866556418</v>
      </c>
      <c r="M32" s="1">
        <f t="shared" si="24"/>
        <v>6985.4927203799925</v>
      </c>
      <c r="N32" s="1">
        <f t="shared" si="24"/>
        <v>7222.8965253547212</v>
      </c>
      <c r="O32" s="1">
        <f t="shared" si="24"/>
        <v>7447.3179508598259</v>
      </c>
      <c r="P32" s="1">
        <f t="shared" si="24"/>
        <v>7680.7504455404978</v>
      </c>
    </row>
    <row r="33" spans="2:125" x14ac:dyDescent="0.25">
      <c r="B33" s="1" t="s">
        <v>9</v>
      </c>
      <c r="F33" s="1">
        <v>1181</v>
      </c>
      <c r="G33" s="1">
        <v>1287</v>
      </c>
      <c r="H33" s="1">
        <f>+G33*1.02</f>
        <v>1312.74</v>
      </c>
      <c r="I33" s="1">
        <f t="shared" ref="I33:P33" si="25">+H33*1.02</f>
        <v>1338.9947999999999</v>
      </c>
      <c r="J33" s="1">
        <f t="shared" si="25"/>
        <v>1365.7746959999999</v>
      </c>
      <c r="K33" s="1">
        <f t="shared" si="25"/>
        <v>1393.0901899200001</v>
      </c>
      <c r="L33" s="1">
        <f t="shared" si="25"/>
        <v>1420.9519937184</v>
      </c>
      <c r="M33" s="1">
        <f t="shared" si="25"/>
        <v>1449.3710335927681</v>
      </c>
      <c r="N33" s="1">
        <f t="shared" si="25"/>
        <v>1478.3584542646236</v>
      </c>
      <c r="O33" s="1">
        <f t="shared" si="25"/>
        <v>1507.9256233499161</v>
      </c>
      <c r="P33" s="1">
        <f t="shared" si="25"/>
        <v>1538.0841358169146</v>
      </c>
    </row>
    <row r="34" spans="2:125" x14ac:dyDescent="0.25">
      <c r="B34" s="1" t="s">
        <v>10</v>
      </c>
      <c r="F34" s="1">
        <v>1028</v>
      </c>
      <c r="G34" s="1">
        <v>1143</v>
      </c>
      <c r="H34" s="1">
        <f>+G34*1.02</f>
        <v>1165.8600000000001</v>
      </c>
      <c r="I34" s="1">
        <f t="shared" ref="I34:P34" si="26">+H34*1.02</f>
        <v>1189.1772000000001</v>
      </c>
      <c r="J34" s="1">
        <f t="shared" si="26"/>
        <v>1212.9607440000002</v>
      </c>
      <c r="K34" s="1">
        <f t="shared" si="26"/>
        <v>1237.2199588800001</v>
      </c>
      <c r="L34" s="1">
        <f t="shared" si="26"/>
        <v>1261.9643580576001</v>
      </c>
      <c r="M34" s="1">
        <f t="shared" si="26"/>
        <v>1287.2036452187522</v>
      </c>
      <c r="N34" s="1">
        <f t="shared" si="26"/>
        <v>1312.9477181231273</v>
      </c>
      <c r="O34" s="1">
        <f t="shared" si="26"/>
        <v>1339.2066724855899</v>
      </c>
      <c r="P34" s="1">
        <f t="shared" si="26"/>
        <v>1365.9908059353018</v>
      </c>
    </row>
    <row r="35" spans="2:125" x14ac:dyDescent="0.25">
      <c r="B35" s="1" t="s">
        <v>11</v>
      </c>
      <c r="F35" s="1">
        <v>1001</v>
      </c>
      <c r="G35" s="1">
        <v>886</v>
      </c>
      <c r="H35" s="1">
        <f>+H30*0.085</f>
        <v>941.90199999999993</v>
      </c>
      <c r="I35" s="1">
        <f t="shared" ref="I35:P35" si="27">+I30*0.085</f>
        <v>972.9458699999999</v>
      </c>
      <c r="J35" s="1">
        <f t="shared" si="27"/>
        <v>1005.2029416000001</v>
      </c>
      <c r="K35" s="1">
        <f t="shared" si="27"/>
        <v>1038.7306865130001</v>
      </c>
      <c r="L35" s="1">
        <f t="shared" si="27"/>
        <v>1073.5898446088402</v>
      </c>
      <c r="M35" s="1">
        <f t="shared" si="27"/>
        <v>1109.8446378173821</v>
      </c>
      <c r="N35" s="1">
        <f t="shared" si="27"/>
        <v>1147.562999355423</v>
      </c>
      <c r="O35" s="1">
        <f t="shared" si="27"/>
        <v>1183.2187398562342</v>
      </c>
      <c r="P35" s="1">
        <f t="shared" si="27"/>
        <v>1220.3061455531631</v>
      </c>
    </row>
    <row r="36" spans="2:125" x14ac:dyDescent="0.25">
      <c r="B36" s="1" t="s">
        <v>36</v>
      </c>
      <c r="F36" s="1">
        <v>12</v>
      </c>
      <c r="G36" s="1">
        <v>-103</v>
      </c>
    </row>
    <row r="37" spans="2:125" x14ac:dyDescent="0.25">
      <c r="B37" s="1" t="s">
        <v>13</v>
      </c>
      <c r="F37" s="1">
        <v>522</v>
      </c>
      <c r="G37" s="1">
        <v>660</v>
      </c>
      <c r="H37" s="1">
        <v>650</v>
      </c>
      <c r="I37" s="1">
        <v>650</v>
      </c>
      <c r="J37" s="1">
        <v>650</v>
      </c>
      <c r="K37" s="1">
        <v>650</v>
      </c>
      <c r="L37" s="1">
        <v>650</v>
      </c>
      <c r="M37" s="1">
        <v>650</v>
      </c>
      <c r="N37" s="1">
        <v>650</v>
      </c>
      <c r="O37" s="1">
        <v>650</v>
      </c>
      <c r="P37" s="1">
        <v>650</v>
      </c>
    </row>
    <row r="38" spans="2:125" x14ac:dyDescent="0.25">
      <c r="B38" s="1" t="s">
        <v>12</v>
      </c>
      <c r="F38" s="1">
        <f>+F30-F32-F33-F34-F37-F35+F31+F36</f>
        <v>1972</v>
      </c>
      <c r="G38" s="1">
        <f>+G30-G32-G33-G34-G37-G35+G31+G36</f>
        <v>610</v>
      </c>
      <c r="H38" s="1">
        <f>+H13</f>
        <v>1086.2000000000003</v>
      </c>
      <c r="I38" s="1">
        <f>+I30-I32-I33-I34-I37-I35+I31+I36</f>
        <v>1401.4683599999989</v>
      </c>
      <c r="J38" s="1">
        <f t="shared" ref="J38:P38" si="28">+J30-J32-J33-J34-J37-J35+J31+J36</f>
        <v>1495.1130048</v>
      </c>
      <c r="K38" s="1">
        <f t="shared" si="28"/>
        <v>1593.4270379640004</v>
      </c>
      <c r="L38" s="1">
        <f t="shared" si="28"/>
        <v>1696.6617770635205</v>
      </c>
      <c r="M38" s="1">
        <f t="shared" si="28"/>
        <v>1805.0837020191284</v>
      </c>
      <c r="N38" s="1">
        <f t="shared" si="28"/>
        <v>1918.9754717894334</v>
      </c>
      <c r="O38" s="1">
        <f t="shared" si="28"/>
        <v>2022.5514823453041</v>
      </c>
      <c r="P38" s="1">
        <f t="shared" si="28"/>
        <v>2131.4113560148644</v>
      </c>
    </row>
    <row r="39" spans="2:125" x14ac:dyDescent="0.25">
      <c r="B39" s="1" t="s">
        <v>14</v>
      </c>
      <c r="F39" s="1">
        <v>-55</v>
      </c>
      <c r="G39" s="1">
        <v>-70</v>
      </c>
      <c r="H39" s="1">
        <f>-74*1.3</f>
        <v>-96.2</v>
      </c>
      <c r="I39" s="1">
        <f>+H39*1.05</f>
        <v>-101.01</v>
      </c>
      <c r="J39" s="1">
        <f t="shared" ref="J39:P39" si="29">+I39*1.03</f>
        <v>-104.0403</v>
      </c>
      <c r="K39" s="1">
        <f t="shared" si="29"/>
        <v>-107.16150900000001</v>
      </c>
      <c r="L39" s="1">
        <f t="shared" si="29"/>
        <v>-110.37635427000001</v>
      </c>
      <c r="M39" s="1">
        <f t="shared" si="29"/>
        <v>-113.6876448981</v>
      </c>
      <c r="N39" s="1">
        <f t="shared" si="29"/>
        <v>-117.098274245043</v>
      </c>
      <c r="O39" s="1">
        <f t="shared" si="29"/>
        <v>-120.61122247239429</v>
      </c>
      <c r="P39" s="1">
        <f t="shared" si="29"/>
        <v>-124.22955914656612</v>
      </c>
    </row>
    <row r="40" spans="2:125" x14ac:dyDescent="0.25">
      <c r="B40" s="1" t="s">
        <v>15</v>
      </c>
      <c r="F40" s="1">
        <f t="shared" ref="F40:L40" si="30">+F38+F39</f>
        <v>1917</v>
      </c>
      <c r="G40" s="1">
        <f t="shared" si="30"/>
        <v>540</v>
      </c>
      <c r="H40" s="1">
        <f t="shared" si="30"/>
        <v>990.00000000000023</v>
      </c>
      <c r="I40" s="1">
        <f t="shared" si="30"/>
        <v>1300.4583599999989</v>
      </c>
      <c r="J40" s="1">
        <f t="shared" si="30"/>
        <v>1391.0727047999999</v>
      </c>
      <c r="K40" s="1">
        <f t="shared" si="30"/>
        <v>1486.2655289640004</v>
      </c>
      <c r="L40" s="1">
        <f t="shared" si="30"/>
        <v>1586.2854227935204</v>
      </c>
      <c r="M40" s="1">
        <f t="shared" ref="M40:P40" si="31">+M38+M39</f>
        <v>1691.3960571210284</v>
      </c>
      <c r="N40" s="1">
        <f t="shared" si="31"/>
        <v>1801.8771975443904</v>
      </c>
      <c r="O40" s="1">
        <f t="shared" si="31"/>
        <v>1901.9402598729098</v>
      </c>
      <c r="P40" s="1">
        <f t="shared" si="31"/>
        <v>2007.1817968682983</v>
      </c>
    </row>
    <row r="41" spans="2:125" x14ac:dyDescent="0.25">
      <c r="B41" s="1" t="s">
        <v>16</v>
      </c>
      <c r="F41" s="1">
        <v>388</v>
      </c>
      <c r="G41" s="1">
        <v>71</v>
      </c>
      <c r="H41" s="1">
        <f>+H40*0.2</f>
        <v>198.00000000000006</v>
      </c>
      <c r="I41" s="1">
        <f>+I40*0.2</f>
        <v>260.09167199999979</v>
      </c>
      <c r="J41" s="1">
        <f>+J40*0.2</f>
        <v>278.21454095999997</v>
      </c>
      <c r="K41" s="1">
        <f>+K40*0.2</f>
        <v>297.25310579280011</v>
      </c>
      <c r="L41" s="1">
        <f>+L40*0.2</f>
        <v>317.25708455870409</v>
      </c>
      <c r="M41" s="1">
        <f t="shared" ref="M41:P41" si="32">+M40*0.2</f>
        <v>338.2792114242057</v>
      </c>
      <c r="N41" s="1">
        <f t="shared" si="32"/>
        <v>360.37543950887812</v>
      </c>
      <c r="O41" s="1">
        <f t="shared" si="32"/>
        <v>380.38805197458197</v>
      </c>
      <c r="P41" s="1">
        <f t="shared" si="32"/>
        <v>401.43635937365968</v>
      </c>
    </row>
    <row r="42" spans="2:125" x14ac:dyDescent="0.25">
      <c r="B42" s="1" t="s">
        <v>17</v>
      </c>
      <c r="F42" s="1">
        <f t="shared" ref="F42:L42" si="33">+F40-F41</f>
        <v>1529</v>
      </c>
      <c r="G42" s="1">
        <f t="shared" si="33"/>
        <v>469</v>
      </c>
      <c r="H42" s="1">
        <f t="shared" si="33"/>
        <v>792.00000000000023</v>
      </c>
      <c r="I42" s="1">
        <f t="shared" si="33"/>
        <v>1040.3666879999992</v>
      </c>
      <c r="J42" s="1">
        <f t="shared" si="33"/>
        <v>1112.8581638399999</v>
      </c>
      <c r="K42" s="1">
        <f t="shared" si="33"/>
        <v>1189.0124231712002</v>
      </c>
      <c r="L42" s="1">
        <f t="shared" si="33"/>
        <v>1269.0283382348164</v>
      </c>
      <c r="M42" s="1">
        <f t="shared" ref="M42:P42" si="34">+M40-M41</f>
        <v>1353.1168456968228</v>
      </c>
      <c r="N42" s="1">
        <f t="shared" si="34"/>
        <v>1441.5017580355122</v>
      </c>
      <c r="O42" s="1">
        <f t="shared" si="34"/>
        <v>1521.5522078983279</v>
      </c>
      <c r="P42" s="1">
        <f t="shared" si="34"/>
        <v>1605.7454374946387</v>
      </c>
      <c r="Q42" s="1">
        <f t="shared" ref="Q42:AV42" si="35">+P42*(1+TR)</f>
        <v>1589.6879831196923</v>
      </c>
      <c r="R42" s="1">
        <f t="shared" si="35"/>
        <v>1573.7911032884954</v>
      </c>
      <c r="S42" s="1">
        <f t="shared" si="35"/>
        <v>1558.0531922556104</v>
      </c>
      <c r="T42" s="1">
        <f t="shared" si="35"/>
        <v>1542.4726603330544</v>
      </c>
      <c r="U42" s="1">
        <f t="shared" si="35"/>
        <v>1527.0479337297238</v>
      </c>
      <c r="V42" s="1">
        <f t="shared" si="35"/>
        <v>1511.7774543924265</v>
      </c>
      <c r="W42" s="1">
        <f t="shared" si="35"/>
        <v>1496.6596798485023</v>
      </c>
      <c r="X42" s="1">
        <f t="shared" si="35"/>
        <v>1481.6930830500173</v>
      </c>
      <c r="Y42" s="1">
        <f t="shared" si="35"/>
        <v>1466.8761522195171</v>
      </c>
      <c r="Z42" s="1">
        <f t="shared" si="35"/>
        <v>1452.2073906973219</v>
      </c>
      <c r="AA42" s="1">
        <f t="shared" si="35"/>
        <v>1437.6853167903487</v>
      </c>
      <c r="AB42" s="1">
        <f t="shared" si="35"/>
        <v>1423.3084636224453</v>
      </c>
      <c r="AC42" s="1">
        <f t="shared" si="35"/>
        <v>1409.0753789862208</v>
      </c>
      <c r="AD42" s="1">
        <f t="shared" si="35"/>
        <v>1394.9846251963586</v>
      </c>
      <c r="AE42" s="1">
        <f t="shared" si="35"/>
        <v>1381.0347789443949</v>
      </c>
      <c r="AF42" s="1">
        <f t="shared" si="35"/>
        <v>1367.2244311549509</v>
      </c>
      <c r="AG42" s="1">
        <f t="shared" si="35"/>
        <v>1353.5521868434014</v>
      </c>
      <c r="AH42" s="1">
        <f t="shared" si="35"/>
        <v>1340.0166649749674</v>
      </c>
      <c r="AI42" s="1">
        <f t="shared" si="35"/>
        <v>1326.6164983252177</v>
      </c>
      <c r="AJ42" s="1">
        <f t="shared" si="35"/>
        <v>1313.3503333419656</v>
      </c>
      <c r="AK42" s="1">
        <f t="shared" si="35"/>
        <v>1300.2168300085459</v>
      </c>
      <c r="AL42" s="1">
        <f t="shared" si="35"/>
        <v>1287.2146617084604</v>
      </c>
      <c r="AM42" s="1">
        <f t="shared" si="35"/>
        <v>1274.3425150913758</v>
      </c>
      <c r="AN42" s="1">
        <f t="shared" si="35"/>
        <v>1261.5990899404621</v>
      </c>
      <c r="AO42" s="1">
        <f t="shared" si="35"/>
        <v>1248.9830990410576</v>
      </c>
      <c r="AP42" s="1">
        <f t="shared" si="35"/>
        <v>1236.493268050647</v>
      </c>
      <c r="AQ42" s="1">
        <f t="shared" si="35"/>
        <v>1224.1283353701406</v>
      </c>
      <c r="AR42" s="1">
        <f t="shared" si="35"/>
        <v>1211.8870520164392</v>
      </c>
      <c r="AS42" s="1">
        <f t="shared" si="35"/>
        <v>1199.7681814962748</v>
      </c>
      <c r="AT42" s="1">
        <f t="shared" si="35"/>
        <v>1187.770499681312</v>
      </c>
      <c r="AU42" s="1">
        <f t="shared" si="35"/>
        <v>1175.8927946844988</v>
      </c>
      <c r="AV42" s="1">
        <f t="shared" si="35"/>
        <v>1164.1338667376538</v>
      </c>
      <c r="AW42" s="1">
        <f t="shared" ref="AW42:CB42" si="36">+AV42*(1+TR)</f>
        <v>1152.4925280702771</v>
      </c>
      <c r="AX42" s="1">
        <f t="shared" si="36"/>
        <v>1140.9676027895744</v>
      </c>
      <c r="AY42" s="1">
        <f t="shared" si="36"/>
        <v>1129.5579267616786</v>
      </c>
      <c r="AZ42" s="1">
        <f t="shared" si="36"/>
        <v>1118.2623474940617</v>
      </c>
      <c r="BA42" s="1">
        <f t="shared" si="36"/>
        <v>1107.0797240191212</v>
      </c>
      <c r="BB42" s="1">
        <f t="shared" si="36"/>
        <v>1096.0089267789299</v>
      </c>
      <c r="BC42" s="1">
        <f t="shared" si="36"/>
        <v>1085.0488375111406</v>
      </c>
      <c r="BD42" s="1">
        <f t="shared" si="36"/>
        <v>1074.1983491360293</v>
      </c>
      <c r="BE42" s="1">
        <f t="shared" si="36"/>
        <v>1063.4563656446689</v>
      </c>
      <c r="BF42" s="1">
        <f t="shared" si="36"/>
        <v>1052.8218019882222</v>
      </c>
      <c r="BG42" s="1">
        <f t="shared" si="36"/>
        <v>1042.29358396834</v>
      </c>
      <c r="BH42" s="1">
        <f t="shared" si="36"/>
        <v>1031.8706481286567</v>
      </c>
      <c r="BI42" s="1">
        <f t="shared" si="36"/>
        <v>1021.5519416473702</v>
      </c>
      <c r="BJ42" s="1">
        <f t="shared" si="36"/>
        <v>1011.3364222308965</v>
      </c>
      <c r="BK42" s="1">
        <f t="shared" si="36"/>
        <v>1001.2230580085875</v>
      </c>
      <c r="BL42" s="1">
        <f t="shared" si="36"/>
        <v>991.2108274285016</v>
      </c>
      <c r="BM42" s="1">
        <f t="shared" si="36"/>
        <v>981.29871915421654</v>
      </c>
      <c r="BN42" s="1">
        <f t="shared" si="36"/>
        <v>971.48573196267432</v>
      </c>
      <c r="BO42" s="1">
        <f t="shared" si="36"/>
        <v>961.77087464304759</v>
      </c>
      <c r="BP42" s="1">
        <f t="shared" si="36"/>
        <v>952.15316589661711</v>
      </c>
      <c r="BQ42" s="1">
        <f t="shared" si="36"/>
        <v>942.63163423765093</v>
      </c>
      <c r="BR42" s="1">
        <f t="shared" si="36"/>
        <v>933.20531789527445</v>
      </c>
      <c r="BS42" s="1">
        <f t="shared" si="36"/>
        <v>923.87326471632173</v>
      </c>
      <c r="BT42" s="1">
        <f t="shared" si="36"/>
        <v>914.63453206915847</v>
      </c>
      <c r="BU42" s="1">
        <f t="shared" si="36"/>
        <v>905.48818674846689</v>
      </c>
      <c r="BV42" s="1">
        <f t="shared" si="36"/>
        <v>896.43330488098218</v>
      </c>
      <c r="BW42" s="1">
        <f t="shared" si="36"/>
        <v>887.46897183217231</v>
      </c>
      <c r="BX42" s="1">
        <f t="shared" si="36"/>
        <v>878.59428211385057</v>
      </c>
      <c r="BY42" s="1">
        <f t="shared" si="36"/>
        <v>869.80833929271205</v>
      </c>
      <c r="BZ42" s="1">
        <f t="shared" si="36"/>
        <v>861.11025589978487</v>
      </c>
      <c r="CA42" s="1">
        <f t="shared" si="36"/>
        <v>852.49915334078707</v>
      </c>
      <c r="CB42" s="1">
        <f t="shared" si="36"/>
        <v>843.97416180737923</v>
      </c>
      <c r="CC42" s="1">
        <f t="shared" ref="CC42:DH42" si="37">+CB42*(1+TR)</f>
        <v>835.53442018930548</v>
      </c>
      <c r="CD42" s="1">
        <f t="shared" si="37"/>
        <v>827.17907598741238</v>
      </c>
      <c r="CE42" s="1">
        <f t="shared" si="37"/>
        <v>818.9072852275383</v>
      </c>
      <c r="CF42" s="1">
        <f t="shared" si="37"/>
        <v>810.71821237526285</v>
      </c>
      <c r="CG42" s="1">
        <f t="shared" si="37"/>
        <v>802.61103025151021</v>
      </c>
      <c r="CH42" s="1">
        <f t="shared" si="37"/>
        <v>794.58491994899509</v>
      </c>
      <c r="CI42" s="1">
        <f t="shared" si="37"/>
        <v>786.63907074950509</v>
      </c>
      <c r="CJ42" s="1">
        <f t="shared" si="37"/>
        <v>778.77268004201005</v>
      </c>
      <c r="CK42" s="1">
        <f t="shared" si="37"/>
        <v>770.98495324158989</v>
      </c>
      <c r="CL42" s="1">
        <f t="shared" si="37"/>
        <v>763.275103709174</v>
      </c>
      <c r="CM42" s="1">
        <f t="shared" si="37"/>
        <v>755.64235267208221</v>
      </c>
      <c r="CN42" s="1">
        <f t="shared" si="37"/>
        <v>748.08592914536143</v>
      </c>
      <c r="CO42" s="1">
        <f t="shared" si="37"/>
        <v>740.60506985390782</v>
      </c>
      <c r="CP42" s="1">
        <f t="shared" si="37"/>
        <v>733.19901915536877</v>
      </c>
      <c r="CQ42" s="1">
        <f t="shared" si="37"/>
        <v>725.86702896381507</v>
      </c>
      <c r="CR42" s="1">
        <f t="shared" si="37"/>
        <v>718.60835867417688</v>
      </c>
      <c r="CS42" s="1">
        <f t="shared" si="37"/>
        <v>711.42227508743508</v>
      </c>
      <c r="CT42" s="1">
        <f t="shared" si="37"/>
        <v>704.30805233656076</v>
      </c>
      <c r="CU42" s="1">
        <f t="shared" si="37"/>
        <v>697.26497181319519</v>
      </c>
      <c r="CV42" s="1">
        <f t="shared" si="37"/>
        <v>690.29232209506324</v>
      </c>
      <c r="CW42" s="1">
        <f t="shared" si="37"/>
        <v>683.38939887411266</v>
      </c>
      <c r="CX42" s="1">
        <f t="shared" si="37"/>
        <v>676.55550488537153</v>
      </c>
      <c r="CY42" s="1">
        <f t="shared" si="37"/>
        <v>669.78994983651785</v>
      </c>
      <c r="CZ42" s="1">
        <f t="shared" si="37"/>
        <v>663.09205033815272</v>
      </c>
      <c r="DA42" s="1">
        <f t="shared" si="37"/>
        <v>656.46112983477121</v>
      </c>
      <c r="DB42" s="1">
        <f t="shared" si="37"/>
        <v>649.89651853642351</v>
      </c>
      <c r="DC42" s="1">
        <f t="shared" si="37"/>
        <v>643.39755335105929</v>
      </c>
      <c r="DD42" s="1">
        <f t="shared" si="37"/>
        <v>636.96357781754864</v>
      </c>
      <c r="DE42" s="1">
        <f t="shared" si="37"/>
        <v>630.59394203937313</v>
      </c>
      <c r="DF42" s="1">
        <f t="shared" si="37"/>
        <v>624.28800261897936</v>
      </c>
      <c r="DG42" s="1">
        <f t="shared" si="37"/>
        <v>618.04512259278954</v>
      </c>
      <c r="DH42" s="1">
        <f t="shared" si="37"/>
        <v>611.86467136686167</v>
      </c>
      <c r="DI42" s="1">
        <f t="shared" ref="DI42:DU42" si="38">+DH42*(1+TR)</f>
        <v>605.7460246531931</v>
      </c>
      <c r="DJ42" s="1">
        <f t="shared" si="38"/>
        <v>599.68856440666116</v>
      </c>
      <c r="DK42" s="1">
        <f t="shared" si="38"/>
        <v>593.69167876259451</v>
      </c>
      <c r="DL42" s="1">
        <f t="shared" si="38"/>
        <v>587.75476197496857</v>
      </c>
      <c r="DM42" s="1">
        <f t="shared" si="38"/>
        <v>581.87721435521894</v>
      </c>
      <c r="DN42" s="1">
        <f t="shared" si="38"/>
        <v>576.05844221166672</v>
      </c>
      <c r="DO42" s="1">
        <f t="shared" si="38"/>
        <v>570.29785778954999</v>
      </c>
      <c r="DP42" s="1">
        <f t="shared" si="38"/>
        <v>564.59487921165453</v>
      </c>
      <c r="DQ42" s="1">
        <f t="shared" si="38"/>
        <v>558.94893041953799</v>
      </c>
      <c r="DR42" s="1">
        <f t="shared" si="38"/>
        <v>553.35944111534263</v>
      </c>
      <c r="DS42" s="1">
        <f t="shared" si="38"/>
        <v>547.82584670418919</v>
      </c>
      <c r="DT42" s="1">
        <f t="shared" si="38"/>
        <v>542.34758823714731</v>
      </c>
      <c r="DU42" s="1">
        <f t="shared" si="38"/>
        <v>536.92411235477584</v>
      </c>
    </row>
    <row r="43" spans="2:125" x14ac:dyDescent="0.25">
      <c r="B43" s="1" t="s">
        <v>43</v>
      </c>
      <c r="H43" s="1">
        <f>+Share</f>
        <v>533.32404599999995</v>
      </c>
      <c r="I43" s="1">
        <f>+H43+0</f>
        <v>533.32404599999995</v>
      </c>
      <c r="J43" s="1">
        <f t="shared" ref="J43:P43" si="39">+I43+0</f>
        <v>533.32404599999995</v>
      </c>
      <c r="K43" s="1">
        <f t="shared" si="39"/>
        <v>533.32404599999995</v>
      </c>
      <c r="L43" s="1">
        <f t="shared" si="39"/>
        <v>533.32404599999995</v>
      </c>
      <c r="M43" s="1">
        <f t="shared" si="39"/>
        <v>533.32404599999995</v>
      </c>
      <c r="N43" s="1">
        <f t="shared" si="39"/>
        <v>533.32404599999995</v>
      </c>
      <c r="O43" s="1">
        <f t="shared" si="39"/>
        <v>533.32404599999995</v>
      </c>
      <c r="P43" s="1">
        <f t="shared" si="39"/>
        <v>533.32404599999995</v>
      </c>
    </row>
    <row r="44" spans="2:125" s="4" customFormat="1" x14ac:dyDescent="0.25">
      <c r="B44" s="4" t="s">
        <v>44</v>
      </c>
      <c r="H44" s="4">
        <f>+H42/H43</f>
        <v>1.4850258598690678</v>
      </c>
      <c r="I44" s="4">
        <f t="shared" ref="I44:P44" si="40">+I42/I43</f>
        <v>1.9507215093766825</v>
      </c>
      <c r="J44" s="4">
        <f t="shared" si="40"/>
        <v>2.0866453935212212</v>
      </c>
      <c r="K44" s="4">
        <f t="shared" si="40"/>
        <v>2.2294371163065847</v>
      </c>
      <c r="L44" s="4">
        <f t="shared" si="40"/>
        <v>2.3794695696784998</v>
      </c>
      <c r="M44" s="4">
        <f t="shared" si="40"/>
        <v>2.5371382667730358</v>
      </c>
      <c r="N44" s="4">
        <f t="shared" si="40"/>
        <v>2.7028628632947713</v>
      </c>
      <c r="O44" s="4">
        <f t="shared" si="40"/>
        <v>2.8529600705427933</v>
      </c>
      <c r="P44" s="4">
        <f t="shared" si="40"/>
        <v>3.0108251250584694</v>
      </c>
    </row>
    <row r="45" spans="2:125" x14ac:dyDescent="0.25">
      <c r="F45" s="5"/>
      <c r="G45" s="5"/>
    </row>
    <row r="46" spans="2:125" s="3" customFormat="1" x14ac:dyDescent="0.25">
      <c r="B46" s="3" t="s">
        <v>23</v>
      </c>
      <c r="F46" s="3">
        <f>+F38/F30</f>
        <v>0.16824503028751814</v>
      </c>
      <c r="G46" s="3">
        <f>+G38/G30</f>
        <v>5.8311824873339066E-2</v>
      </c>
      <c r="H46" s="3">
        <f>+H38/H30</f>
        <v>9.8021874887196367E-2</v>
      </c>
      <c r="I46" s="3">
        <f t="shared" ref="I46:P46" si="41">+I38/I30</f>
        <v>0.12243724370812112</v>
      </c>
      <c r="J46" s="3">
        <f t="shared" si="41"/>
        <v>0.12642681407767978</v>
      </c>
      <c r="K46" s="3">
        <f t="shared" si="41"/>
        <v>0.13039115911903401</v>
      </c>
      <c r="L46" s="3">
        <f t="shared" si="41"/>
        <v>0.13433086366697525</v>
      </c>
      <c r="M46" s="3">
        <f t="shared" si="41"/>
        <v>0.13824648013199864</v>
      </c>
      <c r="N46" s="3">
        <f t="shared" si="41"/>
        <v>0.14213852763963378</v>
      </c>
      <c r="O46" s="3">
        <f t="shared" si="41"/>
        <v>0.14529593743608174</v>
      </c>
      <c r="P46" s="3">
        <f t="shared" si="41"/>
        <v>0.14846271644329004</v>
      </c>
    </row>
    <row r="47" spans="2:125" s="3" customFormat="1" x14ac:dyDescent="0.25">
      <c r="B47" s="3" t="s">
        <v>18</v>
      </c>
      <c r="F47" s="3">
        <f>+F42/F30</f>
        <v>0.13044962033956148</v>
      </c>
      <c r="G47" s="3">
        <f>+G42/G30</f>
        <v>4.4833189943600041E-2</v>
      </c>
      <c r="H47" s="3">
        <f>+H42/H30</f>
        <v>7.1472403710789473E-2</v>
      </c>
      <c r="I47" s="3">
        <f t="shared" ref="I47:P47" si="42">+I42/I30</f>
        <v>9.0890121646746841E-2</v>
      </c>
      <c r="J47" s="3">
        <f t="shared" si="42"/>
        <v>9.4103329797100135E-2</v>
      </c>
      <c r="K47" s="3">
        <f t="shared" si="42"/>
        <v>9.7297651144618552E-2</v>
      </c>
      <c r="L47" s="3">
        <f t="shared" si="42"/>
        <v>0.1004735740484399</v>
      </c>
      <c r="M47" s="3">
        <f t="shared" si="42"/>
        <v>0.10363156063935043</v>
      </c>
      <c r="N47" s="3">
        <f t="shared" si="42"/>
        <v>0.10677204606792076</v>
      </c>
      <c r="O47" s="3">
        <f t="shared" si="42"/>
        <v>0.10930518028058975</v>
      </c>
      <c r="P47" s="3">
        <f t="shared" si="42"/>
        <v>0.11184763977827408</v>
      </c>
    </row>
    <row r="48" spans="2:125" x14ac:dyDescent="0.25">
      <c r="B48" s="1" t="s">
        <v>19</v>
      </c>
      <c r="G48" s="3">
        <f>+G30/F30 -1</f>
        <v>-0.10749936012285644</v>
      </c>
      <c r="H48" s="3">
        <f>+H30/G30 -1</f>
        <v>5.9286875059745725E-2</v>
      </c>
      <c r="I48" s="3">
        <f t="shared" ref="I48:P48" si="43">+I30/H30 -1</f>
        <v>3.2958704833411456E-2</v>
      </c>
      <c r="J48" s="3">
        <f t="shared" si="43"/>
        <v>3.3154024899658685E-2</v>
      </c>
      <c r="K48" s="3">
        <f t="shared" si="43"/>
        <v>3.3354204932621201E-2</v>
      </c>
      <c r="L48" s="3">
        <f t="shared" si="43"/>
        <v>3.3559380259441163E-2</v>
      </c>
      <c r="M48" s="3">
        <f t="shared" si="43"/>
        <v>3.3769687176717911E-2</v>
      </c>
      <c r="N48" s="3">
        <f t="shared" si="43"/>
        <v>3.3985262669032457E-2</v>
      </c>
      <c r="O48" s="3">
        <f t="shared" si="43"/>
        <v>3.1070834909141087E-2</v>
      </c>
      <c r="P48" s="3">
        <f t="shared" si="43"/>
        <v>3.1344504991051236E-2</v>
      </c>
    </row>
    <row r="50" spans="2:125" x14ac:dyDescent="0.25">
      <c r="B50" s="1" t="s">
        <v>20</v>
      </c>
      <c r="F50" s="1">
        <v>508</v>
      </c>
      <c r="G50" s="1">
        <v>2269</v>
      </c>
      <c r="H50" s="1">
        <f>+Share*2.4</f>
        <v>1279.9777103999998</v>
      </c>
      <c r="I50" s="1">
        <f>+Share*3.35</f>
        <v>1786.6355540999998</v>
      </c>
      <c r="J50" s="1">
        <f>+Share*3.8</f>
        <v>2026.6313747999998</v>
      </c>
      <c r="K50" s="1">
        <f>+Share*4.07</f>
        <v>2170.6288672199998</v>
      </c>
      <c r="L50" s="1">
        <f>+Share*4.22</f>
        <v>2250.6274741199995</v>
      </c>
      <c r="M50" s="1">
        <f>+L50*1.01</f>
        <v>2273.1337488611994</v>
      </c>
      <c r="N50" s="1">
        <f t="shared" ref="N50:P50" si="44">+M50*1.01</f>
        <v>2295.8650863498115</v>
      </c>
      <c r="O50" s="1">
        <f t="shared" si="44"/>
        <v>2318.8237372133094</v>
      </c>
      <c r="P50" s="1">
        <f t="shared" si="44"/>
        <v>2342.0119745854427</v>
      </c>
    </row>
    <row r="51" spans="2:125" x14ac:dyDescent="0.25">
      <c r="B51" s="1" t="s">
        <v>21</v>
      </c>
      <c r="F51" s="1">
        <v>1398</v>
      </c>
      <c r="G51" s="1">
        <v>1026</v>
      </c>
      <c r="H51" s="1">
        <v>556.36</v>
      </c>
      <c r="I51" s="1">
        <v>490.73</v>
      </c>
      <c r="J51" s="1">
        <v>488.4</v>
      </c>
      <c r="K51" s="1">
        <v>563.5</v>
      </c>
      <c r="L51" s="1">
        <v>567</v>
      </c>
      <c r="M51" s="1">
        <f>+L51*1.01</f>
        <v>572.66999999999996</v>
      </c>
      <c r="N51" s="1">
        <f t="shared" ref="N51:P51" si="45">+M51*1.01</f>
        <v>578.39670000000001</v>
      </c>
      <c r="O51" s="1">
        <f t="shared" si="45"/>
        <v>584.18066699999997</v>
      </c>
      <c r="P51" s="1">
        <f t="shared" si="45"/>
        <v>590.02247366999995</v>
      </c>
    </row>
    <row r="52" spans="2:125" s="2" customFormat="1" x14ac:dyDescent="0.25">
      <c r="B52" s="2" t="s">
        <v>22</v>
      </c>
      <c r="F52" s="2">
        <f>+F50-F51</f>
        <v>-890</v>
      </c>
      <c r="G52" s="2">
        <f>+G50-G51</f>
        <v>1243</v>
      </c>
      <c r="H52" s="2">
        <f>+H50-H51</f>
        <v>723.61771039999974</v>
      </c>
      <c r="I52" s="2">
        <f t="shared" ref="I52:P52" si="46">+I50-I51</f>
        <v>1295.9055540999998</v>
      </c>
      <c r="J52" s="2">
        <f t="shared" si="46"/>
        <v>1538.2313747999997</v>
      </c>
      <c r="K52" s="2">
        <f t="shared" si="46"/>
        <v>1607.1288672199998</v>
      </c>
      <c r="L52" s="2">
        <f t="shared" si="46"/>
        <v>1683.6274741199995</v>
      </c>
      <c r="M52" s="2">
        <f t="shared" si="46"/>
        <v>1700.4637488611993</v>
      </c>
      <c r="N52" s="2">
        <f t="shared" si="46"/>
        <v>1717.4683863498115</v>
      </c>
      <c r="O52" s="2">
        <f t="shared" si="46"/>
        <v>1734.6430702133093</v>
      </c>
      <c r="P52" s="2">
        <f t="shared" si="46"/>
        <v>1751.9895009154427</v>
      </c>
      <c r="Q52" s="2">
        <f t="shared" ref="Q52:AV52" si="47">+P52*(1+TR)</f>
        <v>1734.4696059062883</v>
      </c>
      <c r="R52" s="2">
        <f t="shared" si="47"/>
        <v>1717.1249098472254</v>
      </c>
      <c r="S52" s="2">
        <f t="shared" si="47"/>
        <v>1699.953660748753</v>
      </c>
      <c r="T52" s="2">
        <f t="shared" si="47"/>
        <v>1682.9541241412655</v>
      </c>
      <c r="U52" s="2">
        <f t="shared" si="47"/>
        <v>1666.1245828998528</v>
      </c>
      <c r="V52" s="2">
        <f t="shared" si="47"/>
        <v>1649.4633370708543</v>
      </c>
      <c r="W52" s="2">
        <f t="shared" si="47"/>
        <v>1632.9687037001459</v>
      </c>
      <c r="X52" s="2">
        <f t="shared" si="47"/>
        <v>1616.6390166631443</v>
      </c>
      <c r="Y52" s="2">
        <f t="shared" si="47"/>
        <v>1600.4726264965129</v>
      </c>
      <c r="Z52" s="2">
        <f t="shared" si="47"/>
        <v>1584.4679002315477</v>
      </c>
      <c r="AA52" s="2">
        <f t="shared" si="47"/>
        <v>1568.6232212292323</v>
      </c>
      <c r="AB52" s="2">
        <f t="shared" si="47"/>
        <v>1552.9369890169401</v>
      </c>
      <c r="AC52" s="2">
        <f t="shared" si="47"/>
        <v>1537.4076191267707</v>
      </c>
      <c r="AD52" s="2">
        <f t="shared" si="47"/>
        <v>1522.033542935503</v>
      </c>
      <c r="AE52" s="2">
        <f t="shared" si="47"/>
        <v>1506.8132075061478</v>
      </c>
      <c r="AF52" s="2">
        <f t="shared" si="47"/>
        <v>1491.7450754310864</v>
      </c>
      <c r="AG52" s="2">
        <f t="shared" si="47"/>
        <v>1476.8276246767755</v>
      </c>
      <c r="AH52" s="2">
        <f t="shared" si="47"/>
        <v>1462.0593484300077</v>
      </c>
      <c r="AI52" s="2">
        <f t="shared" si="47"/>
        <v>1447.4387549457076</v>
      </c>
      <c r="AJ52" s="2">
        <f t="shared" si="47"/>
        <v>1432.9643673962505</v>
      </c>
      <c r="AK52" s="2">
        <f t="shared" si="47"/>
        <v>1418.6347237222881</v>
      </c>
      <c r="AL52" s="2">
        <f t="shared" si="47"/>
        <v>1404.4483764850652</v>
      </c>
      <c r="AM52" s="2">
        <f t="shared" si="47"/>
        <v>1390.4038927202146</v>
      </c>
      <c r="AN52" s="2">
        <f t="shared" si="47"/>
        <v>1376.4998537930123</v>
      </c>
      <c r="AO52" s="2">
        <f t="shared" si="47"/>
        <v>1362.7348552550823</v>
      </c>
      <c r="AP52" s="2">
        <f t="shared" si="47"/>
        <v>1349.1075067025315</v>
      </c>
      <c r="AQ52" s="2">
        <f t="shared" si="47"/>
        <v>1335.6164316355062</v>
      </c>
      <c r="AR52" s="2">
        <f t="shared" si="47"/>
        <v>1322.2602673191511</v>
      </c>
      <c r="AS52" s="2">
        <f t="shared" si="47"/>
        <v>1309.0376646459597</v>
      </c>
      <c r="AT52" s="2">
        <f t="shared" si="47"/>
        <v>1295.9472879995001</v>
      </c>
      <c r="AU52" s="2">
        <f t="shared" si="47"/>
        <v>1282.9878151195051</v>
      </c>
      <c r="AV52" s="2">
        <f t="shared" si="47"/>
        <v>1270.15793696831</v>
      </c>
      <c r="AW52" s="2">
        <f t="shared" ref="AW52:CB52" si="48">+AV52*(1+TR)</f>
        <v>1257.4563575986269</v>
      </c>
      <c r="AX52" s="2">
        <f t="shared" si="48"/>
        <v>1244.8817940226406</v>
      </c>
      <c r="AY52" s="2">
        <f t="shared" si="48"/>
        <v>1232.4329760824141</v>
      </c>
      <c r="AZ52" s="2">
        <f t="shared" si="48"/>
        <v>1220.10864632159</v>
      </c>
      <c r="BA52" s="2">
        <f t="shared" si="48"/>
        <v>1207.907559858374</v>
      </c>
      <c r="BB52" s="2">
        <f t="shared" si="48"/>
        <v>1195.8284842597902</v>
      </c>
      <c r="BC52" s="2">
        <f t="shared" si="48"/>
        <v>1183.8701994171922</v>
      </c>
      <c r="BD52" s="2">
        <f t="shared" si="48"/>
        <v>1172.0314974230203</v>
      </c>
      <c r="BE52" s="2">
        <f t="shared" si="48"/>
        <v>1160.3111824487901</v>
      </c>
      <c r="BF52" s="2">
        <f t="shared" si="48"/>
        <v>1148.7080706243021</v>
      </c>
      <c r="BG52" s="2">
        <f t="shared" si="48"/>
        <v>1137.2209899180591</v>
      </c>
      <c r="BH52" s="2">
        <f t="shared" si="48"/>
        <v>1125.8487800188784</v>
      </c>
      <c r="BI52" s="2">
        <f t="shared" si="48"/>
        <v>1114.5902922186897</v>
      </c>
      <c r="BJ52" s="2">
        <f t="shared" si="48"/>
        <v>1103.4443892965028</v>
      </c>
      <c r="BK52" s="2">
        <f t="shared" si="48"/>
        <v>1092.4099454035377</v>
      </c>
      <c r="BL52" s="2">
        <f t="shared" si="48"/>
        <v>1081.4858459495024</v>
      </c>
      <c r="BM52" s="2">
        <f t="shared" si="48"/>
        <v>1070.6709874900073</v>
      </c>
      <c r="BN52" s="2">
        <f t="shared" si="48"/>
        <v>1059.9642776151072</v>
      </c>
      <c r="BO52" s="2">
        <f t="shared" si="48"/>
        <v>1049.3646348389561</v>
      </c>
      <c r="BP52" s="2">
        <f t="shared" si="48"/>
        <v>1038.8709884905666</v>
      </c>
      <c r="BQ52" s="2">
        <f t="shared" si="48"/>
        <v>1028.4822786056609</v>
      </c>
      <c r="BR52" s="2">
        <f t="shared" si="48"/>
        <v>1018.1974558196043</v>
      </c>
      <c r="BS52" s="2">
        <f t="shared" si="48"/>
        <v>1008.0154812614082</v>
      </c>
      <c r="BT52" s="2">
        <f t="shared" si="48"/>
        <v>997.93532644879417</v>
      </c>
      <c r="BU52" s="2">
        <f t="shared" si="48"/>
        <v>987.95597318430623</v>
      </c>
      <c r="BV52" s="2">
        <f t="shared" si="48"/>
        <v>978.07641345246316</v>
      </c>
      <c r="BW52" s="2">
        <f t="shared" si="48"/>
        <v>968.29564931793857</v>
      </c>
      <c r="BX52" s="2">
        <f t="shared" si="48"/>
        <v>958.61269282475916</v>
      </c>
      <c r="BY52" s="2">
        <f t="shared" si="48"/>
        <v>949.02656589651156</v>
      </c>
      <c r="BZ52" s="2">
        <f t="shared" si="48"/>
        <v>939.53630023754647</v>
      </c>
      <c r="CA52" s="2">
        <f t="shared" si="48"/>
        <v>930.14093723517101</v>
      </c>
      <c r="CB52" s="2">
        <f t="shared" si="48"/>
        <v>920.8395278628193</v>
      </c>
      <c r="CC52" s="2">
        <f t="shared" ref="CC52:DH52" si="49">+CB52*(1+TR)</f>
        <v>911.63113258419105</v>
      </c>
      <c r="CD52" s="2">
        <f t="shared" si="49"/>
        <v>902.51482125834912</v>
      </c>
      <c r="CE52" s="2">
        <f t="shared" si="49"/>
        <v>893.48967304576558</v>
      </c>
      <c r="CF52" s="2">
        <f t="shared" si="49"/>
        <v>884.55477631530789</v>
      </c>
      <c r="CG52" s="2">
        <f t="shared" si="49"/>
        <v>875.70922855215485</v>
      </c>
      <c r="CH52" s="2">
        <f t="shared" si="49"/>
        <v>866.95213626663326</v>
      </c>
      <c r="CI52" s="2">
        <f t="shared" si="49"/>
        <v>858.28261490396687</v>
      </c>
      <c r="CJ52" s="2">
        <f t="shared" si="49"/>
        <v>849.69978875492723</v>
      </c>
      <c r="CK52" s="2">
        <f t="shared" si="49"/>
        <v>841.20279086737798</v>
      </c>
      <c r="CL52" s="2">
        <f t="shared" si="49"/>
        <v>832.79076295870425</v>
      </c>
      <c r="CM52" s="2">
        <f t="shared" si="49"/>
        <v>824.46285532911725</v>
      </c>
      <c r="CN52" s="2">
        <f t="shared" si="49"/>
        <v>816.21822677582611</v>
      </c>
      <c r="CO52" s="2">
        <f t="shared" si="49"/>
        <v>808.05604450806788</v>
      </c>
      <c r="CP52" s="2">
        <f t="shared" si="49"/>
        <v>799.97548406298722</v>
      </c>
      <c r="CQ52" s="2">
        <f t="shared" si="49"/>
        <v>791.97572922235736</v>
      </c>
      <c r="CR52" s="2">
        <f t="shared" si="49"/>
        <v>784.05597193013375</v>
      </c>
      <c r="CS52" s="2">
        <f t="shared" si="49"/>
        <v>776.21541221083237</v>
      </c>
      <c r="CT52" s="2">
        <f t="shared" si="49"/>
        <v>768.45325808872406</v>
      </c>
      <c r="CU52" s="2">
        <f t="shared" si="49"/>
        <v>760.76872550783685</v>
      </c>
      <c r="CV52" s="2">
        <f t="shared" si="49"/>
        <v>753.16103825275843</v>
      </c>
      <c r="CW52" s="2">
        <f t="shared" si="49"/>
        <v>745.62942787023087</v>
      </c>
      <c r="CX52" s="2">
        <f t="shared" si="49"/>
        <v>738.17313359152854</v>
      </c>
      <c r="CY52" s="2">
        <f t="shared" si="49"/>
        <v>730.79140225561321</v>
      </c>
      <c r="CZ52" s="2">
        <f t="shared" si="49"/>
        <v>723.48348823305707</v>
      </c>
      <c r="DA52" s="2">
        <f t="shared" si="49"/>
        <v>716.2486533507265</v>
      </c>
      <c r="DB52" s="2">
        <f t="shared" si="49"/>
        <v>709.08616681721924</v>
      </c>
      <c r="DC52" s="2">
        <f t="shared" si="49"/>
        <v>701.995305149047</v>
      </c>
      <c r="DD52" s="2">
        <f t="shared" si="49"/>
        <v>694.97535209755654</v>
      </c>
      <c r="DE52" s="2">
        <f t="shared" si="49"/>
        <v>688.02559857658093</v>
      </c>
      <c r="DF52" s="2">
        <f t="shared" si="49"/>
        <v>681.14534259081506</v>
      </c>
      <c r="DG52" s="2">
        <f t="shared" si="49"/>
        <v>674.33388916490685</v>
      </c>
      <c r="DH52" s="2">
        <f t="shared" si="49"/>
        <v>667.5905502732578</v>
      </c>
      <c r="DI52" s="2">
        <f t="shared" ref="DI52:DU52" si="50">+DH52*(1+TR)</f>
        <v>660.91464477052523</v>
      </c>
      <c r="DJ52" s="2">
        <f t="shared" si="50"/>
        <v>654.30549832281997</v>
      </c>
      <c r="DK52" s="2">
        <f t="shared" si="50"/>
        <v>647.76244333959175</v>
      </c>
      <c r="DL52" s="2">
        <f t="shared" si="50"/>
        <v>641.28481890619582</v>
      </c>
      <c r="DM52" s="2">
        <f t="shared" si="50"/>
        <v>634.87197071713388</v>
      </c>
      <c r="DN52" s="2">
        <f t="shared" si="50"/>
        <v>628.52325100996256</v>
      </c>
      <c r="DO52" s="2">
        <f t="shared" si="50"/>
        <v>622.23801849986296</v>
      </c>
      <c r="DP52" s="2">
        <f t="shared" si="50"/>
        <v>616.0156383148643</v>
      </c>
      <c r="DQ52" s="2">
        <f t="shared" si="50"/>
        <v>609.85548193171564</v>
      </c>
      <c r="DR52" s="2">
        <f t="shared" si="50"/>
        <v>603.75692711239844</v>
      </c>
      <c r="DS52" s="2">
        <f t="shared" si="50"/>
        <v>597.71935784127447</v>
      </c>
      <c r="DT52" s="2">
        <f t="shared" si="50"/>
        <v>591.74216426286171</v>
      </c>
      <c r="DU52" s="2">
        <f t="shared" si="50"/>
        <v>585.82474262023311</v>
      </c>
    </row>
    <row r="53" spans="2:125" x14ac:dyDescent="0.25">
      <c r="S53" s="3"/>
    </row>
    <row r="54" spans="2:125" x14ac:dyDescent="0.25">
      <c r="B54" s="1" t="s">
        <v>24</v>
      </c>
      <c r="F54" s="1">
        <v>14977</v>
      </c>
      <c r="G54" s="1">
        <v>13913</v>
      </c>
    </row>
    <row r="55" spans="2:125" x14ac:dyDescent="0.25">
      <c r="B55" s="1" t="s">
        <v>25</v>
      </c>
      <c r="F55" s="1">
        <v>5807</v>
      </c>
      <c r="G55" s="1">
        <v>4501</v>
      </c>
      <c r="R55" s="3" t="s">
        <v>37</v>
      </c>
      <c r="S55" s="6">
        <v>0.06</v>
      </c>
    </row>
    <row r="56" spans="2:125" x14ac:dyDescent="0.25">
      <c r="B56" s="1" t="s">
        <v>26</v>
      </c>
      <c r="F56" s="1">
        <f>+F54-F55</f>
        <v>9170</v>
      </c>
      <c r="G56" s="1">
        <f>+G54-G55</f>
        <v>9412</v>
      </c>
      <c r="R56" s="1" t="s">
        <v>38</v>
      </c>
      <c r="S56" s="3">
        <v>-0.01</v>
      </c>
    </row>
    <row r="57" spans="2:125" x14ac:dyDescent="0.25">
      <c r="B57" s="1" t="s">
        <v>27</v>
      </c>
      <c r="G57" s="1">
        <f>+G56-F56</f>
        <v>242</v>
      </c>
      <c r="R57" s="1" t="s">
        <v>39</v>
      </c>
      <c r="S57" s="1">
        <f>NPV(S55,H42:CM42)</f>
        <v>21677.124011373406</v>
      </c>
    </row>
    <row r="58" spans="2:125" x14ac:dyDescent="0.25">
      <c r="R58" s="1" t="s">
        <v>40</v>
      </c>
      <c r="S58" s="1">
        <v>533.32404599999995</v>
      </c>
    </row>
    <row r="59" spans="2:125" x14ac:dyDescent="0.25">
      <c r="B59" s="1" t="s">
        <v>28</v>
      </c>
      <c r="F59" s="1">
        <v>2067</v>
      </c>
      <c r="G59" s="1">
        <v>632</v>
      </c>
      <c r="R59" s="1" t="s">
        <v>41</v>
      </c>
      <c r="S59" s="1">
        <f>+S57/S58</f>
        <v>40.645315308684594</v>
      </c>
    </row>
    <row r="60" spans="2:125" x14ac:dyDescent="0.25">
      <c r="B60" s="1" t="s">
        <v>29</v>
      </c>
      <c r="F60" s="1">
        <v>2442</v>
      </c>
      <c r="G60" s="1">
        <v>2355</v>
      </c>
      <c r="R60" s="1" t="s">
        <v>42</v>
      </c>
      <c r="S60" s="1">
        <v>25</v>
      </c>
    </row>
    <row r="61" spans="2:125" x14ac:dyDescent="0.25">
      <c r="B61" s="1" t="s">
        <v>30</v>
      </c>
      <c r="F61" s="1">
        <v>6733</v>
      </c>
      <c r="G61" s="1">
        <v>7053</v>
      </c>
      <c r="S61" s="3">
        <f>1-S60/S59</f>
        <v>0.38492296565704576</v>
      </c>
    </row>
    <row r="62" spans="2:125" x14ac:dyDescent="0.25">
      <c r="B62" s="1" t="s">
        <v>31</v>
      </c>
      <c r="F62" s="1">
        <f>4476+558</f>
        <v>5034</v>
      </c>
      <c r="G62" s="1">
        <f>327+3056</f>
        <v>3383</v>
      </c>
    </row>
    <row r="63" spans="2:125" x14ac:dyDescent="0.25">
      <c r="B63" s="1" t="s">
        <v>32</v>
      </c>
      <c r="F63" s="1">
        <f>+F59+F60+F61-F62</f>
        <v>6208</v>
      </c>
      <c r="G63" s="1">
        <f>+G59+G60+G61-G62</f>
        <v>6657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Share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2024-11-27T22:34:55Z</dcterms:created>
  <dcterms:modified xsi:type="dcterms:W3CDTF">2025-01-28T19:29:42Z</dcterms:modified>
</cp:coreProperties>
</file>