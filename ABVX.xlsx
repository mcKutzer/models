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3AFFFEC3-937E-463C-8A51-54851038AFF5}" xr6:coauthVersionLast="47" xr6:coauthVersionMax="47" xr10:uidLastSave="{00000000-0000-0000-0000-000000000000}"/>
  <bookViews>
    <workbookView xWindow="-120" yWindow="-120" windowWidth="29040" windowHeight="15840" activeTab="1" xr2:uid="{C30804FB-082C-4E9A-9996-67BEDBFE5D68}"/>
  </bookViews>
  <sheets>
    <sheet name="Main" sheetId="1" r:id="rId1"/>
    <sheet name="Sheet2" sheetId="2" r:id="rId2"/>
  </sheets>
  <definedNames>
    <definedName name="M.CD">Main!$R$5</definedName>
    <definedName name="M.UC">Main!$R$4</definedName>
    <definedName name="P.CD">Main!$N$5</definedName>
    <definedName name="P.UC">Main!$N$4</definedName>
    <definedName name="TR">Sheet2!$AE$31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5" i="2" l="1"/>
  <c r="P15" i="2" s="1"/>
  <c r="V15" i="2"/>
  <c r="W15" i="2"/>
  <c r="T14" i="2"/>
  <c r="O14" i="2" s="1"/>
  <c r="U14" i="2"/>
  <c r="V14" i="2"/>
  <c r="W14" i="2"/>
  <c r="G15" i="1"/>
  <c r="G14" i="1"/>
  <c r="AE33" i="2"/>
  <c r="L11" i="2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L6" i="2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L10" i="2"/>
  <c r="L12" i="2" s="1"/>
  <c r="L5" i="2"/>
  <c r="L7" i="2" s="1"/>
  <c r="K15" i="1"/>
  <c r="L25" i="2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L24" i="2"/>
  <c r="M24" i="2" s="1"/>
  <c r="N24" i="2" s="1"/>
  <c r="O24" i="2" s="1"/>
  <c r="P24" i="2" s="1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AA24" i="2" s="1"/>
  <c r="AB24" i="2" s="1"/>
  <c r="L22" i="2"/>
  <c r="L21" i="2"/>
  <c r="L18" i="2"/>
  <c r="M18" i="2" s="1"/>
  <c r="N18" i="2" s="1"/>
  <c r="O18" i="2" s="1"/>
  <c r="P18" i="2" s="1"/>
  <c r="Q18" i="2" s="1"/>
  <c r="R18" i="2" s="1"/>
  <c r="S18" i="2" s="1"/>
  <c r="T18" i="2" s="1"/>
  <c r="U18" i="2" s="1"/>
  <c r="V18" i="2" s="1"/>
  <c r="W18" i="2" s="1"/>
  <c r="X18" i="2" s="1"/>
  <c r="Y18" i="2" s="1"/>
  <c r="L19" i="2"/>
  <c r="M2" i="2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L5" i="1"/>
  <c r="K5" i="1"/>
  <c r="J5" i="1"/>
  <c r="I5" i="1" s="1"/>
  <c r="I4" i="1"/>
  <c r="L4" i="1"/>
  <c r="K4" i="1"/>
  <c r="J4" i="1"/>
  <c r="P21" i="2" l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T15" i="2"/>
  <c r="S15" i="2"/>
  <c r="R15" i="2"/>
  <c r="Q15" i="2"/>
  <c r="S14" i="2"/>
  <c r="R14" i="2"/>
  <c r="Q14" i="2"/>
  <c r="P14" i="2"/>
  <c r="L20" i="2"/>
  <c r="L23" i="2" s="1"/>
  <c r="L26" i="2" s="1"/>
  <c r="L28" i="2" s="1"/>
  <c r="Z18" i="2"/>
  <c r="AA18" i="2" s="1"/>
  <c r="AB18" i="2" s="1"/>
  <c r="M5" i="2"/>
  <c r="M10" i="2"/>
  <c r="M12" i="2" s="1"/>
  <c r="N10" i="2" s="1"/>
  <c r="N12" i="2" s="1"/>
  <c r="O10" i="2" l="1"/>
  <c r="O12" i="2" s="1"/>
  <c r="P10" i="2" s="1"/>
  <c r="M7" i="2"/>
  <c r="N5" i="2" s="1"/>
  <c r="N7" i="2" l="1"/>
  <c r="O5" i="2" s="1"/>
  <c r="O7" i="2" s="1"/>
  <c r="P5" i="2" s="1"/>
  <c r="P7" i="2" s="1"/>
  <c r="Q5" i="2" s="1"/>
  <c r="Q7" i="2" s="1"/>
  <c r="P12" i="2"/>
  <c r="Q10" i="2" s="1"/>
  <c r="R5" i="2" l="1"/>
  <c r="Q12" i="2"/>
  <c r="R10" i="2" s="1"/>
  <c r="R7" i="2"/>
  <c r="S5" i="2" s="1"/>
  <c r="N17" i="2" l="1"/>
  <c r="R12" i="2"/>
  <c r="S10" i="2" s="1"/>
  <c r="S7" i="2"/>
  <c r="T5" i="2" s="1"/>
  <c r="N19" i="2" l="1"/>
  <c r="N20" i="2" s="1"/>
  <c r="N30" i="2" s="1"/>
  <c r="M19" i="2"/>
  <c r="M20" i="2" s="1"/>
  <c r="S12" i="2"/>
  <c r="T10" i="2" s="1"/>
  <c r="T17" i="2" s="1"/>
  <c r="T7" i="2"/>
  <c r="U5" i="2" s="1"/>
  <c r="M23" i="2" l="1"/>
  <c r="M26" i="2" s="1"/>
  <c r="M28" i="2" s="1"/>
  <c r="T19" i="2"/>
  <c r="T20" i="2" s="1"/>
  <c r="T30" i="2" s="1"/>
  <c r="T22" i="2"/>
  <c r="N23" i="2"/>
  <c r="N26" i="2" s="1"/>
  <c r="N28" i="2" s="1"/>
  <c r="N31" i="2" s="1"/>
  <c r="S17" i="2"/>
  <c r="R17" i="2"/>
  <c r="Q17" i="2"/>
  <c r="P17" i="2"/>
  <c r="O17" i="2"/>
  <c r="T12" i="2"/>
  <c r="U10" i="2" s="1"/>
  <c r="U7" i="2"/>
  <c r="V5" i="2" s="1"/>
  <c r="U17" i="2" l="1"/>
  <c r="O19" i="2"/>
  <c r="O20" i="2" s="1"/>
  <c r="O30" i="2" s="1"/>
  <c r="R19" i="2"/>
  <c r="R20" i="2" s="1"/>
  <c r="R30" i="2" s="1"/>
  <c r="R22" i="2"/>
  <c r="T23" i="2"/>
  <c r="T26" i="2" s="1"/>
  <c r="T27" i="2" s="1"/>
  <c r="T28" i="2" s="1"/>
  <c r="T31" i="2" s="1"/>
  <c r="Q22" i="2"/>
  <c r="Q19" i="2"/>
  <c r="Q20" i="2" s="1"/>
  <c r="Q30" i="2" s="1"/>
  <c r="S19" i="2"/>
  <c r="S20" i="2" s="1"/>
  <c r="S30" i="2" s="1"/>
  <c r="S22" i="2"/>
  <c r="P19" i="2"/>
  <c r="P20" i="2" s="1"/>
  <c r="P30" i="2" s="1"/>
  <c r="P22" i="2"/>
  <c r="U12" i="2"/>
  <c r="V10" i="2" s="1"/>
  <c r="V7" i="2"/>
  <c r="W5" i="2" s="1"/>
  <c r="U22" i="2" l="1"/>
  <c r="U19" i="2"/>
  <c r="U20" i="2" s="1"/>
  <c r="U30" i="2" s="1"/>
  <c r="V17" i="2"/>
  <c r="P23" i="2"/>
  <c r="P26" i="2" s="1"/>
  <c r="P27" i="2" s="1"/>
  <c r="P28" i="2" s="1"/>
  <c r="P31" i="2" s="1"/>
  <c r="U23" i="2"/>
  <c r="U26" i="2" s="1"/>
  <c r="Q23" i="2"/>
  <c r="Q26" i="2" s="1"/>
  <c r="Q27" i="2" s="1"/>
  <c r="Q28" i="2" s="1"/>
  <c r="Q31" i="2" s="1"/>
  <c r="W7" i="2"/>
  <c r="R23" i="2"/>
  <c r="R26" i="2" s="1"/>
  <c r="R27" i="2" s="1"/>
  <c r="R28" i="2" s="1"/>
  <c r="R31" i="2" s="1"/>
  <c r="S23" i="2"/>
  <c r="S26" i="2" s="1"/>
  <c r="O23" i="2"/>
  <c r="O26" i="2" s="1"/>
  <c r="O27" i="2" s="1"/>
  <c r="O28" i="2" s="1"/>
  <c r="V12" i="2"/>
  <c r="W10" i="2" s="1"/>
  <c r="O31" i="2" l="1"/>
  <c r="M33" i="2"/>
  <c r="V22" i="2"/>
  <c r="V19" i="2"/>
  <c r="V20" i="2" s="1"/>
  <c r="V30" i="2" s="1"/>
  <c r="W12" i="2"/>
  <c r="W17" i="2"/>
  <c r="S27" i="2"/>
  <c r="S28" i="2" s="1"/>
  <c r="S31" i="2" s="1"/>
  <c r="U27" i="2"/>
  <c r="U28" i="2" s="1"/>
  <c r="U31" i="2" s="1"/>
  <c r="V23" i="2" l="1"/>
  <c r="V26" i="2" s="1"/>
  <c r="V27" i="2" s="1"/>
  <c r="V28" i="2" s="1"/>
  <c r="V31" i="2" s="1"/>
  <c r="W19" i="2"/>
  <c r="W20" i="2" s="1"/>
  <c r="W30" i="2" s="1"/>
  <c r="X17" i="2"/>
  <c r="W22" i="2"/>
  <c r="W23" i="2" l="1"/>
  <c r="W26" i="2" s="1"/>
  <c r="X19" i="2"/>
  <c r="X20" i="2" s="1"/>
  <c r="X30" i="2" s="1"/>
  <c r="Y17" i="2"/>
  <c r="X22" i="2"/>
  <c r="X23" i="2" l="1"/>
  <c r="X26" i="2" s="1"/>
  <c r="X27" i="2" s="1"/>
  <c r="X28" i="2" s="1"/>
  <c r="X31" i="2" s="1"/>
  <c r="Z17" i="2"/>
  <c r="Y19" i="2"/>
  <c r="Y20" i="2" s="1"/>
  <c r="Y30" i="2" s="1"/>
  <c r="Y22" i="2"/>
  <c r="W27" i="2"/>
  <c r="W28" i="2" s="1"/>
  <c r="W31" i="2" s="1"/>
  <c r="Y23" i="2" l="1"/>
  <c r="Y26" i="2" s="1"/>
  <c r="Y27" i="2" s="1"/>
  <c r="Y28" i="2" s="1"/>
  <c r="Y31" i="2" s="1"/>
  <c r="Z22" i="2"/>
  <c r="Z19" i="2"/>
  <c r="Z20" i="2"/>
  <c r="Z30" i="2" s="1"/>
  <c r="AA17" i="2"/>
  <c r="Z23" i="2" l="1"/>
  <c r="Z26" i="2" s="1"/>
  <c r="Z27" i="2" s="1"/>
  <c r="Z28" i="2" s="1"/>
  <c r="Z31" i="2" s="1"/>
  <c r="AA22" i="2"/>
  <c r="AB17" i="2"/>
  <c r="AA19" i="2"/>
  <c r="AA20" i="2" s="1"/>
  <c r="AA30" i="2" s="1"/>
  <c r="AA23" i="2" l="1"/>
  <c r="AA26" i="2" s="1"/>
  <c r="AA27" i="2" s="1"/>
  <c r="AA28" i="2" s="1"/>
  <c r="AA31" i="2" s="1"/>
  <c r="AB22" i="2"/>
  <c r="AB19" i="2"/>
  <c r="AB20" i="2" s="1"/>
  <c r="AB30" i="2" s="1"/>
  <c r="AB23" i="2" l="1"/>
  <c r="AB26" i="2" s="1"/>
  <c r="AB27" i="2" s="1"/>
  <c r="AB28" i="2" s="1"/>
  <c r="AC28" i="2" l="1"/>
  <c r="AD28" i="2" s="1"/>
  <c r="AE28" i="2" s="1"/>
  <c r="AF28" i="2" s="1"/>
  <c r="AG28" i="2" s="1"/>
  <c r="AH28" i="2" s="1"/>
  <c r="AI28" i="2" s="1"/>
  <c r="AJ28" i="2" s="1"/>
  <c r="AK28" i="2" s="1"/>
  <c r="AL28" i="2" s="1"/>
  <c r="AM28" i="2" s="1"/>
  <c r="AN28" i="2" s="1"/>
  <c r="AO28" i="2" s="1"/>
  <c r="AP28" i="2" s="1"/>
  <c r="AQ28" i="2" s="1"/>
  <c r="AR28" i="2" s="1"/>
  <c r="AS28" i="2" s="1"/>
  <c r="AT28" i="2" s="1"/>
  <c r="AU28" i="2" s="1"/>
  <c r="AV28" i="2" s="1"/>
  <c r="AW28" i="2" s="1"/>
  <c r="AX28" i="2" s="1"/>
  <c r="AY28" i="2" s="1"/>
  <c r="AZ28" i="2" s="1"/>
  <c r="BA28" i="2" s="1"/>
  <c r="BB28" i="2" s="1"/>
  <c r="BC28" i="2" s="1"/>
  <c r="BD28" i="2" s="1"/>
  <c r="BE28" i="2" s="1"/>
  <c r="BF28" i="2" s="1"/>
  <c r="AE32" i="2" s="1"/>
  <c r="AE34" i="2" s="1"/>
  <c r="AE35" i="2" s="1"/>
  <c r="AB31" i="2"/>
</calcChain>
</file>

<file path=xl/sharedStrings.xml><?xml version="1.0" encoding="utf-8"?>
<sst xmlns="http://schemas.openxmlformats.org/spreadsheetml/2006/main" count="86" uniqueCount="71">
  <si>
    <t>Name</t>
  </si>
  <si>
    <t>Type</t>
  </si>
  <si>
    <t>UC</t>
  </si>
  <si>
    <t>CD</t>
  </si>
  <si>
    <t>Phase</t>
  </si>
  <si>
    <t>III</t>
  </si>
  <si>
    <t>Iib</t>
  </si>
  <si>
    <t>Finish</t>
  </si>
  <si>
    <t>Obefazimod (ABX464)</t>
  </si>
  <si>
    <t>Platform</t>
  </si>
  <si>
    <t>Monotherapy</t>
  </si>
  <si>
    <t>Patient Pool</t>
  </si>
  <si>
    <t>US</t>
  </si>
  <si>
    <t>Japan</t>
  </si>
  <si>
    <t>EU5</t>
  </si>
  <si>
    <t>Price</t>
  </si>
  <si>
    <t>Competitors</t>
  </si>
  <si>
    <t>Oral therapies: Xeljanz (tofacitinib), Rinvoq (upadacitinib), Zeposia (ozanimod)</t>
  </si>
  <si>
    <t>Peak Market</t>
  </si>
  <si>
    <t>Ramp up</t>
  </si>
  <si>
    <t>5 to 7 years</t>
  </si>
  <si>
    <t>Biologics: Remicade (infliximab), Humira (adalimumab), Entyvio (vedolizumab), Cimzia</t>
  </si>
  <si>
    <t>Growth</t>
  </si>
  <si>
    <t>Mortality</t>
  </si>
  <si>
    <t>Therapy</t>
  </si>
  <si>
    <t>Market</t>
  </si>
  <si>
    <t>Producer</t>
  </si>
  <si>
    <t>Humira (Adalimumab)</t>
  </si>
  <si>
    <t>Remicade (Infliximab)</t>
  </si>
  <si>
    <t>Entyvio (Vedolizumab)</t>
  </si>
  <si>
    <t>Stelara (Ustekinumab)</t>
  </si>
  <si>
    <t>Skyrizi (Risankizumab)</t>
  </si>
  <si>
    <t>Xeljanz (Tofacitinib)</t>
  </si>
  <si>
    <t>Zeposia (Ozanimod)</t>
  </si>
  <si>
    <t>Biosimilars</t>
  </si>
  <si>
    <t>Other Therapies</t>
  </si>
  <si>
    <t>AbbVie</t>
  </si>
  <si>
    <t>J&amp;J</t>
  </si>
  <si>
    <t>Takeda</t>
  </si>
  <si>
    <t>Pfizer</t>
  </si>
  <si>
    <t>BMS</t>
  </si>
  <si>
    <t>Patients</t>
  </si>
  <si>
    <t>New Patients</t>
  </si>
  <si>
    <t>Died</t>
  </si>
  <si>
    <t>ABX464 Price</t>
  </si>
  <si>
    <t>ABX464 Revenue</t>
  </si>
  <si>
    <t>COGS</t>
  </si>
  <si>
    <t>Gross Margin</t>
  </si>
  <si>
    <t>SG&amp;A</t>
  </si>
  <si>
    <t>R&amp;D</t>
  </si>
  <si>
    <t>Other Income</t>
  </si>
  <si>
    <t>Operating Income</t>
  </si>
  <si>
    <t>Interest Expense</t>
  </si>
  <si>
    <t>Interest Income</t>
  </si>
  <si>
    <t>Pretax</t>
  </si>
  <si>
    <t>Taxes</t>
  </si>
  <si>
    <t>Net Income</t>
  </si>
  <si>
    <t>Cash</t>
  </si>
  <si>
    <t>Debt</t>
  </si>
  <si>
    <t>Mrkt Cap</t>
  </si>
  <si>
    <t>EV</t>
  </si>
  <si>
    <t>ABX464 UC Patients</t>
  </si>
  <si>
    <t>ABX464 CD Patients</t>
  </si>
  <si>
    <t>Approved</t>
  </si>
  <si>
    <t>Net Margin</t>
  </si>
  <si>
    <t>Discount</t>
  </si>
  <si>
    <t>Terminal</t>
  </si>
  <si>
    <t>NPV</t>
  </si>
  <si>
    <t>Net Cash</t>
  </si>
  <si>
    <t>Value</t>
  </si>
  <si>
    <t>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</si>
</sst>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0" fontId="2" fillId="0" borderId="0" xfId="0" applyFont="1"/>
    <xf numFmtId="16" fontId="0" fillId="0" borderId="0" xfId="0" applyNumberFormat="1"/>
    <xf numFmtId="9" fontId="0" fillId="0" borderId="0" xfId="1" applyFont="1"/>
    <xf numFmtId="0" fontId="0" fillId="0" borderId="0" xfId="0" applyAlignment="1">
      <alignment horizontal="right"/>
    </xf>
    <xf numFmtId="9" fontId="0" fillId="0" borderId="0" xfId="0" applyNumberFormat="1"/>
    <xf numFmtId="10" fontId="0" fillId="0" borderId="0" xfId="1" applyNumberFormat="1" applyFont="1"/>
    <xf numFmtId="3" fontId="2" fillId="0" borderId="0" xfId="0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14654</xdr:rowOff>
    </xdr:from>
    <xdr:to>
      <xdr:col>12</xdr:col>
      <xdr:colOff>7326</xdr:colOff>
      <xdr:row>30</xdr:row>
      <xdr:rowOff>51288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1DBD551-ADB8-82B4-3786-D221F7255466}"/>
            </a:ext>
          </a:extLst>
        </xdr:cNvPr>
        <xdr:cNvCxnSpPr/>
      </xdr:nvCxnSpPr>
      <xdr:spPr>
        <a:xfrm flipH="1">
          <a:off x="3568212" y="586154"/>
          <a:ext cx="7326" cy="53706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F32C-58EA-458D-B42F-01FF0EC9A83B}">
  <dimension ref="B3:R25"/>
  <sheetViews>
    <sheetView zoomScale="130" zoomScaleNormal="130" workbookViewId="0">
      <selection activeCell="E18" sqref="E18"/>
    </sheetView>
  </sheetViews>
  <sheetFormatPr defaultRowHeight="15" x14ac:dyDescent="0.25"/>
  <cols>
    <col min="2" max="2" width="20.5703125" bestFit="1" customWidth="1"/>
    <col min="3" max="3" width="13.140625" bestFit="1" customWidth="1"/>
    <col min="8" max="8" width="2.85546875" customWidth="1"/>
    <col min="9" max="9" width="11.85546875" bestFit="1" customWidth="1"/>
    <col min="13" max="13" width="2.85546875" customWidth="1"/>
    <col min="14" max="14" width="12" bestFit="1" customWidth="1"/>
    <col min="15" max="15" width="10.85546875" bestFit="1" customWidth="1"/>
    <col min="16" max="16" width="2.85546875" customWidth="1"/>
  </cols>
  <sheetData>
    <row r="3" spans="2:18" x14ac:dyDescent="0.25">
      <c r="B3" t="s">
        <v>0</v>
      </c>
      <c r="C3" t="s">
        <v>9</v>
      </c>
      <c r="D3" t="s">
        <v>1</v>
      </c>
      <c r="E3" t="s">
        <v>4</v>
      </c>
      <c r="F3" t="s">
        <v>7</v>
      </c>
      <c r="G3" t="s">
        <v>15</v>
      </c>
      <c r="I3" t="s">
        <v>11</v>
      </c>
      <c r="J3" t="s">
        <v>12</v>
      </c>
      <c r="K3" t="s">
        <v>14</v>
      </c>
      <c r="L3" t="s">
        <v>13</v>
      </c>
      <c r="N3" t="s">
        <v>18</v>
      </c>
      <c r="O3" t="s">
        <v>19</v>
      </c>
      <c r="Q3" t="s">
        <v>22</v>
      </c>
      <c r="R3" t="s">
        <v>23</v>
      </c>
    </row>
    <row r="4" spans="2:18" x14ac:dyDescent="0.25">
      <c r="B4" t="s">
        <v>8</v>
      </c>
      <c r="C4" t="s">
        <v>10</v>
      </c>
      <c r="D4" t="s">
        <v>2</v>
      </c>
      <c r="E4" t="s">
        <v>5</v>
      </c>
      <c r="F4">
        <v>2025</v>
      </c>
      <c r="G4" s="1">
        <v>50000</v>
      </c>
      <c r="I4" s="1">
        <f>+SUM(J4:L4)</f>
        <v>387000</v>
      </c>
      <c r="J4">
        <f>(135000+240000)/2</f>
        <v>187500</v>
      </c>
      <c r="K4">
        <f>(112500+216000)/2</f>
        <v>164250</v>
      </c>
      <c r="L4">
        <f>(22500+48000)/2</f>
        <v>35250</v>
      </c>
      <c r="N4" s="4">
        <v>0.05</v>
      </c>
      <c r="O4" s="3" t="s">
        <v>20</v>
      </c>
      <c r="Q4" s="1">
        <v>22500</v>
      </c>
      <c r="R4" s="7">
        <v>7.5300000000000002E-3</v>
      </c>
    </row>
    <row r="5" spans="2:18" x14ac:dyDescent="0.25">
      <c r="B5" t="s">
        <v>8</v>
      </c>
      <c r="C5" t="s">
        <v>10</v>
      </c>
      <c r="D5" t="s">
        <v>3</v>
      </c>
      <c r="E5" t="s">
        <v>6</v>
      </c>
      <c r="F5">
        <v>2027</v>
      </c>
      <c r="G5" s="1">
        <v>50000</v>
      </c>
      <c r="I5" s="1">
        <f>+SUM(J5:L5)</f>
        <v>311100</v>
      </c>
      <c r="J5">
        <f>(105000+192000)/2</f>
        <v>148500</v>
      </c>
      <c r="K5">
        <f>(90000+192000)/2</f>
        <v>141000</v>
      </c>
      <c r="L5">
        <f>(12000+31200)/2</f>
        <v>21600</v>
      </c>
      <c r="N5" s="4">
        <v>0.05</v>
      </c>
      <c r="O5" s="3" t="s">
        <v>20</v>
      </c>
      <c r="Q5" s="1">
        <v>15000</v>
      </c>
      <c r="R5" s="7">
        <v>7.5300000000000002E-3</v>
      </c>
    </row>
    <row r="8" spans="2:18" x14ac:dyDescent="0.25">
      <c r="B8" s="2" t="s">
        <v>16</v>
      </c>
    </row>
    <row r="9" spans="2:18" x14ac:dyDescent="0.25">
      <c r="B9" t="s">
        <v>21</v>
      </c>
    </row>
    <row r="10" spans="2:18" x14ac:dyDescent="0.25">
      <c r="B10" t="s">
        <v>17</v>
      </c>
    </row>
    <row r="12" spans="2:18" x14ac:dyDescent="0.25">
      <c r="B12" s="2" t="s">
        <v>25</v>
      </c>
      <c r="J12" t="s">
        <v>57</v>
      </c>
      <c r="K12" s="1">
        <v>222300</v>
      </c>
    </row>
    <row r="13" spans="2:18" x14ac:dyDescent="0.25">
      <c r="B13" t="s">
        <v>24</v>
      </c>
      <c r="C13" t="s">
        <v>2</v>
      </c>
      <c r="D13" t="s">
        <v>3</v>
      </c>
      <c r="E13" t="s">
        <v>26</v>
      </c>
      <c r="J13" t="s">
        <v>58</v>
      </c>
      <c r="K13" s="1">
        <v>119600</v>
      </c>
    </row>
    <row r="14" spans="2:18" x14ac:dyDescent="0.25">
      <c r="B14" t="s">
        <v>27</v>
      </c>
      <c r="C14" s="4">
        <v>0.15</v>
      </c>
      <c r="D14" s="4">
        <v>0.2</v>
      </c>
      <c r="E14" s="5" t="s">
        <v>36</v>
      </c>
      <c r="G14" s="6">
        <f>+SUM(C14:C18)+C21</f>
        <v>0.65</v>
      </c>
      <c r="J14" t="s">
        <v>59</v>
      </c>
      <c r="K14" s="1">
        <v>541800</v>
      </c>
    </row>
    <row r="15" spans="2:18" x14ac:dyDescent="0.25">
      <c r="B15" t="s">
        <v>28</v>
      </c>
      <c r="C15" s="4">
        <v>0.1</v>
      </c>
      <c r="D15" s="4">
        <v>0.12</v>
      </c>
      <c r="E15" s="5" t="s">
        <v>37</v>
      </c>
      <c r="G15" s="6">
        <f>1-G14</f>
        <v>0.35</v>
      </c>
      <c r="J15" t="s">
        <v>60</v>
      </c>
      <c r="K15" s="1">
        <f>+K14-K12+K13</f>
        <v>439100</v>
      </c>
    </row>
    <row r="16" spans="2:18" x14ac:dyDescent="0.25">
      <c r="B16" t="s">
        <v>29</v>
      </c>
      <c r="C16" s="4">
        <v>0.15</v>
      </c>
      <c r="D16" s="4">
        <v>0.15</v>
      </c>
      <c r="E16" s="5" t="s">
        <v>38</v>
      </c>
      <c r="J16" t="s">
        <v>70</v>
      </c>
      <c r="K16" s="1">
        <v>42547.567999999999</v>
      </c>
    </row>
    <row r="17" spans="2:5" x14ac:dyDescent="0.25">
      <c r="B17" t="s">
        <v>30</v>
      </c>
      <c r="C17" s="4">
        <v>0.1</v>
      </c>
      <c r="D17" s="4">
        <v>0.12</v>
      </c>
      <c r="E17" s="5" t="s">
        <v>37</v>
      </c>
    </row>
    <row r="18" spans="2:5" x14ac:dyDescent="0.25">
      <c r="B18" t="s">
        <v>31</v>
      </c>
      <c r="C18" s="4">
        <v>0.05</v>
      </c>
      <c r="D18" s="4">
        <v>0.1</v>
      </c>
      <c r="E18" s="5" t="s">
        <v>36</v>
      </c>
    </row>
    <row r="19" spans="2:5" x14ac:dyDescent="0.25">
      <c r="B19" t="s">
        <v>32</v>
      </c>
      <c r="C19" s="4">
        <v>0.08</v>
      </c>
      <c r="D19" s="4">
        <v>0.05</v>
      </c>
      <c r="E19" s="5" t="s">
        <v>39</v>
      </c>
    </row>
    <row r="20" spans="2:5" x14ac:dyDescent="0.25">
      <c r="B20" t="s">
        <v>33</v>
      </c>
      <c r="C20" s="4">
        <v>0.05</v>
      </c>
      <c r="D20" s="4">
        <v>0.03</v>
      </c>
      <c r="E20" s="5" t="s">
        <v>40</v>
      </c>
    </row>
    <row r="21" spans="2:5" x14ac:dyDescent="0.25">
      <c r="B21" t="s">
        <v>34</v>
      </c>
      <c r="C21" s="4">
        <v>0.1</v>
      </c>
      <c r="D21" s="4">
        <v>0.1</v>
      </c>
      <c r="E21" s="5"/>
    </row>
    <row r="22" spans="2:5" x14ac:dyDescent="0.25">
      <c r="B22" t="s">
        <v>35</v>
      </c>
      <c r="C22" s="4">
        <v>0.22</v>
      </c>
      <c r="D22" s="4">
        <v>0.13</v>
      </c>
      <c r="E22" s="5"/>
    </row>
    <row r="24" spans="2:5" x14ac:dyDescent="0.25">
      <c r="C24" s="6"/>
    </row>
    <row r="25" spans="2:5" x14ac:dyDescent="0.25">
      <c r="C2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E02D-8949-473C-9CF3-DDFEF6DF5640}">
  <dimension ref="B2:CV176"/>
  <sheetViews>
    <sheetView tabSelected="1" zoomScale="130" zoomScaleNormal="130" workbookViewId="0">
      <pane xSplit="2" ySplit="2" topLeftCell="K12" activePane="bottomRight" state="frozen"/>
      <selection pane="topRight" activeCell="C1" sqref="C1"/>
      <selection pane="bottomLeft" activeCell="A3" sqref="A3"/>
      <selection pane="bottomRight" activeCell="X14" sqref="X14:X15"/>
    </sheetView>
  </sheetViews>
  <sheetFormatPr defaultRowHeight="15" x14ac:dyDescent="0.25"/>
  <cols>
    <col min="2" max="2" width="18.42578125" bestFit="1" customWidth="1"/>
    <col min="15" max="28" width="9.5703125" bestFit="1" customWidth="1"/>
    <col min="31" max="31" width="9.5703125" bestFit="1" customWidth="1"/>
  </cols>
  <sheetData>
    <row r="2" spans="2:58" x14ac:dyDescent="0.25">
      <c r="L2">
        <v>2024</v>
      </c>
      <c r="M2">
        <f t="shared" ref="M2:U2" si="0">+L2+1</f>
        <v>2025</v>
      </c>
      <c r="N2">
        <f t="shared" si="0"/>
        <v>2026</v>
      </c>
      <c r="O2">
        <f t="shared" si="0"/>
        <v>2027</v>
      </c>
      <c r="P2">
        <f t="shared" si="0"/>
        <v>2028</v>
      </c>
      <c r="Q2">
        <f t="shared" si="0"/>
        <v>2029</v>
      </c>
      <c r="R2">
        <f t="shared" si="0"/>
        <v>2030</v>
      </c>
      <c r="S2">
        <f t="shared" si="0"/>
        <v>2031</v>
      </c>
      <c r="T2">
        <f t="shared" si="0"/>
        <v>2032</v>
      </c>
      <c r="U2">
        <f t="shared" si="0"/>
        <v>2033</v>
      </c>
      <c r="V2">
        <f t="shared" ref="V2:BF2" si="1">+U2+1</f>
        <v>2034</v>
      </c>
      <c r="W2">
        <f t="shared" si="1"/>
        <v>2035</v>
      </c>
      <c r="X2">
        <f t="shared" si="1"/>
        <v>2036</v>
      </c>
      <c r="Y2">
        <f t="shared" si="1"/>
        <v>2037</v>
      </c>
      <c r="Z2">
        <f t="shared" si="1"/>
        <v>2038</v>
      </c>
      <c r="AA2">
        <f t="shared" si="1"/>
        <v>2039</v>
      </c>
      <c r="AB2">
        <f t="shared" si="1"/>
        <v>2040</v>
      </c>
      <c r="AC2">
        <f t="shared" si="1"/>
        <v>2041</v>
      </c>
      <c r="AD2">
        <f t="shared" si="1"/>
        <v>2042</v>
      </c>
      <c r="AE2">
        <f t="shared" si="1"/>
        <v>2043</v>
      </c>
      <c r="AF2">
        <f t="shared" si="1"/>
        <v>2044</v>
      </c>
      <c r="AG2">
        <f t="shared" si="1"/>
        <v>2045</v>
      </c>
      <c r="AH2">
        <f t="shared" si="1"/>
        <v>2046</v>
      </c>
      <c r="AI2">
        <f t="shared" si="1"/>
        <v>2047</v>
      </c>
      <c r="AJ2">
        <f t="shared" si="1"/>
        <v>2048</v>
      </c>
      <c r="AK2">
        <f t="shared" si="1"/>
        <v>2049</v>
      </c>
      <c r="AL2">
        <f t="shared" si="1"/>
        <v>2050</v>
      </c>
      <c r="AM2">
        <f t="shared" si="1"/>
        <v>2051</v>
      </c>
      <c r="AN2">
        <f t="shared" si="1"/>
        <v>2052</v>
      </c>
      <c r="AO2">
        <f t="shared" si="1"/>
        <v>2053</v>
      </c>
      <c r="AP2">
        <f t="shared" si="1"/>
        <v>2054</v>
      </c>
      <c r="AQ2">
        <f t="shared" si="1"/>
        <v>2055</v>
      </c>
      <c r="AR2">
        <f t="shared" si="1"/>
        <v>2056</v>
      </c>
      <c r="AS2">
        <f t="shared" si="1"/>
        <v>2057</v>
      </c>
      <c r="AT2">
        <f t="shared" si="1"/>
        <v>2058</v>
      </c>
      <c r="AU2">
        <f t="shared" si="1"/>
        <v>2059</v>
      </c>
      <c r="AV2">
        <f t="shared" si="1"/>
        <v>2060</v>
      </c>
      <c r="AW2">
        <f t="shared" si="1"/>
        <v>2061</v>
      </c>
      <c r="AX2">
        <f t="shared" si="1"/>
        <v>2062</v>
      </c>
      <c r="AY2">
        <f t="shared" si="1"/>
        <v>2063</v>
      </c>
      <c r="AZ2">
        <f t="shared" si="1"/>
        <v>2064</v>
      </c>
      <c r="BA2">
        <f t="shared" si="1"/>
        <v>2065</v>
      </c>
      <c r="BB2">
        <f t="shared" si="1"/>
        <v>2066</v>
      </c>
      <c r="BC2">
        <f t="shared" si="1"/>
        <v>2067</v>
      </c>
      <c r="BD2">
        <f t="shared" si="1"/>
        <v>2068</v>
      </c>
      <c r="BE2">
        <f t="shared" si="1"/>
        <v>2069</v>
      </c>
      <c r="BF2">
        <f t="shared" si="1"/>
        <v>2070</v>
      </c>
    </row>
    <row r="3" spans="2:58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2:58" x14ac:dyDescent="0.25">
      <c r="B4" s="2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2:58" x14ac:dyDescent="0.25">
      <c r="B5" t="s">
        <v>41</v>
      </c>
      <c r="C5" s="1"/>
      <c r="D5" s="1"/>
      <c r="E5" s="1"/>
      <c r="F5" s="1"/>
      <c r="G5" s="1"/>
      <c r="H5" s="1"/>
      <c r="I5" s="1"/>
      <c r="J5" s="1"/>
      <c r="K5" s="1"/>
      <c r="L5" s="1">
        <f>+Main!I4</f>
        <v>387000</v>
      </c>
      <c r="M5" s="1">
        <f>+L5+L6-L7</f>
        <v>406585.89</v>
      </c>
      <c r="N5" s="1">
        <f t="shared" ref="N5:W5" si="2">+M5+M6-M7</f>
        <v>426024.29824830004</v>
      </c>
      <c r="O5" s="1">
        <f t="shared" si="2"/>
        <v>445316.33528249036</v>
      </c>
      <c r="P5" s="1">
        <f t="shared" si="2"/>
        <v>464463.10327781318</v>
      </c>
      <c r="Q5" s="1">
        <f t="shared" si="2"/>
        <v>483465.69611013122</v>
      </c>
      <c r="R5" s="1">
        <f t="shared" si="2"/>
        <v>502325.19941842195</v>
      </c>
      <c r="S5" s="1">
        <f t="shared" si="2"/>
        <v>521042.69066680124</v>
      </c>
      <c r="T5" s="1">
        <f t="shared" si="2"/>
        <v>539619.23920608032</v>
      </c>
      <c r="U5" s="1">
        <f t="shared" si="2"/>
        <v>558055.9063348585</v>
      </c>
      <c r="V5" s="1">
        <f t="shared" si="2"/>
        <v>576353.74536015699</v>
      </c>
      <c r="W5" s="1">
        <f t="shared" si="2"/>
        <v>594513.80165759497</v>
      </c>
      <c r="X5" s="1"/>
      <c r="Y5" s="1"/>
      <c r="Z5" s="1"/>
      <c r="AA5" s="1"/>
      <c r="AB5" s="1"/>
    </row>
    <row r="6" spans="2:58" x14ac:dyDescent="0.25">
      <c r="B6" t="s">
        <v>42</v>
      </c>
      <c r="C6" s="1"/>
      <c r="D6" s="1"/>
      <c r="E6" s="1"/>
      <c r="F6" s="1"/>
      <c r="G6" s="1"/>
      <c r="H6" s="1"/>
      <c r="I6" s="1"/>
      <c r="J6" s="1"/>
      <c r="K6" s="1"/>
      <c r="L6" s="1">
        <f>+Main!Q4</f>
        <v>22500</v>
      </c>
      <c r="M6" s="1">
        <f>+L6</f>
        <v>22500</v>
      </c>
      <c r="N6" s="1">
        <f t="shared" ref="N6:W6" si="3">+M6</f>
        <v>22500</v>
      </c>
      <c r="O6" s="1">
        <f t="shared" si="3"/>
        <v>22500</v>
      </c>
      <c r="P6" s="1">
        <f t="shared" si="3"/>
        <v>22500</v>
      </c>
      <c r="Q6" s="1">
        <f t="shared" si="3"/>
        <v>22500</v>
      </c>
      <c r="R6" s="1">
        <f t="shared" si="3"/>
        <v>22500</v>
      </c>
      <c r="S6" s="1">
        <f t="shared" si="3"/>
        <v>22500</v>
      </c>
      <c r="T6" s="1">
        <f t="shared" si="3"/>
        <v>22500</v>
      </c>
      <c r="U6" s="1">
        <f t="shared" si="3"/>
        <v>22500</v>
      </c>
      <c r="V6" s="1">
        <f t="shared" si="3"/>
        <v>22500</v>
      </c>
      <c r="W6" s="1">
        <f t="shared" si="3"/>
        <v>22500</v>
      </c>
      <c r="X6" s="1"/>
      <c r="Y6" s="1"/>
      <c r="Z6" s="1"/>
      <c r="AA6" s="1"/>
      <c r="AB6" s="1"/>
    </row>
    <row r="7" spans="2:58" x14ac:dyDescent="0.25">
      <c r="B7" t="s">
        <v>43</v>
      </c>
      <c r="C7" s="1"/>
      <c r="D7" s="1"/>
      <c r="E7" s="1"/>
      <c r="F7" s="1"/>
      <c r="G7" s="1"/>
      <c r="H7" s="1"/>
      <c r="I7" s="1"/>
      <c r="J7" s="1"/>
      <c r="K7" s="1"/>
      <c r="L7" s="1">
        <f t="shared" ref="L7:W7" si="4">+L5*M.UC</f>
        <v>2914.11</v>
      </c>
      <c r="M7" s="1">
        <f t="shared" si="4"/>
        <v>3061.5917517000003</v>
      </c>
      <c r="N7" s="1">
        <f t="shared" si="4"/>
        <v>3207.9629658096992</v>
      </c>
      <c r="O7" s="1">
        <f t="shared" si="4"/>
        <v>3353.2320046771524</v>
      </c>
      <c r="P7" s="1">
        <f t="shared" si="4"/>
        <v>3497.4071676819335</v>
      </c>
      <c r="Q7" s="1">
        <f t="shared" si="4"/>
        <v>3640.4966917092884</v>
      </c>
      <c r="R7" s="1">
        <f t="shared" si="4"/>
        <v>3782.5087516207172</v>
      </c>
      <c r="S7" s="1">
        <f t="shared" si="4"/>
        <v>3923.4514607210135</v>
      </c>
      <c r="T7" s="1">
        <f t="shared" si="4"/>
        <v>4063.3328712217849</v>
      </c>
      <c r="U7" s="1">
        <f t="shared" si="4"/>
        <v>4202.1609747014845</v>
      </c>
      <c r="V7" s="1">
        <f t="shared" si="4"/>
        <v>4339.9437025619818</v>
      </c>
      <c r="W7" s="1">
        <f t="shared" si="4"/>
        <v>4476.68892648169</v>
      </c>
      <c r="X7" s="1"/>
      <c r="Y7" s="1"/>
      <c r="Z7" s="1"/>
      <c r="AA7" s="1"/>
      <c r="AB7" s="1"/>
    </row>
    <row r="8" spans="2:58" x14ac:dyDescent="0.2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2:58" x14ac:dyDescent="0.25">
      <c r="B9" s="2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2:58" x14ac:dyDescent="0.25">
      <c r="B10" t="s">
        <v>41</v>
      </c>
      <c r="C10" s="1"/>
      <c r="D10" s="1"/>
      <c r="E10" s="1"/>
      <c r="F10" s="1"/>
      <c r="G10" s="1"/>
      <c r="H10" s="1"/>
      <c r="I10" s="1"/>
      <c r="J10" s="1"/>
      <c r="K10" s="1"/>
      <c r="L10" s="1">
        <f>+Main!I5</f>
        <v>311100</v>
      </c>
      <c r="M10" s="1">
        <f>+L10+L11-L12</f>
        <v>323757.41700000002</v>
      </c>
      <c r="N10" s="1">
        <f t="shared" ref="N10:W10" si="5">+M10+M11-M12</f>
        <v>336319.52364999003</v>
      </c>
      <c r="O10" s="1">
        <f t="shared" si="5"/>
        <v>348787.03763690562</v>
      </c>
      <c r="P10" s="1">
        <f t="shared" si="5"/>
        <v>361160.67124349973</v>
      </c>
      <c r="Q10" s="1">
        <f t="shared" si="5"/>
        <v>373441.13138903619</v>
      </c>
      <c r="R10" s="1">
        <f t="shared" si="5"/>
        <v>385629.11966967676</v>
      </c>
      <c r="S10" s="1">
        <f t="shared" si="5"/>
        <v>397725.33239856409</v>
      </c>
      <c r="T10" s="1">
        <f t="shared" si="5"/>
        <v>409730.4606456029</v>
      </c>
      <c r="U10" s="1">
        <f t="shared" si="5"/>
        <v>421645.19027694152</v>
      </c>
      <c r="V10" s="1">
        <f t="shared" si="5"/>
        <v>433470.20199415617</v>
      </c>
      <c r="W10" s="1">
        <f t="shared" si="5"/>
        <v>445206.17137314018</v>
      </c>
      <c r="X10" s="1"/>
      <c r="Y10" s="1"/>
      <c r="Z10" s="1"/>
      <c r="AA10" s="1"/>
      <c r="AB10" s="1"/>
    </row>
    <row r="11" spans="2:58" x14ac:dyDescent="0.25">
      <c r="B11" t="s">
        <v>42</v>
      </c>
      <c r="C11" s="1"/>
      <c r="D11" s="1"/>
      <c r="E11" s="1"/>
      <c r="F11" s="1"/>
      <c r="G11" s="1"/>
      <c r="H11" s="1"/>
      <c r="I11" s="1"/>
      <c r="J11" s="1"/>
      <c r="K11" s="1"/>
      <c r="L11" s="1">
        <f>+Main!Q5</f>
        <v>15000</v>
      </c>
      <c r="M11" s="1">
        <f>+L11</f>
        <v>15000</v>
      </c>
      <c r="N11" s="1">
        <f t="shared" ref="N11:W11" si="6">+M11</f>
        <v>15000</v>
      </c>
      <c r="O11" s="1">
        <f t="shared" si="6"/>
        <v>15000</v>
      </c>
      <c r="P11" s="1">
        <f t="shared" si="6"/>
        <v>15000</v>
      </c>
      <c r="Q11" s="1">
        <f t="shared" si="6"/>
        <v>15000</v>
      </c>
      <c r="R11" s="1">
        <f t="shared" si="6"/>
        <v>15000</v>
      </c>
      <c r="S11" s="1">
        <f t="shared" si="6"/>
        <v>15000</v>
      </c>
      <c r="T11" s="1">
        <f t="shared" si="6"/>
        <v>15000</v>
      </c>
      <c r="U11" s="1">
        <f t="shared" si="6"/>
        <v>15000</v>
      </c>
      <c r="V11" s="1">
        <f t="shared" si="6"/>
        <v>15000</v>
      </c>
      <c r="W11" s="1">
        <f t="shared" si="6"/>
        <v>15000</v>
      </c>
      <c r="X11" s="1"/>
      <c r="Y11" s="1"/>
      <c r="Z11" s="1"/>
      <c r="AA11" s="1"/>
      <c r="AB11" s="1"/>
    </row>
    <row r="12" spans="2:58" x14ac:dyDescent="0.25">
      <c r="B12" t="s">
        <v>43</v>
      </c>
      <c r="C12" s="1"/>
      <c r="D12" s="1"/>
      <c r="E12" s="1"/>
      <c r="F12" s="1"/>
      <c r="G12" s="1"/>
      <c r="H12" s="1"/>
      <c r="I12" s="1"/>
      <c r="J12" s="1"/>
      <c r="K12" s="1"/>
      <c r="L12" s="1">
        <f t="shared" ref="L12:W12" si="7">+L10*M.CD</f>
        <v>2342.5830000000001</v>
      </c>
      <c r="M12" s="1">
        <f t="shared" si="7"/>
        <v>2437.8933500100002</v>
      </c>
      <c r="N12" s="1">
        <f t="shared" si="7"/>
        <v>2532.4860130844249</v>
      </c>
      <c r="O12" s="1">
        <f t="shared" si="7"/>
        <v>2626.3663934058995</v>
      </c>
      <c r="P12" s="1">
        <f t="shared" si="7"/>
        <v>2719.5398544635532</v>
      </c>
      <c r="Q12" s="1">
        <f t="shared" si="7"/>
        <v>2812.0117193594424</v>
      </c>
      <c r="R12" s="1">
        <f t="shared" si="7"/>
        <v>2903.7872711126661</v>
      </c>
      <c r="S12" s="1">
        <f t="shared" si="7"/>
        <v>2994.8717529611877</v>
      </c>
      <c r="T12" s="1">
        <f t="shared" si="7"/>
        <v>3085.27036866139</v>
      </c>
      <c r="U12" s="1">
        <f t="shared" si="7"/>
        <v>3174.9882827853698</v>
      </c>
      <c r="V12" s="1">
        <f t="shared" si="7"/>
        <v>3264.0306210159961</v>
      </c>
      <c r="W12" s="1">
        <f t="shared" si="7"/>
        <v>3352.4024704397457</v>
      </c>
      <c r="X12" s="1"/>
      <c r="Y12" s="1"/>
      <c r="Z12" s="1"/>
      <c r="AA12" s="1"/>
      <c r="AB12" s="1"/>
    </row>
    <row r="13" spans="2:58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2:58" x14ac:dyDescent="0.25">
      <c r="B14" t="s">
        <v>61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 t="s">
        <v>63</v>
      </c>
      <c r="N14" s="1"/>
      <c r="O14" s="1">
        <f>+T14*0.1</f>
        <v>2698.0961960304021</v>
      </c>
      <c r="P14" s="1">
        <f>+T14*0.3</f>
        <v>8094.2885880912054</v>
      </c>
      <c r="Q14" s="1">
        <f>+T14*0.5</f>
        <v>13490.48098015201</v>
      </c>
      <c r="R14" s="1">
        <f>+T14*0.7</f>
        <v>18886.673372212812</v>
      </c>
      <c r="S14" s="1">
        <f>+T14*0.85</f>
        <v>22933.817666258416</v>
      </c>
      <c r="T14" s="1">
        <f>+T5*P.UC</f>
        <v>26980.961960304019</v>
      </c>
      <c r="U14" s="1">
        <f>+U5*P.UC</f>
        <v>27902.795316742926</v>
      </c>
      <c r="V14" s="1">
        <f>+V5*P.UC</f>
        <v>28817.687268007852</v>
      </c>
      <c r="W14" s="1">
        <f>+W5*P.UC</f>
        <v>29725.690082879752</v>
      </c>
      <c r="X14" s="1"/>
      <c r="Y14" s="1"/>
      <c r="Z14" s="1"/>
      <c r="AA14" s="1"/>
      <c r="AB14" s="1"/>
    </row>
    <row r="15" spans="2:58" x14ac:dyDescent="0.25">
      <c r="B15" t="s">
        <v>62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 t="s">
        <v>63</v>
      </c>
      <c r="O15" s="1"/>
      <c r="P15" s="1">
        <f>+U15*0.1</f>
        <v>2108.225951384708</v>
      </c>
      <c r="Q15" s="1">
        <f>+U15*0.3</f>
        <v>6324.6778541541235</v>
      </c>
      <c r="R15" s="1">
        <f>+U15*0.5</f>
        <v>10541.129756923539</v>
      </c>
      <c r="S15" s="1">
        <f>+U15*0.7</f>
        <v>14757.581659692954</v>
      </c>
      <c r="T15" s="1">
        <f>+U15*0.85</f>
        <v>17919.920586770015</v>
      </c>
      <c r="U15" s="1">
        <f>+U10*P.CD</f>
        <v>21082.259513847079</v>
      </c>
      <c r="V15" s="1">
        <f>+V10*P.CD</f>
        <v>21673.510099707812</v>
      </c>
      <c r="W15" s="1">
        <f>+W10*P.CD</f>
        <v>22260.308568657012</v>
      </c>
      <c r="X15" s="1"/>
      <c r="Y15" s="1"/>
      <c r="Z15" s="1"/>
      <c r="AA15" s="1"/>
      <c r="AB15" s="1"/>
    </row>
    <row r="16" spans="2:58" x14ac:dyDescent="0.25">
      <c r="B16" t="s">
        <v>44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>
        <v>35</v>
      </c>
      <c r="N16" s="1">
        <v>35</v>
      </c>
      <c r="O16" s="1">
        <v>35</v>
      </c>
      <c r="P16" s="1">
        <v>35</v>
      </c>
      <c r="Q16" s="1">
        <v>35</v>
      </c>
      <c r="R16" s="1">
        <v>35</v>
      </c>
      <c r="S16" s="1">
        <v>35</v>
      </c>
      <c r="T16" s="1">
        <v>35</v>
      </c>
      <c r="U16" s="1">
        <v>35</v>
      </c>
      <c r="V16" s="1">
        <v>35</v>
      </c>
      <c r="W16" s="1">
        <v>35</v>
      </c>
      <c r="X16" s="1"/>
      <c r="Y16" s="1"/>
      <c r="Z16" s="1"/>
      <c r="AA16" s="1"/>
      <c r="AB16" s="1"/>
    </row>
    <row r="17" spans="2:100" s="2" customFormat="1" x14ac:dyDescent="0.25">
      <c r="B17" s="2" t="s">
        <v>45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>
        <f>+N16*N14</f>
        <v>0</v>
      </c>
      <c r="O17" s="8">
        <f>+O16*(O14+O15)</f>
        <v>94433.366861064074</v>
      </c>
      <c r="P17" s="8">
        <f>+P16*(P14+P15)</f>
        <v>357088.00888165698</v>
      </c>
      <c r="Q17" s="8">
        <f>+Q16*(Q14+Q15)</f>
        <v>693530.55920071469</v>
      </c>
      <c r="R17" s="8">
        <f>+R16*(R14+R15)</f>
        <v>1029973.1095197723</v>
      </c>
      <c r="S17" s="8">
        <f>+S16*(S14+S15)</f>
        <v>1319198.9764082979</v>
      </c>
      <c r="T17" s="8">
        <f>+T16*(T14+T15)</f>
        <v>1571530.8891475911</v>
      </c>
      <c r="U17" s="8">
        <f>+U16*(U14+U15)</f>
        <v>1714476.9190706501</v>
      </c>
      <c r="V17" s="8">
        <f>+V16*(V14+V15)</f>
        <v>1767191.9078700482</v>
      </c>
      <c r="W17" s="8">
        <f>+W16*(W14+W15)</f>
        <v>1819509.9528037868</v>
      </c>
      <c r="X17" s="8">
        <f>+W17*0.8</f>
        <v>1455607.9622430296</v>
      </c>
      <c r="Y17" s="8">
        <f t="shared" ref="Y17:AB17" si="8">+X17*0.8</f>
        <v>1164486.3697944237</v>
      </c>
      <c r="Z17" s="8">
        <f t="shared" si="8"/>
        <v>931589.09583553905</v>
      </c>
      <c r="AA17" s="8">
        <f t="shared" si="8"/>
        <v>745271.27666843124</v>
      </c>
      <c r="AB17" s="8">
        <f t="shared" si="8"/>
        <v>596217.02133474499</v>
      </c>
    </row>
    <row r="18" spans="2:100" x14ac:dyDescent="0.25">
      <c r="B18" t="s">
        <v>50</v>
      </c>
      <c r="C18" s="1"/>
      <c r="D18" s="1"/>
      <c r="E18" s="1"/>
      <c r="F18" s="1"/>
      <c r="G18" s="1"/>
      <c r="H18" s="1"/>
      <c r="I18" s="1"/>
      <c r="J18" s="1"/>
      <c r="K18" s="1"/>
      <c r="L18" s="1">
        <f>6815*2</f>
        <v>13630</v>
      </c>
      <c r="M18" s="1">
        <f>+L18*1.02</f>
        <v>13902.6</v>
      </c>
      <c r="N18" s="1">
        <f t="shared" ref="N18:W18" si="9">+M18*1.02</f>
        <v>14180.652</v>
      </c>
      <c r="O18" s="1">
        <f t="shared" si="9"/>
        <v>14464.26504</v>
      </c>
      <c r="P18" s="1">
        <f t="shared" si="9"/>
        <v>14753.5503408</v>
      </c>
      <c r="Q18" s="1">
        <f t="shared" si="9"/>
        <v>15048.621347616001</v>
      </c>
      <c r="R18" s="1">
        <f t="shared" si="9"/>
        <v>15349.59377456832</v>
      </c>
      <c r="S18" s="1">
        <f t="shared" si="9"/>
        <v>15656.585650059687</v>
      </c>
      <c r="T18" s="1">
        <f t="shared" si="9"/>
        <v>15969.717363060881</v>
      </c>
      <c r="U18" s="1">
        <f t="shared" si="9"/>
        <v>16289.111710322099</v>
      </c>
      <c r="V18" s="1">
        <f t="shared" si="9"/>
        <v>16614.89394452854</v>
      </c>
      <c r="W18" s="1">
        <f t="shared" si="9"/>
        <v>16947.191823419111</v>
      </c>
      <c r="X18" s="1">
        <f t="shared" ref="X18:AB18" si="10">+W18*1.02</f>
        <v>17286.135659887492</v>
      </c>
      <c r="Y18" s="1">
        <f t="shared" si="10"/>
        <v>17631.858373085241</v>
      </c>
      <c r="Z18" s="1">
        <f t="shared" si="10"/>
        <v>17984.495540546945</v>
      </c>
      <c r="AA18" s="1">
        <f t="shared" si="10"/>
        <v>18344.185451357884</v>
      </c>
      <c r="AB18" s="1">
        <f t="shared" si="10"/>
        <v>18711.069160385043</v>
      </c>
    </row>
    <row r="19" spans="2:100" x14ac:dyDescent="0.25">
      <c r="B19" t="s">
        <v>46</v>
      </c>
      <c r="C19" s="1"/>
      <c r="D19" s="1"/>
      <c r="E19" s="1"/>
      <c r="F19" s="1"/>
      <c r="G19" s="1"/>
      <c r="H19" s="1"/>
      <c r="I19" s="1"/>
      <c r="J19" s="1"/>
      <c r="K19" s="1"/>
      <c r="L19" s="1">
        <f>+L17*0.2</f>
        <v>0</v>
      </c>
      <c r="M19" s="1">
        <f>+M17*0.2</f>
        <v>0</v>
      </c>
      <c r="N19" s="1">
        <f t="shared" ref="N19:W19" si="11">+N17*0.2</f>
        <v>0</v>
      </c>
      <c r="O19" s="1">
        <f t="shared" si="11"/>
        <v>18886.673372212816</v>
      </c>
      <c r="P19" s="1">
        <f t="shared" si="11"/>
        <v>71417.601776331401</v>
      </c>
      <c r="Q19" s="1">
        <f t="shared" si="11"/>
        <v>138706.11184014296</v>
      </c>
      <c r="R19" s="1">
        <f t="shared" si="11"/>
        <v>205994.62190395448</v>
      </c>
      <c r="S19" s="1">
        <f t="shared" si="11"/>
        <v>263839.79528165958</v>
      </c>
      <c r="T19" s="1">
        <f t="shared" si="11"/>
        <v>314306.17782951822</v>
      </c>
      <c r="U19" s="1">
        <f t="shared" si="11"/>
        <v>342895.38381413004</v>
      </c>
      <c r="V19" s="1">
        <f t="shared" si="11"/>
        <v>353438.38157400966</v>
      </c>
      <c r="W19" s="1">
        <f t="shared" si="11"/>
        <v>363901.9905607574</v>
      </c>
      <c r="X19" s="1">
        <f t="shared" ref="X19:AB19" si="12">+X17*0.2</f>
        <v>291121.59244860592</v>
      </c>
      <c r="Y19" s="1">
        <f t="shared" si="12"/>
        <v>232897.27395888476</v>
      </c>
      <c r="Z19" s="1">
        <f t="shared" si="12"/>
        <v>186317.81916710781</v>
      </c>
      <c r="AA19" s="1">
        <f t="shared" si="12"/>
        <v>149054.25533368625</v>
      </c>
      <c r="AB19" s="1">
        <f t="shared" si="12"/>
        <v>119243.404266949</v>
      </c>
    </row>
    <row r="20" spans="2:100" x14ac:dyDescent="0.25">
      <c r="B20" t="s">
        <v>47</v>
      </c>
      <c r="C20" s="1"/>
      <c r="D20" s="1"/>
      <c r="E20" s="1"/>
      <c r="F20" s="1"/>
      <c r="G20" s="1"/>
      <c r="H20" s="1"/>
      <c r="I20" s="1"/>
      <c r="J20" s="1"/>
      <c r="K20" s="1"/>
      <c r="L20" s="1">
        <f>+L17-L19+L18</f>
        <v>13630</v>
      </c>
      <c r="M20" s="1">
        <f>+M17-M19+M18</f>
        <v>13902.6</v>
      </c>
      <c r="N20" s="1">
        <f t="shared" ref="N20:W20" si="13">+N17-N19+N18</f>
        <v>14180.652</v>
      </c>
      <c r="O20" s="1">
        <f t="shared" si="13"/>
        <v>90010.958528851261</v>
      </c>
      <c r="P20" s="1">
        <f t="shared" si="13"/>
        <v>300423.95744612563</v>
      </c>
      <c r="Q20" s="1">
        <f t="shared" si="13"/>
        <v>569873.06870818767</v>
      </c>
      <c r="R20" s="1">
        <f t="shared" si="13"/>
        <v>839328.08139038621</v>
      </c>
      <c r="S20" s="1">
        <f t="shared" si="13"/>
        <v>1071015.7667766979</v>
      </c>
      <c r="T20" s="1">
        <f t="shared" si="13"/>
        <v>1273194.4286811338</v>
      </c>
      <c r="U20" s="1">
        <f t="shared" si="13"/>
        <v>1387870.6469668422</v>
      </c>
      <c r="V20" s="1">
        <f t="shared" si="13"/>
        <v>1430368.4202405673</v>
      </c>
      <c r="W20" s="1">
        <f t="shared" si="13"/>
        <v>1472555.1540664486</v>
      </c>
      <c r="X20" s="1">
        <f t="shared" ref="X20" si="14">+X17-X19+X18</f>
        <v>1181772.5054543111</v>
      </c>
      <c r="Y20" s="1">
        <f t="shared" ref="Y20" si="15">+Y17-Y19+Y18</f>
        <v>949220.9542086242</v>
      </c>
      <c r="Z20" s="1">
        <f t="shared" ref="Z20" si="16">+Z17-Z19+Z18</f>
        <v>763255.77220897819</v>
      </c>
      <c r="AA20" s="1">
        <f t="shared" ref="AA20" si="17">+AA17-AA19+AA18</f>
        <v>614561.20678610285</v>
      </c>
      <c r="AB20" s="1">
        <f t="shared" ref="AB20" si="18">+AB17-AB19+AB18</f>
        <v>495684.68622818106</v>
      </c>
    </row>
    <row r="21" spans="2:100" x14ac:dyDescent="0.25">
      <c r="B21" t="s">
        <v>49</v>
      </c>
      <c r="C21" s="1"/>
      <c r="D21" s="1"/>
      <c r="E21" s="1"/>
      <c r="F21" s="1"/>
      <c r="G21" s="1"/>
      <c r="H21" s="1"/>
      <c r="I21" s="1"/>
      <c r="J21" s="1"/>
      <c r="K21" s="1"/>
      <c r="L21" s="1">
        <f>64650*2.5</f>
        <v>161625</v>
      </c>
      <c r="M21" s="1">
        <v>150000</v>
      </c>
      <c r="N21" s="1">
        <v>150000</v>
      </c>
      <c r="O21" s="1">
        <v>150000</v>
      </c>
      <c r="P21" s="1">
        <f t="shared" ref="P21:AB21" si="19">+O21*0.98</f>
        <v>147000</v>
      </c>
      <c r="Q21" s="1">
        <f t="shared" si="19"/>
        <v>144060</v>
      </c>
      <c r="R21" s="1">
        <f t="shared" si="19"/>
        <v>141178.79999999999</v>
      </c>
      <c r="S21" s="1">
        <f t="shared" si="19"/>
        <v>138355.22399999999</v>
      </c>
      <c r="T21" s="1">
        <f t="shared" si="19"/>
        <v>135588.11951999998</v>
      </c>
      <c r="U21" s="1">
        <f t="shared" si="19"/>
        <v>132876.35712959999</v>
      </c>
      <c r="V21" s="1">
        <f t="shared" si="19"/>
        <v>130218.82998700798</v>
      </c>
      <c r="W21" s="1">
        <f t="shared" si="19"/>
        <v>127614.45338726781</v>
      </c>
      <c r="X21" s="1">
        <f t="shared" si="19"/>
        <v>125062.16431952246</v>
      </c>
      <c r="Y21" s="1">
        <f t="shared" si="19"/>
        <v>122560.92103313201</v>
      </c>
      <c r="Z21" s="1">
        <f t="shared" si="19"/>
        <v>120109.70261246937</v>
      </c>
      <c r="AA21" s="1">
        <f t="shared" si="19"/>
        <v>117707.50856021998</v>
      </c>
      <c r="AB21" s="1">
        <f t="shared" si="19"/>
        <v>115353.35838901559</v>
      </c>
    </row>
    <row r="22" spans="2:100" x14ac:dyDescent="0.25">
      <c r="B22" t="s">
        <v>48</v>
      </c>
      <c r="C22" s="1"/>
      <c r="D22" s="1"/>
      <c r="E22" s="1"/>
      <c r="F22" s="1"/>
      <c r="G22" s="1"/>
      <c r="H22" s="1"/>
      <c r="I22" s="1"/>
      <c r="J22" s="1"/>
      <c r="K22" s="1"/>
      <c r="L22" s="1">
        <f>(4229+17932)*2.5</f>
        <v>55402.5</v>
      </c>
      <c r="M22" s="1">
        <v>50000</v>
      </c>
      <c r="N22" s="1">
        <v>50000</v>
      </c>
      <c r="O22" s="1">
        <v>50000</v>
      </c>
      <c r="P22" s="1">
        <f t="shared" ref="O22:W22" si="20">+P17*0.3</f>
        <v>107126.40266449709</v>
      </c>
      <c r="Q22" s="1">
        <f t="shared" si="20"/>
        <v>208059.16776021439</v>
      </c>
      <c r="R22" s="1">
        <f t="shared" si="20"/>
        <v>308991.93285593169</v>
      </c>
      <c r="S22" s="1">
        <f t="shared" si="20"/>
        <v>395759.69292248937</v>
      </c>
      <c r="T22" s="1">
        <f t="shared" si="20"/>
        <v>471459.26674427732</v>
      </c>
      <c r="U22" s="1">
        <f t="shared" si="20"/>
        <v>514343.07572119503</v>
      </c>
      <c r="V22" s="1">
        <f t="shared" si="20"/>
        <v>530157.57236101443</v>
      </c>
      <c r="W22" s="1">
        <f t="shared" si="20"/>
        <v>545852.98584113608</v>
      </c>
      <c r="X22" s="1">
        <f t="shared" ref="X22:AB22" si="21">+X17*0.3</f>
        <v>436682.38867290888</v>
      </c>
      <c r="Y22" s="1">
        <f t="shared" si="21"/>
        <v>349345.91093832708</v>
      </c>
      <c r="Z22" s="1">
        <f t="shared" si="21"/>
        <v>279476.72875066171</v>
      </c>
      <c r="AA22" s="1">
        <f t="shared" si="21"/>
        <v>223581.38300052937</v>
      </c>
      <c r="AB22" s="1">
        <f t="shared" si="21"/>
        <v>178865.10640042348</v>
      </c>
    </row>
    <row r="23" spans="2:100" x14ac:dyDescent="0.25">
      <c r="B23" t="s">
        <v>51</v>
      </c>
      <c r="C23" s="1"/>
      <c r="D23" s="1"/>
      <c r="E23" s="1"/>
      <c r="F23" s="1"/>
      <c r="G23" s="1"/>
      <c r="H23" s="1"/>
      <c r="I23" s="1"/>
      <c r="J23" s="1"/>
      <c r="K23" s="1"/>
      <c r="L23" s="1">
        <f>+L20-L21-L22</f>
        <v>-203397.5</v>
      </c>
      <c r="M23" s="1">
        <f>+M20-M21-M22</f>
        <v>-186097.4</v>
      </c>
      <c r="N23" s="1">
        <f t="shared" ref="N23:W23" si="22">+N20-N21-N22</f>
        <v>-185819.348</v>
      </c>
      <c r="O23" s="1">
        <f t="shared" si="22"/>
        <v>-109989.04147114874</v>
      </c>
      <c r="P23" s="1">
        <f t="shared" si="22"/>
        <v>46297.55478162854</v>
      </c>
      <c r="Q23" s="1">
        <f t="shared" si="22"/>
        <v>217753.90094797328</v>
      </c>
      <c r="R23" s="1">
        <f t="shared" si="22"/>
        <v>389157.34853445448</v>
      </c>
      <c r="S23" s="1">
        <f t="shared" si="22"/>
        <v>536900.84985420865</v>
      </c>
      <c r="T23" s="1">
        <f t="shared" si="22"/>
        <v>666147.04241685651</v>
      </c>
      <c r="U23" s="1">
        <f t="shared" si="22"/>
        <v>740651.21411604737</v>
      </c>
      <c r="V23" s="1">
        <f t="shared" si="22"/>
        <v>769992.01789254497</v>
      </c>
      <c r="W23" s="1">
        <f t="shared" si="22"/>
        <v>799087.7148380446</v>
      </c>
      <c r="X23" s="1">
        <f t="shared" ref="X23" si="23">+X20-X21-X22</f>
        <v>620027.95246187982</v>
      </c>
      <c r="Y23" s="1">
        <f t="shared" ref="Y23" si="24">+Y20-Y21-Y22</f>
        <v>477314.12223716511</v>
      </c>
      <c r="Z23" s="1">
        <f t="shared" ref="Z23" si="25">+Z20-Z21-Z22</f>
        <v>363669.34084584715</v>
      </c>
      <c r="AA23" s="1">
        <f t="shared" ref="AA23" si="26">+AA20-AA21-AA22</f>
        <v>273272.31522535346</v>
      </c>
      <c r="AB23" s="1">
        <f t="shared" ref="AB23" si="27">+AB20-AB21-AB22</f>
        <v>201466.22143874198</v>
      </c>
    </row>
    <row r="24" spans="2:100" x14ac:dyDescent="0.25">
      <c r="B24" t="s">
        <v>52</v>
      </c>
      <c r="C24" s="1"/>
      <c r="D24" s="1"/>
      <c r="E24" s="1"/>
      <c r="F24" s="1"/>
      <c r="G24" s="1"/>
      <c r="H24" s="1"/>
      <c r="I24" s="1"/>
      <c r="J24" s="1"/>
      <c r="K24" s="1"/>
      <c r="L24" s="1">
        <f>9514*2</f>
        <v>19028</v>
      </c>
      <c r="M24" s="1">
        <f>+L24*0.9</f>
        <v>17125.2</v>
      </c>
      <c r="N24" s="1">
        <f t="shared" ref="N24:W24" si="28">+M24*0.9</f>
        <v>15412.68</v>
      </c>
      <c r="O24" s="1">
        <f t="shared" si="28"/>
        <v>13871.412</v>
      </c>
      <c r="P24" s="1">
        <f t="shared" si="28"/>
        <v>12484.2708</v>
      </c>
      <c r="Q24" s="1">
        <f t="shared" si="28"/>
        <v>11235.843720000001</v>
      </c>
      <c r="R24" s="1">
        <f t="shared" si="28"/>
        <v>10112.259348000001</v>
      </c>
      <c r="S24" s="1">
        <f t="shared" si="28"/>
        <v>9101.0334132000007</v>
      </c>
      <c r="T24" s="1">
        <f t="shared" si="28"/>
        <v>8190.9300718800005</v>
      </c>
      <c r="U24" s="1">
        <f t="shared" si="28"/>
        <v>7371.8370646920002</v>
      </c>
      <c r="V24" s="1">
        <f t="shared" si="28"/>
        <v>6634.6533582228003</v>
      </c>
      <c r="W24" s="1">
        <f t="shared" si="28"/>
        <v>5971.1880224005208</v>
      </c>
      <c r="X24" s="1">
        <f t="shared" ref="X24:AB24" si="29">+W24*0.9</f>
        <v>5374.0692201604688</v>
      </c>
      <c r="Y24" s="1">
        <f t="shared" si="29"/>
        <v>4836.6622981444225</v>
      </c>
      <c r="Z24" s="1">
        <f t="shared" si="29"/>
        <v>4352.9960683299805</v>
      </c>
      <c r="AA24" s="1">
        <f t="shared" si="29"/>
        <v>3917.6964614969825</v>
      </c>
      <c r="AB24" s="1">
        <f t="shared" si="29"/>
        <v>3525.9268153472844</v>
      </c>
    </row>
    <row r="25" spans="2:100" x14ac:dyDescent="0.25">
      <c r="B25" t="s">
        <v>53</v>
      </c>
      <c r="C25" s="1"/>
      <c r="D25" s="1"/>
      <c r="E25" s="1"/>
      <c r="F25" s="1"/>
      <c r="G25" s="1"/>
      <c r="H25" s="1"/>
      <c r="I25" s="1"/>
      <c r="J25" s="1"/>
      <c r="K25" s="1"/>
      <c r="L25" s="1">
        <f>7873*2</f>
        <v>15746</v>
      </c>
      <c r="M25" s="1">
        <f>+L25*0.9</f>
        <v>14171.4</v>
      </c>
      <c r="N25" s="1">
        <f t="shared" ref="N25:W25" si="30">+M25*0.9</f>
        <v>12754.26</v>
      </c>
      <c r="O25" s="1">
        <f t="shared" si="30"/>
        <v>11478.834000000001</v>
      </c>
      <c r="P25" s="1">
        <f t="shared" si="30"/>
        <v>10330.9506</v>
      </c>
      <c r="Q25" s="1">
        <f t="shared" si="30"/>
        <v>9297.8555400000005</v>
      </c>
      <c r="R25" s="1">
        <f t="shared" si="30"/>
        <v>8368.0699860000004</v>
      </c>
      <c r="S25" s="1">
        <f t="shared" si="30"/>
        <v>7531.2629874000004</v>
      </c>
      <c r="T25" s="1">
        <f t="shared" si="30"/>
        <v>6778.1366886600008</v>
      </c>
      <c r="U25" s="1">
        <f t="shared" si="30"/>
        <v>6100.3230197940011</v>
      </c>
      <c r="V25" s="1">
        <f t="shared" si="30"/>
        <v>5490.2907178146015</v>
      </c>
      <c r="W25" s="1">
        <f t="shared" si="30"/>
        <v>4941.2616460331419</v>
      </c>
      <c r="X25" s="1">
        <f t="shared" ref="X25:AB25" si="31">+W25*0.9</f>
        <v>4447.1354814298275</v>
      </c>
      <c r="Y25" s="1">
        <f t="shared" si="31"/>
        <v>4002.4219332868447</v>
      </c>
      <c r="Z25" s="1">
        <f t="shared" si="31"/>
        <v>3602.1797399581601</v>
      </c>
      <c r="AA25" s="1">
        <f t="shared" si="31"/>
        <v>3241.9617659623441</v>
      </c>
      <c r="AB25" s="1">
        <f t="shared" si="31"/>
        <v>2917.7655893661099</v>
      </c>
    </row>
    <row r="26" spans="2:100" x14ac:dyDescent="0.25">
      <c r="B26" t="s">
        <v>54</v>
      </c>
      <c r="C26" s="1"/>
      <c r="D26" s="1"/>
      <c r="E26" s="1"/>
      <c r="F26" s="1"/>
      <c r="G26" s="1"/>
      <c r="H26" s="1"/>
      <c r="I26" s="1"/>
      <c r="J26" s="1"/>
      <c r="K26" s="1"/>
      <c r="L26" s="1">
        <f>+L23-L24+L25</f>
        <v>-206679.5</v>
      </c>
      <c r="M26" s="1">
        <f>+M23-M24+M25</f>
        <v>-189051.2</v>
      </c>
      <c r="N26" s="1">
        <f t="shared" ref="N26:W26" si="32">+N23-N24+N25</f>
        <v>-188477.76799999998</v>
      </c>
      <c r="O26" s="1">
        <f t="shared" si="32"/>
        <v>-112381.61947114873</v>
      </c>
      <c r="P26" s="1">
        <f t="shared" si="32"/>
        <v>44144.234581628538</v>
      </c>
      <c r="Q26" s="1">
        <f t="shared" si="32"/>
        <v>215815.91276797326</v>
      </c>
      <c r="R26" s="1">
        <f t="shared" si="32"/>
        <v>387413.1591724545</v>
      </c>
      <c r="S26" s="1">
        <f t="shared" si="32"/>
        <v>535331.07942840864</v>
      </c>
      <c r="T26" s="1">
        <f t="shared" si="32"/>
        <v>664734.24903363653</v>
      </c>
      <c r="U26" s="1">
        <f t="shared" si="32"/>
        <v>739379.70007114927</v>
      </c>
      <c r="V26" s="1">
        <f t="shared" si="32"/>
        <v>768847.65525213676</v>
      </c>
      <c r="W26" s="1">
        <f t="shared" si="32"/>
        <v>798057.78846167726</v>
      </c>
      <c r="X26" s="1">
        <f t="shared" ref="X26" si="33">+X23-X24+X25</f>
        <v>619101.0187231492</v>
      </c>
      <c r="Y26" s="1">
        <f t="shared" ref="Y26" si="34">+Y23-Y24+Y25</f>
        <v>476479.88187230751</v>
      </c>
      <c r="Z26" s="1">
        <f t="shared" ref="Z26" si="35">+Z23-Z24+Z25</f>
        <v>362918.52451747534</v>
      </c>
      <c r="AA26" s="1">
        <f t="shared" ref="AA26" si="36">+AA23-AA24+AA25</f>
        <v>272596.58052981884</v>
      </c>
      <c r="AB26" s="1">
        <f t="shared" ref="AB26" si="37">+AB23-AB24+AB25</f>
        <v>200858.06021276081</v>
      </c>
    </row>
    <row r="27" spans="2:100" x14ac:dyDescent="0.25">
      <c r="B27" t="s">
        <v>55</v>
      </c>
      <c r="C27" s="1"/>
      <c r="D27" s="1"/>
      <c r="E27" s="1"/>
      <c r="F27" s="1"/>
      <c r="G27" s="1"/>
      <c r="H27" s="1"/>
      <c r="I27" s="1"/>
      <c r="J27" s="1"/>
      <c r="K27" s="1"/>
      <c r="L27" s="1">
        <v>0</v>
      </c>
      <c r="M27" s="1"/>
      <c r="N27" s="1"/>
      <c r="O27" s="1">
        <f t="shared" ref="N27:W27" si="38">+O26*0.25</f>
        <v>-28095.404867787183</v>
      </c>
      <c r="P27" s="1">
        <f t="shared" si="38"/>
        <v>11036.058645407134</v>
      </c>
      <c r="Q27" s="1">
        <f t="shared" si="38"/>
        <v>53953.978191993316</v>
      </c>
      <c r="R27" s="1">
        <f t="shared" si="38"/>
        <v>96853.289793113625</v>
      </c>
      <c r="S27" s="1">
        <f t="shared" si="38"/>
        <v>133832.76985710216</v>
      </c>
      <c r="T27" s="1">
        <f t="shared" si="38"/>
        <v>166183.56225840913</v>
      </c>
      <c r="U27" s="1">
        <f t="shared" si="38"/>
        <v>184844.92501778732</v>
      </c>
      <c r="V27" s="1">
        <f t="shared" si="38"/>
        <v>192211.91381303419</v>
      </c>
      <c r="W27" s="1">
        <f t="shared" si="38"/>
        <v>199514.44711541932</v>
      </c>
      <c r="X27" s="1">
        <f t="shared" ref="X27" si="39">+X26*0.25</f>
        <v>154775.2546807873</v>
      </c>
      <c r="Y27" s="1">
        <f t="shared" ref="Y27" si="40">+Y26*0.25</f>
        <v>119119.97046807688</v>
      </c>
      <c r="Z27" s="1">
        <f t="shared" ref="Z27" si="41">+Z26*0.25</f>
        <v>90729.631129368834</v>
      </c>
      <c r="AA27" s="1">
        <f t="shared" ref="AA27" si="42">+AA26*0.25</f>
        <v>68149.145132454709</v>
      </c>
      <c r="AB27" s="1">
        <f t="shared" ref="AB27" si="43">+AB26*0.25</f>
        <v>50214.515053190204</v>
      </c>
    </row>
    <row r="28" spans="2:100" s="2" customFormat="1" x14ac:dyDescent="0.25">
      <c r="B28" s="2" t="s">
        <v>56</v>
      </c>
      <c r="C28" s="8"/>
      <c r="D28" s="8"/>
      <c r="E28" s="8"/>
      <c r="F28" s="8"/>
      <c r="G28" s="8"/>
      <c r="H28" s="8"/>
      <c r="I28" s="8"/>
      <c r="J28" s="8"/>
      <c r="K28" s="8"/>
      <c r="L28" s="8">
        <f>+L26-L27</f>
        <v>-206679.5</v>
      </c>
      <c r="M28" s="8">
        <f>+M26-M27</f>
        <v>-189051.2</v>
      </c>
      <c r="N28" s="8">
        <f t="shared" ref="N28:W28" si="44">+N26-N27</f>
        <v>-188477.76799999998</v>
      </c>
      <c r="O28" s="8">
        <f t="shared" si="44"/>
        <v>-84286.214603361557</v>
      </c>
      <c r="P28" s="8">
        <f t="shared" si="44"/>
        <v>33108.175936221407</v>
      </c>
      <c r="Q28" s="8">
        <f t="shared" si="44"/>
        <v>161861.93457597995</v>
      </c>
      <c r="R28" s="8">
        <f t="shared" si="44"/>
        <v>290559.8693793409</v>
      </c>
      <c r="S28" s="8">
        <f t="shared" si="44"/>
        <v>401498.30957130645</v>
      </c>
      <c r="T28" s="8">
        <f t="shared" si="44"/>
        <v>498550.68677522743</v>
      </c>
      <c r="U28" s="8">
        <f t="shared" si="44"/>
        <v>554534.7750533619</v>
      </c>
      <c r="V28" s="8">
        <f t="shared" si="44"/>
        <v>576635.74143910257</v>
      </c>
      <c r="W28" s="8">
        <f t="shared" si="44"/>
        <v>598543.34134625795</v>
      </c>
      <c r="X28" s="8">
        <f t="shared" ref="X28" si="45">+X26-X27</f>
        <v>464325.76404236187</v>
      </c>
      <c r="Y28" s="8">
        <f t="shared" ref="Y28" si="46">+Y26-Y27</f>
        <v>357359.91140423063</v>
      </c>
      <c r="Z28" s="8">
        <f t="shared" ref="Z28" si="47">+Z26-Z27</f>
        <v>272188.89338810649</v>
      </c>
      <c r="AA28" s="8">
        <f t="shared" ref="AA28" si="48">+AA26-AA27</f>
        <v>204447.43539736414</v>
      </c>
      <c r="AB28" s="8">
        <f t="shared" ref="AB28" si="49">+AB26-AB27</f>
        <v>150643.54515957061</v>
      </c>
      <c r="AC28" s="8">
        <f t="shared" ref="AC28:BF28" si="50">+AB28*(1+TR)</f>
        <v>143111.36790159208</v>
      </c>
      <c r="AD28" s="8">
        <f t="shared" si="50"/>
        <v>135955.79950651247</v>
      </c>
      <c r="AE28" s="8">
        <f t="shared" si="50"/>
        <v>129158.00953118684</v>
      </c>
      <c r="AF28" s="8">
        <f t="shared" si="50"/>
        <v>122700.10905462749</v>
      </c>
      <c r="AG28" s="8">
        <f t="shared" si="50"/>
        <v>116565.10360189612</v>
      </c>
      <c r="AH28" s="8">
        <f t="shared" si="50"/>
        <v>110736.8484218013</v>
      </c>
      <c r="AI28" s="8">
        <f t="shared" si="50"/>
        <v>105200.00600071123</v>
      </c>
      <c r="AJ28" s="8">
        <f t="shared" si="50"/>
        <v>99940.005700675669</v>
      </c>
      <c r="AK28" s="8">
        <f t="shared" si="50"/>
        <v>94943.005415641877</v>
      </c>
      <c r="AL28" s="8">
        <f t="shared" si="50"/>
        <v>90195.855144859786</v>
      </c>
      <c r="AM28" s="8">
        <f t="shared" si="50"/>
        <v>85686.062387616796</v>
      </c>
      <c r="AN28" s="8">
        <f t="shared" si="50"/>
        <v>81401.759268235954</v>
      </c>
      <c r="AO28" s="8">
        <f t="shared" si="50"/>
        <v>77331.671304824151</v>
      </c>
      <c r="AP28" s="8">
        <f t="shared" si="50"/>
        <v>73465.087739582945</v>
      </c>
      <c r="AQ28" s="8">
        <f t="shared" si="50"/>
        <v>69791.83335260379</v>
      </c>
      <c r="AR28" s="8">
        <f t="shared" si="50"/>
        <v>66302.241684973604</v>
      </c>
      <c r="AS28" s="8">
        <f t="shared" si="50"/>
        <v>62987.129600724918</v>
      </c>
      <c r="AT28" s="8">
        <f t="shared" si="50"/>
        <v>59837.773120688667</v>
      </c>
      <c r="AU28" s="8">
        <f t="shared" si="50"/>
        <v>56845.884464654235</v>
      </c>
      <c r="AV28" s="8">
        <f t="shared" si="50"/>
        <v>54003.590241421523</v>
      </c>
      <c r="AW28" s="8">
        <f t="shared" si="50"/>
        <v>51303.410729350442</v>
      </c>
      <c r="AX28" s="8">
        <f t="shared" si="50"/>
        <v>48738.24019288292</v>
      </c>
      <c r="AY28" s="8">
        <f t="shared" si="50"/>
        <v>46301.328183238773</v>
      </c>
      <c r="AZ28" s="8">
        <f t="shared" si="50"/>
        <v>43986.261774076833</v>
      </c>
      <c r="BA28" s="8">
        <f t="shared" si="50"/>
        <v>41786.94868537299</v>
      </c>
      <c r="BB28" s="8">
        <f t="shared" si="50"/>
        <v>39697.601251104337</v>
      </c>
      <c r="BC28" s="8">
        <f t="shared" si="50"/>
        <v>37712.72118854912</v>
      </c>
      <c r="BD28" s="8">
        <f t="shared" si="50"/>
        <v>35827.08512912166</v>
      </c>
      <c r="BE28" s="8">
        <f t="shared" si="50"/>
        <v>34035.730872665576</v>
      </c>
      <c r="BF28" s="8">
        <f t="shared" si="50"/>
        <v>32333.944329032296</v>
      </c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</row>
    <row r="29" spans="2:100" x14ac:dyDescent="0.2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2:100" s="4" customFormat="1" x14ac:dyDescent="0.25">
      <c r="B30" s="4" t="s">
        <v>47</v>
      </c>
      <c r="N30" s="4">
        <f>+N20/(N17+N18)</f>
        <v>1</v>
      </c>
      <c r="O30" s="4">
        <f t="shared" ref="O30:AB30" si="51">+O20/(O17+O18)</f>
        <v>0.82656488444696596</v>
      </c>
      <c r="P30" s="4">
        <f t="shared" si="51"/>
        <v>0.807935396124979</v>
      </c>
      <c r="Q30" s="4">
        <f t="shared" si="51"/>
        <v>0.80424754826580436</v>
      </c>
      <c r="R30" s="4">
        <f t="shared" si="51"/>
        <v>0.80293681438778552</v>
      </c>
      <c r="S30" s="4">
        <f t="shared" si="51"/>
        <v>0.80234580970332359</v>
      </c>
      <c r="T30" s="4">
        <f t="shared" si="51"/>
        <v>0.80201193212746702</v>
      </c>
      <c r="U30" s="4">
        <f t="shared" si="51"/>
        <v>0.80188230083334511</v>
      </c>
      <c r="V30" s="4">
        <f t="shared" si="51"/>
        <v>0.80186285800991763</v>
      </c>
      <c r="W30" s="4">
        <f t="shared" si="51"/>
        <v>0.80184563978233847</v>
      </c>
      <c r="X30" s="4">
        <f t="shared" si="51"/>
        <v>0.80234723401831798</v>
      </c>
      <c r="Y30" s="4">
        <f t="shared" si="51"/>
        <v>0.80298309559110981</v>
      </c>
      <c r="Z30" s="4">
        <f t="shared" si="51"/>
        <v>0.80378790979527648</v>
      </c>
      <c r="AA30" s="4">
        <f t="shared" si="51"/>
        <v>0.80480456102877607</v>
      </c>
      <c r="AB30" s="4">
        <f t="shared" si="51"/>
        <v>0.80608561210639096</v>
      </c>
      <c r="AD30" s="4" t="s">
        <v>65</v>
      </c>
      <c r="AE30" s="4">
        <v>0.1</v>
      </c>
    </row>
    <row r="31" spans="2:100" s="4" customFormat="1" x14ac:dyDescent="0.25">
      <c r="B31" s="4" t="s">
        <v>64</v>
      </c>
      <c r="N31" s="4">
        <f>+N28/(N17+N18)</f>
        <v>-13.291191970580758</v>
      </c>
      <c r="O31" s="4">
        <f t="shared" ref="O31:AB31" si="52">+O28/(O17+O18)</f>
        <v>-0.77399492653740587</v>
      </c>
      <c r="P31" s="4">
        <f t="shared" si="52"/>
        <v>8.9038395830343953E-2</v>
      </c>
      <c r="Q31" s="4">
        <f t="shared" si="52"/>
        <v>0.22843168275241146</v>
      </c>
      <c r="R31" s="4">
        <f t="shared" si="52"/>
        <v>0.27796188532368021</v>
      </c>
      <c r="S31" s="4">
        <f t="shared" si="52"/>
        <v>0.30078033982357832</v>
      </c>
      <c r="T31" s="4">
        <f t="shared" si="52"/>
        <v>0.3140475567256939</v>
      </c>
      <c r="U31" s="4">
        <f t="shared" si="52"/>
        <v>0.3203984624098149</v>
      </c>
      <c r="V31" s="4">
        <f t="shared" si="52"/>
        <v>0.32326132003338032</v>
      </c>
      <c r="W31" s="4">
        <f t="shared" si="52"/>
        <v>0.3259228472046703</v>
      </c>
      <c r="X31" s="4">
        <f t="shared" si="52"/>
        <v>0.31524721614640283</v>
      </c>
      <c r="Y31" s="4">
        <f t="shared" si="52"/>
        <v>0.30230471275127979</v>
      </c>
      <c r="Z31" s="4">
        <f t="shared" si="52"/>
        <v>0.28664328479655871</v>
      </c>
      <c r="AA31" s="4">
        <f t="shared" si="52"/>
        <v>0.2677361126630674</v>
      </c>
      <c r="AB31" s="4">
        <f t="shared" si="52"/>
        <v>0.24497749816287445</v>
      </c>
      <c r="AD31" s="4" t="s">
        <v>66</v>
      </c>
      <c r="AE31" s="4">
        <v>-0.05</v>
      </c>
    </row>
    <row r="32" spans="2:100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AA32" s="1"/>
      <c r="AB32" s="1"/>
      <c r="AD32" s="1" t="s">
        <v>67</v>
      </c>
      <c r="AE32" s="1">
        <f>NPV(AE30,L28:BF28)</f>
        <v>1277573.8285944704</v>
      </c>
    </row>
    <row r="33" spans="3:31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>
        <f>+M28+N28+O28+P28-100000</f>
        <v>-528707.00666714017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AA33" s="1"/>
      <c r="AB33" s="1"/>
      <c r="AD33" s="1" t="s">
        <v>68</v>
      </c>
      <c r="AE33" s="1">
        <f>+Main!K12-Main!K13</f>
        <v>102700</v>
      </c>
    </row>
    <row r="34" spans="3:31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D34" t="s">
        <v>69</v>
      </c>
      <c r="AE34" s="1">
        <f>+AE32+AE33</f>
        <v>1380273.8285944704</v>
      </c>
    </row>
    <row r="35" spans="3:31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D35" t="s">
        <v>15</v>
      </c>
      <c r="AE35" s="9">
        <f>+AE34/Main!K16</f>
        <v>32.440722078274142</v>
      </c>
    </row>
    <row r="36" spans="3:31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3:31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3:31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3:31" x14ac:dyDescent="0.2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3:31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3:31" x14ac:dyDescent="0.2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3:31" x14ac:dyDescent="0.2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3:31" x14ac:dyDescent="0.2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3:31" x14ac:dyDescent="0.2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3:31" x14ac:dyDescent="0.2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3:31" x14ac:dyDescent="0.2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3:31" x14ac:dyDescent="0.2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3:31" x14ac:dyDescent="0.2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3:28" x14ac:dyDescent="0.2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3:28" x14ac:dyDescent="0.2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3:28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3:28" x14ac:dyDescent="0.2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3:28" x14ac:dyDescent="0.2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3:28" x14ac:dyDescent="0.2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3:28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3:28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3:28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3:28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3:28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3:28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3:28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3:28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3:28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3:28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3:28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3:28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3:28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3:28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3:28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3:28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3:28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3:28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3:28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3:28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3:28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3:28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3:28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3:28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3:28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3:28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3:28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3:28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3:28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3:28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3:28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3:28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3:28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3:28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3:28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3:28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3:28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3:28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3:28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3:28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3:28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3:28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3:28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3:28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3:28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3:28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3:28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3:28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3:28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3:28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3:28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3:28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3:28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3:28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3:28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3:28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3:28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3:28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3:28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3:28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3:28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3:28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3:28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3:28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3:28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3:28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3:28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3:28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3:28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3:28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3:28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3:28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3:28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3:28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3:28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3:28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3:28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3:28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3:28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3:28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3:28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3:28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3:28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3:28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3:28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3:28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3:28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3:28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3:28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3:28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3:28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3:28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3:28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3:28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3:28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3:28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3:28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3:28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3:28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3:28" x14ac:dyDescent="0.25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3:28" x14ac:dyDescent="0.2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3:28" x14ac:dyDescent="0.25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3:28" x14ac:dyDescent="0.25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3:28" x14ac:dyDescent="0.25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3:28" x14ac:dyDescent="0.25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3:28" x14ac:dyDescent="0.25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3:28" x14ac:dyDescent="0.25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3:28" x14ac:dyDescent="0.25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3:28" x14ac:dyDescent="0.25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3:28" x14ac:dyDescent="0.25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3:28" x14ac:dyDescent="0.2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3:28" x14ac:dyDescent="0.25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3:28" x14ac:dyDescent="0.25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3:28" x14ac:dyDescent="0.25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3:28" x14ac:dyDescent="0.25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3:28" x14ac:dyDescent="0.25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3:28" x14ac:dyDescent="0.25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3:28" x14ac:dyDescent="0.25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3:28" x14ac:dyDescent="0.25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3:28" x14ac:dyDescent="0.25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3:28" x14ac:dyDescent="0.2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3:28" x14ac:dyDescent="0.25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Main</vt:lpstr>
      <vt:lpstr>Sheet2</vt:lpstr>
      <vt:lpstr>M.CD</vt:lpstr>
      <vt:lpstr>M.UC</vt:lpstr>
      <vt:lpstr>P.CD</vt:lpstr>
      <vt:lpstr>P.UC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2024-10-08T14:25:39Z</dcterms:created>
  <dcterms:modified xsi:type="dcterms:W3CDTF">2024-10-12T20:20:33Z</dcterms:modified>
</cp:coreProperties>
</file>