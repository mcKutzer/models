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15175476-B5FD-433A-BFDA-983FFFB935CE}" xr6:coauthVersionLast="47" xr6:coauthVersionMax="47" xr10:uidLastSave="{00000000-0000-0000-0000-000000000000}"/>
  <bookViews>
    <workbookView xWindow="-120" yWindow="-120" windowWidth="29040" windowHeight="15840" xr2:uid="{9E2D2495-4321-4DC9-A8F2-00C14A13057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F52" i="1"/>
  <c r="E52" i="1"/>
  <c r="E49" i="1"/>
  <c r="D49" i="1"/>
  <c r="E45" i="1"/>
  <c r="E46" i="1" s="1"/>
  <c r="D45" i="1"/>
  <c r="D46" i="1" s="1"/>
  <c r="F44" i="1"/>
  <c r="F46" i="1" s="1"/>
  <c r="C9" i="2" s="1"/>
  <c r="C10" i="2" s="1"/>
  <c r="S39" i="1"/>
  <c r="G8" i="1"/>
  <c r="H8" i="1" s="1"/>
  <c r="I8" i="1" s="1"/>
  <c r="J8" i="1" s="1"/>
  <c r="K8" i="1" s="1"/>
  <c r="L8" i="1" s="1"/>
  <c r="M8" i="1" s="1"/>
  <c r="N8" i="1" s="1"/>
  <c r="O8" i="1" s="1"/>
  <c r="P8" i="1" s="1"/>
  <c r="G6" i="1"/>
  <c r="H6" i="1" s="1"/>
  <c r="I6" i="1" s="1"/>
  <c r="J6" i="1" s="1"/>
  <c r="K6" i="1" s="1"/>
  <c r="L6" i="1" s="1"/>
  <c r="M6" i="1" s="1"/>
  <c r="N6" i="1" s="1"/>
  <c r="O6" i="1" s="1"/>
  <c r="P6" i="1" s="1"/>
  <c r="G5" i="1"/>
  <c r="H5" i="1" s="1"/>
  <c r="I5" i="1" s="1"/>
  <c r="J5" i="1" s="1"/>
  <c r="K5" i="1" s="1"/>
  <c r="L5" i="1" s="1"/>
  <c r="M5" i="1" s="1"/>
  <c r="N5" i="1" s="1"/>
  <c r="O5" i="1" s="1"/>
  <c r="P5" i="1" s="1"/>
  <c r="G10" i="1"/>
  <c r="H10" i="1" s="1"/>
  <c r="I10" i="1" s="1"/>
  <c r="J10" i="1" s="1"/>
  <c r="K10" i="1" s="1"/>
  <c r="L10" i="1" s="1"/>
  <c r="M10" i="1" s="1"/>
  <c r="N10" i="1" s="1"/>
  <c r="O10" i="1" s="1"/>
  <c r="P10" i="1" s="1"/>
  <c r="G7" i="1"/>
  <c r="H7" i="1" s="1"/>
  <c r="I7" i="1" s="1"/>
  <c r="J7" i="1" s="1"/>
  <c r="K7" i="1" s="1"/>
  <c r="L7" i="1" s="1"/>
  <c r="M7" i="1" s="1"/>
  <c r="N7" i="1" s="1"/>
  <c r="O7" i="1" s="1"/>
  <c r="P7" i="1" s="1"/>
  <c r="G4" i="1"/>
  <c r="H4" i="1" s="1"/>
  <c r="E41" i="1"/>
  <c r="E40" i="1"/>
  <c r="E39" i="1"/>
  <c r="D40" i="1"/>
  <c r="D39" i="1"/>
  <c r="F28" i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F23" i="1"/>
  <c r="F21" i="1"/>
  <c r="F20" i="1"/>
  <c r="F41" i="1" s="1"/>
  <c r="E22" i="1"/>
  <c r="E27" i="1" s="1"/>
  <c r="E32" i="1" s="1"/>
  <c r="E34" i="1" s="1"/>
  <c r="E38" i="1" s="1"/>
  <c r="D22" i="1"/>
  <c r="D27" i="1" s="1"/>
  <c r="D32" i="1" s="1"/>
  <c r="D34" i="1" s="1"/>
  <c r="P58" i="1"/>
  <c r="O58" i="1"/>
  <c r="N58" i="1"/>
  <c r="M58" i="1"/>
  <c r="L58" i="1"/>
  <c r="K58" i="1"/>
  <c r="J58" i="1"/>
  <c r="I58" i="1"/>
  <c r="H58" i="1"/>
  <c r="G58" i="1"/>
  <c r="G66" i="1" s="1"/>
  <c r="G68" i="1" s="1"/>
  <c r="G70" i="1" s="1"/>
  <c r="F58" i="1"/>
  <c r="F66" i="1" s="1"/>
  <c r="F68" i="1" s="1"/>
  <c r="F70" i="1" s="1"/>
  <c r="E58" i="1"/>
  <c r="E66" i="1" s="1"/>
  <c r="E68" i="1" s="1"/>
  <c r="E70" i="1" s="1"/>
  <c r="D58" i="1"/>
  <c r="D66" i="1" s="1"/>
  <c r="D68" i="1" s="1"/>
  <c r="D70" i="1" s="1"/>
  <c r="C7" i="2"/>
  <c r="C6" i="2"/>
  <c r="C5" i="2"/>
  <c r="E11" i="1"/>
  <c r="E18" i="1" s="1"/>
  <c r="D11" i="1"/>
  <c r="D18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F39" i="1" l="1"/>
  <c r="E36" i="1"/>
  <c r="E37" i="1"/>
  <c r="D36" i="1"/>
  <c r="L66" i="1"/>
  <c r="L68" i="1" s="1"/>
  <c r="L70" i="1" s="1"/>
  <c r="O66" i="1"/>
  <c r="O68" i="1" s="1"/>
  <c r="O70" i="1" s="1"/>
  <c r="K66" i="1"/>
  <c r="K68" i="1" s="1"/>
  <c r="K70" i="1" s="1"/>
  <c r="P66" i="1"/>
  <c r="P68" i="1" s="1"/>
  <c r="P70" i="1" s="1"/>
  <c r="M66" i="1"/>
  <c r="M68" i="1" s="1"/>
  <c r="M70" i="1" s="1"/>
  <c r="J66" i="1"/>
  <c r="J68" i="1" s="1"/>
  <c r="J70" i="1" s="1"/>
  <c r="N66" i="1"/>
  <c r="N68" i="1" s="1"/>
  <c r="N70" i="1" s="1"/>
  <c r="H66" i="1"/>
  <c r="H68" i="1" s="1"/>
  <c r="H70" i="1" s="1"/>
  <c r="I66" i="1"/>
  <c r="I68" i="1" s="1"/>
  <c r="I70" i="1" s="1"/>
  <c r="H11" i="1"/>
  <c r="I4" i="1"/>
  <c r="G11" i="1"/>
  <c r="F40" i="1"/>
  <c r="E42" i="1"/>
  <c r="F42" i="1"/>
  <c r="F22" i="1"/>
  <c r="F36" i="1" s="1"/>
  <c r="F18" i="1"/>
  <c r="G18" i="1" s="1"/>
  <c r="D37" i="1"/>
  <c r="F27" i="1"/>
  <c r="D38" i="1"/>
  <c r="J4" i="1" l="1"/>
  <c r="I11" i="1"/>
  <c r="G20" i="1"/>
  <c r="H18" i="1"/>
  <c r="F32" i="1"/>
  <c r="F34" i="1" s="1"/>
  <c r="F37" i="1"/>
  <c r="F38" i="1" l="1"/>
  <c r="G21" i="1"/>
  <c r="G22" i="1" s="1"/>
  <c r="G23" i="1"/>
  <c r="I18" i="1"/>
  <c r="H20" i="1"/>
  <c r="K4" i="1"/>
  <c r="J11" i="1"/>
  <c r="G27" i="1" l="1"/>
  <c r="G32" i="1" s="1"/>
  <c r="H21" i="1"/>
  <c r="H22" i="1" s="1"/>
  <c r="H36" i="1" s="1"/>
  <c r="H23" i="1"/>
  <c r="G36" i="1"/>
  <c r="L4" i="1"/>
  <c r="K11" i="1"/>
  <c r="J18" i="1"/>
  <c r="I20" i="1"/>
  <c r="G33" i="1" l="1"/>
  <c r="G34" i="1" s="1"/>
  <c r="H27" i="1"/>
  <c r="H32" i="1" s="1"/>
  <c r="I21" i="1"/>
  <c r="I22" i="1" s="1"/>
  <c r="I23" i="1"/>
  <c r="K18" i="1"/>
  <c r="J20" i="1"/>
  <c r="M4" i="1"/>
  <c r="L11" i="1"/>
  <c r="H33" i="1" l="1"/>
  <c r="H34" i="1" s="1"/>
  <c r="I27" i="1"/>
  <c r="I32" i="1" s="1"/>
  <c r="I36" i="1"/>
  <c r="J21" i="1"/>
  <c r="J22" i="1" s="1"/>
  <c r="J23" i="1"/>
  <c r="N4" i="1"/>
  <c r="M11" i="1"/>
  <c r="L18" i="1"/>
  <c r="K20" i="1"/>
  <c r="I33" i="1" l="1"/>
  <c r="I34" i="1" s="1"/>
  <c r="J36" i="1"/>
  <c r="J27" i="1"/>
  <c r="J32" i="1" s="1"/>
  <c r="K21" i="1"/>
  <c r="K22" i="1" s="1"/>
  <c r="K23" i="1"/>
  <c r="M18" i="1"/>
  <c r="L20" i="1"/>
  <c r="O4" i="1"/>
  <c r="N11" i="1"/>
  <c r="J33" i="1" l="1"/>
  <c r="J34" i="1" s="1"/>
  <c r="K27" i="1"/>
  <c r="K32" i="1" s="1"/>
  <c r="K36" i="1"/>
  <c r="L23" i="1"/>
  <c r="L21" i="1"/>
  <c r="L22" i="1" s="1"/>
  <c r="P4" i="1"/>
  <c r="P11" i="1" s="1"/>
  <c r="O11" i="1"/>
  <c r="N18" i="1"/>
  <c r="M20" i="1"/>
  <c r="K33" i="1" l="1"/>
  <c r="K34" i="1" s="1"/>
  <c r="L36" i="1"/>
  <c r="L27" i="1"/>
  <c r="L32" i="1" s="1"/>
  <c r="M23" i="1"/>
  <c r="M21" i="1"/>
  <c r="M22" i="1" s="1"/>
  <c r="O18" i="1"/>
  <c r="N20" i="1"/>
  <c r="L33" i="1" l="1"/>
  <c r="L34" i="1" s="1"/>
  <c r="M27" i="1"/>
  <c r="M32" i="1" s="1"/>
  <c r="M36" i="1"/>
  <c r="N23" i="1"/>
  <c r="N21" i="1"/>
  <c r="N22" i="1" s="1"/>
  <c r="P18" i="1"/>
  <c r="P20" i="1" s="1"/>
  <c r="O20" i="1"/>
  <c r="M33" i="1" l="1"/>
  <c r="M34" i="1" s="1"/>
  <c r="N27" i="1"/>
  <c r="N32" i="1" s="1"/>
  <c r="N36" i="1"/>
  <c r="O23" i="1"/>
  <c r="O21" i="1"/>
  <c r="O22" i="1" s="1"/>
  <c r="P21" i="1"/>
  <c r="P22" i="1" s="1"/>
  <c r="P23" i="1"/>
  <c r="N33" i="1" l="1"/>
  <c r="N34" i="1" s="1"/>
  <c r="P36" i="1"/>
  <c r="P27" i="1"/>
  <c r="P32" i="1" s="1"/>
  <c r="O36" i="1"/>
  <c r="O27" i="1"/>
  <c r="O32" i="1" s="1"/>
  <c r="O33" i="1" l="1"/>
  <c r="O34" i="1" s="1"/>
  <c r="P33" i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FD34" i="1" s="1"/>
  <c r="FE34" i="1" s="1"/>
  <c r="FF34" i="1" s="1"/>
  <c r="FG34" i="1" s="1"/>
  <c r="FH34" i="1" s="1"/>
  <c r="FI34" i="1" s="1"/>
  <c r="FJ34" i="1" s="1"/>
  <c r="FK34" i="1" s="1"/>
  <c r="FL34" i="1" s="1"/>
  <c r="FM34" i="1" s="1"/>
  <c r="FN34" i="1" s="1"/>
  <c r="FO34" i="1" s="1"/>
  <c r="FP34" i="1" s="1"/>
  <c r="FQ34" i="1" s="1"/>
  <c r="S38" i="1" s="1"/>
  <c r="S40" i="1" s="1"/>
  <c r="S41" i="1" s="1"/>
  <c r="S43" i="1" s="1"/>
</calcChain>
</file>

<file path=xl/sharedStrings.xml><?xml version="1.0" encoding="utf-8"?>
<sst xmlns="http://schemas.openxmlformats.org/spreadsheetml/2006/main" count="74" uniqueCount="64">
  <si>
    <t>Umsatz</t>
  </si>
  <si>
    <t>Anderes</t>
  </si>
  <si>
    <t>Gesamtumsatz</t>
  </si>
  <si>
    <t>Sonstige Erträge</t>
  </si>
  <si>
    <t>Materialaufwand</t>
  </si>
  <si>
    <t>Personalaufwand</t>
  </si>
  <si>
    <t>D&amp;A</t>
  </si>
  <si>
    <t>Sonstiger Aufwand</t>
  </si>
  <si>
    <t>Beteiligungen</t>
  </si>
  <si>
    <t>Zinsen</t>
  </si>
  <si>
    <t>Pretax</t>
  </si>
  <si>
    <t>Taxes</t>
  </si>
  <si>
    <t>Net Income</t>
  </si>
  <si>
    <t>More Tax</t>
  </si>
  <si>
    <t>Net Net Income</t>
  </si>
  <si>
    <t>Cars Sold</t>
  </si>
  <si>
    <t>Germany</t>
  </si>
  <si>
    <t>North America</t>
  </si>
  <si>
    <t>China</t>
  </si>
  <si>
    <t>Europe</t>
  </si>
  <si>
    <t>EM</t>
  </si>
  <si>
    <t>Umsatz/Auto</t>
  </si>
  <si>
    <t>Porsche 911</t>
  </si>
  <si>
    <t>Porsche 718</t>
  </si>
  <si>
    <t>Cayenne</t>
  </si>
  <si>
    <t>Panamera</t>
  </si>
  <si>
    <t>Macan</t>
  </si>
  <si>
    <t>CFFO</t>
  </si>
  <si>
    <t>CapEx</t>
  </si>
  <si>
    <t>FCF</t>
  </si>
  <si>
    <t>Price</t>
  </si>
  <si>
    <t>Shares</t>
  </si>
  <si>
    <t>MC</t>
  </si>
  <si>
    <t>Net Cash</t>
  </si>
  <si>
    <t>EV</t>
  </si>
  <si>
    <t>Q3 25</t>
  </si>
  <si>
    <t>Net Margin</t>
  </si>
  <si>
    <t>Revenue Y/Y</t>
  </si>
  <si>
    <t>COGS</t>
  </si>
  <si>
    <t>Profit</t>
  </si>
  <si>
    <t>Vertriebskosten</t>
  </si>
  <si>
    <t>Verwaltungskosten</t>
  </si>
  <si>
    <t>Operating Income</t>
  </si>
  <si>
    <t>Zinsertrag</t>
  </si>
  <si>
    <t>Zinsaufwand</t>
  </si>
  <si>
    <t>Andere Finanz, net</t>
  </si>
  <si>
    <t>Equity, net</t>
  </si>
  <si>
    <t>Operating Margin</t>
  </si>
  <si>
    <t>Cars Sold Y/Y</t>
  </si>
  <si>
    <t xml:space="preserve">Taycan </t>
  </si>
  <si>
    <t>Macan EV</t>
  </si>
  <si>
    <t>Gross Margin</t>
  </si>
  <si>
    <t>Discount</t>
  </si>
  <si>
    <t>Terminal</t>
  </si>
  <si>
    <t>NPV</t>
  </si>
  <si>
    <t>Value</t>
  </si>
  <si>
    <t>Current</t>
  </si>
  <si>
    <t>EV/FCF</t>
  </si>
  <si>
    <t>FCF Yield</t>
  </si>
  <si>
    <t>Dividenden</t>
  </si>
  <si>
    <t>Ratio</t>
  </si>
  <si>
    <t>Jährliche Dividende</t>
  </si>
  <si>
    <t>Kosten</t>
  </si>
  <si>
    <t>Div.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</si>
</sst>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Font="1"/>
    <xf numFmtId="4" fontId="0" fillId="0" borderId="0" xfId="0" applyNumberFormat="1"/>
    <xf numFmtId="165" fontId="0" fillId="0" borderId="0" xfId="0" applyNumberFormat="1"/>
    <xf numFmtId="9" fontId="0" fillId="0" borderId="0" xfId="1" applyFont="1"/>
    <xf numFmtId="166" fontId="0" fillId="0" borderId="0" xfId="1" applyNumberFormat="1" applyFont="1"/>
    <xf numFmtId="166" fontId="0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30307</xdr:colOff>
      <xdr:row>2</xdr:row>
      <xdr:rowOff>138545</xdr:rowOff>
    </xdr:from>
    <xdr:to>
      <xdr:col>5</xdr:col>
      <xdr:colOff>51954</xdr:colOff>
      <xdr:row>44</xdr:row>
      <xdr:rowOff>151534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B2B96A-B370-72C0-F000-F3EE5CE093E9}"/>
            </a:ext>
          </a:extLst>
        </xdr:cNvPr>
        <xdr:cNvCxnSpPr/>
      </xdr:nvCxnSpPr>
      <xdr:spPr>
        <a:xfrm>
          <a:off x="3242830" y="519545"/>
          <a:ext cx="21647" cy="42039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01FB-EF94-4202-B9A9-6D6A4BDA7C8D}">
  <dimension ref="B3:D12"/>
  <sheetViews>
    <sheetView tabSelected="1" zoomScale="235" zoomScaleNormal="235" workbookViewId="0">
      <selection activeCell="G5" sqref="G5:G14"/>
    </sheetView>
  </sheetViews>
  <sheetFormatPr defaultRowHeight="15" x14ac:dyDescent="0.25"/>
  <cols>
    <col min="1" max="16384" width="9.140625" style="1"/>
  </cols>
  <sheetData>
    <row r="3" spans="2:4" x14ac:dyDescent="0.25">
      <c r="B3" s="1" t="s">
        <v>30</v>
      </c>
      <c r="C3" s="4">
        <v>40.799999999999997</v>
      </c>
    </row>
    <row r="4" spans="2:4" x14ac:dyDescent="0.25">
      <c r="B4" s="1" t="s">
        <v>31</v>
      </c>
      <c r="C4" s="1">
        <v>455.5</v>
      </c>
    </row>
    <row r="5" spans="2:4" x14ac:dyDescent="0.25">
      <c r="B5" s="1" t="s">
        <v>32</v>
      </c>
      <c r="C5" s="1">
        <f>+C3*C4</f>
        <v>18584.399999999998</v>
      </c>
    </row>
    <row r="6" spans="2:4" x14ac:dyDescent="0.25">
      <c r="B6" s="1" t="s">
        <v>33</v>
      </c>
      <c r="C6" s="1">
        <f>5198+2263-6471-4956</f>
        <v>-3966</v>
      </c>
      <c r="D6" s="1" t="s">
        <v>35</v>
      </c>
    </row>
    <row r="7" spans="2:4" x14ac:dyDescent="0.25">
      <c r="B7" s="1" t="s">
        <v>34</v>
      </c>
      <c r="C7" s="1">
        <f>+C5-C6</f>
        <v>22550.399999999998</v>
      </c>
    </row>
    <row r="9" spans="2:4" x14ac:dyDescent="0.25">
      <c r="B9" s="1" t="s">
        <v>57</v>
      </c>
      <c r="C9" s="1">
        <f>+C7/Sheet1!F46</f>
        <v>20.591151897000397</v>
      </c>
    </row>
    <row r="10" spans="2:4" x14ac:dyDescent="0.25">
      <c r="B10" s="1" t="s">
        <v>58</v>
      </c>
      <c r="C10" s="7">
        <f>1/C9</f>
        <v>4.856454874414648E-2</v>
      </c>
    </row>
    <row r="12" spans="2:4" x14ac:dyDescent="0.25">
      <c r="B12" s="1" t="s">
        <v>63</v>
      </c>
      <c r="C12" s="7">
        <f>+Sheet1!F51/Sheet2!C3</f>
        <v>2.0098039215686276E-2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EF7C-BB87-4F8A-B037-7778F16EFE56}">
  <dimension ref="B2:FQ99"/>
  <sheetViews>
    <sheetView zoomScale="175" zoomScaleNormal="175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E52" sqref="E52:F52"/>
    </sheetView>
  </sheetViews>
  <sheetFormatPr defaultRowHeight="15" x14ac:dyDescent="0.25"/>
  <cols>
    <col min="1" max="1" width="2.7109375" customWidth="1"/>
    <col min="2" max="2" width="18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  <c r="H2">
        <f t="shared" ref="H2:P2" si="0">+G2+1</f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>+M2+1</f>
        <v>2033</v>
      </c>
      <c r="O2">
        <f t="shared" si="0"/>
        <v>2034</v>
      </c>
      <c r="P2">
        <f t="shared" si="0"/>
        <v>2035</v>
      </c>
    </row>
    <row r="3" spans="2:16" s="1" customFormat="1" x14ac:dyDescent="0.25">
      <c r="F3" s="7"/>
    </row>
    <row r="4" spans="2:16" s="3" customFormat="1" x14ac:dyDescent="0.25">
      <c r="B4" s="3" t="s">
        <v>22</v>
      </c>
      <c r="D4" s="3">
        <v>50146</v>
      </c>
      <c r="E4" s="3">
        <v>50941</v>
      </c>
      <c r="F4" s="3">
        <v>51583</v>
      </c>
      <c r="G4" s="3">
        <f>+F4*1.015</f>
        <v>52356.744999999995</v>
      </c>
      <c r="H4" s="3">
        <f t="shared" ref="H4:P4" si="1">+G4*1.015</f>
        <v>53142.096174999991</v>
      </c>
      <c r="I4" s="3">
        <f t="shared" si="1"/>
        <v>53939.227617624987</v>
      </c>
      <c r="J4" s="3">
        <f t="shared" si="1"/>
        <v>54748.316031889357</v>
      </c>
      <c r="K4" s="3">
        <f t="shared" si="1"/>
        <v>55569.540772367691</v>
      </c>
      <c r="L4" s="3">
        <f t="shared" si="1"/>
        <v>56403.083883953201</v>
      </c>
      <c r="M4" s="3">
        <f t="shared" si="1"/>
        <v>57249.130142212496</v>
      </c>
      <c r="N4" s="3">
        <f t="shared" si="1"/>
        <v>58107.867094345675</v>
      </c>
      <c r="O4" s="3">
        <f t="shared" si="1"/>
        <v>58979.485100760852</v>
      </c>
      <c r="P4" s="3">
        <f t="shared" si="1"/>
        <v>59864.177377272259</v>
      </c>
    </row>
    <row r="5" spans="2:16" s="3" customFormat="1" x14ac:dyDescent="0.25">
      <c r="B5" s="3" t="s">
        <v>23</v>
      </c>
      <c r="D5" s="3">
        <v>20518</v>
      </c>
      <c r="E5" s="3">
        <v>23670</v>
      </c>
      <c r="F5" s="3">
        <v>18612</v>
      </c>
      <c r="G5" s="3">
        <f>+F5*1.02</f>
        <v>18984.240000000002</v>
      </c>
      <c r="H5" s="3">
        <f t="shared" ref="H5:P5" si="2">+G5*1.02</f>
        <v>19363.924800000001</v>
      </c>
      <c r="I5" s="3">
        <f t="shared" si="2"/>
        <v>19751.203296</v>
      </c>
      <c r="J5" s="3">
        <f t="shared" si="2"/>
        <v>20146.227361919999</v>
      </c>
      <c r="K5" s="3">
        <f t="shared" si="2"/>
        <v>20549.151909158398</v>
      </c>
      <c r="L5" s="3">
        <f t="shared" si="2"/>
        <v>20960.134947341565</v>
      </c>
      <c r="M5" s="3">
        <f t="shared" si="2"/>
        <v>21379.337646288397</v>
      </c>
      <c r="N5" s="3">
        <f t="shared" si="2"/>
        <v>21806.924399214164</v>
      </c>
      <c r="O5" s="3">
        <f t="shared" si="2"/>
        <v>22243.062887198448</v>
      </c>
      <c r="P5" s="3">
        <f t="shared" si="2"/>
        <v>22687.924144942419</v>
      </c>
    </row>
    <row r="6" spans="2:16" s="3" customFormat="1" x14ac:dyDescent="0.25">
      <c r="B6" s="3" t="s">
        <v>24</v>
      </c>
      <c r="D6" s="3">
        <v>87553</v>
      </c>
      <c r="E6" s="3">
        <v>102889</v>
      </c>
      <c r="F6" s="3">
        <v>80886</v>
      </c>
      <c r="G6" s="3">
        <f>+F6*1.015</f>
        <v>82099.289999999994</v>
      </c>
      <c r="H6" s="3">
        <f t="shared" ref="H6:P6" si="3">+G6*1.015</f>
        <v>83330.779349999983</v>
      </c>
      <c r="I6" s="3">
        <f t="shared" si="3"/>
        <v>84580.741040249981</v>
      </c>
      <c r="J6" s="3">
        <f t="shared" si="3"/>
        <v>85849.452155853724</v>
      </c>
      <c r="K6" s="3">
        <f t="shared" si="3"/>
        <v>87137.193938191514</v>
      </c>
      <c r="L6" s="3">
        <f t="shared" si="3"/>
        <v>88444.251847264371</v>
      </c>
      <c r="M6" s="3">
        <f t="shared" si="3"/>
        <v>89770.915624973335</v>
      </c>
      <c r="N6" s="3">
        <f t="shared" si="3"/>
        <v>91117.479359347926</v>
      </c>
      <c r="O6" s="3">
        <f t="shared" si="3"/>
        <v>92484.24154973813</v>
      </c>
      <c r="P6" s="3">
        <f t="shared" si="3"/>
        <v>93871.505172984194</v>
      </c>
    </row>
    <row r="7" spans="2:16" s="3" customFormat="1" x14ac:dyDescent="0.25">
      <c r="B7" s="3" t="s">
        <v>25</v>
      </c>
      <c r="D7" s="3">
        <v>34020</v>
      </c>
      <c r="E7" s="3">
        <v>29587</v>
      </c>
      <c r="F7" s="3">
        <v>27701</v>
      </c>
      <c r="G7" s="3">
        <f>+F7*0.98</f>
        <v>27146.98</v>
      </c>
      <c r="H7" s="3">
        <f t="shared" ref="H7:P7" si="4">+G7*0.98</f>
        <v>26604.040399999998</v>
      </c>
      <c r="I7" s="3">
        <f t="shared" si="4"/>
        <v>26071.959591999999</v>
      </c>
      <c r="J7" s="3">
        <f t="shared" si="4"/>
        <v>25550.52040016</v>
      </c>
      <c r="K7" s="3">
        <f t="shared" si="4"/>
        <v>25039.5099921568</v>
      </c>
      <c r="L7" s="3">
        <f t="shared" si="4"/>
        <v>24538.719792313663</v>
      </c>
      <c r="M7" s="3">
        <f t="shared" si="4"/>
        <v>24047.945396467388</v>
      </c>
      <c r="N7" s="3">
        <f t="shared" si="4"/>
        <v>23566.986488538041</v>
      </c>
      <c r="O7" s="3">
        <f t="shared" si="4"/>
        <v>23095.646758767281</v>
      </c>
      <c r="P7" s="3">
        <f t="shared" si="4"/>
        <v>22633.733823591934</v>
      </c>
    </row>
    <row r="8" spans="2:16" s="3" customFormat="1" x14ac:dyDescent="0.25">
      <c r="B8" s="3" t="s">
        <v>26</v>
      </c>
      <c r="D8" s="3">
        <v>87355</v>
      </c>
      <c r="E8" s="3">
        <v>82795</v>
      </c>
      <c r="F8" s="3">
        <v>84328</v>
      </c>
      <c r="G8" s="3">
        <f>+F8*1.025</f>
        <v>86436.2</v>
      </c>
      <c r="H8" s="3">
        <f t="shared" ref="H8:P8" si="5">+G8*1.025</f>
        <v>88597.104999999996</v>
      </c>
      <c r="I8" s="3">
        <f t="shared" si="5"/>
        <v>90812.032624999993</v>
      </c>
      <c r="J8" s="3">
        <f t="shared" si="5"/>
        <v>93082.333440624978</v>
      </c>
      <c r="K8" s="3">
        <f t="shared" si="5"/>
        <v>95409.391776640594</v>
      </c>
      <c r="L8" s="3">
        <f t="shared" si="5"/>
        <v>97794.626571056593</v>
      </c>
      <c r="M8" s="3">
        <f t="shared" si="5"/>
        <v>100239.492235333</v>
      </c>
      <c r="N8" s="3">
        <f t="shared" si="5"/>
        <v>102745.47954121632</v>
      </c>
      <c r="O8" s="3">
        <f t="shared" si="5"/>
        <v>105314.11652974672</v>
      </c>
      <c r="P8" s="3">
        <f t="shared" si="5"/>
        <v>107946.96944299038</v>
      </c>
    </row>
    <row r="9" spans="2:16" s="3" customFormat="1" x14ac:dyDescent="0.25">
      <c r="B9" s="3" t="s">
        <v>50</v>
      </c>
      <c r="F9" s="3">
        <v>45367</v>
      </c>
    </row>
    <row r="10" spans="2:16" s="3" customFormat="1" x14ac:dyDescent="0.25">
      <c r="B10" s="3" t="s">
        <v>49</v>
      </c>
      <c r="D10" s="3">
        <v>40629</v>
      </c>
      <c r="E10" s="3">
        <v>20836</v>
      </c>
      <c r="F10" s="3">
        <v>16339</v>
      </c>
      <c r="G10" s="3">
        <f>+F10*0.95</f>
        <v>15522.05</v>
      </c>
      <c r="H10" s="3">
        <f t="shared" ref="H10:P10" si="6">+G10*0.95</f>
        <v>14745.947499999998</v>
      </c>
      <c r="I10" s="3">
        <f t="shared" si="6"/>
        <v>14008.650124999998</v>
      </c>
      <c r="J10" s="3">
        <f t="shared" si="6"/>
        <v>13308.217618749997</v>
      </c>
      <c r="K10" s="3">
        <f t="shared" si="6"/>
        <v>12642.806737812496</v>
      </c>
      <c r="L10" s="3">
        <f t="shared" si="6"/>
        <v>12010.666400921871</v>
      </c>
      <c r="M10" s="3">
        <f t="shared" si="6"/>
        <v>11410.133080875778</v>
      </c>
      <c r="N10" s="3">
        <f t="shared" si="6"/>
        <v>10839.626426831988</v>
      </c>
      <c r="O10" s="3">
        <f t="shared" si="6"/>
        <v>10297.645105490388</v>
      </c>
      <c r="P10" s="3">
        <f t="shared" si="6"/>
        <v>9782.7628502158677</v>
      </c>
    </row>
    <row r="11" spans="2:16" s="2" customFormat="1" x14ac:dyDescent="0.25">
      <c r="B11" s="2" t="s">
        <v>15</v>
      </c>
      <c r="D11" s="2">
        <f>+SUM(D12:D16)</f>
        <v>320221</v>
      </c>
      <c r="E11" s="2">
        <f>+SUM(E12:E16)</f>
        <v>310718</v>
      </c>
      <c r="F11" s="2">
        <v>279449</v>
      </c>
      <c r="G11" s="2">
        <f>+SUM(G4:G10)</f>
        <v>282545.505</v>
      </c>
      <c r="H11" s="2">
        <f t="shared" ref="H11:P11" si="7">+SUM(H4:H10)</f>
        <v>285783.89322499995</v>
      </c>
      <c r="I11" s="2">
        <f t="shared" si="7"/>
        <v>289163.81429587497</v>
      </c>
      <c r="J11" s="2">
        <f t="shared" si="7"/>
        <v>292685.06700919807</v>
      </c>
      <c r="K11" s="2">
        <f t="shared" si="7"/>
        <v>296347.59512632748</v>
      </c>
      <c r="L11" s="2">
        <f t="shared" si="7"/>
        <v>300151.48344285128</v>
      </c>
      <c r="M11" s="2">
        <f t="shared" si="7"/>
        <v>304096.95412615041</v>
      </c>
      <c r="N11" s="2">
        <f t="shared" si="7"/>
        <v>308184.3633094941</v>
      </c>
      <c r="O11" s="2">
        <f t="shared" si="7"/>
        <v>312414.19793170184</v>
      </c>
      <c r="P11" s="2">
        <f t="shared" si="7"/>
        <v>316787.07281199703</v>
      </c>
    </row>
    <row r="12" spans="2:16" s="1" customFormat="1" x14ac:dyDescent="0.25">
      <c r="B12" s="1" t="s">
        <v>16</v>
      </c>
      <c r="D12" s="1">
        <v>32430</v>
      </c>
      <c r="E12" s="1">
        <v>35858</v>
      </c>
    </row>
    <row r="13" spans="2:16" s="1" customFormat="1" x14ac:dyDescent="0.25">
      <c r="B13" s="1" t="s">
        <v>17</v>
      </c>
      <c r="D13" s="1">
        <v>86059</v>
      </c>
      <c r="E13" s="1">
        <v>86541</v>
      </c>
    </row>
    <row r="14" spans="2:16" s="1" customFormat="1" x14ac:dyDescent="0.25">
      <c r="B14" s="1" t="s">
        <v>18</v>
      </c>
      <c r="D14" s="1">
        <v>79283</v>
      </c>
      <c r="E14" s="1">
        <v>56887</v>
      </c>
    </row>
    <row r="15" spans="2:16" s="1" customFormat="1" x14ac:dyDescent="0.25">
      <c r="B15" s="1" t="s">
        <v>19</v>
      </c>
      <c r="D15" s="1">
        <v>70229</v>
      </c>
      <c r="E15" s="1">
        <v>75899</v>
      </c>
    </row>
    <row r="16" spans="2:16" s="1" customFormat="1" x14ac:dyDescent="0.25">
      <c r="B16" s="1" t="s">
        <v>20</v>
      </c>
      <c r="D16" s="1">
        <v>52220</v>
      </c>
      <c r="E16" s="1">
        <v>55533</v>
      </c>
    </row>
    <row r="17" spans="2:16" s="1" customFormat="1" x14ac:dyDescent="0.25"/>
    <row r="18" spans="2:16" s="5" customFormat="1" x14ac:dyDescent="0.25">
      <c r="B18" s="5" t="s">
        <v>21</v>
      </c>
      <c r="D18" s="5">
        <f>+D20/D11 *1000</f>
        <v>126.56883839598277</v>
      </c>
      <c r="E18" s="5">
        <f>+E20/E11 *1000</f>
        <v>129.00121653718165</v>
      </c>
      <c r="F18" s="5">
        <f>+F20/F11 *1000</f>
        <v>129.77824218372584</v>
      </c>
      <c r="G18" s="5">
        <f>+F18*1.01</f>
        <v>131.07602460556311</v>
      </c>
      <c r="H18" s="5">
        <f t="shared" ref="H18:P18" si="8">+G18*1.01</f>
        <v>132.38678485161873</v>
      </c>
      <c r="I18" s="5">
        <f t="shared" si="8"/>
        <v>133.71065270013491</v>
      </c>
      <c r="J18" s="5">
        <f t="shared" si="8"/>
        <v>135.04775922713625</v>
      </c>
      <c r="K18" s="5">
        <f t="shared" si="8"/>
        <v>136.39823681940763</v>
      </c>
      <c r="L18" s="5">
        <f t="shared" si="8"/>
        <v>137.76221918760172</v>
      </c>
      <c r="M18" s="5">
        <f t="shared" si="8"/>
        <v>139.13984137947773</v>
      </c>
      <c r="N18" s="5">
        <f t="shared" si="8"/>
        <v>140.5312397932725</v>
      </c>
      <c r="O18" s="5">
        <f t="shared" si="8"/>
        <v>141.93655219120524</v>
      </c>
      <c r="P18" s="5">
        <f t="shared" si="8"/>
        <v>143.35591771311729</v>
      </c>
    </row>
    <row r="19" spans="2:16" s="1" customFormat="1" x14ac:dyDescent="0.25"/>
    <row r="20" spans="2:16" s="2" customFormat="1" x14ac:dyDescent="0.25">
      <c r="B20" s="2" t="s">
        <v>0</v>
      </c>
      <c r="D20" s="2">
        <v>40530</v>
      </c>
      <c r="E20" s="2">
        <v>40083</v>
      </c>
      <c r="F20" s="2">
        <f>26864*1.35</f>
        <v>36266.400000000001</v>
      </c>
      <c r="G20" s="2">
        <f>+G18*G11/1000</f>
        <v>37034.941565571258</v>
      </c>
      <c r="H20" s="2">
        <f t="shared" ref="H20:P20" si="9">+H18*H11/1000</f>
        <v>37834.010786436047</v>
      </c>
      <c r="I20" s="2">
        <f t="shared" si="9"/>
        <v>38664.282346762047</v>
      </c>
      <c r="J20" s="2">
        <f t="shared" si="9"/>
        <v>39526.462458836424</v>
      </c>
      <c r="K20" s="2">
        <f t="shared" si="9"/>
        <v>40421.289460902743</v>
      </c>
      <c r="L20" s="2">
        <f t="shared" si="9"/>
        <v>41349.534451537882</v>
      </c>
      <c r="M20" s="2">
        <f t="shared" si="9"/>
        <v>42312.001961094888</v>
      </c>
      <c r="N20" s="2">
        <f t="shared" si="9"/>
        <v>43309.53066078353</v>
      </c>
      <c r="O20" s="2">
        <f t="shared" si="9"/>
        <v>44342.994110006519</v>
      </c>
      <c r="P20" s="2">
        <f t="shared" si="9"/>
        <v>45413.30154261594</v>
      </c>
    </row>
    <row r="21" spans="2:16" s="3" customFormat="1" x14ac:dyDescent="0.25">
      <c r="B21" s="3" t="s">
        <v>38</v>
      </c>
      <c r="D21" s="3">
        <v>28924</v>
      </c>
      <c r="E21" s="3">
        <v>29756</v>
      </c>
      <c r="F21" s="3">
        <f>23590*1.35</f>
        <v>31846.500000000004</v>
      </c>
      <c r="G21" s="3">
        <f>+G20*0.85</f>
        <v>31479.70033073557</v>
      </c>
      <c r="H21" s="3">
        <f>+H20*0.82</f>
        <v>31023.888844877558</v>
      </c>
      <c r="I21" s="3">
        <f>+I20*0.8</f>
        <v>30931.425877409638</v>
      </c>
      <c r="J21" s="3">
        <f>+J20*0.78</f>
        <v>30830.640717892413</v>
      </c>
      <c r="K21" s="3">
        <f>+K20*0.75</f>
        <v>30315.967095677057</v>
      </c>
      <c r="L21" s="3">
        <f>+L20*0.75</f>
        <v>31012.150838653411</v>
      </c>
      <c r="M21" s="3">
        <f t="shared" ref="M21:P21" si="10">+M20*0.75</f>
        <v>31734.001470821167</v>
      </c>
      <c r="N21" s="3">
        <f t="shared" si="10"/>
        <v>32482.147995587649</v>
      </c>
      <c r="O21" s="3">
        <f t="shared" si="10"/>
        <v>33257.245582504889</v>
      </c>
      <c r="P21" s="3">
        <f t="shared" si="10"/>
        <v>34059.976156961959</v>
      </c>
    </row>
    <row r="22" spans="2:16" s="3" customFormat="1" x14ac:dyDescent="0.25">
      <c r="B22" s="3" t="s">
        <v>39</v>
      </c>
      <c r="D22" s="3">
        <f>+D20-D21</f>
        <v>11606</v>
      </c>
      <c r="E22" s="3">
        <f>+E20-E21</f>
        <v>10327</v>
      </c>
      <c r="F22" s="3">
        <f>+F20-F21</f>
        <v>4419.8999999999978</v>
      </c>
      <c r="G22" s="3">
        <f>+G20-G21</f>
        <v>5555.2412348356884</v>
      </c>
      <c r="H22" s="3">
        <f t="shared" ref="H22:P22" si="11">+H20-H21</f>
        <v>6810.1219415584892</v>
      </c>
      <c r="I22" s="3">
        <f t="shared" si="11"/>
        <v>7732.8564693524095</v>
      </c>
      <c r="J22" s="3">
        <f t="shared" si="11"/>
        <v>8695.8217409440113</v>
      </c>
      <c r="K22" s="3">
        <f t="shared" si="11"/>
        <v>10105.322365225686</v>
      </c>
      <c r="L22" s="3">
        <f t="shared" si="11"/>
        <v>10337.38361288447</v>
      </c>
      <c r="M22" s="3">
        <f t="shared" si="11"/>
        <v>10578.00049027372</v>
      </c>
      <c r="N22" s="3">
        <f t="shared" si="11"/>
        <v>10827.382665195881</v>
      </c>
      <c r="O22" s="3">
        <f t="shared" si="11"/>
        <v>11085.74852750163</v>
      </c>
      <c r="P22" s="3">
        <f t="shared" si="11"/>
        <v>11353.325385653981</v>
      </c>
    </row>
    <row r="23" spans="2:16" s="3" customFormat="1" x14ac:dyDescent="0.25">
      <c r="B23" s="3" t="s">
        <v>40</v>
      </c>
      <c r="D23" s="3">
        <v>2869</v>
      </c>
      <c r="E23" s="3">
        <v>3099</v>
      </c>
      <c r="F23" s="3">
        <f>2046*1.35</f>
        <v>2762.1000000000004</v>
      </c>
      <c r="G23" s="3">
        <f>+G20*0.075</f>
        <v>2777.6206174178442</v>
      </c>
      <c r="H23" s="3">
        <f t="shared" ref="H23:P23" si="12">+H20*0.075</f>
        <v>2837.5508089827035</v>
      </c>
      <c r="I23" s="3">
        <f t="shared" si="12"/>
        <v>2899.8211760071536</v>
      </c>
      <c r="J23" s="3">
        <f t="shared" si="12"/>
        <v>2964.4846844127319</v>
      </c>
      <c r="K23" s="3">
        <f t="shared" si="12"/>
        <v>3031.5967095677056</v>
      </c>
      <c r="L23" s="3">
        <f t="shared" si="12"/>
        <v>3101.2150838653411</v>
      </c>
      <c r="M23" s="3">
        <f t="shared" si="12"/>
        <v>3173.4001470821163</v>
      </c>
      <c r="N23" s="3">
        <f t="shared" si="12"/>
        <v>3248.2147995587648</v>
      </c>
      <c r="O23" s="3">
        <f t="shared" si="12"/>
        <v>3325.7245582504888</v>
      </c>
      <c r="P23" s="3">
        <f t="shared" si="12"/>
        <v>3405.9976156961952</v>
      </c>
    </row>
    <row r="24" spans="2:16" s="3" customFormat="1" x14ac:dyDescent="0.25">
      <c r="B24" s="3" t="s">
        <v>41</v>
      </c>
      <c r="D24" s="3">
        <v>1787</v>
      </c>
      <c r="E24" s="3">
        <v>1859</v>
      </c>
      <c r="F24" s="3">
        <f>1411*1.35</f>
        <v>1904.8500000000001</v>
      </c>
      <c r="G24" s="3">
        <f>+F24*1.04</f>
        <v>1981.0440000000001</v>
      </c>
      <c r="H24" s="3">
        <f t="shared" ref="H24:P24" si="13">+G24*1.04</f>
        <v>2060.2857600000002</v>
      </c>
      <c r="I24" s="3">
        <f t="shared" si="13"/>
        <v>2142.6971904000002</v>
      </c>
      <c r="J24" s="3">
        <f t="shared" si="13"/>
        <v>2228.4050780160001</v>
      </c>
      <c r="K24" s="3">
        <f t="shared" si="13"/>
        <v>2317.54128113664</v>
      </c>
      <c r="L24" s="3">
        <f t="shared" si="13"/>
        <v>2410.2429323821057</v>
      </c>
      <c r="M24" s="3">
        <f t="shared" si="13"/>
        <v>2506.6526496773899</v>
      </c>
      <c r="N24" s="3">
        <f t="shared" si="13"/>
        <v>2606.9187556644856</v>
      </c>
      <c r="O24" s="3">
        <f t="shared" si="13"/>
        <v>2711.1955058910653</v>
      </c>
      <c r="P24" s="3">
        <f t="shared" si="13"/>
        <v>2819.643326126708</v>
      </c>
    </row>
    <row r="25" spans="2:16" s="3" customFormat="1" x14ac:dyDescent="0.25">
      <c r="B25" s="3" t="s">
        <v>3</v>
      </c>
      <c r="D25" s="3">
        <v>1496</v>
      </c>
      <c r="E25" s="3">
        <v>1375</v>
      </c>
      <c r="F25" s="3">
        <f>224*1.33</f>
        <v>297.92</v>
      </c>
      <c r="G25" s="3">
        <f>+F25*1.05</f>
        <v>312.81600000000003</v>
      </c>
      <c r="H25" s="3">
        <f t="shared" ref="H25:P25" si="14">+G25*1.05</f>
        <v>328.45680000000004</v>
      </c>
      <c r="I25" s="3">
        <f t="shared" si="14"/>
        <v>344.87964000000005</v>
      </c>
      <c r="J25" s="3">
        <f t="shared" si="14"/>
        <v>362.12362200000007</v>
      </c>
      <c r="K25" s="3">
        <f t="shared" si="14"/>
        <v>380.22980310000008</v>
      </c>
      <c r="L25" s="3">
        <f t="shared" si="14"/>
        <v>399.24129325500013</v>
      </c>
      <c r="M25" s="3">
        <f t="shared" si="14"/>
        <v>419.20335791775017</v>
      </c>
      <c r="N25" s="3">
        <f t="shared" si="14"/>
        <v>440.1635258136377</v>
      </c>
      <c r="O25" s="3">
        <f t="shared" si="14"/>
        <v>462.17170210431959</v>
      </c>
      <c r="P25" s="3">
        <f t="shared" si="14"/>
        <v>485.28028720953557</v>
      </c>
    </row>
    <row r="26" spans="2:16" s="3" customFormat="1" x14ac:dyDescent="0.25">
      <c r="B26" s="3" t="s">
        <v>7</v>
      </c>
      <c r="D26" s="3">
        <v>1162</v>
      </c>
      <c r="E26" s="3">
        <v>1107</v>
      </c>
    </row>
    <row r="27" spans="2:16" s="2" customFormat="1" x14ac:dyDescent="0.25">
      <c r="B27" s="2" t="s">
        <v>42</v>
      </c>
      <c r="D27" s="2">
        <f>+D22-D23-D24+D25-D26</f>
        <v>7284</v>
      </c>
      <c r="E27" s="2">
        <f>+E22-E23-E24+E25-E26</f>
        <v>5637</v>
      </c>
      <c r="F27" s="2">
        <f>+F22-F23-F24+F25-F26</f>
        <v>50.869999999997333</v>
      </c>
      <c r="G27" s="2">
        <f>+G22-G23-G24+G25-G26</f>
        <v>1109.3926174178441</v>
      </c>
      <c r="H27" s="2">
        <f t="shared" ref="H27:P27" si="15">+H22-H23-H24+H25-H26</f>
        <v>2240.7421725757854</v>
      </c>
      <c r="I27" s="2">
        <f t="shared" si="15"/>
        <v>3035.2177429452558</v>
      </c>
      <c r="J27" s="2">
        <f t="shared" si="15"/>
        <v>3865.0556005152798</v>
      </c>
      <c r="K27" s="2">
        <f t="shared" si="15"/>
        <v>5136.4141776213391</v>
      </c>
      <c r="L27" s="2">
        <f t="shared" si="15"/>
        <v>5225.1668898920243</v>
      </c>
      <c r="M27" s="2">
        <f t="shared" si="15"/>
        <v>5317.1510514319643</v>
      </c>
      <c r="N27" s="2">
        <f t="shared" si="15"/>
        <v>5412.4126357862679</v>
      </c>
      <c r="O27" s="2">
        <f t="shared" si="15"/>
        <v>5511.0001654643947</v>
      </c>
      <c r="P27" s="2">
        <f t="shared" si="15"/>
        <v>5612.9647310406135</v>
      </c>
    </row>
    <row r="28" spans="2:16" s="3" customFormat="1" x14ac:dyDescent="0.25">
      <c r="B28" s="3" t="s">
        <v>46</v>
      </c>
      <c r="D28" s="3">
        <v>-9</v>
      </c>
      <c r="E28" s="3">
        <v>-155</v>
      </c>
      <c r="F28" s="3">
        <f>-36*2</f>
        <v>-72</v>
      </c>
      <c r="G28" s="3">
        <v>-50</v>
      </c>
      <c r="H28" s="3">
        <v>-50</v>
      </c>
      <c r="I28" s="3">
        <v>-50</v>
      </c>
      <c r="J28" s="3">
        <v>-50</v>
      </c>
      <c r="K28" s="3">
        <v>-50</v>
      </c>
      <c r="L28" s="3">
        <v>-50</v>
      </c>
      <c r="M28" s="3">
        <v>-50</v>
      </c>
      <c r="N28" s="3">
        <v>-50</v>
      </c>
      <c r="O28" s="3">
        <v>-50</v>
      </c>
      <c r="P28" s="3">
        <v>-50</v>
      </c>
    </row>
    <row r="29" spans="2:16" s="3" customFormat="1" x14ac:dyDescent="0.25">
      <c r="B29" s="3" t="s">
        <v>43</v>
      </c>
      <c r="D29" s="3">
        <v>264</v>
      </c>
      <c r="E29" s="3">
        <v>278</v>
      </c>
    </row>
    <row r="30" spans="2:16" s="3" customFormat="1" x14ac:dyDescent="0.25">
      <c r="B30" s="3" t="s">
        <v>44</v>
      </c>
      <c r="D30" s="3">
        <v>184</v>
      </c>
      <c r="E30" s="3">
        <v>223</v>
      </c>
    </row>
    <row r="31" spans="2:16" s="3" customFormat="1" x14ac:dyDescent="0.25">
      <c r="B31" s="3" t="s">
        <v>45</v>
      </c>
      <c r="D31" s="3">
        <v>19</v>
      </c>
      <c r="E31" s="3">
        <v>-309</v>
      </c>
    </row>
    <row r="32" spans="2:16" s="3" customFormat="1" x14ac:dyDescent="0.25">
      <c r="B32" s="3" t="s">
        <v>10</v>
      </c>
      <c r="D32" s="3">
        <f>+D27+D28+D29-D30+D31</f>
        <v>7374</v>
      </c>
      <c r="E32" s="3">
        <f>+E27+E28+E29-E30+E31</f>
        <v>5228</v>
      </c>
      <c r="F32" s="3">
        <f>+F27+F28+F29-F30+F31</f>
        <v>-21.130000000002667</v>
      </c>
      <c r="G32" s="3">
        <f>+G27+G28+G29-G30+G31</f>
        <v>1059.3926174178441</v>
      </c>
      <c r="H32" s="3">
        <f t="shared" ref="H32:P32" si="16">+H27+H28+H29-H30+H31</f>
        <v>2190.7421725757854</v>
      </c>
      <c r="I32" s="3">
        <f t="shared" si="16"/>
        <v>2985.2177429452558</v>
      </c>
      <c r="J32" s="3">
        <f t="shared" si="16"/>
        <v>3815.0556005152798</v>
      </c>
      <c r="K32" s="3">
        <f t="shared" si="16"/>
        <v>5086.4141776213391</v>
      </c>
      <c r="L32" s="3">
        <f t="shared" si="16"/>
        <v>5175.1668898920243</v>
      </c>
      <c r="M32" s="3">
        <f t="shared" si="16"/>
        <v>5267.1510514319643</v>
      </c>
      <c r="N32" s="3">
        <f t="shared" si="16"/>
        <v>5362.4126357862679</v>
      </c>
      <c r="O32" s="3">
        <f t="shared" si="16"/>
        <v>5461.0001654643947</v>
      </c>
      <c r="P32" s="3">
        <f t="shared" si="16"/>
        <v>5562.9647310406135</v>
      </c>
    </row>
    <row r="33" spans="2:173" s="3" customFormat="1" x14ac:dyDescent="0.25">
      <c r="B33" s="3" t="s">
        <v>11</v>
      </c>
      <c r="D33" s="3">
        <v>2218</v>
      </c>
      <c r="E33" s="3">
        <v>1632</v>
      </c>
      <c r="F33" s="3">
        <v>-5</v>
      </c>
      <c r="G33" s="3">
        <f>+G32*0.3</f>
        <v>317.81778522535325</v>
      </c>
      <c r="H33" s="3">
        <f t="shared" ref="H33:P33" si="17">+H32*0.3</f>
        <v>657.22265177273562</v>
      </c>
      <c r="I33" s="3">
        <f t="shared" si="17"/>
        <v>895.56532288357675</v>
      </c>
      <c r="J33" s="3">
        <f t="shared" si="17"/>
        <v>1144.5166801545838</v>
      </c>
      <c r="K33" s="3">
        <f t="shared" si="17"/>
        <v>1525.9242532864016</v>
      </c>
      <c r="L33" s="3">
        <f t="shared" si="17"/>
        <v>1552.5500669676073</v>
      </c>
      <c r="M33" s="3">
        <f t="shared" si="17"/>
        <v>1580.1453154295893</v>
      </c>
      <c r="N33" s="3">
        <f t="shared" si="17"/>
        <v>1608.7237907358804</v>
      </c>
      <c r="O33" s="3">
        <f t="shared" si="17"/>
        <v>1638.3000496393183</v>
      </c>
      <c r="P33" s="3">
        <f t="shared" si="17"/>
        <v>1668.8894193121839</v>
      </c>
    </row>
    <row r="34" spans="2:173" s="2" customFormat="1" x14ac:dyDescent="0.25">
      <c r="B34" s="2" t="s">
        <v>12</v>
      </c>
      <c r="D34" s="2">
        <f>+D32-D33</f>
        <v>5156</v>
      </c>
      <c r="E34" s="2">
        <f>+E32-E33</f>
        <v>3596</v>
      </c>
      <c r="F34" s="2">
        <f>+F32-F33</f>
        <v>-16.130000000002667</v>
      </c>
      <c r="G34" s="2">
        <f>+G32-G33</f>
        <v>741.57483219249093</v>
      </c>
      <c r="H34" s="2">
        <f t="shared" ref="H34:P34" si="18">+H32-H33</f>
        <v>1533.5195208030498</v>
      </c>
      <c r="I34" s="2">
        <f t="shared" si="18"/>
        <v>2089.6524200616791</v>
      </c>
      <c r="J34" s="2">
        <f t="shared" si="18"/>
        <v>2670.538920360696</v>
      </c>
      <c r="K34" s="2">
        <f t="shared" si="18"/>
        <v>3560.4899243349373</v>
      </c>
      <c r="L34" s="2">
        <f t="shared" si="18"/>
        <v>3622.6168229244167</v>
      </c>
      <c r="M34" s="2">
        <f t="shared" si="18"/>
        <v>3687.0057360023748</v>
      </c>
      <c r="N34" s="2">
        <f t="shared" si="18"/>
        <v>3753.6888450503875</v>
      </c>
      <c r="O34" s="2">
        <f t="shared" si="18"/>
        <v>3822.7001158250764</v>
      </c>
      <c r="P34" s="2">
        <f t="shared" si="18"/>
        <v>3894.0753117284294</v>
      </c>
      <c r="Q34" s="2">
        <f>+P34*(1+$S37)</f>
        <v>3933.0160648457136</v>
      </c>
      <c r="R34" s="2">
        <f t="shared" ref="R34:CC34" si="19">+Q34*(1+$S37)</f>
        <v>3972.3462254941705</v>
      </c>
      <c r="S34" s="2">
        <f t="shared" si="19"/>
        <v>4012.0696877491123</v>
      </c>
      <c r="T34" s="2">
        <f t="shared" si="19"/>
        <v>4052.1903846266036</v>
      </c>
      <c r="U34" s="2">
        <f t="shared" si="19"/>
        <v>4092.7122884728697</v>
      </c>
      <c r="V34" s="2">
        <f t="shared" si="19"/>
        <v>4133.639411357598</v>
      </c>
      <c r="W34" s="2">
        <f t="shared" si="19"/>
        <v>4174.9758054711738</v>
      </c>
      <c r="X34" s="2">
        <f t="shared" si="19"/>
        <v>4216.7255635258853</v>
      </c>
      <c r="Y34" s="2">
        <f t="shared" si="19"/>
        <v>4258.892819161144</v>
      </c>
      <c r="Z34" s="2">
        <f t="shared" si="19"/>
        <v>4301.4817473527555</v>
      </c>
      <c r="AA34" s="2">
        <f t="shared" si="19"/>
        <v>4344.4965648262832</v>
      </c>
      <c r="AB34" s="2">
        <f t="shared" si="19"/>
        <v>4387.9415304745462</v>
      </c>
      <c r="AC34" s="2">
        <f t="shared" si="19"/>
        <v>4431.8209457792918</v>
      </c>
      <c r="AD34" s="2">
        <f t="shared" si="19"/>
        <v>4476.1391552370851</v>
      </c>
      <c r="AE34" s="2">
        <f t="shared" si="19"/>
        <v>4520.9005467894558</v>
      </c>
      <c r="AF34" s="2">
        <f t="shared" si="19"/>
        <v>4566.1095522573505</v>
      </c>
      <c r="AG34" s="2">
        <f t="shared" si="19"/>
        <v>4611.7706477799238</v>
      </c>
      <c r="AH34" s="2">
        <f t="shared" si="19"/>
        <v>4657.8883542577232</v>
      </c>
      <c r="AI34" s="2">
        <f t="shared" si="19"/>
        <v>4704.4672378003006</v>
      </c>
      <c r="AJ34" s="2">
        <f t="shared" si="19"/>
        <v>4751.5119101783039</v>
      </c>
      <c r="AK34" s="2">
        <f t="shared" si="19"/>
        <v>4799.0270292800869</v>
      </c>
      <c r="AL34" s="2">
        <f t="shared" si="19"/>
        <v>4847.0172995728881</v>
      </c>
      <c r="AM34" s="2">
        <f t="shared" si="19"/>
        <v>4895.4874725686168</v>
      </c>
      <c r="AN34" s="2">
        <f t="shared" si="19"/>
        <v>4944.4423472943026</v>
      </c>
      <c r="AO34" s="2">
        <f t="shared" si="19"/>
        <v>4993.8867707672453</v>
      </c>
      <c r="AP34" s="2">
        <f t="shared" si="19"/>
        <v>5043.8256384749175</v>
      </c>
      <c r="AQ34" s="2">
        <f t="shared" si="19"/>
        <v>5094.2638948596668</v>
      </c>
      <c r="AR34" s="2">
        <f t="shared" si="19"/>
        <v>5145.2065338082639</v>
      </c>
      <c r="AS34" s="2">
        <f t="shared" si="19"/>
        <v>5196.6585991463462</v>
      </c>
      <c r="AT34" s="2">
        <f t="shared" si="19"/>
        <v>5248.6251851378101</v>
      </c>
      <c r="AU34" s="2">
        <f t="shared" si="19"/>
        <v>5301.1114369891884</v>
      </c>
      <c r="AV34" s="2">
        <f t="shared" si="19"/>
        <v>5354.1225513590807</v>
      </c>
      <c r="AW34" s="2">
        <f t="shared" si="19"/>
        <v>5407.6637768726714</v>
      </c>
      <c r="AX34" s="2">
        <f t="shared" si="19"/>
        <v>5461.7404146413983</v>
      </c>
      <c r="AY34" s="2">
        <f t="shared" si="19"/>
        <v>5516.357818787812</v>
      </c>
      <c r="AZ34" s="2">
        <f t="shared" si="19"/>
        <v>5571.5213969756905</v>
      </c>
      <c r="BA34" s="2">
        <f t="shared" si="19"/>
        <v>5627.2366109454479</v>
      </c>
      <c r="BB34" s="2">
        <f t="shared" si="19"/>
        <v>5683.5089770549021</v>
      </c>
      <c r="BC34" s="2">
        <f t="shared" si="19"/>
        <v>5740.3440668254507</v>
      </c>
      <c r="BD34" s="2">
        <f t="shared" si="19"/>
        <v>5797.7475074937056</v>
      </c>
      <c r="BE34" s="2">
        <f t="shared" si="19"/>
        <v>5855.7249825686431</v>
      </c>
      <c r="BF34" s="2">
        <f t="shared" si="19"/>
        <v>5914.2822323943292</v>
      </c>
      <c r="BG34" s="2">
        <f t="shared" si="19"/>
        <v>5973.4250547182728</v>
      </c>
      <c r="BH34" s="2">
        <f t="shared" si="19"/>
        <v>6033.1593052654553</v>
      </c>
      <c r="BI34" s="2">
        <f t="shared" si="19"/>
        <v>6093.4908983181094</v>
      </c>
      <c r="BJ34" s="2">
        <f t="shared" si="19"/>
        <v>6154.4258073012907</v>
      </c>
      <c r="BK34" s="2">
        <f t="shared" si="19"/>
        <v>6215.9700653743039</v>
      </c>
      <c r="BL34" s="2">
        <f t="shared" si="19"/>
        <v>6278.129766028047</v>
      </c>
      <c r="BM34" s="2">
        <f t="shared" si="19"/>
        <v>6340.9110636883279</v>
      </c>
      <c r="BN34" s="2">
        <f t="shared" si="19"/>
        <v>6404.3201743252112</v>
      </c>
      <c r="BO34" s="2">
        <f t="shared" si="19"/>
        <v>6468.3633760684634</v>
      </c>
      <c r="BP34" s="2">
        <f t="shared" si="19"/>
        <v>6533.047009829148</v>
      </c>
      <c r="BQ34" s="2">
        <f t="shared" si="19"/>
        <v>6598.3774799274397</v>
      </c>
      <c r="BR34" s="2">
        <f t="shared" si="19"/>
        <v>6664.3612547267139</v>
      </c>
      <c r="BS34" s="2">
        <f t="shared" si="19"/>
        <v>6731.0048672739813</v>
      </c>
      <c r="BT34" s="2">
        <f t="shared" si="19"/>
        <v>6798.3149159467212</v>
      </c>
      <c r="BU34" s="2">
        <f t="shared" si="19"/>
        <v>6866.298065106188</v>
      </c>
      <c r="BV34" s="2">
        <f t="shared" si="19"/>
        <v>6934.9610457572498</v>
      </c>
      <c r="BW34" s="2">
        <f t="shared" si="19"/>
        <v>7004.3106562148223</v>
      </c>
      <c r="BX34" s="2">
        <f t="shared" si="19"/>
        <v>7074.3537627769701</v>
      </c>
      <c r="BY34" s="2">
        <f t="shared" si="19"/>
        <v>7145.0973004047401</v>
      </c>
      <c r="BZ34" s="2">
        <f t="shared" si="19"/>
        <v>7216.5482734087873</v>
      </c>
      <c r="CA34" s="2">
        <f t="shared" si="19"/>
        <v>7288.7137561428754</v>
      </c>
      <c r="CB34" s="2">
        <f t="shared" si="19"/>
        <v>7361.6008937043043</v>
      </c>
      <c r="CC34" s="2">
        <f t="shared" si="19"/>
        <v>7435.2169026413476</v>
      </c>
      <c r="CD34" s="2">
        <f t="shared" ref="CD34:EO34" si="20">+CC34*(1+$S37)</f>
        <v>7509.5690716677609</v>
      </c>
      <c r="CE34" s="2">
        <f t="shared" si="20"/>
        <v>7584.6647623844383</v>
      </c>
      <c r="CF34" s="2">
        <f t="shared" si="20"/>
        <v>7660.5114100082828</v>
      </c>
      <c r="CG34" s="2">
        <f t="shared" si="20"/>
        <v>7737.1165241083654</v>
      </c>
      <c r="CH34" s="2">
        <f t="shared" si="20"/>
        <v>7814.4876893494493</v>
      </c>
      <c r="CI34" s="2">
        <f t="shared" si="20"/>
        <v>7892.6325662429435</v>
      </c>
      <c r="CJ34" s="2">
        <f t="shared" si="20"/>
        <v>7971.5588919053735</v>
      </c>
      <c r="CK34" s="2">
        <f t="shared" si="20"/>
        <v>8051.274480824427</v>
      </c>
      <c r="CL34" s="2">
        <f t="shared" si="20"/>
        <v>8131.7872256326709</v>
      </c>
      <c r="CM34" s="2">
        <f t="shared" si="20"/>
        <v>8213.105097888998</v>
      </c>
      <c r="CN34" s="2">
        <f t="shared" si="20"/>
        <v>8295.2361488678889</v>
      </c>
      <c r="CO34" s="2">
        <f t="shared" si="20"/>
        <v>8378.1885103565673</v>
      </c>
      <c r="CP34" s="2">
        <f t="shared" si="20"/>
        <v>8461.9703954601337</v>
      </c>
      <c r="CQ34" s="2">
        <f t="shared" si="20"/>
        <v>8546.590099414736</v>
      </c>
      <c r="CR34" s="2">
        <f t="shared" si="20"/>
        <v>8632.0560004088838</v>
      </c>
      <c r="CS34" s="2">
        <f t="shared" si="20"/>
        <v>8718.376560412973</v>
      </c>
      <c r="CT34" s="2">
        <f t="shared" si="20"/>
        <v>8805.5603260171029</v>
      </c>
      <c r="CU34" s="2">
        <f t="shared" si="20"/>
        <v>8893.6159292772736</v>
      </c>
      <c r="CV34" s="2">
        <f t="shared" si="20"/>
        <v>8982.5520885700462</v>
      </c>
      <c r="CW34" s="2">
        <f t="shared" si="20"/>
        <v>9072.377609455747</v>
      </c>
      <c r="CX34" s="2">
        <f t="shared" si="20"/>
        <v>9163.1013855503043</v>
      </c>
      <c r="CY34" s="2">
        <f t="shared" si="20"/>
        <v>9254.7323994058079</v>
      </c>
      <c r="CZ34" s="2">
        <f t="shared" si="20"/>
        <v>9347.2797233998663</v>
      </c>
      <c r="DA34" s="2">
        <f t="shared" si="20"/>
        <v>9440.7525206338651</v>
      </c>
      <c r="DB34" s="2">
        <f t="shared" si="20"/>
        <v>9535.1600458402045</v>
      </c>
      <c r="DC34" s="2">
        <f t="shared" si="20"/>
        <v>9630.5116462986061</v>
      </c>
      <c r="DD34" s="2">
        <f t="shared" si="20"/>
        <v>9726.8167627615931</v>
      </c>
      <c r="DE34" s="2">
        <f t="shared" si="20"/>
        <v>9824.0849303892082</v>
      </c>
      <c r="DF34" s="2">
        <f t="shared" si="20"/>
        <v>9922.3257796931011</v>
      </c>
      <c r="DG34" s="2">
        <f t="shared" si="20"/>
        <v>10021.549037490033</v>
      </c>
      <c r="DH34" s="2">
        <f t="shared" si="20"/>
        <v>10121.764527864932</v>
      </c>
      <c r="DI34" s="2">
        <f t="shared" si="20"/>
        <v>10222.982173143582</v>
      </c>
      <c r="DJ34" s="2">
        <f t="shared" si="20"/>
        <v>10325.211994875019</v>
      </c>
      <c r="DK34" s="2">
        <f t="shared" si="20"/>
        <v>10428.46411482377</v>
      </c>
      <c r="DL34" s="2">
        <f t="shared" si="20"/>
        <v>10532.748755972007</v>
      </c>
      <c r="DM34" s="2">
        <f t="shared" si="20"/>
        <v>10638.076243531727</v>
      </c>
      <c r="DN34" s="2">
        <f t="shared" si="20"/>
        <v>10744.457005967044</v>
      </c>
      <c r="DO34" s="2">
        <f t="shared" si="20"/>
        <v>10851.901576026714</v>
      </c>
      <c r="DP34" s="2">
        <f t="shared" si="20"/>
        <v>10960.42059178698</v>
      </c>
      <c r="DQ34" s="2">
        <f t="shared" si="20"/>
        <v>11070.024797704851</v>
      </c>
      <c r="DR34" s="2">
        <f t="shared" si="20"/>
        <v>11180.7250456819</v>
      </c>
      <c r="DS34" s="2">
        <f t="shared" si="20"/>
        <v>11292.532296138719</v>
      </c>
      <c r="DT34" s="2">
        <f t="shared" si="20"/>
        <v>11405.457619100107</v>
      </c>
      <c r="DU34" s="2">
        <f t="shared" si="20"/>
        <v>11519.512195291109</v>
      </c>
      <c r="DV34" s="2">
        <f t="shared" si="20"/>
        <v>11634.70731724402</v>
      </c>
      <c r="DW34" s="2">
        <f t="shared" si="20"/>
        <v>11751.054390416461</v>
      </c>
      <c r="DX34" s="2">
        <f t="shared" si="20"/>
        <v>11868.564934320626</v>
      </c>
      <c r="DY34" s="2">
        <f t="shared" si="20"/>
        <v>11987.250583663832</v>
      </c>
      <c r="DZ34" s="2">
        <f t="shared" si="20"/>
        <v>12107.12308950047</v>
      </c>
      <c r="EA34" s="2">
        <f t="shared" si="20"/>
        <v>12228.194320395474</v>
      </c>
      <c r="EB34" s="2">
        <f t="shared" si="20"/>
        <v>12350.476263599428</v>
      </c>
      <c r="EC34" s="2">
        <f t="shared" si="20"/>
        <v>12473.981026235422</v>
      </c>
      <c r="ED34" s="2">
        <f t="shared" si="20"/>
        <v>12598.720836497776</v>
      </c>
      <c r="EE34" s="2">
        <f t="shared" si="20"/>
        <v>12724.708044862753</v>
      </c>
      <c r="EF34" s="2">
        <f t="shared" si="20"/>
        <v>12851.95512531138</v>
      </c>
      <c r="EG34" s="2">
        <f t="shared" si="20"/>
        <v>12980.474676564494</v>
      </c>
      <c r="EH34" s="2">
        <f t="shared" si="20"/>
        <v>13110.279423330139</v>
      </c>
      <c r="EI34" s="2">
        <f t="shared" si="20"/>
        <v>13241.382217563441</v>
      </c>
      <c r="EJ34" s="2">
        <f t="shared" si="20"/>
        <v>13373.796039739076</v>
      </c>
      <c r="EK34" s="2">
        <f t="shared" si="20"/>
        <v>13507.534000136468</v>
      </c>
      <c r="EL34" s="2">
        <f t="shared" si="20"/>
        <v>13642.609340137833</v>
      </c>
      <c r="EM34" s="2">
        <f t="shared" si="20"/>
        <v>13779.035433539211</v>
      </c>
      <c r="EN34" s="2">
        <f t="shared" si="20"/>
        <v>13916.825787874603</v>
      </c>
      <c r="EO34" s="2">
        <f t="shared" si="20"/>
        <v>14055.994045753348</v>
      </c>
      <c r="EP34" s="2">
        <f t="shared" ref="EP34:FQ34" si="21">+EO34*(1+$S37)</f>
        <v>14196.553986210882</v>
      </c>
      <c r="EQ34" s="2">
        <f t="shared" si="21"/>
        <v>14338.519526072991</v>
      </c>
      <c r="ER34" s="2">
        <f t="shared" si="21"/>
        <v>14481.90472133372</v>
      </c>
      <c r="ES34" s="2">
        <f t="shared" si="21"/>
        <v>14626.723768547057</v>
      </c>
      <c r="ET34" s="2">
        <f t="shared" si="21"/>
        <v>14772.991006232527</v>
      </c>
      <c r="EU34" s="2">
        <f t="shared" si="21"/>
        <v>14920.720916294853</v>
      </c>
      <c r="EV34" s="2">
        <f t="shared" si="21"/>
        <v>15069.928125457802</v>
      </c>
      <c r="EW34" s="2">
        <f t="shared" si="21"/>
        <v>15220.62740671238</v>
      </c>
      <c r="EX34" s="2">
        <f t="shared" si="21"/>
        <v>15372.833680779504</v>
      </c>
      <c r="EY34" s="2">
        <f t="shared" si="21"/>
        <v>15526.562017587299</v>
      </c>
      <c r="EZ34" s="2">
        <f t="shared" si="21"/>
        <v>15681.827637763172</v>
      </c>
      <c r="FA34" s="2">
        <f t="shared" si="21"/>
        <v>15838.645914140803</v>
      </c>
      <c r="FB34" s="2">
        <f t="shared" si="21"/>
        <v>15997.032373282211</v>
      </c>
      <c r="FC34" s="2">
        <f t="shared" si="21"/>
        <v>16157.002697015034</v>
      </c>
      <c r="FD34" s="2">
        <f t="shared" si="21"/>
        <v>16318.572723985184</v>
      </c>
      <c r="FE34" s="2">
        <f t="shared" si="21"/>
        <v>16481.758451225036</v>
      </c>
      <c r="FF34" s="2">
        <f t="shared" si="21"/>
        <v>16646.576035737286</v>
      </c>
      <c r="FG34" s="2">
        <f t="shared" si="21"/>
        <v>16813.041796094658</v>
      </c>
      <c r="FH34" s="2">
        <f t="shared" si="21"/>
        <v>16981.172214055605</v>
      </c>
      <c r="FI34" s="2">
        <f t="shared" si="21"/>
        <v>17150.98393619616</v>
      </c>
      <c r="FJ34" s="2">
        <f t="shared" si="21"/>
        <v>17322.493775558123</v>
      </c>
      <c r="FK34" s="2">
        <f t="shared" si="21"/>
        <v>17495.718713313705</v>
      </c>
      <c r="FL34" s="2">
        <f t="shared" si="21"/>
        <v>17670.67590044684</v>
      </c>
      <c r="FM34" s="2">
        <f t="shared" si="21"/>
        <v>17847.382659451308</v>
      </c>
      <c r="FN34" s="2">
        <f t="shared" si="21"/>
        <v>18025.856486045821</v>
      </c>
      <c r="FO34" s="2">
        <f t="shared" si="21"/>
        <v>18206.115050906279</v>
      </c>
      <c r="FP34" s="2">
        <f t="shared" si="21"/>
        <v>18388.176201415343</v>
      </c>
      <c r="FQ34" s="2">
        <f t="shared" si="21"/>
        <v>18572.057963429495</v>
      </c>
    </row>
    <row r="35" spans="2:173" s="1" customFormat="1" x14ac:dyDescent="0.25">
      <c r="D35" s="4"/>
      <c r="E35" s="4"/>
    </row>
    <row r="36" spans="2:173" s="6" customFormat="1" x14ac:dyDescent="0.25">
      <c r="B36" s="6" t="s">
        <v>51</v>
      </c>
      <c r="D36" s="6">
        <f>+D22/D20</f>
        <v>0.28635578583765114</v>
      </c>
      <c r="E36" s="6">
        <f>+E22/E20</f>
        <v>0.25764039617793077</v>
      </c>
      <c r="F36" s="6">
        <f>+F22/F20</f>
        <v>0.12187313877307915</v>
      </c>
      <c r="G36" s="6">
        <f t="shared" ref="G36:P36" si="22">+G22/G20</f>
        <v>0.15</v>
      </c>
      <c r="H36" s="6">
        <f t="shared" si="22"/>
        <v>0.18000000000000002</v>
      </c>
      <c r="I36" s="6">
        <f t="shared" si="22"/>
        <v>0.2</v>
      </c>
      <c r="J36" s="6">
        <f t="shared" si="22"/>
        <v>0.21999999999999995</v>
      </c>
      <c r="K36" s="6">
        <f t="shared" si="22"/>
        <v>0.25</v>
      </c>
      <c r="L36" s="6">
        <f t="shared" si="22"/>
        <v>0.25</v>
      </c>
      <c r="M36" s="6">
        <f t="shared" si="22"/>
        <v>0.24999999999999994</v>
      </c>
      <c r="N36" s="6">
        <f t="shared" si="22"/>
        <v>0.24999999999999994</v>
      </c>
      <c r="O36" s="6">
        <f t="shared" si="22"/>
        <v>0.25</v>
      </c>
      <c r="P36" s="6">
        <f t="shared" si="22"/>
        <v>0.24999999999999992</v>
      </c>
      <c r="R36" s="6" t="s">
        <v>52</v>
      </c>
      <c r="S36" s="6">
        <v>0.1</v>
      </c>
    </row>
    <row r="37" spans="2:173" s="6" customFormat="1" x14ac:dyDescent="0.25">
      <c r="B37" s="6" t="s">
        <v>47</v>
      </c>
      <c r="D37" s="6">
        <f>+D27/D20</f>
        <v>0.17971872686898593</v>
      </c>
      <c r="E37" s="6">
        <f>+E27/E20</f>
        <v>0.14063318613876208</v>
      </c>
      <c r="F37" s="6">
        <f>+F27/F20</f>
        <v>1.4026757549687129E-3</v>
      </c>
      <c r="R37" s="6" t="s">
        <v>53</v>
      </c>
      <c r="S37" s="6">
        <v>0.01</v>
      </c>
    </row>
    <row r="38" spans="2:173" s="6" customFormat="1" x14ac:dyDescent="0.25">
      <c r="B38" s="6" t="s">
        <v>36</v>
      </c>
      <c r="D38" s="6">
        <f>+D34/D22</f>
        <v>0.4442529726003791</v>
      </c>
      <c r="E38" s="6">
        <f>+E34/E22</f>
        <v>0.3482134211290791</v>
      </c>
      <c r="F38" s="6">
        <f>+F34/F22</f>
        <v>-3.6494038326665024E-3</v>
      </c>
      <c r="R38" s="6" t="s">
        <v>54</v>
      </c>
      <c r="S38" s="1">
        <f>NPV(S36,F34:FW34)</f>
        <v>30171.832993035408</v>
      </c>
    </row>
    <row r="39" spans="2:173" s="7" customFormat="1" x14ac:dyDescent="0.25">
      <c r="B39" s="8" t="s">
        <v>40</v>
      </c>
      <c r="D39" s="7">
        <f>+D23/D$20</f>
        <v>7.078707130520602E-2</v>
      </c>
      <c r="E39" s="7">
        <f>+E23/E$20</f>
        <v>7.7314572262555198E-2</v>
      </c>
      <c r="F39" s="7">
        <f>+F23/F$20</f>
        <v>7.6161405598570583E-2</v>
      </c>
      <c r="R39" s="7" t="s">
        <v>33</v>
      </c>
      <c r="S39" s="1">
        <f>+Sheet2!C6</f>
        <v>-3966</v>
      </c>
    </row>
    <row r="40" spans="2:173" s="7" customFormat="1" x14ac:dyDescent="0.25">
      <c r="B40" s="8" t="s">
        <v>41</v>
      </c>
      <c r="D40" s="7">
        <f>+D24/D$20</f>
        <v>4.4090796940537871E-2</v>
      </c>
      <c r="E40" s="7">
        <f>+E24/E$20</f>
        <v>4.6378764064566022E-2</v>
      </c>
      <c r="F40" s="7">
        <f>+F24/F$20</f>
        <v>5.2523823704586067E-2</v>
      </c>
      <c r="R40" s="7" t="s">
        <v>55</v>
      </c>
      <c r="S40" s="1">
        <f>+S38+S39</f>
        <v>26205.832993035408</v>
      </c>
    </row>
    <row r="41" spans="2:173" s="6" customFormat="1" x14ac:dyDescent="0.25">
      <c r="B41" s="6" t="s">
        <v>37</v>
      </c>
      <c r="E41" s="6">
        <f>+E20/D20 -1</f>
        <v>-1.1028867505551432E-2</v>
      </c>
      <c r="F41" s="6">
        <f>+F20/E20 -1</f>
        <v>-9.5217423845520455E-2</v>
      </c>
      <c r="R41" s="6" t="s">
        <v>30</v>
      </c>
      <c r="S41" s="1">
        <f>+S40/Sheet2!C4</f>
        <v>57.532015352437782</v>
      </c>
    </row>
    <row r="42" spans="2:173" s="6" customFormat="1" x14ac:dyDescent="0.25">
      <c r="B42" s="6" t="s">
        <v>48</v>
      </c>
      <c r="E42" s="6">
        <f>+E11/D11 -1</f>
        <v>-2.967637975023496E-2</v>
      </c>
      <c r="F42" s="6">
        <f>+F11/E11 -1</f>
        <v>-0.10063465907993741</v>
      </c>
      <c r="R42" s="6" t="s">
        <v>56</v>
      </c>
      <c r="S42" s="1">
        <v>40.9</v>
      </c>
    </row>
    <row r="43" spans="2:173" s="1" customFormat="1" x14ac:dyDescent="0.25">
      <c r="S43" s="6">
        <f>+S41/S42 -1</f>
        <v>0.40665074211339314</v>
      </c>
    </row>
    <row r="44" spans="2:173" s="1" customFormat="1" x14ac:dyDescent="0.25">
      <c r="B44" s="1" t="s">
        <v>27</v>
      </c>
      <c r="D44" s="1">
        <v>7023</v>
      </c>
      <c r="E44" s="1">
        <v>6353</v>
      </c>
      <c r="F44" s="1">
        <f>3455*1.33</f>
        <v>4595.1500000000005</v>
      </c>
    </row>
    <row r="45" spans="2:173" s="1" customFormat="1" x14ac:dyDescent="0.25">
      <c r="B45" s="1" t="s">
        <v>28</v>
      </c>
      <c r="D45" s="1">
        <f>2016+2081</f>
        <v>4097</v>
      </c>
      <c r="E45" s="1">
        <f>2174+1583</f>
        <v>3757</v>
      </c>
      <c r="F45" s="1">
        <v>3500</v>
      </c>
    </row>
    <row r="46" spans="2:173" s="1" customFormat="1" x14ac:dyDescent="0.25">
      <c r="B46" s="1" t="s">
        <v>29</v>
      </c>
      <c r="D46" s="1">
        <f>+D44-D45</f>
        <v>2926</v>
      </c>
      <c r="E46" s="1">
        <f>+E44-E45</f>
        <v>2596</v>
      </c>
      <c r="F46" s="1">
        <f>+F44-F45</f>
        <v>1095.1500000000005</v>
      </c>
    </row>
    <row r="47" spans="2:173" s="1" customFormat="1" x14ac:dyDescent="0.25"/>
    <row r="48" spans="2:173" s="1" customFormat="1" x14ac:dyDescent="0.25">
      <c r="B48" s="1" t="s">
        <v>59</v>
      </c>
      <c r="D48" s="1">
        <v>4895</v>
      </c>
      <c r="E48" s="1">
        <v>2101</v>
      </c>
    </row>
    <row r="49" spans="2:16" s="6" customFormat="1" x14ac:dyDescent="0.25">
      <c r="B49" s="6" t="s">
        <v>60</v>
      </c>
      <c r="D49" s="6">
        <f>+D48/D34</f>
        <v>0.94937936384794419</v>
      </c>
      <c r="E49" s="6">
        <f>+E48/E34</f>
        <v>0.58426028921023354</v>
      </c>
    </row>
    <row r="50" spans="2:16" s="1" customFormat="1" x14ac:dyDescent="0.25"/>
    <row r="51" spans="2:16" s="4" customFormat="1" x14ac:dyDescent="0.25">
      <c r="B51" s="4" t="s">
        <v>61</v>
      </c>
      <c r="E51" s="4">
        <v>0.82</v>
      </c>
      <c r="F51" s="4">
        <v>0.82</v>
      </c>
    </row>
    <row r="52" spans="2:16" s="1" customFormat="1" x14ac:dyDescent="0.25">
      <c r="B52" s="1" t="s">
        <v>62</v>
      </c>
      <c r="E52" s="1">
        <f>+E51*Sheet2!$C$4</f>
        <v>373.51</v>
      </c>
      <c r="F52" s="1">
        <f>+F51*Sheet2!$C$4</f>
        <v>373.51</v>
      </c>
    </row>
    <row r="53" spans="2:16" s="1" customFormat="1" x14ac:dyDescent="0.25"/>
    <row r="54" spans="2:16" s="1" customFormat="1" x14ac:dyDescent="0.25"/>
    <row r="55" spans="2:16" s="1" customFormat="1" x14ac:dyDescent="0.25"/>
    <row r="56" spans="2:16" s="1" customFormat="1" x14ac:dyDescent="0.25">
      <c r="B56" s="1" t="s">
        <v>0</v>
      </c>
      <c r="D56" s="1">
        <v>31839</v>
      </c>
      <c r="E56" s="1">
        <v>30795</v>
      </c>
    </row>
    <row r="57" spans="2:16" s="1" customFormat="1" x14ac:dyDescent="0.25">
      <c r="B57" s="1" t="s">
        <v>1</v>
      </c>
      <c r="D57" s="1">
        <v>84</v>
      </c>
      <c r="E57" s="1">
        <v>-45</v>
      </c>
    </row>
    <row r="58" spans="2:16" s="2" customFormat="1" x14ac:dyDescent="0.25">
      <c r="B58" s="2" t="s">
        <v>2</v>
      </c>
      <c r="D58" s="2">
        <f>+D56+D57</f>
        <v>31923</v>
      </c>
      <c r="E58" s="2">
        <f>+E56+E57</f>
        <v>30750</v>
      </c>
      <c r="F58" s="2">
        <f>+F56+F57</f>
        <v>0</v>
      </c>
      <c r="G58" s="2">
        <f t="shared" ref="G58" si="23">+G56+G57</f>
        <v>0</v>
      </c>
      <c r="H58" s="2">
        <f t="shared" ref="H58" si="24">+H56+H57</f>
        <v>0</v>
      </c>
      <c r="I58" s="2">
        <f t="shared" ref="I58" si="25">+I56+I57</f>
        <v>0</v>
      </c>
      <c r="J58" s="2">
        <f t="shared" ref="J58" si="26">+J56+J57</f>
        <v>0</v>
      </c>
      <c r="K58" s="2">
        <f t="shared" ref="K58" si="27">+K56+K57</f>
        <v>0</v>
      </c>
      <c r="L58" s="2">
        <f t="shared" ref="L58" si="28">+L56+L57</f>
        <v>0</v>
      </c>
      <c r="M58" s="2">
        <f t="shared" ref="M58" si="29">+M56+M57</f>
        <v>0</v>
      </c>
      <c r="N58" s="2">
        <f t="shared" ref="N58" si="30">+N56+N57</f>
        <v>0</v>
      </c>
      <c r="O58" s="2">
        <f t="shared" ref="O58" si="31">+O56+O57</f>
        <v>0</v>
      </c>
      <c r="P58" s="2">
        <f t="shared" ref="P58" si="32">+P56+P57</f>
        <v>0</v>
      </c>
    </row>
    <row r="59" spans="2:16" s="1" customFormat="1" x14ac:dyDescent="0.25">
      <c r="B59" s="1" t="s">
        <v>3</v>
      </c>
      <c r="D59" s="1">
        <v>3155</v>
      </c>
      <c r="E59" s="1">
        <v>2337</v>
      </c>
    </row>
    <row r="60" spans="2:16" s="1" customFormat="1" x14ac:dyDescent="0.25">
      <c r="B60" s="1" t="s">
        <v>4</v>
      </c>
      <c r="D60" s="1">
        <v>18993</v>
      </c>
      <c r="E60" s="1">
        <v>18500</v>
      </c>
    </row>
    <row r="61" spans="2:16" s="1" customFormat="1" x14ac:dyDescent="0.25">
      <c r="B61" s="1" t="s">
        <v>5</v>
      </c>
      <c r="D61" s="1">
        <v>3336</v>
      </c>
      <c r="E61" s="1">
        <v>3070</v>
      </c>
    </row>
    <row r="62" spans="2:16" s="1" customFormat="1" x14ac:dyDescent="0.25">
      <c r="B62" s="1" t="s">
        <v>6</v>
      </c>
      <c r="D62" s="1">
        <v>1662</v>
      </c>
      <c r="E62" s="1">
        <v>1859</v>
      </c>
    </row>
    <row r="63" spans="2:16" s="1" customFormat="1" x14ac:dyDescent="0.25">
      <c r="B63" s="1" t="s">
        <v>7</v>
      </c>
      <c r="D63" s="1">
        <v>4580</v>
      </c>
      <c r="E63" s="1">
        <v>4840</v>
      </c>
    </row>
    <row r="64" spans="2:16" s="1" customFormat="1" x14ac:dyDescent="0.25">
      <c r="B64" s="1" t="s">
        <v>8</v>
      </c>
      <c r="D64" s="1">
        <v>1932</v>
      </c>
      <c r="E64" s="1">
        <v>535</v>
      </c>
    </row>
    <row r="65" spans="2:16" s="1" customFormat="1" x14ac:dyDescent="0.25">
      <c r="B65" s="1" t="s">
        <v>9</v>
      </c>
      <c r="D65" s="1">
        <v>37</v>
      </c>
      <c r="E65" s="1">
        <v>16</v>
      </c>
    </row>
    <row r="66" spans="2:16" s="1" customFormat="1" x14ac:dyDescent="0.25">
      <c r="B66" s="1" t="s">
        <v>10</v>
      </c>
      <c r="D66" s="1">
        <f>+D58+D59-D60-D61-D62-D63+D64-D65</f>
        <v>8402</v>
      </c>
      <c r="E66" s="1">
        <f>+E58+E59-E60-E61-E62-E63+E64-E65</f>
        <v>5337</v>
      </c>
      <c r="F66" s="1">
        <f>+F58+F59-F60-F61-F62-F63+F64-F65</f>
        <v>0</v>
      </c>
      <c r="G66" s="1">
        <f t="shared" ref="G66" si="33">+G58+G59-G60-G61-G62-G63+G64-G65</f>
        <v>0</v>
      </c>
      <c r="H66" s="1">
        <f t="shared" ref="H66" si="34">+H58+H59-H60-H61-H62-H63+H64-H65</f>
        <v>0</v>
      </c>
      <c r="I66" s="1">
        <f t="shared" ref="I66" si="35">+I58+I59-I60-I61-I62-I63+I64-I65</f>
        <v>0</v>
      </c>
      <c r="J66" s="1">
        <f t="shared" ref="J66" si="36">+J58+J59-J60-J61-J62-J63+J64-J65</f>
        <v>0</v>
      </c>
      <c r="K66" s="1">
        <f t="shared" ref="K66" si="37">+K58+K59-K60-K61-K62-K63+K64-K65</f>
        <v>0</v>
      </c>
      <c r="L66" s="1">
        <f t="shared" ref="L66" si="38">+L58+L59-L60-L61-L62-L63+L64-L65</f>
        <v>0</v>
      </c>
      <c r="M66" s="1">
        <f t="shared" ref="M66" si="39">+M58+M59-M60-M61-M62-M63+M64-M65</f>
        <v>0</v>
      </c>
      <c r="N66" s="1">
        <f t="shared" ref="N66" si="40">+N58+N59-N60-N61-N62-N63+N64-N65</f>
        <v>0</v>
      </c>
      <c r="O66" s="1">
        <f t="shared" ref="O66" si="41">+O58+O59-O60-O61-O62-O63+O64-O65</f>
        <v>0</v>
      </c>
      <c r="P66" s="1">
        <f t="shared" ref="P66" si="42">+P58+P59-P60-P61-P62-P63+P64-P65</f>
        <v>0</v>
      </c>
    </row>
    <row r="67" spans="2:16" s="1" customFormat="1" x14ac:dyDescent="0.25">
      <c r="B67" s="1" t="s">
        <v>11</v>
      </c>
      <c r="D67" s="1">
        <v>1525</v>
      </c>
      <c r="E67" s="1">
        <v>1135</v>
      </c>
    </row>
    <row r="68" spans="2:16" s="3" customFormat="1" x14ac:dyDescent="0.25">
      <c r="B68" s="3" t="s">
        <v>12</v>
      </c>
      <c r="D68" s="3">
        <f>+D66-D67</f>
        <v>6877</v>
      </c>
      <c r="E68" s="3">
        <f>+E66-E67</f>
        <v>4202</v>
      </c>
      <c r="F68" s="3">
        <f>+F66-F67</f>
        <v>0</v>
      </c>
      <c r="G68" s="3">
        <f t="shared" ref="G68" si="43">+G66-G67</f>
        <v>0</v>
      </c>
      <c r="H68" s="3">
        <f t="shared" ref="H68" si="44">+H66-H67</f>
        <v>0</v>
      </c>
      <c r="I68" s="3">
        <f t="shared" ref="I68" si="45">+I66-I67</f>
        <v>0</v>
      </c>
      <c r="J68" s="3">
        <f t="shared" ref="J68" si="46">+J66-J67</f>
        <v>0</v>
      </c>
      <c r="K68" s="3">
        <f t="shared" ref="K68" si="47">+K66-K67</f>
        <v>0</v>
      </c>
      <c r="L68" s="3">
        <f t="shared" ref="L68" si="48">+L66-L67</f>
        <v>0</v>
      </c>
      <c r="M68" s="3">
        <f t="shared" ref="M68" si="49">+M66-M67</f>
        <v>0</v>
      </c>
      <c r="N68" s="3">
        <f t="shared" ref="N68" si="50">+N66-N67</f>
        <v>0</v>
      </c>
      <c r="O68" s="3">
        <f t="shared" ref="O68" si="51">+O66-O67</f>
        <v>0</v>
      </c>
      <c r="P68" s="3">
        <f t="shared" ref="P68" si="52">+P66-P67</f>
        <v>0</v>
      </c>
    </row>
    <row r="69" spans="2:16" s="1" customFormat="1" x14ac:dyDescent="0.25">
      <c r="B69" s="1" t="s">
        <v>13</v>
      </c>
      <c r="D69" s="1">
        <v>37</v>
      </c>
      <c r="E69" s="1">
        <v>26</v>
      </c>
    </row>
    <row r="70" spans="2:16" s="2" customFormat="1" x14ac:dyDescent="0.25">
      <c r="B70" s="2" t="s">
        <v>14</v>
      </c>
      <c r="D70" s="2">
        <f>+D68-D69</f>
        <v>6840</v>
      </c>
      <c r="E70" s="2">
        <f>+E68-E69</f>
        <v>4176</v>
      </c>
      <c r="F70" s="2">
        <f>+F68-F69</f>
        <v>0</v>
      </c>
      <c r="G70" s="2">
        <f t="shared" ref="G70" si="53">+G68-G69</f>
        <v>0</v>
      </c>
      <c r="H70" s="2">
        <f t="shared" ref="H70" si="54">+H68-H69</f>
        <v>0</v>
      </c>
      <c r="I70" s="2">
        <f t="shared" ref="I70" si="55">+I68-I69</f>
        <v>0</v>
      </c>
      <c r="J70" s="2">
        <f t="shared" ref="J70" si="56">+J68-J69</f>
        <v>0</v>
      </c>
      <c r="K70" s="2">
        <f t="shared" ref="K70" si="57">+K68-K69</f>
        <v>0</v>
      </c>
      <c r="L70" s="2">
        <f t="shared" ref="L70" si="58">+L68-L69</f>
        <v>0</v>
      </c>
      <c r="M70" s="2">
        <f t="shared" ref="M70" si="59">+M68-M69</f>
        <v>0</v>
      </c>
      <c r="N70" s="2">
        <f t="shared" ref="N70" si="60">+N68-N69</f>
        <v>0</v>
      </c>
      <c r="O70" s="2">
        <f t="shared" ref="O70" si="61">+O68-O69</f>
        <v>0</v>
      </c>
      <c r="P70" s="2">
        <f t="shared" ref="P70" si="62">+P68-P69</f>
        <v>0</v>
      </c>
    </row>
    <row r="71" spans="2:16" s="1" customFormat="1" x14ac:dyDescent="0.25"/>
    <row r="72" spans="2:16" s="1" customFormat="1" x14ac:dyDescent="0.25"/>
    <row r="73" spans="2:16" s="1" customFormat="1" x14ac:dyDescent="0.25"/>
    <row r="74" spans="2:16" s="1" customFormat="1" x14ac:dyDescent="0.25"/>
    <row r="75" spans="2:16" s="1" customFormat="1" x14ac:dyDescent="0.25"/>
    <row r="76" spans="2:16" s="1" customFormat="1" x14ac:dyDescent="0.25"/>
    <row r="77" spans="2:16" s="1" customFormat="1" x14ac:dyDescent="0.25"/>
    <row r="78" spans="2:16" s="1" customFormat="1" x14ac:dyDescent="0.25"/>
    <row r="79" spans="2:16" s="1" customFormat="1" x14ac:dyDescent="0.25"/>
    <row r="80" spans="2:16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2026-02-10T14:33:10Z</dcterms:created>
  <dcterms:modified xsi:type="dcterms:W3CDTF">2026-02-10T15:33:13Z</dcterms:modified>
</cp:coreProperties>
</file>