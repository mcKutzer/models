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EEAD8621-A70E-4654-BFA4-87F9824A6B41}" xr6:coauthVersionLast="47" xr6:coauthVersionMax="47" xr10:uidLastSave="{00000000-0000-0000-0000-000000000000}"/>
  <bookViews>
    <workbookView xWindow="-14460" yWindow="1200" windowWidth="13500" windowHeight="11430" xr2:uid="{C3DDCDD9-2696-41DD-99B4-0453C6EF220B}"/>
  </bookViews>
  <sheets>
    <sheet name="Sheet1" sheetId="1" r:id="rId1"/>
  </sheets>
  <externalReferences>
    <externalReference r:id="rId2"/>
  </externalReferences>
  <definedNames>
    <definedName name="TR">Sheet1!$Q$29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4" i="1" l="1"/>
  <c r="G19" i="1"/>
  <c r="H19" i="1" s="1"/>
  <c r="I19" i="1" s="1"/>
  <c r="J19" i="1" s="1"/>
  <c r="K19" i="1" s="1"/>
  <c r="L19" i="1" s="1"/>
  <c r="M19" i="1" s="1"/>
  <c r="N19" i="1" s="1"/>
  <c r="F19" i="1"/>
  <c r="F18" i="1"/>
  <c r="G18" i="1" s="1"/>
  <c r="H18" i="1" s="1"/>
  <c r="I18" i="1" s="1"/>
  <c r="J18" i="1" s="1"/>
  <c r="K18" i="1" s="1"/>
  <c r="L18" i="1" s="1"/>
  <c r="M18" i="1" s="1"/>
  <c r="N18" i="1" s="1"/>
  <c r="G15" i="1"/>
  <c r="H15" i="1" s="1"/>
  <c r="I15" i="1" s="1"/>
  <c r="J15" i="1" s="1"/>
  <c r="K15" i="1" s="1"/>
  <c r="L15" i="1" s="1"/>
  <c r="M15" i="1" s="1"/>
  <c r="N15" i="1" s="1"/>
  <c r="F15" i="1"/>
  <c r="E28" i="1"/>
  <c r="D28" i="1"/>
  <c r="E27" i="1"/>
  <c r="D27" i="1"/>
  <c r="D29" i="1"/>
  <c r="E29" i="1"/>
  <c r="E4" i="1"/>
  <c r="G9" i="1"/>
  <c r="G11" i="1" s="1"/>
  <c r="H9" i="1"/>
  <c r="I9" i="1"/>
  <c r="I16" i="1" s="1"/>
  <c r="J9" i="1"/>
  <c r="J11" i="1" s="1"/>
  <c r="K9" i="1"/>
  <c r="K29" i="1" s="1"/>
  <c r="L9" i="1"/>
  <c r="M9" i="1"/>
  <c r="M11" i="1" s="1"/>
  <c r="N9" i="1"/>
  <c r="N11" i="1" s="1"/>
  <c r="F9" i="1"/>
  <c r="F11" i="1" s="1"/>
  <c r="C4" i="1"/>
  <c r="C5" i="1"/>
  <c r="D5" i="1"/>
  <c r="E5" i="1"/>
  <c r="D45" i="1"/>
  <c r="E39" i="1"/>
  <c r="Q31" i="1" s="1"/>
  <c r="D39" i="1"/>
  <c r="D43" i="1" s="1"/>
  <c r="E22" i="1"/>
  <c r="D22" i="1"/>
  <c r="E20" i="1"/>
  <c r="F20" i="1" s="1"/>
  <c r="G20" i="1" s="1"/>
  <c r="H20" i="1" s="1"/>
  <c r="I20" i="1" s="1"/>
  <c r="J20" i="1" s="1"/>
  <c r="K20" i="1" s="1"/>
  <c r="L20" i="1" s="1"/>
  <c r="M20" i="1" s="1"/>
  <c r="N20" i="1" s="1"/>
  <c r="D20" i="1"/>
  <c r="E33" i="1"/>
  <c r="D33" i="1"/>
  <c r="D4" i="1"/>
  <c r="D11" i="1"/>
  <c r="D17" i="1" s="1"/>
  <c r="D25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E45" i="1" l="1"/>
  <c r="H29" i="1"/>
  <c r="E43" i="1"/>
  <c r="L29" i="1"/>
  <c r="M13" i="1"/>
  <c r="M27" i="1" s="1"/>
  <c r="K13" i="1"/>
  <c r="K27" i="1" s="1"/>
  <c r="L14" i="1"/>
  <c r="L28" i="1" s="1"/>
  <c r="M16" i="1"/>
  <c r="J14" i="1"/>
  <c r="J28" i="1" s="1"/>
  <c r="K16" i="1"/>
  <c r="L13" i="1"/>
  <c r="L27" i="1" s="1"/>
  <c r="K14" i="1"/>
  <c r="K28" i="1" s="1"/>
  <c r="L16" i="1"/>
  <c r="J13" i="1"/>
  <c r="J27" i="1" s="1"/>
  <c r="I14" i="1"/>
  <c r="I28" i="1" s="1"/>
  <c r="J16" i="1"/>
  <c r="I13" i="1"/>
  <c r="I27" i="1" s="1"/>
  <c r="H14" i="1"/>
  <c r="H28" i="1" s="1"/>
  <c r="G29" i="1"/>
  <c r="H13" i="1"/>
  <c r="H27" i="1" s="1"/>
  <c r="G14" i="1"/>
  <c r="G28" i="1" s="1"/>
  <c r="H16" i="1"/>
  <c r="G13" i="1"/>
  <c r="G27" i="1" s="1"/>
  <c r="G16" i="1"/>
  <c r="F14" i="1"/>
  <c r="F28" i="1" s="1"/>
  <c r="F13" i="1"/>
  <c r="F27" i="1" s="1"/>
  <c r="N14" i="1"/>
  <c r="N28" i="1" s="1"/>
  <c r="F16" i="1"/>
  <c r="I29" i="1"/>
  <c r="N13" i="1"/>
  <c r="N27" i="1" s="1"/>
  <c r="M14" i="1"/>
  <c r="M28" i="1" s="1"/>
  <c r="N16" i="1"/>
  <c r="F29" i="1"/>
  <c r="N29" i="1"/>
  <c r="L11" i="1"/>
  <c r="M29" i="1"/>
  <c r="I11" i="1"/>
  <c r="J29" i="1"/>
  <c r="K11" i="1"/>
  <c r="H11" i="1"/>
  <c r="D21" i="1"/>
  <c r="E11" i="1"/>
  <c r="E17" i="1" s="1"/>
  <c r="E21" i="1" s="1"/>
  <c r="E23" i="1" s="1"/>
  <c r="E26" i="1" s="1"/>
  <c r="D23" i="1"/>
  <c r="D26" i="1" s="1"/>
  <c r="F17" i="1" l="1"/>
  <c r="F25" i="1" s="1"/>
  <c r="H17" i="1"/>
  <c r="G17" i="1"/>
  <c r="F21" i="1"/>
  <c r="H21" i="1"/>
  <c r="H25" i="1"/>
  <c r="G21" i="1"/>
  <c r="G25" i="1"/>
  <c r="F22" i="1"/>
  <c r="F23" i="1" s="1"/>
  <c r="I17" i="1"/>
  <c r="J17" i="1"/>
  <c r="E25" i="1"/>
  <c r="F26" i="1" l="1"/>
  <c r="I21" i="1"/>
  <c r="I25" i="1"/>
  <c r="G22" i="1"/>
  <c r="G23" i="1" s="1"/>
  <c r="G26" i="1" s="1"/>
  <c r="J21" i="1"/>
  <c r="J25" i="1"/>
  <c r="H22" i="1"/>
  <c r="H23" i="1" s="1"/>
  <c r="H26" i="1" s="1"/>
  <c r="K17" i="1"/>
  <c r="K21" i="1" l="1"/>
  <c r="K25" i="1"/>
  <c r="J22" i="1"/>
  <c r="J23" i="1" s="1"/>
  <c r="J26" i="1" s="1"/>
  <c r="I22" i="1"/>
  <c r="I23" i="1" s="1"/>
  <c r="I26" i="1" s="1"/>
  <c r="L17" i="1"/>
  <c r="L21" i="1" l="1"/>
  <c r="L25" i="1"/>
  <c r="K22" i="1"/>
  <c r="K23" i="1" s="1"/>
  <c r="K26" i="1" s="1"/>
  <c r="M17" i="1"/>
  <c r="M21" i="1" l="1"/>
  <c r="M25" i="1"/>
  <c r="L22" i="1"/>
  <c r="L23" i="1" s="1"/>
  <c r="L26" i="1" s="1"/>
  <c r="N17" i="1"/>
  <c r="N21" i="1" l="1"/>
  <c r="N25" i="1"/>
  <c r="M22" i="1"/>
  <c r="M23" i="1" s="1"/>
  <c r="M26" i="1" l="1"/>
  <c r="N22" i="1"/>
  <c r="N23" i="1" s="1"/>
  <c r="N26" i="1" l="1"/>
  <c r="O23" i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Q30" i="1" s="1"/>
  <c r="Q32" i="1" s="1"/>
</calcChain>
</file>

<file path=xl/sharedStrings.xml><?xml version="1.0" encoding="utf-8"?>
<sst xmlns="http://schemas.openxmlformats.org/spreadsheetml/2006/main" count="40" uniqueCount="40">
  <si>
    <t>Revenue</t>
  </si>
  <si>
    <t>other</t>
  </si>
  <si>
    <t>Total Revenue</t>
  </si>
  <si>
    <t>Other income</t>
  </si>
  <si>
    <t>Materialaufwand</t>
  </si>
  <si>
    <t>D&amp;A</t>
  </si>
  <si>
    <t>Other</t>
  </si>
  <si>
    <t>EBIT</t>
  </si>
  <si>
    <t>Interest Income</t>
  </si>
  <si>
    <t>Interest Expense</t>
  </si>
  <si>
    <t>Pretax</t>
  </si>
  <si>
    <t>Taxes</t>
  </si>
  <si>
    <t>Net Income</t>
  </si>
  <si>
    <t>EBIT Margin</t>
  </si>
  <si>
    <t>Net Margin</t>
  </si>
  <si>
    <t>CFFO</t>
  </si>
  <si>
    <t>CapEx</t>
  </si>
  <si>
    <t>FCF</t>
  </si>
  <si>
    <t>Personalaufwand</t>
  </si>
  <si>
    <t>Equity Income</t>
  </si>
  <si>
    <t>Cash</t>
  </si>
  <si>
    <t>Equity Anteile</t>
  </si>
  <si>
    <t>PP&amp;E</t>
  </si>
  <si>
    <t>Debt</t>
  </si>
  <si>
    <t>Leasing</t>
  </si>
  <si>
    <t>NAV</t>
  </si>
  <si>
    <t>Provisions</t>
  </si>
  <si>
    <t>Cost of Debt</t>
  </si>
  <si>
    <t>Anteil VW Europe</t>
  </si>
  <si>
    <t>Anteil VW Global</t>
  </si>
  <si>
    <t>Revenue Y/Y</t>
  </si>
  <si>
    <t>Material/Rev</t>
  </si>
  <si>
    <t>Personal/Rev</t>
  </si>
  <si>
    <t>Discount</t>
  </si>
  <si>
    <t>Terminal</t>
  </si>
  <si>
    <t>NPV</t>
  </si>
  <si>
    <t>net Cash</t>
  </si>
  <si>
    <t>Value</t>
  </si>
  <si>
    <t>Shares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</si>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</sst>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630621</xdr:colOff>
      <xdr:row>7</xdr:row>
      <xdr:rowOff>164224</xdr:rowOff>
    </xdr:from>
    <xdr:to>
      <xdr:col>5</xdr:col>
      <xdr:colOff>13138</xdr:colOff>
      <xdr:row>45</xdr:row>
      <xdr:rowOff>111672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F967CB-DC03-F31C-5AD8-5DEFCEEBC4E7}"/>
            </a:ext>
          </a:extLst>
        </xdr:cNvPr>
        <xdr:cNvCxnSpPr/>
      </xdr:nvCxnSpPr>
      <xdr:spPr>
        <a:xfrm>
          <a:off x="3218793" y="1497724"/>
          <a:ext cx="19707" cy="66149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kut\Desktop\Stonks\Analysis\VW.xlsx" TargetMode="External"/><Relationship Id="rId1" Type="http://schemas.openxmlformats.org/officeDocument/2006/relationships/externalLinkPath" Target="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4">
          <cell r="Q4">
            <v>3141434</v>
          </cell>
          <cell r="R4">
            <v>3204262.68</v>
          </cell>
        </row>
        <row r="10">
          <cell r="Q10">
            <v>8901338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D371-A598-455C-B5D4-39CCB7CEF0FD}">
  <dimension ref="B1:CO143"/>
  <sheetViews>
    <sheetView tabSelected="1" zoomScale="145" zoomScaleNormal="145" workbookViewId="0">
      <pane xSplit="2" ySplit="2" topLeftCell="M24" activePane="bottomRight" state="frozen"/>
      <selection pane="topRight" activeCell="C1" sqref="C1"/>
      <selection pane="bottomLeft" activeCell="A3" sqref="A3"/>
      <selection pane="bottomRight" activeCell="Q35" sqref="Q35"/>
    </sheetView>
  </sheetViews>
  <sheetFormatPr defaultRowHeight="15" x14ac:dyDescent="0.25"/>
  <cols>
    <col min="1" max="1" width="2.85546875" customWidth="1"/>
    <col min="2" max="2" width="17.28515625" bestFit="1" customWidth="1"/>
    <col min="4" max="14" width="9.5703125" bestFit="1" customWidth="1"/>
  </cols>
  <sheetData>
    <row r="1" spans="2:14" x14ac:dyDescent="0.25">
      <c r="B1">
        <v>60</v>
      </c>
    </row>
    <row r="2" spans="2:14" x14ac:dyDescent="0.25">
      <c r="C2">
        <v>2021</v>
      </c>
      <c r="D2">
        <f>+C2+1</f>
        <v>2022</v>
      </c>
      <c r="E2">
        <f>+D2+1</f>
        <v>2023</v>
      </c>
      <c r="F2">
        <f>+E2+1</f>
        <v>2024</v>
      </c>
      <c r="G2">
        <f t="shared" ref="G2:N2" si="0">+F2+1</f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</row>
    <row r="4" spans="2:14" s="6" customFormat="1" x14ac:dyDescent="0.25">
      <c r="B4" s="6" t="s">
        <v>28</v>
      </c>
      <c r="C4" s="6">
        <f>+C9/[1]Model!$Q$4</f>
        <v>0.2691668836588641</v>
      </c>
      <c r="D4" s="6">
        <f>+D9/[1]Model!$Q$4</f>
        <v>0.32102377449279534</v>
      </c>
      <c r="E4" s="6">
        <f>+E9/[1]Model!$Q$4</f>
        <v>0.36824265606089446</v>
      </c>
      <c r="F4" s="6">
        <v>0.4</v>
      </c>
      <c r="G4" s="6">
        <v>0.42</v>
      </c>
      <c r="H4" s="6">
        <v>0.44</v>
      </c>
      <c r="I4" s="6">
        <v>0.46</v>
      </c>
      <c r="J4" s="6">
        <v>0.48</v>
      </c>
      <c r="K4" s="6">
        <v>0.5</v>
      </c>
      <c r="L4" s="6">
        <v>0.52</v>
      </c>
      <c r="M4" s="6">
        <v>0.54</v>
      </c>
      <c r="N4" s="6">
        <v>0.56000000000000005</v>
      </c>
    </row>
    <row r="5" spans="2:14" s="6" customFormat="1" x14ac:dyDescent="0.25">
      <c r="B5" s="6" t="s">
        <v>29</v>
      </c>
      <c r="C5" s="6">
        <f>+C9/[1]Model!$Q$10</f>
        <v>9.4993584110613483E-2</v>
      </c>
      <c r="D5" s="6">
        <f>+D9/[1]Model!$Q$10</f>
        <v>0.11329476534875993</v>
      </c>
      <c r="E5" s="6">
        <f>+E9/[1]Model!$Q$10</f>
        <v>0.12995911401184856</v>
      </c>
    </row>
    <row r="8" spans="2:14" s="1" customFormat="1" x14ac:dyDescent="0.25"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s="2" customFormat="1" x14ac:dyDescent="0.25">
      <c r="B9" s="2" t="s">
        <v>0</v>
      </c>
      <c r="C9" s="2">
        <v>845570</v>
      </c>
      <c r="D9" s="2">
        <v>1008475</v>
      </c>
      <c r="E9" s="2">
        <v>1156810</v>
      </c>
      <c r="F9" s="2">
        <f>+F4*[1]Model!$R$4</f>
        <v>1281705.0720000002</v>
      </c>
      <c r="G9" s="2">
        <f>+G4*[1]Model!$R$4</f>
        <v>1345790.3256000001</v>
      </c>
      <c r="H9" s="2">
        <f>+H4*[1]Model!$R$4</f>
        <v>1409875.5792</v>
      </c>
      <c r="I9" s="2">
        <f>+I4*[1]Model!$R$4</f>
        <v>1473960.8328000002</v>
      </c>
      <c r="J9" s="2">
        <f>+J4*[1]Model!$R$4</f>
        <v>1538046.0863999999</v>
      </c>
      <c r="K9" s="2">
        <f>+K4*[1]Model!$R$4</f>
        <v>1602131.34</v>
      </c>
      <c r="L9" s="2">
        <f>+L4*[1]Model!$R$4</f>
        <v>1666216.5936000003</v>
      </c>
      <c r="M9" s="2">
        <f>+M4*[1]Model!$R$4</f>
        <v>1730301.8472000002</v>
      </c>
      <c r="N9" s="2">
        <f>+N4*[1]Model!$R$4</f>
        <v>1794387.1008000004</v>
      </c>
    </row>
    <row r="10" spans="2:14" s="1" customFormat="1" x14ac:dyDescent="0.25">
      <c r="B10" s="1" t="s">
        <v>1</v>
      </c>
      <c r="D10" s="1">
        <v>684</v>
      </c>
      <c r="E10" s="1">
        <v>601</v>
      </c>
      <c r="F10" s="1">
        <v>500</v>
      </c>
      <c r="G10" s="1">
        <v>500</v>
      </c>
      <c r="H10" s="1">
        <v>500</v>
      </c>
      <c r="I10" s="1">
        <v>500</v>
      </c>
      <c r="J10" s="1">
        <v>500</v>
      </c>
      <c r="K10" s="1">
        <v>500</v>
      </c>
      <c r="L10" s="1">
        <v>500</v>
      </c>
      <c r="M10" s="1">
        <v>500</v>
      </c>
      <c r="N10" s="1">
        <v>500</v>
      </c>
    </row>
    <row r="11" spans="2:14" s="1" customFormat="1" x14ac:dyDescent="0.25">
      <c r="B11" s="1" t="s">
        <v>2</v>
      </c>
      <c r="D11" s="1">
        <f t="shared" ref="D11:F11" si="1">+D9+D10</f>
        <v>1009159</v>
      </c>
      <c r="E11" s="1">
        <f t="shared" si="1"/>
        <v>1157411</v>
      </c>
      <c r="F11" s="1">
        <f t="shared" si="1"/>
        <v>1282205.0720000002</v>
      </c>
      <c r="G11" s="1">
        <f t="shared" ref="G11" si="2">+G9+G10</f>
        <v>1346290.3256000001</v>
      </c>
      <c r="H11" s="1">
        <f t="shared" ref="H11" si="3">+H9+H10</f>
        <v>1410375.5792</v>
      </c>
      <c r="I11" s="1">
        <f t="shared" ref="I11" si="4">+I9+I10</f>
        <v>1474460.8328000002</v>
      </c>
      <c r="J11" s="1">
        <f t="shared" ref="J11" si="5">+J9+J10</f>
        <v>1538546.0863999999</v>
      </c>
      <c r="K11" s="1">
        <f t="shared" ref="K11" si="6">+K9+K10</f>
        <v>1602631.34</v>
      </c>
      <c r="L11" s="1">
        <f t="shared" ref="L11" si="7">+L9+L10</f>
        <v>1666716.5936000003</v>
      </c>
      <c r="M11" s="1">
        <f t="shared" ref="M11" si="8">+M9+M10</f>
        <v>1730801.8472000002</v>
      </c>
      <c r="N11" s="1">
        <f t="shared" ref="N11" si="9">+N9+N10</f>
        <v>1794887.1008000004</v>
      </c>
    </row>
    <row r="12" spans="2:14" s="1" customFormat="1" x14ac:dyDescent="0.25">
      <c r="B12" s="1" t="s">
        <v>3</v>
      </c>
      <c r="D12" s="1">
        <v>19806</v>
      </c>
      <c r="E12" s="1">
        <v>12138</v>
      </c>
      <c r="F12" s="1">
        <v>10000</v>
      </c>
      <c r="G12" s="1">
        <v>10000</v>
      </c>
      <c r="H12" s="1">
        <v>10000</v>
      </c>
      <c r="I12" s="1">
        <v>10000</v>
      </c>
      <c r="J12" s="1">
        <v>10000</v>
      </c>
      <c r="K12" s="1">
        <v>10000</v>
      </c>
      <c r="L12" s="1">
        <v>10000</v>
      </c>
      <c r="M12" s="1">
        <v>10000</v>
      </c>
      <c r="N12" s="1">
        <v>10000</v>
      </c>
    </row>
    <row r="13" spans="2:14" s="1" customFormat="1" x14ac:dyDescent="0.25">
      <c r="B13" s="1" t="s">
        <v>4</v>
      </c>
      <c r="D13" s="1">
        <v>108904</v>
      </c>
      <c r="E13" s="1">
        <v>132194</v>
      </c>
      <c r="F13" s="1">
        <f>+F9*0.12</f>
        <v>153804.60864000002</v>
      </c>
      <c r="G13" s="1">
        <f t="shared" ref="G13:N13" si="10">+G9*0.12</f>
        <v>161494.839072</v>
      </c>
      <c r="H13" s="1">
        <f t="shared" si="10"/>
        <v>169185.06950399998</v>
      </c>
      <c r="I13" s="1">
        <f t="shared" si="10"/>
        <v>176875.29993600002</v>
      </c>
      <c r="J13" s="1">
        <f t="shared" si="10"/>
        <v>184565.53036799998</v>
      </c>
      <c r="K13" s="1">
        <f t="shared" si="10"/>
        <v>192255.76079999999</v>
      </c>
      <c r="L13" s="1">
        <f t="shared" si="10"/>
        <v>199945.99123200003</v>
      </c>
      <c r="M13" s="1">
        <f t="shared" si="10"/>
        <v>207636.22166400001</v>
      </c>
      <c r="N13" s="1">
        <f t="shared" si="10"/>
        <v>215326.45209600002</v>
      </c>
    </row>
    <row r="14" spans="2:14" s="1" customFormat="1" x14ac:dyDescent="0.25">
      <c r="B14" s="1" t="s">
        <v>18</v>
      </c>
      <c r="D14" s="1">
        <v>740314</v>
      </c>
      <c r="E14" s="1">
        <v>839677</v>
      </c>
      <c r="F14" s="1">
        <f>+F9*0.725</f>
        <v>929236.17720000003</v>
      </c>
      <c r="G14" s="1">
        <f t="shared" ref="G14:N14" si="11">+G9*0.725</f>
        <v>975697.98606000002</v>
      </c>
      <c r="H14" s="1">
        <f t="shared" si="11"/>
        <v>1022159.79492</v>
      </c>
      <c r="I14" s="1">
        <f t="shared" si="11"/>
        <v>1068621.60378</v>
      </c>
      <c r="J14" s="1">
        <f t="shared" si="11"/>
        <v>1115083.41264</v>
      </c>
      <c r="K14" s="1">
        <f t="shared" si="11"/>
        <v>1161545.2215</v>
      </c>
      <c r="L14" s="1">
        <f t="shared" si="11"/>
        <v>1208007.0303600002</v>
      </c>
      <c r="M14" s="1">
        <f t="shared" si="11"/>
        <v>1254468.8392200002</v>
      </c>
      <c r="N14" s="1">
        <f t="shared" si="11"/>
        <v>1300930.6480800002</v>
      </c>
    </row>
    <row r="15" spans="2:14" s="1" customFormat="1" x14ac:dyDescent="0.25">
      <c r="B15" s="1" t="s">
        <v>5</v>
      </c>
      <c r="D15" s="1">
        <v>56976</v>
      </c>
      <c r="E15" s="1">
        <v>56247</v>
      </c>
      <c r="F15" s="1">
        <f>+E15*0.995</f>
        <v>55965.764999999999</v>
      </c>
      <c r="G15" s="1">
        <f t="shared" ref="G15:N15" si="12">+F15*0.995</f>
        <v>55685.936175000003</v>
      </c>
      <c r="H15" s="1">
        <f t="shared" si="12"/>
        <v>55407.506494125002</v>
      </c>
      <c r="I15" s="1">
        <f t="shared" si="12"/>
        <v>55130.468961654376</v>
      </c>
      <c r="J15" s="1">
        <f t="shared" si="12"/>
        <v>54854.816616846103</v>
      </c>
      <c r="K15" s="1">
        <f t="shared" si="12"/>
        <v>54580.542533761873</v>
      </c>
      <c r="L15" s="1">
        <f t="shared" si="12"/>
        <v>54307.639821093064</v>
      </c>
      <c r="M15" s="1">
        <f t="shared" si="12"/>
        <v>54036.101621987596</v>
      </c>
      <c r="N15" s="1">
        <f t="shared" si="12"/>
        <v>53765.921113877659</v>
      </c>
    </row>
    <row r="16" spans="2:14" s="1" customFormat="1" x14ac:dyDescent="0.25">
      <c r="B16" s="1" t="s">
        <v>6</v>
      </c>
      <c r="D16" s="1">
        <v>81108</v>
      </c>
      <c r="E16" s="1">
        <v>91351</v>
      </c>
      <c r="F16" s="1">
        <f>+F9*0.08</f>
        <v>102536.40576000001</v>
      </c>
      <c r="G16" s="1">
        <f t="shared" ref="G16:N16" si="13">+G9*0.08</f>
        <v>107663.22604800001</v>
      </c>
      <c r="H16" s="1">
        <f t="shared" si="13"/>
        <v>112790.046336</v>
      </c>
      <c r="I16" s="1">
        <f t="shared" si="13"/>
        <v>117916.86662400002</v>
      </c>
      <c r="J16" s="1">
        <f t="shared" si="13"/>
        <v>123043.68691199999</v>
      </c>
      <c r="K16" s="1">
        <f t="shared" si="13"/>
        <v>128170.50720000001</v>
      </c>
      <c r="L16" s="1">
        <f t="shared" si="13"/>
        <v>133297.32748800001</v>
      </c>
      <c r="M16" s="1">
        <f t="shared" si="13"/>
        <v>138424.14777600003</v>
      </c>
      <c r="N16" s="1">
        <f t="shared" si="13"/>
        <v>143550.96806400004</v>
      </c>
    </row>
    <row r="17" spans="2:93" s="1" customFormat="1" x14ac:dyDescent="0.25">
      <c r="B17" s="1" t="s">
        <v>7</v>
      </c>
      <c r="D17" s="1">
        <f>+D11+D12-D13-D14-D15-D16</f>
        <v>41663</v>
      </c>
      <c r="E17" s="1">
        <f>+E11+E12-E13-E14-E15-E16</f>
        <v>50080</v>
      </c>
      <c r="F17" s="1">
        <f>+F11+F12-F13-F14-F15-F16</f>
        <v>50662.115400000112</v>
      </c>
      <c r="G17" s="1">
        <f t="shared" ref="G17:N17" si="14">+G11+G12-G13-G14-G15-G16</f>
        <v>55748.33824500005</v>
      </c>
      <c r="H17" s="1">
        <f t="shared" si="14"/>
        <v>60833.161945875006</v>
      </c>
      <c r="I17" s="1">
        <f t="shared" si="14"/>
        <v>65916.593498345785</v>
      </c>
      <c r="J17" s="1">
        <f t="shared" si="14"/>
        <v>70998.639863153789</v>
      </c>
      <c r="K17" s="1">
        <f t="shared" si="14"/>
        <v>76079.307966238164</v>
      </c>
      <c r="L17" s="1">
        <f t="shared" si="14"/>
        <v>81158.604698906915</v>
      </c>
      <c r="M17" s="1">
        <f t="shared" si="14"/>
        <v>86236.536918012309</v>
      </c>
      <c r="N17" s="1">
        <f t="shared" si="14"/>
        <v>91313.111446122377</v>
      </c>
    </row>
    <row r="18" spans="2:93" s="1" customFormat="1" x14ac:dyDescent="0.25">
      <c r="B18" s="1" t="s">
        <v>19</v>
      </c>
      <c r="D18" s="1">
        <v>575</v>
      </c>
      <c r="E18" s="1">
        <v>577</v>
      </c>
      <c r="F18" s="1">
        <f>+E18+3</f>
        <v>580</v>
      </c>
      <c r="G18" s="1">
        <f t="shared" ref="G18:N18" si="15">+F18+3</f>
        <v>583</v>
      </c>
      <c r="H18" s="1">
        <f t="shared" si="15"/>
        <v>586</v>
      </c>
      <c r="I18" s="1">
        <f t="shared" si="15"/>
        <v>589</v>
      </c>
      <c r="J18" s="1">
        <f t="shared" si="15"/>
        <v>592</v>
      </c>
      <c r="K18" s="1">
        <f t="shared" si="15"/>
        <v>595</v>
      </c>
      <c r="L18" s="1">
        <f t="shared" si="15"/>
        <v>598</v>
      </c>
      <c r="M18" s="1">
        <f t="shared" si="15"/>
        <v>601</v>
      </c>
      <c r="N18" s="1">
        <f t="shared" si="15"/>
        <v>604</v>
      </c>
    </row>
    <row r="19" spans="2:93" s="1" customFormat="1" x14ac:dyDescent="0.25">
      <c r="B19" s="1" t="s">
        <v>8</v>
      </c>
      <c r="D19" s="1">
        <v>141</v>
      </c>
      <c r="E19" s="1">
        <v>2120</v>
      </c>
      <c r="F19" s="1">
        <f>+E19*0.75</f>
        <v>1590</v>
      </c>
      <c r="G19" s="1">
        <f t="shared" ref="G19:N19" si="16">+F19*0.75</f>
        <v>1192.5</v>
      </c>
      <c r="H19" s="1">
        <f t="shared" si="16"/>
        <v>894.375</v>
      </c>
      <c r="I19" s="1">
        <f t="shared" si="16"/>
        <v>670.78125</v>
      </c>
      <c r="J19" s="1">
        <f t="shared" si="16"/>
        <v>503.0859375</v>
      </c>
      <c r="K19" s="1">
        <f t="shared" si="16"/>
        <v>377.314453125</v>
      </c>
      <c r="L19" s="1">
        <f t="shared" si="16"/>
        <v>282.98583984375</v>
      </c>
      <c r="M19" s="1">
        <f t="shared" si="16"/>
        <v>212.2393798828125</v>
      </c>
      <c r="N19" s="1">
        <f t="shared" si="16"/>
        <v>159.17953491210938</v>
      </c>
    </row>
    <row r="20" spans="2:93" s="1" customFormat="1" x14ac:dyDescent="0.25">
      <c r="B20" s="1" t="s">
        <v>9</v>
      </c>
      <c r="D20" s="1">
        <f>6964+112</f>
        <v>7076</v>
      </c>
      <c r="E20" s="1">
        <f>10097+119</f>
        <v>10216</v>
      </c>
      <c r="F20" s="1">
        <f>+E20*0.8</f>
        <v>8172.8</v>
      </c>
      <c r="G20" s="1">
        <f>+F20*0.9</f>
        <v>7355.52</v>
      </c>
      <c r="H20" s="1">
        <f t="shared" ref="H20:J20" si="17">+G20*0.9</f>
        <v>6619.9680000000008</v>
      </c>
      <c r="I20" s="1">
        <f t="shared" si="17"/>
        <v>5957.9712000000009</v>
      </c>
      <c r="J20" s="1">
        <f t="shared" si="17"/>
        <v>5362.1740800000007</v>
      </c>
      <c r="K20" s="1">
        <f>+J20*0.95</f>
        <v>5094.0653760000005</v>
      </c>
      <c r="L20" s="1">
        <f t="shared" ref="L20:N20" si="18">+K20*0.95</f>
        <v>4839.3621072000005</v>
      </c>
      <c r="M20" s="1">
        <f t="shared" si="18"/>
        <v>4597.3940018399999</v>
      </c>
      <c r="N20" s="1">
        <f t="shared" si="18"/>
        <v>4367.5243017479997</v>
      </c>
    </row>
    <row r="21" spans="2:93" s="1" customFormat="1" x14ac:dyDescent="0.25">
      <c r="B21" s="1" t="s">
        <v>10</v>
      </c>
      <c r="D21" s="1">
        <f>+D17+D18+D19-D20</f>
        <v>35303</v>
      </c>
      <c r="E21" s="1">
        <f>+E17+E18+E19-E20</f>
        <v>42561</v>
      </c>
      <c r="F21" s="1">
        <f>+F17+F18+F19-F20</f>
        <v>44659.315400000109</v>
      </c>
      <c r="G21" s="1">
        <f t="shared" ref="G21:N21" si="19">+G17+G18+G19-G20</f>
        <v>50168.318245000046</v>
      </c>
      <c r="H21" s="1">
        <f t="shared" si="19"/>
        <v>55693.568945875006</v>
      </c>
      <c r="I21" s="1">
        <f t="shared" si="19"/>
        <v>61218.403548345785</v>
      </c>
      <c r="J21" s="1">
        <f t="shared" si="19"/>
        <v>66731.551720653792</v>
      </c>
      <c r="K21" s="1">
        <f t="shared" si="19"/>
        <v>71957.557043363166</v>
      </c>
      <c r="L21" s="1">
        <f t="shared" si="19"/>
        <v>77200.228431550669</v>
      </c>
      <c r="M21" s="1">
        <f t="shared" si="19"/>
        <v>82452.382296055119</v>
      </c>
      <c r="N21" s="1">
        <f t="shared" si="19"/>
        <v>87708.766679286491</v>
      </c>
    </row>
    <row r="22" spans="2:93" s="1" customFormat="1" x14ac:dyDescent="0.25">
      <c r="B22" s="1" t="s">
        <v>11</v>
      </c>
      <c r="D22" s="1">
        <f>2507+11663</f>
        <v>14170</v>
      </c>
      <c r="E22" s="1">
        <f>2462+9655</f>
        <v>12117</v>
      </c>
      <c r="F22" s="1">
        <f>+F21*0.28</f>
        <v>12504.608312000031</v>
      </c>
      <c r="G22" s="1">
        <f t="shared" ref="G22:N22" si="20">+G21*0.28</f>
        <v>14047.129108600015</v>
      </c>
      <c r="H22" s="1">
        <f t="shared" si="20"/>
        <v>15594.199304845002</v>
      </c>
      <c r="I22" s="1">
        <f t="shared" si="20"/>
        <v>17141.15299353682</v>
      </c>
      <c r="J22" s="1">
        <f t="shared" si="20"/>
        <v>18684.834481783062</v>
      </c>
      <c r="K22" s="1">
        <f t="shared" si="20"/>
        <v>20148.115972141688</v>
      </c>
      <c r="L22" s="1">
        <f t="shared" si="20"/>
        <v>21616.063960834188</v>
      </c>
      <c r="M22" s="1">
        <f t="shared" si="20"/>
        <v>23086.667042895435</v>
      </c>
      <c r="N22" s="1">
        <f t="shared" si="20"/>
        <v>24558.454670200219</v>
      </c>
    </row>
    <row r="23" spans="2:93" s="2" customFormat="1" x14ac:dyDescent="0.25">
      <c r="B23" s="2" t="s">
        <v>12</v>
      </c>
      <c r="D23" s="2">
        <f t="shared" ref="D23:F23" si="21">+D21-D22</f>
        <v>21133</v>
      </c>
      <c r="E23" s="2">
        <f t="shared" si="21"/>
        <v>30444</v>
      </c>
      <c r="F23" s="2">
        <f t="shared" si="21"/>
        <v>32154.707088000076</v>
      </c>
      <c r="G23" s="2">
        <f t="shared" ref="G23" si="22">+G21-G22</f>
        <v>36121.189136400033</v>
      </c>
      <c r="H23" s="2">
        <f t="shared" ref="H23" si="23">+H21-H22</f>
        <v>40099.369641030004</v>
      </c>
      <c r="I23" s="2">
        <f t="shared" ref="I23" si="24">+I21-I22</f>
        <v>44077.250554808968</v>
      </c>
      <c r="J23" s="2">
        <f t="shared" ref="J23" si="25">+J21-J22</f>
        <v>48046.717238870726</v>
      </c>
      <c r="K23" s="2">
        <f t="shared" ref="K23" si="26">+K21-K22</f>
        <v>51809.441071221474</v>
      </c>
      <c r="L23" s="2">
        <f t="shared" ref="L23" si="27">+L21-L22</f>
        <v>55584.164470716481</v>
      </c>
      <c r="M23" s="2">
        <f t="shared" ref="M23" si="28">+M21-M22</f>
        <v>59365.71525315968</v>
      </c>
      <c r="N23" s="2">
        <f t="shared" ref="N23" si="29">+N21-N22</f>
        <v>63150.312009086272</v>
      </c>
      <c r="O23" s="2">
        <f t="shared" ref="O23:AT23" si="30">+N23*(1+TR)</f>
        <v>61887.305768904545</v>
      </c>
      <c r="P23" s="2">
        <f t="shared" si="30"/>
        <v>60649.559653526456</v>
      </c>
      <c r="Q23" s="2">
        <f t="shared" si="30"/>
        <v>59436.568460455928</v>
      </c>
      <c r="R23" s="2">
        <f t="shared" si="30"/>
        <v>58247.837091246809</v>
      </c>
      <c r="S23" s="2">
        <f t="shared" si="30"/>
        <v>57082.880349421874</v>
      </c>
      <c r="T23" s="2">
        <f t="shared" si="30"/>
        <v>55941.222742433434</v>
      </c>
      <c r="U23" s="2">
        <f t="shared" si="30"/>
        <v>54822.398287584765</v>
      </c>
      <c r="V23" s="2">
        <f t="shared" si="30"/>
        <v>53725.950321833072</v>
      </c>
      <c r="W23" s="2">
        <f t="shared" si="30"/>
        <v>52651.43131539641</v>
      </c>
      <c r="X23" s="2">
        <f t="shared" si="30"/>
        <v>51598.402689088478</v>
      </c>
      <c r="Y23" s="2">
        <f t="shared" si="30"/>
        <v>50566.434635306709</v>
      </c>
      <c r="Z23" s="2">
        <f t="shared" si="30"/>
        <v>49555.105942600574</v>
      </c>
      <c r="AA23" s="2">
        <f t="shared" si="30"/>
        <v>48564.003823748564</v>
      </c>
      <c r="AB23" s="2">
        <f t="shared" si="30"/>
        <v>47592.723747273594</v>
      </c>
      <c r="AC23" s="2">
        <f t="shared" si="30"/>
        <v>46640.86927232812</v>
      </c>
      <c r="AD23" s="2">
        <f t="shared" si="30"/>
        <v>45708.051886881556</v>
      </c>
      <c r="AE23" s="2">
        <f t="shared" si="30"/>
        <v>44793.890849143922</v>
      </c>
      <c r="AF23" s="2">
        <f t="shared" si="30"/>
        <v>43898.013032161041</v>
      </c>
      <c r="AG23" s="2">
        <f t="shared" si="30"/>
        <v>43020.052771517818</v>
      </c>
      <c r="AH23" s="2">
        <f t="shared" si="30"/>
        <v>42159.651716087457</v>
      </c>
      <c r="AI23" s="2">
        <f t="shared" si="30"/>
        <v>41316.458681765711</v>
      </c>
      <c r="AJ23" s="2">
        <f t="shared" si="30"/>
        <v>40490.129508130398</v>
      </c>
      <c r="AK23" s="2">
        <f t="shared" si="30"/>
        <v>39680.326917967788</v>
      </c>
      <c r="AL23" s="2">
        <f t="shared" si="30"/>
        <v>38886.720379608429</v>
      </c>
      <c r="AM23" s="2">
        <f t="shared" si="30"/>
        <v>38108.985972016257</v>
      </c>
      <c r="AN23" s="2">
        <f t="shared" si="30"/>
        <v>37346.806252575931</v>
      </c>
      <c r="AO23" s="2">
        <f t="shared" si="30"/>
        <v>36599.870127524409</v>
      </c>
      <c r="AP23" s="2">
        <f t="shared" si="30"/>
        <v>35867.872724973924</v>
      </c>
      <c r="AQ23" s="2">
        <f t="shared" si="30"/>
        <v>35150.515270474447</v>
      </c>
      <c r="AR23" s="2">
        <f t="shared" si="30"/>
        <v>34447.50496506496</v>
      </c>
      <c r="AS23" s="2">
        <f t="shared" si="30"/>
        <v>33758.554865763661</v>
      </c>
      <c r="AT23" s="2">
        <f t="shared" si="30"/>
        <v>33083.383768448388</v>
      </c>
      <c r="AU23" s="2">
        <f t="shared" ref="AU23:BZ23" si="31">+AT23*(1+TR)</f>
        <v>32421.71609307942</v>
      </c>
      <c r="AV23" s="2">
        <f t="shared" si="31"/>
        <v>31773.281771217829</v>
      </c>
      <c r="AW23" s="2">
        <f t="shared" si="31"/>
        <v>31137.816135793473</v>
      </c>
      <c r="AX23" s="2">
        <f t="shared" si="31"/>
        <v>30515.059813077602</v>
      </c>
      <c r="AY23" s="2">
        <f t="shared" si="31"/>
        <v>29904.758616816049</v>
      </c>
      <c r="AZ23" s="2">
        <f t="shared" si="31"/>
        <v>29306.663444479727</v>
      </c>
      <c r="BA23" s="2">
        <f t="shared" si="31"/>
        <v>28720.530175590131</v>
      </c>
      <c r="BB23" s="2">
        <f t="shared" si="31"/>
        <v>28146.119572078329</v>
      </c>
      <c r="BC23" s="2">
        <f t="shared" si="31"/>
        <v>27583.197180636762</v>
      </c>
      <c r="BD23" s="2">
        <f t="shared" si="31"/>
        <v>27031.533237024025</v>
      </c>
      <c r="BE23" s="2">
        <f t="shared" si="31"/>
        <v>26490.902572283543</v>
      </c>
      <c r="BF23" s="2">
        <f t="shared" si="31"/>
        <v>25961.084520837871</v>
      </c>
      <c r="BG23" s="2">
        <f t="shared" si="31"/>
        <v>25441.862830421112</v>
      </c>
      <c r="BH23" s="2">
        <f t="shared" si="31"/>
        <v>24933.025573812691</v>
      </c>
      <c r="BI23" s="2">
        <f t="shared" si="31"/>
        <v>24434.365062336437</v>
      </c>
      <c r="BJ23" s="2">
        <f t="shared" si="31"/>
        <v>23945.677761089708</v>
      </c>
      <c r="BK23" s="2">
        <f t="shared" si="31"/>
        <v>23466.764205867912</v>
      </c>
      <c r="BL23" s="2">
        <f t="shared" si="31"/>
        <v>22997.428921750554</v>
      </c>
      <c r="BM23" s="2">
        <f t="shared" si="31"/>
        <v>22537.480343315543</v>
      </c>
      <c r="BN23" s="2">
        <f t="shared" si="31"/>
        <v>22086.730736449234</v>
      </c>
      <c r="BO23" s="2">
        <f t="shared" si="31"/>
        <v>21644.996121720247</v>
      </c>
      <c r="BP23" s="2">
        <f t="shared" si="31"/>
        <v>21212.096199285843</v>
      </c>
      <c r="BQ23" s="2">
        <f t="shared" si="31"/>
        <v>20787.854275300124</v>
      </c>
      <c r="BR23" s="2">
        <f t="shared" si="31"/>
        <v>20372.09718979412</v>
      </c>
      <c r="BS23" s="2">
        <f t="shared" si="31"/>
        <v>19964.655245998238</v>
      </c>
      <c r="BT23" s="2">
        <f t="shared" si="31"/>
        <v>19565.362141078273</v>
      </c>
      <c r="BU23" s="2">
        <f t="shared" si="31"/>
        <v>19174.054898256705</v>
      </c>
      <c r="BV23" s="2">
        <f t="shared" si="31"/>
        <v>18790.573800291571</v>
      </c>
      <c r="BW23" s="2">
        <f t="shared" si="31"/>
        <v>18414.762324285741</v>
      </c>
      <c r="BX23" s="2">
        <f t="shared" si="31"/>
        <v>18046.467077800025</v>
      </c>
      <c r="BY23" s="2">
        <f t="shared" si="31"/>
        <v>17685.537736244023</v>
      </c>
      <c r="BZ23" s="2">
        <f t="shared" si="31"/>
        <v>17331.826981519142</v>
      </c>
      <c r="CA23" s="2">
        <f t="shared" ref="CA23:CO23" si="32">+BZ23*(1+TR)</f>
        <v>16985.190441888757</v>
      </c>
      <c r="CB23" s="2">
        <f t="shared" si="32"/>
        <v>16645.486633050983</v>
      </c>
      <c r="CC23" s="2">
        <f t="shared" si="32"/>
        <v>16312.576900389962</v>
      </c>
      <c r="CD23" s="2">
        <f t="shared" si="32"/>
        <v>15986.325362382162</v>
      </c>
      <c r="CE23" s="2">
        <f t="shared" si="32"/>
        <v>15666.598855134518</v>
      </c>
      <c r="CF23" s="2">
        <f t="shared" si="32"/>
        <v>15353.266878031827</v>
      </c>
      <c r="CG23" s="2">
        <f t="shared" si="32"/>
        <v>15046.201540471191</v>
      </c>
      <c r="CH23" s="2">
        <f t="shared" si="32"/>
        <v>14745.277509661766</v>
      </c>
      <c r="CI23" s="2">
        <f t="shared" si="32"/>
        <v>14450.37195946853</v>
      </c>
      <c r="CJ23" s="2">
        <f t="shared" si="32"/>
        <v>14161.364520279159</v>
      </c>
      <c r="CK23" s="2">
        <f t="shared" si="32"/>
        <v>13878.137229873577</v>
      </c>
      <c r="CL23" s="2">
        <f t="shared" si="32"/>
        <v>13600.574485276105</v>
      </c>
      <c r="CM23" s="2">
        <f t="shared" si="32"/>
        <v>13328.562995570583</v>
      </c>
      <c r="CN23" s="2">
        <f t="shared" si="32"/>
        <v>13061.99173565917</v>
      </c>
      <c r="CO23" s="2">
        <f t="shared" si="32"/>
        <v>12800.751900945987</v>
      </c>
    </row>
    <row r="24" spans="2:93" s="1" customFormat="1" x14ac:dyDescent="0.25">
      <c r="D24" s="3"/>
      <c r="E24" s="3"/>
    </row>
    <row r="25" spans="2:93" s="5" customFormat="1" x14ac:dyDescent="0.25">
      <c r="B25" s="5" t="s">
        <v>13</v>
      </c>
      <c r="D25" s="5">
        <f>+D17/D11</f>
        <v>4.1284871858646655E-2</v>
      </c>
      <c r="E25" s="5">
        <f>+E17/E11</f>
        <v>4.3268985693068411E-2</v>
      </c>
      <c r="F25" s="5">
        <f>+F17/F11</f>
        <v>3.9511710338952788E-2</v>
      </c>
      <c r="G25" s="5">
        <f t="shared" ref="G25:N25" si="33">+G17/G11</f>
        <v>4.1408853042269864E-2</v>
      </c>
      <c r="H25" s="5">
        <f t="shared" si="33"/>
        <v>4.3132597332960827E-2</v>
      </c>
      <c r="I25" s="5">
        <f t="shared" si="33"/>
        <v>4.4705557470231486E-2</v>
      </c>
      <c r="J25" s="5">
        <f t="shared" si="33"/>
        <v>4.6146579872223058E-2</v>
      </c>
      <c r="K25" s="5">
        <f t="shared" si="33"/>
        <v>4.7471496449232146E-2</v>
      </c>
      <c r="L25" s="5">
        <f t="shared" si="33"/>
        <v>4.8693704142951842E-2</v>
      </c>
      <c r="M25" s="5">
        <f t="shared" si="33"/>
        <v>4.982461571642139E-2</v>
      </c>
      <c r="N25" s="5">
        <f t="shared" si="33"/>
        <v>5.0874013973036605E-2</v>
      </c>
    </row>
    <row r="26" spans="2:93" s="5" customFormat="1" x14ac:dyDescent="0.25">
      <c r="B26" s="5" t="s">
        <v>14</v>
      </c>
      <c r="D26" s="5">
        <f>+D23/D11</f>
        <v>2.0941199553291403E-2</v>
      </c>
      <c r="E26" s="5">
        <f>+E23/E11</f>
        <v>2.6303534353829365E-2</v>
      </c>
      <c r="F26" s="5">
        <f>+F23/F11</f>
        <v>2.5077663308447802E-2</v>
      </c>
      <c r="G26" s="5">
        <f t="shared" ref="G26:N26" si="34">+G23/G11</f>
        <v>2.6830163189579433E-2</v>
      </c>
      <c r="H26" s="5">
        <f t="shared" si="34"/>
        <v>2.8431695948518451E-2</v>
      </c>
      <c r="I26" s="5">
        <f t="shared" si="34"/>
        <v>2.9893809027877871E-2</v>
      </c>
      <c r="J26" s="5">
        <f t="shared" si="34"/>
        <v>3.1228649998580067E-2</v>
      </c>
      <c r="K26" s="5">
        <f t="shared" si="34"/>
        <v>3.2327734880825097E-2</v>
      </c>
      <c r="L26" s="5">
        <f t="shared" si="34"/>
        <v>3.3349499659482161E-2</v>
      </c>
      <c r="M26" s="5">
        <f t="shared" si="34"/>
        <v>3.4299544658562962E-2</v>
      </c>
      <c r="N26" s="5">
        <f t="shared" si="34"/>
        <v>3.5183445232259733E-2</v>
      </c>
    </row>
    <row r="27" spans="2:93" s="5" customFormat="1" x14ac:dyDescent="0.25">
      <c r="B27" s="5" t="s">
        <v>31</v>
      </c>
      <c r="D27" s="5">
        <f>+D13/D9</f>
        <v>0.10798879496269119</v>
      </c>
      <c r="E27" s="5">
        <f>+E13/E9</f>
        <v>0.1142745999775244</v>
      </c>
      <c r="F27" s="5">
        <f>+F13/F9</f>
        <v>0.12</v>
      </c>
      <c r="G27" s="5">
        <f t="shared" ref="G27:N27" si="35">+G13/G9</f>
        <v>0.12</v>
      </c>
      <c r="H27" s="5">
        <f t="shared" si="35"/>
        <v>0.11999999999999998</v>
      </c>
      <c r="I27" s="5">
        <f t="shared" si="35"/>
        <v>0.12</v>
      </c>
      <c r="J27" s="5">
        <f t="shared" si="35"/>
        <v>0.12</v>
      </c>
      <c r="K27" s="5">
        <f t="shared" si="35"/>
        <v>0.11999999999999998</v>
      </c>
      <c r="L27" s="5">
        <f t="shared" si="35"/>
        <v>0.12</v>
      </c>
      <c r="M27" s="5">
        <f t="shared" si="35"/>
        <v>0.12</v>
      </c>
      <c r="N27" s="5">
        <f t="shared" si="35"/>
        <v>0.11999999999999998</v>
      </c>
    </row>
    <row r="28" spans="2:93" s="5" customFormat="1" x14ac:dyDescent="0.25">
      <c r="B28" s="5" t="s">
        <v>32</v>
      </c>
      <c r="D28" s="5">
        <f>+D14/D9</f>
        <v>0.73409256550732538</v>
      </c>
      <c r="E28" s="5">
        <f>+E14/E9</f>
        <v>0.72585558561907315</v>
      </c>
      <c r="F28" s="5">
        <f>+F14/F9</f>
        <v>0.72499999999999998</v>
      </c>
      <c r="G28" s="5">
        <f t="shared" ref="G28:N28" si="36">+G14/G9</f>
        <v>0.72499999999999998</v>
      </c>
      <c r="H28" s="5">
        <f t="shared" si="36"/>
        <v>0.72499999999999998</v>
      </c>
      <c r="I28" s="5">
        <f t="shared" si="36"/>
        <v>0.72499999999999987</v>
      </c>
      <c r="J28" s="5">
        <f t="shared" si="36"/>
        <v>0.72500000000000009</v>
      </c>
      <c r="K28" s="5">
        <f t="shared" si="36"/>
        <v>0.72499999999999998</v>
      </c>
      <c r="L28" s="5">
        <f t="shared" si="36"/>
        <v>0.72499999999999998</v>
      </c>
      <c r="M28" s="5">
        <f t="shared" si="36"/>
        <v>0.72500000000000009</v>
      </c>
      <c r="N28" s="5">
        <f t="shared" si="36"/>
        <v>0.72499999999999998</v>
      </c>
      <c r="P28" s="5" t="s">
        <v>33</v>
      </c>
      <c r="Q28" s="5">
        <v>0.08</v>
      </c>
    </row>
    <row r="29" spans="2:93" s="5" customFormat="1" x14ac:dyDescent="0.25">
      <c r="B29" s="5" t="s">
        <v>30</v>
      </c>
      <c r="D29" s="5">
        <f>+D9/C9 -1</f>
        <v>0.19265702425582742</v>
      </c>
      <c r="E29" s="5">
        <f>+E9/D9 -1</f>
        <v>0.14708842559309843</v>
      </c>
      <c r="F29" s="5">
        <f>+F9/E9 -1</f>
        <v>0.10796506945825168</v>
      </c>
      <c r="G29" s="5">
        <f t="shared" ref="G29:N29" si="37">+G9/F9 -1</f>
        <v>5.0000000000000044E-2</v>
      </c>
      <c r="H29" s="5">
        <f t="shared" si="37"/>
        <v>4.7619047619047672E-2</v>
      </c>
      <c r="I29" s="5">
        <f t="shared" si="37"/>
        <v>4.5454545454545636E-2</v>
      </c>
      <c r="J29" s="5">
        <f t="shared" si="37"/>
        <v>4.3478260869564966E-2</v>
      </c>
      <c r="K29" s="5">
        <f t="shared" si="37"/>
        <v>4.1666666666666741E-2</v>
      </c>
      <c r="L29" s="5">
        <f t="shared" si="37"/>
        <v>4.0000000000000036E-2</v>
      </c>
      <c r="M29" s="5">
        <f t="shared" si="37"/>
        <v>3.8461538461538325E-2</v>
      </c>
      <c r="N29" s="5">
        <f t="shared" si="37"/>
        <v>3.7037037037037202E-2</v>
      </c>
      <c r="P29" s="5" t="s">
        <v>34</v>
      </c>
      <c r="Q29" s="5">
        <v>-0.02</v>
      </c>
    </row>
    <row r="30" spans="2:93" s="1" customFormat="1" x14ac:dyDescent="0.25">
      <c r="P30" s="1" t="s">
        <v>35</v>
      </c>
      <c r="Q30" s="1">
        <f>NPV(Q28,F23:CO23)</f>
        <v>595863.92224823229</v>
      </c>
    </row>
    <row r="31" spans="2:93" s="1" customFormat="1" x14ac:dyDescent="0.25">
      <c r="B31" s="1" t="s">
        <v>15</v>
      </c>
      <c r="D31" s="1">
        <v>56900</v>
      </c>
      <c r="E31" s="1">
        <v>38459</v>
      </c>
      <c r="P31" s="1" t="s">
        <v>36</v>
      </c>
      <c r="Q31" s="1">
        <f>+E35-E39</f>
        <v>-128683</v>
      </c>
    </row>
    <row r="32" spans="2:93" s="1" customFormat="1" x14ac:dyDescent="0.25">
      <c r="B32" s="1" t="s">
        <v>16</v>
      </c>
      <c r="D32" s="1">
        <v>26366</v>
      </c>
      <c r="E32" s="1">
        <v>24372</v>
      </c>
      <c r="P32" s="1" t="s">
        <v>37</v>
      </c>
      <c r="Q32" s="1">
        <f>+Q30+Q31</f>
        <v>467180.92224823229</v>
      </c>
    </row>
    <row r="33" spans="2:17" s="1" customFormat="1" x14ac:dyDescent="0.25">
      <c r="B33" s="1" t="s">
        <v>17</v>
      </c>
      <c r="D33" s="1">
        <f>+D31-D32</f>
        <v>30534</v>
      </c>
      <c r="E33" s="1">
        <f>+E31-E32</f>
        <v>14087</v>
      </c>
      <c r="P33" s="1" t="s">
        <v>38</v>
      </c>
      <c r="Q33" s="1">
        <v>10105.66</v>
      </c>
    </row>
    <row r="34" spans="2:17" s="1" customFormat="1" x14ac:dyDescent="0.25">
      <c r="P34" s="1" t="s">
        <v>39</v>
      </c>
      <c r="Q34" s="4">
        <f>+Q32/Q33</f>
        <v>46.229629954721638</v>
      </c>
    </row>
    <row r="35" spans="2:17" s="1" customFormat="1" x14ac:dyDescent="0.25">
      <c r="B35" s="1" t="s">
        <v>20</v>
      </c>
      <c r="D35" s="1">
        <v>161557</v>
      </c>
      <c r="E35" s="1">
        <v>121360</v>
      </c>
    </row>
    <row r="36" spans="2:17" s="1" customFormat="1" x14ac:dyDescent="0.25">
      <c r="B36" s="1" t="s">
        <v>21</v>
      </c>
      <c r="D36" s="1">
        <v>8175</v>
      </c>
      <c r="E36" s="1">
        <v>8752</v>
      </c>
      <c r="Q36" s="4"/>
    </row>
    <row r="37" spans="2:17" s="1" customFormat="1" x14ac:dyDescent="0.25">
      <c r="B37" s="1" t="s">
        <v>22</v>
      </c>
      <c r="D37" s="1">
        <v>373841</v>
      </c>
      <c r="E37" s="1">
        <v>355095</v>
      </c>
    </row>
    <row r="38" spans="2:17" s="1" customFormat="1" x14ac:dyDescent="0.25"/>
    <row r="39" spans="2:17" s="1" customFormat="1" x14ac:dyDescent="0.25">
      <c r="B39" s="1" t="s">
        <v>23</v>
      </c>
      <c r="D39" s="1">
        <f>96826+163256</f>
        <v>260082</v>
      </c>
      <c r="E39" s="1">
        <f>237723+12320</f>
        <v>250043</v>
      </c>
    </row>
    <row r="40" spans="2:17" s="1" customFormat="1" x14ac:dyDescent="0.25">
      <c r="B40" s="1" t="s">
        <v>24</v>
      </c>
      <c r="D40" s="1">
        <v>2740</v>
      </c>
      <c r="E40" s="1">
        <v>3773</v>
      </c>
    </row>
    <row r="41" spans="2:17" s="1" customFormat="1" x14ac:dyDescent="0.25">
      <c r="B41" s="1" t="s">
        <v>26</v>
      </c>
      <c r="D41" s="1">
        <v>8218</v>
      </c>
      <c r="E41" s="1">
        <v>8163</v>
      </c>
    </row>
    <row r="42" spans="2:17" s="1" customFormat="1" x14ac:dyDescent="0.25"/>
    <row r="43" spans="2:17" s="1" customFormat="1" x14ac:dyDescent="0.25">
      <c r="B43" s="1" t="s">
        <v>25</v>
      </c>
      <c r="D43" s="1">
        <f>+D35+D36+D37-D39-D40-D41</f>
        <v>272533</v>
      </c>
      <c r="E43" s="1">
        <f>+E35+E36+E37-E39-E40-E41</f>
        <v>223228</v>
      </c>
    </row>
    <row r="44" spans="2:17" s="1" customFormat="1" x14ac:dyDescent="0.25"/>
    <row r="45" spans="2:17" s="5" customFormat="1" x14ac:dyDescent="0.25">
      <c r="B45" s="5" t="s">
        <v>27</v>
      </c>
      <c r="D45" s="5">
        <f>+D20/D39</f>
        <v>2.7206804007966719E-2</v>
      </c>
      <c r="E45" s="5">
        <f>+E20/E39</f>
        <v>4.0856972600712679E-2</v>
      </c>
    </row>
    <row r="46" spans="2:17" s="1" customFormat="1" x14ac:dyDescent="0.25"/>
    <row r="47" spans="2:17" s="1" customFormat="1" x14ac:dyDescent="0.25"/>
    <row r="48" spans="2:1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2024-06-17T10:16:52Z</dcterms:created>
  <dcterms:modified xsi:type="dcterms:W3CDTF">2024-12-06T21:52:18Z</dcterms:modified>
</cp:coreProperties>
</file>