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87E66F10-504C-494B-AC6E-14916A669BFB}" xr6:coauthVersionLast="47" xr6:coauthVersionMax="47" xr10:uidLastSave="{00000000-0000-0000-0000-000000000000}"/>
  <bookViews>
    <workbookView xWindow="-28920" yWindow="-120" windowWidth="29040" windowHeight="15840" activeTab="1" xr2:uid="{579E347F-E8CB-4150-9E3E-EE1928B68288}"/>
  </bookViews>
  <sheets>
    <sheet name="Main" sheetId="2" r:id="rId1"/>
    <sheet name="Mode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" l="1"/>
  <c r="X35" i="1"/>
  <c r="X33" i="1"/>
  <c r="X32" i="1"/>
  <c r="L37" i="1"/>
  <c r="L35" i="1"/>
  <c r="I39" i="1"/>
  <c r="J39" i="1"/>
  <c r="L38" i="1"/>
  <c r="K39" i="1"/>
  <c r="L11" i="1"/>
  <c r="L31" i="1" s="1"/>
  <c r="M8" i="1"/>
  <c r="E4" i="2"/>
  <c r="E5" i="2" s="1"/>
  <c r="L23" i="1"/>
  <c r="M23" i="1" s="1"/>
  <c r="N23" i="1" s="1"/>
  <c r="L4" i="1"/>
  <c r="M4" i="1" s="1"/>
  <c r="J26" i="1"/>
  <c r="K26" i="1"/>
  <c r="J27" i="1"/>
  <c r="K27" i="1"/>
  <c r="I27" i="1"/>
  <c r="I26" i="1"/>
  <c r="L18" i="1"/>
  <c r="L17" i="1"/>
  <c r="L13" i="1"/>
  <c r="L33" i="1" s="1"/>
  <c r="L12" i="1"/>
  <c r="L32" i="1" s="1"/>
  <c r="M11" i="1"/>
  <c r="L8" i="1"/>
  <c r="L27" i="1" s="1"/>
  <c r="L7" i="1"/>
  <c r="K37" i="1"/>
  <c r="J37" i="1"/>
  <c r="I37" i="1"/>
  <c r="H6" i="1"/>
  <c r="G6" i="1"/>
  <c r="G30" i="1" s="1"/>
  <c r="F6" i="1"/>
  <c r="E6" i="1"/>
  <c r="D6" i="1"/>
  <c r="H2" i="1"/>
  <c r="G2" i="1" s="1"/>
  <c r="F2" i="1" s="1"/>
  <c r="E2" i="1" s="1"/>
  <c r="D2" i="1" s="1"/>
  <c r="J6" i="1"/>
  <c r="J31" i="1" s="1"/>
  <c r="K6" i="1"/>
  <c r="K32" i="1" s="1"/>
  <c r="J9" i="1"/>
  <c r="K9" i="1"/>
  <c r="J15" i="1"/>
  <c r="K15" i="1"/>
  <c r="I15" i="1"/>
  <c r="I9" i="1"/>
  <c r="I6" i="1"/>
  <c r="I33" i="1" s="1"/>
  <c r="L39" i="1" l="1"/>
  <c r="I31" i="1"/>
  <c r="I32" i="1"/>
  <c r="K31" i="1"/>
  <c r="K33" i="1"/>
  <c r="J33" i="1"/>
  <c r="J32" i="1"/>
  <c r="E7" i="2"/>
  <c r="X39" i="1" s="1"/>
  <c r="M7" i="1"/>
  <c r="N4" i="1"/>
  <c r="O4" i="1" s="1"/>
  <c r="P4" i="1" s="1"/>
  <c r="Q4" i="1" s="1"/>
  <c r="R4" i="1" s="1"/>
  <c r="S4" i="1" s="1"/>
  <c r="T4" i="1" s="1"/>
  <c r="U4" i="1" s="1"/>
  <c r="L9" i="1"/>
  <c r="O23" i="1"/>
  <c r="J30" i="1"/>
  <c r="E30" i="1"/>
  <c r="H30" i="1"/>
  <c r="N11" i="1"/>
  <c r="L26" i="1"/>
  <c r="K30" i="1"/>
  <c r="L15" i="1"/>
  <c r="M12" i="1"/>
  <c r="I30" i="1"/>
  <c r="F30" i="1"/>
  <c r="K10" i="1"/>
  <c r="K25" i="1" s="1"/>
  <c r="K16" i="1"/>
  <c r="J10" i="1"/>
  <c r="I10" i="1"/>
  <c r="X38" i="1" l="1"/>
  <c r="X37" i="1"/>
  <c r="O11" i="1"/>
  <c r="P23" i="1"/>
  <c r="N7" i="1"/>
  <c r="K19" i="1"/>
  <c r="K21" i="1" s="1"/>
  <c r="K28" i="1"/>
  <c r="O6" i="1"/>
  <c r="O8" i="1"/>
  <c r="N6" i="1"/>
  <c r="N8" i="1"/>
  <c r="M6" i="1"/>
  <c r="L10" i="1"/>
  <c r="L16" i="1" s="1"/>
  <c r="L30" i="1"/>
  <c r="I16" i="1"/>
  <c r="I25" i="1"/>
  <c r="J16" i="1"/>
  <c r="J25" i="1"/>
  <c r="M31" i="1" l="1"/>
  <c r="M13" i="1"/>
  <c r="M30" i="1"/>
  <c r="M32" i="1"/>
  <c r="N30" i="1"/>
  <c r="N13" i="1"/>
  <c r="N33" i="1" s="1"/>
  <c r="N12" i="1"/>
  <c r="N31" i="1"/>
  <c r="O30" i="1"/>
  <c r="O13" i="1"/>
  <c r="O33" i="1" s="1"/>
  <c r="O12" i="1"/>
  <c r="P11" i="1"/>
  <c r="O31" i="1"/>
  <c r="K29" i="1"/>
  <c r="K22" i="1"/>
  <c r="N9" i="1"/>
  <c r="N10" i="1" s="1"/>
  <c r="Q23" i="1"/>
  <c r="M9" i="1"/>
  <c r="M10" i="1" s="1"/>
  <c r="I19" i="1"/>
  <c r="I21" i="1" s="1"/>
  <c r="I29" i="1" s="1"/>
  <c r="I28" i="1"/>
  <c r="J19" i="1"/>
  <c r="J21" i="1" s="1"/>
  <c r="J29" i="1" s="1"/>
  <c r="J28" i="1"/>
  <c r="L19" i="1"/>
  <c r="L21" i="1" s="1"/>
  <c r="L28" i="1"/>
  <c r="O7" i="1"/>
  <c r="O9" i="1" s="1"/>
  <c r="O10" i="1" s="1"/>
  <c r="L25" i="1"/>
  <c r="P6" i="1"/>
  <c r="P8" i="1"/>
  <c r="Q8" i="1"/>
  <c r="J2" i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Q11" i="1" l="1"/>
  <c r="P31" i="1"/>
  <c r="O32" i="1"/>
  <c r="O15" i="1"/>
  <c r="N32" i="1"/>
  <c r="N15" i="1"/>
  <c r="P30" i="1"/>
  <c r="P13" i="1"/>
  <c r="P12" i="1"/>
  <c r="P32" i="1" s="1"/>
  <c r="M33" i="1"/>
  <c r="M15" i="1"/>
  <c r="M16" i="1" s="1"/>
  <c r="P33" i="1"/>
  <c r="L29" i="1"/>
  <c r="L22" i="1"/>
  <c r="R23" i="1"/>
  <c r="P7" i="1"/>
  <c r="P9" i="1" s="1"/>
  <c r="P10" i="1" s="1"/>
  <c r="O16" i="1"/>
  <c r="O25" i="1"/>
  <c r="M25" i="1"/>
  <c r="N16" i="1"/>
  <c r="N25" i="1"/>
  <c r="Q6" i="1"/>
  <c r="Q30" i="1" l="1"/>
  <c r="Q13" i="1"/>
  <c r="Q12" i="1"/>
  <c r="Q32" i="1" s="1"/>
  <c r="P15" i="1"/>
  <c r="R11" i="1"/>
  <c r="S11" i="1" s="1"/>
  <c r="T11" i="1" s="1"/>
  <c r="U11" i="1" s="1"/>
  <c r="Q31" i="1"/>
  <c r="Q33" i="1"/>
  <c r="Q15" i="1"/>
  <c r="S23" i="1"/>
  <c r="N19" i="1"/>
  <c r="N20" i="1" s="1"/>
  <c r="N21" i="1" s="1"/>
  <c r="N28" i="1"/>
  <c r="M19" i="1"/>
  <c r="M20" i="1" s="1"/>
  <c r="M21" i="1" s="1"/>
  <c r="M22" i="1" s="1"/>
  <c r="M28" i="1"/>
  <c r="O19" i="1"/>
  <c r="O20" i="1" s="1"/>
  <c r="O21" i="1" s="1"/>
  <c r="O28" i="1"/>
  <c r="Q7" i="1"/>
  <c r="Q9" i="1" s="1"/>
  <c r="Q10" i="1" s="1"/>
  <c r="P16" i="1"/>
  <c r="P25" i="1"/>
  <c r="R6" i="1"/>
  <c r="R8" i="1"/>
  <c r="S8" i="1"/>
  <c r="R31" i="1" l="1"/>
  <c r="R30" i="1"/>
  <c r="R12" i="1"/>
  <c r="R32" i="1" s="1"/>
  <c r="R13" i="1"/>
  <c r="R15" i="1" s="1"/>
  <c r="O29" i="1"/>
  <c r="O22" i="1"/>
  <c r="N29" i="1"/>
  <c r="N22" i="1"/>
  <c r="T23" i="1"/>
  <c r="P19" i="1"/>
  <c r="P20" i="1" s="1"/>
  <c r="P21" i="1" s="1"/>
  <c r="P22" i="1" s="1"/>
  <c r="P28" i="1"/>
  <c r="Q25" i="1"/>
  <c r="Q16" i="1"/>
  <c r="R7" i="1"/>
  <c r="R9" i="1" s="1"/>
  <c r="R10" i="1" s="1"/>
  <c r="S6" i="1"/>
  <c r="M29" i="1"/>
  <c r="S30" i="1" l="1"/>
  <c r="S31" i="1"/>
  <c r="S12" i="1"/>
  <c r="S32" i="1" s="1"/>
  <c r="S13" i="1"/>
  <c r="R33" i="1"/>
  <c r="S33" i="1"/>
  <c r="S15" i="1"/>
  <c r="U23" i="1"/>
  <c r="Q19" i="1"/>
  <c r="Q20" i="1" s="1"/>
  <c r="Q21" i="1" s="1"/>
  <c r="Q28" i="1"/>
  <c r="S7" i="1"/>
  <c r="S9" i="1" s="1"/>
  <c r="S10" i="1" s="1"/>
  <c r="S25" i="1" s="1"/>
  <c r="P29" i="1"/>
  <c r="R16" i="1"/>
  <c r="R25" i="1"/>
  <c r="T6" i="1"/>
  <c r="T8" i="1"/>
  <c r="T31" i="1" l="1"/>
  <c r="T30" i="1"/>
  <c r="T12" i="1"/>
  <c r="T32" i="1" s="1"/>
  <c r="T13" i="1"/>
  <c r="T33" i="1" s="1"/>
  <c r="Q29" i="1"/>
  <c r="Q22" i="1"/>
  <c r="R19" i="1"/>
  <c r="R20" i="1" s="1"/>
  <c r="R21" i="1" s="1"/>
  <c r="R28" i="1"/>
  <c r="S16" i="1"/>
  <c r="T7" i="1"/>
  <c r="T9" i="1" s="1"/>
  <c r="T10" i="1" s="1"/>
  <c r="U7" i="1"/>
  <c r="U8" i="1"/>
  <c r="R22" i="1" l="1"/>
  <c r="T15" i="1"/>
  <c r="U9" i="1"/>
  <c r="S19" i="1"/>
  <c r="S20" i="1" s="1"/>
  <c r="S21" i="1" s="1"/>
  <c r="S28" i="1"/>
  <c r="U6" i="1"/>
  <c r="T16" i="1"/>
  <c r="T25" i="1"/>
  <c r="R29" i="1"/>
  <c r="U13" i="1" l="1"/>
  <c r="U33" i="1" s="1"/>
  <c r="U31" i="1"/>
  <c r="U30" i="1"/>
  <c r="U12" i="1"/>
  <c r="U10" i="1"/>
  <c r="S29" i="1"/>
  <c r="S22" i="1"/>
  <c r="T19" i="1"/>
  <c r="T20" i="1" s="1"/>
  <c r="T21" i="1" s="1"/>
  <c r="T28" i="1"/>
  <c r="U25" i="1"/>
  <c r="U32" i="1" l="1"/>
  <c r="U15" i="1"/>
  <c r="U16" i="1" s="1"/>
  <c r="U28" i="1" s="1"/>
  <c r="T29" i="1"/>
  <c r="T22" i="1"/>
  <c r="U19" i="1"/>
  <c r="U20" i="1" s="1"/>
  <c r="U21" i="1" s="1"/>
  <c r="U22" i="1" s="1"/>
  <c r="U29" i="1" l="1"/>
  <c r="V21" i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  <c r="BD21" i="1" s="1"/>
  <c r="BE21" i="1" s="1"/>
  <c r="BF21" i="1" s="1"/>
  <c r="BG21" i="1" s="1"/>
  <c r="BH21" i="1" s="1"/>
  <c r="BI21" i="1" s="1"/>
  <c r="BJ21" i="1" s="1"/>
  <c r="BK21" i="1" s="1"/>
  <c r="BL21" i="1" s="1"/>
  <c r="BM21" i="1" s="1"/>
  <c r="BN21" i="1" s="1"/>
  <c r="BO21" i="1" s="1"/>
  <c r="BP21" i="1" s="1"/>
  <c r="BQ21" i="1" s="1"/>
  <c r="BR21" i="1" s="1"/>
  <c r="BS21" i="1" s="1"/>
  <c r="BT21" i="1" s="1"/>
  <c r="BU21" i="1" s="1"/>
  <c r="BV21" i="1" s="1"/>
  <c r="BW21" i="1" s="1"/>
  <c r="BX21" i="1" s="1"/>
  <c r="BY21" i="1" s="1"/>
  <c r="BZ21" i="1" s="1"/>
  <c r="CA21" i="1" s="1"/>
  <c r="CB21" i="1" s="1"/>
  <c r="CC21" i="1" s="1"/>
  <c r="CD21" i="1" s="1"/>
  <c r="CE21" i="1" s="1"/>
  <c r="CF21" i="1" s="1"/>
  <c r="CG21" i="1" s="1"/>
  <c r="CH21" i="1" s="1"/>
  <c r="CI21" i="1" s="1"/>
  <c r="CJ21" i="1" s="1"/>
  <c r="CK21" i="1" s="1"/>
  <c r="CL21" i="1" s="1"/>
  <c r="CM21" i="1" s="1"/>
  <c r="CN21" i="1" s="1"/>
  <c r="CO21" i="1" s="1"/>
  <c r="CP21" i="1" s="1"/>
  <c r="CQ21" i="1" s="1"/>
  <c r="CR21" i="1" s="1"/>
  <c r="CS21" i="1" s="1"/>
  <c r="CT21" i="1" s="1"/>
  <c r="CU21" i="1" s="1"/>
  <c r="CV21" i="1" s="1"/>
  <c r="CW21" i="1" s="1"/>
  <c r="CX21" i="1" s="1"/>
  <c r="CY21" i="1" s="1"/>
  <c r="CZ21" i="1" s="1"/>
  <c r="DA21" i="1" s="1"/>
  <c r="DB21" i="1" s="1"/>
  <c r="X31" i="1" s="1"/>
</calcChain>
</file>

<file path=xl/sharedStrings.xml><?xml version="1.0" encoding="utf-8"?>
<sst xmlns="http://schemas.openxmlformats.org/spreadsheetml/2006/main" count="54" uniqueCount="46">
  <si>
    <t>Subscription</t>
  </si>
  <si>
    <t>Services</t>
  </si>
  <si>
    <t>Total Revenue</t>
  </si>
  <si>
    <t>COGS</t>
  </si>
  <si>
    <t>Gross Profit</t>
  </si>
  <si>
    <t>R&amp;D</t>
  </si>
  <si>
    <t>S&amp;M</t>
  </si>
  <si>
    <t>G&amp;A</t>
  </si>
  <si>
    <t>Restructuring</t>
  </si>
  <si>
    <t>Operating Expenses</t>
  </si>
  <si>
    <t>Operating Income</t>
  </si>
  <si>
    <t>Other Income</t>
  </si>
  <si>
    <t>Pretax</t>
  </si>
  <si>
    <t>Taxes</t>
  </si>
  <si>
    <t>Net Income</t>
  </si>
  <si>
    <t>Investments, net</t>
  </si>
  <si>
    <t>Gross Margin</t>
  </si>
  <si>
    <t>Net Margin</t>
  </si>
  <si>
    <t>CFFO</t>
  </si>
  <si>
    <t>CapEx</t>
  </si>
  <si>
    <t>FCF</t>
  </si>
  <si>
    <t>Strategic Investment</t>
  </si>
  <si>
    <t>Revenue Y/Y</t>
  </si>
  <si>
    <t>Sub Cost</t>
  </si>
  <si>
    <t>Service Cost</t>
  </si>
  <si>
    <t>Discount</t>
  </si>
  <si>
    <t>Terminal</t>
  </si>
  <si>
    <t>NPV</t>
  </si>
  <si>
    <t>Net Cash</t>
  </si>
  <si>
    <t>Cash</t>
  </si>
  <si>
    <t>Securities</t>
  </si>
  <si>
    <t>PP&amp;E</t>
  </si>
  <si>
    <t>Debt</t>
  </si>
  <si>
    <t>Shares</t>
  </si>
  <si>
    <t>Price</t>
  </si>
  <si>
    <t>Operating Margin</t>
  </si>
  <si>
    <t>EPS</t>
  </si>
  <si>
    <t>EV/FCF</t>
  </si>
  <si>
    <t>Market Cap</t>
  </si>
  <si>
    <t>EV</t>
  </si>
  <si>
    <t>EV/E</t>
  </si>
  <si>
    <t>FCF Yield</t>
  </si>
  <si>
    <t>SBC</t>
  </si>
  <si>
    <t>Adj. FCF</t>
  </si>
  <si>
    <t>cash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</si>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</sst>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3" fontId="3" fillId="0" borderId="0" xfId="0" applyNumberFormat="1" applyFont="1" applyAlignment="1">
      <alignment horizontal="right"/>
    </xf>
    <xf numFmtId="3" fontId="4" fillId="0" borderId="0" xfId="0" applyNumberFormat="1" applyFont="1"/>
    <xf numFmtId="4" fontId="0" fillId="0" borderId="0" xfId="0" applyNumberFormat="1"/>
    <xf numFmtId="164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32658</xdr:colOff>
      <xdr:row>2</xdr:row>
      <xdr:rowOff>146957</xdr:rowOff>
    </xdr:from>
    <xdr:to>
      <xdr:col>11</xdr:col>
      <xdr:colOff>48986</xdr:colOff>
      <xdr:row>34</xdr:row>
      <xdr:rowOff>59871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C885FE8-8C1E-B889-FE6D-417C2B85EFB6}"/>
            </a:ext>
          </a:extLst>
        </xdr:cNvPr>
        <xdr:cNvCxnSpPr/>
      </xdr:nvCxnSpPr>
      <xdr:spPr>
        <a:xfrm>
          <a:off x="4512129" y="527957"/>
          <a:ext cx="16328" cy="42944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C964-955F-4201-BD57-F69F1B7FC7D2}">
  <dimension ref="D3:E7"/>
  <sheetViews>
    <sheetView zoomScale="190" zoomScaleNormal="190" workbookViewId="0">
      <selection activeCell="E7" sqref="E7"/>
    </sheetView>
  </sheetViews>
  <sheetFormatPr defaultRowHeight="15" x14ac:dyDescent="0.25"/>
  <cols>
    <col min="4" max="4" width="11" bestFit="1" customWidth="1"/>
  </cols>
  <sheetData>
    <row r="3" spans="4:5" x14ac:dyDescent="0.25">
      <c r="D3" t="s">
        <v>34</v>
      </c>
      <c r="E3">
        <v>183</v>
      </c>
    </row>
    <row r="4" spans="4:5" x14ac:dyDescent="0.25">
      <c r="D4" t="s">
        <v>33</v>
      </c>
      <c r="E4" s="1">
        <f>+Model!K23</f>
        <v>937</v>
      </c>
    </row>
    <row r="5" spans="4:5" x14ac:dyDescent="0.25">
      <c r="D5" t="s">
        <v>38</v>
      </c>
      <c r="E5" s="1">
        <f>+E3*E4</f>
        <v>171471</v>
      </c>
    </row>
    <row r="6" spans="4:5" x14ac:dyDescent="0.25">
      <c r="D6" t="s">
        <v>28</v>
      </c>
      <c r="E6" s="1">
        <f>+Model!X32</f>
        <v>2885</v>
      </c>
    </row>
    <row r="7" spans="4:5" x14ac:dyDescent="0.25">
      <c r="D7" t="s">
        <v>39</v>
      </c>
      <c r="E7" s="1">
        <f>+E5+E6</f>
        <v>174356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F77B-B31C-450F-88EA-6F06B7BE5DFB}">
  <dimension ref="B2:DB93"/>
  <sheetViews>
    <sheetView tabSelected="1" zoomScale="175" zoomScaleNormal="175" workbookViewId="0">
      <pane xSplit="2" ySplit="2" topLeftCell="N21" activePane="bottomRight" state="frozen"/>
      <selection pane="topRight" activeCell="C1" sqref="C1"/>
      <selection pane="bottomLeft" activeCell="A3" sqref="A3"/>
      <selection pane="bottomRight" activeCell="X36" sqref="X36"/>
    </sheetView>
  </sheetViews>
  <sheetFormatPr defaultRowHeight="15" x14ac:dyDescent="0.25"/>
  <cols>
    <col min="1" max="1" width="2.5703125" customWidth="1"/>
    <col min="2" max="2" width="18.85546875" bestFit="1" customWidth="1"/>
  </cols>
  <sheetData>
    <row r="2" spans="2:42" x14ac:dyDescent="0.25">
      <c r="D2">
        <f>+E2-1</f>
        <v>2018</v>
      </c>
      <c r="E2">
        <f>+F2-1</f>
        <v>2019</v>
      </c>
      <c r="F2">
        <f>+G2-1</f>
        <v>2020</v>
      </c>
      <c r="G2">
        <f>+H2-1</f>
        <v>2021</v>
      </c>
      <c r="H2">
        <f>+I2-1</f>
        <v>2022</v>
      </c>
      <c r="I2">
        <v>2023</v>
      </c>
      <c r="J2">
        <f>+I2+1</f>
        <v>2024</v>
      </c>
      <c r="K2">
        <f>+J2+1</f>
        <v>2025</v>
      </c>
      <c r="L2">
        <f>+K2+1</f>
        <v>2026</v>
      </c>
      <c r="M2">
        <f t="shared" ref="M2:AP2" si="0">+L2+1</f>
        <v>2027</v>
      </c>
      <c r="N2">
        <f t="shared" si="0"/>
        <v>2028</v>
      </c>
      <c r="O2">
        <f t="shared" si="0"/>
        <v>2029</v>
      </c>
      <c r="P2">
        <f t="shared" si="0"/>
        <v>2030</v>
      </c>
      <c r="Q2">
        <f t="shared" si="0"/>
        <v>2031</v>
      </c>
      <c r="R2">
        <f t="shared" si="0"/>
        <v>2032</v>
      </c>
      <c r="S2">
        <f t="shared" si="0"/>
        <v>2033</v>
      </c>
      <c r="T2">
        <f t="shared" si="0"/>
        <v>2034</v>
      </c>
      <c r="U2">
        <f t="shared" si="0"/>
        <v>2035</v>
      </c>
      <c r="V2">
        <f t="shared" si="0"/>
        <v>2036</v>
      </c>
      <c r="W2">
        <f t="shared" si="0"/>
        <v>2037</v>
      </c>
      <c r="X2">
        <f t="shared" si="0"/>
        <v>2038</v>
      </c>
      <c r="Y2">
        <f t="shared" si="0"/>
        <v>2039</v>
      </c>
      <c r="Z2">
        <f t="shared" si="0"/>
        <v>2040</v>
      </c>
      <c r="AA2">
        <f t="shared" si="0"/>
        <v>2041</v>
      </c>
      <c r="AB2">
        <f t="shared" si="0"/>
        <v>2042</v>
      </c>
      <c r="AC2">
        <f t="shared" si="0"/>
        <v>2043</v>
      </c>
      <c r="AD2">
        <f t="shared" si="0"/>
        <v>2044</v>
      </c>
      <c r="AE2">
        <f t="shared" si="0"/>
        <v>2045</v>
      </c>
      <c r="AF2">
        <f t="shared" si="0"/>
        <v>2046</v>
      </c>
      <c r="AG2">
        <f t="shared" si="0"/>
        <v>2047</v>
      </c>
      <c r="AH2">
        <f t="shared" si="0"/>
        <v>2048</v>
      </c>
      <c r="AI2">
        <f t="shared" si="0"/>
        <v>2049</v>
      </c>
      <c r="AJ2">
        <f t="shared" si="0"/>
        <v>2050</v>
      </c>
      <c r="AK2">
        <f t="shared" si="0"/>
        <v>2051</v>
      </c>
      <c r="AL2">
        <f t="shared" si="0"/>
        <v>2052</v>
      </c>
      <c r="AM2">
        <f t="shared" si="0"/>
        <v>2053</v>
      </c>
      <c r="AN2">
        <f t="shared" si="0"/>
        <v>2054</v>
      </c>
      <c r="AO2">
        <f t="shared" si="0"/>
        <v>2055</v>
      </c>
      <c r="AP2">
        <f t="shared" si="0"/>
        <v>2056</v>
      </c>
    </row>
    <row r="3" spans="2:42" s="1" customFormat="1" x14ac:dyDescent="0.25">
      <c r="G3" s="7"/>
      <c r="H3" s="7"/>
      <c r="I3" s="7"/>
      <c r="J3" s="7"/>
      <c r="K3" s="7"/>
      <c r="L3" s="7"/>
    </row>
    <row r="4" spans="2:42" s="1" customFormat="1" x14ac:dyDescent="0.25">
      <c r="B4" s="1" t="s">
        <v>0</v>
      </c>
      <c r="D4" s="4">
        <v>9766</v>
      </c>
      <c r="E4" s="4">
        <v>12413</v>
      </c>
      <c r="F4" s="4">
        <v>16043</v>
      </c>
      <c r="G4" s="4">
        <v>19976</v>
      </c>
      <c r="H4" s="4">
        <v>24657</v>
      </c>
      <c r="I4" s="1">
        <v>29021</v>
      </c>
      <c r="J4" s="1">
        <v>32537</v>
      </c>
      <c r="K4" s="1">
        <v>35679</v>
      </c>
      <c r="L4" s="1">
        <f>+L6-L5</f>
        <v>39250</v>
      </c>
      <c r="M4" s="1">
        <f>+L4*1.08</f>
        <v>42390</v>
      </c>
      <c r="N4" s="1">
        <f>+M4*1.08</f>
        <v>45781.200000000004</v>
      </c>
      <c r="O4" s="1">
        <f>+N4*1.08</f>
        <v>49443.696000000011</v>
      </c>
      <c r="P4" s="1">
        <f>+O4*1.08</f>
        <v>53399.191680000018</v>
      </c>
      <c r="Q4" s="1">
        <f>+P4*1.08</f>
        <v>57671.127014400023</v>
      </c>
      <c r="R4" s="1">
        <f t="shared" ref="R4:U4" si="1">+Q4*1.08</f>
        <v>62284.817175552031</v>
      </c>
      <c r="S4" s="1">
        <f t="shared" si="1"/>
        <v>67267.602549596195</v>
      </c>
      <c r="T4" s="1">
        <f t="shared" si="1"/>
        <v>72649.010753563896</v>
      </c>
      <c r="U4" s="1">
        <f t="shared" si="1"/>
        <v>78460.93161384901</v>
      </c>
    </row>
    <row r="5" spans="2:42" s="1" customFormat="1" x14ac:dyDescent="0.25">
      <c r="B5" s="1" t="s">
        <v>1</v>
      </c>
      <c r="D5" s="4">
        <v>774</v>
      </c>
      <c r="E5" s="4">
        <v>869</v>
      </c>
      <c r="F5" s="4">
        <v>1055</v>
      </c>
      <c r="G5" s="4">
        <v>1276</v>
      </c>
      <c r="H5" s="4">
        <v>1835</v>
      </c>
      <c r="I5" s="1">
        <v>2331</v>
      </c>
      <c r="J5" s="1">
        <v>2320</v>
      </c>
      <c r="K5" s="1">
        <v>2216</v>
      </c>
      <c r="L5" s="1">
        <v>2200</v>
      </c>
      <c r="M5" s="1">
        <v>2300</v>
      </c>
      <c r="N5" s="1">
        <v>2300</v>
      </c>
      <c r="O5" s="1">
        <v>2300</v>
      </c>
      <c r="P5" s="1">
        <v>2300</v>
      </c>
      <c r="Q5" s="1">
        <v>2300</v>
      </c>
      <c r="R5" s="1">
        <v>2300</v>
      </c>
      <c r="S5" s="1">
        <v>2300</v>
      </c>
      <c r="T5" s="1">
        <v>2300</v>
      </c>
      <c r="U5" s="1">
        <v>2300</v>
      </c>
    </row>
    <row r="6" spans="2:42" s="2" customFormat="1" x14ac:dyDescent="0.25">
      <c r="B6" s="2" t="s">
        <v>2</v>
      </c>
      <c r="D6" s="5">
        <f t="shared" ref="D6:H6" si="2">D4+D5</f>
        <v>10540</v>
      </c>
      <c r="E6" s="5">
        <f t="shared" si="2"/>
        <v>13282</v>
      </c>
      <c r="F6" s="5">
        <f t="shared" si="2"/>
        <v>17098</v>
      </c>
      <c r="G6" s="5">
        <f t="shared" si="2"/>
        <v>21252</v>
      </c>
      <c r="H6" s="5">
        <f t="shared" si="2"/>
        <v>26492</v>
      </c>
      <c r="I6" s="2">
        <f>+I4+I5</f>
        <v>31352</v>
      </c>
      <c r="J6" s="2">
        <f t="shared" ref="J6:M6" si="3">+J4+J5</f>
        <v>34857</v>
      </c>
      <c r="K6" s="2">
        <f t="shared" si="3"/>
        <v>37895</v>
      </c>
      <c r="L6" s="2">
        <v>41450</v>
      </c>
      <c r="M6" s="2">
        <f t="shared" si="3"/>
        <v>44690</v>
      </c>
      <c r="N6" s="2">
        <f t="shared" ref="N6" si="4">+N4+N5</f>
        <v>48081.200000000004</v>
      </c>
      <c r="O6" s="2">
        <f t="shared" ref="O6" si="5">+O4+O5</f>
        <v>51743.696000000011</v>
      </c>
      <c r="P6" s="2">
        <f t="shared" ref="P6" si="6">+P4+P5</f>
        <v>55699.191680000018</v>
      </c>
      <c r="Q6" s="2">
        <f t="shared" ref="Q6" si="7">+Q4+Q5</f>
        <v>59971.127014400023</v>
      </c>
      <c r="R6" s="2">
        <f t="shared" ref="R6" si="8">+R4+R5</f>
        <v>64584.817175552031</v>
      </c>
      <c r="S6" s="2">
        <f t="shared" ref="S6" si="9">+S4+S5</f>
        <v>69567.602549596195</v>
      </c>
      <c r="T6" s="2">
        <f t="shared" ref="T6" si="10">+T4+T5</f>
        <v>74949.010753563896</v>
      </c>
      <c r="U6" s="2">
        <f t="shared" ref="U6" si="11">+U4+U5</f>
        <v>80760.93161384901</v>
      </c>
    </row>
    <row r="7" spans="2:42" s="1" customFormat="1" x14ac:dyDescent="0.25">
      <c r="B7" s="1" t="s">
        <v>0</v>
      </c>
      <c r="I7" s="1">
        <v>5821</v>
      </c>
      <c r="J7" s="1">
        <v>6177</v>
      </c>
      <c r="K7" s="1">
        <v>6198</v>
      </c>
      <c r="L7" s="1">
        <f>4921*1.33</f>
        <v>6544.93</v>
      </c>
      <c r="M7" s="1">
        <f>+M4*0.17</f>
        <v>7206.3</v>
      </c>
      <c r="N7" s="1">
        <f t="shared" ref="N7:U7" si="12">+N4*0.17</f>
        <v>7782.804000000001</v>
      </c>
      <c r="O7" s="1">
        <f t="shared" si="12"/>
        <v>8405.4283200000027</v>
      </c>
      <c r="P7" s="1">
        <f t="shared" si="12"/>
        <v>9077.8625856000035</v>
      </c>
      <c r="Q7" s="1">
        <f t="shared" si="12"/>
        <v>9804.091592448005</v>
      </c>
      <c r="R7" s="1">
        <f t="shared" si="12"/>
        <v>10588.418919843845</v>
      </c>
      <c r="S7" s="1">
        <f t="shared" si="12"/>
        <v>11435.492433431355</v>
      </c>
      <c r="T7" s="1">
        <f t="shared" si="12"/>
        <v>12350.331828105864</v>
      </c>
      <c r="U7" s="1">
        <f t="shared" si="12"/>
        <v>13338.358374354333</v>
      </c>
    </row>
    <row r="8" spans="2:42" s="1" customFormat="1" x14ac:dyDescent="0.25">
      <c r="B8" s="1" t="s">
        <v>1</v>
      </c>
      <c r="I8" s="1">
        <v>2539</v>
      </c>
      <c r="J8" s="1">
        <v>2364</v>
      </c>
      <c r="K8" s="1">
        <v>2445</v>
      </c>
      <c r="L8" s="1">
        <f>1841*1.33</f>
        <v>2448.5300000000002</v>
      </c>
      <c r="M8" s="1">
        <f>+M5*1.1</f>
        <v>2530</v>
      </c>
      <c r="N8" s="1">
        <f t="shared" ref="N8:U8" si="13">+N5*1.1</f>
        <v>2530</v>
      </c>
      <c r="O8" s="1">
        <f t="shared" si="13"/>
        <v>2530</v>
      </c>
      <c r="P8" s="1">
        <f t="shared" si="13"/>
        <v>2530</v>
      </c>
      <c r="Q8" s="1">
        <f t="shared" si="13"/>
        <v>2530</v>
      </c>
      <c r="R8" s="1">
        <f t="shared" si="13"/>
        <v>2530</v>
      </c>
      <c r="S8" s="1">
        <f t="shared" si="13"/>
        <v>2530</v>
      </c>
      <c r="T8" s="1">
        <f t="shared" si="13"/>
        <v>2530</v>
      </c>
      <c r="U8" s="1">
        <f t="shared" si="13"/>
        <v>2530</v>
      </c>
    </row>
    <row r="9" spans="2:42" s="1" customFormat="1" x14ac:dyDescent="0.25">
      <c r="B9" s="1" t="s">
        <v>3</v>
      </c>
      <c r="I9" s="1">
        <f>+I7+I8</f>
        <v>8360</v>
      </c>
      <c r="J9" s="1">
        <f t="shared" ref="J9:M9" si="14">+J7+J8</f>
        <v>8541</v>
      </c>
      <c r="K9" s="1">
        <f t="shared" si="14"/>
        <v>8643</v>
      </c>
      <c r="L9" s="1">
        <f t="shared" si="14"/>
        <v>8993.4600000000009</v>
      </c>
      <c r="M9" s="1">
        <f t="shared" si="14"/>
        <v>9736.2999999999993</v>
      </c>
      <c r="N9" s="1">
        <f t="shared" ref="N9" si="15">+N7+N8</f>
        <v>10312.804</v>
      </c>
      <c r="O9" s="1">
        <f t="shared" ref="O9" si="16">+O7+O8</f>
        <v>10935.428320000003</v>
      </c>
      <c r="P9" s="1">
        <f t="shared" ref="P9" si="17">+P7+P8</f>
        <v>11607.862585600004</v>
      </c>
      <c r="Q9" s="1">
        <f t="shared" ref="Q9" si="18">+Q7+Q8</f>
        <v>12334.091592448005</v>
      </c>
      <c r="R9" s="1">
        <f t="shared" ref="R9" si="19">+R7+R8</f>
        <v>13118.418919843845</v>
      </c>
      <c r="S9" s="1">
        <f t="shared" ref="S9" si="20">+S7+S8</f>
        <v>13965.492433431355</v>
      </c>
      <c r="T9" s="1">
        <f t="shared" ref="T9" si="21">+T7+T8</f>
        <v>14880.331828105864</v>
      </c>
      <c r="U9" s="1">
        <f t="shared" ref="U9" si="22">+U7+U8</f>
        <v>15868.358374354333</v>
      </c>
    </row>
    <row r="10" spans="2:42" s="1" customFormat="1" x14ac:dyDescent="0.25">
      <c r="B10" s="1" t="s">
        <v>4</v>
      </c>
      <c r="I10" s="1">
        <f>+I6-I9</f>
        <v>22992</v>
      </c>
      <c r="J10" s="1">
        <f t="shared" ref="J10:M10" si="23">+J6-J9</f>
        <v>26316</v>
      </c>
      <c r="K10" s="1">
        <f t="shared" si="23"/>
        <v>29252</v>
      </c>
      <c r="L10" s="1">
        <f t="shared" si="23"/>
        <v>32456.54</v>
      </c>
      <c r="M10" s="1">
        <f t="shared" si="23"/>
        <v>34953.699999999997</v>
      </c>
      <c r="N10" s="1">
        <f t="shared" ref="N10" si="24">+N6-N9</f>
        <v>37768.396000000008</v>
      </c>
      <c r="O10" s="1">
        <f t="shared" ref="O10" si="25">+O6-O9</f>
        <v>40808.267680000004</v>
      </c>
      <c r="P10" s="1">
        <f t="shared" ref="P10" si="26">+P6-P9</f>
        <v>44091.329094400018</v>
      </c>
      <c r="Q10" s="1">
        <f t="shared" ref="Q10" si="27">+Q6-Q9</f>
        <v>47637.035421952016</v>
      </c>
      <c r="R10" s="1">
        <f t="shared" ref="R10" si="28">+R6-R9</f>
        <v>51466.398255708184</v>
      </c>
      <c r="S10" s="1">
        <f t="shared" ref="S10" si="29">+S6-S9</f>
        <v>55602.11011616484</v>
      </c>
      <c r="T10" s="1">
        <f t="shared" ref="T10" si="30">+T6-T9</f>
        <v>60068.678925458036</v>
      </c>
      <c r="U10" s="1">
        <f t="shared" ref="U10" si="31">+U6-U9</f>
        <v>64892.573239494675</v>
      </c>
    </row>
    <row r="11" spans="2:42" s="1" customFormat="1" x14ac:dyDescent="0.25">
      <c r="B11" s="1" t="s">
        <v>5</v>
      </c>
      <c r="I11" s="1">
        <v>5055</v>
      </c>
      <c r="J11" s="1">
        <v>4906</v>
      </c>
      <c r="K11" s="1">
        <v>5493</v>
      </c>
      <c r="L11" s="1">
        <f>4374*1.33</f>
        <v>5817.42</v>
      </c>
      <c r="M11" s="1">
        <f>+L11*1.05</f>
        <v>6108.2910000000002</v>
      </c>
      <c r="N11" s="1">
        <f t="shared" ref="N11:P11" si="32">+M11*1.05</f>
        <v>6413.7055500000006</v>
      </c>
      <c r="O11" s="1">
        <f t="shared" si="32"/>
        <v>6734.3908275000013</v>
      </c>
      <c r="P11" s="1">
        <f t="shared" si="32"/>
        <v>7071.1103688750018</v>
      </c>
      <c r="Q11" s="1">
        <f t="shared" ref="Q11:U11" si="33">+P11*1.04</f>
        <v>7353.9547836300017</v>
      </c>
      <c r="R11" s="1">
        <f t="shared" si="33"/>
        <v>7648.1129749752017</v>
      </c>
      <c r="S11" s="1">
        <f t="shared" si="33"/>
        <v>7954.0374939742096</v>
      </c>
      <c r="T11" s="1">
        <f t="shared" si="33"/>
        <v>8272.1989937331782</v>
      </c>
      <c r="U11" s="1">
        <f t="shared" si="33"/>
        <v>8603.0869534825051</v>
      </c>
    </row>
    <row r="12" spans="2:42" s="1" customFormat="1" x14ac:dyDescent="0.25">
      <c r="B12" s="1" t="s">
        <v>6</v>
      </c>
      <c r="I12" s="1">
        <v>13526</v>
      </c>
      <c r="J12" s="1">
        <v>12877</v>
      </c>
      <c r="K12" s="1">
        <v>13257</v>
      </c>
      <c r="L12" s="1">
        <f>10328*1.33</f>
        <v>13736.240000000002</v>
      </c>
      <c r="M12" s="1">
        <f>+L12*1.02</f>
        <v>14010.964800000002</v>
      </c>
      <c r="N12" s="1">
        <f>+N6*0.3</f>
        <v>14424.36</v>
      </c>
      <c r="O12" s="1">
        <f>+O6*0.3</f>
        <v>15523.108800000002</v>
      </c>
      <c r="P12" s="1">
        <f t="shared" ref="P12:U12" si="34">+P6*0.3</f>
        <v>16709.757504000005</v>
      </c>
      <c r="Q12" s="1">
        <f t="shared" si="34"/>
        <v>17991.338104320006</v>
      </c>
      <c r="R12" s="1">
        <f t="shared" si="34"/>
        <v>19375.445152665608</v>
      </c>
      <c r="S12" s="1">
        <f t="shared" si="34"/>
        <v>20870.280764878858</v>
      </c>
      <c r="T12" s="1">
        <f t="shared" si="34"/>
        <v>22484.703226069167</v>
      </c>
      <c r="U12" s="1">
        <f t="shared" si="34"/>
        <v>24228.279484154704</v>
      </c>
    </row>
    <row r="13" spans="2:42" s="1" customFormat="1" x14ac:dyDescent="0.25">
      <c r="B13" s="1" t="s">
        <v>7</v>
      </c>
      <c r="I13" s="1">
        <v>2553</v>
      </c>
      <c r="J13" s="1">
        <v>2534</v>
      </c>
      <c r="K13" s="1">
        <v>2836</v>
      </c>
      <c r="L13" s="1">
        <f>2098*1.33</f>
        <v>2790.34</v>
      </c>
      <c r="M13" s="1">
        <f>+M6*0.07</f>
        <v>3128.3</v>
      </c>
      <c r="N13" s="1">
        <f t="shared" ref="N13:U13" si="35">+N6*0.07</f>
        <v>3365.6840000000007</v>
      </c>
      <c r="O13" s="1">
        <f t="shared" si="35"/>
        <v>3622.0587200000009</v>
      </c>
      <c r="P13" s="1">
        <f t="shared" si="35"/>
        <v>3898.9434176000018</v>
      </c>
      <c r="Q13" s="1">
        <f t="shared" si="35"/>
        <v>4197.9788910080024</v>
      </c>
      <c r="R13" s="1">
        <f t="shared" si="35"/>
        <v>4520.9372022886428</v>
      </c>
      <c r="S13" s="1">
        <f t="shared" si="35"/>
        <v>4869.7321784717342</v>
      </c>
      <c r="T13" s="1">
        <f t="shared" si="35"/>
        <v>5246.430752749473</v>
      </c>
      <c r="U13" s="1">
        <f t="shared" si="35"/>
        <v>5653.2652129694316</v>
      </c>
    </row>
    <row r="14" spans="2:42" s="1" customFormat="1" x14ac:dyDescent="0.25">
      <c r="B14" s="1" t="s">
        <v>8</v>
      </c>
      <c r="I14" s="1">
        <v>828</v>
      </c>
      <c r="J14" s="1">
        <v>988</v>
      </c>
      <c r="K14" s="1">
        <v>461</v>
      </c>
      <c r="L14" s="1">
        <v>400</v>
      </c>
      <c r="M14" s="1">
        <v>400</v>
      </c>
      <c r="N14" s="1">
        <v>400</v>
      </c>
      <c r="O14" s="1">
        <v>400</v>
      </c>
      <c r="P14" s="1">
        <v>400</v>
      </c>
      <c r="Q14" s="1">
        <v>400</v>
      </c>
      <c r="R14" s="1">
        <v>400</v>
      </c>
      <c r="S14" s="1">
        <v>400</v>
      </c>
      <c r="T14" s="1">
        <v>400</v>
      </c>
      <c r="U14" s="1">
        <v>400</v>
      </c>
    </row>
    <row r="15" spans="2:42" s="1" customFormat="1" x14ac:dyDescent="0.25">
      <c r="B15" s="1" t="s">
        <v>9</v>
      </c>
      <c r="I15" s="1">
        <f>+SUM(I11:I14)</f>
        <v>21962</v>
      </c>
      <c r="J15" s="1">
        <f t="shared" ref="J15:M15" si="36">+SUM(J11:J14)</f>
        <v>21305</v>
      </c>
      <c r="K15" s="1">
        <f t="shared" si="36"/>
        <v>22047</v>
      </c>
      <c r="L15" s="1">
        <f t="shared" si="36"/>
        <v>22744.000000000004</v>
      </c>
      <c r="M15" s="1">
        <f t="shared" si="36"/>
        <v>23647.555800000002</v>
      </c>
      <c r="N15" s="1">
        <f t="shared" ref="N15" si="37">+SUM(N11:N14)</f>
        <v>24603.74955</v>
      </c>
      <c r="O15" s="1">
        <f t="shared" ref="O15" si="38">+SUM(O11:O14)</f>
        <v>26279.558347500002</v>
      </c>
      <c r="P15" s="1">
        <f t="shared" ref="P15" si="39">+SUM(P11:P14)</f>
        <v>28079.811290475009</v>
      </c>
      <c r="Q15" s="1">
        <f t="shared" ref="Q15" si="40">+SUM(Q11:Q14)</f>
        <v>29943.271778958009</v>
      </c>
      <c r="R15" s="1">
        <f t="shared" ref="R15" si="41">+SUM(R11:R14)</f>
        <v>31944.495329929454</v>
      </c>
      <c r="S15" s="1">
        <f t="shared" ref="S15" si="42">+SUM(S11:S14)</f>
        <v>34094.050437324804</v>
      </c>
      <c r="T15" s="1">
        <f t="shared" ref="T15" si="43">+SUM(T11:T14)</f>
        <v>36403.33297255182</v>
      </c>
      <c r="U15" s="1">
        <f t="shared" ref="U15" si="44">+SUM(U11:U14)</f>
        <v>38884.631650606643</v>
      </c>
    </row>
    <row r="16" spans="2:42" s="2" customFormat="1" x14ac:dyDescent="0.25">
      <c r="B16" s="2" t="s">
        <v>10</v>
      </c>
      <c r="I16" s="2">
        <f>+I10-I15</f>
        <v>1030</v>
      </c>
      <c r="J16" s="2">
        <f t="shared" ref="J16:M16" si="45">+J10-J15</f>
        <v>5011</v>
      </c>
      <c r="K16" s="2">
        <f t="shared" si="45"/>
        <v>7205</v>
      </c>
      <c r="L16" s="2">
        <f t="shared" si="45"/>
        <v>9712.5399999999972</v>
      </c>
      <c r="M16" s="2">
        <f t="shared" si="45"/>
        <v>11306.144199999995</v>
      </c>
      <c r="N16" s="2">
        <f t="shared" ref="N16" si="46">+N10-N15</f>
        <v>13164.646450000007</v>
      </c>
      <c r="O16" s="2">
        <f t="shared" ref="O16" si="47">+O10-O15</f>
        <v>14528.709332500002</v>
      </c>
      <c r="P16" s="2">
        <f t="shared" ref="P16" si="48">+P10-P15</f>
        <v>16011.51780392501</v>
      </c>
      <c r="Q16" s="2">
        <f t="shared" ref="Q16" si="49">+Q10-Q15</f>
        <v>17693.763642994007</v>
      </c>
      <c r="R16" s="2">
        <f t="shared" ref="R16" si="50">+R10-R15</f>
        <v>19521.90292577873</v>
      </c>
      <c r="S16" s="2">
        <f t="shared" ref="S16" si="51">+S10-S15</f>
        <v>21508.059678840036</v>
      </c>
      <c r="T16" s="2">
        <f t="shared" ref="T16" si="52">+T10-T15</f>
        <v>23665.345952906217</v>
      </c>
      <c r="U16" s="2">
        <f t="shared" ref="U16" si="53">+U10-U15</f>
        <v>26007.941588888032</v>
      </c>
    </row>
    <row r="17" spans="2:106" s="1" customFormat="1" x14ac:dyDescent="0.25">
      <c r="B17" s="1" t="s">
        <v>15</v>
      </c>
      <c r="I17" s="1">
        <v>-239</v>
      </c>
      <c r="J17" s="1">
        <v>-277</v>
      </c>
      <c r="K17" s="1">
        <v>-121</v>
      </c>
      <c r="L17" s="1">
        <f>206*1.33</f>
        <v>273.98</v>
      </c>
      <c r="M17" s="1">
        <v>300</v>
      </c>
      <c r="N17" s="1">
        <v>300</v>
      </c>
      <c r="O17" s="1">
        <v>300</v>
      </c>
      <c r="P17" s="1">
        <v>300</v>
      </c>
      <c r="Q17" s="1">
        <v>300</v>
      </c>
      <c r="R17" s="1">
        <v>300</v>
      </c>
      <c r="S17" s="1">
        <v>300</v>
      </c>
      <c r="T17" s="1">
        <v>300</v>
      </c>
      <c r="U17" s="1">
        <v>300</v>
      </c>
    </row>
    <row r="18" spans="2:106" s="1" customFormat="1" x14ac:dyDescent="0.25">
      <c r="B18" s="1" t="s">
        <v>11</v>
      </c>
      <c r="I18" s="1">
        <v>-131</v>
      </c>
      <c r="J18" s="1">
        <v>216</v>
      </c>
      <c r="K18" s="1">
        <v>354</v>
      </c>
      <c r="L18" s="1">
        <f>224*1.33</f>
        <v>297.92</v>
      </c>
      <c r="M18" s="1">
        <v>300</v>
      </c>
      <c r="N18" s="1">
        <v>300</v>
      </c>
      <c r="O18" s="1">
        <v>300</v>
      </c>
      <c r="P18" s="1">
        <v>300</v>
      </c>
      <c r="Q18" s="1">
        <v>300</v>
      </c>
      <c r="R18" s="1">
        <v>300</v>
      </c>
      <c r="S18" s="1">
        <v>300</v>
      </c>
      <c r="T18" s="1">
        <v>300</v>
      </c>
      <c r="U18" s="1">
        <v>300</v>
      </c>
    </row>
    <row r="19" spans="2:106" s="1" customFormat="1" x14ac:dyDescent="0.25">
      <c r="B19" s="1" t="s">
        <v>12</v>
      </c>
      <c r="I19" s="1">
        <f>+I16+I17+I18</f>
        <v>660</v>
      </c>
      <c r="J19" s="1">
        <f t="shared" ref="J19:M19" si="54">+J16+J17+J18</f>
        <v>4950</v>
      </c>
      <c r="K19" s="1">
        <f t="shared" si="54"/>
        <v>7438</v>
      </c>
      <c r="L19" s="1">
        <f t="shared" si="54"/>
        <v>10284.439999999997</v>
      </c>
      <c r="M19" s="1">
        <f t="shared" si="54"/>
        <v>11906.144199999995</v>
      </c>
      <c r="N19" s="1">
        <f t="shared" ref="N19" si="55">+N16+N17+N18</f>
        <v>13764.646450000007</v>
      </c>
      <c r="O19" s="1">
        <f t="shared" ref="O19" si="56">+O16+O17+O18</f>
        <v>15128.709332500002</v>
      </c>
      <c r="P19" s="1">
        <f t="shared" ref="P19" si="57">+P16+P17+P18</f>
        <v>16611.51780392501</v>
      </c>
      <c r="Q19" s="1">
        <f t="shared" ref="Q19" si="58">+Q16+Q17+Q18</f>
        <v>18293.763642994007</v>
      </c>
      <c r="R19" s="1">
        <f t="shared" ref="R19" si="59">+R16+R17+R18</f>
        <v>20121.90292577873</v>
      </c>
      <c r="S19" s="1">
        <f t="shared" ref="S19" si="60">+S16+S17+S18</f>
        <v>22108.059678840036</v>
      </c>
      <c r="T19" s="1">
        <f t="shared" ref="T19" si="61">+T16+T17+T18</f>
        <v>24265.345952906217</v>
      </c>
      <c r="U19" s="1">
        <f t="shared" ref="U19" si="62">+U16+U17+U18</f>
        <v>26607.941588888032</v>
      </c>
    </row>
    <row r="20" spans="2:106" s="1" customFormat="1" x14ac:dyDescent="0.25">
      <c r="B20" s="1" t="s">
        <v>13</v>
      </c>
      <c r="I20" s="1">
        <v>452</v>
      </c>
      <c r="J20" s="1">
        <v>814</v>
      </c>
      <c r="K20" s="1">
        <v>1241</v>
      </c>
      <c r="L20" s="1">
        <v>1378</v>
      </c>
      <c r="M20" s="1">
        <f>+M19*0.15</f>
        <v>1785.9216299999991</v>
      </c>
      <c r="N20" s="1">
        <f t="shared" ref="N20:U20" si="63">+N19*0.15</f>
        <v>2064.6969675000009</v>
      </c>
      <c r="O20" s="1">
        <f t="shared" si="63"/>
        <v>2269.3063998750004</v>
      </c>
      <c r="P20" s="1">
        <f t="shared" si="63"/>
        <v>2491.7276705887512</v>
      </c>
      <c r="Q20" s="1">
        <f t="shared" si="63"/>
        <v>2744.0645464491008</v>
      </c>
      <c r="R20" s="1">
        <f t="shared" si="63"/>
        <v>3018.2854388668093</v>
      </c>
      <c r="S20" s="1">
        <f t="shared" si="63"/>
        <v>3316.2089518260054</v>
      </c>
      <c r="T20" s="1">
        <f t="shared" si="63"/>
        <v>3639.8018929359323</v>
      </c>
      <c r="U20" s="1">
        <f t="shared" si="63"/>
        <v>3991.1912383332046</v>
      </c>
    </row>
    <row r="21" spans="2:106" s="2" customFormat="1" x14ac:dyDescent="0.25">
      <c r="B21" s="2" t="s">
        <v>14</v>
      </c>
      <c r="I21" s="2">
        <f>+I19-I20</f>
        <v>208</v>
      </c>
      <c r="J21" s="2">
        <f t="shared" ref="J21:M21" si="64">+J19-J20</f>
        <v>4136</v>
      </c>
      <c r="K21" s="2">
        <f t="shared" si="64"/>
        <v>6197</v>
      </c>
      <c r="L21" s="2">
        <f t="shared" si="64"/>
        <v>8906.4399999999969</v>
      </c>
      <c r="M21" s="2">
        <f t="shared" si="64"/>
        <v>10120.222569999996</v>
      </c>
      <c r="N21" s="2">
        <f t="shared" ref="N21" si="65">+N19-N20</f>
        <v>11699.949482500007</v>
      </c>
      <c r="O21" s="2">
        <f t="shared" ref="O21" si="66">+O19-O20</f>
        <v>12859.402932625002</v>
      </c>
      <c r="P21" s="2">
        <f t="shared" ref="P21" si="67">+P19-P20</f>
        <v>14119.790133336259</v>
      </c>
      <c r="Q21" s="2">
        <f t="shared" ref="Q21" si="68">+Q19-Q20</f>
        <v>15549.699096544906</v>
      </c>
      <c r="R21" s="2">
        <f t="shared" ref="R21" si="69">+R19-R20</f>
        <v>17103.61748691192</v>
      </c>
      <c r="S21" s="2">
        <f t="shared" ref="S21" si="70">+S19-S20</f>
        <v>18791.850727014033</v>
      </c>
      <c r="T21" s="2">
        <f t="shared" ref="T21" si="71">+T19-T20</f>
        <v>20625.544059970285</v>
      </c>
      <c r="U21" s="2">
        <f t="shared" ref="U21" si="72">+U19-U20</f>
        <v>22616.750350554827</v>
      </c>
      <c r="V21" s="2">
        <f>+U21*(1+$X30)</f>
        <v>23069.085357565924</v>
      </c>
      <c r="W21" s="2">
        <f t="shared" ref="W21:CH21" si="73">+V21*(1+$X30)</f>
        <v>23530.467064717242</v>
      </c>
      <c r="X21" s="2">
        <f t="shared" si="73"/>
        <v>24001.076406011587</v>
      </c>
      <c r="Y21" s="2">
        <f t="shared" si="73"/>
        <v>24481.09793413182</v>
      </c>
      <c r="Z21" s="2">
        <f t="shared" si="73"/>
        <v>24970.719892814457</v>
      </c>
      <c r="AA21" s="2">
        <f t="shared" si="73"/>
        <v>25470.134290670747</v>
      </c>
      <c r="AB21" s="2">
        <f t="shared" si="73"/>
        <v>25979.536976484163</v>
      </c>
      <c r="AC21" s="2">
        <f t="shared" si="73"/>
        <v>26499.127716013849</v>
      </c>
      <c r="AD21" s="2">
        <f t="shared" si="73"/>
        <v>27029.110270334128</v>
      </c>
      <c r="AE21" s="2">
        <f t="shared" si="73"/>
        <v>27569.692475740812</v>
      </c>
      <c r="AF21" s="2">
        <f t="shared" si="73"/>
        <v>28121.08632525563</v>
      </c>
      <c r="AG21" s="2">
        <f t="shared" si="73"/>
        <v>28683.508051760742</v>
      </c>
      <c r="AH21" s="2">
        <f t="shared" si="73"/>
        <v>29257.178212795956</v>
      </c>
      <c r="AI21" s="2">
        <f t="shared" si="73"/>
        <v>29842.321777051875</v>
      </c>
      <c r="AJ21" s="2">
        <f t="shared" si="73"/>
        <v>30439.168212592915</v>
      </c>
      <c r="AK21" s="2">
        <f t="shared" si="73"/>
        <v>31047.951576844775</v>
      </c>
      <c r="AL21" s="2">
        <f t="shared" si="73"/>
        <v>31668.91060838167</v>
      </c>
      <c r="AM21" s="2">
        <f t="shared" si="73"/>
        <v>32302.288820549304</v>
      </c>
      <c r="AN21" s="2">
        <f t="shared" si="73"/>
        <v>32948.334596960289</v>
      </c>
      <c r="AO21" s="2">
        <f t="shared" si="73"/>
        <v>33607.301288899493</v>
      </c>
      <c r="AP21" s="2">
        <f t="shared" si="73"/>
        <v>34279.447314677484</v>
      </c>
      <c r="AQ21" s="2">
        <f t="shared" si="73"/>
        <v>34965.036260971036</v>
      </c>
      <c r="AR21" s="2">
        <f t="shared" si="73"/>
        <v>35664.336986190458</v>
      </c>
      <c r="AS21" s="2">
        <f t="shared" si="73"/>
        <v>36377.623725914265</v>
      </c>
      <c r="AT21" s="2">
        <f t="shared" si="73"/>
        <v>37105.17620043255</v>
      </c>
      <c r="AU21" s="2">
        <f t="shared" si="73"/>
        <v>37847.2797244412</v>
      </c>
      <c r="AV21" s="2">
        <f t="shared" si="73"/>
        <v>38604.225318930025</v>
      </c>
      <c r="AW21" s="2">
        <f t="shared" si="73"/>
        <v>39376.309825308628</v>
      </c>
      <c r="AX21" s="2">
        <f t="shared" si="73"/>
        <v>40163.836021814801</v>
      </c>
      <c r="AY21" s="2">
        <f t="shared" si="73"/>
        <v>40967.112742251098</v>
      </c>
      <c r="AZ21" s="2">
        <f t="shared" si="73"/>
        <v>41786.454997096123</v>
      </c>
      <c r="BA21" s="2">
        <f t="shared" si="73"/>
        <v>42622.184097038044</v>
      </c>
      <c r="BB21" s="2">
        <f t="shared" si="73"/>
        <v>43474.627778978807</v>
      </c>
      <c r="BC21" s="2">
        <f t="shared" si="73"/>
        <v>44344.120334558385</v>
      </c>
      <c r="BD21" s="2">
        <f t="shared" si="73"/>
        <v>45231.002741249555</v>
      </c>
      <c r="BE21" s="2">
        <f t="shared" si="73"/>
        <v>46135.622796074545</v>
      </c>
      <c r="BF21" s="2">
        <f t="shared" si="73"/>
        <v>47058.335251996039</v>
      </c>
      <c r="BG21" s="2">
        <f t="shared" si="73"/>
        <v>47999.501957035958</v>
      </c>
      <c r="BH21" s="2">
        <f t="shared" si="73"/>
        <v>48959.491996176679</v>
      </c>
      <c r="BI21" s="2">
        <f t="shared" si="73"/>
        <v>49938.681836100215</v>
      </c>
      <c r="BJ21" s="2">
        <f t="shared" si="73"/>
        <v>50937.455472822221</v>
      </c>
      <c r="BK21" s="2">
        <f t="shared" si="73"/>
        <v>51956.204582278668</v>
      </c>
      <c r="BL21" s="2">
        <f t="shared" si="73"/>
        <v>52995.328673924239</v>
      </c>
      <c r="BM21" s="2">
        <f t="shared" si="73"/>
        <v>54055.235247402728</v>
      </c>
      <c r="BN21" s="2">
        <f t="shared" si="73"/>
        <v>55136.339952350783</v>
      </c>
      <c r="BO21" s="2">
        <f t="shared" si="73"/>
        <v>56239.066751397797</v>
      </c>
      <c r="BP21" s="2">
        <f t="shared" si="73"/>
        <v>57363.848086425751</v>
      </c>
      <c r="BQ21" s="2">
        <f t="shared" si="73"/>
        <v>58511.125048154267</v>
      </c>
      <c r="BR21" s="2">
        <f t="shared" si="73"/>
        <v>59681.347549117352</v>
      </c>
      <c r="BS21" s="2">
        <f t="shared" si="73"/>
        <v>60874.974500099699</v>
      </c>
      <c r="BT21" s="2">
        <f t="shared" si="73"/>
        <v>62092.473990101695</v>
      </c>
      <c r="BU21" s="2">
        <f t="shared" si="73"/>
        <v>63334.323469903728</v>
      </c>
      <c r="BV21" s="2">
        <f t="shared" si="73"/>
        <v>64601.009939301803</v>
      </c>
      <c r="BW21" s="2">
        <f t="shared" si="73"/>
        <v>65893.030138087837</v>
      </c>
      <c r="BX21" s="2">
        <f t="shared" si="73"/>
        <v>67210.890740849602</v>
      </c>
      <c r="BY21" s="2">
        <f t="shared" si="73"/>
        <v>68555.108555666593</v>
      </c>
      <c r="BZ21" s="2">
        <f t="shared" si="73"/>
        <v>69926.210726779929</v>
      </c>
      <c r="CA21" s="2">
        <f t="shared" si="73"/>
        <v>71324.734941315532</v>
      </c>
      <c r="CB21" s="2">
        <f t="shared" si="73"/>
        <v>72751.229640141843</v>
      </c>
      <c r="CC21" s="2">
        <f t="shared" si="73"/>
        <v>74206.254232944688</v>
      </c>
      <c r="CD21" s="2">
        <f t="shared" si="73"/>
        <v>75690.379317603583</v>
      </c>
      <c r="CE21" s="2">
        <f t="shared" si="73"/>
        <v>77204.186903955662</v>
      </c>
      <c r="CF21" s="2">
        <f t="shared" si="73"/>
        <v>78748.270642034782</v>
      </c>
      <c r="CG21" s="2">
        <f t="shared" si="73"/>
        <v>80323.23605487548</v>
      </c>
      <c r="CH21" s="2">
        <f t="shared" si="73"/>
        <v>81929.70077597299</v>
      </c>
      <c r="CI21" s="2">
        <f t="shared" ref="CI21:DB21" si="74">+CH21*(1+$X30)</f>
        <v>83568.294791492444</v>
      </c>
      <c r="CJ21" s="2">
        <f t="shared" si="74"/>
        <v>85239.660687322292</v>
      </c>
      <c r="CK21" s="2">
        <f t="shared" si="74"/>
        <v>86944.453901068744</v>
      </c>
      <c r="CL21" s="2">
        <f t="shared" si="74"/>
        <v>88683.342979090114</v>
      </c>
      <c r="CM21" s="2">
        <f t="shared" si="74"/>
        <v>90457.009838671918</v>
      </c>
      <c r="CN21" s="2">
        <f t="shared" si="74"/>
        <v>92266.15003544536</v>
      </c>
      <c r="CO21" s="2">
        <f t="shared" si="74"/>
        <v>94111.473036154275</v>
      </c>
      <c r="CP21" s="2">
        <f t="shared" si="74"/>
        <v>95993.702496877362</v>
      </c>
      <c r="CQ21" s="2">
        <f t="shared" si="74"/>
        <v>97913.576546814904</v>
      </c>
      <c r="CR21" s="2">
        <f t="shared" si="74"/>
        <v>99871.848077751201</v>
      </c>
      <c r="CS21" s="2">
        <f t="shared" si="74"/>
        <v>101869.28503930623</v>
      </c>
      <c r="CT21" s="2">
        <f t="shared" si="74"/>
        <v>103906.67074009235</v>
      </c>
      <c r="CU21" s="2">
        <f t="shared" si="74"/>
        <v>105984.8041548942</v>
      </c>
      <c r="CV21" s="2">
        <f t="shared" si="74"/>
        <v>108104.50023799208</v>
      </c>
      <c r="CW21" s="2">
        <f t="shared" si="74"/>
        <v>110266.59024275192</v>
      </c>
      <c r="CX21" s="2">
        <f t="shared" si="74"/>
        <v>112471.92204760696</v>
      </c>
      <c r="CY21" s="2">
        <f t="shared" si="74"/>
        <v>114721.3604885591</v>
      </c>
      <c r="CZ21" s="2">
        <f t="shared" si="74"/>
        <v>117015.78769833028</v>
      </c>
      <c r="DA21" s="2">
        <f t="shared" si="74"/>
        <v>119356.1034522969</v>
      </c>
      <c r="DB21" s="2">
        <f t="shared" si="74"/>
        <v>121743.22552134284</v>
      </c>
    </row>
    <row r="22" spans="2:106" s="1" customFormat="1" x14ac:dyDescent="0.25">
      <c r="B22" s="1" t="s">
        <v>36</v>
      </c>
      <c r="K22" s="6">
        <f>+K21/K23</f>
        <v>6.6136606189967981</v>
      </c>
      <c r="L22" s="6">
        <f>+L21/L23</f>
        <v>9.5052721451440743</v>
      </c>
      <c r="M22" s="6">
        <f t="shared" ref="M22:U22" si="75">+M21/M23</f>
        <v>10.800664429028812</v>
      </c>
      <c r="N22" s="6">
        <f t="shared" si="75"/>
        <v>12.486605637673433</v>
      </c>
      <c r="O22" s="6">
        <f t="shared" si="75"/>
        <v>13.724015936632872</v>
      </c>
      <c r="P22" s="6">
        <f t="shared" si="75"/>
        <v>15.069146353613936</v>
      </c>
      <c r="Q22" s="6">
        <f t="shared" si="75"/>
        <v>16.595196474434264</v>
      </c>
      <c r="R22" s="6">
        <f t="shared" si="75"/>
        <v>18.253593902787536</v>
      </c>
      <c r="S22" s="6">
        <f t="shared" si="75"/>
        <v>20.05533695519107</v>
      </c>
      <c r="T22" s="6">
        <f t="shared" si="75"/>
        <v>22.012320234760175</v>
      </c>
      <c r="U22" s="6">
        <f t="shared" si="75"/>
        <v>24.137406990987007</v>
      </c>
    </row>
    <row r="23" spans="2:106" s="1" customFormat="1" x14ac:dyDescent="0.25">
      <c r="B23" s="1" t="s">
        <v>33</v>
      </c>
      <c r="K23" s="1">
        <v>937</v>
      </c>
      <c r="L23" s="1">
        <f>+K23+0</f>
        <v>937</v>
      </c>
      <c r="M23" s="1">
        <f t="shared" ref="M23:U23" si="76">+L23+0</f>
        <v>937</v>
      </c>
      <c r="N23" s="1">
        <f t="shared" si="76"/>
        <v>937</v>
      </c>
      <c r="O23" s="1">
        <f t="shared" si="76"/>
        <v>937</v>
      </c>
      <c r="P23" s="1">
        <f t="shared" si="76"/>
        <v>937</v>
      </c>
      <c r="Q23" s="1">
        <f t="shared" si="76"/>
        <v>937</v>
      </c>
      <c r="R23" s="1">
        <f t="shared" si="76"/>
        <v>937</v>
      </c>
      <c r="S23" s="1">
        <f t="shared" si="76"/>
        <v>937</v>
      </c>
      <c r="T23" s="1">
        <f t="shared" si="76"/>
        <v>937</v>
      </c>
      <c r="U23" s="1">
        <f t="shared" si="76"/>
        <v>937</v>
      </c>
    </row>
    <row r="24" spans="2:106" s="1" customFormat="1" x14ac:dyDescent="0.25">
      <c r="K24" s="6"/>
      <c r="L24" s="6"/>
    </row>
    <row r="25" spans="2:106" s="3" customFormat="1" x14ac:dyDescent="0.25">
      <c r="B25" s="3" t="s">
        <v>16</v>
      </c>
      <c r="I25" s="3">
        <f>+I10/I6</f>
        <v>0.73335034447563152</v>
      </c>
      <c r="J25" s="3">
        <f t="shared" ref="J25:K25" si="77">+J10/J6</f>
        <v>0.75497030725535763</v>
      </c>
      <c r="K25" s="3">
        <f t="shared" si="77"/>
        <v>0.77192241720543608</v>
      </c>
      <c r="L25" s="3">
        <f t="shared" ref="L25:U25" si="78">+L10/L6</f>
        <v>0.78302870928829915</v>
      </c>
      <c r="M25" s="3">
        <f t="shared" si="78"/>
        <v>0.78213694338778239</v>
      </c>
      <c r="N25" s="3">
        <f t="shared" si="78"/>
        <v>0.78551275758508532</v>
      </c>
      <c r="O25" s="3">
        <f t="shared" si="78"/>
        <v>0.78866163097433151</v>
      </c>
      <c r="P25" s="3">
        <f t="shared" si="78"/>
        <v>0.79159728830018106</v>
      </c>
      <c r="Q25" s="3">
        <f t="shared" si="78"/>
        <v>0.79433283637497099</v>
      </c>
      <c r="R25" s="3">
        <f t="shared" si="78"/>
        <v>0.79688076093509952</v>
      </c>
      <c r="S25" s="3">
        <f t="shared" si="78"/>
        <v>0.79925292921406821</v>
      </c>
      <c r="T25" s="3">
        <f t="shared" si="78"/>
        <v>0.80146059729816665</v>
      </c>
      <c r="U25" s="3">
        <f t="shared" si="78"/>
        <v>0.80351442142560425</v>
      </c>
    </row>
    <row r="26" spans="2:106" s="3" customFormat="1" x14ac:dyDescent="0.25">
      <c r="B26" s="3" t="s">
        <v>23</v>
      </c>
      <c r="I26" s="3">
        <f>+I7/I4</f>
        <v>0.20057889114778954</v>
      </c>
      <c r="J26" s="3">
        <f t="shared" ref="J26:K26" si="79">+J7/J4</f>
        <v>0.18984540676767986</v>
      </c>
      <c r="K26" s="3">
        <f t="shared" si="79"/>
        <v>0.17371563104347096</v>
      </c>
      <c r="L26" s="3">
        <f t="shared" ref="L26" si="80">+L7/L4</f>
        <v>0.16674980891719746</v>
      </c>
    </row>
    <row r="27" spans="2:106" s="3" customFormat="1" x14ac:dyDescent="0.25">
      <c r="B27" s="3" t="s">
        <v>24</v>
      </c>
      <c r="I27" s="3">
        <f>+I8/I5</f>
        <v>1.0892320892320893</v>
      </c>
      <c r="J27" s="3">
        <f t="shared" ref="J27:K27" si="81">+J8/J5</f>
        <v>1.0189655172413794</v>
      </c>
      <c r="K27" s="3">
        <f t="shared" si="81"/>
        <v>1.1033393501805053</v>
      </c>
      <c r="L27" s="3">
        <f t="shared" ref="L27" si="82">+L8/L5</f>
        <v>1.1129681818181818</v>
      </c>
    </row>
    <row r="28" spans="2:106" s="3" customFormat="1" x14ac:dyDescent="0.25">
      <c r="B28" s="3" t="s">
        <v>35</v>
      </c>
      <c r="I28" s="3">
        <f>+I16/I6</f>
        <v>3.2852768563409032E-2</v>
      </c>
      <c r="J28" s="3">
        <f t="shared" ref="J28:T28" si="83">+J16/J6</f>
        <v>0.14375878589666352</v>
      </c>
      <c r="K28" s="3">
        <f t="shared" si="83"/>
        <v>0.19013062409288825</v>
      </c>
      <c r="L28" s="3">
        <f t="shared" si="83"/>
        <v>0.23431942098914349</v>
      </c>
      <c r="M28" s="3">
        <f t="shared" si="83"/>
        <v>0.25299047214141857</v>
      </c>
      <c r="N28" s="3">
        <f t="shared" si="83"/>
        <v>0.27380028888630081</v>
      </c>
      <c r="O28" s="3">
        <f t="shared" si="83"/>
        <v>0.28078221031021827</v>
      </c>
      <c r="P28" s="3">
        <f t="shared" si="83"/>
        <v>0.28746409635374093</v>
      </c>
      <c r="Q28" s="3">
        <f t="shared" si="83"/>
        <v>0.29503803786687971</v>
      </c>
      <c r="R28" s="3">
        <f t="shared" si="83"/>
        <v>0.30226768115972247</v>
      </c>
      <c r="S28" s="3">
        <f t="shared" si="83"/>
        <v>0.30916775755649323</v>
      </c>
      <c r="T28" s="3">
        <f t="shared" si="83"/>
        <v>0.31575261254239978</v>
      </c>
      <c r="U28" s="3">
        <f>+U16/U6</f>
        <v>0.32203617602187429</v>
      </c>
    </row>
    <row r="29" spans="2:106" s="3" customFormat="1" x14ac:dyDescent="0.25">
      <c r="B29" s="3" t="s">
        <v>17</v>
      </c>
      <c r="I29" s="3">
        <f>+I21/I6</f>
        <v>6.6343454963000764E-3</v>
      </c>
      <c r="J29" s="3">
        <f t="shared" ref="J29:K29" si="84">+J21/J6</f>
        <v>0.11865622400091803</v>
      </c>
      <c r="K29" s="3">
        <f t="shared" si="84"/>
        <v>0.16353080881382767</v>
      </c>
      <c r="L29" s="3">
        <f t="shared" ref="L29:U29" si="85">+L21/L6</f>
        <v>0.21487189384800959</v>
      </c>
      <c r="M29" s="3">
        <f t="shared" si="85"/>
        <v>0.22645385030208093</v>
      </c>
      <c r="N29" s="3">
        <f t="shared" si="85"/>
        <v>0.2433373019496187</v>
      </c>
      <c r="O29" s="3">
        <f t="shared" si="85"/>
        <v>0.24852115188341009</v>
      </c>
      <c r="P29" s="3">
        <f t="shared" si="85"/>
        <v>0.25350080867342767</v>
      </c>
      <c r="Q29" s="3">
        <f t="shared" si="85"/>
        <v>0.25928642449576067</v>
      </c>
      <c r="R29" s="3">
        <f t="shared" si="85"/>
        <v>0.26482412175018638</v>
      </c>
      <c r="S29" s="3">
        <f t="shared" si="85"/>
        <v>0.2701235925676313</v>
      </c>
      <c r="T29" s="3">
        <f t="shared" si="85"/>
        <v>0.27519434683118243</v>
      </c>
      <c r="U29" s="3">
        <f t="shared" si="85"/>
        <v>0.28004568420154863</v>
      </c>
      <c r="W29" s="3" t="s">
        <v>25</v>
      </c>
      <c r="X29" s="3">
        <v>0.1</v>
      </c>
    </row>
    <row r="30" spans="2:106" s="3" customFormat="1" x14ac:dyDescent="0.25">
      <c r="B30" s="3" t="s">
        <v>22</v>
      </c>
      <c r="E30" s="3">
        <f t="shared" ref="E30:L30" si="86">+E6/D6 -1</f>
        <v>0.26015180265654658</v>
      </c>
      <c r="F30" s="3">
        <f t="shared" si="86"/>
        <v>0.28730612859509108</v>
      </c>
      <c r="G30" s="3">
        <f t="shared" si="86"/>
        <v>0.24295239209264241</v>
      </c>
      <c r="H30" s="3">
        <f t="shared" si="86"/>
        <v>0.24656502917372491</v>
      </c>
      <c r="I30" s="3">
        <f t="shared" si="86"/>
        <v>0.18345160803261362</v>
      </c>
      <c r="J30" s="3">
        <f t="shared" si="86"/>
        <v>0.11179510079101806</v>
      </c>
      <c r="K30" s="3">
        <f t="shared" si="86"/>
        <v>8.7156094902028247E-2</v>
      </c>
      <c r="L30" s="3">
        <f t="shared" si="86"/>
        <v>9.3811848528829733E-2</v>
      </c>
      <c r="M30" s="3">
        <f t="shared" ref="M30" si="87">+M6/L6 -1</f>
        <v>7.8166465621230419E-2</v>
      </c>
      <c r="N30" s="3">
        <f t="shared" ref="N30" si="88">+N6/M6 -1</f>
        <v>7.5882747818303953E-2</v>
      </c>
      <c r="O30" s="3">
        <f t="shared" ref="O30" si="89">+O6/N6 -1</f>
        <v>7.6173140437426845E-2</v>
      </c>
      <c r="P30" s="3">
        <f t="shared" ref="P30" si="90">+P6/O6 -1</f>
        <v>7.644401126660938E-2</v>
      </c>
      <c r="Q30" s="3">
        <f t="shared" ref="Q30" si="91">+Q6/P6 -1</f>
        <v>7.6696540929047874E-2</v>
      </c>
      <c r="R30" s="3">
        <f t="shared" ref="R30" si="92">+R6/Q6 -1</f>
        <v>7.693185689247084E-2</v>
      </c>
      <c r="S30" s="3">
        <f t="shared" ref="S30" si="93">+S6/R6 -1</f>
        <v>7.7151033198718189E-2</v>
      </c>
      <c r="T30" s="3">
        <f t="shared" ref="T30" si="94">+T6/S6 -1</f>
        <v>7.7355090685081285E-2</v>
      </c>
      <c r="U30" s="3">
        <f t="shared" ref="U30" si="95">+U6/T6 -1</f>
        <v>7.7544997617046585E-2</v>
      </c>
      <c r="W30" s="3" t="s">
        <v>26</v>
      </c>
      <c r="X30" s="3">
        <v>0.02</v>
      </c>
    </row>
    <row r="31" spans="2:106" s="3" customFormat="1" x14ac:dyDescent="0.25">
      <c r="B31" s="1" t="s">
        <v>5</v>
      </c>
      <c r="I31" s="3">
        <f>+I11/I$6</f>
        <v>0.16123373309517733</v>
      </c>
      <c r="J31" s="3">
        <f t="shared" ref="J31:K31" si="96">+J11/J$6</f>
        <v>0.14074647846917404</v>
      </c>
      <c r="K31" s="3">
        <f t="shared" si="96"/>
        <v>0.14495316004749967</v>
      </c>
      <c r="L31" s="3">
        <f t="shared" ref="L31:U31" si="97">+L11/L$6</f>
        <v>0.14034788902291917</v>
      </c>
      <c r="M31" s="3">
        <f t="shared" si="97"/>
        <v>0.13668138285970016</v>
      </c>
      <c r="N31" s="3">
        <f t="shared" si="97"/>
        <v>0.1333932087801469</v>
      </c>
      <c r="O31" s="3">
        <f t="shared" si="97"/>
        <v>0.13014901037413329</v>
      </c>
      <c r="P31" s="3">
        <f t="shared" si="97"/>
        <v>0.12695175918350057</v>
      </c>
      <c r="Q31" s="3">
        <f t="shared" si="97"/>
        <v>0.12262492218737527</v>
      </c>
      <c r="R31" s="3">
        <f t="shared" si="97"/>
        <v>0.118419673685634</v>
      </c>
      <c r="S31" s="3">
        <f t="shared" si="97"/>
        <v>0.11433536879905572</v>
      </c>
      <c r="T31" s="3">
        <f t="shared" si="97"/>
        <v>0.11037102305369424</v>
      </c>
      <c r="U31" s="3">
        <f t="shared" si="97"/>
        <v>0.10652535553474515</v>
      </c>
      <c r="W31" s="1" t="s">
        <v>27</v>
      </c>
      <c r="X31" s="1">
        <f>NPV(X29,L21:DB21)</f>
        <v>197584.36346793707</v>
      </c>
    </row>
    <row r="32" spans="2:106" s="3" customFormat="1" x14ac:dyDescent="0.25">
      <c r="B32" s="1" t="s">
        <v>6</v>
      </c>
      <c r="I32" s="3">
        <f>+I12/I$6</f>
        <v>0.43142383261035977</v>
      </c>
      <c r="J32" s="3">
        <f t="shared" ref="J32:K32" si="98">+J12/J$6</f>
        <v>0.36942364517887366</v>
      </c>
      <c r="K32" s="3">
        <f t="shared" si="98"/>
        <v>0.34983507058978758</v>
      </c>
      <c r="L32" s="3">
        <f t="shared" ref="L32:U32" si="99">+L12/L$6</f>
        <v>0.33139300361881791</v>
      </c>
      <c r="M32" s="3">
        <f t="shared" si="99"/>
        <v>0.31351454016558516</v>
      </c>
      <c r="N32" s="3">
        <f t="shared" si="99"/>
        <v>0.3</v>
      </c>
      <c r="O32" s="3">
        <f t="shared" si="99"/>
        <v>0.3</v>
      </c>
      <c r="P32" s="3">
        <f t="shared" si="99"/>
        <v>0.3</v>
      </c>
      <c r="Q32" s="3">
        <f t="shared" si="99"/>
        <v>0.3</v>
      </c>
      <c r="R32" s="3">
        <f t="shared" si="99"/>
        <v>0.3</v>
      </c>
      <c r="S32" s="3">
        <f t="shared" si="99"/>
        <v>0.3</v>
      </c>
      <c r="T32" s="3">
        <f t="shared" si="99"/>
        <v>0.3</v>
      </c>
      <c r="U32" s="3">
        <f t="shared" si="99"/>
        <v>0.3</v>
      </c>
      <c r="W32" s="3" t="s">
        <v>44</v>
      </c>
      <c r="X32" s="1">
        <f>+L43-L46+L44</f>
        <v>2885</v>
      </c>
    </row>
    <row r="33" spans="2:24" s="3" customFormat="1" x14ac:dyDescent="0.25">
      <c r="B33" s="1" t="s">
        <v>7</v>
      </c>
      <c r="I33" s="3">
        <f>+I13/I$6</f>
        <v>8.1430211788721618E-2</v>
      </c>
      <c r="J33" s="3">
        <f t="shared" ref="J33:K33" si="100">+J13/J$6</f>
        <v>7.269701925007889E-2</v>
      </c>
      <c r="K33" s="3">
        <f t="shared" si="100"/>
        <v>7.4838369177991818E-2</v>
      </c>
      <c r="L33" s="3">
        <f t="shared" ref="L33:U33" si="101">+L13/L$6</f>
        <v>6.7318214716525937E-2</v>
      </c>
      <c r="M33" s="3">
        <f t="shared" si="101"/>
        <v>7.0000000000000007E-2</v>
      </c>
      <c r="N33" s="3">
        <f t="shared" si="101"/>
        <v>7.0000000000000007E-2</v>
      </c>
      <c r="O33" s="3">
        <f t="shared" si="101"/>
        <v>7.0000000000000007E-2</v>
      </c>
      <c r="P33" s="3">
        <f t="shared" si="101"/>
        <v>7.0000000000000007E-2</v>
      </c>
      <c r="Q33" s="3">
        <f t="shared" si="101"/>
        <v>7.0000000000000007E-2</v>
      </c>
      <c r="R33" s="3">
        <f t="shared" si="101"/>
        <v>7.0000000000000007E-2</v>
      </c>
      <c r="S33" s="3">
        <f t="shared" si="101"/>
        <v>7.0000000000000007E-2</v>
      </c>
      <c r="T33" s="3">
        <f t="shared" si="101"/>
        <v>7.0000000000000007E-2</v>
      </c>
      <c r="U33" s="3">
        <f t="shared" si="101"/>
        <v>7.0000000000000007E-2</v>
      </c>
      <c r="W33" s="3" t="s">
        <v>45</v>
      </c>
      <c r="X33" s="1">
        <f>+X31+X32</f>
        <v>200469.36346793707</v>
      </c>
    </row>
    <row r="34" spans="2:24" s="1" customFormat="1" x14ac:dyDescent="0.25">
      <c r="W34" s="1" t="s">
        <v>33</v>
      </c>
      <c r="X34" s="1">
        <v>937</v>
      </c>
    </row>
    <row r="35" spans="2:24" s="1" customFormat="1" x14ac:dyDescent="0.25">
      <c r="B35" s="1" t="s">
        <v>18</v>
      </c>
      <c r="I35" s="1">
        <v>7111</v>
      </c>
      <c r="J35" s="1">
        <v>10234</v>
      </c>
      <c r="K35" s="1">
        <v>13092</v>
      </c>
      <c r="L35" s="1">
        <f>9532*1.33</f>
        <v>12677.560000000001</v>
      </c>
      <c r="W35" s="1" t="s">
        <v>34</v>
      </c>
      <c r="X35" s="1">
        <f>+X33/X34</f>
        <v>213.94809334891897</v>
      </c>
    </row>
    <row r="36" spans="2:24" s="1" customFormat="1" x14ac:dyDescent="0.25">
      <c r="B36" s="1" t="s">
        <v>19</v>
      </c>
      <c r="I36" s="1">
        <v>798</v>
      </c>
      <c r="J36" s="1">
        <v>736</v>
      </c>
      <c r="K36" s="1">
        <v>658</v>
      </c>
      <c r="L36" s="1">
        <v>1446</v>
      </c>
    </row>
    <row r="37" spans="2:24" s="1" customFormat="1" x14ac:dyDescent="0.25">
      <c r="B37" s="1" t="s">
        <v>20</v>
      </c>
      <c r="I37" s="1">
        <f>+I35-I36</f>
        <v>6313</v>
      </c>
      <c r="J37" s="1">
        <f>+J35-J36</f>
        <v>9498</v>
      </c>
      <c r="K37" s="1">
        <f>+K35-K36</f>
        <v>12434</v>
      </c>
      <c r="L37" s="1">
        <f>+L35-L36</f>
        <v>11231.560000000001</v>
      </c>
      <c r="W37" s="1" t="s">
        <v>37</v>
      </c>
      <c r="X37" s="1">
        <f>+Main!E7/Model!K39</f>
        <v>18.847259755702087</v>
      </c>
    </row>
    <row r="38" spans="2:24" s="1" customFormat="1" x14ac:dyDescent="0.25">
      <c r="B38" s="1" t="s">
        <v>42</v>
      </c>
      <c r="I38" s="1">
        <v>3279</v>
      </c>
      <c r="J38" s="1">
        <v>2787</v>
      </c>
      <c r="K38" s="1">
        <v>3183</v>
      </c>
      <c r="L38" s="1">
        <f>2426*1.33</f>
        <v>3226.5800000000004</v>
      </c>
      <c r="W38" s="1" t="s">
        <v>41</v>
      </c>
      <c r="X38" s="8">
        <f>+K39/Main!E7</f>
        <v>5.3058110991305148E-2</v>
      </c>
    </row>
    <row r="39" spans="2:24" s="1" customFormat="1" x14ac:dyDescent="0.25">
      <c r="B39" s="1" t="s">
        <v>43</v>
      </c>
      <c r="I39" s="1">
        <f>+I37-I38</f>
        <v>3034</v>
      </c>
      <c r="J39" s="1">
        <f>+J37-J38</f>
        <v>6711</v>
      </c>
      <c r="K39" s="1">
        <f>+K37-K38</f>
        <v>9251</v>
      </c>
      <c r="L39" s="1">
        <f>+L37-L38</f>
        <v>8004.9800000000014</v>
      </c>
      <c r="W39" s="1" t="s">
        <v>40</v>
      </c>
      <c r="X39" s="1">
        <f>+Main!E7/Model!L21</f>
        <v>19.576396405297746</v>
      </c>
    </row>
    <row r="40" spans="2:24" s="1" customFormat="1" x14ac:dyDescent="0.25"/>
    <row r="41" spans="2:24" s="1" customFormat="1" x14ac:dyDescent="0.25">
      <c r="B41" s="1" t="s">
        <v>21</v>
      </c>
      <c r="I41" s="1">
        <v>550</v>
      </c>
      <c r="J41" s="1">
        <v>496</v>
      </c>
      <c r="K41" s="1">
        <v>539</v>
      </c>
    </row>
    <row r="42" spans="2:24" s="1" customFormat="1" x14ac:dyDescent="0.25"/>
    <row r="43" spans="2:24" s="1" customFormat="1" x14ac:dyDescent="0.25">
      <c r="B43" s="1" t="s">
        <v>29</v>
      </c>
      <c r="K43" s="1">
        <v>8848</v>
      </c>
      <c r="L43" s="1">
        <v>8978</v>
      </c>
    </row>
    <row r="44" spans="2:24" s="1" customFormat="1" x14ac:dyDescent="0.25">
      <c r="B44" s="1" t="s">
        <v>30</v>
      </c>
      <c r="K44" s="1">
        <v>5184</v>
      </c>
      <c r="L44" s="1">
        <v>2345</v>
      </c>
    </row>
    <row r="45" spans="2:24" s="1" customFormat="1" x14ac:dyDescent="0.25">
      <c r="B45" s="1" t="s">
        <v>31</v>
      </c>
      <c r="K45" s="1">
        <v>3236</v>
      </c>
      <c r="L45" s="1">
        <v>3147</v>
      </c>
    </row>
    <row r="46" spans="2:24" s="1" customFormat="1" x14ac:dyDescent="0.25">
      <c r="B46" s="1" t="s">
        <v>32</v>
      </c>
      <c r="K46" s="1">
        <v>8433</v>
      </c>
      <c r="L46" s="1">
        <v>8438</v>
      </c>
    </row>
    <row r="47" spans="2:24" s="1" customFormat="1" x14ac:dyDescent="0.25"/>
    <row r="48" spans="2:24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2025-12-16T20:58:23Z</dcterms:created>
  <dcterms:modified xsi:type="dcterms:W3CDTF">2026-02-12T20:34:52Z</dcterms:modified>
</cp:coreProperties>
</file>