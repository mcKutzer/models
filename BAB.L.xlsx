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621BBAAA-575A-44E6-BE85-5E5FABA1BB57}" xr6:coauthVersionLast="47" xr6:coauthVersionMax="47" xr10:uidLastSave="{00000000-0000-0000-0000-000000000000}"/>
  <bookViews>
    <workbookView xWindow="-120" yWindow="-120" windowWidth="29040" windowHeight="15840" xr2:uid="{024782FB-72C1-4BDE-A8B3-BDB08555971A}"/>
  </bookViews>
  <sheets>
    <sheet name="Sheet1" sheetId="1" r:id="rId1"/>
  </sheets>
  <definedNames>
    <definedName name="TR">Sheet1!$T$34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" i="1" l="1"/>
  <c r="G40" i="1"/>
  <c r="T33" i="1"/>
  <c r="I28" i="1"/>
  <c r="I23" i="1"/>
  <c r="J23" i="1" s="1"/>
  <c r="K23" i="1" s="1"/>
  <c r="L23" i="1" s="1"/>
  <c r="M23" i="1" s="1"/>
  <c r="N23" i="1" s="1"/>
  <c r="O23" i="1" s="1"/>
  <c r="P23" i="1" s="1"/>
  <c r="Q23" i="1" s="1"/>
  <c r="J18" i="1"/>
  <c r="K18" i="1" s="1"/>
  <c r="L18" i="1" s="1"/>
  <c r="M18" i="1" s="1"/>
  <c r="N18" i="1" s="1"/>
  <c r="O18" i="1" s="1"/>
  <c r="P18" i="1" s="1"/>
  <c r="Q18" i="1" s="1"/>
  <c r="I18" i="1"/>
  <c r="I17" i="1"/>
  <c r="J17" i="1" s="1"/>
  <c r="K17" i="1" s="1"/>
  <c r="L17" i="1" s="1"/>
  <c r="M17" i="1" s="1"/>
  <c r="N17" i="1" s="1"/>
  <c r="O17" i="1" s="1"/>
  <c r="P17" i="1" s="1"/>
  <c r="Q17" i="1" s="1"/>
  <c r="J16" i="1"/>
  <c r="K16" i="1" s="1"/>
  <c r="I16" i="1"/>
  <c r="I20" i="1" s="1"/>
  <c r="I2" i="1"/>
  <c r="J2" i="1" s="1"/>
  <c r="K2" i="1" s="1"/>
  <c r="L2" i="1" s="1"/>
  <c r="M2" i="1" s="1"/>
  <c r="N2" i="1" s="1"/>
  <c r="O2" i="1" s="1"/>
  <c r="P2" i="1" s="1"/>
  <c r="Q2" i="1" s="1"/>
  <c r="H72" i="1"/>
  <c r="H68" i="1"/>
  <c r="H71" i="1" s="1"/>
  <c r="H66" i="1"/>
  <c r="H65" i="1"/>
  <c r="H64" i="1"/>
  <c r="H62" i="1"/>
  <c r="H63" i="1" s="1"/>
  <c r="H58" i="1"/>
  <c r="H60" i="1" s="1"/>
  <c r="H55" i="1"/>
  <c r="H54" i="1"/>
  <c r="H53" i="1"/>
  <c r="H52" i="1"/>
  <c r="H56" i="1" s="1"/>
  <c r="G4" i="1"/>
  <c r="H4" i="1"/>
  <c r="G10" i="1"/>
  <c r="H10" i="1"/>
  <c r="G24" i="1"/>
  <c r="H24" i="1"/>
  <c r="F34" i="1"/>
  <c r="G34" i="1"/>
  <c r="H34" i="1"/>
  <c r="G38" i="1"/>
  <c r="G39" i="1" s="1"/>
  <c r="H38" i="1"/>
  <c r="H39" i="1" s="1"/>
  <c r="G49" i="1"/>
  <c r="H49" i="1"/>
  <c r="T36" i="1" s="1"/>
  <c r="G44" i="1"/>
  <c r="H44" i="1"/>
  <c r="F2" i="1"/>
  <c r="G2" i="1" s="1"/>
  <c r="H2" i="1" s="1"/>
  <c r="C25" i="1"/>
  <c r="C29" i="1" s="1"/>
  <c r="C31" i="1" s="1"/>
  <c r="G21" i="1"/>
  <c r="H21" i="1"/>
  <c r="L16" i="1" l="1"/>
  <c r="K20" i="1"/>
  <c r="I22" i="1"/>
  <c r="I21" i="1"/>
  <c r="I25" i="1" s="1"/>
  <c r="H59" i="1"/>
  <c r="J28" i="1"/>
  <c r="K28" i="1" s="1"/>
  <c r="L28" i="1" s="1"/>
  <c r="M28" i="1" s="1"/>
  <c r="N28" i="1" s="1"/>
  <c r="O28" i="1" s="1"/>
  <c r="P28" i="1" s="1"/>
  <c r="Q28" i="1" s="1"/>
  <c r="J20" i="1"/>
  <c r="H69" i="1"/>
  <c r="H70" i="1"/>
  <c r="H25" i="1"/>
  <c r="H29" i="1" s="1"/>
  <c r="H31" i="1" s="1"/>
  <c r="H45" i="1"/>
  <c r="G25" i="1"/>
  <c r="G29" i="1" s="1"/>
  <c r="G31" i="1" s="1"/>
  <c r="H33" i="1"/>
  <c r="I33" i="1" l="1"/>
  <c r="I29" i="1"/>
  <c r="J21" i="1"/>
  <c r="J22" i="1"/>
  <c r="J25" i="1"/>
  <c r="K21" i="1"/>
  <c r="K22" i="1"/>
  <c r="K25" i="1"/>
  <c r="M16" i="1"/>
  <c r="L20" i="1"/>
  <c r="G33" i="1"/>
  <c r="L21" i="1" l="1"/>
  <c r="L22" i="1"/>
  <c r="L25" i="1" s="1"/>
  <c r="N16" i="1"/>
  <c r="M20" i="1"/>
  <c r="J33" i="1"/>
  <c r="J29" i="1"/>
  <c r="K33" i="1"/>
  <c r="K29" i="1"/>
  <c r="I30" i="1"/>
  <c r="I31" i="1"/>
  <c r="L33" i="1" l="1"/>
  <c r="L29" i="1"/>
  <c r="O16" i="1"/>
  <c r="N20" i="1"/>
  <c r="K31" i="1"/>
  <c r="K30" i="1"/>
  <c r="M21" i="1"/>
  <c r="M25" i="1" s="1"/>
  <c r="M22" i="1"/>
  <c r="J30" i="1"/>
  <c r="J31" i="1" s="1"/>
  <c r="M33" i="1" l="1"/>
  <c r="M29" i="1"/>
  <c r="P16" i="1"/>
  <c r="O20" i="1"/>
  <c r="L30" i="1"/>
  <c r="L31" i="1" s="1"/>
  <c r="N21" i="1"/>
  <c r="N22" i="1"/>
  <c r="N25" i="1"/>
  <c r="N33" i="1" l="1"/>
  <c r="N29" i="1"/>
  <c r="O21" i="1"/>
  <c r="O25" i="1" s="1"/>
  <c r="O22" i="1"/>
  <c r="Q16" i="1"/>
  <c r="Q20" i="1" s="1"/>
  <c r="P20" i="1"/>
  <c r="M30" i="1"/>
  <c r="M31" i="1" s="1"/>
  <c r="O33" i="1" l="1"/>
  <c r="O29" i="1"/>
  <c r="Q22" i="1"/>
  <c r="Q21" i="1"/>
  <c r="Q25" i="1" s="1"/>
  <c r="N30" i="1"/>
  <c r="N31" i="1" s="1"/>
  <c r="P21" i="1"/>
  <c r="P22" i="1"/>
  <c r="P25" i="1"/>
  <c r="Q33" i="1" l="1"/>
  <c r="Q29" i="1"/>
  <c r="P33" i="1"/>
  <c r="P29" i="1"/>
  <c r="O30" i="1"/>
  <c r="O31" i="1" s="1"/>
  <c r="P30" i="1" l="1"/>
  <c r="P31" i="1" s="1"/>
  <c r="Q30" i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BG31" i="1" s="1"/>
  <c r="BH31" i="1" s="1"/>
  <c r="BI31" i="1" s="1"/>
  <c r="BJ31" i="1" s="1"/>
  <c r="BK31" i="1" s="1"/>
  <c r="BL31" i="1" s="1"/>
  <c r="BM31" i="1" s="1"/>
  <c r="BN31" i="1" s="1"/>
  <c r="BO31" i="1" s="1"/>
  <c r="BP31" i="1" s="1"/>
  <c r="BQ31" i="1" s="1"/>
  <c r="BR31" i="1" s="1"/>
  <c r="BS31" i="1" s="1"/>
  <c r="BT31" i="1" s="1"/>
  <c r="BU31" i="1" s="1"/>
  <c r="BV31" i="1" s="1"/>
  <c r="BW31" i="1" s="1"/>
  <c r="BX31" i="1" s="1"/>
  <c r="BY31" i="1" s="1"/>
  <c r="BZ31" i="1" s="1"/>
  <c r="CA31" i="1" s="1"/>
  <c r="CB31" i="1" s="1"/>
  <c r="CC31" i="1" s="1"/>
  <c r="CD31" i="1" s="1"/>
  <c r="CE31" i="1" s="1"/>
  <c r="CF31" i="1" s="1"/>
  <c r="CG31" i="1" s="1"/>
  <c r="CH31" i="1" s="1"/>
  <c r="CI31" i="1" s="1"/>
  <c r="CJ31" i="1" s="1"/>
  <c r="CK31" i="1" s="1"/>
  <c r="CL31" i="1" s="1"/>
  <c r="CM31" i="1" s="1"/>
  <c r="CN31" i="1" s="1"/>
  <c r="CO31" i="1" s="1"/>
  <c r="CP31" i="1" s="1"/>
  <c r="CQ31" i="1" s="1"/>
  <c r="CR31" i="1" s="1"/>
  <c r="CS31" i="1" s="1"/>
  <c r="CT31" i="1" s="1"/>
  <c r="CU31" i="1" s="1"/>
  <c r="CV31" i="1" s="1"/>
  <c r="CW31" i="1" s="1"/>
  <c r="CX31" i="1" s="1"/>
  <c r="CY31" i="1" s="1"/>
  <c r="CZ31" i="1" s="1"/>
  <c r="DA31" i="1" s="1"/>
  <c r="DB31" i="1" s="1"/>
  <c r="DC31" i="1" s="1"/>
  <c r="DD31" i="1" s="1"/>
  <c r="DE31" i="1" s="1"/>
  <c r="DF31" i="1" s="1"/>
  <c r="DG31" i="1" s="1"/>
  <c r="DH31" i="1" s="1"/>
  <c r="DI31" i="1" s="1"/>
  <c r="DJ31" i="1" s="1"/>
  <c r="DK31" i="1" s="1"/>
  <c r="DL31" i="1" s="1"/>
  <c r="T35" i="1" s="1"/>
  <c r="T37" i="1" s="1"/>
  <c r="T39" i="1" s="1"/>
  <c r="T41" i="1" s="1"/>
</calcChain>
</file>

<file path=xl/sharedStrings.xml><?xml version="1.0" encoding="utf-8"?>
<sst xmlns="http://schemas.openxmlformats.org/spreadsheetml/2006/main" count="66" uniqueCount="44">
  <si>
    <t>Revenue</t>
  </si>
  <si>
    <t>Materials</t>
  </si>
  <si>
    <t>Operating Charge</t>
  </si>
  <si>
    <t>Employee Cost</t>
  </si>
  <si>
    <t>D&amp;A</t>
  </si>
  <si>
    <t>Operating Income</t>
  </si>
  <si>
    <t>Joint Venture</t>
  </si>
  <si>
    <t>Finance Income</t>
  </si>
  <si>
    <t>Finance Cost</t>
  </si>
  <si>
    <t>Pretax</t>
  </si>
  <si>
    <t>Tax</t>
  </si>
  <si>
    <t>Net Income</t>
  </si>
  <si>
    <t>Operating Margin</t>
  </si>
  <si>
    <t>Revenue Y/Y</t>
  </si>
  <si>
    <t>CFFO</t>
  </si>
  <si>
    <t>CapEx</t>
  </si>
  <si>
    <t>FCF</t>
  </si>
  <si>
    <t>Current Assets</t>
  </si>
  <si>
    <t>Current Liab.</t>
  </si>
  <si>
    <t>Working Cap</t>
  </si>
  <si>
    <t>Delta</t>
  </si>
  <si>
    <t>Cash</t>
  </si>
  <si>
    <t>PP&amp;E</t>
  </si>
  <si>
    <t>Debt</t>
  </si>
  <si>
    <t>CFFO, ex WC</t>
  </si>
  <si>
    <t>Marine</t>
  </si>
  <si>
    <t>Nuclear</t>
  </si>
  <si>
    <t>Land</t>
  </si>
  <si>
    <t>Aviation</t>
  </si>
  <si>
    <t>Backlog</t>
  </si>
  <si>
    <t>Operating Profit</t>
  </si>
  <si>
    <t>Defense UK</t>
  </si>
  <si>
    <t>Defence Int.</t>
  </si>
  <si>
    <t>Civil UK</t>
  </si>
  <si>
    <t>Civil Int.</t>
  </si>
  <si>
    <t>Discount</t>
  </si>
  <si>
    <t>Terminal</t>
  </si>
  <si>
    <t>NPV</t>
  </si>
  <si>
    <t>Net Cash</t>
  </si>
  <si>
    <t>Value</t>
  </si>
  <si>
    <t>Shares</t>
  </si>
  <si>
    <t>Price</t>
  </si>
  <si>
    <t>Current</t>
  </si>
  <si>
    <t>FCF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</si>
</sst>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0" fontId="0" fillId="0" borderId="0" xfId="0" applyNumberFormat="1"/>
    <xf numFmtId="3" fontId="2" fillId="0" borderId="0" xfId="0" applyNumberFormat="1" applyFont="1"/>
    <xf numFmtId="3" fontId="0" fillId="0" borderId="0" xfId="0" applyNumberFormat="1" applyFont="1"/>
    <xf numFmtId="9" fontId="0" fillId="0" borderId="0" xfId="1" applyFont="1"/>
    <xf numFmtId="164" fontId="0" fillId="0" borderId="0" xfId="1" applyNumberFormat="1" applyFont="1"/>
    <xf numFmtId="166" fontId="2" fillId="0" borderId="0" xfId="0" applyNumberFormat="1" applyFont="1"/>
    <xf numFmtId="166" fontId="0" fillId="0" borderId="0" xfId="0" applyNumberFormat="1"/>
    <xf numFmtId="164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13138</xdr:colOff>
      <xdr:row>3</xdr:row>
      <xdr:rowOff>26276</xdr:rowOff>
    </xdr:from>
    <xdr:to>
      <xdr:col>8</xdr:col>
      <xdr:colOff>13138</xdr:colOff>
      <xdr:row>72</xdr:row>
      <xdr:rowOff>59121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E038B8B-0E13-AED1-8FC9-FF6862D84B27}"/>
            </a:ext>
          </a:extLst>
        </xdr:cNvPr>
        <xdr:cNvCxnSpPr/>
      </xdr:nvCxnSpPr>
      <xdr:spPr>
        <a:xfrm>
          <a:off x="4972707" y="597776"/>
          <a:ext cx="0" cy="129868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56A9-1F6C-4DC9-AC2E-0E971B975C2D}">
  <dimension ref="B1:DL72"/>
  <sheetViews>
    <sheetView tabSelected="1" zoomScale="145" zoomScaleNormal="145" workbookViewId="0">
      <pane xSplit="2" ySplit="2" topLeftCell="E27" activePane="bottomRight" state="frozen"/>
      <selection pane="topRight" activeCell="C1" sqref="C1"/>
      <selection pane="bottomLeft" activeCell="A3" sqref="A3"/>
      <selection pane="bottomRight" activeCell="T42" sqref="T42"/>
    </sheetView>
  </sheetViews>
  <sheetFormatPr defaultRowHeight="15" x14ac:dyDescent="0.25"/>
  <cols>
    <col min="1" max="1" width="2.85546875" style="1" customWidth="1"/>
    <col min="2" max="2" width="16.5703125" style="1" bestFit="1" customWidth="1"/>
    <col min="3" max="16384" width="9.140625" style="1"/>
  </cols>
  <sheetData>
    <row r="1" spans="2:17" x14ac:dyDescent="0.25">
      <c r="B1" s="1">
        <v>204</v>
      </c>
    </row>
    <row r="2" spans="2:17" s="2" customFormat="1" x14ac:dyDescent="0.25">
      <c r="B2" s="2">
        <v>179</v>
      </c>
      <c r="E2" s="2">
        <v>2020</v>
      </c>
      <c r="F2" s="2">
        <f>+E2+1</f>
        <v>2021</v>
      </c>
      <c r="G2" s="2">
        <f t="shared" ref="G2:H2" si="0">+F2+1</f>
        <v>2022</v>
      </c>
      <c r="H2" s="2">
        <f t="shared" si="0"/>
        <v>2023</v>
      </c>
      <c r="I2" s="2">
        <f>+H2+1</f>
        <v>2024</v>
      </c>
      <c r="J2" s="2">
        <f>+I2+1</f>
        <v>2025</v>
      </c>
      <c r="K2" s="2">
        <f>+J2+1</f>
        <v>2026</v>
      </c>
      <c r="L2" s="2">
        <f>+K2+1</f>
        <v>2027</v>
      </c>
      <c r="M2" s="2">
        <f>+L2+1</f>
        <v>2028</v>
      </c>
      <c r="N2" s="2">
        <f>+M2+1</f>
        <v>2029</v>
      </c>
      <c r="O2" s="2">
        <f>+N2+1</f>
        <v>2030</v>
      </c>
      <c r="P2" s="2">
        <f>+O2+1</f>
        <v>2031</v>
      </c>
      <c r="Q2" s="2">
        <f>+P2+1</f>
        <v>2032</v>
      </c>
    </row>
    <row r="4" spans="2:17" s="3" customFormat="1" x14ac:dyDescent="0.25">
      <c r="B4" s="3" t="s">
        <v>29</v>
      </c>
      <c r="G4" s="3">
        <f>+SUM(G5:G8)</f>
        <v>9477.2999999999993</v>
      </c>
      <c r="H4" s="3">
        <f>+SUM(H5:H8)</f>
        <v>10332.6</v>
      </c>
    </row>
    <row r="5" spans="2:17" x14ac:dyDescent="0.25">
      <c r="B5" s="1" t="s">
        <v>25</v>
      </c>
      <c r="G5" s="1">
        <v>2580.6999999999998</v>
      </c>
      <c r="H5" s="1">
        <v>2992.7</v>
      </c>
    </row>
    <row r="6" spans="2:17" x14ac:dyDescent="0.25">
      <c r="B6" s="1" t="s">
        <v>26</v>
      </c>
      <c r="G6" s="1">
        <v>2453.8000000000002</v>
      </c>
      <c r="H6" s="1">
        <v>3104.8</v>
      </c>
    </row>
    <row r="7" spans="2:17" x14ac:dyDescent="0.25">
      <c r="B7" s="1" t="s">
        <v>27</v>
      </c>
      <c r="G7" s="1">
        <v>2809.8</v>
      </c>
      <c r="H7" s="1">
        <v>2593.6999999999998</v>
      </c>
    </row>
    <row r="8" spans="2:17" x14ac:dyDescent="0.25">
      <c r="B8" s="1" t="s">
        <v>28</v>
      </c>
      <c r="G8" s="1">
        <v>1633</v>
      </c>
      <c r="H8" s="1">
        <v>1641.4</v>
      </c>
    </row>
    <row r="10" spans="2:17" x14ac:dyDescent="0.25">
      <c r="B10" s="3" t="s">
        <v>30</v>
      </c>
      <c r="G10" s="1">
        <f>+SUM(G11:G14)</f>
        <v>177.90000000000003</v>
      </c>
      <c r="H10" s="1">
        <f>+SUM(H11:H14)</f>
        <v>237.79999999999998</v>
      </c>
    </row>
    <row r="11" spans="2:17" x14ac:dyDescent="0.25">
      <c r="B11" s="1" t="s">
        <v>25</v>
      </c>
      <c r="G11" s="1">
        <v>12.7</v>
      </c>
      <c r="H11" s="1">
        <v>13.1</v>
      </c>
    </row>
    <row r="12" spans="2:17" x14ac:dyDescent="0.25">
      <c r="B12" s="1" t="s">
        <v>26</v>
      </c>
      <c r="G12" s="1">
        <v>63.5</v>
      </c>
      <c r="H12" s="1">
        <v>109.2</v>
      </c>
    </row>
    <row r="13" spans="2:17" x14ac:dyDescent="0.25">
      <c r="B13" s="1" t="s">
        <v>27</v>
      </c>
      <c r="G13" s="1">
        <v>85.9</v>
      </c>
      <c r="H13" s="1">
        <v>96.3</v>
      </c>
    </row>
    <row r="14" spans="2:17" x14ac:dyDescent="0.25">
      <c r="B14" s="1" t="s">
        <v>28</v>
      </c>
      <c r="G14" s="1">
        <v>15.8</v>
      </c>
      <c r="H14" s="1">
        <v>19.2</v>
      </c>
    </row>
    <row r="15" spans="2:17" x14ac:dyDescent="0.25">
      <c r="G15" s="6"/>
      <c r="H15" s="6"/>
    </row>
    <row r="16" spans="2:17" x14ac:dyDescent="0.25">
      <c r="B16" s="1" t="s">
        <v>25</v>
      </c>
      <c r="G16" s="1">
        <v>1439.6</v>
      </c>
      <c r="H16" s="1">
        <v>1429.1</v>
      </c>
      <c r="I16" s="1">
        <f>+H16*1.01</f>
        <v>1443.3909999999998</v>
      </c>
      <c r="J16" s="1">
        <f t="shared" ref="J16:Q16" si="1">+I16*1.01</f>
        <v>1457.8249099999998</v>
      </c>
      <c r="K16" s="1">
        <f t="shared" si="1"/>
        <v>1472.4031590999998</v>
      </c>
      <c r="L16" s="1">
        <f t="shared" si="1"/>
        <v>1487.1271906909999</v>
      </c>
      <c r="M16" s="1">
        <f t="shared" si="1"/>
        <v>1501.99846259791</v>
      </c>
      <c r="N16" s="1">
        <f t="shared" si="1"/>
        <v>1517.0184472238891</v>
      </c>
      <c r="O16" s="1">
        <f t="shared" si="1"/>
        <v>1532.1886316961279</v>
      </c>
      <c r="P16" s="1">
        <f t="shared" si="1"/>
        <v>1547.5105180130893</v>
      </c>
      <c r="Q16" s="1">
        <f t="shared" si="1"/>
        <v>1562.9856231932201</v>
      </c>
    </row>
    <row r="17" spans="2:116" x14ac:dyDescent="0.25">
      <c r="B17" s="1" t="s">
        <v>26</v>
      </c>
      <c r="G17" s="1">
        <v>1179.2</v>
      </c>
      <c r="H17" s="1">
        <v>1520.9</v>
      </c>
      <c r="I17" s="1">
        <f>+H17*1.03</f>
        <v>1566.527</v>
      </c>
      <c r="J17" s="1">
        <f t="shared" ref="J17:Q17" si="2">+I17*1.03</f>
        <v>1613.5228100000002</v>
      </c>
      <c r="K17" s="1">
        <f t="shared" si="2"/>
        <v>1661.9284943000002</v>
      </c>
      <c r="L17" s="1">
        <f t="shared" si="2"/>
        <v>1711.7863491290002</v>
      </c>
      <c r="M17" s="1">
        <f t="shared" si="2"/>
        <v>1763.1399396028703</v>
      </c>
      <c r="N17" s="1">
        <f t="shared" si="2"/>
        <v>1816.0341377909565</v>
      </c>
      <c r="O17" s="1">
        <f t="shared" si="2"/>
        <v>1870.5151619246853</v>
      </c>
      <c r="P17" s="1">
        <f t="shared" si="2"/>
        <v>1926.6306167824259</v>
      </c>
      <c r="Q17" s="1">
        <f t="shared" si="2"/>
        <v>1984.4295352858987</v>
      </c>
    </row>
    <row r="18" spans="2:116" x14ac:dyDescent="0.25">
      <c r="B18" s="1" t="s">
        <v>27</v>
      </c>
      <c r="G18" s="1">
        <v>1017.1</v>
      </c>
      <c r="H18" s="1">
        <v>1098.5999999999999</v>
      </c>
      <c r="I18" s="1">
        <f>+H18*1.02</f>
        <v>1120.5719999999999</v>
      </c>
      <c r="J18" s="1">
        <f t="shared" ref="J18:Q18" si="3">+I18*1.02</f>
        <v>1142.98344</v>
      </c>
      <c r="K18" s="1">
        <f t="shared" si="3"/>
        <v>1165.8431088</v>
      </c>
      <c r="L18" s="1">
        <f t="shared" si="3"/>
        <v>1189.1599709760001</v>
      </c>
      <c r="M18" s="1">
        <f t="shared" si="3"/>
        <v>1212.9431703955202</v>
      </c>
      <c r="N18" s="1">
        <f t="shared" si="3"/>
        <v>1237.2020338034306</v>
      </c>
      <c r="O18" s="1">
        <f t="shared" si="3"/>
        <v>1261.9460744794992</v>
      </c>
      <c r="P18" s="1">
        <f t="shared" si="3"/>
        <v>1287.1849959690892</v>
      </c>
      <c r="Q18" s="1">
        <f t="shared" si="3"/>
        <v>1312.9286958884709</v>
      </c>
    </row>
    <row r="19" spans="2:116" x14ac:dyDescent="0.25">
      <c r="B19" s="1" t="s">
        <v>28</v>
      </c>
      <c r="G19" s="1">
        <v>802.7</v>
      </c>
      <c r="H19" s="1">
        <v>341.5</v>
      </c>
      <c r="I19" s="1">
        <v>350</v>
      </c>
      <c r="J19" s="1">
        <v>400</v>
      </c>
      <c r="K19" s="1">
        <v>450</v>
      </c>
      <c r="L19" s="1">
        <v>500</v>
      </c>
      <c r="M19" s="1">
        <v>500</v>
      </c>
      <c r="N19" s="1">
        <v>500</v>
      </c>
      <c r="O19" s="1">
        <v>500</v>
      </c>
      <c r="P19" s="1">
        <v>500</v>
      </c>
      <c r="Q19" s="1">
        <v>500</v>
      </c>
    </row>
    <row r="20" spans="2:116" s="3" customFormat="1" x14ac:dyDescent="0.25">
      <c r="B20" s="3" t="s">
        <v>0</v>
      </c>
      <c r="E20" s="3">
        <v>4428.5</v>
      </c>
      <c r="F20" s="3">
        <v>4182.7</v>
      </c>
      <c r="G20" s="3">
        <v>4438.6000000000004</v>
      </c>
      <c r="H20" s="3">
        <v>4390.1000000000004</v>
      </c>
      <c r="I20" s="3">
        <f>+SUM(I16:I19)</f>
        <v>4480.49</v>
      </c>
      <c r="J20" s="3">
        <f t="shared" ref="J20:Q20" si="4">+SUM(J16:J19)</f>
        <v>4614.3311599999997</v>
      </c>
      <c r="K20" s="3">
        <f t="shared" si="4"/>
        <v>4750.1747622000003</v>
      </c>
      <c r="L20" s="3">
        <f t="shared" si="4"/>
        <v>4888.0735107959999</v>
      </c>
      <c r="M20" s="3">
        <f t="shared" si="4"/>
        <v>4978.0815725963002</v>
      </c>
      <c r="N20" s="3">
        <f t="shared" si="4"/>
        <v>5070.254618818276</v>
      </c>
      <c r="O20" s="3">
        <f t="shared" si="4"/>
        <v>5164.6498681003122</v>
      </c>
      <c r="P20" s="3">
        <f t="shared" si="4"/>
        <v>5261.3261307646044</v>
      </c>
      <c r="Q20" s="3">
        <f t="shared" si="4"/>
        <v>5360.3438543675893</v>
      </c>
    </row>
    <row r="21" spans="2:116" x14ac:dyDescent="0.25">
      <c r="B21" s="1" t="s">
        <v>1</v>
      </c>
      <c r="G21" s="1">
        <f>1857.1-2.8</f>
        <v>1854.3</v>
      </c>
      <c r="H21" s="1">
        <f>2053.1-61.1</f>
        <v>1992</v>
      </c>
      <c r="I21" s="1">
        <f>+I20*0.45</f>
        <v>2016.2204999999999</v>
      </c>
      <c r="J21" s="1">
        <f t="shared" ref="J21:Q21" si="5">+J20*0.45</f>
        <v>2076.4490219999998</v>
      </c>
      <c r="K21" s="1">
        <f t="shared" si="5"/>
        <v>2137.5786429900004</v>
      </c>
      <c r="L21" s="1">
        <f t="shared" si="5"/>
        <v>2199.6330798581998</v>
      </c>
      <c r="M21" s="1">
        <f t="shared" si="5"/>
        <v>2240.136707668335</v>
      </c>
      <c r="N21" s="1">
        <f t="shared" si="5"/>
        <v>2281.6145784682244</v>
      </c>
      <c r="O21" s="1">
        <f t="shared" si="5"/>
        <v>2324.0924406451404</v>
      </c>
      <c r="P21" s="1">
        <f t="shared" si="5"/>
        <v>2367.5967588440722</v>
      </c>
      <c r="Q21" s="1">
        <f t="shared" si="5"/>
        <v>2412.1547344654155</v>
      </c>
    </row>
    <row r="22" spans="2:116" x14ac:dyDescent="0.25">
      <c r="B22" s="1" t="s">
        <v>2</v>
      </c>
      <c r="G22" s="1">
        <v>682.6</v>
      </c>
      <c r="H22" s="1">
        <v>482.9</v>
      </c>
      <c r="I22" s="1">
        <f>+I20*0.11</f>
        <v>492.85389999999995</v>
      </c>
      <c r="J22" s="1">
        <f t="shared" ref="J22:Q22" si="6">+J20*0.11</f>
        <v>507.57642759999999</v>
      </c>
      <c r="K22" s="1">
        <f t="shared" si="6"/>
        <v>522.51922384200009</v>
      </c>
      <c r="L22" s="1">
        <f t="shared" si="6"/>
        <v>537.68808618755997</v>
      </c>
      <c r="M22" s="1">
        <f t="shared" si="6"/>
        <v>547.58897298559305</v>
      </c>
      <c r="N22" s="1">
        <f t="shared" si="6"/>
        <v>557.72800807001033</v>
      </c>
      <c r="O22" s="1">
        <f t="shared" si="6"/>
        <v>568.11148549103439</v>
      </c>
      <c r="P22" s="1">
        <f t="shared" si="6"/>
        <v>578.74587438410651</v>
      </c>
      <c r="Q22" s="1">
        <f t="shared" si="6"/>
        <v>589.63782398043486</v>
      </c>
    </row>
    <row r="23" spans="2:116" x14ac:dyDescent="0.25">
      <c r="B23" s="1" t="s">
        <v>3</v>
      </c>
      <c r="G23" s="1">
        <v>1567.1</v>
      </c>
      <c r="H23" s="1">
        <v>1583.5</v>
      </c>
      <c r="I23" s="1">
        <f>+H23*1.015</f>
        <v>1607.2524999999998</v>
      </c>
      <c r="J23" s="1">
        <f t="shared" ref="J23:Q23" si="7">+I23*1.015</f>
        <v>1631.3612874999997</v>
      </c>
      <c r="K23" s="1">
        <f t="shared" si="7"/>
        <v>1655.8317068124995</v>
      </c>
      <c r="L23" s="1">
        <f t="shared" si="7"/>
        <v>1680.6691824146869</v>
      </c>
      <c r="M23" s="1">
        <f t="shared" si="7"/>
        <v>1705.879220150907</v>
      </c>
      <c r="N23" s="1">
        <f t="shared" si="7"/>
        <v>1731.4674084531705</v>
      </c>
      <c r="O23" s="1">
        <f t="shared" si="7"/>
        <v>1757.439419579968</v>
      </c>
      <c r="P23" s="1">
        <f t="shared" si="7"/>
        <v>1783.8010108736673</v>
      </c>
      <c r="Q23" s="1">
        <f t="shared" si="7"/>
        <v>1810.5580260367722</v>
      </c>
    </row>
    <row r="24" spans="2:116" x14ac:dyDescent="0.25">
      <c r="B24" s="1" t="s">
        <v>4</v>
      </c>
      <c r="G24" s="1">
        <f>72.1+81.7+15.8+12.3</f>
        <v>181.90000000000003</v>
      </c>
      <c r="H24" s="1">
        <f>52+39.8+10.8+13.2</f>
        <v>115.8</v>
      </c>
      <c r="I24" s="1">
        <v>100</v>
      </c>
      <c r="J24" s="1">
        <v>100</v>
      </c>
      <c r="K24" s="1">
        <v>100</v>
      </c>
      <c r="L24" s="1">
        <v>100</v>
      </c>
      <c r="M24" s="1">
        <v>100</v>
      </c>
      <c r="N24" s="1">
        <v>100</v>
      </c>
      <c r="O24" s="1">
        <v>100</v>
      </c>
      <c r="P24" s="1">
        <v>100</v>
      </c>
      <c r="Q24" s="1">
        <v>100</v>
      </c>
    </row>
    <row r="25" spans="2:116" x14ac:dyDescent="0.25">
      <c r="B25" s="1" t="s">
        <v>5</v>
      </c>
      <c r="C25" s="1">
        <f>+C20-C21-C22-C23-C24</f>
        <v>0</v>
      </c>
      <c r="G25" s="1">
        <f>+G20-G21-G22-G23-G24</f>
        <v>152.70000000000033</v>
      </c>
      <c r="H25" s="1">
        <f>+H20-H21-H22-H23-H24</f>
        <v>215.90000000000026</v>
      </c>
      <c r="I25" s="1">
        <f>+I20-I21-I22-I23-I24</f>
        <v>264.16309999999999</v>
      </c>
      <c r="J25" s="1">
        <f t="shared" ref="J25:Q25" si="8">+J20-J21-J22-J23-J24</f>
        <v>298.94442290000029</v>
      </c>
      <c r="K25" s="1">
        <f t="shared" si="8"/>
        <v>334.24518855550036</v>
      </c>
      <c r="L25" s="1">
        <f t="shared" si="8"/>
        <v>370.08316233555297</v>
      </c>
      <c r="M25" s="1">
        <f t="shared" si="8"/>
        <v>384.47667179146515</v>
      </c>
      <c r="N25" s="1">
        <f t="shared" si="8"/>
        <v>399.44462382687084</v>
      </c>
      <c r="O25" s="1">
        <f t="shared" si="8"/>
        <v>415.00652238416956</v>
      </c>
      <c r="P25" s="1">
        <f t="shared" si="8"/>
        <v>431.18248666275827</v>
      </c>
      <c r="Q25" s="1">
        <f t="shared" si="8"/>
        <v>447.99326988496682</v>
      </c>
    </row>
    <row r="26" spans="2:116" x14ac:dyDescent="0.25">
      <c r="B26" s="1" t="s">
        <v>6</v>
      </c>
      <c r="G26" s="1">
        <v>9.3000000000000007</v>
      </c>
      <c r="H26" s="1">
        <v>9.1999999999999993</v>
      </c>
      <c r="I26" s="1">
        <v>9</v>
      </c>
      <c r="J26" s="1">
        <v>9</v>
      </c>
      <c r="K26" s="1">
        <v>9</v>
      </c>
      <c r="L26" s="1">
        <v>9</v>
      </c>
      <c r="M26" s="1">
        <v>9</v>
      </c>
      <c r="N26" s="1">
        <v>9</v>
      </c>
      <c r="O26" s="1">
        <v>9</v>
      </c>
      <c r="P26" s="1">
        <v>9</v>
      </c>
      <c r="Q26" s="1">
        <v>9</v>
      </c>
    </row>
    <row r="27" spans="2:116" x14ac:dyDescent="0.25">
      <c r="B27" s="1" t="s">
        <v>7</v>
      </c>
      <c r="G27" s="1">
        <v>21.9</v>
      </c>
      <c r="H27" s="1">
        <v>22.1</v>
      </c>
      <c r="I27" s="1">
        <v>22</v>
      </c>
      <c r="J27" s="1">
        <v>22</v>
      </c>
      <c r="K27" s="1">
        <v>22</v>
      </c>
      <c r="L27" s="1">
        <v>22</v>
      </c>
      <c r="M27" s="1">
        <v>22</v>
      </c>
      <c r="N27" s="1">
        <v>22</v>
      </c>
      <c r="O27" s="1">
        <v>22</v>
      </c>
      <c r="P27" s="1">
        <v>22</v>
      </c>
      <c r="Q27" s="1">
        <v>22</v>
      </c>
    </row>
    <row r="28" spans="2:116" x14ac:dyDescent="0.25">
      <c r="B28" s="1" t="s">
        <v>8</v>
      </c>
      <c r="G28" s="1">
        <v>70.5</v>
      </c>
      <c r="H28" s="1">
        <v>56.2</v>
      </c>
      <c r="I28" s="1">
        <f>+H28*1.02</f>
        <v>57.324000000000005</v>
      </c>
      <c r="J28" s="1">
        <f t="shared" ref="J28:Q28" si="9">+I28*1.02</f>
        <v>58.470480000000009</v>
      </c>
      <c r="K28" s="1">
        <f t="shared" si="9"/>
        <v>59.639889600000011</v>
      </c>
      <c r="L28" s="1">
        <f t="shared" si="9"/>
        <v>60.832687392000011</v>
      </c>
      <c r="M28" s="1">
        <f t="shared" si="9"/>
        <v>62.04934113984001</v>
      </c>
      <c r="N28" s="1">
        <f t="shared" si="9"/>
        <v>63.290327962636809</v>
      </c>
      <c r="O28" s="1">
        <f t="shared" si="9"/>
        <v>64.556134521889547</v>
      </c>
      <c r="P28" s="1">
        <f t="shared" si="9"/>
        <v>65.847257212327335</v>
      </c>
      <c r="Q28" s="1">
        <f t="shared" si="9"/>
        <v>67.164202356573881</v>
      </c>
    </row>
    <row r="29" spans="2:116" x14ac:dyDescent="0.25">
      <c r="B29" s="1" t="s">
        <v>9</v>
      </c>
      <c r="C29" s="1">
        <f>+C25+C26+C27-C28</f>
        <v>0</v>
      </c>
      <c r="G29" s="1">
        <f>+G25+G26+G27-G28</f>
        <v>113.40000000000035</v>
      </c>
      <c r="H29" s="1">
        <f>+H25+H26+H27-H28</f>
        <v>191.00000000000023</v>
      </c>
      <c r="I29" s="1">
        <f>+I25+I26+I27-I28</f>
        <v>237.83909999999997</v>
      </c>
      <c r="J29" s="1">
        <f t="shared" ref="J29:Q29" si="10">+J25+J26+J27-J28</f>
        <v>271.47394290000028</v>
      </c>
      <c r="K29" s="1">
        <f t="shared" si="10"/>
        <v>305.60529895550036</v>
      </c>
      <c r="L29" s="1">
        <f t="shared" si="10"/>
        <v>340.25047494355294</v>
      </c>
      <c r="M29" s="1">
        <f t="shared" si="10"/>
        <v>353.42733065162514</v>
      </c>
      <c r="N29" s="1">
        <f t="shared" si="10"/>
        <v>367.15429586423403</v>
      </c>
      <c r="O29" s="1">
        <f t="shared" si="10"/>
        <v>381.45038786228002</v>
      </c>
      <c r="P29" s="1">
        <f t="shared" si="10"/>
        <v>396.33522945043092</v>
      </c>
      <c r="Q29" s="1">
        <f t="shared" si="10"/>
        <v>411.82906752839295</v>
      </c>
    </row>
    <row r="30" spans="2:116" x14ac:dyDescent="0.25">
      <c r="B30" s="1" t="s">
        <v>10</v>
      </c>
      <c r="G30" s="1">
        <v>39.5</v>
      </c>
      <c r="H30" s="1">
        <v>48.5</v>
      </c>
      <c r="I30" s="1">
        <f>+I29*0.25</f>
        <v>59.459774999999993</v>
      </c>
      <c r="J30" s="1">
        <f t="shared" ref="J30:Q30" si="11">+J29*0.25</f>
        <v>67.86848572500007</v>
      </c>
      <c r="K30" s="1">
        <f t="shared" si="11"/>
        <v>76.40132473887509</v>
      </c>
      <c r="L30" s="1">
        <f t="shared" si="11"/>
        <v>85.062618735888236</v>
      </c>
      <c r="M30" s="1">
        <f t="shared" si="11"/>
        <v>88.356832662906285</v>
      </c>
      <c r="N30" s="1">
        <f t="shared" si="11"/>
        <v>91.788573966058507</v>
      </c>
      <c r="O30" s="1">
        <f t="shared" si="11"/>
        <v>95.362596965570006</v>
      </c>
      <c r="P30" s="1">
        <f t="shared" si="11"/>
        <v>99.083807362607729</v>
      </c>
      <c r="Q30" s="1">
        <f t="shared" si="11"/>
        <v>102.95726688209824</v>
      </c>
    </row>
    <row r="31" spans="2:116" s="3" customFormat="1" x14ac:dyDescent="0.25">
      <c r="B31" s="3" t="s">
        <v>11</v>
      </c>
      <c r="C31" s="3">
        <f>+C29-C30</f>
        <v>0</v>
      </c>
      <c r="G31" s="3">
        <f>+G29-G30</f>
        <v>73.900000000000347</v>
      </c>
      <c r="H31" s="3">
        <f>+H29-H30</f>
        <v>142.50000000000023</v>
      </c>
      <c r="I31" s="3">
        <f>+I29-I30</f>
        <v>178.37932499999999</v>
      </c>
      <c r="J31" s="3">
        <f t="shared" ref="J31:Q31" si="12">+J29-J30</f>
        <v>203.6054571750002</v>
      </c>
      <c r="K31" s="3">
        <f t="shared" si="12"/>
        <v>229.20397421662528</v>
      </c>
      <c r="L31" s="3">
        <f t="shared" si="12"/>
        <v>255.18785620766471</v>
      </c>
      <c r="M31" s="3">
        <f t="shared" si="12"/>
        <v>265.07049798871884</v>
      </c>
      <c r="N31" s="3">
        <f t="shared" si="12"/>
        <v>275.36572189817554</v>
      </c>
      <c r="O31" s="3">
        <f t="shared" si="12"/>
        <v>286.08779089671003</v>
      </c>
      <c r="P31" s="3">
        <f t="shared" si="12"/>
        <v>297.25142208782319</v>
      </c>
      <c r="Q31" s="3">
        <f t="shared" si="12"/>
        <v>308.87180064629473</v>
      </c>
      <c r="R31" s="3">
        <f>+Q31*(1+TR)</f>
        <v>305.78308263983178</v>
      </c>
      <c r="S31" s="3">
        <f>+R31*(1+TR)</f>
        <v>302.72525181343343</v>
      </c>
      <c r="T31" s="3">
        <f>+S31*(1+TR)</f>
        <v>299.6979992952991</v>
      </c>
      <c r="U31" s="3">
        <f>+T31*(1+TR)</f>
        <v>296.70101930234608</v>
      </c>
      <c r="V31" s="3">
        <f>+U31*(1+TR)</f>
        <v>293.73400910932264</v>
      </c>
      <c r="W31" s="3">
        <f>+V31*(1+TR)</f>
        <v>290.79666901822941</v>
      </c>
      <c r="X31" s="3">
        <f>+W31*(1+TR)</f>
        <v>287.88870232804709</v>
      </c>
      <c r="Y31" s="3">
        <f>+X31*(1+TR)</f>
        <v>285.00981530476662</v>
      </c>
      <c r="Z31" s="3">
        <f>+Y31*(1+TR)</f>
        <v>282.15971715171895</v>
      </c>
      <c r="AA31" s="3">
        <f>+Z31*(1+TR)</f>
        <v>279.33811998020178</v>
      </c>
      <c r="AB31" s="3">
        <f>+AA31*(1+TR)</f>
        <v>276.54473878039977</v>
      </c>
      <c r="AC31" s="3">
        <f>+AB31*(1+TR)</f>
        <v>273.77929139259578</v>
      </c>
      <c r="AD31" s="3">
        <f>+AC31*(1+TR)</f>
        <v>271.04149847866984</v>
      </c>
      <c r="AE31" s="3">
        <f>+AD31*(1+TR)</f>
        <v>268.33108349388311</v>
      </c>
      <c r="AF31" s="3">
        <f>+AE31*(1+TR)</f>
        <v>265.64777265894429</v>
      </c>
      <c r="AG31" s="3">
        <f>+AF31*(1+TR)</f>
        <v>262.99129493235483</v>
      </c>
      <c r="AH31" s="3">
        <f>+AG31*(1+TR)</f>
        <v>260.36138198303127</v>
      </c>
      <c r="AI31" s="3">
        <f>+AH31*(1+TR)</f>
        <v>257.75776816320092</v>
      </c>
      <c r="AJ31" s="3">
        <f>+AI31*(1+TR)</f>
        <v>255.1801904815689</v>
      </c>
      <c r="AK31" s="3">
        <f>+AJ31*(1+TR)</f>
        <v>252.6283885767532</v>
      </c>
      <c r="AL31" s="3">
        <f>+AK31*(1+TR)</f>
        <v>250.10210469098567</v>
      </c>
      <c r="AM31" s="3">
        <f>+AL31*(1+TR)</f>
        <v>247.6010836440758</v>
      </c>
      <c r="AN31" s="3">
        <f>+AM31*(1+TR)</f>
        <v>245.12507280763504</v>
      </c>
      <c r="AO31" s="3">
        <f>+AN31*(1+TR)</f>
        <v>242.67382207955868</v>
      </c>
      <c r="AP31" s="3">
        <f>+AO31*(1+TR)</f>
        <v>240.24708385876309</v>
      </c>
      <c r="AQ31" s="3">
        <f>+AP31*(1+TR)</f>
        <v>237.84461302017544</v>
      </c>
      <c r="AR31" s="3">
        <f>+AQ31*(1+TR)</f>
        <v>235.46616688997369</v>
      </c>
      <c r="AS31" s="3">
        <f>+AR31*(1+TR)</f>
        <v>233.11150522107394</v>
      </c>
      <c r="AT31" s="3">
        <f>+AS31*(1+TR)</f>
        <v>230.78039016886319</v>
      </c>
      <c r="AU31" s="3">
        <f>+AT31*(1+TR)</f>
        <v>228.47258626717456</v>
      </c>
      <c r="AV31" s="3">
        <f>+AU31*(1+TR)</f>
        <v>226.18786040450283</v>
      </c>
      <c r="AW31" s="3">
        <f>+AV31*(1+TR)</f>
        <v>223.92598180045781</v>
      </c>
      <c r="AX31" s="3">
        <f>+AW31*(1+TR)</f>
        <v>221.68672198245324</v>
      </c>
      <c r="AY31" s="3">
        <f>+AX31*(1+TR)</f>
        <v>219.4698547626287</v>
      </c>
      <c r="AZ31" s="3">
        <f>+AY31*(1+TR)</f>
        <v>217.2751562150024</v>
      </c>
      <c r="BA31" s="3">
        <f>+AZ31*(1+TR)</f>
        <v>215.10240465285239</v>
      </c>
      <c r="BB31" s="3">
        <f>+BA31*(1+TR)</f>
        <v>212.95138060632385</v>
      </c>
      <c r="BC31" s="3">
        <f>+BB31*(1+TR)</f>
        <v>210.82186680026061</v>
      </c>
      <c r="BD31" s="3">
        <f>+BC31*(1+TR)</f>
        <v>208.71364813225799</v>
      </c>
      <c r="BE31" s="3">
        <f>+BD31*(1+TR)</f>
        <v>206.62651165093541</v>
      </c>
      <c r="BF31" s="3">
        <f>+BE31*(1+TR)</f>
        <v>204.56024653442606</v>
      </c>
      <c r="BG31" s="3">
        <f>+BF31*(1+TR)</f>
        <v>202.51464406908178</v>
      </c>
      <c r="BH31" s="3">
        <f>+BG31*(1+TR)</f>
        <v>200.48949762839095</v>
      </c>
      <c r="BI31" s="3">
        <f>+BH31*(1+TR)</f>
        <v>198.48460265210704</v>
      </c>
      <c r="BJ31" s="3">
        <f>+BI31*(1+TR)</f>
        <v>196.49975662558597</v>
      </c>
      <c r="BK31" s="3">
        <f>+BJ31*(1+TR)</f>
        <v>194.5347590593301</v>
      </c>
      <c r="BL31" s="3">
        <f>+BK31*(1+TR)</f>
        <v>192.58941146873678</v>
      </c>
      <c r="BM31" s="3">
        <f>+BL31*(1+TR)</f>
        <v>190.66351735404942</v>
      </c>
      <c r="BN31" s="3">
        <f>+BM31*(1+TR)</f>
        <v>188.75688218050891</v>
      </c>
      <c r="BO31" s="3">
        <f>+BN31*(1+TR)</f>
        <v>186.86931335870381</v>
      </c>
      <c r="BP31" s="3">
        <f>+BO31*(1+TR)</f>
        <v>185.00062022511676</v>
      </c>
      <c r="BQ31" s="3">
        <f>+BP31*(1+TR)</f>
        <v>183.1506140228656</v>
      </c>
      <c r="BR31" s="3">
        <f>+BQ31*(1+TR)</f>
        <v>181.31910788263693</v>
      </c>
      <c r="BS31" s="3">
        <f>+BR31*(1+TR)</f>
        <v>179.50591680381055</v>
      </c>
      <c r="BT31" s="3">
        <f>+BS31*(1+TR)</f>
        <v>177.71085763577244</v>
      </c>
      <c r="BU31" s="3">
        <f>+BT31*(1+TR)</f>
        <v>175.93374905941471</v>
      </c>
      <c r="BV31" s="3">
        <f>+BU31*(1+TR)</f>
        <v>174.17441156882057</v>
      </c>
      <c r="BW31" s="3">
        <f>+BV31*(1+TR)</f>
        <v>172.43266745313235</v>
      </c>
      <c r="BX31" s="3">
        <f>+BW31*(1+TR)</f>
        <v>170.70834077860104</v>
      </c>
      <c r="BY31" s="3">
        <f>+BX31*(1+TR)</f>
        <v>169.00125737081504</v>
      </c>
      <c r="BZ31" s="3">
        <f>+BY31*(1+TR)</f>
        <v>167.31124479710689</v>
      </c>
      <c r="CA31" s="3">
        <f>+BZ31*(1+TR)</f>
        <v>165.63813234913582</v>
      </c>
      <c r="CB31" s="3">
        <f>+CA31*(1+TR)</f>
        <v>163.98175102564446</v>
      </c>
      <c r="CC31" s="3">
        <f>+CB31*(1+TR)</f>
        <v>162.34193351538801</v>
      </c>
      <c r="CD31" s="3">
        <f>+CC31*(1+TR)</f>
        <v>160.71851418023414</v>
      </c>
      <c r="CE31" s="3">
        <f>+CD31*(1+TR)</f>
        <v>159.11132903843179</v>
      </c>
      <c r="CF31" s="3">
        <f>+CE31*(1+TR)</f>
        <v>157.52021574804746</v>
      </c>
      <c r="CG31" s="3">
        <f>+CF31*(1+TR)</f>
        <v>155.94501359056699</v>
      </c>
      <c r="CH31" s="3">
        <f>+CG31*(1+TR)</f>
        <v>154.38556345466131</v>
      </c>
      <c r="CI31" s="3">
        <f>+CH31*(1+TR)</f>
        <v>152.84170782011469</v>
      </c>
      <c r="CJ31" s="3">
        <f>+CI31*(1+TR)</f>
        <v>151.31329074191353</v>
      </c>
      <c r="CK31" s="3">
        <f>+CJ31*(1+TR)</f>
        <v>149.8001578344944</v>
      </c>
      <c r="CL31" s="3">
        <f>+CK31*(1+TR)</f>
        <v>148.30215625614946</v>
      </c>
      <c r="CM31" s="3">
        <f>+CL31*(1+TR)</f>
        <v>146.81913469358796</v>
      </c>
      <c r="CN31" s="3">
        <f>+CM31*(1+TR)</f>
        <v>145.35094334665209</v>
      </c>
      <c r="CO31" s="3">
        <f>+CN31*(1+TR)</f>
        <v>143.89743391318555</v>
      </c>
      <c r="CP31" s="3">
        <f>+CO31*(1+TR)</f>
        <v>142.45845957405371</v>
      </c>
      <c r="CQ31" s="3">
        <f>+CP31*(1+TR)</f>
        <v>141.03387497831318</v>
      </c>
      <c r="CR31" s="3">
        <f>+CQ31*(1+TR)</f>
        <v>139.62353622853004</v>
      </c>
      <c r="CS31" s="3">
        <f>+CR31*(1+TR)</f>
        <v>138.22730086624475</v>
      </c>
      <c r="CT31" s="3">
        <f>+CS31*(1+TR)</f>
        <v>136.84502785758229</v>
      </c>
      <c r="CU31" s="3">
        <f>+CT31*(1+TR)</f>
        <v>135.47657757900646</v>
      </c>
      <c r="CV31" s="3">
        <f>+CU31*(1+TR)</f>
        <v>134.12181180321639</v>
      </c>
      <c r="CW31" s="3">
        <f>+CV31*(1+TR)</f>
        <v>132.78059368518421</v>
      </c>
      <c r="CX31" s="3">
        <f>+CW31*(1+TR)</f>
        <v>131.45278774833238</v>
      </c>
      <c r="CY31" s="3">
        <f>+CX31*(1+TR)</f>
        <v>130.13825987084905</v>
      </c>
      <c r="CZ31" s="3">
        <f>+CY31*(1+TR)</f>
        <v>128.83687727214055</v>
      </c>
      <c r="DA31" s="3">
        <f>+CZ31*(1+TR)</f>
        <v>127.54850849941914</v>
      </c>
      <c r="DB31" s="3">
        <f>+DA31*(1+TR)</f>
        <v>126.27302341442496</v>
      </c>
      <c r="DC31" s="3">
        <f>+DB31*(1+TR)</f>
        <v>125.0102931802807</v>
      </c>
      <c r="DD31" s="3">
        <f>+DC31*(1+TR)</f>
        <v>123.76019024847788</v>
      </c>
      <c r="DE31" s="3">
        <f>+DD31*(1+TR)</f>
        <v>122.5225883459931</v>
      </c>
      <c r="DF31" s="3">
        <f>+DE31*(1+TR)</f>
        <v>121.29736246253317</v>
      </c>
      <c r="DG31" s="3">
        <f>+DF31*(1+TR)</f>
        <v>120.08438883790784</v>
      </c>
      <c r="DH31" s="3">
        <f>+DG31*(1+TR)</f>
        <v>118.88354494952875</v>
      </c>
      <c r="DI31" s="3">
        <f>+DH31*(1+TR)</f>
        <v>117.69470950003347</v>
      </c>
      <c r="DJ31" s="3">
        <f>+DI31*(1+TR)</f>
        <v>116.51776240503314</v>
      </c>
      <c r="DK31" s="3">
        <f>+DJ31*(1+TR)</f>
        <v>115.35258478098281</v>
      </c>
      <c r="DL31" s="3">
        <f>+DK31*(1+TR)</f>
        <v>114.19905893317298</v>
      </c>
    </row>
    <row r="32" spans="2:116" x14ac:dyDescent="0.25">
      <c r="G32" s="5"/>
      <c r="H32" s="5"/>
    </row>
    <row r="33" spans="2:20" s="6" customFormat="1" x14ac:dyDescent="0.25">
      <c r="B33" s="6" t="s">
        <v>12</v>
      </c>
      <c r="G33" s="6">
        <f>+G25/G20</f>
        <v>3.4402739602577462E-2</v>
      </c>
      <c r="H33" s="6">
        <f>+H25/H20</f>
        <v>4.9178834195120896E-2</v>
      </c>
      <c r="I33" s="6">
        <f>+I25/I20</f>
        <v>5.8958529089452268E-2</v>
      </c>
      <c r="J33" s="6">
        <f t="shared" ref="J33:Q33" si="13">+J25/J20</f>
        <v>6.4786078964475607E-2</v>
      </c>
      <c r="K33" s="6">
        <f t="shared" si="13"/>
        <v>7.0364819251554814E-2</v>
      </c>
      <c r="L33" s="6">
        <f t="shared" si="13"/>
        <v>7.5711455958706861E-2</v>
      </c>
      <c r="M33" s="6">
        <f t="shared" si="13"/>
        <v>7.7233903499685466E-2</v>
      </c>
      <c r="N33" s="6">
        <f t="shared" si="13"/>
        <v>7.8781965375926105E-2</v>
      </c>
      <c r="O33" s="6">
        <f t="shared" si="13"/>
        <v>8.0355209546241591E-2</v>
      </c>
      <c r="P33" s="6">
        <f t="shared" si="13"/>
        <v>8.1953195058846601E-2</v>
      </c>
      <c r="Q33" s="6">
        <f t="shared" si="13"/>
        <v>8.3575472405551646E-2</v>
      </c>
      <c r="S33" s="6" t="s">
        <v>35</v>
      </c>
      <c r="T33" s="6">
        <f>5.2%+2%</f>
        <v>7.2000000000000008E-2</v>
      </c>
    </row>
    <row r="34" spans="2:20" s="6" customFormat="1" x14ac:dyDescent="0.25">
      <c r="B34" s="6" t="s">
        <v>13</v>
      </c>
      <c r="F34" s="6">
        <f>+F20/E20 -1</f>
        <v>-5.5504121034210319E-2</v>
      </c>
      <c r="G34" s="6">
        <f>+G20/F20 -1</f>
        <v>6.118057713916869E-2</v>
      </c>
      <c r="H34" s="6">
        <f>+H20/G20 -1</f>
        <v>-1.0926868832514702E-2</v>
      </c>
      <c r="S34" s="6" t="s">
        <v>36</v>
      </c>
      <c r="T34" s="6">
        <v>-0.01</v>
      </c>
    </row>
    <row r="35" spans="2:20" x14ac:dyDescent="0.25">
      <c r="S35" s="1" t="s">
        <v>37</v>
      </c>
      <c r="T35" s="1">
        <f>NPV(T33,I31:DL31)</f>
        <v>3596.829744447582</v>
      </c>
    </row>
    <row r="36" spans="2:20" x14ac:dyDescent="0.25">
      <c r="B36" s="1" t="s">
        <v>24</v>
      </c>
      <c r="G36" s="1">
        <v>330.7</v>
      </c>
      <c r="H36" s="1">
        <v>347.9</v>
      </c>
      <c r="S36" s="1" t="s">
        <v>38</v>
      </c>
      <c r="T36" s="1">
        <f>+H47-H49</f>
        <v>-196.89999999999998</v>
      </c>
    </row>
    <row r="37" spans="2:20" s="4" customFormat="1" x14ac:dyDescent="0.25">
      <c r="B37" s="4" t="s">
        <v>14</v>
      </c>
      <c r="G37" s="4">
        <v>348.9</v>
      </c>
      <c r="H37" s="4">
        <v>347.3</v>
      </c>
      <c r="S37" s="4" t="s">
        <v>39</v>
      </c>
      <c r="T37" s="4">
        <f>+T35+T36</f>
        <v>3399.9297444475819</v>
      </c>
    </row>
    <row r="38" spans="2:20" x14ac:dyDescent="0.25">
      <c r="B38" s="1" t="s">
        <v>15</v>
      </c>
      <c r="G38" s="1">
        <f>104.2-38.5</f>
        <v>65.7</v>
      </c>
      <c r="H38" s="1">
        <f>109.7-30.6</f>
        <v>79.099999999999994</v>
      </c>
      <c r="S38" s="1" t="s">
        <v>40</v>
      </c>
      <c r="T38" s="1">
        <v>505.59659699999997</v>
      </c>
    </row>
    <row r="39" spans="2:20" s="3" customFormat="1" x14ac:dyDescent="0.25">
      <c r="B39" s="3" t="s">
        <v>16</v>
      </c>
      <c r="G39" s="3">
        <f>+G37-G38</f>
        <v>283.2</v>
      </c>
      <c r="H39" s="3">
        <f>+H37-H38</f>
        <v>268.20000000000005</v>
      </c>
      <c r="S39" s="3" t="s">
        <v>41</v>
      </c>
      <c r="T39" s="7">
        <f>+T37/T38</f>
        <v>6.7245898501322037</v>
      </c>
    </row>
    <row r="40" spans="2:20" s="3" customFormat="1" x14ac:dyDescent="0.25">
      <c r="B40" s="3" t="s">
        <v>43</v>
      </c>
      <c r="G40" s="9">
        <f>+G39/(T40*T38)</f>
        <v>0.10902780580075952</v>
      </c>
      <c r="H40" s="9">
        <f>+H39/(T40*T38)</f>
        <v>0.10325302795114304</v>
      </c>
      <c r="S40" s="1" t="s">
        <v>42</v>
      </c>
      <c r="T40" s="8">
        <v>5.1375000000000002</v>
      </c>
    </row>
    <row r="41" spans="2:20" x14ac:dyDescent="0.25">
      <c r="T41" s="5">
        <f>+T39/T40 -1</f>
        <v>0.308922598565879</v>
      </c>
    </row>
    <row r="42" spans="2:20" x14ac:dyDescent="0.25">
      <c r="B42" s="1" t="s">
        <v>17</v>
      </c>
      <c r="G42" s="1">
        <v>1437.7</v>
      </c>
      <c r="H42" s="1">
        <v>1611.7</v>
      </c>
      <c r="T42" s="8"/>
    </row>
    <row r="43" spans="2:20" x14ac:dyDescent="0.25">
      <c r="B43" s="1" t="s">
        <v>18</v>
      </c>
      <c r="G43" s="1">
        <v>1693.5</v>
      </c>
      <c r="H43" s="1">
        <v>1881.2</v>
      </c>
    </row>
    <row r="44" spans="2:20" x14ac:dyDescent="0.25">
      <c r="B44" s="1" t="s">
        <v>19</v>
      </c>
      <c r="G44" s="1">
        <f>+G42-G43</f>
        <v>-255.79999999999995</v>
      </c>
      <c r="H44" s="1">
        <f>+H42-H43</f>
        <v>-269.5</v>
      </c>
    </row>
    <row r="45" spans="2:20" x14ac:dyDescent="0.25">
      <c r="B45" s="1" t="s">
        <v>20</v>
      </c>
      <c r="H45" s="1">
        <f>+H44-G44</f>
        <v>-13.700000000000045</v>
      </c>
    </row>
    <row r="47" spans="2:20" x14ac:dyDescent="0.25">
      <c r="B47" s="1" t="s">
        <v>21</v>
      </c>
      <c r="G47" s="1">
        <v>451.7</v>
      </c>
      <c r="H47" s="1">
        <v>570.6</v>
      </c>
    </row>
    <row r="48" spans="2:20" x14ac:dyDescent="0.25">
      <c r="B48" s="1" t="s">
        <v>22</v>
      </c>
      <c r="G48" s="1">
        <v>478.5</v>
      </c>
      <c r="H48" s="1">
        <v>517.1</v>
      </c>
    </row>
    <row r="49" spans="2:8" x14ac:dyDescent="0.25">
      <c r="B49" s="1" t="s">
        <v>23</v>
      </c>
      <c r="G49" s="1">
        <f>19.6+768.4</f>
        <v>788</v>
      </c>
      <c r="H49" s="1">
        <f>20.4+747.1</f>
        <v>767.5</v>
      </c>
    </row>
    <row r="52" spans="2:8" s="3" customFormat="1" x14ac:dyDescent="0.25">
      <c r="B52" s="3" t="s">
        <v>25</v>
      </c>
      <c r="H52" s="3">
        <f>+H16</f>
        <v>1429.1</v>
      </c>
    </row>
    <row r="53" spans="2:8" x14ac:dyDescent="0.25">
      <c r="B53" s="1" t="s">
        <v>31</v>
      </c>
      <c r="H53" s="1">
        <f>+H52*0.53</f>
        <v>757.423</v>
      </c>
    </row>
    <row r="54" spans="2:8" x14ac:dyDescent="0.25">
      <c r="B54" s="1" t="s">
        <v>32</v>
      </c>
      <c r="H54" s="1">
        <f>+H52*0.31</f>
        <v>443.02099999999996</v>
      </c>
    </row>
    <row r="55" spans="2:8" x14ac:dyDescent="0.25">
      <c r="B55" s="1" t="s">
        <v>33</v>
      </c>
      <c r="H55" s="1">
        <f>+H52*0.01</f>
        <v>14.290999999999999</v>
      </c>
    </row>
    <row r="56" spans="2:8" x14ac:dyDescent="0.25">
      <c r="B56" s="1" t="s">
        <v>34</v>
      </c>
      <c r="H56" s="1">
        <f>+H52*0.15</f>
        <v>214.36499999999998</v>
      </c>
    </row>
    <row r="58" spans="2:8" s="3" customFormat="1" x14ac:dyDescent="0.25">
      <c r="B58" s="3" t="s">
        <v>26</v>
      </c>
      <c r="H58" s="3">
        <f>+H17</f>
        <v>1520.9</v>
      </c>
    </row>
    <row r="59" spans="2:8" x14ac:dyDescent="0.25">
      <c r="B59" s="1" t="s">
        <v>31</v>
      </c>
      <c r="H59" s="1">
        <f>+H58*0.88</f>
        <v>1338.3920000000001</v>
      </c>
    </row>
    <row r="60" spans="2:8" x14ac:dyDescent="0.25">
      <c r="B60" s="1" t="s">
        <v>33</v>
      </c>
      <c r="H60" s="1">
        <f>+H58*0.12</f>
        <v>182.50800000000001</v>
      </c>
    </row>
    <row r="62" spans="2:8" s="3" customFormat="1" x14ac:dyDescent="0.25">
      <c r="B62" s="3" t="s">
        <v>27</v>
      </c>
      <c r="H62" s="3">
        <f>+H18</f>
        <v>1098.5999999999999</v>
      </c>
    </row>
    <row r="63" spans="2:8" x14ac:dyDescent="0.25">
      <c r="B63" s="1" t="s">
        <v>31</v>
      </c>
      <c r="H63" s="1">
        <f>+H62*0.34</f>
        <v>373.524</v>
      </c>
    </row>
    <row r="64" spans="2:8" x14ac:dyDescent="0.25">
      <c r="B64" s="1" t="s">
        <v>32</v>
      </c>
      <c r="H64" s="1">
        <f>+H62*0.1</f>
        <v>109.86</v>
      </c>
    </row>
    <row r="65" spans="2:8" x14ac:dyDescent="0.25">
      <c r="B65" s="1" t="s">
        <v>33</v>
      </c>
      <c r="H65" s="1">
        <f>+H62*0.24</f>
        <v>263.66399999999999</v>
      </c>
    </row>
    <row r="66" spans="2:8" x14ac:dyDescent="0.25">
      <c r="B66" s="1" t="s">
        <v>34</v>
      </c>
      <c r="H66" s="1">
        <f>+H62*0.32</f>
        <v>351.55199999999996</v>
      </c>
    </row>
    <row r="68" spans="2:8" s="3" customFormat="1" x14ac:dyDescent="0.25">
      <c r="B68" s="3" t="s">
        <v>28</v>
      </c>
      <c r="H68" s="3">
        <f>+H19</f>
        <v>341.5</v>
      </c>
    </row>
    <row r="69" spans="2:8" x14ac:dyDescent="0.25">
      <c r="B69" s="1" t="s">
        <v>31</v>
      </c>
      <c r="H69" s="1">
        <f>+H68*0.36</f>
        <v>122.94</v>
      </c>
    </row>
    <row r="70" spans="2:8" x14ac:dyDescent="0.25">
      <c r="B70" s="1" t="s">
        <v>32</v>
      </c>
      <c r="H70" s="1">
        <f>+H68*0.15</f>
        <v>51.225000000000001</v>
      </c>
    </row>
    <row r="71" spans="2:8" x14ac:dyDescent="0.25">
      <c r="B71" s="1" t="s">
        <v>33</v>
      </c>
      <c r="H71" s="1">
        <f>+H68*0.1</f>
        <v>34.15</v>
      </c>
    </row>
    <row r="72" spans="2:8" x14ac:dyDescent="0.25">
      <c r="B72" s="1" t="s">
        <v>34</v>
      </c>
      <c r="H72" s="1">
        <f>+H68*0.39</f>
        <v>133.185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2024-11-29T10:50:58Z</dcterms:created>
  <dcterms:modified xsi:type="dcterms:W3CDTF">2024-11-29T13:56:09Z</dcterms:modified>
</cp:coreProperties>
</file>