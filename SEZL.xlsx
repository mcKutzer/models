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D166A9B-2F9A-4F9C-8E7B-C7D7CC122D71}" xr6:coauthVersionLast="47" xr6:coauthVersionMax="47" xr10:uidLastSave="{00000000-0000-0000-0000-000000000000}"/>
  <bookViews>
    <workbookView xWindow="-120" yWindow="-120" windowWidth="29040" windowHeight="15840" xr2:uid="{6C6F9D6D-80C6-48B4-85F9-D59D773D1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S57" i="1"/>
  <c r="F30" i="1"/>
  <c r="E30" i="1"/>
  <c r="F24" i="1"/>
  <c r="G24" i="1" s="1"/>
  <c r="H24" i="1" s="1"/>
  <c r="I24" i="1" s="1"/>
  <c r="J24" i="1" s="1"/>
  <c r="K24" i="1" s="1"/>
  <c r="E25" i="1"/>
  <c r="E26" i="1"/>
  <c r="F19" i="1"/>
  <c r="G18" i="1"/>
  <c r="G32" i="1" s="1"/>
  <c r="F21" i="1"/>
  <c r="E21" i="1"/>
  <c r="F7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F20" i="1"/>
  <c r="E20" i="1"/>
  <c r="F67" i="1"/>
  <c r="E67" i="1"/>
  <c r="E63" i="1"/>
  <c r="E66" i="1" s="1"/>
  <c r="F62" i="1" s="1"/>
  <c r="F63" i="1"/>
  <c r="D60" i="1"/>
  <c r="F60" i="1"/>
  <c r="E60" i="1"/>
  <c r="G52" i="1"/>
  <c r="H52" i="1" s="1"/>
  <c r="I52" i="1" s="1"/>
  <c r="J52" i="1" s="1"/>
  <c r="K52" i="1" s="1"/>
  <c r="L52" i="1" s="1"/>
  <c r="M52" i="1" s="1"/>
  <c r="N52" i="1" s="1"/>
  <c r="O52" i="1" s="1"/>
  <c r="P52" i="1" s="1"/>
  <c r="E8" i="1"/>
  <c r="E9" i="1" s="1"/>
  <c r="D8" i="1"/>
  <c r="D9" i="1" s="1"/>
  <c r="E56" i="1"/>
  <c r="E55" i="1"/>
  <c r="D55" i="1"/>
  <c r="E54" i="1"/>
  <c r="D54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F27" i="1" l="1"/>
  <c r="F26" i="1"/>
  <c r="F23" i="1"/>
  <c r="G27" i="1"/>
  <c r="G26" i="1"/>
  <c r="G33" i="1" s="1"/>
  <c r="H26" i="1"/>
  <c r="H33" i="1" s="1"/>
  <c r="H27" i="1"/>
  <c r="G19" i="1"/>
  <c r="F66" i="1"/>
  <c r="F9" i="1"/>
  <c r="E10" i="1"/>
  <c r="F10" i="1"/>
  <c r="G9" i="1"/>
  <c r="H9" i="1" s="1"/>
  <c r="I9" i="1" s="1"/>
  <c r="J9" i="1" s="1"/>
  <c r="K9" i="1" s="1"/>
  <c r="L9" i="1" s="1"/>
  <c r="M9" i="1" s="1"/>
  <c r="N9" i="1" s="1"/>
  <c r="O9" i="1" s="1"/>
  <c r="P9" i="1" s="1"/>
  <c r="F42" i="1"/>
  <c r="F54" i="1" s="1"/>
  <c r="F56" i="1"/>
  <c r="G34" i="1" l="1"/>
  <c r="G35" i="1" s="1"/>
  <c r="H7" i="1"/>
  <c r="H18" i="1" s="1"/>
  <c r="F46" i="1"/>
  <c r="F48" i="1" s="1"/>
  <c r="F51" i="1" s="1"/>
  <c r="G42" i="1" l="1"/>
  <c r="G46" i="1" s="1"/>
  <c r="G56" i="1"/>
  <c r="H32" i="1"/>
  <c r="H34" i="1" s="1"/>
  <c r="H19" i="1"/>
  <c r="I7" i="1"/>
  <c r="I18" i="1" s="1"/>
  <c r="I27" i="1"/>
  <c r="I26" i="1"/>
  <c r="I33" i="1" s="1"/>
  <c r="F50" i="1"/>
  <c r="G47" i="1" l="1"/>
  <c r="G48" i="1"/>
  <c r="J7" i="1"/>
  <c r="J18" i="1" s="1"/>
  <c r="I32" i="1"/>
  <c r="I34" i="1" s="1"/>
  <c r="I19" i="1"/>
  <c r="J27" i="1"/>
  <c r="J26" i="1"/>
  <c r="J33" i="1" s="1"/>
  <c r="F55" i="1"/>
  <c r="G50" i="1" l="1"/>
  <c r="G55" i="1" s="1"/>
  <c r="G51" i="1"/>
  <c r="J32" i="1"/>
  <c r="J34" i="1" s="1"/>
  <c r="J19" i="1"/>
  <c r="K7" i="1"/>
  <c r="K18" i="1" s="1"/>
  <c r="L24" i="1"/>
  <c r="L26" i="1" s="1"/>
  <c r="L33" i="1" s="1"/>
  <c r="K26" i="1"/>
  <c r="K33" i="1" s="1"/>
  <c r="K27" i="1"/>
  <c r="K32" i="1" l="1"/>
  <c r="K34" i="1" s="1"/>
  <c r="K19" i="1"/>
  <c r="L7" i="1"/>
  <c r="L18" i="1" s="1"/>
  <c r="M24" i="1"/>
  <c r="L27" i="1"/>
  <c r="L32" i="1" l="1"/>
  <c r="L34" i="1" s="1"/>
  <c r="L19" i="1"/>
  <c r="M7" i="1"/>
  <c r="M18" i="1" s="1"/>
  <c r="M27" i="1"/>
  <c r="N24" i="1"/>
  <c r="M26" i="1"/>
  <c r="M33" i="1" s="1"/>
  <c r="M32" i="1" l="1"/>
  <c r="M34" i="1" s="1"/>
  <c r="M19" i="1"/>
  <c r="N7" i="1"/>
  <c r="N18" i="1" s="1"/>
  <c r="N27" i="1"/>
  <c r="O24" i="1"/>
  <c r="N26" i="1"/>
  <c r="N33" i="1" s="1"/>
  <c r="N32" i="1" l="1"/>
  <c r="N34" i="1" s="1"/>
  <c r="N19" i="1"/>
  <c r="O7" i="1"/>
  <c r="O18" i="1" s="1"/>
  <c r="P24" i="1"/>
  <c r="P27" i="1" s="1"/>
  <c r="O27" i="1"/>
  <c r="O26" i="1"/>
  <c r="O33" i="1" s="1"/>
  <c r="O32" i="1" l="1"/>
  <c r="O34" i="1" s="1"/>
  <c r="O19" i="1"/>
  <c r="P7" i="1"/>
  <c r="P18" i="1" s="1"/>
  <c r="P26" i="1"/>
  <c r="P33" i="1" s="1"/>
  <c r="N35" i="1"/>
  <c r="N42" i="1" s="1"/>
  <c r="N46" i="1" s="1"/>
  <c r="J35" i="1"/>
  <c r="K35" i="1"/>
  <c r="K42" i="1" s="1"/>
  <c r="K46" i="1" s="1"/>
  <c r="L35" i="1"/>
  <c r="L42" i="1" s="1"/>
  <c r="L46" i="1" s="1"/>
  <c r="H35" i="1"/>
  <c r="M35" i="1"/>
  <c r="M42" i="1" s="1"/>
  <c r="M46" i="1" s="1"/>
  <c r="I35" i="1"/>
  <c r="I42" i="1" s="1"/>
  <c r="I46" i="1" s="1"/>
  <c r="O35" i="1"/>
  <c r="O42" i="1" s="1"/>
  <c r="O46" i="1" s="1"/>
  <c r="P32" i="1" l="1"/>
  <c r="P19" i="1"/>
  <c r="I56" i="1"/>
  <c r="J56" i="1"/>
  <c r="N56" i="1"/>
  <c r="M56" i="1"/>
  <c r="H42" i="1"/>
  <c r="H46" i="1" s="1"/>
  <c r="O47" i="1"/>
  <c r="O48" i="1" s="1"/>
  <c r="N47" i="1"/>
  <c r="N48" i="1" s="1"/>
  <c r="K47" i="1"/>
  <c r="K48" i="1" s="1"/>
  <c r="M48" i="1"/>
  <c r="L47" i="1"/>
  <c r="L48" i="1" s="1"/>
  <c r="I47" i="1"/>
  <c r="I48" i="1" s="1"/>
  <c r="H56" i="1"/>
  <c r="M47" i="1"/>
  <c r="L56" i="1"/>
  <c r="O56" i="1"/>
  <c r="J42" i="1"/>
  <c r="J46" i="1" s="1"/>
  <c r="K56" i="1"/>
  <c r="P34" i="1" l="1"/>
  <c r="P35" i="1" s="1"/>
  <c r="I50" i="1"/>
  <c r="I51" i="1"/>
  <c r="L50" i="1"/>
  <c r="L55" i="1" s="1"/>
  <c r="L51" i="1"/>
  <c r="K50" i="1"/>
  <c r="K55" i="1" s="1"/>
  <c r="K51" i="1"/>
  <c r="N50" i="1"/>
  <c r="N55" i="1" s="1"/>
  <c r="N51" i="1"/>
  <c r="M50" i="1"/>
  <c r="M55" i="1" s="1"/>
  <c r="M51" i="1"/>
  <c r="O50" i="1"/>
  <c r="O55" i="1" s="1"/>
  <c r="O51" i="1"/>
  <c r="H47" i="1"/>
  <c r="H48" i="1" s="1"/>
  <c r="J47" i="1"/>
  <c r="J48" i="1" s="1"/>
  <c r="I55" i="1"/>
  <c r="P42" i="1" l="1"/>
  <c r="P46" i="1" s="1"/>
  <c r="P47" i="1" s="1"/>
  <c r="P48" i="1" s="1"/>
  <c r="P56" i="1"/>
  <c r="J50" i="1"/>
  <c r="J51" i="1"/>
  <c r="H51" i="1"/>
  <c r="H50" i="1"/>
  <c r="H55" i="1" s="1"/>
  <c r="J55" i="1"/>
  <c r="P51" i="1" l="1"/>
  <c r="P50" i="1"/>
  <c r="P55" i="1" s="1"/>
  <c r="Q48" i="1"/>
  <c r="S69" i="1" l="1"/>
  <c r="R48" i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S56" i="1" l="1"/>
  <c r="S58" i="1" s="1"/>
  <c r="S60" i="1" s="1"/>
  <c r="S6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64" authorId="0" shapeId="0" xr:uid="{FAAF4589-02B4-4400-A5AF-3D87F73CA9D0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If a customer is 90 days delinquent it will lead to a charge off</t>
        </r>
      </text>
    </comment>
    <comment ref="B65" authorId="0" shapeId="0" xr:uid="{F997560B-6699-4A67-9DA7-9FDF197839A0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If the company can get a recovery from a charge off
</t>
        </r>
      </text>
    </comment>
  </commentList>
</comments>
</file>

<file path=xl/sharedStrings.xml><?xml version="1.0" encoding="utf-8"?>
<sst xmlns="http://schemas.openxmlformats.org/spreadsheetml/2006/main" count="70" uniqueCount="67">
  <si>
    <t>Revenue</t>
  </si>
  <si>
    <t>Personnel</t>
  </si>
  <si>
    <t>Transaction costs</t>
  </si>
  <si>
    <t>third party</t>
  </si>
  <si>
    <t>Marketing</t>
  </si>
  <si>
    <t>G&amp;A</t>
  </si>
  <si>
    <t>Operating Income</t>
  </si>
  <si>
    <t>Interest Expenses</t>
  </si>
  <si>
    <t>Other Income</t>
  </si>
  <si>
    <t>Finance cost</t>
  </si>
  <si>
    <t>Pretax</t>
  </si>
  <si>
    <t>Taxes</t>
  </si>
  <si>
    <t>Net Income</t>
  </si>
  <si>
    <t>Currencies</t>
  </si>
  <si>
    <t>Final net Income</t>
  </si>
  <si>
    <t>Net Margin</t>
  </si>
  <si>
    <t>Operating Margin</t>
  </si>
  <si>
    <t>CFFO</t>
  </si>
  <si>
    <t>CapEx</t>
  </si>
  <si>
    <t>FCF</t>
  </si>
  <si>
    <t>Revenue Y/Y</t>
  </si>
  <si>
    <t>Active Subs</t>
  </si>
  <si>
    <t>On Demand user</t>
  </si>
  <si>
    <t>Klarna</t>
  </si>
  <si>
    <t>Block</t>
  </si>
  <si>
    <t>Affirm</t>
  </si>
  <si>
    <t>Sezzle</t>
  </si>
  <si>
    <t>Total Market</t>
  </si>
  <si>
    <t>Sezzle Share</t>
  </si>
  <si>
    <t>Credit</t>
  </si>
  <si>
    <t>Discount</t>
  </si>
  <si>
    <t>Terminal</t>
  </si>
  <si>
    <t>NPV</t>
  </si>
  <si>
    <t>net Cash</t>
  </si>
  <si>
    <t>Value</t>
  </si>
  <si>
    <t>Shares</t>
  </si>
  <si>
    <t>Price</t>
  </si>
  <si>
    <t>EPS</t>
  </si>
  <si>
    <t>Price 35</t>
  </si>
  <si>
    <t>Market Growth</t>
  </si>
  <si>
    <t>Stock Purchase</t>
  </si>
  <si>
    <t>Starting Balance</t>
  </si>
  <si>
    <t>Charge-offs</t>
  </si>
  <si>
    <t>Ending Balance</t>
  </si>
  <si>
    <t xml:space="preserve">Recoveries </t>
  </si>
  <si>
    <t>Credit Loss provision</t>
  </si>
  <si>
    <t>Recovery Rate</t>
  </si>
  <si>
    <t>GMV</t>
  </si>
  <si>
    <t>GMV CL %</t>
  </si>
  <si>
    <t>Active Customers</t>
  </si>
  <si>
    <t>Monthly User &amp; Subs</t>
  </si>
  <si>
    <t>Transaction Income</t>
  </si>
  <si>
    <t>Subscription Revenue</t>
  </si>
  <si>
    <t>Other Sources</t>
  </si>
  <si>
    <t>GMV to Trans</t>
  </si>
  <si>
    <t>GMV Y/Y</t>
  </si>
  <si>
    <t>Sub Revenue</t>
  </si>
  <si>
    <t>Subs Y/Y</t>
  </si>
  <si>
    <t>Other Source</t>
  </si>
  <si>
    <t>Customers</t>
  </si>
  <si>
    <t>Millennials</t>
  </si>
  <si>
    <t>Gen Z</t>
  </si>
  <si>
    <t>Gen X</t>
  </si>
  <si>
    <t>Boomer</t>
  </si>
  <si>
    <t>Q4 25</t>
  </si>
  <si>
    <t>Current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</si>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</sst>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\-&quot;€&quot;\ #,##0.00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3" fontId="2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right" vertical="center" wrapText="1"/>
    </xf>
    <xf numFmtId="4" fontId="0" fillId="0" borderId="0" xfId="0" applyNumberFormat="1"/>
    <xf numFmtId="8" fontId="0" fillId="0" borderId="0" xfId="1" applyNumberFormat="1" applyFont="1"/>
    <xf numFmtId="4" fontId="2" fillId="0" borderId="0" xfId="0" applyNumberFormat="1" applyFont="1"/>
    <xf numFmtId="3" fontId="5" fillId="0" borderId="0" xfId="0" applyNumberFormat="1" applyFont="1"/>
    <xf numFmtId="3" fontId="0" fillId="0" borderId="0" xfId="0" applyNumberFormat="1" applyFont="1"/>
    <xf numFmtId="9" fontId="5" fillId="0" borderId="0" xfId="1" applyFont="1"/>
    <xf numFmtId="1" fontId="0" fillId="0" borderId="0" xfId="0" applyNumberFormat="1"/>
    <xf numFmtId="1" fontId="2" fillId="0" borderId="0" xfId="0" applyNumberFormat="1" applyFont="1" applyAlignment="1">
      <alignment horizontal="right" vertical="center" wrapText="1"/>
    </xf>
    <xf numFmtId="9" fontId="2" fillId="0" borderId="0" xfId="1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21771</xdr:colOff>
      <xdr:row>2</xdr:row>
      <xdr:rowOff>174171</xdr:rowOff>
    </xdr:from>
    <xdr:to>
      <xdr:col>6</xdr:col>
      <xdr:colOff>32944</xdr:colOff>
      <xdr:row>68</xdr:row>
      <xdr:rowOff>117738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2B525E0-64C0-6DDB-D114-DE124303B957}"/>
            </a:ext>
          </a:extLst>
        </xdr:cNvPr>
        <xdr:cNvCxnSpPr/>
      </xdr:nvCxnSpPr>
      <xdr:spPr>
        <a:xfrm>
          <a:off x="4103914" y="555171"/>
          <a:ext cx="11173" cy="113735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2140-EABD-4E16-A3DC-3036E4831534}">
  <dimension ref="B2:CV108"/>
  <sheetViews>
    <sheetView tabSelected="1" zoomScale="175" zoomScaleNormal="175" workbookViewId="0">
      <pane xSplit="2" ySplit="2" topLeftCell="H45" activePane="bottomRight" state="frozen"/>
      <selection pane="topRight" activeCell="C1" sqref="C1"/>
      <selection pane="bottomLeft" activeCell="A3" sqref="A3"/>
      <selection pane="bottomRight" activeCell="S62" sqref="S62"/>
    </sheetView>
  </sheetViews>
  <sheetFormatPr defaultRowHeight="15" x14ac:dyDescent="0.25"/>
  <cols>
    <col min="1" max="1" width="2.85546875" customWidth="1"/>
    <col min="2" max="2" width="20.5703125" bestFit="1" customWidth="1"/>
    <col min="4" max="12" width="9.5703125" customWidth="1"/>
    <col min="13" max="16" width="10.42578125" bestFit="1" customWidth="1"/>
    <col min="19" max="19" width="13.5703125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 t="shared" ref="H2:P2" si="0">+G2+1</f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>
      <c r="B3" s="2" t="s">
        <v>29</v>
      </c>
      <c r="D3" s="4"/>
      <c r="E3" s="4"/>
    </row>
    <row r="4" spans="2:16" s="1" customFormat="1" x14ac:dyDescent="0.25">
      <c r="B4" s="1" t="s">
        <v>23</v>
      </c>
      <c r="D4" s="5">
        <v>92465</v>
      </c>
      <c r="E4" s="5">
        <v>104980</v>
      </c>
      <c r="F4" s="1">
        <v>123268</v>
      </c>
    </row>
    <row r="5" spans="2:16" s="1" customFormat="1" x14ac:dyDescent="0.25">
      <c r="B5" s="1" t="s">
        <v>24</v>
      </c>
      <c r="D5" s="5">
        <v>30900</v>
      </c>
      <c r="E5" s="5">
        <v>44810</v>
      </c>
      <c r="F5" s="1">
        <v>52980</v>
      </c>
    </row>
    <row r="6" spans="2:16" s="1" customFormat="1" x14ac:dyDescent="0.25">
      <c r="B6" s="1" t="s">
        <v>25</v>
      </c>
      <c r="D6" s="5">
        <v>23200</v>
      </c>
      <c r="E6" s="5">
        <v>33500</v>
      </c>
      <c r="F6" s="1">
        <v>39900</v>
      </c>
    </row>
    <row r="7" spans="2:16" s="1" customFormat="1" x14ac:dyDescent="0.25">
      <c r="B7" s="1" t="s">
        <v>26</v>
      </c>
      <c r="D7" s="5">
        <v>1825</v>
      </c>
      <c r="E7" s="5">
        <v>2856</v>
      </c>
      <c r="F7" s="1">
        <f>+F18/1000</f>
        <v>3940.422</v>
      </c>
      <c r="G7" s="1">
        <v>4400</v>
      </c>
      <c r="H7" s="1">
        <f>+H9*H8</f>
        <v>5106.3069906200008</v>
      </c>
      <c r="I7" s="1">
        <f t="shared" ref="I7:P7" si="1">+I9*I8</f>
        <v>5909.8753793640017</v>
      </c>
      <c r="J7" s="1">
        <f t="shared" si="1"/>
        <v>6823.0943759506026</v>
      </c>
      <c r="K7" s="1">
        <f t="shared" si="1"/>
        <v>7859.8584180608841</v>
      </c>
      <c r="L7" s="1">
        <f t="shared" si="1"/>
        <v>8871.4580643821937</v>
      </c>
      <c r="M7" s="1">
        <f t="shared" si="1"/>
        <v>9716.982489121563</v>
      </c>
      <c r="N7" s="1">
        <f t="shared" si="1"/>
        <v>10523.691371067496</v>
      </c>
      <c r="O7" s="1">
        <f t="shared" si="1"/>
        <v>11269.972582052023</v>
      </c>
      <c r="P7" s="1">
        <f t="shared" si="1"/>
        <v>12051.559343461662</v>
      </c>
    </row>
    <row r="8" spans="2:16" s="1" customFormat="1" x14ac:dyDescent="0.25">
      <c r="B8" s="1" t="s">
        <v>27</v>
      </c>
      <c r="D8" s="5">
        <f>+SUM(D4:D7)</f>
        <v>148390</v>
      </c>
      <c r="E8" s="5">
        <f>+SUM(E4:E7)</f>
        <v>186146</v>
      </c>
      <c r="F8" s="5">
        <f>+SUM(F4:F7)</f>
        <v>220088.42199999999</v>
      </c>
      <c r="G8" s="1">
        <f>+F8*(1+G10)</f>
        <v>242097.26420000001</v>
      </c>
      <c r="H8" s="1">
        <f t="shared" ref="H8:P8" si="2">+G8*(1+H10)</f>
        <v>266306.99062000006</v>
      </c>
      <c r="I8" s="1">
        <f t="shared" si="2"/>
        <v>292937.68968200008</v>
      </c>
      <c r="J8" s="1">
        <f t="shared" si="2"/>
        <v>322231.4586502001</v>
      </c>
      <c r="K8" s="1">
        <f t="shared" si="2"/>
        <v>354454.60451522016</v>
      </c>
      <c r="L8" s="1">
        <f t="shared" si="2"/>
        <v>382810.97287643777</v>
      </c>
      <c r="M8" s="1">
        <f t="shared" si="2"/>
        <v>401951.52152025967</v>
      </c>
      <c r="N8" s="1">
        <f t="shared" si="2"/>
        <v>418029.58238107007</v>
      </c>
      <c r="O8" s="1">
        <f t="shared" si="2"/>
        <v>430570.46985250217</v>
      </c>
      <c r="P8" s="1">
        <f t="shared" si="2"/>
        <v>443487.58394807723</v>
      </c>
    </row>
    <row r="9" spans="2:16" s="7" customFormat="1" x14ac:dyDescent="0.25">
      <c r="B9" s="7" t="s">
        <v>28</v>
      </c>
      <c r="D9" s="8">
        <f>+D7/D8</f>
        <v>1.2298672417278793E-2</v>
      </c>
      <c r="E9" s="8">
        <f>+E7/E8</f>
        <v>1.5342795440138385E-2</v>
      </c>
      <c r="F9" s="8">
        <f>+F7/F8</f>
        <v>1.7903813222850951E-2</v>
      </c>
      <c r="G9" s="8">
        <f>+G7/G8</f>
        <v>1.8174513514391047E-2</v>
      </c>
      <c r="H9" s="8">
        <f>+G9+0.001</f>
        <v>1.9174513514391048E-2</v>
      </c>
      <c r="I9" s="8">
        <f t="shared" ref="I9:P9" si="3">+H9+0.001</f>
        <v>2.0174513514391049E-2</v>
      </c>
      <c r="J9" s="8">
        <f t="shared" si="3"/>
        <v>2.117451351439105E-2</v>
      </c>
      <c r="K9" s="8">
        <f t="shared" si="3"/>
        <v>2.217451351439105E-2</v>
      </c>
      <c r="L9" s="8">
        <f t="shared" si="3"/>
        <v>2.3174513514391051E-2</v>
      </c>
      <c r="M9" s="8">
        <f t="shared" si="3"/>
        <v>2.4174513514391052E-2</v>
      </c>
      <c r="N9" s="8">
        <f t="shared" si="3"/>
        <v>2.5174513514391053E-2</v>
      </c>
      <c r="O9" s="8">
        <f t="shared" si="3"/>
        <v>2.6174513514391054E-2</v>
      </c>
      <c r="P9" s="8">
        <f t="shared" si="3"/>
        <v>2.7174513514391055E-2</v>
      </c>
    </row>
    <row r="10" spans="2:16" s="7" customFormat="1" x14ac:dyDescent="0.25">
      <c r="B10" s="7" t="s">
        <v>39</v>
      </c>
      <c r="D10" s="8"/>
      <c r="E10" s="8">
        <f>+E8/D8 -1</f>
        <v>0.25443763056809754</v>
      </c>
      <c r="F10" s="8">
        <f t="shared" ref="F10" si="4">+F8/E8 -1</f>
        <v>0.18234301032522859</v>
      </c>
      <c r="G10" s="8">
        <v>0.1</v>
      </c>
      <c r="H10" s="8">
        <v>0.1</v>
      </c>
      <c r="I10" s="8">
        <v>0.1</v>
      </c>
      <c r="J10" s="8">
        <v>0.1</v>
      </c>
      <c r="K10" s="8">
        <v>0.1</v>
      </c>
      <c r="L10" s="8">
        <v>0.08</v>
      </c>
      <c r="M10" s="8">
        <v>0.05</v>
      </c>
      <c r="N10" s="8">
        <v>0.04</v>
      </c>
      <c r="O10" s="8">
        <v>0.03</v>
      </c>
      <c r="P10" s="8">
        <v>0.03</v>
      </c>
    </row>
    <row r="11" spans="2:16" s="1" customFormat="1" x14ac:dyDescent="0.25">
      <c r="D11" s="9"/>
      <c r="E11" s="9"/>
      <c r="F11" s="9"/>
    </row>
    <row r="12" spans="2:16" s="1" customFormat="1" x14ac:dyDescent="0.25">
      <c r="B12" s="2" t="s">
        <v>59</v>
      </c>
      <c r="D12" s="9"/>
      <c r="E12" s="9"/>
      <c r="F12" s="9"/>
    </row>
    <row r="13" spans="2:16" s="3" customFormat="1" x14ac:dyDescent="0.25">
      <c r="B13" s="3" t="s">
        <v>60</v>
      </c>
      <c r="F13" s="3">
        <v>0.56799999999999995</v>
      </c>
    </row>
    <row r="14" spans="2:16" s="3" customFormat="1" x14ac:dyDescent="0.25">
      <c r="B14" s="3" t="s">
        <v>61</v>
      </c>
      <c r="F14" s="3">
        <v>0.245</v>
      </c>
    </row>
    <row r="15" spans="2:16" s="3" customFormat="1" x14ac:dyDescent="0.25">
      <c r="B15" s="3" t="s">
        <v>62</v>
      </c>
      <c r="F15" s="3">
        <v>0.14199999999999999</v>
      </c>
    </row>
    <row r="16" spans="2:16" s="3" customFormat="1" x14ac:dyDescent="0.25">
      <c r="B16" s="3" t="s">
        <v>63</v>
      </c>
      <c r="F16" s="3">
        <v>4.2999999999999997E-2</v>
      </c>
    </row>
    <row r="17" spans="2:16" s="1" customFormat="1" x14ac:dyDescent="0.25">
      <c r="D17" s="9"/>
      <c r="E17" s="9"/>
      <c r="F17" s="9"/>
    </row>
    <row r="18" spans="2:16" s="1" customFormat="1" x14ac:dyDescent="0.25">
      <c r="B18" s="1" t="s">
        <v>47</v>
      </c>
      <c r="E18" s="1">
        <v>2540237</v>
      </c>
      <c r="F18" s="1">
        <v>3940422</v>
      </c>
      <c r="G18" s="1">
        <f>+G7*1000</f>
        <v>4400000</v>
      </c>
      <c r="H18" s="1">
        <f>+H7*1000</f>
        <v>5106306.9906200012</v>
      </c>
      <c r="I18" s="1">
        <f t="shared" ref="I18:P18" si="5">+I7*1000</f>
        <v>5909875.3793640016</v>
      </c>
      <c r="J18" s="1">
        <f t="shared" si="5"/>
        <v>6823094.3759506028</v>
      </c>
      <c r="K18" s="1">
        <f t="shared" si="5"/>
        <v>7859858.4180608839</v>
      </c>
      <c r="L18" s="1">
        <f t="shared" si="5"/>
        <v>8871458.0643821936</v>
      </c>
      <c r="M18" s="1">
        <f t="shared" si="5"/>
        <v>9716982.4891215637</v>
      </c>
      <c r="N18" s="1">
        <f t="shared" si="5"/>
        <v>10523691.371067496</v>
      </c>
      <c r="O18" s="1">
        <f t="shared" si="5"/>
        <v>11269972.582052024</v>
      </c>
      <c r="P18" s="1">
        <f t="shared" si="5"/>
        <v>12051559.343461663</v>
      </c>
    </row>
    <row r="19" spans="2:16" s="3" customFormat="1" x14ac:dyDescent="0.25">
      <c r="B19" s="3" t="s">
        <v>55</v>
      </c>
      <c r="F19" s="3">
        <f>+F18/E18 -1</f>
        <v>0.55120250590791331</v>
      </c>
      <c r="G19" s="3">
        <f t="shared" ref="G19:P19" si="6">+G18/F18 -1</f>
        <v>0.11663167041499611</v>
      </c>
      <c r="H19" s="3">
        <f t="shared" si="6"/>
        <v>0.16052431605000028</v>
      </c>
      <c r="I19" s="3">
        <f t="shared" si="6"/>
        <v>0.15736781792009569</v>
      </c>
      <c r="J19" s="3">
        <f t="shared" si="6"/>
        <v>0.15452423917014624</v>
      </c>
      <c r="K19" s="3">
        <f t="shared" si="6"/>
        <v>0.15194924545739386</v>
      </c>
      <c r="L19" s="3">
        <f t="shared" si="6"/>
        <v>0.12870456343040382</v>
      </c>
      <c r="M19" s="3">
        <f t="shared" si="6"/>
        <v>9.5308394471709912E-2</v>
      </c>
      <c r="N19" s="3">
        <f t="shared" si="6"/>
        <v>8.3020514120413891E-2</v>
      </c>
      <c r="O19" s="3">
        <f t="shared" si="6"/>
        <v>7.0914395402763342E-2</v>
      </c>
      <c r="P19" s="3">
        <f t="shared" si="6"/>
        <v>6.9351256688445995E-2</v>
      </c>
    </row>
    <row r="20" spans="2:16" s="7" customFormat="1" x14ac:dyDescent="0.25">
      <c r="B20" s="7" t="s">
        <v>48</v>
      </c>
      <c r="E20" s="7">
        <f>+E41/E18</f>
        <v>2.1657428027384847E-2</v>
      </c>
      <c r="F20" s="7">
        <f>+F41/F18</f>
        <v>2.2662039751072349E-2</v>
      </c>
    </row>
    <row r="21" spans="2:16" s="7" customFormat="1" x14ac:dyDescent="0.25">
      <c r="B21" s="7" t="s">
        <v>54</v>
      </c>
      <c r="E21" s="7">
        <f>+E32/E18</f>
        <v>5.7780435447558634E-2</v>
      </c>
      <c r="F21" s="7">
        <f>+F32/F18</f>
        <v>5.9414194723306286E-2</v>
      </c>
      <c r="G21" s="7">
        <v>0.06</v>
      </c>
      <c r="H21" s="7">
        <v>0.06</v>
      </c>
      <c r="I21" s="7">
        <v>0.06</v>
      </c>
      <c r="J21" s="7">
        <v>0.06</v>
      </c>
      <c r="K21" s="7">
        <v>0.06</v>
      </c>
      <c r="L21" s="7">
        <v>0.06</v>
      </c>
      <c r="M21" s="7">
        <v>0.06</v>
      </c>
      <c r="N21" s="7">
        <v>0.06</v>
      </c>
      <c r="O21" s="7">
        <v>0.06</v>
      </c>
      <c r="P21" s="7">
        <v>0.06</v>
      </c>
    </row>
    <row r="22" spans="2:16" s="1" customFormat="1" x14ac:dyDescent="0.25">
      <c r="E22" s="9"/>
      <c r="F22" s="9"/>
    </row>
    <row r="23" spans="2:16" s="1" customFormat="1" x14ac:dyDescent="0.25">
      <c r="B23" s="1" t="s">
        <v>22</v>
      </c>
      <c r="D23" s="5"/>
      <c r="E23" s="5">
        <v>190</v>
      </c>
      <c r="F23" s="12">
        <f>+F25-F24</f>
        <v>257.04000000000008</v>
      </c>
    </row>
    <row r="24" spans="2:16" s="1" customFormat="1" x14ac:dyDescent="0.25">
      <c r="B24" s="1" t="s">
        <v>21</v>
      </c>
      <c r="D24" s="5"/>
      <c r="E24" s="5">
        <v>517</v>
      </c>
      <c r="F24" s="12">
        <f>+F25*0.72</f>
        <v>660.95999999999992</v>
      </c>
      <c r="G24" s="1">
        <f>+F24*1.25</f>
        <v>826.19999999999993</v>
      </c>
      <c r="H24" s="1">
        <f>+G24*1.2</f>
        <v>991.43999999999983</v>
      </c>
      <c r="I24" s="1">
        <f>+H24*1.18</f>
        <v>1169.8991999999998</v>
      </c>
      <c r="J24" s="1">
        <f>+I24*1.15</f>
        <v>1345.3840799999998</v>
      </c>
      <c r="K24" s="1">
        <f>+J24*1.12</f>
        <v>1506.8301695999999</v>
      </c>
      <c r="L24" s="1">
        <f t="shared" ref="K24:P24" si="7">+K24*1.1</f>
        <v>1657.5131865599999</v>
      </c>
      <c r="M24" s="1">
        <f t="shared" si="7"/>
        <v>1823.2645052160001</v>
      </c>
      <c r="N24" s="1">
        <f t="shared" si="7"/>
        <v>2005.5909557376003</v>
      </c>
      <c r="O24" s="1">
        <f t="shared" si="7"/>
        <v>2206.1500513113606</v>
      </c>
      <c r="P24" s="1">
        <f t="shared" si="7"/>
        <v>2426.7650564424966</v>
      </c>
    </row>
    <row r="25" spans="2:16" s="1" customFormat="1" x14ac:dyDescent="0.25">
      <c r="B25" s="1" t="s">
        <v>50</v>
      </c>
      <c r="D25" s="5"/>
      <c r="E25" s="5">
        <f>+E23+E24</f>
        <v>707</v>
      </c>
      <c r="F25" s="1">
        <v>918</v>
      </c>
    </row>
    <row r="26" spans="2:16" s="15" customFormat="1" x14ac:dyDescent="0.25">
      <c r="B26" s="15" t="s">
        <v>56</v>
      </c>
      <c r="D26" s="16"/>
      <c r="E26" s="15">
        <f>+E33/E24</f>
        <v>159.03675048355899</v>
      </c>
      <c r="F26" s="15">
        <f>+F33/F24</f>
        <v>150.38731541999519</v>
      </c>
      <c r="G26" s="15">
        <f>+(F24/G24)*13.99*12+(G24-F24)/G24 *10*12</f>
        <v>158.30399999999997</v>
      </c>
      <c r="H26" s="15">
        <f t="shared" ref="H26:P26" si="8">+(G24/H24)*13.99*12+(H24-G24)/H24 *10*12</f>
        <v>159.9</v>
      </c>
      <c r="I26" s="15">
        <f t="shared" si="8"/>
        <v>160.57627118644069</v>
      </c>
      <c r="J26" s="15">
        <f t="shared" si="8"/>
        <v>161.63478260869564</v>
      </c>
      <c r="K26" s="15">
        <f t="shared" si="8"/>
        <v>162.74999999999997</v>
      </c>
      <c r="L26" s="15">
        <f t="shared" si="8"/>
        <v>163.52727272727273</v>
      </c>
      <c r="M26" s="15">
        <f t="shared" si="8"/>
        <v>163.5272727272727</v>
      </c>
      <c r="N26" s="15">
        <f t="shared" si="8"/>
        <v>163.5272727272727</v>
      </c>
      <c r="O26" s="15">
        <f t="shared" si="8"/>
        <v>163.5272727272727</v>
      </c>
      <c r="P26" s="15">
        <f t="shared" si="8"/>
        <v>163.52727272727273</v>
      </c>
    </row>
    <row r="27" spans="2:16" s="3" customFormat="1" x14ac:dyDescent="0.25">
      <c r="B27" s="3" t="s">
        <v>57</v>
      </c>
      <c r="D27" s="17"/>
      <c r="F27" s="3">
        <f>+F24/E24 -1</f>
        <v>0.27845261121856857</v>
      </c>
      <c r="G27" s="3">
        <f>+G24/F24 -1</f>
        <v>0.25</v>
      </c>
      <c r="H27" s="3">
        <f t="shared" ref="H27:P27" si="9">+H24/G24 -1</f>
        <v>0.19999999999999996</v>
      </c>
      <c r="I27" s="3">
        <f t="shared" si="9"/>
        <v>0.17999999999999994</v>
      </c>
      <c r="J27" s="3">
        <f t="shared" si="9"/>
        <v>0.14999999999999991</v>
      </c>
      <c r="K27" s="3">
        <f t="shared" si="9"/>
        <v>0.12000000000000011</v>
      </c>
      <c r="L27" s="3">
        <f t="shared" si="9"/>
        <v>0.10000000000000009</v>
      </c>
      <c r="M27" s="3">
        <f t="shared" si="9"/>
        <v>0.10000000000000009</v>
      </c>
      <c r="N27" s="3">
        <f t="shared" si="9"/>
        <v>0.10000000000000009</v>
      </c>
      <c r="O27" s="3">
        <f t="shared" si="9"/>
        <v>0.10000000000000009</v>
      </c>
      <c r="P27" s="3">
        <f t="shared" si="9"/>
        <v>0.10000000000000009</v>
      </c>
    </row>
    <row r="28" spans="2:16" s="1" customFormat="1" x14ac:dyDescent="0.25">
      <c r="D28" s="4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s="1" customFormat="1" x14ac:dyDescent="0.25">
      <c r="B29" s="1" t="s">
        <v>49</v>
      </c>
      <c r="D29" s="5"/>
      <c r="E29" s="5">
        <v>2725</v>
      </c>
      <c r="F29" s="1">
        <v>3049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s="3" customFormat="1" x14ac:dyDescent="0.25">
      <c r="B30" s="3" t="s">
        <v>58</v>
      </c>
      <c r="E30" s="3">
        <f>+E34/(E32+E33)</f>
        <v>0.18397540589874148</v>
      </c>
      <c r="F30" s="3">
        <f>+F34/(F32+F33)</f>
        <v>0.35009309870261485</v>
      </c>
      <c r="G30" s="3">
        <v>0.4</v>
      </c>
      <c r="H30" s="3">
        <v>0.4</v>
      </c>
      <c r="I30" s="3">
        <v>0.4</v>
      </c>
      <c r="J30" s="3">
        <v>0.4</v>
      </c>
      <c r="K30" s="3">
        <v>0.4</v>
      </c>
      <c r="L30" s="3">
        <v>0.4</v>
      </c>
      <c r="M30" s="3">
        <v>0.4</v>
      </c>
      <c r="N30" s="3">
        <v>0.4</v>
      </c>
      <c r="O30" s="3">
        <v>0.4</v>
      </c>
      <c r="P30" s="3">
        <v>0.4</v>
      </c>
    </row>
    <row r="31" spans="2:16" s="1" customFormat="1" x14ac:dyDescent="0.25">
      <c r="D31" s="4"/>
    </row>
    <row r="32" spans="2:16" s="1" customFormat="1" x14ac:dyDescent="0.25">
      <c r="B32" s="1" t="s">
        <v>51</v>
      </c>
      <c r="D32" s="4"/>
      <c r="E32" s="1">
        <v>146776</v>
      </c>
      <c r="F32" s="1">
        <v>234117</v>
      </c>
      <c r="G32" s="1">
        <f>+G18*G21</f>
        <v>264000</v>
      </c>
      <c r="H32" s="1">
        <f t="shared" ref="H32:P32" si="10">+H18*H21</f>
        <v>306378.41943720006</v>
      </c>
      <c r="I32" s="1">
        <f t="shared" si="10"/>
        <v>354592.52276184008</v>
      </c>
      <c r="J32" s="1">
        <f t="shared" si="10"/>
        <v>409385.66255703615</v>
      </c>
      <c r="K32" s="1">
        <f t="shared" si="10"/>
        <v>471591.50508365303</v>
      </c>
      <c r="L32" s="1">
        <f t="shared" si="10"/>
        <v>532287.48386293161</v>
      </c>
      <c r="M32" s="1">
        <f t="shared" si="10"/>
        <v>583018.94934729382</v>
      </c>
      <c r="N32" s="1">
        <f t="shared" si="10"/>
        <v>631421.4822640497</v>
      </c>
      <c r="O32" s="1">
        <f t="shared" si="10"/>
        <v>676198.3549231214</v>
      </c>
      <c r="P32" s="1">
        <f t="shared" si="10"/>
        <v>723093.56060769968</v>
      </c>
    </row>
    <row r="33" spans="2:100" s="1" customFormat="1" x14ac:dyDescent="0.25">
      <c r="B33" s="1" t="s">
        <v>52</v>
      </c>
      <c r="D33" s="4"/>
      <c r="E33" s="1">
        <v>82222</v>
      </c>
      <c r="F33" s="1">
        <v>99400</v>
      </c>
      <c r="G33" s="1">
        <f>+G26*G24</f>
        <v>130790.76479999996</v>
      </c>
      <c r="H33" s="1">
        <f t="shared" ref="H33:P33" si="11">+H26*H24</f>
        <v>158531.25599999996</v>
      </c>
      <c r="I33" s="1">
        <f t="shared" si="11"/>
        <v>187858.05119999999</v>
      </c>
      <c r="J33" s="1">
        <f t="shared" si="11"/>
        <v>217460.86329599997</v>
      </c>
      <c r="K33" s="1">
        <f t="shared" si="11"/>
        <v>245236.61010239992</v>
      </c>
      <c r="L33" s="1">
        <f t="shared" si="11"/>
        <v>271048.61090764799</v>
      </c>
      <c r="M33" s="1">
        <f t="shared" si="11"/>
        <v>298153.47199841274</v>
      </c>
      <c r="N33" s="1">
        <f t="shared" si="11"/>
        <v>327968.81919825409</v>
      </c>
      <c r="O33" s="1">
        <f t="shared" si="11"/>
        <v>360765.70111807954</v>
      </c>
      <c r="P33" s="1">
        <f t="shared" si="11"/>
        <v>396842.27122988756</v>
      </c>
    </row>
    <row r="34" spans="2:100" s="1" customFormat="1" x14ac:dyDescent="0.25">
      <c r="B34" s="1" t="s">
        <v>53</v>
      </c>
      <c r="D34" s="4"/>
      <c r="E34" s="1">
        <v>42130</v>
      </c>
      <c r="F34" s="1">
        <v>116762</v>
      </c>
      <c r="G34" s="1">
        <f>+(G32+G33)*G30</f>
        <v>157916.30591999998</v>
      </c>
      <c r="H34" s="1">
        <f t="shared" ref="H34:P34" si="12">+(H32+H33)*H30</f>
        <v>185963.87017488002</v>
      </c>
      <c r="I34" s="1">
        <f t="shared" si="12"/>
        <v>216980.22958473602</v>
      </c>
      <c r="J34" s="1">
        <f t="shared" si="12"/>
        <v>250738.61034121446</v>
      </c>
      <c r="K34" s="1">
        <f t="shared" si="12"/>
        <v>286731.24607442121</v>
      </c>
      <c r="L34" s="1">
        <f t="shared" si="12"/>
        <v>321334.43790823186</v>
      </c>
      <c r="M34" s="1">
        <f t="shared" si="12"/>
        <v>352468.96853828267</v>
      </c>
      <c r="N34" s="1">
        <f t="shared" si="12"/>
        <v>383756.12058492156</v>
      </c>
      <c r="O34" s="1">
        <f t="shared" si="12"/>
        <v>414785.62241648039</v>
      </c>
      <c r="P34" s="1">
        <f t="shared" si="12"/>
        <v>447974.33273503493</v>
      </c>
    </row>
    <row r="35" spans="2:100" s="2" customFormat="1" x14ac:dyDescent="0.25">
      <c r="B35" s="2" t="s">
        <v>0</v>
      </c>
      <c r="D35" s="2">
        <v>159357</v>
      </c>
      <c r="E35" s="2">
        <v>271128</v>
      </c>
      <c r="F35" s="2">
        <v>450279</v>
      </c>
      <c r="G35" s="2">
        <f>+SUM(G32:G34)</f>
        <v>552707.07071999996</v>
      </c>
      <c r="H35" s="2">
        <f t="shared" ref="H35:P35" si="13">+SUM(H32:H34)</f>
        <v>650873.54561208002</v>
      </c>
      <c r="I35" s="2">
        <f t="shared" si="13"/>
        <v>759430.80354657606</v>
      </c>
      <c r="J35" s="2">
        <f t="shared" si="13"/>
        <v>877585.13619425055</v>
      </c>
      <c r="K35" s="2">
        <f t="shared" si="13"/>
        <v>1003559.3612604742</v>
      </c>
      <c r="L35" s="2">
        <f t="shared" si="13"/>
        <v>1124670.5326788113</v>
      </c>
      <c r="M35" s="2">
        <f t="shared" si="13"/>
        <v>1233641.3898839892</v>
      </c>
      <c r="N35" s="2">
        <f t="shared" si="13"/>
        <v>1343146.4220472253</v>
      </c>
      <c r="O35" s="2">
        <f t="shared" si="13"/>
        <v>1451749.6784576813</v>
      </c>
      <c r="P35" s="2">
        <f t="shared" si="13"/>
        <v>1567910.1645726222</v>
      </c>
    </row>
    <row r="36" spans="2:100" s="1" customFormat="1" x14ac:dyDescent="0.25">
      <c r="B36" s="1" t="s">
        <v>1</v>
      </c>
      <c r="D36" s="1">
        <v>46374</v>
      </c>
      <c r="E36" s="1">
        <v>51765</v>
      </c>
      <c r="F36" s="1">
        <v>54825</v>
      </c>
    </row>
    <row r="37" spans="2:100" s="1" customFormat="1" x14ac:dyDescent="0.25">
      <c r="B37" s="1" t="s">
        <v>2</v>
      </c>
      <c r="D37" s="1">
        <v>39208</v>
      </c>
      <c r="E37" s="1">
        <v>51364</v>
      </c>
      <c r="F37" s="1">
        <v>65961</v>
      </c>
    </row>
    <row r="38" spans="2:100" s="1" customFormat="1" x14ac:dyDescent="0.25">
      <c r="B38" s="1" t="s">
        <v>3</v>
      </c>
      <c r="D38" s="1">
        <v>7816</v>
      </c>
      <c r="E38" s="1">
        <v>9595</v>
      </c>
      <c r="F38" s="1">
        <v>14441</v>
      </c>
    </row>
    <row r="39" spans="2:100" s="1" customFormat="1" x14ac:dyDescent="0.25">
      <c r="B39" s="1" t="s">
        <v>4</v>
      </c>
      <c r="D39" s="1">
        <v>11984</v>
      </c>
      <c r="E39" s="1">
        <v>9740</v>
      </c>
      <c r="F39" s="1">
        <v>32191</v>
      </c>
    </row>
    <row r="40" spans="2:100" s="1" customFormat="1" x14ac:dyDescent="0.25">
      <c r="B40" s="1" t="s">
        <v>5</v>
      </c>
      <c r="D40" s="1">
        <v>8588</v>
      </c>
      <c r="E40" s="1">
        <v>11403</v>
      </c>
      <c r="F40" s="1">
        <v>16774</v>
      </c>
    </row>
    <row r="41" spans="2:100" s="1" customFormat="1" x14ac:dyDescent="0.25">
      <c r="B41" s="1" t="s">
        <v>45</v>
      </c>
      <c r="D41" s="1">
        <v>23187</v>
      </c>
      <c r="E41" s="1">
        <v>55015</v>
      </c>
      <c r="F41" s="1">
        <v>89298</v>
      </c>
    </row>
    <row r="42" spans="2:100" s="2" customFormat="1" x14ac:dyDescent="0.25">
      <c r="B42" s="2" t="s">
        <v>6</v>
      </c>
      <c r="D42" s="2">
        <v>22200</v>
      </c>
      <c r="E42" s="2">
        <v>82246</v>
      </c>
      <c r="F42" s="2">
        <f>+F35-SUM(F36:F41)</f>
        <v>176789</v>
      </c>
      <c r="G42" s="2">
        <f>+G35*G54</f>
        <v>221082.82828799999</v>
      </c>
      <c r="H42" s="2">
        <f t="shared" ref="H42:P42" si="14">+H35*H54</f>
        <v>260349.41824483202</v>
      </c>
      <c r="I42" s="2">
        <f t="shared" si="14"/>
        <v>303772.32141863042</v>
      </c>
      <c r="J42" s="2">
        <f t="shared" si="14"/>
        <v>351034.05447770027</v>
      </c>
      <c r="K42" s="2">
        <f t="shared" si="14"/>
        <v>401423.7445041897</v>
      </c>
      <c r="L42" s="2">
        <f t="shared" si="14"/>
        <v>449868.21307152457</v>
      </c>
      <c r="M42" s="2">
        <f t="shared" si="14"/>
        <v>493456.55595359573</v>
      </c>
      <c r="N42" s="2">
        <f t="shared" si="14"/>
        <v>537258.56881889014</v>
      </c>
      <c r="O42" s="2">
        <f t="shared" si="14"/>
        <v>580699.87138307258</v>
      </c>
      <c r="P42" s="2">
        <f t="shared" si="14"/>
        <v>627164.06582904886</v>
      </c>
    </row>
    <row r="43" spans="2:100" s="1" customFormat="1" x14ac:dyDescent="0.25">
      <c r="B43" s="1" t="s">
        <v>7</v>
      </c>
      <c r="D43" s="1">
        <v>15968</v>
      </c>
      <c r="E43" s="1">
        <v>13762</v>
      </c>
      <c r="F43" s="1">
        <v>14021</v>
      </c>
      <c r="G43" s="1">
        <v>14000</v>
      </c>
      <c r="H43" s="1">
        <v>14000</v>
      </c>
      <c r="I43" s="1">
        <v>14000</v>
      </c>
      <c r="J43" s="1">
        <v>14000</v>
      </c>
      <c r="K43" s="1">
        <v>14000</v>
      </c>
      <c r="L43" s="1">
        <v>14000</v>
      </c>
      <c r="M43" s="1">
        <v>14000</v>
      </c>
      <c r="N43" s="1">
        <v>14000</v>
      </c>
      <c r="O43" s="1">
        <v>14000</v>
      </c>
      <c r="P43" s="1">
        <v>14000</v>
      </c>
    </row>
    <row r="44" spans="2:100" s="1" customFormat="1" x14ac:dyDescent="0.25">
      <c r="B44" s="1" t="s">
        <v>8</v>
      </c>
      <c r="D44" s="1">
        <v>1933</v>
      </c>
      <c r="E44" s="1">
        <v>354</v>
      </c>
      <c r="F44" s="1">
        <v>123</v>
      </c>
      <c r="G44" s="1">
        <v>200</v>
      </c>
      <c r="H44" s="1">
        <v>200</v>
      </c>
      <c r="I44" s="1">
        <v>200</v>
      </c>
      <c r="J44" s="1">
        <v>200</v>
      </c>
      <c r="K44" s="1">
        <v>200</v>
      </c>
      <c r="L44" s="1">
        <v>200</v>
      </c>
      <c r="M44" s="1">
        <v>200</v>
      </c>
      <c r="N44" s="1">
        <v>200</v>
      </c>
      <c r="O44" s="1">
        <v>200</v>
      </c>
      <c r="P44" s="1">
        <v>200</v>
      </c>
    </row>
    <row r="45" spans="2:100" s="1" customFormat="1" x14ac:dyDescent="0.25">
      <c r="B45" s="1" t="s">
        <v>9</v>
      </c>
      <c r="D45" s="1">
        <v>456</v>
      </c>
      <c r="E45" s="1">
        <v>1521</v>
      </c>
    </row>
    <row r="46" spans="2:100" s="1" customFormat="1" x14ac:dyDescent="0.25">
      <c r="B46" s="1" t="s">
        <v>10</v>
      </c>
      <c r="D46" s="1">
        <v>7710</v>
      </c>
      <c r="E46" s="1">
        <v>67317</v>
      </c>
      <c r="F46" s="1">
        <f t="shared" ref="F46:G46" si="15">+F42-F43+F44-F45</f>
        <v>162891</v>
      </c>
      <c r="G46" s="1">
        <f t="shared" si="15"/>
        <v>207282.82828799999</v>
      </c>
      <c r="H46" s="1">
        <f t="shared" ref="H46" si="16">+H42-H43+H44-H45</f>
        <v>246549.41824483202</v>
      </c>
      <c r="I46" s="1">
        <f t="shared" ref="I46" si="17">+I42-I43+I44-I45</f>
        <v>289972.32141863042</v>
      </c>
      <c r="J46" s="1">
        <f t="shared" ref="J46" si="18">+J42-J43+J44-J45</f>
        <v>337234.05447770027</v>
      </c>
      <c r="K46" s="1">
        <f t="shared" ref="K46" si="19">+K42-K43+K44-K45</f>
        <v>387623.7445041897</v>
      </c>
      <c r="L46" s="1">
        <f t="shared" ref="L46" si="20">+L42-L43+L44-L45</f>
        <v>436068.21307152457</v>
      </c>
      <c r="M46" s="1">
        <f t="shared" ref="M46" si="21">+M42-M43+M44-M45</f>
        <v>479656.55595359573</v>
      </c>
      <c r="N46" s="1">
        <f t="shared" ref="N46" si="22">+N42-N43+N44-N45</f>
        <v>523458.56881889014</v>
      </c>
      <c r="O46" s="1">
        <f t="shared" ref="O46" si="23">+O42-O43+O44-O45</f>
        <v>566899.87138307258</v>
      </c>
      <c r="P46" s="1">
        <f t="shared" ref="P46" si="24">+P42-P43+P44-P45</f>
        <v>613364.06582904886</v>
      </c>
    </row>
    <row r="47" spans="2:100" s="1" customFormat="1" x14ac:dyDescent="0.25">
      <c r="B47" s="1" t="s">
        <v>11</v>
      </c>
      <c r="D47" s="1">
        <v>611</v>
      </c>
      <c r="E47" s="1">
        <v>-11205</v>
      </c>
      <c r="F47" s="1">
        <v>29761</v>
      </c>
      <c r="G47" s="1">
        <f>+G46*0.25</f>
        <v>51820.707071999997</v>
      </c>
      <c r="H47" s="1">
        <f t="shared" ref="H47:P47" si="25">+H46*0.25</f>
        <v>61637.354561208005</v>
      </c>
      <c r="I47" s="1">
        <f t="shared" si="25"/>
        <v>72493.080354657606</v>
      </c>
      <c r="J47" s="1">
        <f t="shared" si="25"/>
        <v>84308.513619425066</v>
      </c>
      <c r="K47" s="1">
        <f t="shared" si="25"/>
        <v>96905.936126047425</v>
      </c>
      <c r="L47" s="1">
        <f t="shared" si="25"/>
        <v>109017.05326788114</v>
      </c>
      <c r="M47" s="1">
        <f t="shared" si="25"/>
        <v>119914.13898839893</v>
      </c>
      <c r="N47" s="1">
        <f t="shared" si="25"/>
        <v>130864.64220472254</v>
      </c>
      <c r="O47" s="1">
        <f t="shared" si="25"/>
        <v>141724.96784576814</v>
      </c>
      <c r="P47" s="1">
        <f t="shared" si="25"/>
        <v>153341.01645726222</v>
      </c>
    </row>
    <row r="48" spans="2:100" s="1" customFormat="1" x14ac:dyDescent="0.25">
      <c r="B48" s="1" t="s">
        <v>12</v>
      </c>
      <c r="D48" s="1">
        <v>7098</v>
      </c>
      <c r="E48" s="1">
        <v>78522</v>
      </c>
      <c r="F48" s="1">
        <f t="shared" ref="F48:G48" si="26">+F46-F47</f>
        <v>133130</v>
      </c>
      <c r="G48" s="1">
        <f t="shared" si="26"/>
        <v>155462.121216</v>
      </c>
      <c r="H48" s="1">
        <f t="shared" ref="H48" si="27">+H46-H47</f>
        <v>184912.06368362403</v>
      </c>
      <c r="I48" s="1">
        <f t="shared" ref="I48" si="28">+I46-I47</f>
        <v>217479.24106397282</v>
      </c>
      <c r="J48" s="1">
        <f t="shared" ref="J48" si="29">+J46-J47</f>
        <v>252925.5408582752</v>
      </c>
      <c r="K48" s="1">
        <f t="shared" ref="K48" si="30">+K46-K47</f>
        <v>290717.8083781423</v>
      </c>
      <c r="L48" s="1">
        <f t="shared" ref="L48" si="31">+L46-L47</f>
        <v>327051.15980364342</v>
      </c>
      <c r="M48" s="1">
        <f t="shared" ref="M48" si="32">+M46-M47</f>
        <v>359742.41696519678</v>
      </c>
      <c r="N48" s="1">
        <f t="shared" ref="N48" si="33">+N46-N47</f>
        <v>392593.92661416763</v>
      </c>
      <c r="O48" s="1">
        <f t="shared" ref="O48" si="34">+O46-O47</f>
        <v>425174.90353730443</v>
      </c>
      <c r="P48" s="1">
        <f t="shared" ref="P48" si="35">+P46-P47</f>
        <v>460023.04937178665</v>
      </c>
      <c r="Q48" s="1">
        <f t="shared" ref="Q48:AV48" si="36">+P48*(1+$S55)</f>
        <v>469223.51035922242</v>
      </c>
      <c r="R48" s="1">
        <f t="shared" si="36"/>
        <v>478607.98056640686</v>
      </c>
      <c r="S48" s="1">
        <f t="shared" si="36"/>
        <v>488180.14017773501</v>
      </c>
      <c r="T48" s="1">
        <f t="shared" si="36"/>
        <v>497943.74298128975</v>
      </c>
      <c r="U48" s="1">
        <f t="shared" si="36"/>
        <v>507902.61784091557</v>
      </c>
      <c r="V48" s="1">
        <f t="shared" si="36"/>
        <v>518060.67019773391</v>
      </c>
      <c r="W48" s="1">
        <f t="shared" si="36"/>
        <v>528421.88360168855</v>
      </c>
      <c r="X48" s="1">
        <f t="shared" si="36"/>
        <v>538990.32127372234</v>
      </c>
      <c r="Y48" s="1">
        <f t="shared" si="36"/>
        <v>549770.1276991968</v>
      </c>
      <c r="Z48" s="1">
        <f t="shared" si="36"/>
        <v>560765.53025318077</v>
      </c>
      <c r="AA48" s="1">
        <f t="shared" si="36"/>
        <v>571980.84085824434</v>
      </c>
      <c r="AB48" s="1">
        <f t="shared" si="36"/>
        <v>583420.45767540927</v>
      </c>
      <c r="AC48" s="1">
        <f t="shared" si="36"/>
        <v>595088.86682891741</v>
      </c>
      <c r="AD48" s="1">
        <f t="shared" si="36"/>
        <v>606990.64416549576</v>
      </c>
      <c r="AE48" s="1">
        <f t="shared" si="36"/>
        <v>619130.45704880566</v>
      </c>
      <c r="AF48" s="1">
        <f t="shared" si="36"/>
        <v>631513.06618978176</v>
      </c>
      <c r="AG48" s="1">
        <f t="shared" si="36"/>
        <v>644143.32751357742</v>
      </c>
      <c r="AH48" s="1">
        <f t="shared" si="36"/>
        <v>657026.19406384893</v>
      </c>
      <c r="AI48" s="1">
        <f t="shared" si="36"/>
        <v>670166.71794512589</v>
      </c>
      <c r="AJ48" s="1">
        <f t="shared" si="36"/>
        <v>683570.05230402842</v>
      </c>
      <c r="AK48" s="1">
        <f t="shared" si="36"/>
        <v>697241.45335010905</v>
      </c>
      <c r="AL48" s="1">
        <f t="shared" si="36"/>
        <v>711186.28241711122</v>
      </c>
      <c r="AM48" s="1">
        <f t="shared" si="36"/>
        <v>725410.0080654535</v>
      </c>
      <c r="AN48" s="1">
        <f t="shared" si="36"/>
        <v>739918.2082267626</v>
      </c>
      <c r="AO48" s="1">
        <f t="shared" si="36"/>
        <v>754716.5723912979</v>
      </c>
      <c r="AP48" s="1">
        <f t="shared" si="36"/>
        <v>769810.9038391239</v>
      </c>
      <c r="AQ48" s="1">
        <f t="shared" si="36"/>
        <v>785207.12191590643</v>
      </c>
      <c r="AR48" s="1">
        <f t="shared" si="36"/>
        <v>800911.26435422455</v>
      </c>
      <c r="AS48" s="1">
        <f t="shared" si="36"/>
        <v>816929.48964130902</v>
      </c>
      <c r="AT48" s="1">
        <f t="shared" si="36"/>
        <v>833268.07943413523</v>
      </c>
      <c r="AU48" s="1">
        <f t="shared" si="36"/>
        <v>849933.44102281798</v>
      </c>
      <c r="AV48" s="1">
        <f t="shared" si="36"/>
        <v>866932.10984327435</v>
      </c>
      <c r="AW48" s="1">
        <f t="shared" ref="AW48:CB48" si="37">+AV48*(1+$S55)</f>
        <v>884270.75204013987</v>
      </c>
      <c r="AX48" s="1">
        <f t="shared" si="37"/>
        <v>901956.16708094266</v>
      </c>
      <c r="AY48" s="1">
        <f t="shared" si="37"/>
        <v>919995.29042256158</v>
      </c>
      <c r="AZ48" s="1">
        <f t="shared" si="37"/>
        <v>938395.19623101281</v>
      </c>
      <c r="BA48" s="1">
        <f t="shared" si="37"/>
        <v>957163.10015563306</v>
      </c>
      <c r="BB48" s="1">
        <f t="shared" si="37"/>
        <v>976306.36215874576</v>
      </c>
      <c r="BC48" s="1">
        <f t="shared" si="37"/>
        <v>995832.4894019207</v>
      </c>
      <c r="BD48" s="1">
        <f t="shared" si="37"/>
        <v>1015749.1391899592</v>
      </c>
      <c r="BE48" s="1">
        <f t="shared" si="37"/>
        <v>1036064.1219737583</v>
      </c>
      <c r="BF48" s="1">
        <f t="shared" si="37"/>
        <v>1056785.4044132335</v>
      </c>
      <c r="BG48" s="1">
        <f t="shared" si="37"/>
        <v>1077921.1125014983</v>
      </c>
      <c r="BH48" s="1">
        <f t="shared" si="37"/>
        <v>1099479.5347515284</v>
      </c>
      <c r="BI48" s="1">
        <f t="shared" si="37"/>
        <v>1121469.1254465589</v>
      </c>
      <c r="BJ48" s="1">
        <f t="shared" si="37"/>
        <v>1143898.5079554901</v>
      </c>
      <c r="BK48" s="1">
        <f t="shared" si="37"/>
        <v>1166776.4781146001</v>
      </c>
      <c r="BL48" s="1">
        <f t="shared" si="37"/>
        <v>1190112.007676892</v>
      </c>
      <c r="BM48" s="1">
        <f t="shared" si="37"/>
        <v>1213914.2478304298</v>
      </c>
      <c r="BN48" s="1">
        <f t="shared" si="37"/>
        <v>1238192.5327870385</v>
      </c>
      <c r="BO48" s="1">
        <f t="shared" si="37"/>
        <v>1262956.3834427793</v>
      </c>
      <c r="BP48" s="1">
        <f t="shared" si="37"/>
        <v>1288215.511111635</v>
      </c>
      <c r="BQ48" s="1">
        <f t="shared" si="37"/>
        <v>1313979.8213338677</v>
      </c>
      <c r="BR48" s="1">
        <f t="shared" si="37"/>
        <v>1340259.4177605452</v>
      </c>
      <c r="BS48" s="1">
        <f t="shared" si="37"/>
        <v>1367064.6061157561</v>
      </c>
      <c r="BT48" s="1">
        <f t="shared" si="37"/>
        <v>1394405.8982380712</v>
      </c>
      <c r="BU48" s="1">
        <f t="shared" si="37"/>
        <v>1422294.0162028328</v>
      </c>
      <c r="BV48" s="1">
        <f t="shared" si="37"/>
        <v>1450739.8965268894</v>
      </c>
      <c r="BW48" s="1">
        <f t="shared" si="37"/>
        <v>1479754.6944574271</v>
      </c>
      <c r="BX48" s="1">
        <f t="shared" si="37"/>
        <v>1509349.7883465758</v>
      </c>
      <c r="BY48" s="1">
        <f t="shared" si="37"/>
        <v>1539536.7841135073</v>
      </c>
      <c r="BZ48" s="1">
        <f t="shared" si="37"/>
        <v>1570327.5197957775</v>
      </c>
      <c r="CA48" s="1">
        <f t="shared" si="37"/>
        <v>1601734.070191693</v>
      </c>
      <c r="CB48" s="1">
        <f t="shared" si="37"/>
        <v>1633768.7515955269</v>
      </c>
      <c r="CC48" s="1">
        <f t="shared" ref="CC48:CV48" si="38">+CB48*(1+$S55)</f>
        <v>1666444.1266274375</v>
      </c>
      <c r="CD48" s="1">
        <f t="shared" si="38"/>
        <v>1699773.0091599864</v>
      </c>
      <c r="CE48" s="1">
        <f t="shared" si="38"/>
        <v>1733768.4693431861</v>
      </c>
      <c r="CF48" s="1">
        <f t="shared" si="38"/>
        <v>1768443.8387300498</v>
      </c>
      <c r="CG48" s="1">
        <f t="shared" si="38"/>
        <v>1803812.7155046507</v>
      </c>
      <c r="CH48" s="1">
        <f t="shared" si="38"/>
        <v>1839888.9698147438</v>
      </c>
      <c r="CI48" s="1">
        <f t="shared" si="38"/>
        <v>1876686.7492110387</v>
      </c>
      <c r="CJ48" s="1">
        <f t="shared" si="38"/>
        <v>1914220.4841952594</v>
      </c>
      <c r="CK48" s="1">
        <f t="shared" si="38"/>
        <v>1952504.8938791647</v>
      </c>
      <c r="CL48" s="1">
        <f t="shared" si="38"/>
        <v>1991554.9917567479</v>
      </c>
      <c r="CM48" s="1">
        <f t="shared" si="38"/>
        <v>2031386.091591883</v>
      </c>
      <c r="CN48" s="1">
        <f t="shared" si="38"/>
        <v>2072013.8134237207</v>
      </c>
      <c r="CO48" s="1">
        <f t="shared" si="38"/>
        <v>2113454.0896921949</v>
      </c>
      <c r="CP48" s="1">
        <f t="shared" si="38"/>
        <v>2155723.1714860387</v>
      </c>
      <c r="CQ48" s="1">
        <f t="shared" si="38"/>
        <v>2198837.6349157593</v>
      </c>
      <c r="CR48" s="1">
        <f t="shared" si="38"/>
        <v>2242814.3876140746</v>
      </c>
      <c r="CS48" s="1">
        <f t="shared" si="38"/>
        <v>2287670.675366356</v>
      </c>
      <c r="CT48" s="1">
        <f t="shared" si="38"/>
        <v>2333424.088873683</v>
      </c>
      <c r="CU48" s="1">
        <f t="shared" si="38"/>
        <v>2380092.5706511568</v>
      </c>
      <c r="CV48" s="1">
        <f t="shared" si="38"/>
        <v>2427694.42206418</v>
      </c>
    </row>
    <row r="49" spans="2:20" s="1" customFormat="1" x14ac:dyDescent="0.25">
      <c r="B49" s="1" t="s">
        <v>13</v>
      </c>
      <c r="D49" s="1">
        <v>-3</v>
      </c>
      <c r="E49" s="1">
        <v>-941</v>
      </c>
      <c r="F49" s="1">
        <v>905</v>
      </c>
    </row>
    <row r="50" spans="2:20" s="1" customFormat="1" x14ac:dyDescent="0.25">
      <c r="B50" s="1" t="s">
        <v>14</v>
      </c>
      <c r="D50" s="1">
        <v>7095</v>
      </c>
      <c r="E50" s="1">
        <v>77582</v>
      </c>
      <c r="F50" s="1">
        <f>+F48-F49</f>
        <v>132225</v>
      </c>
      <c r="G50" s="1">
        <f t="shared" ref="G50:P50" si="39">+G48-G49</f>
        <v>155462.121216</v>
      </c>
      <c r="H50" s="1">
        <f t="shared" si="39"/>
        <v>184912.06368362403</v>
      </c>
      <c r="I50" s="1">
        <f t="shared" si="39"/>
        <v>217479.24106397282</v>
      </c>
      <c r="J50" s="1">
        <f t="shared" si="39"/>
        <v>252925.5408582752</v>
      </c>
      <c r="K50" s="1">
        <f t="shared" si="39"/>
        <v>290717.8083781423</v>
      </c>
      <c r="L50" s="1">
        <f t="shared" si="39"/>
        <v>327051.15980364342</v>
      </c>
      <c r="M50" s="1">
        <f t="shared" si="39"/>
        <v>359742.41696519678</v>
      </c>
      <c r="N50" s="1">
        <f t="shared" si="39"/>
        <v>392593.92661416763</v>
      </c>
      <c r="O50" s="1">
        <f t="shared" si="39"/>
        <v>425174.90353730443</v>
      </c>
      <c r="P50" s="1">
        <f t="shared" si="39"/>
        <v>460023.04937178665</v>
      </c>
    </row>
    <row r="51" spans="2:20" s="11" customFormat="1" x14ac:dyDescent="0.25">
      <c r="B51" s="11" t="s">
        <v>37</v>
      </c>
      <c r="E51" s="11">
        <f>+E48/E52</f>
        <v>2.1878517692950683</v>
      </c>
      <c r="F51" s="11">
        <f>+F48/F52</f>
        <v>3.7245411817367948</v>
      </c>
      <c r="G51" s="11">
        <f>+G48/G52</f>
        <v>4.349320759176365</v>
      </c>
      <c r="H51" s="11">
        <f t="shared" ref="H51:P51" si="40">+H48/H52</f>
        <v>5.1732336527423914</v>
      </c>
      <c r="I51" s="11">
        <f t="shared" si="40"/>
        <v>6.0843565651290517</v>
      </c>
      <c r="J51" s="11">
        <f t="shared" si="40"/>
        <v>7.0760278888282002</v>
      </c>
      <c r="K51" s="11">
        <f t="shared" si="40"/>
        <v>8.1333317026114127</v>
      </c>
      <c r="L51" s="11">
        <f t="shared" si="40"/>
        <v>9.1498198244081088</v>
      </c>
      <c r="M51" s="11">
        <f t="shared" si="40"/>
        <v>10.064414082508863</v>
      </c>
      <c r="N51" s="11">
        <f t="shared" si="40"/>
        <v>10.983491680118835</v>
      </c>
      <c r="O51" s="11">
        <f t="shared" si="40"/>
        <v>11.895000658496654</v>
      </c>
      <c r="P51" s="11">
        <f t="shared" si="40"/>
        <v>12.869937594331542</v>
      </c>
    </row>
    <row r="52" spans="2:20" s="1" customFormat="1" x14ac:dyDescent="0.25">
      <c r="B52" s="1" t="s">
        <v>35</v>
      </c>
      <c r="E52" s="1">
        <v>35890</v>
      </c>
      <c r="F52" s="1">
        <v>35744</v>
      </c>
      <c r="G52" s="1">
        <f>+F52+0</f>
        <v>35744</v>
      </c>
      <c r="H52" s="1">
        <f t="shared" ref="H52:P52" si="41">+G52+0</f>
        <v>35744</v>
      </c>
      <c r="I52" s="1">
        <f t="shared" si="41"/>
        <v>35744</v>
      </c>
      <c r="J52" s="1">
        <f t="shared" si="41"/>
        <v>35744</v>
      </c>
      <c r="K52" s="1">
        <f t="shared" si="41"/>
        <v>35744</v>
      </c>
      <c r="L52" s="1">
        <f t="shared" si="41"/>
        <v>35744</v>
      </c>
      <c r="M52" s="1">
        <f t="shared" si="41"/>
        <v>35744</v>
      </c>
      <c r="N52" s="1">
        <f t="shared" si="41"/>
        <v>35744</v>
      </c>
      <c r="O52" s="1">
        <f t="shared" si="41"/>
        <v>35744</v>
      </c>
      <c r="P52" s="1">
        <f t="shared" si="41"/>
        <v>35744</v>
      </c>
    </row>
    <row r="53" spans="2:20" s="1" customFormat="1" x14ac:dyDescent="0.25">
      <c r="D53" s="5"/>
      <c r="E53" s="5"/>
      <c r="F53" s="9"/>
    </row>
    <row r="54" spans="2:20" s="3" customFormat="1" x14ac:dyDescent="0.25">
      <c r="B54" s="3" t="s">
        <v>16</v>
      </c>
      <c r="D54" s="6">
        <f>+D42/D35</f>
        <v>0.13930985146557728</v>
      </c>
      <c r="E54" s="6">
        <f>+E42/E35</f>
        <v>0.30334749638547109</v>
      </c>
      <c r="F54" s="6">
        <f>+F42/F35</f>
        <v>0.39262101941240873</v>
      </c>
      <c r="G54" s="6">
        <v>0.4</v>
      </c>
      <c r="H54" s="6">
        <v>0.4</v>
      </c>
      <c r="I54" s="6">
        <v>0.4</v>
      </c>
      <c r="J54" s="6">
        <v>0.4</v>
      </c>
      <c r="K54" s="6">
        <v>0.4</v>
      </c>
      <c r="L54" s="6">
        <v>0.4</v>
      </c>
      <c r="M54" s="6">
        <v>0.4</v>
      </c>
      <c r="N54" s="6">
        <v>0.4</v>
      </c>
      <c r="O54" s="6">
        <v>0.4</v>
      </c>
      <c r="P54" s="6">
        <v>0.4</v>
      </c>
      <c r="R54" s="3" t="s">
        <v>30</v>
      </c>
      <c r="S54" s="3">
        <v>0.1</v>
      </c>
    </row>
    <row r="55" spans="2:20" s="3" customFormat="1" x14ac:dyDescent="0.25">
      <c r="B55" s="3" t="s">
        <v>15</v>
      </c>
      <c r="D55" s="3">
        <f>+D50/D35</f>
        <v>4.4522675502174362E-2</v>
      </c>
      <c r="E55" s="3">
        <f>+E50/E35</f>
        <v>0.28614528930984628</v>
      </c>
      <c r="F55" s="3">
        <f>+F50/F35</f>
        <v>0.29365126954621468</v>
      </c>
      <c r="G55" s="3">
        <f t="shared" ref="G55:H55" si="42">+G50/G35</f>
        <v>0.28127398662275616</v>
      </c>
      <c r="H55" s="3">
        <f t="shared" si="42"/>
        <v>0.28409829363971634</v>
      </c>
      <c r="I55" s="3">
        <f t="shared" ref="I55:P55" si="43">+I50/I35</f>
        <v>0.28637137188580575</v>
      </c>
      <c r="J55" s="3">
        <f t="shared" si="43"/>
        <v>0.28820627244795421</v>
      </c>
      <c r="K55" s="3">
        <f t="shared" si="43"/>
        <v>0.28968670872941654</v>
      </c>
      <c r="L55" s="3">
        <f t="shared" si="43"/>
        <v>0.2907973049001758</v>
      </c>
      <c r="M55" s="3">
        <f t="shared" si="43"/>
        <v>0.29161020367436497</v>
      </c>
      <c r="N55" s="3">
        <f t="shared" si="43"/>
        <v>0.29229421317727633</v>
      </c>
      <c r="O55" s="3">
        <f t="shared" si="43"/>
        <v>0.29287067174625059</v>
      </c>
      <c r="P55" s="3">
        <f t="shared" si="43"/>
        <v>0.2933988564945485</v>
      </c>
      <c r="R55" s="3" t="s">
        <v>31</v>
      </c>
      <c r="S55" s="3">
        <v>0.02</v>
      </c>
    </row>
    <row r="56" spans="2:20" s="3" customFormat="1" x14ac:dyDescent="0.25">
      <c r="B56" s="3" t="s">
        <v>20</v>
      </c>
      <c r="E56" s="3">
        <f t="shared" ref="E56:P56" si="44">+E35/D35 -1</f>
        <v>0.70138745081797471</v>
      </c>
      <c r="F56" s="3">
        <f t="shared" si="44"/>
        <v>0.66076170664778267</v>
      </c>
      <c r="G56" s="3">
        <f t="shared" si="44"/>
        <v>0.22747689925579473</v>
      </c>
      <c r="H56" s="3">
        <f t="shared" si="44"/>
        <v>0.17761031130685678</v>
      </c>
      <c r="I56" s="3">
        <f t="shared" si="44"/>
        <v>0.16678701825622522</v>
      </c>
      <c r="J56" s="3">
        <f t="shared" si="44"/>
        <v>0.15558274973294273</v>
      </c>
      <c r="K56" s="3">
        <f t="shared" si="44"/>
        <v>0.14354644338271894</v>
      </c>
      <c r="L56" s="3">
        <f t="shared" si="44"/>
        <v>0.12068162192839393</v>
      </c>
      <c r="M56" s="3">
        <f t="shared" si="44"/>
        <v>9.6891359770602481E-2</v>
      </c>
      <c r="N56" s="3">
        <f t="shared" si="44"/>
        <v>8.876569241368748E-2</v>
      </c>
      <c r="O56" s="3">
        <f t="shared" si="44"/>
        <v>8.0857347067881724E-2</v>
      </c>
      <c r="P56" s="3">
        <f t="shared" si="44"/>
        <v>8.0014129046233506E-2</v>
      </c>
      <c r="R56" s="3" t="s">
        <v>32</v>
      </c>
      <c r="S56" s="10">
        <f>NPV(S54,G48:DC48)</f>
        <v>3978193.4501779075</v>
      </c>
    </row>
    <row r="57" spans="2:20" s="1" customFormat="1" x14ac:dyDescent="0.25">
      <c r="R57" s="1" t="s">
        <v>33</v>
      </c>
      <c r="S57" s="1">
        <f>64054-139991</f>
        <v>-75937</v>
      </c>
      <c r="T57" s="1" t="s">
        <v>64</v>
      </c>
    </row>
    <row r="58" spans="2:20" s="1" customFormat="1" x14ac:dyDescent="0.25">
      <c r="B58" s="1" t="s">
        <v>17</v>
      </c>
      <c r="D58" s="1">
        <v>-25690</v>
      </c>
      <c r="E58" s="1">
        <v>130648</v>
      </c>
      <c r="F58" s="1">
        <v>209907</v>
      </c>
      <c r="R58" s="1" t="s">
        <v>34</v>
      </c>
      <c r="S58" s="1">
        <f>+S56+S57</f>
        <v>3902256.4501779075</v>
      </c>
    </row>
    <row r="59" spans="2:20" s="1" customFormat="1" x14ac:dyDescent="0.25">
      <c r="B59" s="1" t="s">
        <v>18</v>
      </c>
      <c r="D59" s="1">
        <v>82</v>
      </c>
      <c r="E59" s="1">
        <v>70</v>
      </c>
      <c r="F59" s="1">
        <v>655</v>
      </c>
      <c r="R59" s="1" t="s">
        <v>35</v>
      </c>
      <c r="S59" s="1">
        <v>33801.675000000003</v>
      </c>
      <c r="T59" s="1" t="s">
        <v>64</v>
      </c>
    </row>
    <row r="60" spans="2:20" s="1" customFormat="1" x14ac:dyDescent="0.25">
      <c r="B60" s="1" t="s">
        <v>19</v>
      </c>
      <c r="D60" s="1">
        <f>+D58-D59</f>
        <v>-25772</v>
      </c>
      <c r="E60" s="1">
        <f>+E58-E59</f>
        <v>130578</v>
      </c>
      <c r="F60" s="1">
        <f>+F58-F59</f>
        <v>209252</v>
      </c>
      <c r="R60" s="1" t="s">
        <v>36</v>
      </c>
      <c r="S60" s="9">
        <f>+S58/S59</f>
        <v>115.4456532162358</v>
      </c>
    </row>
    <row r="61" spans="2:20" s="1" customFormat="1" x14ac:dyDescent="0.25">
      <c r="R61" s="1" t="s">
        <v>65</v>
      </c>
      <c r="S61" s="1">
        <v>73</v>
      </c>
    </row>
    <row r="62" spans="2:20" s="1" customFormat="1" x14ac:dyDescent="0.25">
      <c r="B62" s="1" t="s">
        <v>41</v>
      </c>
      <c r="E62" s="1">
        <v>12253</v>
      </c>
      <c r="F62" s="1">
        <f>+E66</f>
        <v>26103</v>
      </c>
      <c r="R62" s="1" t="s">
        <v>66</v>
      </c>
      <c r="S62" s="3">
        <f>+S60/S61 -1</f>
        <v>0.58144730433199721</v>
      </c>
    </row>
    <row r="63" spans="2:20" s="1" customFormat="1" x14ac:dyDescent="0.25">
      <c r="B63" s="1" t="s">
        <v>45</v>
      </c>
      <c r="E63" s="1">
        <f>+E41</f>
        <v>55015</v>
      </c>
      <c r="F63" s="1">
        <f>+F41</f>
        <v>89298</v>
      </c>
    </row>
    <row r="64" spans="2:20" s="1" customFormat="1" x14ac:dyDescent="0.25">
      <c r="B64" s="1" t="s">
        <v>42</v>
      </c>
      <c r="E64" s="1">
        <v>43916</v>
      </c>
      <c r="F64" s="1">
        <v>94442</v>
      </c>
    </row>
    <row r="65" spans="2:19" s="1" customFormat="1" x14ac:dyDescent="0.25">
      <c r="B65" s="1" t="s">
        <v>44</v>
      </c>
      <c r="E65" s="1">
        <v>2751</v>
      </c>
      <c r="F65" s="1">
        <v>7546</v>
      </c>
    </row>
    <row r="66" spans="2:19" s="1" customFormat="1" x14ac:dyDescent="0.25">
      <c r="B66" s="1" t="s">
        <v>43</v>
      </c>
      <c r="E66" s="1">
        <f>+E62+E63-E64+E65</f>
        <v>26103</v>
      </c>
      <c r="F66" s="1">
        <f>+F62+F63-F64+F65</f>
        <v>28505</v>
      </c>
    </row>
    <row r="67" spans="2:19" s="12" customFormat="1" x14ac:dyDescent="0.25">
      <c r="B67" s="13" t="s">
        <v>46</v>
      </c>
      <c r="E67" s="14">
        <f>+E65/E64</f>
        <v>6.2642317150924498E-2</v>
      </c>
      <c r="F67" s="14">
        <f>+F65/F64</f>
        <v>7.9900891552487238E-2</v>
      </c>
    </row>
    <row r="68" spans="2:19" s="1" customFormat="1" x14ac:dyDescent="0.25"/>
    <row r="69" spans="2:19" s="1" customFormat="1" x14ac:dyDescent="0.25">
      <c r="B69" s="1" t="s">
        <v>40</v>
      </c>
      <c r="E69" s="1">
        <v>23620</v>
      </c>
      <c r="F69" s="1">
        <v>64655</v>
      </c>
      <c r="R69" s="1" t="s">
        <v>38</v>
      </c>
      <c r="S69" s="1">
        <f>+P51*15</f>
        <v>193.04906391497315</v>
      </c>
    </row>
    <row r="70" spans="2:19" s="1" customFormat="1" x14ac:dyDescent="0.25"/>
    <row r="71" spans="2:19" s="1" customFormat="1" x14ac:dyDescent="0.25"/>
    <row r="72" spans="2:19" s="1" customFormat="1" x14ac:dyDescent="0.25"/>
    <row r="73" spans="2:19" s="1" customFormat="1" x14ac:dyDescent="0.25"/>
    <row r="74" spans="2:19" s="1" customFormat="1" x14ac:dyDescent="0.25"/>
    <row r="75" spans="2:19" s="1" customFormat="1" x14ac:dyDescent="0.25"/>
    <row r="76" spans="2:19" s="1" customFormat="1" x14ac:dyDescent="0.25"/>
    <row r="77" spans="2:19" s="1" customFormat="1" x14ac:dyDescent="0.25"/>
    <row r="78" spans="2:19" s="1" customFormat="1" x14ac:dyDescent="0.25"/>
    <row r="79" spans="2:19" s="1" customFormat="1" x14ac:dyDescent="0.25"/>
    <row r="80" spans="2:19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2026-01-18T21:51:07Z</dcterms:created>
  <dcterms:modified xsi:type="dcterms:W3CDTF">2026-02-27T21:06:22Z</dcterms:modified>
</cp:coreProperties>
</file>