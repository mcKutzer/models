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93220A39-B854-4380-BEBB-4C1FB89C9D06}" xr6:coauthVersionLast="47" xr6:coauthVersionMax="47" xr10:uidLastSave="{00000000-0000-0000-0000-000000000000}"/>
  <bookViews>
    <workbookView xWindow="-28920" yWindow="-120" windowWidth="29040" windowHeight="15840" xr2:uid="{D44DD471-903B-47D8-BBD0-13EA12AF0774}"/>
  </bookViews>
  <sheets>
    <sheet name="Sheet1" sheetId="1" r:id="rId1"/>
  </sheets>
  <definedNames>
    <definedName name="TR">Sheet1!$AC$21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6" i="1" l="1"/>
  <c r="S5" i="1"/>
  <c r="T5" i="1"/>
  <c r="U5" i="1"/>
  <c r="V5" i="1"/>
  <c r="W5" i="1"/>
  <c r="W6" i="1" s="1"/>
  <c r="X5" i="1"/>
  <c r="Y5" i="1"/>
  <c r="Z5" i="1"/>
  <c r="R5" i="1"/>
  <c r="AC23" i="1"/>
  <c r="Z8" i="1"/>
  <c r="Y8" i="1"/>
  <c r="X8" i="1"/>
  <c r="W8" i="1"/>
  <c r="V8" i="1"/>
  <c r="U8" i="1"/>
  <c r="T8" i="1"/>
  <c r="S8" i="1"/>
  <c r="Z7" i="1"/>
  <c r="Y7" i="1"/>
  <c r="X7" i="1"/>
  <c r="W7" i="1"/>
  <c r="V7" i="1"/>
  <c r="U7" i="1"/>
  <c r="T7" i="1"/>
  <c r="S7" i="1"/>
  <c r="R7" i="1"/>
  <c r="U6" i="1"/>
  <c r="U19" i="1" s="1"/>
  <c r="W4" i="1"/>
  <c r="X4" i="1" s="1"/>
  <c r="V4" i="1"/>
  <c r="U4" i="1"/>
  <c r="T4" i="1"/>
  <c r="T6" i="1" s="1"/>
  <c r="S4" i="1"/>
  <c r="S6" i="1" s="1"/>
  <c r="R4" i="1"/>
  <c r="R6" i="1"/>
  <c r="Q20" i="1"/>
  <c r="Q19" i="1"/>
  <c r="R21" i="1"/>
  <c r="Q21" i="1"/>
  <c r="P20" i="1"/>
  <c r="P19" i="1"/>
  <c r="V6" i="1"/>
  <c r="Z2" i="1"/>
  <c r="Y2" i="1"/>
  <c r="X2" i="1"/>
  <c r="W2" i="1"/>
  <c r="V2" i="1"/>
  <c r="U2" i="1"/>
  <c r="R16" i="1"/>
  <c r="R14" i="1"/>
  <c r="R13" i="1"/>
  <c r="R12" i="1"/>
  <c r="R11" i="1"/>
  <c r="R10" i="1"/>
  <c r="I36" i="1"/>
  <c r="Q26" i="1"/>
  <c r="P30" i="1"/>
  <c r="Q30" i="1"/>
  <c r="Q31" i="1" s="1"/>
  <c r="Q36" i="1"/>
  <c r="P36" i="1"/>
  <c r="Q25" i="1"/>
  <c r="P25" i="1"/>
  <c r="Q16" i="1"/>
  <c r="P16" i="1"/>
  <c r="Q7" i="1"/>
  <c r="P7" i="1"/>
  <c r="Q6" i="1"/>
  <c r="Q2" i="1"/>
  <c r="R2" i="1" s="1"/>
  <c r="S2" i="1" s="1"/>
  <c r="T2" i="1" s="1"/>
  <c r="P6" i="1"/>
  <c r="C6" i="1"/>
  <c r="C9" i="1" s="1"/>
  <c r="C15" i="1" s="1"/>
  <c r="C17" i="1" s="1"/>
  <c r="V9" i="1" l="1"/>
  <c r="V15" i="1" s="1"/>
  <c r="R9" i="1"/>
  <c r="R15" i="1" s="1"/>
  <c r="R17" i="1" s="1"/>
  <c r="W9" i="1"/>
  <c r="W15" i="1" s="1"/>
  <c r="W19" i="1"/>
  <c r="Y4" i="1"/>
  <c r="X6" i="1"/>
  <c r="V19" i="1"/>
  <c r="U9" i="1"/>
  <c r="U15" i="1" s="1"/>
  <c r="T9" i="1"/>
  <c r="T15" i="1" s="1"/>
  <c r="T19" i="1"/>
  <c r="S9" i="1"/>
  <c r="S15" i="1" s="1"/>
  <c r="S19" i="1"/>
  <c r="R19" i="1"/>
  <c r="Q9" i="1"/>
  <c r="Q15" i="1" s="1"/>
  <c r="Q17" i="1" s="1"/>
  <c r="P9" i="1"/>
  <c r="P15" i="1" s="1"/>
  <c r="P17" i="1" s="1"/>
  <c r="T16" i="1" l="1"/>
  <c r="T17" i="1" s="1"/>
  <c r="T20" i="1" s="1"/>
  <c r="S16" i="1"/>
  <c r="S17" i="1" s="1"/>
  <c r="U16" i="1"/>
  <c r="U17" i="1" s="1"/>
  <c r="U20" i="1" s="1"/>
  <c r="W17" i="1"/>
  <c r="W20" i="1" s="1"/>
  <c r="W16" i="1"/>
  <c r="V16" i="1"/>
  <c r="V17" i="1" s="1"/>
  <c r="V20" i="1" s="1"/>
  <c r="R20" i="1"/>
  <c r="X19" i="1"/>
  <c r="X9" i="1"/>
  <c r="X15" i="1" s="1"/>
  <c r="Z4" i="1"/>
  <c r="Z6" i="1" s="1"/>
  <c r="Y6" i="1"/>
  <c r="S20" i="1" l="1"/>
  <c r="X16" i="1"/>
  <c r="X17" i="1" s="1"/>
  <c r="Z19" i="1"/>
  <c r="Z9" i="1"/>
  <c r="Z15" i="1" s="1"/>
  <c r="Y19" i="1"/>
  <c r="Y9" i="1"/>
  <c r="Y15" i="1" s="1"/>
  <c r="X20" i="1" l="1"/>
  <c r="Y16" i="1"/>
  <c r="Y17" i="1" s="1"/>
  <c r="Z16" i="1"/>
  <c r="Z17" i="1" s="1"/>
  <c r="Z20" i="1" l="1"/>
  <c r="AA17" i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Y17" i="1" s="1"/>
  <c r="AZ17" i="1" s="1"/>
  <c r="BA17" i="1" s="1"/>
  <c r="BB17" i="1" s="1"/>
  <c r="BC17" i="1" s="1"/>
  <c r="BD17" i="1" s="1"/>
  <c r="BE17" i="1" s="1"/>
  <c r="BF17" i="1" s="1"/>
  <c r="BG17" i="1" s="1"/>
  <c r="BH17" i="1" s="1"/>
  <c r="BI17" i="1" s="1"/>
  <c r="BJ17" i="1" s="1"/>
  <c r="BK17" i="1" s="1"/>
  <c r="BL17" i="1" s="1"/>
  <c r="BM17" i="1" s="1"/>
  <c r="BN17" i="1" s="1"/>
  <c r="BO17" i="1" s="1"/>
  <c r="BP17" i="1" s="1"/>
  <c r="BQ17" i="1" s="1"/>
  <c r="BR17" i="1" s="1"/>
  <c r="BS17" i="1" s="1"/>
  <c r="BT17" i="1" s="1"/>
  <c r="BU17" i="1" s="1"/>
  <c r="BV17" i="1" s="1"/>
  <c r="BW17" i="1" s="1"/>
  <c r="BX17" i="1" s="1"/>
  <c r="BY17" i="1" s="1"/>
  <c r="BZ17" i="1" s="1"/>
  <c r="CA17" i="1" s="1"/>
  <c r="CB17" i="1" s="1"/>
  <c r="CC17" i="1" s="1"/>
  <c r="CD17" i="1" s="1"/>
  <c r="CE17" i="1" s="1"/>
  <c r="CF17" i="1" s="1"/>
  <c r="CG17" i="1" s="1"/>
  <c r="CH17" i="1" s="1"/>
  <c r="CI17" i="1" s="1"/>
  <c r="CJ17" i="1" s="1"/>
  <c r="CK17" i="1" s="1"/>
  <c r="CL17" i="1" s="1"/>
  <c r="CM17" i="1" s="1"/>
  <c r="CN17" i="1" s="1"/>
  <c r="CO17" i="1" s="1"/>
  <c r="CP17" i="1" s="1"/>
  <c r="CQ17" i="1" s="1"/>
  <c r="CR17" i="1" s="1"/>
  <c r="CS17" i="1" s="1"/>
  <c r="CT17" i="1" s="1"/>
  <c r="CU17" i="1" s="1"/>
  <c r="CV17" i="1" s="1"/>
  <c r="CW17" i="1" s="1"/>
  <c r="CX17" i="1" s="1"/>
  <c r="CY17" i="1" s="1"/>
  <c r="Y20" i="1"/>
  <c r="AC22" i="1" l="1"/>
  <c r="AC24" i="1" s="1"/>
</calcChain>
</file>

<file path=xl/sharedStrings.xml><?xml version="1.0" encoding="utf-8"?>
<sst xmlns="http://schemas.openxmlformats.org/spreadsheetml/2006/main" count="45" uniqueCount="45">
  <si>
    <t>Revenue</t>
  </si>
  <si>
    <t>COGS</t>
  </si>
  <si>
    <t>Gross Profit</t>
  </si>
  <si>
    <t>SG&amp;A</t>
  </si>
  <si>
    <t>R&amp;D</t>
  </si>
  <si>
    <t>Operating Income</t>
  </si>
  <si>
    <t>Interest Income</t>
  </si>
  <si>
    <t>Venture Income</t>
  </si>
  <si>
    <t>Other Income</t>
  </si>
  <si>
    <t>Interest Expense</t>
  </si>
  <si>
    <t>Other expense</t>
  </si>
  <si>
    <t>Pretax</t>
  </si>
  <si>
    <t>Taxes</t>
  </si>
  <si>
    <t>Net Income</t>
  </si>
  <si>
    <t>Q123</t>
  </si>
  <si>
    <t>Q223</t>
  </si>
  <si>
    <t>Q323</t>
  </si>
  <si>
    <t>Q423</t>
  </si>
  <si>
    <t>Q124</t>
  </si>
  <si>
    <t>Q224</t>
  </si>
  <si>
    <t>Q324</t>
  </si>
  <si>
    <t>Q424</t>
  </si>
  <si>
    <t>Gross Margin</t>
  </si>
  <si>
    <t>Net Margin</t>
  </si>
  <si>
    <t>Revenue Y/Y</t>
  </si>
  <si>
    <t>CFFO</t>
  </si>
  <si>
    <t>CapEx</t>
  </si>
  <si>
    <t>FCF</t>
  </si>
  <si>
    <t>Current Assets</t>
  </si>
  <si>
    <t>Current Liab.</t>
  </si>
  <si>
    <t>Cash</t>
  </si>
  <si>
    <t>Investments</t>
  </si>
  <si>
    <t>PP&amp;E</t>
  </si>
  <si>
    <t>Debt</t>
  </si>
  <si>
    <t>Equity</t>
  </si>
  <si>
    <t>Delta</t>
  </si>
  <si>
    <t>Working Capital</t>
  </si>
  <si>
    <t xml:space="preserve">FCF, ex WC </t>
  </si>
  <si>
    <t>Discount</t>
  </si>
  <si>
    <t>Terminal</t>
  </si>
  <si>
    <t>NPV</t>
  </si>
  <si>
    <t>Net Cash</t>
  </si>
  <si>
    <t>Value</t>
  </si>
  <si>
    <t>Share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</si>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</sst>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,##0.000"/>
    <numFmt numFmtId="166" formatCode="#,##0.0000"/>
    <numFmt numFmtId="167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1" applyFont="1"/>
    <xf numFmtId="167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13138</xdr:colOff>
      <xdr:row>2</xdr:row>
      <xdr:rowOff>144517</xdr:rowOff>
    </xdr:from>
    <xdr:to>
      <xdr:col>17</xdr:col>
      <xdr:colOff>13138</xdr:colOff>
      <xdr:row>37</xdr:row>
      <xdr:rowOff>72259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C6985DD-4804-3FBF-8C4A-D6AB305492BC}"/>
            </a:ext>
          </a:extLst>
        </xdr:cNvPr>
        <xdr:cNvCxnSpPr/>
      </xdr:nvCxnSpPr>
      <xdr:spPr>
        <a:xfrm>
          <a:off x="10779672" y="525517"/>
          <a:ext cx="0" cy="65952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95DBD-C2C2-417F-A1EB-FD9E6CDDD4AB}">
  <dimension ref="B2:CY39"/>
  <sheetViews>
    <sheetView tabSelected="1" zoomScale="145" zoomScaleNormal="145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B9" sqref="AB9"/>
    </sheetView>
  </sheetViews>
  <sheetFormatPr defaultRowHeight="15" x14ac:dyDescent="0.25"/>
  <cols>
    <col min="1" max="1" width="2.85546875" style="1" customWidth="1"/>
    <col min="2" max="2" width="17" style="1" bestFit="1" customWidth="1"/>
    <col min="3" max="8" width="9.140625" style="1"/>
    <col min="9" max="9" width="10.5703125" style="1" bestFit="1" customWidth="1"/>
    <col min="10" max="15" width="9.140625" style="1"/>
    <col min="16" max="26" width="10.5703125" style="1" bestFit="1" customWidth="1"/>
    <col min="27" max="28" width="9.5703125" style="1" bestFit="1" customWidth="1"/>
    <col min="29" max="29" width="10.5703125" style="1" bestFit="1" customWidth="1"/>
    <col min="30" max="103" width="9.5703125" style="1" bestFit="1" customWidth="1"/>
    <col min="104" max="16384" width="9.140625" style="1"/>
  </cols>
  <sheetData>
    <row r="2" spans="2:26" s="3" customFormat="1" x14ac:dyDescent="0.25"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P2" s="3">
        <v>2022</v>
      </c>
      <c r="Q2" s="3">
        <f>+P2+1</f>
        <v>2023</v>
      </c>
      <c r="R2" s="3">
        <f>+Q2+1</f>
        <v>2024</v>
      </c>
      <c r="S2" s="3">
        <f>+R2+1</f>
        <v>2025</v>
      </c>
      <c r="T2" s="3">
        <f>+S2+1</f>
        <v>2026</v>
      </c>
      <c r="U2" s="3">
        <f>+T2+1</f>
        <v>2027</v>
      </c>
      <c r="V2" s="3">
        <f>+U2+1</f>
        <v>2028</v>
      </c>
      <c r="W2" s="3">
        <f>+V2+1</f>
        <v>2029</v>
      </c>
      <c r="X2" s="3">
        <f>+W2+1</f>
        <v>2030</v>
      </c>
      <c r="Y2" s="3">
        <f>+X2+1</f>
        <v>2031</v>
      </c>
      <c r="Z2" s="3">
        <f>+Y2+1</f>
        <v>2032</v>
      </c>
    </row>
    <row r="3" spans="2:26" x14ac:dyDescent="0.25">
      <c r="P3" s="5"/>
      <c r="Q3" s="5"/>
      <c r="R3" s="5"/>
    </row>
    <row r="4" spans="2:26" s="2" customFormat="1" x14ac:dyDescent="0.25">
      <c r="B4" s="2" t="s">
        <v>0</v>
      </c>
      <c r="P4" s="2">
        <v>24356236</v>
      </c>
      <c r="Q4" s="2">
        <v>28161419</v>
      </c>
      <c r="R4" s="2">
        <f>24739724*1.3</f>
        <v>32161641.199999999</v>
      </c>
      <c r="S4" s="2">
        <f>+R4*1.12</f>
        <v>36021038.144000001</v>
      </c>
      <c r="T4" s="2">
        <f>+S4*1.08</f>
        <v>38902721.195520006</v>
      </c>
      <c r="U4" s="2">
        <f>+T4*1.06</f>
        <v>41236884.467251211</v>
      </c>
      <c r="V4" s="2">
        <f>+U4*1.05</f>
        <v>43298728.690613776</v>
      </c>
      <c r="W4" s="2">
        <f t="shared" ref="W4:Z4" si="0">+V4*1.05</f>
        <v>45463665.125144467</v>
      </c>
      <c r="X4" s="2">
        <f t="shared" si="0"/>
        <v>47736848.381401695</v>
      </c>
      <c r="Y4" s="2">
        <f t="shared" si="0"/>
        <v>50123690.800471783</v>
      </c>
      <c r="Z4" s="2">
        <f t="shared" si="0"/>
        <v>52629875.34049537</v>
      </c>
    </row>
    <row r="5" spans="2:26" x14ac:dyDescent="0.25">
      <c r="B5" s="1" t="s">
        <v>1</v>
      </c>
      <c r="P5" s="1">
        <v>17028216</v>
      </c>
      <c r="Q5" s="1">
        <v>19603040</v>
      </c>
      <c r="R5" s="1">
        <f>+R4*0.7</f>
        <v>22513148.84</v>
      </c>
      <c r="S5" s="1">
        <f t="shared" ref="S5:Z5" si="1">+S4*0.7</f>
        <v>25214726.700799998</v>
      </c>
      <c r="T5" s="1">
        <f t="shared" si="1"/>
        <v>27231904.836864002</v>
      </c>
      <c r="U5" s="1">
        <f t="shared" si="1"/>
        <v>28865819.127075847</v>
      </c>
      <c r="V5" s="1">
        <f t="shared" si="1"/>
        <v>30309110.083429642</v>
      </c>
      <c r="W5" s="1">
        <f t="shared" si="1"/>
        <v>31824565.587601125</v>
      </c>
      <c r="X5" s="1">
        <f t="shared" si="1"/>
        <v>33415793.866981186</v>
      </c>
      <c r="Y5" s="1">
        <f t="shared" si="1"/>
        <v>35086583.560330249</v>
      </c>
      <c r="Z5" s="1">
        <f t="shared" si="1"/>
        <v>36840912.738346756</v>
      </c>
    </row>
    <row r="6" spans="2:26" x14ac:dyDescent="0.25">
      <c r="B6" s="1" t="s">
        <v>2</v>
      </c>
      <c r="C6" s="1">
        <f>+C4-C5</f>
        <v>0</v>
      </c>
      <c r="P6" s="1">
        <f>+P4-P5</f>
        <v>7328020</v>
      </c>
      <c r="Q6" s="1">
        <f>+Q4-Q5</f>
        <v>8558379</v>
      </c>
      <c r="R6" s="1">
        <f>+R4-R5</f>
        <v>9648492.3599999994</v>
      </c>
      <c r="S6" s="1">
        <f>+S4-S5</f>
        <v>10806311.443200003</v>
      </c>
      <c r="T6" s="1">
        <f>+T4-T5</f>
        <v>11670816.358656004</v>
      </c>
      <c r="U6" s="1">
        <f t="shared" ref="U6:Z6" si="2">+U4-U5</f>
        <v>12371065.340175364</v>
      </c>
      <c r="V6" s="1">
        <f t="shared" si="2"/>
        <v>12989618.607184134</v>
      </c>
      <c r="W6" s="1">
        <f t="shared" si="2"/>
        <v>13639099.537543342</v>
      </c>
      <c r="X6" s="1">
        <f t="shared" si="2"/>
        <v>14321054.514420509</v>
      </c>
      <c r="Y6" s="1">
        <f t="shared" si="2"/>
        <v>15037107.240141533</v>
      </c>
      <c r="Z6" s="1">
        <f t="shared" si="2"/>
        <v>15788962.602148615</v>
      </c>
    </row>
    <row r="7" spans="2:26" x14ac:dyDescent="0.25">
      <c r="B7" s="1" t="s">
        <v>3</v>
      </c>
      <c r="P7" s="1">
        <f>4521562-P8</f>
        <v>4153928</v>
      </c>
      <c r="Q7" s="1">
        <f>4903748-Q8</f>
        <v>4468587</v>
      </c>
      <c r="R7" s="1">
        <f>4060342*1.3-R8</f>
        <v>4778444.6000000006</v>
      </c>
      <c r="S7" s="1">
        <f>+R7*1.07</f>
        <v>5112935.722000001</v>
      </c>
      <c r="T7" s="1">
        <f>+S7*1.06</f>
        <v>5419711.8653200017</v>
      </c>
      <c r="U7" s="1">
        <f>+T7*1.05</f>
        <v>5690697.4585860018</v>
      </c>
      <c r="V7" s="1">
        <f>+U7*1.04</f>
        <v>5918325.3569294419</v>
      </c>
      <c r="W7" s="1">
        <f>+V7*1.03</f>
        <v>6095875.1176373251</v>
      </c>
      <c r="X7" s="1">
        <f>+W7*1.03</f>
        <v>6278751.3711664453</v>
      </c>
      <c r="Y7" s="1">
        <f>+X7*1.03</f>
        <v>6467113.9123014389</v>
      </c>
      <c r="Z7" s="1">
        <f>+Y7*1.03</f>
        <v>6661127.3296704823</v>
      </c>
    </row>
    <row r="8" spans="2:26" x14ac:dyDescent="0.25">
      <c r="B8" s="1" t="s">
        <v>4</v>
      </c>
      <c r="P8" s="1">
        <v>367634</v>
      </c>
      <c r="Q8" s="1">
        <v>435161</v>
      </c>
      <c r="R8" s="1">
        <v>500000</v>
      </c>
      <c r="S8" s="1">
        <f>+R8*1.12</f>
        <v>560000</v>
      </c>
      <c r="T8" s="1">
        <f>+S8*1.1</f>
        <v>616000</v>
      </c>
      <c r="U8" s="1">
        <f>+T8*1.08</f>
        <v>665280</v>
      </c>
      <c r="V8" s="1">
        <f>+U8*1.06</f>
        <v>705196.8</v>
      </c>
      <c r="W8" s="1">
        <f>+V8*1.05</f>
        <v>740456.64000000013</v>
      </c>
      <c r="X8" s="1">
        <f>+W8*1.05</f>
        <v>777479.47200000018</v>
      </c>
      <c r="Y8" s="1">
        <f>+X8*1.05</f>
        <v>816353.44560000021</v>
      </c>
      <c r="Z8" s="1">
        <f>+Y8*1.05</f>
        <v>857171.11788000027</v>
      </c>
    </row>
    <row r="9" spans="2:26" x14ac:dyDescent="0.25">
      <c r="B9" s="1" t="s">
        <v>5</v>
      </c>
      <c r="C9" s="1">
        <f>+C6-C7-C8</f>
        <v>0</v>
      </c>
      <c r="P9" s="1">
        <f>+P6-P7-P8</f>
        <v>2806458</v>
      </c>
      <c r="Q9" s="1">
        <f>+Q6-Q7-Q8</f>
        <v>3654631</v>
      </c>
      <c r="R9" s="1">
        <f>+R6-R7-R8</f>
        <v>4370047.7599999988</v>
      </c>
      <c r="S9" s="1">
        <f>+S6-S7-S8</f>
        <v>5133375.7212000024</v>
      </c>
      <c r="T9" s="1">
        <f>+T6-T7-T8</f>
        <v>5635104.4933360023</v>
      </c>
      <c r="U9" s="1">
        <f t="shared" ref="U9:Z9" si="3">+U6-U7-U8</f>
        <v>6015087.8815893624</v>
      </c>
      <c r="V9" s="1">
        <f t="shared" si="3"/>
        <v>6366096.4502546927</v>
      </c>
      <c r="W9" s="1">
        <f t="shared" si="3"/>
        <v>6802767.7799060158</v>
      </c>
      <c r="X9" s="1">
        <f t="shared" si="3"/>
        <v>7264823.671254064</v>
      </c>
      <c r="Y9" s="1">
        <f t="shared" si="3"/>
        <v>7753639.8822400933</v>
      </c>
      <c r="Z9" s="1">
        <f t="shared" si="3"/>
        <v>8270664.1545981336</v>
      </c>
    </row>
    <row r="10" spans="2:26" x14ac:dyDescent="0.25">
      <c r="B10" s="1" t="s">
        <v>6</v>
      </c>
      <c r="P10" s="1">
        <v>13824</v>
      </c>
      <c r="Q10" s="1">
        <v>51630</v>
      </c>
      <c r="R10" s="1">
        <f>33537*1.3</f>
        <v>43598.1</v>
      </c>
      <c r="S10" s="1">
        <v>40000</v>
      </c>
      <c r="T10" s="1">
        <v>40000</v>
      </c>
      <c r="U10" s="1">
        <v>40000</v>
      </c>
      <c r="V10" s="1">
        <v>40000</v>
      </c>
      <c r="W10" s="1">
        <v>40000</v>
      </c>
      <c r="X10" s="1">
        <v>40000</v>
      </c>
      <c r="Y10" s="1">
        <v>40000</v>
      </c>
      <c r="Z10" s="1">
        <v>40000</v>
      </c>
    </row>
    <row r="11" spans="2:26" x14ac:dyDescent="0.25">
      <c r="B11" s="1" t="s">
        <v>7</v>
      </c>
      <c r="P11" s="1">
        <v>6357</v>
      </c>
      <c r="Q11" s="1">
        <v>9449</v>
      </c>
      <c r="R11" s="1">
        <f>918*1.3</f>
        <v>1193.4000000000001</v>
      </c>
      <c r="S11" s="1">
        <v>1200</v>
      </c>
      <c r="T11" s="1">
        <v>1200</v>
      </c>
      <c r="U11" s="1">
        <v>1200</v>
      </c>
      <c r="V11" s="1">
        <v>1200</v>
      </c>
      <c r="W11" s="1">
        <v>1200</v>
      </c>
      <c r="X11" s="1">
        <v>1200</v>
      </c>
      <c r="Y11" s="1">
        <v>1200</v>
      </c>
      <c r="Z11" s="1">
        <v>1200</v>
      </c>
    </row>
    <row r="12" spans="2:26" x14ac:dyDescent="0.25">
      <c r="B12" s="1" t="s">
        <v>8</v>
      </c>
      <c r="P12" s="1">
        <v>36440</v>
      </c>
      <c r="Q12" s="1">
        <v>16493</v>
      </c>
      <c r="R12" s="1">
        <f>14261*1.3</f>
        <v>18539.3</v>
      </c>
      <c r="S12" s="1">
        <v>15000</v>
      </c>
      <c r="T12" s="1">
        <v>15000</v>
      </c>
      <c r="U12" s="1">
        <v>15000</v>
      </c>
      <c r="V12" s="1">
        <v>15000</v>
      </c>
      <c r="W12" s="1">
        <v>15000</v>
      </c>
      <c r="X12" s="1">
        <v>15000</v>
      </c>
      <c r="Y12" s="1">
        <v>15000</v>
      </c>
      <c r="Z12" s="1">
        <v>15000</v>
      </c>
    </row>
    <row r="13" spans="2:26" x14ac:dyDescent="0.25">
      <c r="B13" s="1" t="s">
        <v>9</v>
      </c>
      <c r="P13" s="1">
        <v>31693</v>
      </c>
      <c r="Q13" s="1">
        <v>60926</v>
      </c>
      <c r="R13" s="1">
        <f>59620*1.3</f>
        <v>77506</v>
      </c>
      <c r="S13" s="1">
        <v>80000</v>
      </c>
      <c r="T13" s="1">
        <v>80000</v>
      </c>
      <c r="U13" s="1">
        <v>80000</v>
      </c>
      <c r="V13" s="1">
        <v>80000</v>
      </c>
      <c r="W13" s="1">
        <v>80000</v>
      </c>
      <c r="X13" s="1">
        <v>80000</v>
      </c>
      <c r="Y13" s="1">
        <v>80000</v>
      </c>
      <c r="Z13" s="1">
        <v>80000</v>
      </c>
    </row>
    <row r="14" spans="2:26" x14ac:dyDescent="0.25">
      <c r="B14" s="1" t="s">
        <v>10</v>
      </c>
      <c r="P14" s="1">
        <v>10709</v>
      </c>
      <c r="Q14" s="1">
        <v>10699</v>
      </c>
      <c r="R14" s="1">
        <f>7414*1.3</f>
        <v>9638.2000000000007</v>
      </c>
      <c r="S14" s="1">
        <v>10000</v>
      </c>
      <c r="T14" s="1">
        <v>10000</v>
      </c>
      <c r="U14" s="1">
        <v>10000</v>
      </c>
      <c r="V14" s="1">
        <v>10000</v>
      </c>
      <c r="W14" s="1">
        <v>10000</v>
      </c>
      <c r="X14" s="1">
        <v>10000</v>
      </c>
      <c r="Y14" s="1">
        <v>10000</v>
      </c>
      <c r="Z14" s="1">
        <v>10000</v>
      </c>
    </row>
    <row r="15" spans="2:26" x14ac:dyDescent="0.25">
      <c r="B15" s="1" t="s">
        <v>11</v>
      </c>
      <c r="C15" s="1">
        <f>+C9+C10+C11+C12-C13-C14</f>
        <v>0</v>
      </c>
      <c r="P15" s="1">
        <f>+P9+P10+P11+P12-P13-P14</f>
        <v>2820677</v>
      </c>
      <c r="Q15" s="1">
        <f>+Q9+Q10+Q11+Q12-Q13-Q14</f>
        <v>3660578</v>
      </c>
      <c r="R15" s="1">
        <f>+R9+R10+R11+R12-R13-R14</f>
        <v>4346234.3599999985</v>
      </c>
      <c r="S15" s="1">
        <f>+S9+S10+S11+S12-S13-S14</f>
        <v>5099575.7212000024</v>
      </c>
      <c r="T15" s="1">
        <f>+T9+T10+T11+T12-T13-T14</f>
        <v>5601304.4933360023</v>
      </c>
      <c r="U15" s="1">
        <f t="shared" ref="U15:Z15" si="4">+U9+U10+U11+U12-U13-U14</f>
        <v>5981287.8815893624</v>
      </c>
      <c r="V15" s="1">
        <f t="shared" si="4"/>
        <v>6332296.4502546927</v>
      </c>
      <c r="W15" s="1">
        <f t="shared" si="4"/>
        <v>6768967.7799060158</v>
      </c>
      <c r="X15" s="1">
        <f t="shared" si="4"/>
        <v>7231023.671254064</v>
      </c>
      <c r="Y15" s="1">
        <f t="shared" si="4"/>
        <v>7719839.8822400933</v>
      </c>
      <c r="Z15" s="1">
        <f t="shared" si="4"/>
        <v>8236864.1545981336</v>
      </c>
    </row>
    <row r="16" spans="2:26" x14ac:dyDescent="0.25">
      <c r="B16" s="1" t="s">
        <v>12</v>
      </c>
      <c r="P16" s="1">
        <f>643977+263293</f>
        <v>907270</v>
      </c>
      <c r="Q16" s="1">
        <f>1321280-184700</f>
        <v>1136580</v>
      </c>
      <c r="R16" s="1">
        <f>1226253*1.3</f>
        <v>1594128.9000000001</v>
      </c>
      <c r="S16" s="1">
        <f>+S15*0.31</f>
        <v>1580868.4735720006</v>
      </c>
      <c r="T16" s="1">
        <f t="shared" ref="T16:Z16" si="5">+T15*0.31</f>
        <v>1736404.3929341608</v>
      </c>
      <c r="U16" s="1">
        <f t="shared" si="5"/>
        <v>1854199.2432927024</v>
      </c>
      <c r="V16" s="1">
        <f t="shared" si="5"/>
        <v>1963011.8995789548</v>
      </c>
      <c r="W16" s="1">
        <f t="shared" si="5"/>
        <v>2098380.0117708649</v>
      </c>
      <c r="X16" s="1">
        <f t="shared" si="5"/>
        <v>2241617.3380887597</v>
      </c>
      <c r="Y16" s="1">
        <f t="shared" si="5"/>
        <v>2393150.3634944288</v>
      </c>
      <c r="Z16" s="1">
        <f t="shared" si="5"/>
        <v>2553427.8879254214</v>
      </c>
    </row>
    <row r="17" spans="2:103" s="2" customFormat="1" x14ac:dyDescent="0.25">
      <c r="B17" s="2" t="s">
        <v>13</v>
      </c>
      <c r="C17" s="2">
        <f>+C15-C16</f>
        <v>0</v>
      </c>
      <c r="P17" s="2">
        <f>+P15-P16</f>
        <v>1913407</v>
      </c>
      <c r="Q17" s="2">
        <f>+Q15-Q16</f>
        <v>2523998</v>
      </c>
      <c r="R17" s="2">
        <f>+R15-R16</f>
        <v>2752105.4599999981</v>
      </c>
      <c r="S17" s="2">
        <f>+S15-S16</f>
        <v>3518707.2476280015</v>
      </c>
      <c r="T17" s="2">
        <f>+T15-T16</f>
        <v>3864900.1004018416</v>
      </c>
      <c r="U17" s="2">
        <f t="shared" ref="U17:Z17" si="6">+U15-U16</f>
        <v>4127088.63829666</v>
      </c>
      <c r="V17" s="2">
        <f t="shared" si="6"/>
        <v>4369284.5506757377</v>
      </c>
      <c r="W17" s="2">
        <f t="shared" si="6"/>
        <v>4670587.7681351509</v>
      </c>
      <c r="X17" s="2">
        <f t="shared" si="6"/>
        <v>4989406.3331653047</v>
      </c>
      <c r="Y17" s="2">
        <f t="shared" si="6"/>
        <v>5326689.5187456645</v>
      </c>
      <c r="Z17" s="2">
        <f t="shared" si="6"/>
        <v>5683436.2666727118</v>
      </c>
      <c r="AA17" s="2">
        <f>+Z17*(1+TR)</f>
        <v>5626601.9040059848</v>
      </c>
      <c r="AB17" s="2">
        <f>+AA17*(1+TR)</f>
        <v>5570335.8849659245</v>
      </c>
      <c r="AC17" s="2">
        <f>+AB17*(1+TR)</f>
        <v>5514632.526116265</v>
      </c>
      <c r="AD17" s="2">
        <f>+AC17*(1+TR)</f>
        <v>5459486.2008551024</v>
      </c>
      <c r="AE17" s="2">
        <f>+AD17*(1+TR)</f>
        <v>5404891.3388465513</v>
      </c>
      <c r="AF17" s="2">
        <f>+AE17*(1+TR)</f>
        <v>5350842.4254580857</v>
      </c>
      <c r="AG17" s="2">
        <f>+AF17*(1+TR)</f>
        <v>5297334.0012035044</v>
      </c>
      <c r="AH17" s="2">
        <f>+AG17*(1+TR)</f>
        <v>5244360.6611914691</v>
      </c>
      <c r="AI17" s="2">
        <f>+AH17*(1+TR)</f>
        <v>5191917.0545795541</v>
      </c>
      <c r="AJ17" s="2">
        <f>+AI17*(1+TR)</f>
        <v>5139997.8840337582</v>
      </c>
      <c r="AK17" s="2">
        <f>+AJ17*(1+TR)</f>
        <v>5088597.9051934201</v>
      </c>
      <c r="AL17" s="2">
        <f>+AK17*(1+TR)</f>
        <v>5037711.9261414856</v>
      </c>
      <c r="AM17" s="2">
        <f>+AL17*(1+TR)</f>
        <v>4987334.8068800708</v>
      </c>
      <c r="AN17" s="2">
        <f>+AM17*(1+TR)</f>
        <v>4937461.4588112701</v>
      </c>
      <c r="AO17" s="2">
        <f>+AN17*(1+TR)</f>
        <v>4888086.8442231575</v>
      </c>
      <c r="AP17" s="2">
        <f>+AO17*(1+TR)</f>
        <v>4839205.9757809257</v>
      </c>
      <c r="AQ17" s="2">
        <f>+AP17*(1+TR)</f>
        <v>4790813.9160231166</v>
      </c>
      <c r="AR17" s="2">
        <f>+AQ17*(1+TR)</f>
        <v>4742905.7768628858</v>
      </c>
      <c r="AS17" s="2">
        <f>+AR17*(1+TR)</f>
        <v>4695476.7190942569</v>
      </c>
      <c r="AT17" s="2">
        <f>+AS17*(1+TR)</f>
        <v>4648521.9519033143</v>
      </c>
      <c r="AU17" s="2">
        <f>+AT17*(1+TR)</f>
        <v>4602036.7323842812</v>
      </c>
      <c r="AV17" s="2">
        <f>+AU17*(1+TR)</f>
        <v>4556016.3650604384</v>
      </c>
      <c r="AW17" s="2">
        <f>+AV17*(1+TR)</f>
        <v>4510456.2014098344</v>
      </c>
      <c r="AX17" s="2">
        <f>+AW17*(1+TR)</f>
        <v>4465351.6393957362</v>
      </c>
      <c r="AY17" s="2">
        <f>+AX17*(1+TR)</f>
        <v>4420698.1230017785</v>
      </c>
      <c r="AZ17" s="2">
        <f>+AY17*(1+TR)</f>
        <v>4376491.1417717608</v>
      </c>
      <c r="BA17" s="2">
        <f>+AZ17*(1+TR)</f>
        <v>4332726.2303540427</v>
      </c>
      <c r="BB17" s="2">
        <f>+BA17*(1+TR)</f>
        <v>4289398.9680505022</v>
      </c>
      <c r="BC17" s="2">
        <f>+BB17*(1+TR)</f>
        <v>4246504.9783699969</v>
      </c>
      <c r="BD17" s="2">
        <f>+BC17*(1+TR)</f>
        <v>4204039.9285862967</v>
      </c>
      <c r="BE17" s="2">
        <f>+BD17*(1+TR)</f>
        <v>4161999.5293004336</v>
      </c>
      <c r="BF17" s="2">
        <f>+BE17*(1+TR)</f>
        <v>4120379.5340074291</v>
      </c>
      <c r="BG17" s="2">
        <f>+BF17*(1+TR)</f>
        <v>4079175.7386673549</v>
      </c>
      <c r="BH17" s="2">
        <f>+BG17*(1+TR)</f>
        <v>4038383.9812806812</v>
      </c>
      <c r="BI17" s="2">
        <f>+BH17*(1+TR)</f>
        <v>3998000.1414678744</v>
      </c>
      <c r="BJ17" s="2">
        <f>+BI17*(1+TR)</f>
        <v>3958020.1400531954</v>
      </c>
      <c r="BK17" s="2">
        <f>+BJ17*(1+TR)</f>
        <v>3918439.9386526635</v>
      </c>
      <c r="BL17" s="2">
        <f>+BK17*(1+TR)</f>
        <v>3879255.5392661369</v>
      </c>
      <c r="BM17" s="2">
        <f>+BL17*(1+TR)</f>
        <v>3840462.9838734753</v>
      </c>
      <c r="BN17" s="2">
        <f>+BM17*(1+TR)</f>
        <v>3802058.3540347405</v>
      </c>
      <c r="BO17" s="2">
        <f>+BN17*(1+TR)</f>
        <v>3764037.7704943931</v>
      </c>
      <c r="BP17" s="2">
        <f>+BO17*(1+TR)</f>
        <v>3726397.3927894491</v>
      </c>
      <c r="BQ17" s="2">
        <f>+BP17*(1+TR)</f>
        <v>3689133.4188615545</v>
      </c>
      <c r="BR17" s="2">
        <f>+BQ17*(1+TR)</f>
        <v>3652242.084672939</v>
      </c>
      <c r="BS17" s="2">
        <f>+BR17*(1+TR)</f>
        <v>3615719.6638262095</v>
      </c>
      <c r="BT17" s="2">
        <f>+BS17*(1+TR)</f>
        <v>3579562.4671879476</v>
      </c>
      <c r="BU17" s="2">
        <f>+BT17*(1+TR)</f>
        <v>3543766.8425160679</v>
      </c>
      <c r="BV17" s="2">
        <f>+BU17*(1+TR)</f>
        <v>3508329.174090907</v>
      </c>
      <c r="BW17" s="2">
        <f>+BV17*(1+TR)</f>
        <v>3473245.8823499978</v>
      </c>
      <c r="BX17" s="2">
        <f>+BW17*(1+TR)</f>
        <v>3438513.4235264976</v>
      </c>
      <c r="BY17" s="2">
        <f>+BX17*(1+TR)</f>
        <v>3404128.2892912324</v>
      </c>
      <c r="BZ17" s="2">
        <f>+BY17*(1+TR)</f>
        <v>3370087.0063983202</v>
      </c>
      <c r="CA17" s="2">
        <f>+BZ17*(1+TR)</f>
        <v>3336386.1363343368</v>
      </c>
      <c r="CB17" s="2">
        <f>+CA17*(1+TR)</f>
        <v>3303022.2749709934</v>
      </c>
      <c r="CC17" s="2">
        <f>+CB17*(1+TR)</f>
        <v>3269992.0522212833</v>
      </c>
      <c r="CD17" s="2">
        <f>+CC17*(1+TR)</f>
        <v>3237292.1316990703</v>
      </c>
      <c r="CE17" s="2">
        <f>+CD17*(1+TR)</f>
        <v>3204919.2103820797</v>
      </c>
      <c r="CF17" s="2">
        <f>+CE17*(1+TR)</f>
        <v>3172870.0182782589</v>
      </c>
      <c r="CG17" s="2">
        <f>+CF17*(1+TR)</f>
        <v>3141141.3180954764</v>
      </c>
      <c r="CH17" s="2">
        <f>+CG17*(1+TR)</f>
        <v>3109729.9049145216</v>
      </c>
      <c r="CI17" s="2">
        <f>+CH17*(1+TR)</f>
        <v>3078632.6058653765</v>
      </c>
      <c r="CJ17" s="2">
        <f>+CI17*(1+TR)</f>
        <v>3047846.2798067229</v>
      </c>
      <c r="CK17" s="2">
        <f>+CJ17*(1+TR)</f>
        <v>3017367.8170086555</v>
      </c>
      <c r="CL17" s="2">
        <f>+CK17*(1+TR)</f>
        <v>2987194.1388385692</v>
      </c>
      <c r="CM17" s="2">
        <f>+CL17*(1+TR)</f>
        <v>2957322.1974501833</v>
      </c>
      <c r="CN17" s="2">
        <f>+CM17*(1+TR)</f>
        <v>2927748.9754756815</v>
      </c>
      <c r="CO17" s="2">
        <f>+CN17*(1+TR)</f>
        <v>2898471.4857209246</v>
      </c>
      <c r="CP17" s="2">
        <f>+CO17*(1+TR)</f>
        <v>2869486.7708637151</v>
      </c>
      <c r="CQ17" s="2">
        <f>+CP17*(1+TR)</f>
        <v>2840791.9031550777</v>
      </c>
      <c r="CR17" s="2">
        <f>+CQ17*(1+TR)</f>
        <v>2812383.9841235271</v>
      </c>
      <c r="CS17" s="2">
        <f>+CR17*(1+TR)</f>
        <v>2784260.1442822916</v>
      </c>
      <c r="CT17" s="2">
        <f>+CS17*(1+TR)</f>
        <v>2756417.5428394689</v>
      </c>
      <c r="CU17" s="2">
        <f>+CT17*(1+TR)</f>
        <v>2728853.3674110742</v>
      </c>
      <c r="CV17" s="2">
        <f>+CU17*(1+TR)</f>
        <v>2701564.8337369636</v>
      </c>
      <c r="CW17" s="2">
        <f>+CV17*(1+TR)</f>
        <v>2674549.1853995938</v>
      </c>
      <c r="CX17" s="2">
        <f>+CW17*(1+TR)</f>
        <v>2647803.6935455976</v>
      </c>
      <c r="CY17" s="2">
        <f>+CX17*(1+TR)</f>
        <v>2621325.6566101415</v>
      </c>
    </row>
    <row r="18" spans="2:103" x14ac:dyDescent="0.25">
      <c r="P18" s="4"/>
      <c r="Q18" s="4"/>
      <c r="R18" s="4"/>
    </row>
    <row r="19" spans="2:103" s="6" customFormat="1" x14ac:dyDescent="0.25">
      <c r="B19" s="6" t="s">
        <v>22</v>
      </c>
      <c r="P19" s="6">
        <f>+P6/P4</f>
        <v>0.30086832793047336</v>
      </c>
      <c r="Q19" s="6">
        <f>+Q6/Q4</f>
        <v>0.30390439487442023</v>
      </c>
      <c r="R19" s="6">
        <f>+R6/R4</f>
        <v>0.3</v>
      </c>
      <c r="S19" s="6">
        <f t="shared" ref="S19:Z19" si="7">+S6/S4</f>
        <v>0.3000000000000001</v>
      </c>
      <c r="T19" s="6">
        <f t="shared" si="7"/>
        <v>0.30000000000000004</v>
      </c>
      <c r="U19" s="6">
        <f t="shared" si="7"/>
        <v>0.30000000000000004</v>
      </c>
      <c r="V19" s="6">
        <f t="shared" si="7"/>
        <v>0.30000000000000004</v>
      </c>
      <c r="W19" s="6">
        <f t="shared" si="7"/>
        <v>0.30000000000000004</v>
      </c>
      <c r="X19" s="6">
        <f t="shared" si="7"/>
        <v>0.3</v>
      </c>
      <c r="Y19" s="6">
        <f t="shared" si="7"/>
        <v>0.3</v>
      </c>
      <c r="Z19" s="6">
        <f t="shared" si="7"/>
        <v>0.30000000000000004</v>
      </c>
    </row>
    <row r="20" spans="2:103" s="6" customFormat="1" x14ac:dyDescent="0.25">
      <c r="B20" s="6" t="s">
        <v>23</v>
      </c>
      <c r="P20" s="6">
        <f>+P17/P4</f>
        <v>7.8559224011460552E-2</v>
      </c>
      <c r="Q20" s="6">
        <f>+Q17/Q4</f>
        <v>8.9626094480537363E-2</v>
      </c>
      <c r="R20" s="6">
        <f>+R17/R4</f>
        <v>8.5571051641481474E-2</v>
      </c>
      <c r="S20" s="6">
        <f t="shared" ref="S20:Z20" si="8">+S17/S4</f>
        <v>9.76847816978898E-2</v>
      </c>
      <c r="T20" s="6">
        <f t="shared" si="8"/>
        <v>9.9347808626994424E-2</v>
      </c>
      <c r="U20" s="6">
        <f t="shared" si="8"/>
        <v>0.10008245510337327</v>
      </c>
      <c r="V20" s="6">
        <f t="shared" si="8"/>
        <v>0.10091022722389777</v>
      </c>
      <c r="W20" s="6">
        <f t="shared" si="8"/>
        <v>0.10273231943088551</v>
      </c>
      <c r="X20" s="6">
        <f t="shared" si="8"/>
        <v>0.1045189722895318</v>
      </c>
      <c r="Y20" s="6">
        <f t="shared" si="8"/>
        <v>0.10627089573171511</v>
      </c>
      <c r="Z20" s="6">
        <f t="shared" si="8"/>
        <v>0.10798878450505593</v>
      </c>
      <c r="AB20" s="6" t="s">
        <v>38</v>
      </c>
      <c r="AC20" s="7">
        <v>7.4999999999999997E-2</v>
      </c>
    </row>
    <row r="21" spans="2:103" s="6" customFormat="1" x14ac:dyDescent="0.25">
      <c r="B21" s="6" t="s">
        <v>24</v>
      </c>
      <c r="Q21" s="6">
        <f>+Q4/P4 -1</f>
        <v>0.15623033871079262</v>
      </c>
      <c r="R21" s="6">
        <f>+R4/Q4 -1</f>
        <v>0.14204618737429375</v>
      </c>
      <c r="AB21" s="6" t="s">
        <v>39</v>
      </c>
      <c r="AC21" s="6">
        <v>-0.01</v>
      </c>
    </row>
    <row r="22" spans="2:103" x14ac:dyDescent="0.25">
      <c r="AB22" s="1" t="s">
        <v>40</v>
      </c>
      <c r="AC22" s="1">
        <f>NPV(AC20,R17:CY17)</f>
        <v>61300319.112282217</v>
      </c>
    </row>
    <row r="23" spans="2:103" x14ac:dyDescent="0.25">
      <c r="B23" s="1" t="s">
        <v>25</v>
      </c>
      <c r="P23" s="1">
        <v>-1513688</v>
      </c>
      <c r="Q23" s="1">
        <v>-261138</v>
      </c>
      <c r="AB23" s="1" t="s">
        <v>41</v>
      </c>
      <c r="AC23" s="1">
        <f>+I33-I36</f>
        <v>-241412</v>
      </c>
    </row>
    <row r="24" spans="2:103" x14ac:dyDescent="0.25">
      <c r="B24" s="1" t="s">
        <v>26</v>
      </c>
      <c r="P24" s="1">
        <v>809117</v>
      </c>
      <c r="Q24" s="1">
        <v>1355453</v>
      </c>
      <c r="AB24" s="1" t="s">
        <v>42</v>
      </c>
      <c r="AC24" s="1">
        <f>+AC22+AC23</f>
        <v>61058907.112282217</v>
      </c>
    </row>
    <row r="25" spans="2:103" x14ac:dyDescent="0.25">
      <c r="B25" s="1" t="s">
        <v>27</v>
      </c>
      <c r="P25" s="1">
        <f>+P23-P24</f>
        <v>-2322805</v>
      </c>
      <c r="Q25" s="1">
        <f>+Q23-Q24</f>
        <v>-1616591</v>
      </c>
      <c r="AB25" s="1" t="s">
        <v>43</v>
      </c>
      <c r="AC25" s="1">
        <v>14646.117</v>
      </c>
    </row>
    <row r="26" spans="2:103" x14ac:dyDescent="0.25">
      <c r="B26" s="1" t="s">
        <v>37</v>
      </c>
      <c r="Q26" s="1">
        <f>+Q25+Q31</f>
        <v>2981511</v>
      </c>
      <c r="AB26" s="1" t="s">
        <v>44</v>
      </c>
      <c r="AC26" s="1">
        <f>+AC24/AC25</f>
        <v>4168.9484736659015</v>
      </c>
    </row>
    <row r="28" spans="2:103" x14ac:dyDescent="0.25">
      <c r="B28" s="1" t="s">
        <v>28</v>
      </c>
      <c r="P28" s="1">
        <v>31905581</v>
      </c>
      <c r="Q28" s="1">
        <v>39420680</v>
      </c>
    </row>
    <row r="29" spans="2:103" x14ac:dyDescent="0.25">
      <c r="B29" s="1" t="s">
        <v>29</v>
      </c>
      <c r="P29" s="1">
        <v>18463365</v>
      </c>
      <c r="Q29" s="1">
        <v>21380362</v>
      </c>
    </row>
    <row r="30" spans="2:103" x14ac:dyDescent="0.25">
      <c r="B30" s="1" t="s">
        <v>36</v>
      </c>
      <c r="P30" s="1">
        <f>+P28-P29</f>
        <v>13442216</v>
      </c>
      <c r="Q30" s="1">
        <f>+Q28-Q29</f>
        <v>18040318</v>
      </c>
    </row>
    <row r="31" spans="2:103" x14ac:dyDescent="0.25">
      <c r="B31" s="1" t="s">
        <v>35</v>
      </c>
      <c r="Q31" s="1">
        <f>+Q30-P30</f>
        <v>4598102</v>
      </c>
    </row>
    <row r="33" spans="2:17" x14ac:dyDescent="0.25">
      <c r="B33" s="1" t="s">
        <v>30</v>
      </c>
      <c r="I33" s="1">
        <v>9008028</v>
      </c>
      <c r="P33" s="1">
        <v>5141311</v>
      </c>
      <c r="Q33" s="1">
        <v>6899779</v>
      </c>
    </row>
    <row r="34" spans="2:17" x14ac:dyDescent="0.25">
      <c r="B34" s="1" t="s">
        <v>31</v>
      </c>
      <c r="I34" s="1">
        <v>22861</v>
      </c>
      <c r="P34" s="1">
        <v>401948</v>
      </c>
      <c r="Q34" s="1">
        <v>66921</v>
      </c>
    </row>
    <row r="35" spans="2:17" x14ac:dyDescent="0.25">
      <c r="B35" s="1" t="s">
        <v>32</v>
      </c>
      <c r="I35" s="1">
        <v>7001764</v>
      </c>
      <c r="P35" s="1">
        <v>6267785</v>
      </c>
      <c r="Q35" s="1">
        <v>7007738</v>
      </c>
    </row>
    <row r="36" spans="2:17" x14ac:dyDescent="0.25">
      <c r="B36" s="1" t="s">
        <v>33</v>
      </c>
      <c r="I36" s="1">
        <f>2725820+6523620</f>
        <v>9249440</v>
      </c>
      <c r="P36" s="1">
        <f>5279474+2643216</f>
        <v>7922690</v>
      </c>
      <c r="Q36" s="1">
        <f>6436717+5075329</f>
        <v>11512046</v>
      </c>
    </row>
    <row r="37" spans="2:17" x14ac:dyDescent="0.25">
      <c r="B37" s="1" t="s">
        <v>34</v>
      </c>
      <c r="I37" s="1">
        <v>21635501</v>
      </c>
      <c r="P37" s="1">
        <v>16643947</v>
      </c>
      <c r="Q37" s="1">
        <v>18857940</v>
      </c>
    </row>
    <row r="39" spans="2:17" x14ac:dyDescent="0.25">
      <c r="P39" s="5"/>
      <c r="Q39" s="4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2024-11-26T11:16:45Z</dcterms:created>
  <dcterms:modified xsi:type="dcterms:W3CDTF">2024-11-26T14:18:42Z</dcterms:modified>
</cp:coreProperties>
</file>