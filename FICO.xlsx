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C4F05A8-92FE-436D-860A-F471D0888BB8}" xr6:coauthVersionLast="47" xr6:coauthVersionMax="47" xr10:uidLastSave="{00000000-0000-0000-0000-000000000000}"/>
  <bookViews>
    <workbookView xWindow="-120" yWindow="-120" windowWidth="29040" windowHeight="15840" activeTab="1" xr2:uid="{EA097440-F2EF-472B-9B45-B52DD23402B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O6" i="1" s="1"/>
  <c r="J33" i="1"/>
  <c r="K33" i="1"/>
  <c r="L33" i="1"/>
  <c r="M33" i="1"/>
  <c r="I33" i="1"/>
  <c r="J32" i="1"/>
  <c r="K32" i="1" s="1"/>
  <c r="L32" i="1" s="1"/>
  <c r="M32" i="1" s="1"/>
  <c r="N32" i="1" s="1"/>
  <c r="O32" i="1" s="1"/>
  <c r="P32" i="1" s="1"/>
  <c r="Q32" i="1" s="1"/>
  <c r="R32" i="1" s="1"/>
  <c r="I32" i="1"/>
  <c r="J31" i="1"/>
  <c r="K31" i="1"/>
  <c r="L31" i="1"/>
  <c r="M31" i="1"/>
  <c r="I31" i="1"/>
  <c r="J28" i="1"/>
  <c r="K28" i="1"/>
  <c r="L28" i="1"/>
  <c r="M28" i="1"/>
  <c r="N28" i="1"/>
  <c r="O28" i="1"/>
  <c r="P28" i="1"/>
  <c r="Q28" i="1"/>
  <c r="R28" i="1"/>
  <c r="J29" i="1"/>
  <c r="K29" i="1"/>
  <c r="L29" i="1"/>
  <c r="M29" i="1"/>
  <c r="N29" i="1"/>
  <c r="I29" i="1"/>
  <c r="I28" i="1"/>
  <c r="U26" i="1"/>
  <c r="I21" i="1"/>
  <c r="J21" i="1" s="1"/>
  <c r="K21" i="1" s="1"/>
  <c r="L21" i="1" s="1"/>
  <c r="M21" i="1" s="1"/>
  <c r="N21" i="1" s="1"/>
  <c r="O21" i="1" s="1"/>
  <c r="P21" i="1" s="1"/>
  <c r="Q21" i="1" s="1"/>
  <c r="R21" i="1" s="1"/>
  <c r="J15" i="1"/>
  <c r="K15" i="1" s="1"/>
  <c r="L15" i="1" s="1"/>
  <c r="M15" i="1" s="1"/>
  <c r="N15" i="1" s="1"/>
  <c r="O15" i="1" s="1"/>
  <c r="P15" i="1" s="1"/>
  <c r="Q15" i="1" s="1"/>
  <c r="R15" i="1" s="1"/>
  <c r="I6" i="1"/>
  <c r="J6" i="1" s="1"/>
  <c r="I5" i="1"/>
  <c r="J5" i="1" s="1"/>
  <c r="K5" i="1" s="1"/>
  <c r="L5" i="1" s="1"/>
  <c r="M5" i="1" s="1"/>
  <c r="N5" i="1" s="1"/>
  <c r="O5" i="1" s="1"/>
  <c r="P5" i="1" s="1"/>
  <c r="Q5" i="1" s="1"/>
  <c r="R5" i="1" s="1"/>
  <c r="I4" i="1"/>
  <c r="J4" i="1" s="1"/>
  <c r="K4" i="1" s="1"/>
  <c r="L4" i="1" s="1"/>
  <c r="M4" i="1" s="1"/>
  <c r="N4" i="1" s="1"/>
  <c r="O4" i="1" s="1"/>
  <c r="P4" i="1" s="1"/>
  <c r="Q4" i="1" s="1"/>
  <c r="R4" i="1" s="1"/>
  <c r="G24" i="1"/>
  <c r="H24" i="1"/>
  <c r="H23" i="1"/>
  <c r="G29" i="1"/>
  <c r="G28" i="1"/>
  <c r="H29" i="1"/>
  <c r="H28" i="1"/>
  <c r="D7" i="2"/>
  <c r="D5" i="2"/>
  <c r="D6" i="2" s="1"/>
  <c r="D8" i="2" s="1"/>
  <c r="H38" i="1"/>
  <c r="G38" i="1"/>
  <c r="F38" i="1"/>
  <c r="H33" i="1"/>
  <c r="H35" i="1" s="1"/>
  <c r="G33" i="1"/>
  <c r="G35" i="1" s="1"/>
  <c r="F33" i="1"/>
  <c r="F35" i="1" s="1"/>
  <c r="G7" i="1"/>
  <c r="G9" i="1" s="1"/>
  <c r="G14" i="1" s="1"/>
  <c r="G17" i="1" s="1"/>
  <c r="G19" i="1" s="1"/>
  <c r="G20" i="1" s="1"/>
  <c r="H7" i="1"/>
  <c r="H9" i="1" s="1"/>
  <c r="H14" i="1" s="1"/>
  <c r="H17" i="1" s="1"/>
  <c r="H19" i="1" s="1"/>
  <c r="H20" i="1" s="1"/>
  <c r="F7" i="1"/>
  <c r="F9" i="1" s="1"/>
  <c r="F14" i="1" s="1"/>
  <c r="F17" i="1" s="1"/>
  <c r="F19" i="1" s="1"/>
  <c r="F20" i="1" s="1"/>
  <c r="G2" i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P6" i="1" l="1"/>
  <c r="O29" i="1"/>
  <c r="J7" i="1"/>
  <c r="K6" i="1"/>
  <c r="L6" i="1" s="1"/>
  <c r="M6" i="1" s="1"/>
  <c r="G23" i="1"/>
  <c r="G39" i="1"/>
  <c r="H27" i="1"/>
  <c r="I7" i="1"/>
  <c r="G27" i="1"/>
  <c r="F39" i="1"/>
  <c r="H39" i="1"/>
  <c r="H25" i="1"/>
  <c r="G25" i="1"/>
  <c r="F23" i="1"/>
  <c r="F24" i="1"/>
  <c r="F25" i="1"/>
  <c r="F42" i="1"/>
  <c r="F43" i="1"/>
  <c r="H43" i="1"/>
  <c r="G43" i="1"/>
  <c r="H42" i="1"/>
  <c r="G42" i="1"/>
  <c r="P29" i="1" l="1"/>
  <c r="Q6" i="1"/>
  <c r="I11" i="1"/>
  <c r="I27" i="1"/>
  <c r="I10" i="1" s="1"/>
  <c r="I8" i="1"/>
  <c r="I9" i="1" s="1"/>
  <c r="J11" i="1"/>
  <c r="J27" i="1"/>
  <c r="J8" i="1"/>
  <c r="J9" i="1" s="1"/>
  <c r="K7" i="1"/>
  <c r="Q29" i="1" l="1"/>
  <c r="R6" i="1"/>
  <c r="R29" i="1" s="1"/>
  <c r="J23" i="1"/>
  <c r="I14" i="1"/>
  <c r="I23" i="1"/>
  <c r="K8" i="1"/>
  <c r="K9" i="1" s="1"/>
  <c r="K11" i="1"/>
  <c r="K27" i="1"/>
  <c r="J10" i="1"/>
  <c r="K10" i="1" s="1"/>
  <c r="L7" i="1"/>
  <c r="K14" i="1" l="1"/>
  <c r="K23" i="1"/>
  <c r="L8" i="1"/>
  <c r="L9" i="1" s="1"/>
  <c r="L11" i="1"/>
  <c r="L27" i="1"/>
  <c r="L10" i="1" s="1"/>
  <c r="I24" i="1"/>
  <c r="I17" i="1"/>
  <c r="J14" i="1"/>
  <c r="K17" i="1"/>
  <c r="K24" i="1"/>
  <c r="M7" i="1"/>
  <c r="L23" i="1" l="1"/>
  <c r="L14" i="1"/>
  <c r="L17" i="1" s="1"/>
  <c r="I18" i="1"/>
  <c r="I19" i="1" s="1"/>
  <c r="J24" i="1"/>
  <c r="J17" i="1"/>
  <c r="M8" i="1"/>
  <c r="M9" i="1" s="1"/>
  <c r="M11" i="1"/>
  <c r="M27" i="1"/>
  <c r="M10" i="1" s="1"/>
  <c r="K19" i="1"/>
  <c r="K18" i="1"/>
  <c r="N7" i="1"/>
  <c r="I25" i="1" l="1"/>
  <c r="I20" i="1"/>
  <c r="M23" i="1"/>
  <c r="M14" i="1"/>
  <c r="L18" i="1"/>
  <c r="L19" i="1" s="1"/>
  <c r="K25" i="1"/>
  <c r="K20" i="1"/>
  <c r="N8" i="1"/>
  <c r="N9" i="1" s="1"/>
  <c r="N11" i="1"/>
  <c r="N27" i="1"/>
  <c r="N10" i="1" s="1"/>
  <c r="L24" i="1"/>
  <c r="J18" i="1"/>
  <c r="J19" i="1" s="1"/>
  <c r="M17" i="1"/>
  <c r="M24" i="1"/>
  <c r="O7" i="1"/>
  <c r="L25" i="1" l="1"/>
  <c r="L20" i="1"/>
  <c r="J25" i="1"/>
  <c r="J20" i="1"/>
  <c r="N14" i="1"/>
  <c r="N17" i="1" s="1"/>
  <c r="N23" i="1"/>
  <c r="O8" i="1"/>
  <c r="O9" i="1" s="1"/>
  <c r="O11" i="1"/>
  <c r="O27" i="1"/>
  <c r="O10" i="1" s="1"/>
  <c r="M19" i="1"/>
  <c r="M18" i="1"/>
  <c r="P7" i="1"/>
  <c r="O23" i="1" l="1"/>
  <c r="O14" i="1"/>
  <c r="N18" i="1"/>
  <c r="N19" i="1" s="1"/>
  <c r="N31" i="1" s="1"/>
  <c r="N33" i="1" s="1"/>
  <c r="M25" i="1"/>
  <c r="M20" i="1"/>
  <c r="N24" i="1"/>
  <c r="P8" i="1"/>
  <c r="P9" i="1" s="1"/>
  <c r="P11" i="1"/>
  <c r="P27" i="1"/>
  <c r="P10" i="1" s="1"/>
  <c r="O17" i="1"/>
  <c r="O24" i="1"/>
  <c r="R7" i="1"/>
  <c r="Q7" i="1"/>
  <c r="P14" i="1" l="1"/>
  <c r="P24" i="1" s="1"/>
  <c r="P23" i="1"/>
  <c r="N25" i="1"/>
  <c r="N20" i="1"/>
  <c r="O18" i="1"/>
  <c r="O19" i="1" s="1"/>
  <c r="O31" i="1" s="1"/>
  <c r="O33" i="1" s="1"/>
  <c r="Q8" i="1"/>
  <c r="Q9" i="1" s="1"/>
  <c r="Q11" i="1"/>
  <c r="Q27" i="1"/>
  <c r="Q10" i="1" s="1"/>
  <c r="R10" i="1" s="1"/>
  <c r="R11" i="1"/>
  <c r="R8" i="1"/>
  <c r="R9" i="1" s="1"/>
  <c r="R23" i="1" s="1"/>
  <c r="R27" i="1"/>
  <c r="P17" i="1"/>
  <c r="Q23" i="1" l="1"/>
  <c r="Q14" i="1"/>
  <c r="O25" i="1"/>
  <c r="O20" i="1"/>
  <c r="R14" i="1"/>
  <c r="P18" i="1"/>
  <c r="P19" i="1" s="1"/>
  <c r="P31" i="1" s="1"/>
  <c r="P33" i="1" s="1"/>
  <c r="R17" i="1"/>
  <c r="R24" i="1"/>
  <c r="Q17" i="1"/>
  <c r="Q24" i="1"/>
  <c r="P25" i="1" l="1"/>
  <c r="P20" i="1"/>
  <c r="Q18" i="1"/>
  <c r="Q19" i="1" s="1"/>
  <c r="Q31" i="1" s="1"/>
  <c r="Q33" i="1" s="1"/>
  <c r="R18" i="1"/>
  <c r="R19" i="1" s="1"/>
  <c r="R31" i="1" l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DC33" i="1" s="1"/>
  <c r="DD33" i="1" s="1"/>
  <c r="DE33" i="1" s="1"/>
  <c r="DF33" i="1" s="1"/>
  <c r="DG33" i="1" s="1"/>
  <c r="DH33" i="1" s="1"/>
  <c r="DI33" i="1" s="1"/>
  <c r="DJ33" i="1" s="1"/>
  <c r="DK33" i="1" s="1"/>
  <c r="DL33" i="1" s="1"/>
  <c r="DM33" i="1" s="1"/>
  <c r="DN33" i="1" s="1"/>
  <c r="DO33" i="1" s="1"/>
  <c r="DP33" i="1" s="1"/>
  <c r="DQ33" i="1" s="1"/>
  <c r="DR33" i="1" s="1"/>
  <c r="DS33" i="1" s="1"/>
  <c r="DT33" i="1" s="1"/>
  <c r="DU33" i="1" s="1"/>
  <c r="DV33" i="1" s="1"/>
  <c r="DW33" i="1" s="1"/>
  <c r="DX33" i="1" s="1"/>
  <c r="DY33" i="1" s="1"/>
  <c r="DZ33" i="1" s="1"/>
  <c r="EA33" i="1" s="1"/>
  <c r="EB33" i="1" s="1"/>
  <c r="EC33" i="1" s="1"/>
  <c r="U25" i="1" s="1"/>
  <c r="U27" i="1" s="1"/>
  <c r="U28" i="1" s="1"/>
  <c r="U29" i="1" s="1"/>
  <c r="S19" i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DX19" i="1" s="1"/>
  <c r="DY19" i="1" s="1"/>
  <c r="DZ19" i="1" s="1"/>
  <c r="EA19" i="1" s="1"/>
  <c r="EB19" i="1" s="1"/>
  <c r="EC19" i="1" s="1"/>
  <c r="R25" i="1"/>
  <c r="R20" i="1"/>
  <c r="Q25" i="1"/>
  <c r="Q20" i="1"/>
</calcChain>
</file>

<file path=xl/sharedStrings.xml><?xml version="1.0" encoding="utf-8"?>
<sst xmlns="http://schemas.openxmlformats.org/spreadsheetml/2006/main" count="47" uniqueCount="41">
  <si>
    <t>SaaS Software</t>
  </si>
  <si>
    <t>Professional Services</t>
  </si>
  <si>
    <t>FICO Scores</t>
  </si>
  <si>
    <t>Total Revnue</t>
  </si>
  <si>
    <t>COGS</t>
  </si>
  <si>
    <t>Gross Margin</t>
  </si>
  <si>
    <t>R&amp;D</t>
  </si>
  <si>
    <t>S&amp;M</t>
  </si>
  <si>
    <t>Amortization</t>
  </si>
  <si>
    <t>Other</t>
  </si>
  <si>
    <t>Operating Income</t>
  </si>
  <si>
    <t>Other income</t>
  </si>
  <si>
    <t>Interest expenses</t>
  </si>
  <si>
    <t>Pretax</t>
  </si>
  <si>
    <t>Taxes</t>
  </si>
  <si>
    <t>Net Income</t>
  </si>
  <si>
    <t>EPS</t>
  </si>
  <si>
    <t>Shares</t>
  </si>
  <si>
    <t>Operating Margin</t>
  </si>
  <si>
    <t>Net Margin</t>
  </si>
  <si>
    <t>CFFO</t>
  </si>
  <si>
    <t>CapEx</t>
  </si>
  <si>
    <t>SBC</t>
  </si>
  <si>
    <t>Adj. FCF</t>
  </si>
  <si>
    <t>Stock Buybacks</t>
  </si>
  <si>
    <t>Net Stock Buybacks</t>
  </si>
  <si>
    <t>Price</t>
  </si>
  <si>
    <t>MC</t>
  </si>
  <si>
    <t>Net Cash</t>
  </si>
  <si>
    <t>EV</t>
  </si>
  <si>
    <t>Buyback yield</t>
  </si>
  <si>
    <t>Revenue Y/Y</t>
  </si>
  <si>
    <t>SaaS Y/Y</t>
  </si>
  <si>
    <t>Score Y/Y</t>
  </si>
  <si>
    <t>Buyback Ratio</t>
  </si>
  <si>
    <t>Discount</t>
  </si>
  <si>
    <t>Terminal</t>
  </si>
  <si>
    <t>NPV</t>
  </si>
  <si>
    <t>Value</t>
  </si>
  <si>
    <t>Diff</t>
  </si>
  <si>
    <t>FCFF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</si>
</sst>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35718</xdr:colOff>
      <xdr:row>2</xdr:row>
      <xdr:rowOff>148828</xdr:rowOff>
    </xdr:from>
    <xdr:to>
      <xdr:col>8</xdr:col>
      <xdr:colOff>71437</xdr:colOff>
      <xdr:row>40</xdr:row>
      <xdr:rowOff>107156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5CA535-4F33-5ED1-554D-A6435A35FC55}"/>
            </a:ext>
          </a:extLst>
        </xdr:cNvPr>
        <xdr:cNvCxnSpPr/>
      </xdr:nvCxnSpPr>
      <xdr:spPr>
        <a:xfrm>
          <a:off x="5393531" y="720328"/>
          <a:ext cx="35719" cy="62448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9D8D-0566-4F65-8CF4-3C71B8B236BE}">
  <dimension ref="C4:D8"/>
  <sheetViews>
    <sheetView zoomScale="145" zoomScaleNormal="145" workbookViewId="0">
      <selection activeCell="D5" sqref="D5"/>
    </sheetView>
  </sheetViews>
  <sheetFormatPr defaultRowHeight="15" x14ac:dyDescent="0.25"/>
  <cols>
    <col min="1" max="3" width="9.140625" style="1"/>
    <col min="4" max="4" width="10.5703125" style="1" bestFit="1" customWidth="1"/>
    <col min="5" max="16384" width="9.140625" style="1"/>
  </cols>
  <sheetData>
    <row r="4" spans="3:4" x14ac:dyDescent="0.25">
      <c r="C4" s="1" t="s">
        <v>26</v>
      </c>
      <c r="D4" s="1">
        <v>1336</v>
      </c>
    </row>
    <row r="5" spans="3:4" x14ac:dyDescent="0.25">
      <c r="C5" s="1" t="s">
        <v>17</v>
      </c>
      <c r="D5" s="1">
        <f>+Sheet1!H21</f>
        <v>24561</v>
      </c>
    </row>
    <row r="6" spans="3:4" x14ac:dyDescent="0.25">
      <c r="C6" s="1" t="s">
        <v>27</v>
      </c>
      <c r="D6" s="1">
        <f>+D4*D5</f>
        <v>32813496</v>
      </c>
    </row>
    <row r="7" spans="3:4" x14ac:dyDescent="0.25">
      <c r="C7" s="1" t="s">
        <v>28</v>
      </c>
      <c r="D7" s="1">
        <f>134136-2656150-399541</f>
        <v>-2921555</v>
      </c>
    </row>
    <row r="8" spans="3:4" x14ac:dyDescent="0.25">
      <c r="C8" s="1" t="s">
        <v>29</v>
      </c>
      <c r="D8" s="1">
        <f>+D6+D7</f>
        <v>29891941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9730-79A8-4ADA-B39E-82448CD0780B}">
  <dimension ref="B2:EC74"/>
  <sheetViews>
    <sheetView tabSelected="1" zoomScale="160" zoomScaleNormal="160" workbookViewId="0">
      <pane xSplit="2" ySplit="2" topLeftCell="I18" activePane="bottomRight" state="frozen"/>
      <selection pane="topRight" activeCell="C1" sqref="C1"/>
      <selection pane="bottomLeft" activeCell="A3" sqref="A3"/>
      <selection pane="bottomRight" activeCell="P24" sqref="P24"/>
    </sheetView>
  </sheetViews>
  <sheetFormatPr defaultRowHeight="15" x14ac:dyDescent="0.25"/>
  <cols>
    <col min="1" max="1" width="3" customWidth="1"/>
    <col min="2" max="2" width="20" bestFit="1" customWidth="1"/>
    <col min="6" max="18" width="10.140625" customWidth="1"/>
    <col min="21" max="21" width="10.28515625" bestFit="1" customWidth="1"/>
  </cols>
  <sheetData>
    <row r="2" spans="2:18" x14ac:dyDescent="0.25">
      <c r="F2">
        <v>2023</v>
      </c>
      <c r="G2">
        <f>+F2+1</f>
        <v>2024</v>
      </c>
      <c r="H2">
        <f>+G2+1</f>
        <v>2025</v>
      </c>
      <c r="I2">
        <f>+H2+1</f>
        <v>2026</v>
      </c>
      <c r="J2">
        <f>+I2+1</f>
        <v>2027</v>
      </c>
      <c r="K2">
        <f t="shared" ref="K2:R2" si="0">+J2+1</f>
        <v>2028</v>
      </c>
      <c r="L2">
        <f t="shared" si="0"/>
        <v>2029</v>
      </c>
      <c r="M2">
        <f t="shared" si="0"/>
        <v>2030</v>
      </c>
      <c r="N2">
        <f t="shared" si="0"/>
        <v>2031</v>
      </c>
      <c r="O2">
        <f t="shared" si="0"/>
        <v>2032</v>
      </c>
      <c r="P2">
        <f t="shared" si="0"/>
        <v>2033</v>
      </c>
      <c r="Q2">
        <f t="shared" si="0"/>
        <v>2034</v>
      </c>
      <c r="R2">
        <f t="shared" si="0"/>
        <v>2035</v>
      </c>
    </row>
    <row r="3" spans="2:18" s="1" customFormat="1" x14ac:dyDescent="0.25">
      <c r="H3" s="5"/>
    </row>
    <row r="4" spans="2:18" s="1" customFormat="1" x14ac:dyDescent="0.25">
      <c r="B4" s="1" t="s">
        <v>0</v>
      </c>
      <c r="F4" s="1">
        <v>640182</v>
      </c>
      <c r="G4" s="1">
        <v>711340</v>
      </c>
      <c r="H4" s="1">
        <v>740145</v>
      </c>
      <c r="I4" s="1">
        <f>+H4*1.04</f>
        <v>769750.8</v>
      </c>
      <c r="J4" s="1">
        <f t="shared" ref="J4:R4" si="1">+I4*1.04</f>
        <v>800540.83200000005</v>
      </c>
      <c r="K4" s="1">
        <f t="shared" si="1"/>
        <v>832562.46528000012</v>
      </c>
      <c r="L4" s="1">
        <f t="shared" si="1"/>
        <v>865864.96389120014</v>
      </c>
      <c r="M4" s="1">
        <f t="shared" si="1"/>
        <v>900499.56244684814</v>
      </c>
      <c r="N4" s="1">
        <f t="shared" si="1"/>
        <v>936519.54494472209</v>
      </c>
      <c r="O4" s="1">
        <f t="shared" si="1"/>
        <v>973980.32674251101</v>
      </c>
      <c r="P4" s="1">
        <f t="shared" si="1"/>
        <v>1012939.5398122115</v>
      </c>
      <c r="Q4" s="1">
        <f t="shared" si="1"/>
        <v>1053457.1214047</v>
      </c>
      <c r="R4" s="1">
        <f t="shared" si="1"/>
        <v>1095595.4062608881</v>
      </c>
    </row>
    <row r="5" spans="2:18" s="1" customFormat="1" x14ac:dyDescent="0.25">
      <c r="B5" s="1" t="s">
        <v>1</v>
      </c>
      <c r="F5" s="1">
        <v>99547</v>
      </c>
      <c r="G5" s="1">
        <v>86536</v>
      </c>
      <c r="H5" s="1">
        <v>82149</v>
      </c>
      <c r="I5" s="1">
        <f>+H5*0.95</f>
        <v>78041.55</v>
      </c>
      <c r="J5" s="1">
        <f t="shared" ref="J5:R5" si="2">+I5*0.95</f>
        <v>74139.472500000003</v>
      </c>
      <c r="K5" s="1">
        <f t="shared" si="2"/>
        <v>70432.498875000005</v>
      </c>
      <c r="L5" s="1">
        <f t="shared" si="2"/>
        <v>66910.873931249997</v>
      </c>
      <c r="M5" s="1">
        <f t="shared" si="2"/>
        <v>63565.330234687492</v>
      </c>
      <c r="N5" s="1">
        <f t="shared" si="2"/>
        <v>60387.063722953113</v>
      </c>
      <c r="O5" s="1">
        <f t="shared" si="2"/>
        <v>57367.710536805454</v>
      </c>
      <c r="P5" s="1">
        <f t="shared" si="2"/>
        <v>54499.325009965178</v>
      </c>
      <c r="Q5" s="1">
        <f t="shared" si="2"/>
        <v>51774.358759466915</v>
      </c>
      <c r="R5" s="1">
        <f t="shared" si="2"/>
        <v>49185.640821493565</v>
      </c>
    </row>
    <row r="6" spans="2:18" s="1" customFormat="1" x14ac:dyDescent="0.25">
      <c r="B6" s="1" t="s">
        <v>2</v>
      </c>
      <c r="F6" s="1">
        <v>773828</v>
      </c>
      <c r="G6" s="1">
        <v>919650</v>
      </c>
      <c r="H6" s="1">
        <v>1168575</v>
      </c>
      <c r="I6" s="1">
        <f>+H6*1.25</f>
        <v>1460718.75</v>
      </c>
      <c r="J6" s="1">
        <f>+I6*1.2</f>
        <v>1752862.5</v>
      </c>
      <c r="K6" s="1">
        <f>+J6*1.18</f>
        <v>2068377.75</v>
      </c>
      <c r="L6" s="1">
        <f>+K6*1.15</f>
        <v>2378634.4124999996</v>
      </c>
      <c r="M6" s="1">
        <f>+L6*1.12</f>
        <v>2664070.5419999999</v>
      </c>
      <c r="N6" s="1">
        <f t="shared" ref="N6:R6" si="3">+M6*1.12</f>
        <v>2983759.0070400001</v>
      </c>
      <c r="O6" s="1">
        <f t="shared" si="3"/>
        <v>3341810.0878848005</v>
      </c>
      <c r="P6" s="1">
        <f t="shared" si="3"/>
        <v>3742827.2984309769</v>
      </c>
      <c r="Q6" s="1">
        <f t="shared" si="3"/>
        <v>4191966.5742426948</v>
      </c>
      <c r="R6" s="1">
        <f t="shared" si="3"/>
        <v>4695002.5631518187</v>
      </c>
    </row>
    <row r="7" spans="2:18" s="2" customFormat="1" x14ac:dyDescent="0.25">
      <c r="B7" s="2" t="s">
        <v>3</v>
      </c>
      <c r="F7" s="2">
        <f>+SUM(F4:F6)</f>
        <v>1513557</v>
      </c>
      <c r="G7" s="2">
        <f t="shared" ref="G7:J7" si="4">+SUM(G4:G6)</f>
        <v>1717526</v>
      </c>
      <c r="H7" s="2">
        <f t="shared" si="4"/>
        <v>1990869</v>
      </c>
      <c r="I7" s="2">
        <f t="shared" si="4"/>
        <v>2308511.1</v>
      </c>
      <c r="J7" s="2">
        <f t="shared" si="4"/>
        <v>2627542.8045000001</v>
      </c>
      <c r="K7" s="2">
        <f t="shared" ref="K7" si="5">+SUM(K4:K6)</f>
        <v>2971372.7141550002</v>
      </c>
      <c r="L7" s="2">
        <f t="shared" ref="L7" si="6">+SUM(L4:L6)</f>
        <v>3311410.25032245</v>
      </c>
      <c r="M7" s="2">
        <f t="shared" ref="M7" si="7">+SUM(M4:M6)</f>
        <v>3628135.4346815357</v>
      </c>
      <c r="N7" s="2">
        <f t="shared" ref="N7" si="8">+SUM(N4:N6)</f>
        <v>3980665.615707675</v>
      </c>
      <c r="O7" s="2">
        <f t="shared" ref="O7" si="9">+SUM(O4:O6)</f>
        <v>4373158.1251641167</v>
      </c>
      <c r="P7" s="2">
        <f t="shared" ref="P7" si="10">+SUM(P4:P6)</f>
        <v>4810266.1632531537</v>
      </c>
      <c r="Q7" s="2">
        <f t="shared" ref="Q7" si="11">+SUM(Q4:Q6)</f>
        <v>5297198.0544068618</v>
      </c>
      <c r="R7" s="2">
        <f t="shared" ref="R7" si="12">+SUM(R4:R6)</f>
        <v>5839783.6102342</v>
      </c>
    </row>
    <row r="8" spans="2:18" s="1" customFormat="1" x14ac:dyDescent="0.25">
      <c r="B8" s="1" t="s">
        <v>4</v>
      </c>
      <c r="F8" s="1">
        <v>311053</v>
      </c>
      <c r="G8" s="1">
        <v>348206</v>
      </c>
      <c r="H8" s="1">
        <v>353722</v>
      </c>
      <c r="I8" s="1">
        <f>+I7*0.18</f>
        <v>415531.99800000002</v>
      </c>
      <c r="J8" s="1">
        <f t="shared" ref="J8:R8" si="13">+J7*0.18</f>
        <v>472957.70481000002</v>
      </c>
      <c r="K8" s="1">
        <f t="shared" si="13"/>
        <v>534847.08854789997</v>
      </c>
      <c r="L8" s="1">
        <f t="shared" si="13"/>
        <v>596053.84505804093</v>
      </c>
      <c r="M8" s="1">
        <f t="shared" si="13"/>
        <v>653064.37824267638</v>
      </c>
      <c r="N8" s="1">
        <f t="shared" si="13"/>
        <v>716519.81082738144</v>
      </c>
      <c r="O8" s="1">
        <f t="shared" si="13"/>
        <v>787168.46252954099</v>
      </c>
      <c r="P8" s="1">
        <f t="shared" si="13"/>
        <v>865847.90938556765</v>
      </c>
      <c r="Q8" s="1">
        <f t="shared" si="13"/>
        <v>953495.64979323512</v>
      </c>
      <c r="R8" s="1">
        <f t="shared" si="13"/>
        <v>1051161.049842156</v>
      </c>
    </row>
    <row r="9" spans="2:18" s="1" customFormat="1" x14ac:dyDescent="0.25">
      <c r="B9" s="1" t="s">
        <v>5</v>
      </c>
      <c r="F9" s="1">
        <f>+F7-F8</f>
        <v>1202504</v>
      </c>
      <c r="G9" s="1">
        <f t="shared" ref="G9:J9" si="14">+G7-G8</f>
        <v>1369320</v>
      </c>
      <c r="H9" s="1">
        <f t="shared" si="14"/>
        <v>1637147</v>
      </c>
      <c r="I9" s="1">
        <f t="shared" si="14"/>
        <v>1892979.102</v>
      </c>
      <c r="J9" s="1">
        <f t="shared" si="14"/>
        <v>2154585.0996900001</v>
      </c>
      <c r="K9" s="1">
        <f t="shared" ref="K9" si="15">+K7-K8</f>
        <v>2436525.6256071003</v>
      </c>
      <c r="L9" s="1">
        <f t="shared" ref="L9" si="16">+L7-L8</f>
        <v>2715356.4052644093</v>
      </c>
      <c r="M9" s="1">
        <f t="shared" ref="M9" si="17">+M7-M8</f>
        <v>2975071.0564388596</v>
      </c>
      <c r="N9" s="1">
        <f t="shared" ref="N9" si="18">+N7-N8</f>
        <v>3264145.8048802936</v>
      </c>
      <c r="O9" s="1">
        <f t="shared" ref="O9" si="19">+O7-O8</f>
        <v>3585989.6626345757</v>
      </c>
      <c r="P9" s="1">
        <f t="shared" ref="P9" si="20">+P7-P8</f>
        <v>3944418.2538675861</v>
      </c>
      <c r="Q9" s="1">
        <f t="shared" ref="Q9" si="21">+Q7-Q8</f>
        <v>4343702.4046136271</v>
      </c>
      <c r="R9" s="1">
        <f t="shared" ref="R9" si="22">+R7-R8</f>
        <v>4788622.5603920445</v>
      </c>
    </row>
    <row r="10" spans="2:18" s="1" customFormat="1" x14ac:dyDescent="0.25">
      <c r="B10" s="1" t="s">
        <v>6</v>
      </c>
      <c r="F10" s="1">
        <v>159950</v>
      </c>
      <c r="G10" s="1">
        <v>171940</v>
      </c>
      <c r="H10" s="1">
        <v>188347</v>
      </c>
      <c r="I10" s="1">
        <f>+H10*(1+I27*0.666666666666667)</f>
        <v>208380.77640909576</v>
      </c>
      <c r="J10" s="1">
        <f t="shared" ref="J10:R10" si="23">+I10*(1+J27*0.666666666666667)</f>
        <v>227579.31936688567</v>
      </c>
      <c r="K10" s="1">
        <f t="shared" si="23"/>
        <v>247432.74203571328</v>
      </c>
      <c r="L10" s="1">
        <f t="shared" si="23"/>
        <v>266309.85778049385</v>
      </c>
      <c r="M10" s="1">
        <f t="shared" si="23"/>
        <v>283290.94890200935</v>
      </c>
      <c r="N10" s="1">
        <f t="shared" si="23"/>
        <v>301641.71727830218</v>
      </c>
      <c r="O10" s="1">
        <f t="shared" si="23"/>
        <v>321469.57623471005</v>
      </c>
      <c r="P10" s="1">
        <f t="shared" si="23"/>
        <v>342890.69902538514</v>
      </c>
      <c r="Q10" s="1">
        <f t="shared" si="23"/>
        <v>366030.70983683545</v>
      </c>
      <c r="R10" s="1">
        <f t="shared" si="23"/>
        <v>391025.43020369968</v>
      </c>
    </row>
    <row r="11" spans="2:18" s="1" customFormat="1" x14ac:dyDescent="0.25">
      <c r="B11" s="1" t="s">
        <v>7</v>
      </c>
      <c r="F11" s="1">
        <v>400565</v>
      </c>
      <c r="G11" s="1">
        <v>462834</v>
      </c>
      <c r="H11" s="1">
        <v>513028</v>
      </c>
      <c r="I11" s="1">
        <f>+I7*0.25</f>
        <v>577127.77500000002</v>
      </c>
      <c r="J11" s="1">
        <f t="shared" ref="J11:R11" si="24">+J7*0.25</f>
        <v>656885.70112500002</v>
      </c>
      <c r="K11" s="1">
        <f t="shared" si="24"/>
        <v>742843.17853875004</v>
      </c>
      <c r="L11" s="1">
        <f t="shared" si="24"/>
        <v>827852.56258061249</v>
      </c>
      <c r="M11" s="1">
        <f t="shared" si="24"/>
        <v>907033.85867038392</v>
      </c>
      <c r="N11" s="1">
        <f t="shared" si="24"/>
        <v>995166.40392691875</v>
      </c>
      <c r="O11" s="1">
        <f t="shared" si="24"/>
        <v>1093289.5312910292</v>
      </c>
      <c r="P11" s="1">
        <f t="shared" si="24"/>
        <v>1202566.5408132884</v>
      </c>
      <c r="Q11" s="1">
        <f t="shared" si="24"/>
        <v>1324299.5136017154</v>
      </c>
      <c r="R11" s="1">
        <f t="shared" si="24"/>
        <v>1459945.90255855</v>
      </c>
    </row>
    <row r="12" spans="2:18" s="1" customFormat="1" x14ac:dyDescent="0.25">
      <c r="B12" s="1" t="s">
        <v>8</v>
      </c>
      <c r="F12" s="1">
        <v>1100</v>
      </c>
      <c r="G12" s="1">
        <v>917</v>
      </c>
    </row>
    <row r="13" spans="2:18" s="1" customFormat="1" x14ac:dyDescent="0.25">
      <c r="B13" s="1" t="s">
        <v>9</v>
      </c>
      <c r="F13" s="1">
        <v>-1941</v>
      </c>
      <c r="H13" s="1">
        <v>10922</v>
      </c>
    </row>
    <row r="14" spans="2:18" s="2" customFormat="1" x14ac:dyDescent="0.25">
      <c r="B14" s="2" t="s">
        <v>10</v>
      </c>
      <c r="F14" s="2">
        <f>+F9-SUM(F10:F13)</f>
        <v>642830</v>
      </c>
      <c r="G14" s="2">
        <f t="shared" ref="G14:J14" si="25">+G9-SUM(G10:G13)</f>
        <v>733629</v>
      </c>
      <c r="H14" s="2">
        <f t="shared" si="25"/>
        <v>924850</v>
      </c>
      <c r="I14" s="2">
        <f t="shared" si="25"/>
        <v>1107470.5505909042</v>
      </c>
      <c r="J14" s="2">
        <f t="shared" si="25"/>
        <v>1270120.0791981143</v>
      </c>
      <c r="K14" s="2">
        <f t="shared" ref="K14" si="26">+K9-SUM(K10:K13)</f>
        <v>1446249.7050326369</v>
      </c>
      <c r="L14" s="2">
        <f t="shared" ref="L14" si="27">+L9-SUM(L10:L13)</f>
        <v>1621193.984903303</v>
      </c>
      <c r="M14" s="2">
        <f t="shared" ref="M14" si="28">+M9-SUM(M10:M13)</f>
        <v>1784746.2488664663</v>
      </c>
      <c r="N14" s="2">
        <f t="shared" ref="N14" si="29">+N9-SUM(N10:N13)</f>
        <v>1967337.6836750726</v>
      </c>
      <c r="O14" s="2">
        <f t="shared" ref="O14" si="30">+O9-SUM(O10:O13)</f>
        <v>2171230.5551088364</v>
      </c>
      <c r="P14" s="2">
        <f t="shared" ref="P14" si="31">+P9-SUM(P10:P13)</f>
        <v>2398961.0140289124</v>
      </c>
      <c r="Q14" s="2">
        <f t="shared" ref="Q14" si="32">+Q9-SUM(Q10:Q13)</f>
        <v>2653372.1811750764</v>
      </c>
      <c r="R14" s="2">
        <f t="shared" ref="R14" si="33">+R9-SUM(R10:R13)</f>
        <v>2937651.2276297947</v>
      </c>
    </row>
    <row r="15" spans="2:18" s="1" customFormat="1" x14ac:dyDescent="0.25">
      <c r="B15" s="1" t="s">
        <v>12</v>
      </c>
      <c r="F15" s="1">
        <v>95546</v>
      </c>
      <c r="G15" s="1">
        <v>105638</v>
      </c>
      <c r="H15" s="1">
        <v>133647</v>
      </c>
      <c r="I15" s="1">
        <v>150000</v>
      </c>
      <c r="J15" s="1">
        <f>+I15*1.08</f>
        <v>162000</v>
      </c>
      <c r="K15" s="1">
        <f t="shared" ref="K15:R15" si="34">+J15*1.08</f>
        <v>174960</v>
      </c>
      <c r="L15" s="1">
        <f t="shared" si="34"/>
        <v>188956.80000000002</v>
      </c>
      <c r="M15" s="1">
        <f t="shared" si="34"/>
        <v>204073.34400000004</v>
      </c>
      <c r="N15" s="1">
        <f t="shared" si="34"/>
        <v>220399.21152000007</v>
      </c>
      <c r="O15" s="1">
        <f t="shared" si="34"/>
        <v>238031.14844160009</v>
      </c>
      <c r="P15" s="1">
        <f t="shared" si="34"/>
        <v>257073.64031692813</v>
      </c>
      <c r="Q15" s="1">
        <f t="shared" si="34"/>
        <v>277639.53154228238</v>
      </c>
      <c r="R15" s="1">
        <f t="shared" si="34"/>
        <v>299850.69406566501</v>
      </c>
    </row>
    <row r="16" spans="2:18" s="1" customFormat="1" x14ac:dyDescent="0.25">
      <c r="B16" s="1" t="s">
        <v>11</v>
      </c>
      <c r="F16" s="1">
        <v>6340</v>
      </c>
      <c r="G16" s="1">
        <v>14034</v>
      </c>
      <c r="H16" s="1">
        <v>11392</v>
      </c>
      <c r="I16" s="1">
        <v>10000</v>
      </c>
      <c r="J16" s="1">
        <v>10000</v>
      </c>
      <c r="K16" s="1">
        <v>10000</v>
      </c>
      <c r="L16" s="1">
        <v>10000</v>
      </c>
      <c r="M16" s="1">
        <v>10000</v>
      </c>
      <c r="N16" s="1">
        <v>10000</v>
      </c>
      <c r="O16" s="1">
        <v>10000</v>
      </c>
      <c r="P16" s="1">
        <v>10000</v>
      </c>
      <c r="Q16" s="1">
        <v>10000</v>
      </c>
      <c r="R16" s="1">
        <v>10000</v>
      </c>
    </row>
    <row r="17" spans="2:133" s="1" customFormat="1" x14ac:dyDescent="0.25">
      <c r="B17" s="1" t="s">
        <v>13</v>
      </c>
      <c r="F17" s="1">
        <f>+F14-F15+F16</f>
        <v>553624</v>
      </c>
      <c r="G17" s="1">
        <f t="shared" ref="G17:J17" si="35">+G14-G15+G16</f>
        <v>642025</v>
      </c>
      <c r="H17" s="1">
        <f t="shared" si="35"/>
        <v>802595</v>
      </c>
      <c r="I17" s="1">
        <f t="shared" si="35"/>
        <v>967470.5505909042</v>
      </c>
      <c r="J17" s="1">
        <f t="shared" si="35"/>
        <v>1118120.0791981143</v>
      </c>
      <c r="K17" s="1">
        <f t="shared" ref="K17" si="36">+K14-K15+K16</f>
        <v>1281289.7050326369</v>
      </c>
      <c r="L17" s="1">
        <f t="shared" ref="L17" si="37">+L14-L15+L16</f>
        <v>1442237.1849033029</v>
      </c>
      <c r="M17" s="1">
        <f t="shared" ref="M17" si="38">+M14-M15+M16</f>
        <v>1590672.9048664663</v>
      </c>
      <c r="N17" s="1">
        <f t="shared" ref="N17" si="39">+N14-N15+N16</f>
        <v>1756938.4721550725</v>
      </c>
      <c r="O17" s="1">
        <f t="shared" ref="O17" si="40">+O14-O15+O16</f>
        <v>1943199.4066672362</v>
      </c>
      <c r="P17" s="1">
        <f t="shared" ref="P17" si="41">+P14-P15+P16</f>
        <v>2151887.3737119841</v>
      </c>
      <c r="Q17" s="1">
        <f t="shared" ref="Q17" si="42">+Q14-Q15+Q16</f>
        <v>2385732.6496327939</v>
      </c>
      <c r="R17" s="1">
        <f t="shared" ref="R17" si="43">+R14-R15+R16</f>
        <v>2647800.5335641298</v>
      </c>
    </row>
    <row r="18" spans="2:133" s="1" customFormat="1" x14ac:dyDescent="0.25">
      <c r="B18" s="1" t="s">
        <v>14</v>
      </c>
      <c r="F18" s="1">
        <v>124249</v>
      </c>
      <c r="G18" s="1">
        <v>129214</v>
      </c>
      <c r="H18" s="1">
        <v>150649</v>
      </c>
      <c r="I18" s="1">
        <f>+I17*0.2</f>
        <v>193494.11011818086</v>
      </c>
      <c r="J18" s="1">
        <f t="shared" ref="J18:R18" si="44">+J17*0.2</f>
        <v>223624.01583962288</v>
      </c>
      <c r="K18" s="1">
        <f t="shared" si="44"/>
        <v>256257.9410065274</v>
      </c>
      <c r="L18" s="1">
        <f t="shared" si="44"/>
        <v>288447.4369806606</v>
      </c>
      <c r="M18" s="1">
        <f t="shared" si="44"/>
        <v>318134.58097329328</v>
      </c>
      <c r="N18" s="1">
        <f t="shared" si="44"/>
        <v>351387.69443101453</v>
      </c>
      <c r="O18" s="1">
        <f t="shared" si="44"/>
        <v>388639.88133344729</v>
      </c>
      <c r="P18" s="1">
        <f t="shared" si="44"/>
        <v>430377.47474239685</v>
      </c>
      <c r="Q18" s="1">
        <f t="shared" si="44"/>
        <v>477146.52992655878</v>
      </c>
      <c r="R18" s="1">
        <f t="shared" si="44"/>
        <v>529560.10671282595</v>
      </c>
    </row>
    <row r="19" spans="2:133" s="2" customFormat="1" x14ac:dyDescent="0.25">
      <c r="B19" s="2" t="s">
        <v>15</v>
      </c>
      <c r="F19" s="2">
        <f>+F17-F18</f>
        <v>429375</v>
      </c>
      <c r="G19" s="2">
        <f t="shared" ref="G19:J19" si="45">+G17-G18</f>
        <v>512811</v>
      </c>
      <c r="H19" s="2">
        <f t="shared" si="45"/>
        <v>651946</v>
      </c>
      <c r="I19" s="2">
        <f t="shared" si="45"/>
        <v>773976.44047272333</v>
      </c>
      <c r="J19" s="2">
        <f t="shared" si="45"/>
        <v>894496.06335849152</v>
      </c>
      <c r="K19" s="2">
        <f t="shared" ref="K19" si="46">+K17-K18</f>
        <v>1025031.7640261095</v>
      </c>
      <c r="L19" s="2">
        <f t="shared" ref="L19" si="47">+L17-L18</f>
        <v>1153789.7479226424</v>
      </c>
      <c r="M19" s="2">
        <f t="shared" ref="M19" si="48">+M17-M18</f>
        <v>1272538.3238931731</v>
      </c>
      <c r="N19" s="2">
        <f t="shared" ref="N19" si="49">+N17-N18</f>
        <v>1405550.7777240579</v>
      </c>
      <c r="O19" s="2">
        <f t="shared" ref="O19" si="50">+O17-O18</f>
        <v>1554559.5253337889</v>
      </c>
      <c r="P19" s="2">
        <f t="shared" ref="P19" si="51">+P17-P18</f>
        <v>1721509.8989695874</v>
      </c>
      <c r="Q19" s="2">
        <f t="shared" ref="Q19" si="52">+Q17-Q18</f>
        <v>1908586.1197062351</v>
      </c>
      <c r="R19" s="2">
        <f t="shared" ref="R19" si="53">+R17-R18</f>
        <v>2118240.4268513038</v>
      </c>
      <c r="S19" s="2">
        <f>+R19*(1+$U$24)</f>
        <v>2202970.0439253561</v>
      </c>
      <c r="T19" s="2">
        <f t="shared" ref="T19:CE19" si="54">+S19*(1+$U$24)</f>
        <v>2291088.8456823705</v>
      </c>
      <c r="U19" s="2">
        <f t="shared" si="54"/>
        <v>2382732.3995096656</v>
      </c>
      <c r="V19" s="2">
        <f t="shared" si="54"/>
        <v>2478041.6954900525</v>
      </c>
      <c r="W19" s="2">
        <f t="shared" si="54"/>
        <v>2577163.3633096549</v>
      </c>
      <c r="X19" s="2">
        <f t="shared" si="54"/>
        <v>2680249.8978420412</v>
      </c>
      <c r="Y19" s="2">
        <f t="shared" si="54"/>
        <v>2787459.8937557228</v>
      </c>
      <c r="Z19" s="2">
        <f t="shared" si="54"/>
        <v>2898958.2895059516</v>
      </c>
      <c r="AA19" s="2">
        <f t="shared" si="54"/>
        <v>3014916.6210861895</v>
      </c>
      <c r="AB19" s="2">
        <f t="shared" si="54"/>
        <v>3135513.285929637</v>
      </c>
      <c r="AC19" s="2">
        <f t="shared" si="54"/>
        <v>3260933.8173668226</v>
      </c>
      <c r="AD19" s="2">
        <f t="shared" si="54"/>
        <v>3391371.1700614956</v>
      </c>
      <c r="AE19" s="2">
        <f t="shared" si="54"/>
        <v>3527026.0168639557</v>
      </c>
      <c r="AF19" s="2">
        <f t="shared" si="54"/>
        <v>3668107.057538514</v>
      </c>
      <c r="AG19" s="2">
        <f t="shared" si="54"/>
        <v>3814831.3398400545</v>
      </c>
      <c r="AH19" s="2">
        <f t="shared" si="54"/>
        <v>3967424.5934336567</v>
      </c>
      <c r="AI19" s="2">
        <f t="shared" si="54"/>
        <v>4126121.577171003</v>
      </c>
      <c r="AJ19" s="2">
        <f t="shared" si="54"/>
        <v>4291166.4402578436</v>
      </c>
      <c r="AK19" s="2">
        <f t="shared" si="54"/>
        <v>4462813.0978681576</v>
      </c>
      <c r="AL19" s="2">
        <f t="shared" si="54"/>
        <v>4641325.621782884</v>
      </c>
      <c r="AM19" s="2">
        <f t="shared" si="54"/>
        <v>4826978.6466541998</v>
      </c>
      <c r="AN19" s="2">
        <f t="shared" si="54"/>
        <v>5020057.7925203675</v>
      </c>
      <c r="AO19" s="2">
        <f t="shared" si="54"/>
        <v>5220860.1042211829</v>
      </c>
      <c r="AP19" s="2">
        <f t="shared" si="54"/>
        <v>5429694.5083900308</v>
      </c>
      <c r="AQ19" s="2">
        <f t="shared" si="54"/>
        <v>5646882.2887256322</v>
      </c>
      <c r="AR19" s="2">
        <f t="shared" si="54"/>
        <v>5872757.5802746573</v>
      </c>
      <c r="AS19" s="2">
        <f t="shared" si="54"/>
        <v>6107667.8834856441</v>
      </c>
      <c r="AT19" s="2">
        <f t="shared" si="54"/>
        <v>6351974.5988250701</v>
      </c>
      <c r="AU19" s="2">
        <f t="shared" si="54"/>
        <v>6606053.5827780729</v>
      </c>
      <c r="AV19" s="2">
        <f t="shared" si="54"/>
        <v>6870295.7260891963</v>
      </c>
      <c r="AW19" s="2">
        <f t="shared" si="54"/>
        <v>7145107.5551327644</v>
      </c>
      <c r="AX19" s="2">
        <f t="shared" si="54"/>
        <v>7430911.8573380755</v>
      </c>
      <c r="AY19" s="2">
        <f t="shared" si="54"/>
        <v>7728148.331631599</v>
      </c>
      <c r="AZ19" s="2">
        <f t="shared" si="54"/>
        <v>8037274.2648968631</v>
      </c>
      <c r="BA19" s="2">
        <f t="shared" si="54"/>
        <v>8358765.235492738</v>
      </c>
      <c r="BB19" s="2">
        <f t="shared" si="54"/>
        <v>8693115.844912447</v>
      </c>
      <c r="BC19" s="2">
        <f t="shared" si="54"/>
        <v>9040840.4787089452</v>
      </c>
      <c r="BD19" s="2">
        <f t="shared" si="54"/>
        <v>9402474.0978573039</v>
      </c>
      <c r="BE19" s="2">
        <f t="shared" si="54"/>
        <v>9778573.0617715959</v>
      </c>
      <c r="BF19" s="2">
        <f t="shared" si="54"/>
        <v>10169715.98424246</v>
      </c>
      <c r="BG19" s="2">
        <f t="shared" si="54"/>
        <v>10576504.623612158</v>
      </c>
      <c r="BH19" s="2">
        <f t="shared" si="54"/>
        <v>10999564.808556644</v>
      </c>
      <c r="BI19" s="2">
        <f t="shared" si="54"/>
        <v>11439547.400898911</v>
      </c>
      <c r="BJ19" s="2">
        <f t="shared" si="54"/>
        <v>11897129.296934867</v>
      </c>
      <c r="BK19" s="2">
        <f t="shared" si="54"/>
        <v>12373014.468812263</v>
      </c>
      <c r="BL19" s="2">
        <f t="shared" si="54"/>
        <v>12867935.047564754</v>
      </c>
      <c r="BM19" s="2">
        <f t="shared" si="54"/>
        <v>13382652.449467344</v>
      </c>
      <c r="BN19" s="2">
        <f t="shared" si="54"/>
        <v>13917958.547446039</v>
      </c>
      <c r="BO19" s="2">
        <f t="shared" si="54"/>
        <v>14474676.88934388</v>
      </c>
      <c r="BP19" s="2">
        <f t="shared" si="54"/>
        <v>15053663.964917636</v>
      </c>
      <c r="BQ19" s="2">
        <f t="shared" si="54"/>
        <v>15655810.523514342</v>
      </c>
      <c r="BR19" s="2">
        <f t="shared" si="54"/>
        <v>16282042.944454916</v>
      </c>
      <c r="BS19" s="2">
        <f t="shared" si="54"/>
        <v>16933324.662233114</v>
      </c>
      <c r="BT19" s="2">
        <f t="shared" si="54"/>
        <v>17610657.64872244</v>
      </c>
      <c r="BU19" s="2">
        <f t="shared" si="54"/>
        <v>18315083.954671338</v>
      </c>
      <c r="BV19" s="2">
        <f t="shared" si="54"/>
        <v>19047687.312858194</v>
      </c>
      <c r="BW19" s="2">
        <f t="shared" si="54"/>
        <v>19809594.805372521</v>
      </c>
      <c r="BX19" s="2">
        <f t="shared" si="54"/>
        <v>20601978.597587422</v>
      </c>
      <c r="BY19" s="2">
        <f t="shared" si="54"/>
        <v>21426057.741490919</v>
      </c>
      <c r="BZ19" s="2">
        <f t="shared" si="54"/>
        <v>22283100.051150557</v>
      </c>
      <c r="CA19" s="2">
        <f t="shared" si="54"/>
        <v>23174424.053196579</v>
      </c>
      <c r="CB19" s="2">
        <f t="shared" si="54"/>
        <v>24101401.015324444</v>
      </c>
      <c r="CC19" s="2">
        <f t="shared" si="54"/>
        <v>25065457.055937421</v>
      </c>
      <c r="CD19" s="2">
        <f t="shared" si="54"/>
        <v>26068075.338174917</v>
      </c>
      <c r="CE19" s="2">
        <f t="shared" si="54"/>
        <v>27110798.351701915</v>
      </c>
      <c r="CF19" s="2">
        <f t="shared" ref="CF19:EC19" si="55">+CE19*(1+$U$24)</f>
        <v>28195230.285769992</v>
      </c>
      <c r="CG19" s="2">
        <f t="shared" si="55"/>
        <v>29323039.497200791</v>
      </c>
      <c r="CH19" s="2">
        <f t="shared" si="55"/>
        <v>30495961.077088822</v>
      </c>
      <c r="CI19" s="2">
        <f t="shared" si="55"/>
        <v>31715799.520172376</v>
      </c>
      <c r="CJ19" s="2">
        <f t="shared" si="55"/>
        <v>32984431.500979271</v>
      </c>
      <c r="CK19" s="2">
        <f t="shared" si="55"/>
        <v>34303808.76101844</v>
      </c>
      <c r="CL19" s="2">
        <f t="shared" si="55"/>
        <v>35675961.111459181</v>
      </c>
      <c r="CM19" s="2">
        <f t="shared" si="55"/>
        <v>37102999.555917546</v>
      </c>
      <c r="CN19" s="2">
        <f t="shared" si="55"/>
        <v>38587119.538154252</v>
      </c>
      <c r="CO19" s="2">
        <f t="shared" si="55"/>
        <v>40130604.319680423</v>
      </c>
      <c r="CP19" s="2">
        <f t="shared" si="55"/>
        <v>41735828.492467642</v>
      </c>
      <c r="CQ19" s="2">
        <f t="shared" si="55"/>
        <v>43405261.632166348</v>
      </c>
      <c r="CR19" s="2">
        <f t="shared" si="55"/>
        <v>45141472.097453006</v>
      </c>
      <c r="CS19" s="2">
        <f t="shared" si="55"/>
        <v>46947130.98135113</v>
      </c>
      <c r="CT19" s="2">
        <f t="shared" si="55"/>
        <v>48825016.22060518</v>
      </c>
      <c r="CU19" s="2">
        <f t="shared" si="55"/>
        <v>50778016.869429387</v>
      </c>
      <c r="CV19" s="2">
        <f t="shared" si="55"/>
        <v>52809137.544206567</v>
      </c>
      <c r="CW19" s="2">
        <f t="shared" si="55"/>
        <v>54921503.045974828</v>
      </c>
      <c r="CX19" s="2">
        <f t="shared" si="55"/>
        <v>57118363.167813823</v>
      </c>
      <c r="CY19" s="2">
        <f t="shared" si="55"/>
        <v>59403097.694526374</v>
      </c>
      <c r="CZ19" s="2">
        <f t="shared" si="55"/>
        <v>61779221.602307431</v>
      </c>
      <c r="DA19" s="2">
        <f t="shared" si="55"/>
        <v>64250390.466399729</v>
      </c>
      <c r="DB19" s="2">
        <f t="shared" si="55"/>
        <v>66820406.085055724</v>
      </c>
      <c r="DC19" s="2">
        <f t="shared" si="55"/>
        <v>69493222.328457952</v>
      </c>
      <c r="DD19" s="2">
        <f t="shared" si="55"/>
        <v>72272951.221596271</v>
      </c>
      <c r="DE19" s="2">
        <f t="shared" si="55"/>
        <v>75163869.270460129</v>
      </c>
      <c r="DF19" s="2">
        <f t="shared" si="55"/>
        <v>78170424.041278541</v>
      </c>
      <c r="DG19" s="2">
        <f t="shared" si="55"/>
        <v>81297241.002929688</v>
      </c>
      <c r="DH19" s="2">
        <f t="shared" si="55"/>
        <v>84549130.643046871</v>
      </c>
      <c r="DI19" s="2">
        <f t="shared" si="55"/>
        <v>87931095.868768752</v>
      </c>
      <c r="DJ19" s="2">
        <f t="shared" si="55"/>
        <v>91448339.703519508</v>
      </c>
      <c r="DK19" s="2">
        <f t="shared" si="55"/>
        <v>95106273.291660294</v>
      </c>
      <c r="DL19" s="2">
        <f t="shared" si="55"/>
        <v>98910524.223326713</v>
      </c>
      <c r="DM19" s="2">
        <f t="shared" si="55"/>
        <v>102866945.19225979</v>
      </c>
      <c r="DN19" s="2">
        <f t="shared" si="55"/>
        <v>106981622.99995019</v>
      </c>
      <c r="DO19" s="2">
        <f t="shared" si="55"/>
        <v>111260887.91994819</v>
      </c>
      <c r="DP19" s="2">
        <f t="shared" si="55"/>
        <v>115711323.43674612</v>
      </c>
      <c r="DQ19" s="2">
        <f t="shared" si="55"/>
        <v>120339776.37421598</v>
      </c>
      <c r="DR19" s="2">
        <f t="shared" si="55"/>
        <v>125153367.42918462</v>
      </c>
      <c r="DS19" s="2">
        <f t="shared" si="55"/>
        <v>130159502.126352</v>
      </c>
      <c r="DT19" s="2">
        <f t="shared" si="55"/>
        <v>135365882.21140608</v>
      </c>
      <c r="DU19" s="2">
        <f t="shared" si="55"/>
        <v>140780517.49986234</v>
      </c>
      <c r="DV19" s="2">
        <f t="shared" si="55"/>
        <v>146411738.19985685</v>
      </c>
      <c r="DW19" s="2">
        <f t="shared" si="55"/>
        <v>152268207.72785112</v>
      </c>
      <c r="DX19" s="2">
        <f t="shared" si="55"/>
        <v>158358936.03696516</v>
      </c>
      <c r="DY19" s="2">
        <f t="shared" si="55"/>
        <v>164693293.47844377</v>
      </c>
      <c r="DZ19" s="2">
        <f t="shared" si="55"/>
        <v>171281025.21758154</v>
      </c>
      <c r="EA19" s="2">
        <f t="shared" si="55"/>
        <v>178132266.2262848</v>
      </c>
      <c r="EB19" s="2">
        <f t="shared" si="55"/>
        <v>185257556.8753362</v>
      </c>
      <c r="EC19" s="2">
        <f t="shared" si="55"/>
        <v>192667859.15034965</v>
      </c>
    </row>
    <row r="20" spans="2:133" s="3" customFormat="1" x14ac:dyDescent="0.25">
      <c r="B20" s="3" t="s">
        <v>16</v>
      </c>
      <c r="F20" s="3">
        <f>+F19/F21</f>
        <v>16.926518705404661</v>
      </c>
      <c r="G20" s="3">
        <f>+G19/G21</f>
        <v>20.447824873400055</v>
      </c>
      <c r="H20" s="3">
        <f>+H19/H21</f>
        <v>26.543951793493751</v>
      </c>
      <c r="I20" s="3">
        <f>+I19/I21</f>
        <v>31.512415637503494</v>
      </c>
      <c r="J20" s="3">
        <f t="shared" ref="J20:R20" si="56">+J19/J21</f>
        <v>36.419366612047213</v>
      </c>
      <c r="K20" s="3">
        <f t="shared" si="56"/>
        <v>41.734121738777311</v>
      </c>
      <c r="L20" s="3">
        <f t="shared" si="56"/>
        <v>46.976497207876001</v>
      </c>
      <c r="M20" s="3">
        <f t="shared" si="56"/>
        <v>51.811340087666345</v>
      </c>
      <c r="N20" s="3">
        <f t="shared" si="56"/>
        <v>57.226936107001258</v>
      </c>
      <c r="O20" s="3">
        <f t="shared" si="56"/>
        <v>63.293820501355356</v>
      </c>
      <c r="P20" s="3">
        <f t="shared" si="56"/>
        <v>70.091197384861673</v>
      </c>
      <c r="Q20" s="3">
        <f t="shared" si="56"/>
        <v>77.707997219422467</v>
      </c>
      <c r="R20" s="3">
        <f t="shared" si="56"/>
        <v>86.244062817120792</v>
      </c>
    </row>
    <row r="21" spans="2:133" s="1" customFormat="1" x14ac:dyDescent="0.25">
      <c r="B21" s="1" t="s">
        <v>17</v>
      </c>
      <c r="F21" s="1">
        <v>25367</v>
      </c>
      <c r="G21" s="1">
        <v>25079</v>
      </c>
      <c r="H21" s="1">
        <v>24561</v>
      </c>
      <c r="I21" s="1">
        <f>+H21+0</f>
        <v>24561</v>
      </c>
      <c r="J21" s="1">
        <f t="shared" ref="J21:R21" si="57">+I21+0</f>
        <v>24561</v>
      </c>
      <c r="K21" s="1">
        <f t="shared" si="57"/>
        <v>24561</v>
      </c>
      <c r="L21" s="1">
        <f t="shared" si="57"/>
        <v>24561</v>
      </c>
      <c r="M21" s="1">
        <f t="shared" si="57"/>
        <v>24561</v>
      </c>
      <c r="N21" s="1">
        <f t="shared" si="57"/>
        <v>24561</v>
      </c>
      <c r="O21" s="1">
        <f t="shared" si="57"/>
        <v>24561</v>
      </c>
      <c r="P21" s="1">
        <f t="shared" si="57"/>
        <v>24561</v>
      </c>
      <c r="Q21" s="1">
        <f t="shared" si="57"/>
        <v>24561</v>
      </c>
      <c r="R21" s="1">
        <f t="shared" si="57"/>
        <v>24561</v>
      </c>
    </row>
    <row r="22" spans="2:133" s="1" customFormat="1" x14ac:dyDescent="0.25">
      <c r="F22" s="3"/>
      <c r="G22" s="3"/>
      <c r="H22" s="3"/>
    </row>
    <row r="23" spans="2:133" s="4" customFormat="1" x14ac:dyDescent="0.25">
      <c r="B23" s="4" t="s">
        <v>5</v>
      </c>
      <c r="F23" s="4">
        <f>+F9/F7</f>
        <v>0.79448874406447856</v>
      </c>
      <c r="G23" s="4">
        <f>+G9/G7</f>
        <v>0.79726303997726966</v>
      </c>
      <c r="H23" s="4">
        <f>+H9/H7</f>
        <v>0.82232783774321661</v>
      </c>
      <c r="I23" s="4">
        <f>+I9/I7</f>
        <v>0.82</v>
      </c>
      <c r="J23" s="4">
        <f t="shared" ref="J23:R23" si="58">+J9/J7</f>
        <v>0.82</v>
      </c>
      <c r="K23" s="4">
        <f t="shared" si="58"/>
        <v>0.82000000000000006</v>
      </c>
      <c r="L23" s="4">
        <f t="shared" si="58"/>
        <v>0.82000000000000006</v>
      </c>
      <c r="M23" s="4">
        <f t="shared" si="58"/>
        <v>0.82000000000000006</v>
      </c>
      <c r="N23" s="4">
        <f t="shared" si="58"/>
        <v>0.82000000000000006</v>
      </c>
      <c r="O23" s="4">
        <f t="shared" si="58"/>
        <v>0.82</v>
      </c>
      <c r="P23" s="4">
        <f t="shared" si="58"/>
        <v>0.82000000000000006</v>
      </c>
      <c r="Q23" s="4">
        <f t="shared" si="58"/>
        <v>0.82000000000000006</v>
      </c>
      <c r="R23" s="4">
        <f t="shared" si="58"/>
        <v>0.82000000000000006</v>
      </c>
      <c r="T23" s="4" t="s">
        <v>35</v>
      </c>
      <c r="U23" s="4">
        <v>0.1</v>
      </c>
    </row>
    <row r="24" spans="2:133" s="4" customFormat="1" x14ac:dyDescent="0.25">
      <c r="B24" s="4" t="s">
        <v>18</v>
      </c>
      <c r="F24" s="4">
        <f>+F14/F7</f>
        <v>0.4247147613205185</v>
      </c>
      <c r="G24" s="4">
        <f>+G14/G7</f>
        <v>0.42714287876864748</v>
      </c>
      <c r="H24" s="4">
        <f>+H14/H7</f>
        <v>0.46454588423447246</v>
      </c>
      <c r="I24" s="4">
        <f>+I14/I7</f>
        <v>0.47973369094517421</v>
      </c>
      <c r="J24" s="4">
        <f t="shared" ref="J24:R24" si="59">+J14/J7</f>
        <v>0.48338701733911726</v>
      </c>
      <c r="K24" s="4">
        <f t="shared" si="59"/>
        <v>0.48672780030017937</v>
      </c>
      <c r="L24" s="4">
        <f t="shared" si="59"/>
        <v>0.48957811396079315</v>
      </c>
      <c r="M24" s="4">
        <f t="shared" si="59"/>
        <v>0.49191830927974295</v>
      </c>
      <c r="N24" s="4">
        <f t="shared" si="59"/>
        <v>0.49422329670494647</v>
      </c>
      <c r="O24" s="4">
        <f t="shared" si="59"/>
        <v>0.4964902921335263</v>
      </c>
      <c r="P24" s="4">
        <f t="shared" si="59"/>
        <v>0.4987168968642911</v>
      </c>
      <c r="Q24" s="4">
        <f t="shared" si="59"/>
        <v>0.50090107145751794</v>
      </c>
      <c r="R24" s="4">
        <f t="shared" si="59"/>
        <v>0.50304110968796367</v>
      </c>
      <c r="T24" s="4" t="s">
        <v>36</v>
      </c>
      <c r="U24" s="4">
        <v>0.04</v>
      </c>
    </row>
    <row r="25" spans="2:133" s="4" customFormat="1" x14ac:dyDescent="0.25">
      <c r="B25" s="4" t="s">
        <v>19</v>
      </c>
      <c r="F25" s="4">
        <f>+F19/F7</f>
        <v>0.28368604552058496</v>
      </c>
      <c r="G25" s="4">
        <f>+G19/G7</f>
        <v>0.29857539274514622</v>
      </c>
      <c r="H25" s="4">
        <f>+H19/H7</f>
        <v>0.3274680554069605</v>
      </c>
      <c r="I25" s="4">
        <f>+I19/I7</f>
        <v>0.33527083342710517</v>
      </c>
      <c r="J25" s="4">
        <f t="shared" ref="J25:R25" si="60">+J19/J7</f>
        <v>0.34043063421328612</v>
      </c>
      <c r="K25" s="4">
        <f t="shared" si="60"/>
        <v>0.34496909766421152</v>
      </c>
      <c r="L25" s="4">
        <f t="shared" si="60"/>
        <v>0.34842851253791091</v>
      </c>
      <c r="M25" s="4">
        <f t="shared" si="60"/>
        <v>0.35074168172690384</v>
      </c>
      <c r="N25" s="4">
        <f t="shared" si="60"/>
        <v>0.35309441018551413</v>
      </c>
      <c r="O25" s="4">
        <f t="shared" si="60"/>
        <v>0.35547754753904515</v>
      </c>
      <c r="P25" s="4">
        <f t="shared" si="60"/>
        <v>0.35788246233038812</v>
      </c>
      <c r="Q25" s="4">
        <f t="shared" si="60"/>
        <v>0.36030106862220079</v>
      </c>
      <c r="R25" s="4">
        <f t="shared" si="60"/>
        <v>0.36272584195398866</v>
      </c>
      <c r="T25" s="4" t="s">
        <v>37</v>
      </c>
      <c r="U25" s="1">
        <f>NPV(U23,I33:EJ33)</f>
        <v>25069932.677893072</v>
      </c>
    </row>
    <row r="26" spans="2:133" s="1" customFormat="1" x14ac:dyDescent="0.25">
      <c r="T26" s="1" t="s">
        <v>28</v>
      </c>
      <c r="U26" s="1">
        <f>+Sheet2!D7</f>
        <v>-2921555</v>
      </c>
    </row>
    <row r="27" spans="2:133" s="4" customFormat="1" x14ac:dyDescent="0.25">
      <c r="B27" s="4" t="s">
        <v>31</v>
      </c>
      <c r="G27" s="4">
        <f>+G7/F7 -1</f>
        <v>0.13476136016020535</v>
      </c>
      <c r="H27" s="4">
        <f>+H7/G7 -1</f>
        <v>0.15914926469817625</v>
      </c>
      <c r="I27" s="4">
        <f>+I7/H7 -1</f>
        <v>0.15954947311952727</v>
      </c>
      <c r="J27" s="4">
        <f t="shared" ref="J27:R27" si="61">+J7/I7 -1</f>
        <v>0.13819803790417118</v>
      </c>
      <c r="K27" s="4">
        <f t="shared" si="61"/>
        <v>0.13085606410146688</v>
      </c>
      <c r="L27" s="4">
        <f t="shared" si="61"/>
        <v>0.1144378605038614</v>
      </c>
      <c r="M27" s="4">
        <f t="shared" si="61"/>
        <v>9.5646615917869049E-2</v>
      </c>
      <c r="N27" s="4">
        <f t="shared" si="61"/>
        <v>9.71656619144603E-2</v>
      </c>
      <c r="O27" s="4">
        <f t="shared" si="61"/>
        <v>9.8599718576629414E-2</v>
      </c>
      <c r="P27" s="4">
        <f t="shared" si="61"/>
        <v>9.9952488700058906E-2</v>
      </c>
      <c r="Q27" s="4">
        <f t="shared" si="61"/>
        <v>0.10122763993258932</v>
      </c>
      <c r="R27" s="4">
        <f t="shared" si="61"/>
        <v>0.10242878409576339</v>
      </c>
      <c r="T27" s="4" t="s">
        <v>38</v>
      </c>
      <c r="U27" s="1">
        <f>+U25+U26</f>
        <v>22148377.677893072</v>
      </c>
    </row>
    <row r="28" spans="2:133" s="4" customFormat="1" x14ac:dyDescent="0.25">
      <c r="B28" s="4" t="s">
        <v>32</v>
      </c>
      <c r="G28" s="4">
        <f>+G4/F4 -1</f>
        <v>0.11115276593218804</v>
      </c>
      <c r="H28" s="4">
        <f>+H4/G4 -1</f>
        <v>4.0493997244636981E-2</v>
      </c>
      <c r="I28" s="4">
        <f>+I4/H4 -1</f>
        <v>4.0000000000000036E-2</v>
      </c>
      <c r="J28" s="4">
        <f t="shared" ref="J28:R28" si="62">+J4/I4 -1</f>
        <v>4.0000000000000036E-2</v>
      </c>
      <c r="K28" s="4">
        <f t="shared" si="62"/>
        <v>4.0000000000000036E-2</v>
      </c>
      <c r="L28" s="4">
        <f t="shared" si="62"/>
        <v>4.0000000000000036E-2</v>
      </c>
      <c r="M28" s="4">
        <f t="shared" si="62"/>
        <v>4.0000000000000036E-2</v>
      </c>
      <c r="N28" s="4">
        <f t="shared" si="62"/>
        <v>4.0000000000000036E-2</v>
      </c>
      <c r="O28" s="4">
        <f t="shared" si="62"/>
        <v>4.0000000000000036E-2</v>
      </c>
      <c r="P28" s="4">
        <f t="shared" si="62"/>
        <v>4.0000000000000036E-2</v>
      </c>
      <c r="Q28" s="4">
        <f t="shared" si="62"/>
        <v>4.0000000000000036E-2</v>
      </c>
      <c r="R28" s="4">
        <f t="shared" si="62"/>
        <v>4.0000000000000036E-2</v>
      </c>
      <c r="T28" s="4" t="s">
        <v>26</v>
      </c>
      <c r="U28" s="1">
        <f>+U27/R21</f>
        <v>901.7701916816527</v>
      </c>
    </row>
    <row r="29" spans="2:133" s="4" customFormat="1" x14ac:dyDescent="0.25">
      <c r="B29" s="4" t="s">
        <v>33</v>
      </c>
      <c r="G29" s="4">
        <f>+G6/F6 -1</f>
        <v>0.1884423928831731</v>
      </c>
      <c r="H29" s="4">
        <f>+H6/G6 -1</f>
        <v>0.27067362583591592</v>
      </c>
      <c r="I29" s="4">
        <f>+I6/H6 -1</f>
        <v>0.25</v>
      </c>
      <c r="J29" s="4">
        <f t="shared" ref="J29:R29" si="63">+J6/I6 -1</f>
        <v>0.19999999999999996</v>
      </c>
      <c r="K29" s="4">
        <f t="shared" si="63"/>
        <v>0.17999999999999994</v>
      </c>
      <c r="L29" s="4">
        <f t="shared" si="63"/>
        <v>0.14999999999999991</v>
      </c>
      <c r="M29" s="4">
        <f t="shared" si="63"/>
        <v>0.12000000000000011</v>
      </c>
      <c r="N29" s="4">
        <f t="shared" si="63"/>
        <v>0.12000000000000011</v>
      </c>
      <c r="O29" s="4">
        <f t="shared" si="63"/>
        <v>0.12000000000000011</v>
      </c>
      <c r="P29" s="4">
        <f t="shared" si="63"/>
        <v>0.12000000000000011</v>
      </c>
      <c r="Q29" s="4">
        <f t="shared" si="63"/>
        <v>0.12000000000000011</v>
      </c>
      <c r="R29" s="4">
        <f t="shared" si="63"/>
        <v>0.12000000000000011</v>
      </c>
      <c r="T29" s="4" t="s">
        <v>39</v>
      </c>
      <c r="U29" s="4">
        <f>+U28/Sheet2!D4 -1</f>
        <v>-0.32502231161552941</v>
      </c>
    </row>
    <row r="30" spans="2:133" s="1" customFormat="1" x14ac:dyDescent="0.25"/>
    <row r="31" spans="2:133" s="1" customFormat="1" x14ac:dyDescent="0.25">
      <c r="B31" s="1" t="s">
        <v>20</v>
      </c>
      <c r="F31" s="1">
        <v>468915</v>
      </c>
      <c r="G31" s="1">
        <v>632964</v>
      </c>
      <c r="H31" s="1">
        <v>778807</v>
      </c>
      <c r="I31" s="1">
        <f>+I19+I15</f>
        <v>923976.44047272333</v>
      </c>
      <c r="J31" s="1">
        <f t="shared" ref="J31:R31" si="64">+J19+J15</f>
        <v>1056496.0633584915</v>
      </c>
      <c r="K31" s="1">
        <f t="shared" si="64"/>
        <v>1199991.7640261096</v>
      </c>
      <c r="L31" s="1">
        <f t="shared" si="64"/>
        <v>1342746.5479226424</v>
      </c>
      <c r="M31" s="1">
        <f t="shared" si="64"/>
        <v>1476611.6678931732</v>
      </c>
      <c r="N31" s="1">
        <f t="shared" si="64"/>
        <v>1625949.989244058</v>
      </c>
      <c r="O31" s="1">
        <f t="shared" si="64"/>
        <v>1792590.6737753891</v>
      </c>
      <c r="P31" s="1">
        <f t="shared" si="64"/>
        <v>1978583.5392865154</v>
      </c>
      <c r="Q31" s="1">
        <f t="shared" si="64"/>
        <v>2186225.6512485174</v>
      </c>
      <c r="R31" s="1">
        <f t="shared" si="64"/>
        <v>2418091.1209169687</v>
      </c>
    </row>
    <row r="32" spans="2:133" s="1" customFormat="1" x14ac:dyDescent="0.25">
      <c r="B32" s="1" t="s">
        <v>21</v>
      </c>
      <c r="F32" s="1">
        <v>4237</v>
      </c>
      <c r="G32" s="1">
        <v>8884</v>
      </c>
      <c r="H32" s="1">
        <v>8922</v>
      </c>
      <c r="I32" s="1">
        <f>+H32*1.02</f>
        <v>9100.44</v>
      </c>
      <c r="J32" s="1">
        <f t="shared" ref="J32:R32" si="65">+I32*1.02</f>
        <v>9282.4488000000001</v>
      </c>
      <c r="K32" s="1">
        <f t="shared" si="65"/>
        <v>9468.0977760000005</v>
      </c>
      <c r="L32" s="1">
        <f t="shared" si="65"/>
        <v>9657.4597315200008</v>
      </c>
      <c r="M32" s="1">
        <f t="shared" si="65"/>
        <v>9850.6089261504003</v>
      </c>
      <c r="N32" s="1">
        <f t="shared" si="65"/>
        <v>10047.621104673408</v>
      </c>
      <c r="O32" s="1">
        <f t="shared" si="65"/>
        <v>10248.573526766877</v>
      </c>
      <c r="P32" s="1">
        <f t="shared" si="65"/>
        <v>10453.544997302215</v>
      </c>
      <c r="Q32" s="1">
        <f t="shared" si="65"/>
        <v>10662.615897248259</v>
      </c>
      <c r="R32" s="1">
        <f t="shared" si="65"/>
        <v>10875.868215193224</v>
      </c>
    </row>
    <row r="33" spans="2:133" s="1" customFormat="1" x14ac:dyDescent="0.25">
      <c r="B33" s="1" t="s">
        <v>40</v>
      </c>
      <c r="F33" s="1">
        <f>+F31-F32</f>
        <v>464678</v>
      </c>
      <c r="G33" s="1">
        <f>+G31-G32</f>
        <v>624080</v>
      </c>
      <c r="H33" s="1">
        <f>+H31-H32</f>
        <v>769885</v>
      </c>
      <c r="I33" s="1">
        <f>+I31-I32</f>
        <v>914876.00047272339</v>
      </c>
      <c r="J33" s="1">
        <f t="shared" ref="J33:R33" si="66">+J31-J32</f>
        <v>1047213.6145584915</v>
      </c>
      <c r="K33" s="1">
        <f t="shared" si="66"/>
        <v>1190523.6662501097</v>
      </c>
      <c r="L33" s="1">
        <f t="shared" si="66"/>
        <v>1333089.0881911225</v>
      </c>
      <c r="M33" s="1">
        <f t="shared" si="66"/>
        <v>1466761.0589670227</v>
      </c>
      <c r="N33" s="1">
        <f t="shared" si="66"/>
        <v>1615902.3681393845</v>
      </c>
      <c r="O33" s="1">
        <f t="shared" si="66"/>
        <v>1782342.1002486222</v>
      </c>
      <c r="P33" s="1">
        <f t="shared" si="66"/>
        <v>1968129.9942892133</v>
      </c>
      <c r="Q33" s="1">
        <f t="shared" si="66"/>
        <v>2175563.0353512694</v>
      </c>
      <c r="R33" s="1">
        <f t="shared" si="66"/>
        <v>2407215.2527017756</v>
      </c>
      <c r="S33" s="2">
        <f>+R33*(1+$U$24)</f>
        <v>2503503.8628098466</v>
      </c>
      <c r="T33" s="2">
        <f t="shared" ref="T33:CE33" si="67">+S33*(1+$U$24)</f>
        <v>2603644.0173222404</v>
      </c>
      <c r="U33" s="2">
        <f t="shared" si="67"/>
        <v>2707789.7780151302</v>
      </c>
      <c r="V33" s="2">
        <f t="shared" si="67"/>
        <v>2816101.3691357356</v>
      </c>
      <c r="W33" s="2">
        <f t="shared" si="67"/>
        <v>2928745.4239011649</v>
      </c>
      <c r="X33" s="2">
        <f t="shared" si="67"/>
        <v>3045895.2408572114</v>
      </c>
      <c r="Y33" s="2">
        <f t="shared" si="67"/>
        <v>3167731.0504915002</v>
      </c>
      <c r="Z33" s="2">
        <f t="shared" si="67"/>
        <v>3294440.2925111605</v>
      </c>
      <c r="AA33" s="2">
        <f t="shared" si="67"/>
        <v>3426217.9042116068</v>
      </c>
      <c r="AB33" s="2">
        <f t="shared" si="67"/>
        <v>3563266.6203800715</v>
      </c>
      <c r="AC33" s="2">
        <f t="shared" si="67"/>
        <v>3705797.2851952743</v>
      </c>
      <c r="AD33" s="2">
        <f t="shared" si="67"/>
        <v>3854029.1766030854</v>
      </c>
      <c r="AE33" s="2">
        <f t="shared" si="67"/>
        <v>4008190.3436672087</v>
      </c>
      <c r="AF33" s="2">
        <f t="shared" si="67"/>
        <v>4168517.9574138974</v>
      </c>
      <c r="AG33" s="2">
        <f t="shared" si="67"/>
        <v>4335258.6757104537</v>
      </c>
      <c r="AH33" s="2">
        <f t="shared" si="67"/>
        <v>4508669.0227388721</v>
      </c>
      <c r="AI33" s="2">
        <f t="shared" si="67"/>
        <v>4689015.7836484276</v>
      </c>
      <c r="AJ33" s="2">
        <f t="shared" si="67"/>
        <v>4876576.4149943646</v>
      </c>
      <c r="AK33" s="2">
        <f t="shared" si="67"/>
        <v>5071639.471594139</v>
      </c>
      <c r="AL33" s="2">
        <f t="shared" si="67"/>
        <v>5274505.050457905</v>
      </c>
      <c r="AM33" s="2">
        <f t="shared" si="67"/>
        <v>5485485.2524762219</v>
      </c>
      <c r="AN33" s="2">
        <f t="shared" si="67"/>
        <v>5704904.662575271</v>
      </c>
      <c r="AO33" s="2">
        <f t="shared" si="67"/>
        <v>5933100.8490782818</v>
      </c>
      <c r="AP33" s="2">
        <f t="shared" si="67"/>
        <v>6170424.8830414135</v>
      </c>
      <c r="AQ33" s="2">
        <f t="shared" si="67"/>
        <v>6417241.8783630701</v>
      </c>
      <c r="AR33" s="2">
        <f t="shared" si="67"/>
        <v>6673931.5534975929</v>
      </c>
      <c r="AS33" s="2">
        <f t="shared" si="67"/>
        <v>6940888.8156374972</v>
      </c>
      <c r="AT33" s="2">
        <f t="shared" si="67"/>
        <v>7218524.3682629978</v>
      </c>
      <c r="AU33" s="2">
        <f t="shared" si="67"/>
        <v>7507265.3429935183</v>
      </c>
      <c r="AV33" s="2">
        <f t="shared" si="67"/>
        <v>7807555.9567132592</v>
      </c>
      <c r="AW33" s="2">
        <f t="shared" si="67"/>
        <v>8119858.1949817901</v>
      </c>
      <c r="AX33" s="2">
        <f t="shared" si="67"/>
        <v>8444652.5227810629</v>
      </c>
      <c r="AY33" s="2">
        <f t="shared" si="67"/>
        <v>8782438.6236923058</v>
      </c>
      <c r="AZ33" s="2">
        <f t="shared" si="67"/>
        <v>9133736.1686399989</v>
      </c>
      <c r="BA33" s="2">
        <f t="shared" si="67"/>
        <v>9499085.6153855994</v>
      </c>
      <c r="BB33" s="2">
        <f t="shared" si="67"/>
        <v>9879049.0400010236</v>
      </c>
      <c r="BC33" s="2">
        <f t="shared" si="67"/>
        <v>10274211.001601065</v>
      </c>
      <c r="BD33" s="2">
        <f t="shared" si="67"/>
        <v>10685179.441665107</v>
      </c>
      <c r="BE33" s="2">
        <f t="shared" si="67"/>
        <v>11112586.619331712</v>
      </c>
      <c r="BF33" s="2">
        <f t="shared" si="67"/>
        <v>11557090.084104981</v>
      </c>
      <c r="BG33" s="2">
        <f t="shared" si="67"/>
        <v>12019373.687469181</v>
      </c>
      <c r="BH33" s="2">
        <f t="shared" si="67"/>
        <v>12500148.634967949</v>
      </c>
      <c r="BI33" s="2">
        <f t="shared" si="67"/>
        <v>13000154.580366667</v>
      </c>
      <c r="BJ33" s="2">
        <f t="shared" si="67"/>
        <v>13520160.763581334</v>
      </c>
      <c r="BK33" s="2">
        <f t="shared" si="67"/>
        <v>14060967.194124587</v>
      </c>
      <c r="BL33" s="2">
        <f t="shared" si="67"/>
        <v>14623405.881889571</v>
      </c>
      <c r="BM33" s="2">
        <f t="shared" si="67"/>
        <v>15208342.117165154</v>
      </c>
      <c r="BN33" s="2">
        <f t="shared" si="67"/>
        <v>15816675.801851761</v>
      </c>
      <c r="BO33" s="2">
        <f t="shared" si="67"/>
        <v>16449342.833925832</v>
      </c>
      <c r="BP33" s="2">
        <f t="shared" si="67"/>
        <v>17107316.547282867</v>
      </c>
      <c r="BQ33" s="2">
        <f t="shared" si="67"/>
        <v>17791609.209174182</v>
      </c>
      <c r="BR33" s="2">
        <f t="shared" si="67"/>
        <v>18503273.57754115</v>
      </c>
      <c r="BS33" s="2">
        <f t="shared" si="67"/>
        <v>19243404.520642798</v>
      </c>
      <c r="BT33" s="2">
        <f t="shared" si="67"/>
        <v>20013140.701468512</v>
      </c>
      <c r="BU33" s="2">
        <f t="shared" si="67"/>
        <v>20813666.329527255</v>
      </c>
      <c r="BV33" s="2">
        <f t="shared" si="67"/>
        <v>21646212.982708346</v>
      </c>
      <c r="BW33" s="2">
        <f t="shared" si="67"/>
        <v>22512061.502016682</v>
      </c>
      <c r="BX33" s="2">
        <f t="shared" si="67"/>
        <v>23412543.962097351</v>
      </c>
      <c r="BY33" s="2">
        <f t="shared" si="67"/>
        <v>24349045.720581245</v>
      </c>
      <c r="BZ33" s="2">
        <f t="shared" si="67"/>
        <v>25323007.549404494</v>
      </c>
      <c r="CA33" s="2">
        <f t="shared" si="67"/>
        <v>26335927.851380676</v>
      </c>
      <c r="CB33" s="2">
        <f t="shared" si="67"/>
        <v>27389364.965435904</v>
      </c>
      <c r="CC33" s="2">
        <f t="shared" si="67"/>
        <v>28484939.564053342</v>
      </c>
      <c r="CD33" s="2">
        <f t="shared" si="67"/>
        <v>29624337.146615475</v>
      </c>
      <c r="CE33" s="2">
        <f t="shared" si="67"/>
        <v>30809310.632480096</v>
      </c>
      <c r="CF33" s="2">
        <f t="shared" ref="CF33:EC33" si="68">+CE33*(1+$U$24)</f>
        <v>32041683.057779301</v>
      </c>
      <c r="CG33" s="2">
        <f t="shared" si="68"/>
        <v>33323350.380090475</v>
      </c>
      <c r="CH33" s="2">
        <f t="shared" si="68"/>
        <v>34656284.395294093</v>
      </c>
      <c r="CI33" s="2">
        <f t="shared" si="68"/>
        <v>36042535.771105856</v>
      </c>
      <c r="CJ33" s="2">
        <f t="shared" si="68"/>
        <v>37484237.201950088</v>
      </c>
      <c r="CK33" s="2">
        <f t="shared" si="68"/>
        <v>38983606.690028094</v>
      </c>
      <c r="CL33" s="2">
        <f t="shared" si="68"/>
        <v>40542950.957629219</v>
      </c>
      <c r="CM33" s="2">
        <f t="shared" si="68"/>
        <v>42164668.99593439</v>
      </c>
      <c r="CN33" s="2">
        <f t="shared" si="68"/>
        <v>43851255.755771764</v>
      </c>
      <c r="CO33" s="2">
        <f t="shared" si="68"/>
        <v>45605305.986002639</v>
      </c>
      <c r="CP33" s="2">
        <f t="shared" si="68"/>
        <v>47429518.225442745</v>
      </c>
      <c r="CQ33" s="2">
        <f t="shared" si="68"/>
        <v>49326698.954460457</v>
      </c>
      <c r="CR33" s="2">
        <f t="shared" si="68"/>
        <v>51299766.91263888</v>
      </c>
      <c r="CS33" s="2">
        <f t="shared" si="68"/>
        <v>53351757.589144439</v>
      </c>
      <c r="CT33" s="2">
        <f t="shared" si="68"/>
        <v>55485827.892710216</v>
      </c>
      <c r="CU33" s="2">
        <f t="shared" si="68"/>
        <v>57705261.008418627</v>
      </c>
      <c r="CV33" s="2">
        <f t="shared" si="68"/>
        <v>60013471.448755376</v>
      </c>
      <c r="CW33" s="2">
        <f t="shared" si="68"/>
        <v>62414010.306705594</v>
      </c>
      <c r="CX33" s="2">
        <f t="shared" si="68"/>
        <v>64910570.718973823</v>
      </c>
      <c r="CY33" s="2">
        <f t="shared" si="68"/>
        <v>67506993.547732785</v>
      </c>
      <c r="CZ33" s="2">
        <f t="shared" si="68"/>
        <v>70207273.289642096</v>
      </c>
      <c r="DA33" s="2">
        <f t="shared" si="68"/>
        <v>73015564.22122778</v>
      </c>
      <c r="DB33" s="2">
        <f t="shared" si="68"/>
        <v>75936186.790076897</v>
      </c>
      <c r="DC33" s="2">
        <f t="shared" si="68"/>
        <v>78973634.261679977</v>
      </c>
      <c r="DD33" s="2">
        <f t="shared" si="68"/>
        <v>82132579.632147178</v>
      </c>
      <c r="DE33" s="2">
        <f t="shared" si="68"/>
        <v>85417882.817433074</v>
      </c>
      <c r="DF33" s="2">
        <f t="shared" si="68"/>
        <v>88834598.130130395</v>
      </c>
      <c r="DG33" s="2">
        <f t="shared" si="68"/>
        <v>92387982.055335611</v>
      </c>
      <c r="DH33" s="2">
        <f t="shared" si="68"/>
        <v>96083501.337549046</v>
      </c>
      <c r="DI33" s="2">
        <f t="shared" si="68"/>
        <v>99926841.391051009</v>
      </c>
      <c r="DJ33" s="2">
        <f t="shared" si="68"/>
        <v>103923915.04669306</v>
      </c>
      <c r="DK33" s="2">
        <f t="shared" si="68"/>
        <v>108080871.64856078</v>
      </c>
      <c r="DL33" s="2">
        <f t="shared" si="68"/>
        <v>112404106.51450321</v>
      </c>
      <c r="DM33" s="2">
        <f t="shared" si="68"/>
        <v>116900270.77508335</v>
      </c>
      <c r="DN33" s="2">
        <f t="shared" si="68"/>
        <v>121576281.60608669</v>
      </c>
      <c r="DO33" s="2">
        <f t="shared" si="68"/>
        <v>126439332.87033015</v>
      </c>
      <c r="DP33" s="2">
        <f t="shared" si="68"/>
        <v>131496906.18514337</v>
      </c>
      <c r="DQ33" s="2">
        <f t="shared" si="68"/>
        <v>136756782.43254912</v>
      </c>
      <c r="DR33" s="2">
        <f t="shared" si="68"/>
        <v>142227053.7298511</v>
      </c>
      <c r="DS33" s="2">
        <f t="shared" si="68"/>
        <v>147916135.87904516</v>
      </c>
      <c r="DT33" s="2">
        <f t="shared" si="68"/>
        <v>153832781.31420696</v>
      </c>
      <c r="DU33" s="2">
        <f t="shared" si="68"/>
        <v>159986092.56677523</v>
      </c>
      <c r="DV33" s="2">
        <f t="shared" si="68"/>
        <v>166385536.26944625</v>
      </c>
      <c r="DW33" s="2">
        <f t="shared" si="68"/>
        <v>173040957.72022411</v>
      </c>
      <c r="DX33" s="2">
        <f t="shared" si="68"/>
        <v>179962596.02903309</v>
      </c>
      <c r="DY33" s="2">
        <f t="shared" si="68"/>
        <v>187161099.87019444</v>
      </c>
      <c r="DZ33" s="2">
        <f t="shared" si="68"/>
        <v>194647543.86500221</v>
      </c>
      <c r="EA33" s="2">
        <f t="shared" si="68"/>
        <v>202433445.61960232</v>
      </c>
      <c r="EB33" s="2">
        <f t="shared" si="68"/>
        <v>210530783.44438642</v>
      </c>
      <c r="EC33" s="2">
        <f t="shared" si="68"/>
        <v>218952014.78216189</v>
      </c>
    </row>
    <row r="34" spans="2:133" s="1" customFormat="1" x14ac:dyDescent="0.25">
      <c r="B34" s="1" t="s">
        <v>22</v>
      </c>
      <c r="F34" s="1">
        <v>123847</v>
      </c>
      <c r="G34" s="1">
        <v>149439</v>
      </c>
      <c r="H34" s="1">
        <v>156667</v>
      </c>
    </row>
    <row r="35" spans="2:133" s="1" customFormat="1" x14ac:dyDescent="0.25">
      <c r="B35" s="1" t="s">
        <v>23</v>
      </c>
      <c r="F35" s="1">
        <f>+F33-F34</f>
        <v>340831</v>
      </c>
      <c r="G35" s="1">
        <f>+G33-G34</f>
        <v>474641</v>
      </c>
      <c r="H35" s="1">
        <f>+H33-H34</f>
        <v>613218</v>
      </c>
    </row>
    <row r="36" spans="2:133" s="1" customFormat="1" x14ac:dyDescent="0.25"/>
    <row r="37" spans="2:133" s="1" customFormat="1" x14ac:dyDescent="0.25">
      <c r="B37" s="1" t="s">
        <v>24</v>
      </c>
      <c r="F37" s="1">
        <v>405526</v>
      </c>
      <c r="G37" s="1">
        <v>821702</v>
      </c>
      <c r="H37" s="1">
        <v>1414502</v>
      </c>
    </row>
    <row r="38" spans="2:133" s="1" customFormat="1" x14ac:dyDescent="0.25">
      <c r="B38" s="1" t="s">
        <v>25</v>
      </c>
      <c r="F38" s="1">
        <f>+F37-F34</f>
        <v>281679</v>
      </c>
      <c r="G38" s="1">
        <f>+G37-G34</f>
        <v>672263</v>
      </c>
      <c r="H38" s="1">
        <f>+H37-H34</f>
        <v>1257835</v>
      </c>
    </row>
    <row r="39" spans="2:133" s="5" customFormat="1" x14ac:dyDescent="0.25">
      <c r="B39" s="5" t="s">
        <v>30</v>
      </c>
      <c r="F39" s="5">
        <f>+F38/Sheet2!$D$8</f>
        <v>9.4232422043118574E-3</v>
      </c>
      <c r="G39" s="5">
        <f>+G38/Sheet2!$D$8</f>
        <v>2.2489774083255417E-2</v>
      </c>
      <c r="H39" s="5">
        <f>+H38/Sheet2!$D$8</f>
        <v>4.2079401936461737E-2</v>
      </c>
    </row>
    <row r="40" spans="2:133" s="5" customFormat="1" x14ac:dyDescent="0.25">
      <c r="B40" s="5" t="s">
        <v>34</v>
      </c>
    </row>
    <row r="41" spans="2:133" s="1" customFormat="1" x14ac:dyDescent="0.25"/>
    <row r="42" spans="2:133" s="4" customFormat="1" x14ac:dyDescent="0.25">
      <c r="B42" s="4" t="s">
        <v>6</v>
      </c>
      <c r="F42" s="4">
        <f>+F10/F$7</f>
        <v>0.10567821363846885</v>
      </c>
      <c r="G42" s="4">
        <f t="shared" ref="G42:H42" si="69">+G10/G$7</f>
        <v>0.10010911042976933</v>
      </c>
      <c r="H42" s="4">
        <f t="shared" si="69"/>
        <v>9.4605421049802879E-2</v>
      </c>
    </row>
    <row r="43" spans="2:133" s="4" customFormat="1" x14ac:dyDescent="0.25">
      <c r="B43" s="4" t="s">
        <v>7</v>
      </c>
      <c r="F43" s="4">
        <f>+F11/F$7</f>
        <v>0.26465141385491264</v>
      </c>
      <c r="G43" s="4">
        <f t="shared" ref="G43:H43" si="70">+G11/G$7</f>
        <v>0.2694771432863316</v>
      </c>
      <c r="H43" s="4">
        <f t="shared" si="70"/>
        <v>0.25769048591343779</v>
      </c>
    </row>
    <row r="44" spans="2:133" s="1" customFormat="1" x14ac:dyDescent="0.25"/>
    <row r="45" spans="2:133" s="1" customFormat="1" x14ac:dyDescent="0.25"/>
    <row r="46" spans="2:133" s="1" customFormat="1" x14ac:dyDescent="0.25"/>
    <row r="47" spans="2:133" s="1" customFormat="1" x14ac:dyDescent="0.25"/>
    <row r="48" spans="2:133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2026-01-21T14:50:08Z</dcterms:created>
  <dcterms:modified xsi:type="dcterms:W3CDTF">2026-02-12T23:46:10Z</dcterms:modified>
</cp:coreProperties>
</file>