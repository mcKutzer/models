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04E85B95-B3C5-4CC8-97C2-763FD0E7B52B}" xr6:coauthVersionLast="47" xr6:coauthVersionMax="47" xr10:uidLastSave="{00000000-0000-0000-0000-000000000000}"/>
  <bookViews>
    <workbookView xWindow="-120" yWindow="-120" windowWidth="29040" windowHeight="15840" firstSheet="1" activeTab="1" xr2:uid="{AC9C1622-A386-4168-B756-43A97A3315FA}"/>
  </bookViews>
  <sheets>
    <sheet name="Sheet1" sheetId="1" r:id="rId1"/>
    <sheet name="Sheet2" sheetId="2" r:id="rId2"/>
  </sheets>
  <definedNames>
    <definedName name="MV">Sheet2!$Z$30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1" i="2" l="1"/>
  <c r="P11" i="2"/>
  <c r="Q13" i="2"/>
  <c r="R13" i="2"/>
  <c r="S13" i="2"/>
  <c r="T13" i="2"/>
  <c r="U13" i="2"/>
  <c r="V13" i="2"/>
  <c r="W13" i="2"/>
  <c r="O14" i="2"/>
  <c r="O11" i="2"/>
  <c r="O18" i="2"/>
  <c r="O17" i="2"/>
  <c r="P13" i="2"/>
  <c r="O13" i="2"/>
  <c r="P33" i="2"/>
  <c r="Q33" i="2"/>
  <c r="R33" i="2"/>
  <c r="S33" i="2"/>
  <c r="T33" i="2"/>
  <c r="U33" i="2"/>
  <c r="V33" i="2"/>
  <c r="W33" i="2"/>
  <c r="O38" i="2"/>
  <c r="P38" i="2" s="1"/>
  <c r="Q38" i="2" s="1"/>
  <c r="R38" i="2" s="1"/>
  <c r="S38" i="2" s="1"/>
  <c r="T38" i="2" s="1"/>
  <c r="U38" i="2" s="1"/>
  <c r="V38" i="2" s="1"/>
  <c r="W38" i="2" s="1"/>
  <c r="O23" i="2"/>
  <c r="O24" i="2"/>
  <c r="O21" i="2"/>
  <c r="P21" i="2" s="1"/>
  <c r="Q21" i="2" s="1"/>
  <c r="R21" i="2" s="1"/>
  <c r="S21" i="2" s="1"/>
  <c r="T21" i="2" s="1"/>
  <c r="U21" i="2" s="1"/>
  <c r="V21" i="2" s="1"/>
  <c r="W21" i="2" s="1"/>
  <c r="B9" i="2"/>
  <c r="F9" i="2"/>
  <c r="O9" i="2"/>
  <c r="O29" i="2" l="1"/>
  <c r="P9" i="2"/>
  <c r="N29" i="2"/>
  <c r="M29" i="2"/>
  <c r="Z35" i="2"/>
  <c r="Q9" i="2" l="1"/>
  <c r="Q11" i="2" s="1"/>
  <c r="P29" i="2"/>
  <c r="R9" i="2"/>
  <c r="R11" i="2" s="1"/>
  <c r="P24" i="2"/>
  <c r="Q24" i="2" s="1"/>
  <c r="R24" i="2" s="1"/>
  <c r="S24" i="2" s="1"/>
  <c r="T24" i="2" s="1"/>
  <c r="U24" i="2" s="1"/>
  <c r="V24" i="2" s="1"/>
  <c r="W24" i="2" s="1"/>
  <c r="P23" i="2"/>
  <c r="Q23" i="2" s="1"/>
  <c r="R23" i="2" s="1"/>
  <c r="S23" i="2" s="1"/>
  <c r="T23" i="2" s="1"/>
  <c r="U23" i="2" s="1"/>
  <c r="V23" i="2" s="1"/>
  <c r="W23" i="2" s="1"/>
  <c r="O12" i="2"/>
  <c r="P12" i="2" s="1"/>
  <c r="Q12" i="2" s="1"/>
  <c r="R12" i="2" s="1"/>
  <c r="S12" i="2" s="1"/>
  <c r="T12" i="2" s="1"/>
  <c r="U12" i="2" s="1"/>
  <c r="V12" i="2" s="1"/>
  <c r="W12" i="2" s="1"/>
  <c r="O20" i="2"/>
  <c r="P20" i="2" s="1"/>
  <c r="Q20" i="2" s="1"/>
  <c r="R20" i="2" s="1"/>
  <c r="S20" i="2" s="1"/>
  <c r="T20" i="2" s="1"/>
  <c r="U20" i="2" s="1"/>
  <c r="V20" i="2" s="1"/>
  <c r="W20" i="2" s="1"/>
  <c r="O16" i="2"/>
  <c r="P16" i="2" s="1"/>
  <c r="Q16" i="2" s="1"/>
  <c r="R16" i="2" s="1"/>
  <c r="S16" i="2" s="1"/>
  <c r="T16" i="2" s="1"/>
  <c r="U16" i="2" s="1"/>
  <c r="V16" i="2" s="1"/>
  <c r="W16" i="2" s="1"/>
  <c r="O10" i="2"/>
  <c r="P10" i="2" s="1"/>
  <c r="Q10" i="2" s="1"/>
  <c r="R10" i="2" s="1"/>
  <c r="S10" i="2" s="1"/>
  <c r="T10" i="2" s="1"/>
  <c r="U10" i="2" s="1"/>
  <c r="V10" i="2" s="1"/>
  <c r="W10" i="2" s="1"/>
  <c r="P14" i="2"/>
  <c r="Q14" i="2" s="1"/>
  <c r="R14" i="2" s="1"/>
  <c r="S14" i="2" s="1"/>
  <c r="T14" i="2" s="1"/>
  <c r="U14" i="2" s="1"/>
  <c r="V14" i="2" s="1"/>
  <c r="W14" i="2" s="1"/>
  <c r="N33" i="2"/>
  <c r="N15" i="2"/>
  <c r="N19" i="2" s="1"/>
  <c r="N25" i="2" s="1"/>
  <c r="N27" i="2" s="1"/>
  <c r="N43" i="2" s="1"/>
  <c r="M15" i="2"/>
  <c r="M19" i="2" s="1"/>
  <c r="M25" i="2" s="1"/>
  <c r="M27" i="2" s="1"/>
  <c r="C15" i="2"/>
  <c r="C19" i="2" s="1"/>
  <c r="C25" i="2" s="1"/>
  <c r="C27" i="2" s="1"/>
  <c r="D15" i="2"/>
  <c r="D19" i="2" s="1"/>
  <c r="D25" i="2" s="1"/>
  <c r="D27" i="2" s="1"/>
  <c r="E15" i="2"/>
  <c r="E19" i="2" s="1"/>
  <c r="E25" i="2" s="1"/>
  <c r="E27" i="2" s="1"/>
  <c r="F15" i="2"/>
  <c r="F19" i="2" s="1"/>
  <c r="F25" i="2" s="1"/>
  <c r="F27" i="2" s="1"/>
  <c r="G15" i="2"/>
  <c r="G19" i="2" s="1"/>
  <c r="G25" i="2" s="1"/>
  <c r="G27" i="2" s="1"/>
  <c r="H15" i="2"/>
  <c r="H19" i="2" s="1"/>
  <c r="H25" i="2" s="1"/>
  <c r="H27" i="2" s="1"/>
  <c r="I15" i="2"/>
  <c r="I19" i="2" s="1"/>
  <c r="I25" i="2" s="1"/>
  <c r="I27" i="2" s="1"/>
  <c r="B15" i="2"/>
  <c r="B19" i="2" s="1"/>
  <c r="B25" i="2" s="1"/>
  <c r="B27" i="2" s="1"/>
  <c r="D6" i="1"/>
  <c r="D5" i="1"/>
  <c r="D7" i="1" s="1"/>
  <c r="M31" i="2" l="1"/>
  <c r="M43" i="2"/>
  <c r="N31" i="2"/>
  <c r="S9" i="2"/>
  <c r="S11" i="2" s="1"/>
  <c r="O33" i="2"/>
  <c r="N30" i="2"/>
  <c r="M30" i="2"/>
  <c r="N39" i="2"/>
  <c r="O15" i="2"/>
  <c r="O30" i="2" s="1"/>
  <c r="O19" i="2" l="1"/>
  <c r="O25" i="2" s="1"/>
  <c r="T9" i="2"/>
  <c r="T11" i="2" s="1"/>
  <c r="Q29" i="2"/>
  <c r="R29" i="2"/>
  <c r="P15" i="2"/>
  <c r="O26" i="2" l="1"/>
  <c r="U9" i="2"/>
  <c r="U11" i="2" s="1"/>
  <c r="S29" i="2"/>
  <c r="O27" i="2"/>
  <c r="P19" i="2"/>
  <c r="P25" i="2" s="1"/>
  <c r="P30" i="2"/>
  <c r="Q15" i="2"/>
  <c r="O34" i="2" l="1"/>
  <c r="O43" i="2"/>
  <c r="O39" i="2"/>
  <c r="D8" i="1"/>
  <c r="O31" i="2"/>
  <c r="V9" i="2"/>
  <c r="V11" i="2" s="1"/>
  <c r="P26" i="2"/>
  <c r="P27" i="2" s="1"/>
  <c r="T29" i="2"/>
  <c r="Q19" i="2"/>
  <c r="Q25" i="2" s="1"/>
  <c r="Q30" i="2"/>
  <c r="R15" i="2"/>
  <c r="P34" i="2" l="1"/>
  <c r="P43" i="2"/>
  <c r="P39" i="2"/>
  <c r="X38" i="2"/>
  <c r="Y38" i="2" s="1"/>
  <c r="Z38" i="2" s="1"/>
  <c r="AA38" i="2" s="1"/>
  <c r="AB38" i="2" s="1"/>
  <c r="AC38" i="2" s="1"/>
  <c r="AD38" i="2" s="1"/>
  <c r="AE38" i="2" s="1"/>
  <c r="AF38" i="2" s="1"/>
  <c r="AG38" i="2" s="1"/>
  <c r="AH38" i="2" s="1"/>
  <c r="AI38" i="2" s="1"/>
  <c r="AJ38" i="2" s="1"/>
  <c r="AK38" i="2" s="1"/>
  <c r="AL38" i="2" s="1"/>
  <c r="AM38" i="2" s="1"/>
  <c r="AN38" i="2" s="1"/>
  <c r="AO38" i="2" s="1"/>
  <c r="AP38" i="2" s="1"/>
  <c r="AQ38" i="2" s="1"/>
  <c r="AR38" i="2" s="1"/>
  <c r="AS38" i="2" s="1"/>
  <c r="AT38" i="2" s="1"/>
  <c r="AU38" i="2" s="1"/>
  <c r="AV38" i="2" s="1"/>
  <c r="AW38" i="2" s="1"/>
  <c r="AX38" i="2" s="1"/>
  <c r="AY38" i="2" s="1"/>
  <c r="AZ38" i="2" s="1"/>
  <c r="BA38" i="2" s="1"/>
  <c r="BB38" i="2" s="1"/>
  <c r="BC38" i="2" s="1"/>
  <c r="BD38" i="2" s="1"/>
  <c r="BE38" i="2" s="1"/>
  <c r="BF38" i="2" s="1"/>
  <c r="BG38" i="2" s="1"/>
  <c r="BH38" i="2" s="1"/>
  <c r="BI38" i="2" s="1"/>
  <c r="BJ38" i="2" s="1"/>
  <c r="BK38" i="2" s="1"/>
  <c r="BL38" i="2" s="1"/>
  <c r="BM38" i="2" s="1"/>
  <c r="BN38" i="2" s="1"/>
  <c r="BO38" i="2" s="1"/>
  <c r="BP38" i="2" s="1"/>
  <c r="BQ38" i="2" s="1"/>
  <c r="BR38" i="2" s="1"/>
  <c r="BS38" i="2" s="1"/>
  <c r="BT38" i="2" s="1"/>
  <c r="BU38" i="2" s="1"/>
  <c r="BV38" i="2" s="1"/>
  <c r="BW38" i="2" s="1"/>
  <c r="BX38" i="2" s="1"/>
  <c r="BY38" i="2" s="1"/>
  <c r="BZ38" i="2" s="1"/>
  <c r="CA38" i="2" s="1"/>
  <c r="CB38" i="2" s="1"/>
  <c r="CC38" i="2" s="1"/>
  <c r="CD38" i="2" s="1"/>
  <c r="CE38" i="2" s="1"/>
  <c r="CF38" i="2" s="1"/>
  <c r="CG38" i="2" s="1"/>
  <c r="CH38" i="2" s="1"/>
  <c r="CI38" i="2" s="1"/>
  <c r="CJ38" i="2" s="1"/>
  <c r="CK38" i="2" s="1"/>
  <c r="Z36" i="2" s="1"/>
  <c r="W9" i="2"/>
  <c r="W11" i="2" s="1"/>
  <c r="Q26" i="2"/>
  <c r="Q27" i="2" s="1"/>
  <c r="Q39" i="2" s="1"/>
  <c r="U29" i="2"/>
  <c r="R19" i="2"/>
  <c r="R25" i="2" s="1"/>
  <c r="R30" i="2"/>
  <c r="P31" i="2"/>
  <c r="S15" i="2"/>
  <c r="Q34" i="2" l="1"/>
  <c r="Q31" i="2"/>
  <c r="Q43" i="2"/>
  <c r="R26" i="2"/>
  <c r="W29" i="2"/>
  <c r="V29" i="2"/>
  <c r="S19" i="2"/>
  <c r="S25" i="2" s="1"/>
  <c r="S30" i="2"/>
  <c r="R27" i="2"/>
  <c r="R34" i="2" s="1"/>
  <c r="T15" i="2"/>
  <c r="R43" i="2" l="1"/>
  <c r="R39" i="2"/>
  <c r="T19" i="2"/>
  <c r="T25" i="2" s="1"/>
  <c r="T30" i="2"/>
  <c r="R31" i="2"/>
  <c r="S26" i="2"/>
  <c r="S27" i="2" s="1"/>
  <c r="T26" i="2"/>
  <c r="U15" i="2"/>
  <c r="S39" i="2" l="1"/>
  <c r="S34" i="2"/>
  <c r="S31" i="2"/>
  <c r="S43" i="2"/>
  <c r="U19" i="2"/>
  <c r="U25" i="2" s="1"/>
  <c r="U30" i="2"/>
  <c r="T27" i="2"/>
  <c r="T34" i="2" s="1"/>
  <c r="V15" i="2"/>
  <c r="W15" i="2"/>
  <c r="T43" i="2" l="1"/>
  <c r="T39" i="2"/>
  <c r="U26" i="2"/>
  <c r="V19" i="2"/>
  <c r="V30" i="2"/>
  <c r="W19" i="2"/>
  <c r="W25" i="2" s="1"/>
  <c r="W30" i="2"/>
  <c r="T31" i="2"/>
  <c r="V25" i="2"/>
  <c r="V26" i="2"/>
  <c r="U27" i="2"/>
  <c r="U39" i="2" l="1"/>
  <c r="U34" i="2"/>
  <c r="U31" i="2"/>
  <c r="U43" i="2"/>
  <c r="W26" i="2"/>
  <c r="W27" i="2" s="1"/>
  <c r="V27" i="2"/>
  <c r="V39" i="2" l="1"/>
  <c r="V34" i="2"/>
  <c r="W34" i="2"/>
  <c r="W43" i="2"/>
  <c r="W39" i="2"/>
  <c r="V31" i="2"/>
  <c r="V43" i="2"/>
  <c r="W31" i="2"/>
  <c r="X27" i="2"/>
  <c r="X43" i="2" s="1"/>
  <c r="Y27" i="2" l="1"/>
  <c r="Z27" i="2" l="1"/>
  <c r="Y43" i="2"/>
  <c r="AA27" i="2" l="1"/>
  <c r="Z43" i="2"/>
  <c r="AB27" i="2" l="1"/>
  <c r="AA43" i="2"/>
  <c r="AC27" i="2" l="1"/>
  <c r="AB43" i="2"/>
  <c r="AD27" i="2" l="1"/>
  <c r="AC43" i="2"/>
  <c r="AE27" i="2" l="1"/>
  <c r="AD43" i="2"/>
  <c r="AF27" i="2" l="1"/>
  <c r="AE43" i="2"/>
  <c r="AG27" i="2" l="1"/>
  <c r="AF43" i="2"/>
  <c r="AH27" i="2" l="1"/>
  <c r="AG43" i="2"/>
  <c r="AI27" i="2" l="1"/>
  <c r="AH43" i="2"/>
  <c r="AJ27" i="2" l="1"/>
  <c r="AI43" i="2"/>
  <c r="AK27" i="2" l="1"/>
  <c r="AJ43" i="2"/>
  <c r="AL27" i="2" l="1"/>
  <c r="AK43" i="2"/>
  <c r="AM27" i="2" l="1"/>
  <c r="AL43" i="2"/>
  <c r="AN27" i="2" l="1"/>
  <c r="AM43" i="2"/>
  <c r="AO27" i="2" l="1"/>
  <c r="AN43" i="2"/>
  <c r="AP27" i="2" l="1"/>
  <c r="AO43" i="2"/>
  <c r="AQ27" i="2" l="1"/>
  <c r="AP43" i="2"/>
  <c r="AR27" i="2" l="1"/>
  <c r="AQ43" i="2"/>
  <c r="AS27" i="2" l="1"/>
  <c r="AR43" i="2"/>
  <c r="AT27" i="2" l="1"/>
  <c r="AS43" i="2"/>
  <c r="AU27" i="2" l="1"/>
  <c r="AT43" i="2"/>
  <c r="AV27" i="2" l="1"/>
  <c r="AU43" i="2"/>
  <c r="AW27" i="2" l="1"/>
  <c r="AV43" i="2"/>
  <c r="AX27" i="2" l="1"/>
  <c r="AW43" i="2"/>
  <c r="AY27" i="2" l="1"/>
  <c r="AX43" i="2"/>
  <c r="AZ27" i="2" l="1"/>
  <c r="AY43" i="2"/>
  <c r="BA27" i="2" l="1"/>
  <c r="AZ43" i="2"/>
  <c r="BB27" i="2" l="1"/>
  <c r="BA43" i="2"/>
  <c r="BC27" i="2" l="1"/>
  <c r="BB43" i="2"/>
  <c r="BD27" i="2" l="1"/>
  <c r="BC43" i="2"/>
  <c r="BE27" i="2" l="1"/>
  <c r="BD43" i="2"/>
  <c r="BF27" i="2" l="1"/>
  <c r="BE43" i="2"/>
  <c r="BG27" i="2" l="1"/>
  <c r="BF43" i="2"/>
  <c r="BH27" i="2" l="1"/>
  <c r="BG43" i="2"/>
  <c r="BI27" i="2" l="1"/>
  <c r="BH43" i="2"/>
  <c r="BJ27" i="2" l="1"/>
  <c r="BI43" i="2"/>
  <c r="BK27" i="2" l="1"/>
  <c r="BJ43" i="2"/>
  <c r="BL27" i="2" l="1"/>
  <c r="BK43" i="2"/>
  <c r="BM27" i="2" l="1"/>
  <c r="BL43" i="2"/>
  <c r="BN27" i="2" l="1"/>
  <c r="BM43" i="2"/>
  <c r="BO27" i="2" l="1"/>
  <c r="BN43" i="2"/>
  <c r="BP27" i="2" l="1"/>
  <c r="BO43" i="2"/>
  <c r="BQ27" i="2" l="1"/>
  <c r="BP43" i="2"/>
  <c r="BR27" i="2" l="1"/>
  <c r="BQ43" i="2"/>
  <c r="BS27" i="2" l="1"/>
  <c r="BR43" i="2"/>
  <c r="BT27" i="2" l="1"/>
  <c r="BS43" i="2"/>
  <c r="BU27" i="2" l="1"/>
  <c r="BT43" i="2"/>
  <c r="BV27" i="2" l="1"/>
  <c r="BU43" i="2"/>
  <c r="BW27" i="2" l="1"/>
  <c r="BV43" i="2"/>
  <c r="BX27" i="2" l="1"/>
  <c r="BW43" i="2"/>
  <c r="BY27" i="2" l="1"/>
  <c r="BX43" i="2"/>
  <c r="BZ27" i="2" l="1"/>
  <c r="BY43" i="2"/>
  <c r="CA27" i="2" l="1"/>
  <c r="BZ43" i="2"/>
  <c r="CB27" i="2" l="1"/>
  <c r="CA43" i="2"/>
  <c r="CC27" i="2" l="1"/>
  <c r="CB43" i="2"/>
  <c r="CD27" i="2" l="1"/>
  <c r="CC43" i="2"/>
  <c r="CE27" i="2" l="1"/>
  <c r="CD43" i="2"/>
  <c r="CF27" i="2" l="1"/>
  <c r="CE43" i="2"/>
  <c r="CG27" i="2" l="1"/>
  <c r="CF43" i="2"/>
  <c r="CH27" i="2" l="1"/>
  <c r="CG43" i="2"/>
  <c r="CI27" i="2" l="1"/>
  <c r="CH43" i="2"/>
  <c r="CJ27" i="2" l="1"/>
  <c r="CI43" i="2"/>
  <c r="CK27" i="2" l="1"/>
  <c r="CK43" i="2" s="1"/>
  <c r="Z33" i="2" s="1"/>
  <c r="Z34" i="2" s="1"/>
  <c r="CJ43" i="2"/>
</calcChain>
</file>

<file path=xl/sharedStrings.xml><?xml version="1.0" encoding="utf-8"?>
<sst xmlns="http://schemas.openxmlformats.org/spreadsheetml/2006/main" count="69" uniqueCount="67">
  <si>
    <t>Price</t>
  </si>
  <si>
    <t>Shares</t>
  </si>
  <si>
    <t>Cap</t>
  </si>
  <si>
    <t>Net Cash</t>
  </si>
  <si>
    <t>EV</t>
  </si>
  <si>
    <t>Q121</t>
  </si>
  <si>
    <t>Q221</t>
  </si>
  <si>
    <t>Q321</t>
  </si>
  <si>
    <t>Q421</t>
  </si>
  <si>
    <t>Q122</t>
  </si>
  <si>
    <t>Q222</t>
  </si>
  <si>
    <t>Q322</t>
  </si>
  <si>
    <t>Q422</t>
  </si>
  <si>
    <t>Operating Revenue</t>
  </si>
  <si>
    <t>Other Income</t>
  </si>
  <si>
    <t>Material Cost</t>
  </si>
  <si>
    <t>G&amp;A</t>
  </si>
  <si>
    <t>Other Expenses</t>
  </si>
  <si>
    <t>Equity Investment</t>
  </si>
  <si>
    <t>D&amp;A</t>
  </si>
  <si>
    <t>EBITDA</t>
  </si>
  <si>
    <t>Ordinary Income</t>
  </si>
  <si>
    <t>Ordinary Expense</t>
  </si>
  <si>
    <t>EBIT</t>
  </si>
  <si>
    <t>Interest Income</t>
  </si>
  <si>
    <t>Interest Expense</t>
  </si>
  <si>
    <t xml:space="preserve">Currency </t>
  </si>
  <si>
    <t>Venture</t>
  </si>
  <si>
    <t>Finance</t>
  </si>
  <si>
    <t>Profit from Operations</t>
  </si>
  <si>
    <t>Income Tax</t>
  </si>
  <si>
    <t>Net Income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</si>
  <si>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</si>
  <si>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</si>
  <si>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</si>
  <si>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</si>
  <si>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</si>
  <si>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</si>
  <si>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</si>
  <si>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</si>
  <si>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</si>
  <si>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</si>
  <si>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</si>
  <si>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Land and Buildings</t>
  </si>
  <si>
    <t>Dividends Paid</t>
  </si>
  <si>
    <t>Net Margin</t>
  </si>
  <si>
    <t>Revenue Y/Y</t>
  </si>
  <si>
    <t>EBITDA Margin</t>
  </si>
  <si>
    <t>Discount</t>
  </si>
  <si>
    <t>Maturity</t>
  </si>
  <si>
    <t>NPV</t>
  </si>
  <si>
    <t>Value</t>
  </si>
  <si>
    <t>Ratio</t>
  </si>
  <si>
    <t>Yield</t>
  </si>
  <si>
    <t>Dividend per Share</t>
  </si>
  <si>
    <t>Cost Margin</t>
  </si>
  <si>
    <t>P/E</t>
  </si>
  <si>
    <t>North America</t>
  </si>
  <si>
    <t>West &amp; South Europe</t>
  </si>
  <si>
    <t>North &amp; East Europe</t>
  </si>
  <si>
    <t>Assia Pacific</t>
  </si>
  <si>
    <t>Africa</t>
  </si>
  <si>
    <t>Capex</t>
  </si>
  <si>
    <t>Free Cashflow</t>
  </si>
  <si>
    <t>DDF</t>
  </si>
  <si>
    <t>Net Income Y/Y</t>
  </si>
  <si>
    <t>Production: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</si>
</sst>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\-&quot;€&quot;\ #,##0.00"/>
    <numFmt numFmtId="164" formatCode="0.0%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9" fontId="0" fillId="0" borderId="0" xfId="1" applyFont="1"/>
    <xf numFmtId="8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</xdr:row>
      <xdr:rowOff>0</xdr:rowOff>
    </xdr:from>
    <xdr:to>
      <xdr:col>14</xdr:col>
      <xdr:colOff>6569</xdr:colOff>
      <xdr:row>31</xdr:row>
      <xdr:rowOff>19707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8C13AE4-5553-48BF-856A-9E5F0B444AFA}"/>
            </a:ext>
          </a:extLst>
        </xdr:cNvPr>
        <xdr:cNvCxnSpPr/>
      </xdr:nvCxnSpPr>
      <xdr:spPr>
        <a:xfrm>
          <a:off x="9373914" y="762000"/>
          <a:ext cx="6569" cy="42107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D020-F5E1-4EB0-816F-3BC0E0B12089}">
  <dimension ref="C3:D8"/>
  <sheetViews>
    <sheetView workbookViewId="0">
      <selection activeCell="D4" sqref="D4"/>
    </sheetView>
  </sheetViews>
  <sheetFormatPr defaultRowHeight="15" x14ac:dyDescent="0.25"/>
  <sheetData>
    <row r="3" spans="3:4" x14ac:dyDescent="0.25">
      <c r="C3" t="s">
        <v>0</v>
      </c>
      <c r="D3">
        <v>48</v>
      </c>
    </row>
    <row r="4" spans="3:4" x14ac:dyDescent="0.25">
      <c r="C4" t="s">
        <v>1</v>
      </c>
      <c r="D4">
        <v>193.09190000000001</v>
      </c>
    </row>
    <row r="5" spans="3:4" x14ac:dyDescent="0.25">
      <c r="C5" t="s">
        <v>2</v>
      </c>
      <c r="D5">
        <f>+D3*D4</f>
        <v>9268.4112000000005</v>
      </c>
    </row>
    <row r="6" spans="3:4" x14ac:dyDescent="0.25">
      <c r="C6" t="s">
        <v>3</v>
      </c>
      <c r="D6">
        <f>3115.1-5363.6-262.4</f>
        <v>-2510.9000000000005</v>
      </c>
    </row>
    <row r="7" spans="3:4" x14ac:dyDescent="0.25">
      <c r="C7" t="s">
        <v>4</v>
      </c>
      <c r="D7">
        <f>+D5-D6</f>
        <v>11779.3112</v>
      </c>
    </row>
    <row r="8" spans="3:4" x14ac:dyDescent="0.25">
      <c r="C8" t="s">
        <v>56</v>
      </c>
      <c r="D8">
        <f>+D3*D4/Sheet2!O27</f>
        <v>12.023237921204023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FF22-A617-405C-AE0E-1EC636F13EF3}">
  <dimension ref="A1:CK43"/>
  <sheetViews>
    <sheetView tabSelected="1" zoomScale="145" zoomScaleNormal="145" workbookViewId="0">
      <pane xSplit="3870" ySplit="855" topLeftCell="K24" activePane="bottomRight"/>
      <selection pane="topRight" activeCell="B1" sqref="B1"/>
      <selection pane="bottomLeft" activeCell="A3" sqref="A3"/>
      <selection pane="bottomRight" activeCell="Z34" sqref="Z34"/>
    </sheetView>
  </sheetViews>
  <sheetFormatPr defaultRowHeight="15" x14ac:dyDescent="0.25"/>
  <cols>
    <col min="1" max="1" width="21.42578125" bestFit="1" customWidth="1"/>
    <col min="26" max="26" width="11.140625" bestFit="1" customWidth="1"/>
  </cols>
  <sheetData>
    <row r="1" spans="1:23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</row>
    <row r="2" spans="1:23" x14ac:dyDescent="0.25">
      <c r="A2" t="s">
        <v>66</v>
      </c>
    </row>
    <row r="3" spans="1:23" x14ac:dyDescent="0.25">
      <c r="A3" t="s">
        <v>57</v>
      </c>
      <c r="B3">
        <v>849</v>
      </c>
      <c r="C3">
        <v>1269</v>
      </c>
      <c r="F3">
        <v>798</v>
      </c>
      <c r="G3">
        <v>1300</v>
      </c>
    </row>
    <row r="4" spans="1:23" x14ac:dyDescent="0.25">
      <c r="A4" t="s">
        <v>58</v>
      </c>
      <c r="B4">
        <v>1236</v>
      </c>
      <c r="C4">
        <v>1531</v>
      </c>
      <c r="F4">
        <v>1446</v>
      </c>
      <c r="G4">
        <v>1709</v>
      </c>
    </row>
    <row r="5" spans="1:23" x14ac:dyDescent="0.25">
      <c r="A5" t="s">
        <v>59</v>
      </c>
      <c r="B5">
        <v>571</v>
      </c>
      <c r="C5">
        <v>867</v>
      </c>
      <c r="F5">
        <v>682</v>
      </c>
      <c r="G5">
        <v>987</v>
      </c>
    </row>
    <row r="6" spans="1:23" x14ac:dyDescent="0.25">
      <c r="A6" t="s">
        <v>60</v>
      </c>
      <c r="B6">
        <v>767</v>
      </c>
      <c r="C6">
        <v>754</v>
      </c>
      <c r="F6">
        <v>837</v>
      </c>
      <c r="G6">
        <v>873</v>
      </c>
    </row>
    <row r="7" spans="1:23" x14ac:dyDescent="0.25">
      <c r="A7" t="s">
        <v>61</v>
      </c>
      <c r="B7">
        <v>444</v>
      </c>
      <c r="C7">
        <v>460</v>
      </c>
      <c r="F7">
        <v>527</v>
      </c>
      <c r="G7">
        <v>510</v>
      </c>
    </row>
    <row r="9" spans="1:23" s="1" customFormat="1" x14ac:dyDescent="0.25">
      <c r="A9" s="1" t="s">
        <v>13</v>
      </c>
      <c r="B9" s="1">
        <f>+SUM(B3:B7)</f>
        <v>3867</v>
      </c>
      <c r="F9" s="1">
        <f>+SUM(F3:F7)</f>
        <v>4290</v>
      </c>
      <c r="M9" s="1">
        <v>17564.7</v>
      </c>
      <c r="N9" s="1">
        <v>18806.7</v>
      </c>
      <c r="O9" s="1">
        <f>+N9*1.03</f>
        <v>19370.901000000002</v>
      </c>
      <c r="P9" s="1">
        <f>+O9*1.04</f>
        <v>20145.737040000004</v>
      </c>
      <c r="Q9" s="1">
        <f t="shared" ref="Q9:W9" si="0">+P9*1.02</f>
        <v>20548.651780800003</v>
      </c>
      <c r="R9" s="1">
        <f t="shared" si="0"/>
        <v>20959.624816416002</v>
      </c>
      <c r="S9" s="1">
        <f t="shared" si="0"/>
        <v>21378.817312744322</v>
      </c>
      <c r="T9" s="1">
        <f t="shared" si="0"/>
        <v>21806.393658999208</v>
      </c>
      <c r="U9" s="1">
        <f t="shared" si="0"/>
        <v>22242.521532179191</v>
      </c>
      <c r="V9" s="1">
        <f t="shared" si="0"/>
        <v>22687.371962822774</v>
      </c>
      <c r="W9" s="1">
        <f t="shared" si="0"/>
        <v>23141.119402079228</v>
      </c>
    </row>
    <row r="10" spans="1:23" s="1" customFormat="1" x14ac:dyDescent="0.25">
      <c r="A10" s="1" t="s">
        <v>14</v>
      </c>
      <c r="M10" s="1">
        <v>379.5</v>
      </c>
      <c r="N10" s="1">
        <v>517.70000000000005</v>
      </c>
      <c r="O10" s="1">
        <f>+N10*0.8</f>
        <v>414.16000000000008</v>
      </c>
      <c r="P10" s="1">
        <f>+O10*1.03</f>
        <v>426.58480000000009</v>
      </c>
      <c r="Q10" s="1">
        <f t="shared" ref="Q10:W10" si="1">+P10*1.03</f>
        <v>439.3823440000001</v>
      </c>
      <c r="R10" s="1">
        <f t="shared" si="1"/>
        <v>452.56381432000012</v>
      </c>
      <c r="S10" s="1">
        <f t="shared" si="1"/>
        <v>466.14072874960016</v>
      </c>
      <c r="T10" s="1">
        <f t="shared" si="1"/>
        <v>480.12495061208818</v>
      </c>
      <c r="U10" s="1">
        <f t="shared" si="1"/>
        <v>494.52869913045083</v>
      </c>
      <c r="V10" s="1">
        <f t="shared" si="1"/>
        <v>509.36456010436439</v>
      </c>
      <c r="W10" s="1">
        <f t="shared" si="1"/>
        <v>524.64549690749539</v>
      </c>
    </row>
    <row r="11" spans="1:23" s="1" customFormat="1" x14ac:dyDescent="0.25">
      <c r="A11" s="1" t="s">
        <v>15</v>
      </c>
      <c r="K11" s="7"/>
      <c r="M11" s="1">
        <v>6482.9</v>
      </c>
      <c r="N11" s="1">
        <v>7305.4</v>
      </c>
      <c r="O11" s="1">
        <f>+O9*0.42</f>
        <v>8135.7784200000006</v>
      </c>
      <c r="P11" s="1">
        <f>+P9*0.41</f>
        <v>8259.7521864000009</v>
      </c>
      <c r="Q11" s="1">
        <f t="shared" ref="Q11:W11" si="2">+Q9*0.4</f>
        <v>8219.4607123200021</v>
      </c>
      <c r="R11" s="1">
        <f t="shared" si="2"/>
        <v>8383.8499265664013</v>
      </c>
      <c r="S11" s="1">
        <f t="shared" si="2"/>
        <v>8551.526925097729</v>
      </c>
      <c r="T11" s="1">
        <f t="shared" si="2"/>
        <v>8722.5574635996836</v>
      </c>
      <c r="U11" s="1">
        <f t="shared" si="2"/>
        <v>8897.0086128716775</v>
      </c>
      <c r="V11" s="1">
        <f t="shared" si="2"/>
        <v>9074.9487851291105</v>
      </c>
      <c r="W11" s="1">
        <f t="shared" si="2"/>
        <v>9256.447760831692</v>
      </c>
    </row>
    <row r="12" spans="1:23" s="1" customFormat="1" x14ac:dyDescent="0.25">
      <c r="A12" s="1" t="s">
        <v>16</v>
      </c>
      <c r="M12" s="1">
        <v>3025.4</v>
      </c>
      <c r="N12" s="1">
        <v>3108</v>
      </c>
      <c r="O12" s="1">
        <f>+N12*1.01</f>
        <v>3139.08</v>
      </c>
      <c r="P12" s="1">
        <f t="shared" ref="P12:W12" si="3">+O12*1.01</f>
        <v>3170.4708000000001</v>
      </c>
      <c r="Q12" s="1">
        <f t="shared" si="3"/>
        <v>3202.1755080000003</v>
      </c>
      <c r="R12" s="1">
        <f t="shared" si="3"/>
        <v>3234.1972630800001</v>
      </c>
      <c r="S12" s="1">
        <f t="shared" si="3"/>
        <v>3266.5392357108003</v>
      </c>
      <c r="T12" s="1">
        <f t="shared" si="3"/>
        <v>3299.2046280679083</v>
      </c>
      <c r="U12" s="1">
        <f t="shared" si="3"/>
        <v>3332.1966743485873</v>
      </c>
      <c r="V12" s="1">
        <f t="shared" si="3"/>
        <v>3365.5186410920733</v>
      </c>
      <c r="W12" s="1">
        <f t="shared" si="3"/>
        <v>3399.1738275029938</v>
      </c>
    </row>
    <row r="13" spans="1:23" s="1" customFormat="1" x14ac:dyDescent="0.25">
      <c r="A13" s="1" t="s">
        <v>17</v>
      </c>
      <c r="M13" s="1">
        <v>5007.5</v>
      </c>
      <c r="N13" s="1">
        <v>5391.5</v>
      </c>
      <c r="O13" s="1">
        <f>3019*2</f>
        <v>6038</v>
      </c>
      <c r="P13" s="1">
        <f>+P9*0.3</f>
        <v>6043.7211120000011</v>
      </c>
      <c r="Q13" s="1">
        <f t="shared" ref="Q13:W13" si="4">+Q9*0.3</f>
        <v>6164.5955342400002</v>
      </c>
      <c r="R13" s="1">
        <f t="shared" si="4"/>
        <v>6287.8874449248005</v>
      </c>
      <c r="S13" s="1">
        <f t="shared" si="4"/>
        <v>6413.6451938232967</v>
      </c>
      <c r="T13" s="1">
        <f t="shared" si="4"/>
        <v>6541.9180976997623</v>
      </c>
      <c r="U13" s="1">
        <f t="shared" si="4"/>
        <v>6672.7564596537568</v>
      </c>
      <c r="V13" s="1">
        <f t="shared" si="4"/>
        <v>6806.2115888468315</v>
      </c>
      <c r="W13" s="1">
        <f t="shared" si="4"/>
        <v>6942.3358206237681</v>
      </c>
    </row>
    <row r="14" spans="1:23" s="1" customFormat="1" x14ac:dyDescent="0.25">
      <c r="A14" s="1" t="s">
        <v>18</v>
      </c>
      <c r="M14" s="1">
        <v>278.5</v>
      </c>
      <c r="N14" s="1">
        <v>356.1</v>
      </c>
      <c r="O14" s="1">
        <f>104*2</f>
        <v>208</v>
      </c>
      <c r="P14" s="1">
        <f t="shared" ref="P14:W14" si="5">+O14*0.98</f>
        <v>203.84</v>
      </c>
      <c r="Q14" s="1">
        <f t="shared" si="5"/>
        <v>199.76320000000001</v>
      </c>
      <c r="R14" s="1">
        <f t="shared" si="5"/>
        <v>195.76793600000002</v>
      </c>
      <c r="S14" s="1">
        <f t="shared" si="5"/>
        <v>191.85257728000002</v>
      </c>
      <c r="T14" s="1">
        <f t="shared" si="5"/>
        <v>188.01552573440003</v>
      </c>
      <c r="U14" s="1">
        <f t="shared" si="5"/>
        <v>184.25521521971203</v>
      </c>
      <c r="V14" s="1">
        <f t="shared" si="5"/>
        <v>180.5701109153178</v>
      </c>
      <c r="W14" s="1">
        <f t="shared" si="5"/>
        <v>176.95870869701145</v>
      </c>
    </row>
    <row r="15" spans="1:23" s="1" customFormat="1" x14ac:dyDescent="0.25">
      <c r="A15" s="1" t="s">
        <v>20</v>
      </c>
      <c r="B15" s="1">
        <f>+B9+B10-B11-B12-B13+B14</f>
        <v>3867</v>
      </c>
      <c r="C15" s="1">
        <f t="shared" ref="C15:I15" si="6">+C9+C10-C11-C12-C13+C14</f>
        <v>0</v>
      </c>
      <c r="D15" s="1">
        <f t="shared" si="6"/>
        <v>0</v>
      </c>
      <c r="E15" s="1">
        <f t="shared" si="6"/>
        <v>0</v>
      </c>
      <c r="F15" s="1">
        <f t="shared" si="6"/>
        <v>4290</v>
      </c>
      <c r="G15" s="1">
        <f t="shared" si="6"/>
        <v>0</v>
      </c>
      <c r="H15" s="1">
        <f t="shared" si="6"/>
        <v>0</v>
      </c>
      <c r="I15" s="1">
        <f t="shared" si="6"/>
        <v>0</v>
      </c>
      <c r="M15" s="1">
        <f>+M9+M10-M11-M12-M13+M14</f>
        <v>3706.9000000000015</v>
      </c>
      <c r="N15" s="1">
        <f t="shared" ref="N15" si="7">+N9+N10-N11-N12-N13+N14</f>
        <v>3875.6000000000017</v>
      </c>
      <c r="O15" s="1">
        <f t="shared" ref="O15" si="8">+O9+O10-O11-O12-O13+O14</f>
        <v>2680.202580000001</v>
      </c>
      <c r="P15" s="1">
        <f t="shared" ref="P15" si="9">+P9+P10-P11-P12-P13+P14</f>
        <v>3302.2177416000031</v>
      </c>
      <c r="Q15" s="1">
        <f t="shared" ref="Q15" si="10">+Q9+Q10-Q11-Q12-Q13+Q14</f>
        <v>3601.5655702400013</v>
      </c>
      <c r="R15" s="1">
        <f t="shared" ref="R15" si="11">+R9+R10-R11-R12-R13+R14</f>
        <v>3702.0219321648028</v>
      </c>
      <c r="S15" s="1">
        <f t="shared" ref="S15" si="12">+S9+S10-S11-S12-S13+S14</f>
        <v>3805.0992641420976</v>
      </c>
      <c r="T15" s="1">
        <f t="shared" ref="T15" si="13">+T9+T10-T11-T12-T13+T14</f>
        <v>3910.8539459783419</v>
      </c>
      <c r="U15" s="1">
        <f t="shared" ref="U15" si="14">+U9+U10-U11-U12-U13+U14</f>
        <v>4019.3436996553301</v>
      </c>
      <c r="V15" s="1">
        <f t="shared" ref="V15" si="15">+V9+V10-V11-V12-V13+V14</f>
        <v>4130.6276187744397</v>
      </c>
      <c r="W15" s="1">
        <f t="shared" ref="W15" si="16">+W9+W10-W11-W12-W13+W14</f>
        <v>4244.7661987252814</v>
      </c>
    </row>
    <row r="16" spans="1:23" s="1" customFormat="1" x14ac:dyDescent="0.25">
      <c r="A16" s="1" t="s">
        <v>19</v>
      </c>
      <c r="M16" s="1">
        <v>1343.9</v>
      </c>
      <c r="N16" s="1">
        <v>1260.5</v>
      </c>
      <c r="O16" s="1">
        <f>+N16*0.98</f>
        <v>1235.29</v>
      </c>
      <c r="P16" s="1">
        <f>+O16*0.99</f>
        <v>1222.9370999999999</v>
      </c>
      <c r="Q16" s="1">
        <f t="shared" ref="Q16:W16" si="17">+P16*0.99</f>
        <v>1210.707729</v>
      </c>
      <c r="R16" s="1">
        <f t="shared" si="17"/>
        <v>1198.60065171</v>
      </c>
      <c r="S16" s="1">
        <f t="shared" si="17"/>
        <v>1186.6146451928998</v>
      </c>
      <c r="T16" s="1">
        <f t="shared" si="17"/>
        <v>1174.7484987409709</v>
      </c>
      <c r="U16" s="1">
        <f t="shared" si="17"/>
        <v>1163.0010137535612</v>
      </c>
      <c r="V16" s="1">
        <f t="shared" si="17"/>
        <v>1151.3710036160255</v>
      </c>
      <c r="W16" s="1">
        <f t="shared" si="17"/>
        <v>1139.8572935798652</v>
      </c>
    </row>
    <row r="17" spans="1:89" s="1" customFormat="1" x14ac:dyDescent="0.25">
      <c r="A17" s="1" t="s">
        <v>21</v>
      </c>
      <c r="M17" s="1">
        <v>27.4</v>
      </c>
      <c r="N17" s="1">
        <v>775.1</v>
      </c>
      <c r="O17" s="1">
        <f>45*2</f>
        <v>90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</row>
    <row r="18" spans="1:89" s="1" customFormat="1" x14ac:dyDescent="0.25">
      <c r="A18" s="1" t="s">
        <v>22</v>
      </c>
      <c r="M18" s="1">
        <v>3705.5</v>
      </c>
      <c r="N18" s="1">
        <v>294</v>
      </c>
      <c r="O18" s="1">
        <f>108*2</f>
        <v>216</v>
      </c>
      <c r="P18" s="1">
        <v>500</v>
      </c>
      <c r="Q18" s="1">
        <v>500</v>
      </c>
      <c r="R18" s="1">
        <v>500</v>
      </c>
      <c r="S18" s="1">
        <v>500</v>
      </c>
      <c r="T18" s="1">
        <v>500</v>
      </c>
      <c r="U18" s="1">
        <v>500</v>
      </c>
      <c r="V18" s="1">
        <v>500</v>
      </c>
      <c r="W18" s="1">
        <v>500</v>
      </c>
    </row>
    <row r="19" spans="1:89" s="1" customFormat="1" x14ac:dyDescent="0.25">
      <c r="A19" s="1" t="s">
        <v>23</v>
      </c>
      <c r="B19" s="1">
        <f>+B15-B16+B17-B18</f>
        <v>3867</v>
      </c>
      <c r="C19" s="1">
        <f t="shared" ref="C19:I19" si="18">+C15-C16+C17-C18</f>
        <v>0</v>
      </c>
      <c r="D19" s="1">
        <f t="shared" si="18"/>
        <v>0</v>
      </c>
      <c r="E19" s="1">
        <f t="shared" si="18"/>
        <v>0</v>
      </c>
      <c r="F19" s="1">
        <f t="shared" si="18"/>
        <v>4290</v>
      </c>
      <c r="G19" s="1">
        <f t="shared" si="18"/>
        <v>0</v>
      </c>
      <c r="H19" s="1">
        <f t="shared" si="18"/>
        <v>0</v>
      </c>
      <c r="I19" s="1">
        <f t="shared" si="18"/>
        <v>0</v>
      </c>
      <c r="M19" s="1">
        <f>+M15-M16+M17-M18</f>
        <v>-1315.0999999999985</v>
      </c>
      <c r="N19" s="1">
        <f t="shared" ref="N19" si="19">+N15-N16+N17-N18</f>
        <v>3096.2000000000016</v>
      </c>
      <c r="O19" s="1">
        <f t="shared" ref="O19" si="20">+O15-O16+O17-O18</f>
        <v>1318.9125800000011</v>
      </c>
      <c r="P19" s="1">
        <f t="shared" ref="P19" si="21">+P15-P16+P17-P18</f>
        <v>1579.280641600003</v>
      </c>
      <c r="Q19" s="1">
        <f t="shared" ref="Q19" si="22">+Q15-Q16+Q17-Q18</f>
        <v>1890.8578412400011</v>
      </c>
      <c r="R19" s="1">
        <f t="shared" ref="R19" si="23">+R15-R16+R17-R18</f>
        <v>2003.4212804548029</v>
      </c>
      <c r="S19" s="1">
        <f t="shared" ref="S19" si="24">+S15-S16+S17-S18</f>
        <v>2118.4846189491977</v>
      </c>
      <c r="T19" s="1">
        <f t="shared" ref="T19" si="25">+T15-T16+T17-T18</f>
        <v>2236.1054472373708</v>
      </c>
      <c r="U19" s="1">
        <f t="shared" ref="U19" si="26">+U15-U16+U17-U18</f>
        <v>2356.3426859017691</v>
      </c>
      <c r="V19" s="1">
        <f t="shared" ref="V19" si="27">+V15-V16+V17-V18</f>
        <v>2479.2566151584142</v>
      </c>
      <c r="W19" s="1">
        <f t="shared" ref="W19" si="28">+W15-W16+W17-W18</f>
        <v>2604.9089051454162</v>
      </c>
    </row>
    <row r="20" spans="1:89" s="1" customFormat="1" x14ac:dyDescent="0.25">
      <c r="A20" s="1" t="s">
        <v>24</v>
      </c>
      <c r="M20" s="1">
        <v>40.1</v>
      </c>
      <c r="N20" s="1">
        <v>29.1</v>
      </c>
      <c r="O20" s="1">
        <f>+N20*0.7</f>
        <v>20.37</v>
      </c>
      <c r="P20" s="1">
        <f>+O20*0.9</f>
        <v>18.333000000000002</v>
      </c>
      <c r="Q20" s="1">
        <f t="shared" ref="Q20:W20" si="29">+P20*0.9</f>
        <v>16.499700000000001</v>
      </c>
      <c r="R20" s="1">
        <f t="shared" si="29"/>
        <v>14.849730000000001</v>
      </c>
      <c r="S20" s="1">
        <f t="shared" si="29"/>
        <v>13.364757000000001</v>
      </c>
      <c r="T20" s="1">
        <f t="shared" si="29"/>
        <v>12.028281300000002</v>
      </c>
      <c r="U20" s="1">
        <f t="shared" si="29"/>
        <v>10.825453170000001</v>
      </c>
      <c r="V20" s="1">
        <f t="shared" si="29"/>
        <v>9.7429078530000019</v>
      </c>
      <c r="W20" s="1">
        <f t="shared" si="29"/>
        <v>8.7686170677000028</v>
      </c>
    </row>
    <row r="21" spans="1:89" s="1" customFormat="1" x14ac:dyDescent="0.25">
      <c r="A21" s="1" t="s">
        <v>25</v>
      </c>
      <c r="M21" s="1">
        <v>233</v>
      </c>
      <c r="N21" s="1">
        <v>220.8</v>
      </c>
      <c r="O21" s="1">
        <f>+N21*0.98</f>
        <v>216.38400000000001</v>
      </c>
      <c r="P21" s="1">
        <f t="shared" ref="P21:W21" si="30">+O21*0.98</f>
        <v>212.05632</v>
      </c>
      <c r="Q21" s="1">
        <f t="shared" si="30"/>
        <v>207.81519359999999</v>
      </c>
      <c r="R21" s="1">
        <f t="shared" si="30"/>
        <v>203.65888972799999</v>
      </c>
      <c r="S21" s="1">
        <f t="shared" si="30"/>
        <v>199.58571193344</v>
      </c>
      <c r="T21" s="1">
        <f t="shared" si="30"/>
        <v>195.59399769477119</v>
      </c>
      <c r="U21" s="1">
        <f t="shared" si="30"/>
        <v>191.68211774087575</v>
      </c>
      <c r="V21" s="1">
        <f t="shared" si="30"/>
        <v>187.84847538605823</v>
      </c>
      <c r="W21" s="1">
        <f t="shared" si="30"/>
        <v>184.09150587833705</v>
      </c>
    </row>
    <row r="22" spans="1:89" s="1" customFormat="1" x14ac:dyDescent="0.25">
      <c r="A22" s="1" t="s">
        <v>26</v>
      </c>
      <c r="M22" s="1">
        <v>-11.7</v>
      </c>
      <c r="N22" s="1">
        <v>9.8000000000000007</v>
      </c>
      <c r="O22" s="1">
        <v>10</v>
      </c>
      <c r="P22" s="1">
        <v>10</v>
      </c>
      <c r="Q22" s="1">
        <v>10</v>
      </c>
      <c r="R22" s="1">
        <v>10</v>
      </c>
      <c r="S22" s="1">
        <v>10</v>
      </c>
      <c r="T22" s="1">
        <v>10</v>
      </c>
      <c r="U22" s="1">
        <v>10</v>
      </c>
      <c r="V22" s="1">
        <v>10</v>
      </c>
      <c r="W22" s="1">
        <v>10</v>
      </c>
    </row>
    <row r="23" spans="1:89" s="1" customFormat="1" x14ac:dyDescent="0.25">
      <c r="A23" s="1" t="s">
        <v>27</v>
      </c>
      <c r="M23" s="1">
        <v>16.899999999999999</v>
      </c>
      <c r="N23" s="1">
        <v>28.9</v>
      </c>
      <c r="O23" s="1">
        <f>+N23*2</f>
        <v>57.8</v>
      </c>
      <c r="P23" s="1">
        <f t="shared" ref="P23:W23" si="31">+O23*1.02</f>
        <v>58.955999999999996</v>
      </c>
      <c r="Q23" s="1">
        <f t="shared" si="31"/>
        <v>60.135119999999993</v>
      </c>
      <c r="R23" s="1">
        <f t="shared" si="31"/>
        <v>61.337822399999993</v>
      </c>
      <c r="S23" s="1">
        <f t="shared" si="31"/>
        <v>62.564578847999996</v>
      </c>
      <c r="T23" s="1">
        <f t="shared" si="31"/>
        <v>63.815870424959996</v>
      </c>
      <c r="U23" s="1">
        <f t="shared" si="31"/>
        <v>65.092187833459192</v>
      </c>
      <c r="V23" s="1">
        <f t="shared" si="31"/>
        <v>66.394031590128378</v>
      </c>
      <c r="W23" s="1">
        <f t="shared" si="31"/>
        <v>67.72191222193095</v>
      </c>
    </row>
    <row r="24" spans="1:89" s="1" customFormat="1" x14ac:dyDescent="0.25">
      <c r="A24" s="1" t="s">
        <v>28</v>
      </c>
      <c r="M24" s="1">
        <v>-99.9</v>
      </c>
      <c r="N24" s="1">
        <v>-48.3</v>
      </c>
      <c r="O24" s="1">
        <f>+N24*0.5</f>
        <v>-24.15</v>
      </c>
      <c r="P24" s="1">
        <f t="shared" ref="P24:W24" si="32">+O24*0.95</f>
        <v>-22.942499999999999</v>
      </c>
      <c r="Q24" s="1">
        <f t="shared" si="32"/>
        <v>-21.795374999999996</v>
      </c>
      <c r="R24" s="1">
        <f t="shared" si="32"/>
        <v>-20.705606249999995</v>
      </c>
      <c r="S24" s="1">
        <f t="shared" si="32"/>
        <v>-19.670325937499996</v>
      </c>
      <c r="T24" s="1">
        <f t="shared" si="32"/>
        <v>-18.686809640624997</v>
      </c>
      <c r="U24" s="1">
        <f t="shared" si="32"/>
        <v>-17.752469158593748</v>
      </c>
      <c r="V24" s="1">
        <f t="shared" si="32"/>
        <v>-16.864845700664059</v>
      </c>
      <c r="W24" s="1">
        <f t="shared" si="32"/>
        <v>-16.021603415630857</v>
      </c>
    </row>
    <row r="25" spans="1:89" s="1" customFormat="1" x14ac:dyDescent="0.25">
      <c r="A25" s="1" t="s">
        <v>29</v>
      </c>
      <c r="B25" s="1">
        <f>+B19+B20-B21+B22+B23+B24</f>
        <v>3867</v>
      </c>
      <c r="C25" s="1">
        <f t="shared" ref="C25:I25" si="33">+C19+C20-C21+C22+C23+C24</f>
        <v>0</v>
      </c>
      <c r="D25" s="1">
        <f t="shared" si="33"/>
        <v>0</v>
      </c>
      <c r="E25" s="1">
        <f t="shared" si="33"/>
        <v>0</v>
      </c>
      <c r="F25" s="1">
        <f t="shared" si="33"/>
        <v>4290</v>
      </c>
      <c r="G25" s="1">
        <f t="shared" si="33"/>
        <v>0</v>
      </c>
      <c r="H25" s="1">
        <f t="shared" si="33"/>
        <v>0</v>
      </c>
      <c r="I25" s="1">
        <f t="shared" si="33"/>
        <v>0</v>
      </c>
      <c r="M25" s="1">
        <f>+M19+M20-M21+M22+M23+M24</f>
        <v>-1602.6999999999987</v>
      </c>
      <c r="N25" s="1">
        <f t="shared" ref="N25" si="34">+N19+N20-N21+N22+N23+N24</f>
        <v>2894.9000000000015</v>
      </c>
      <c r="O25" s="1">
        <f t="shared" ref="O25" si="35">+O19+O20-O21+O22+O23+O24</f>
        <v>1166.5485800000008</v>
      </c>
      <c r="P25" s="1">
        <f t="shared" ref="P25" si="36">+P19+P20-P21+P22+P23+P24</f>
        <v>1431.570821600003</v>
      </c>
      <c r="Q25" s="1">
        <f t="shared" ref="Q25" si="37">+Q19+Q20-Q21+Q22+Q23+Q24</f>
        <v>1747.8820926400012</v>
      </c>
      <c r="R25" s="1">
        <f t="shared" ref="R25" si="38">+R19+R20-R21+R22+R23+R24</f>
        <v>1865.2443368768027</v>
      </c>
      <c r="S25" s="1">
        <f t="shared" ref="S25" si="39">+S19+S20-S21+S22+S23+S24</f>
        <v>1985.1579169262577</v>
      </c>
      <c r="T25" s="1">
        <f t="shared" ref="T25" si="40">+T19+T20-T21+T22+T23+T24</f>
        <v>2107.6687916269343</v>
      </c>
      <c r="U25" s="1">
        <f t="shared" ref="U25" si="41">+U19+U20-U21+U22+U23+U24</f>
        <v>2232.8257400057591</v>
      </c>
      <c r="V25" s="1">
        <f t="shared" ref="V25" si="42">+V19+V20-V21+V22+V23+V24</f>
        <v>2360.6802335148204</v>
      </c>
      <c r="W25" s="1">
        <f t="shared" ref="W25" si="43">+W19+W20-W21+W22+W23+W24</f>
        <v>2491.2863251410786</v>
      </c>
    </row>
    <row r="26" spans="1:89" s="1" customFormat="1" x14ac:dyDescent="0.25">
      <c r="A26" s="1" t="s">
        <v>30</v>
      </c>
      <c r="M26" s="1">
        <v>334.5</v>
      </c>
      <c r="N26" s="1">
        <v>946.7</v>
      </c>
      <c r="O26" s="1">
        <f>+O19*0.3</f>
        <v>395.67377400000032</v>
      </c>
      <c r="P26" s="1">
        <f t="shared" ref="P26:W26" si="44">+P19*0.3</f>
        <v>473.78419248000091</v>
      </c>
      <c r="Q26" s="1">
        <f t="shared" si="44"/>
        <v>567.25735237200035</v>
      </c>
      <c r="R26" s="1">
        <f t="shared" si="44"/>
        <v>601.02638413644081</v>
      </c>
      <c r="S26" s="1">
        <f t="shared" si="44"/>
        <v>635.54538568475925</v>
      </c>
      <c r="T26" s="1">
        <f t="shared" si="44"/>
        <v>670.83163417121125</v>
      </c>
      <c r="U26" s="1">
        <f t="shared" si="44"/>
        <v>706.90280577053068</v>
      </c>
      <c r="V26" s="1">
        <f t="shared" si="44"/>
        <v>743.77698454752419</v>
      </c>
      <c r="W26" s="1">
        <f t="shared" si="44"/>
        <v>781.47267154362487</v>
      </c>
    </row>
    <row r="27" spans="1:89" s="1" customFormat="1" x14ac:dyDescent="0.25">
      <c r="A27" s="1" t="s">
        <v>31</v>
      </c>
      <c r="B27" s="1">
        <f>+B25-B26</f>
        <v>3867</v>
      </c>
      <c r="C27" s="1">
        <f t="shared" ref="C27:I27" si="45">+C25-C26</f>
        <v>0</v>
      </c>
      <c r="D27" s="1">
        <f t="shared" si="45"/>
        <v>0</v>
      </c>
      <c r="E27" s="1">
        <f t="shared" si="45"/>
        <v>0</v>
      </c>
      <c r="F27" s="1">
        <f t="shared" si="45"/>
        <v>4290</v>
      </c>
      <c r="G27" s="1">
        <f t="shared" si="45"/>
        <v>0</v>
      </c>
      <c r="H27" s="1">
        <f t="shared" si="45"/>
        <v>0</v>
      </c>
      <c r="I27" s="1">
        <f t="shared" si="45"/>
        <v>0</v>
      </c>
      <c r="M27" s="1">
        <f>+M25-M26</f>
        <v>-1937.1999999999987</v>
      </c>
      <c r="N27" s="1">
        <f t="shared" ref="N27" si="46">+N25-N26</f>
        <v>1948.2000000000014</v>
      </c>
      <c r="O27" s="1">
        <f t="shared" ref="O27" si="47">+O25-O26</f>
        <v>770.87480600000049</v>
      </c>
      <c r="P27" s="1">
        <f t="shared" ref="P27" si="48">+P25-P26</f>
        <v>957.78662912000209</v>
      </c>
      <c r="Q27" s="1">
        <f t="shared" ref="Q27" si="49">+Q25-Q26</f>
        <v>1180.624740268001</v>
      </c>
      <c r="R27" s="1">
        <f t="shared" ref="R27" si="50">+R25-R26</f>
        <v>1264.2179527403619</v>
      </c>
      <c r="S27" s="1">
        <f t="shared" ref="S27" si="51">+S25-S26</f>
        <v>1349.6125312414983</v>
      </c>
      <c r="T27" s="1">
        <f t="shared" ref="T27" si="52">+T25-T26</f>
        <v>1436.8371574557232</v>
      </c>
      <c r="U27" s="1">
        <f t="shared" ref="U27" si="53">+U25-U26</f>
        <v>1525.9229342352285</v>
      </c>
      <c r="V27" s="1">
        <f t="shared" ref="V27" si="54">+V25-V26</f>
        <v>1616.9032489672963</v>
      </c>
      <c r="W27" s="1">
        <f t="shared" ref="W27" si="55">+W25-W26</f>
        <v>1709.8136535974536</v>
      </c>
      <c r="X27" s="1">
        <f t="shared" ref="X27:BC27" si="56">+W27*(1+MV)</f>
        <v>1675.6173805255046</v>
      </c>
      <c r="Y27" s="1">
        <f t="shared" si="56"/>
        <v>1642.1050329149944</v>
      </c>
      <c r="Z27" s="1">
        <f t="shared" si="56"/>
        <v>1609.2629322566945</v>
      </c>
      <c r="AA27" s="1">
        <f t="shared" si="56"/>
        <v>1577.0776736115606</v>
      </c>
      <c r="AB27" s="1">
        <f t="shared" si="56"/>
        <v>1545.5361201393293</v>
      </c>
      <c r="AC27" s="1">
        <f t="shared" si="56"/>
        <v>1514.6253977365427</v>
      </c>
      <c r="AD27" s="1">
        <f t="shared" si="56"/>
        <v>1484.3328897818119</v>
      </c>
      <c r="AE27" s="1">
        <f t="shared" si="56"/>
        <v>1454.6462319861757</v>
      </c>
      <c r="AF27" s="1">
        <f t="shared" si="56"/>
        <v>1425.5533073464521</v>
      </c>
      <c r="AG27" s="1">
        <f t="shared" si="56"/>
        <v>1397.042241199523</v>
      </c>
      <c r="AH27" s="1">
        <f t="shared" si="56"/>
        <v>1369.1013963755324</v>
      </c>
      <c r="AI27" s="1">
        <f t="shared" si="56"/>
        <v>1341.7193684480217</v>
      </c>
      <c r="AJ27" s="1">
        <f t="shared" si="56"/>
        <v>1314.8849810790612</v>
      </c>
      <c r="AK27" s="1">
        <f t="shared" si="56"/>
        <v>1288.58728145748</v>
      </c>
      <c r="AL27" s="1">
        <f t="shared" si="56"/>
        <v>1262.8155358283304</v>
      </c>
      <c r="AM27" s="1">
        <f t="shared" si="56"/>
        <v>1237.5592251117639</v>
      </c>
      <c r="AN27" s="1">
        <f t="shared" si="56"/>
        <v>1212.8080406095287</v>
      </c>
      <c r="AO27" s="1">
        <f t="shared" si="56"/>
        <v>1188.5518797973382</v>
      </c>
      <c r="AP27" s="1">
        <f t="shared" si="56"/>
        <v>1164.7808422013914</v>
      </c>
      <c r="AQ27" s="1">
        <f t="shared" si="56"/>
        <v>1141.4852253573636</v>
      </c>
      <c r="AR27" s="1">
        <f t="shared" si="56"/>
        <v>1118.6555208502164</v>
      </c>
      <c r="AS27" s="1">
        <f t="shared" si="56"/>
        <v>1096.2824104332119</v>
      </c>
      <c r="AT27" s="1">
        <f t="shared" si="56"/>
        <v>1074.3567622245475</v>
      </c>
      <c r="AU27" s="1">
        <f t="shared" si="56"/>
        <v>1052.8696269800566</v>
      </c>
      <c r="AV27" s="1">
        <f t="shared" si="56"/>
        <v>1031.8122344404555</v>
      </c>
      <c r="AW27" s="1">
        <f t="shared" si="56"/>
        <v>1011.1759897516464</v>
      </c>
      <c r="AX27" s="1">
        <f t="shared" si="56"/>
        <v>990.95246995661341</v>
      </c>
      <c r="AY27" s="1">
        <f t="shared" si="56"/>
        <v>971.13342055748114</v>
      </c>
      <c r="AZ27" s="1">
        <f t="shared" si="56"/>
        <v>951.71075214633152</v>
      </c>
      <c r="BA27" s="1">
        <f t="shared" si="56"/>
        <v>932.67653710340483</v>
      </c>
      <c r="BB27" s="1">
        <f t="shared" si="56"/>
        <v>914.02300636133668</v>
      </c>
      <c r="BC27" s="1">
        <f t="shared" si="56"/>
        <v>895.74254623410991</v>
      </c>
      <c r="BD27" s="1">
        <f t="shared" ref="BD27:CK27" si="57">+BC27*(1+MV)</f>
        <v>877.82769530942767</v>
      </c>
      <c r="BE27" s="1">
        <f t="shared" si="57"/>
        <v>860.27114140323908</v>
      </c>
      <c r="BF27" s="1">
        <f t="shared" si="57"/>
        <v>843.06571857517429</v>
      </c>
      <c r="BG27" s="1">
        <f t="shared" si="57"/>
        <v>826.20440420367083</v>
      </c>
      <c r="BH27" s="1">
        <f t="shared" si="57"/>
        <v>809.68031611959736</v>
      </c>
      <c r="BI27" s="1">
        <f t="shared" si="57"/>
        <v>793.48670979720544</v>
      </c>
      <c r="BJ27" s="1">
        <f t="shared" si="57"/>
        <v>777.61697560126129</v>
      </c>
      <c r="BK27" s="1">
        <f t="shared" si="57"/>
        <v>762.06463608923605</v>
      </c>
      <c r="BL27" s="1">
        <f t="shared" si="57"/>
        <v>746.82334336745134</v>
      </c>
      <c r="BM27" s="1">
        <f t="shared" si="57"/>
        <v>731.88687650010229</v>
      </c>
      <c r="BN27" s="1">
        <f t="shared" si="57"/>
        <v>717.24913897010026</v>
      </c>
      <c r="BO27" s="1">
        <f t="shared" si="57"/>
        <v>702.90415619069825</v>
      </c>
      <c r="BP27" s="1">
        <f t="shared" si="57"/>
        <v>688.84607306688429</v>
      </c>
      <c r="BQ27" s="1">
        <f t="shared" si="57"/>
        <v>675.06915160554661</v>
      </c>
      <c r="BR27" s="1">
        <f t="shared" si="57"/>
        <v>661.56776857343561</v>
      </c>
      <c r="BS27" s="1">
        <f t="shared" si="57"/>
        <v>648.33641320196693</v>
      </c>
      <c r="BT27" s="1">
        <f t="shared" si="57"/>
        <v>635.36968493792756</v>
      </c>
      <c r="BU27" s="1">
        <f t="shared" si="57"/>
        <v>622.66229123916901</v>
      </c>
      <c r="BV27" s="1">
        <f t="shared" si="57"/>
        <v>610.20904541438563</v>
      </c>
      <c r="BW27" s="1">
        <f t="shared" si="57"/>
        <v>598.00486450609787</v>
      </c>
      <c r="BX27" s="1">
        <f t="shared" si="57"/>
        <v>586.04476721597587</v>
      </c>
      <c r="BY27" s="1">
        <f t="shared" si="57"/>
        <v>574.32387187165637</v>
      </c>
      <c r="BZ27" s="1">
        <f t="shared" si="57"/>
        <v>562.83739443422326</v>
      </c>
      <c r="CA27" s="1">
        <f t="shared" si="57"/>
        <v>551.5806465455388</v>
      </c>
      <c r="CB27" s="1">
        <f t="shared" si="57"/>
        <v>540.549033614628</v>
      </c>
      <c r="CC27" s="1">
        <f t="shared" si="57"/>
        <v>529.73805294233546</v>
      </c>
      <c r="CD27" s="1">
        <f t="shared" si="57"/>
        <v>519.1432918834887</v>
      </c>
      <c r="CE27" s="1">
        <f t="shared" si="57"/>
        <v>508.76042604581892</v>
      </c>
      <c r="CF27" s="1">
        <f t="shared" si="57"/>
        <v>498.58521752490253</v>
      </c>
      <c r="CG27" s="1">
        <f t="shared" si="57"/>
        <v>488.61351317440449</v>
      </c>
      <c r="CH27" s="1">
        <f t="shared" si="57"/>
        <v>478.84124291091638</v>
      </c>
      <c r="CI27" s="1">
        <f t="shared" si="57"/>
        <v>469.26441805269803</v>
      </c>
      <c r="CJ27" s="1">
        <f t="shared" si="57"/>
        <v>459.87912969164404</v>
      </c>
      <c r="CK27" s="1">
        <f t="shared" si="57"/>
        <v>450.68154709781118</v>
      </c>
    </row>
    <row r="28" spans="1:89" s="1" customFormat="1" x14ac:dyDescent="0.25">
      <c r="M28" s="6"/>
      <c r="N28" s="6"/>
    </row>
    <row r="29" spans="1:89" s="2" customFormat="1" x14ac:dyDescent="0.25">
      <c r="A29" s="2" t="s">
        <v>55</v>
      </c>
      <c r="M29" s="2">
        <f>+M11/M9</f>
        <v>0.36908686171696636</v>
      </c>
      <c r="N29" s="2">
        <f t="shared" ref="N29:W29" si="58">+N11/N9</f>
        <v>0.38844667060143456</v>
      </c>
      <c r="O29" s="2">
        <f>+O11/O9</f>
        <v>0.42</v>
      </c>
      <c r="P29" s="2">
        <f t="shared" si="58"/>
        <v>0.41</v>
      </c>
      <c r="Q29" s="2">
        <f t="shared" si="58"/>
        <v>0.40000000000000008</v>
      </c>
      <c r="R29" s="2">
        <f t="shared" si="58"/>
        <v>0.4</v>
      </c>
      <c r="S29" s="2">
        <f t="shared" si="58"/>
        <v>0.4</v>
      </c>
      <c r="T29" s="2">
        <f t="shared" si="58"/>
        <v>0.4</v>
      </c>
      <c r="U29" s="2">
        <f t="shared" si="58"/>
        <v>0.4</v>
      </c>
      <c r="V29" s="2">
        <f t="shared" si="58"/>
        <v>0.4</v>
      </c>
      <c r="W29" s="2">
        <f t="shared" si="58"/>
        <v>0.4</v>
      </c>
      <c r="Y29" s="2" t="s">
        <v>48</v>
      </c>
      <c r="Z29" s="2">
        <v>0.08</v>
      </c>
    </row>
    <row r="30" spans="1:89" s="2" customFormat="1" x14ac:dyDescent="0.25">
      <c r="A30" s="2" t="s">
        <v>47</v>
      </c>
      <c r="M30" s="2">
        <f>+M15/M9</f>
        <v>0.21104260249249923</v>
      </c>
      <c r="N30" s="2">
        <f>+N15/N9</f>
        <v>0.20607549437168676</v>
      </c>
      <c r="O30" s="2">
        <f>+O15/O9</f>
        <v>0.13836230849561415</v>
      </c>
      <c r="P30" s="2">
        <f t="shared" ref="P30:W30" si="59">+P15/P9</f>
        <v>0.1639164521527976</v>
      </c>
      <c r="Q30" s="2">
        <f t="shared" si="59"/>
        <v>0.17527016412848984</v>
      </c>
      <c r="R30" s="2">
        <f t="shared" si="59"/>
        <v>0.17662634539456568</v>
      </c>
      <c r="S30" s="2">
        <f t="shared" si="59"/>
        <v>0.17798455398530419</v>
      </c>
      <c r="T30" s="2">
        <f t="shared" si="59"/>
        <v>0.17934437060684652</v>
      </c>
      <c r="U30" s="2">
        <f t="shared" si="59"/>
        <v>0.18070539771492977</v>
      </c>
      <c r="V30" s="2">
        <f t="shared" si="59"/>
        <v>0.18206725862930248</v>
      </c>
      <c r="W30" s="2">
        <f t="shared" si="59"/>
        <v>0.1834295966833778</v>
      </c>
      <c r="Y30" s="2" t="s">
        <v>49</v>
      </c>
      <c r="Z30" s="2">
        <v>-0.02</v>
      </c>
    </row>
    <row r="31" spans="1:89" s="2" customFormat="1" x14ac:dyDescent="0.25">
      <c r="A31" s="2" t="s">
        <v>45</v>
      </c>
      <c r="M31" s="2">
        <f>+M27/M9</f>
        <v>-0.11028938723690121</v>
      </c>
      <c r="N31" s="2">
        <f>+N27/N9</f>
        <v>0.10359074159740951</v>
      </c>
      <c r="O31" s="2">
        <f>+O27/O9</f>
        <v>3.9795505949878143E-2</v>
      </c>
      <c r="P31" s="2">
        <f t="shared" ref="P31:W31" si="60">+P27/P9</f>
        <v>4.754289342793893E-2</v>
      </c>
      <c r="Q31" s="2">
        <f t="shared" si="60"/>
        <v>5.7455095003903792E-2</v>
      </c>
      <c r="R31" s="2">
        <f t="shared" si="60"/>
        <v>6.0316821689966549E-2</v>
      </c>
      <c r="S31" s="2">
        <f t="shared" si="60"/>
        <v>6.3128493569051106E-2</v>
      </c>
      <c r="T31" s="2">
        <f t="shared" si="60"/>
        <v>6.5890636476827955E-2</v>
      </c>
      <c r="U31" s="2">
        <f t="shared" si="60"/>
        <v>6.8603864540610265E-2</v>
      </c>
      <c r="V31" s="2">
        <f t="shared" si="60"/>
        <v>7.1268864971089432E-2</v>
      </c>
      <c r="W31" s="2">
        <f t="shared" si="60"/>
        <v>7.3886384832525728E-2</v>
      </c>
      <c r="Y31" t="s">
        <v>50</v>
      </c>
      <c r="Z31" s="3">
        <f>NPV(Z29,O43:CK43)</f>
        <v>15806.446493085519</v>
      </c>
    </row>
    <row r="32" spans="1:89" x14ac:dyDescent="0.25">
      <c r="Y32" t="s">
        <v>3</v>
      </c>
    </row>
    <row r="33" spans="1:89" x14ac:dyDescent="0.25">
      <c r="A33" s="1" t="s">
        <v>46</v>
      </c>
      <c r="N33" s="2">
        <f>+N9/M9 -1</f>
        <v>7.0710003586739401E-2</v>
      </c>
      <c r="O33" s="2">
        <f>+O9/N9 -1</f>
        <v>3.0000000000000027E-2</v>
      </c>
      <c r="P33" s="2">
        <f t="shared" ref="P33:W33" si="61">+P9/O9 -1</f>
        <v>4.0000000000000036E-2</v>
      </c>
      <c r="Q33" s="2">
        <f t="shared" si="61"/>
        <v>2.0000000000000018E-2</v>
      </c>
      <c r="R33" s="2">
        <f t="shared" si="61"/>
        <v>2.0000000000000018E-2</v>
      </c>
      <c r="S33" s="2">
        <f t="shared" si="61"/>
        <v>2.0000000000000018E-2</v>
      </c>
      <c r="T33" s="2">
        <f t="shared" si="61"/>
        <v>2.0000000000000018E-2</v>
      </c>
      <c r="U33" s="2">
        <f t="shared" si="61"/>
        <v>2.0000000000000018E-2</v>
      </c>
      <c r="V33" s="2">
        <f t="shared" si="61"/>
        <v>2.0000000000000018E-2</v>
      </c>
      <c r="W33" s="2">
        <f t="shared" si="61"/>
        <v>2.0000000000000018E-2</v>
      </c>
      <c r="Y33" t="s">
        <v>51</v>
      </c>
      <c r="Z33" s="3">
        <f>+Z31+Z32</f>
        <v>15806.446493085519</v>
      </c>
    </row>
    <row r="34" spans="1:89" x14ac:dyDescent="0.25">
      <c r="A34" s="1" t="s">
        <v>65</v>
      </c>
      <c r="N34" s="2"/>
      <c r="O34" s="2">
        <f>+O27/N27 -1</f>
        <v>-0.60431433836361781</v>
      </c>
      <c r="P34" s="2">
        <f t="shared" ref="P34:W34" si="62">+P27/O27 -1</f>
        <v>0.24246715765672788</v>
      </c>
      <c r="Q34" s="2">
        <f t="shared" si="62"/>
        <v>0.23265945083482609</v>
      </c>
      <c r="R34" s="2">
        <f t="shared" si="62"/>
        <v>7.0804218835347488E-2</v>
      </c>
      <c r="S34" s="2">
        <f t="shared" si="62"/>
        <v>6.7547354723156872E-2</v>
      </c>
      <c r="T34" s="2">
        <f t="shared" si="62"/>
        <v>6.4629383763936676E-2</v>
      </c>
      <c r="U34" s="2">
        <f t="shared" si="62"/>
        <v>6.2001303569608313E-2</v>
      </c>
      <c r="V34" s="2">
        <f t="shared" si="62"/>
        <v>5.9623138686008437E-2</v>
      </c>
      <c r="W34" s="2">
        <f t="shared" si="62"/>
        <v>5.7461944423389921E-2</v>
      </c>
      <c r="Y34" t="s">
        <v>0</v>
      </c>
      <c r="Z34" s="4">
        <f>+Z33/Sheet1!D4</f>
        <v>81.859707699212237</v>
      </c>
    </row>
    <row r="35" spans="1:89" x14ac:dyDescent="0.25">
      <c r="A35" s="1"/>
      <c r="Y35" t="s">
        <v>53</v>
      </c>
      <c r="Z35" s="5">
        <f>+O40/Sheet1!D3</f>
        <v>4.9999999999999996E-2</v>
      </c>
    </row>
    <row r="36" spans="1:89" x14ac:dyDescent="0.25">
      <c r="A36" t="s">
        <v>43</v>
      </c>
      <c r="M36">
        <v>6500.7</v>
      </c>
      <c r="N36">
        <v>6866.8</v>
      </c>
      <c r="Y36" s="1" t="s">
        <v>64</v>
      </c>
      <c r="Z36" s="3">
        <f>NPV(Z29,O38:CK38)/Sheet1!D4</f>
        <v>26.705292402530809</v>
      </c>
    </row>
    <row r="38" spans="1:89" s="1" customFormat="1" x14ac:dyDescent="0.25">
      <c r="A38" s="1" t="s">
        <v>44</v>
      </c>
      <c r="M38" s="1">
        <v>119.1</v>
      </c>
      <c r="N38" s="1">
        <v>436.5</v>
      </c>
      <c r="O38" s="1">
        <f>+N38*1.005</f>
        <v>438.68249999999995</v>
      </c>
      <c r="P38" s="1">
        <f t="shared" ref="P38:Q38" si="63">+O38*1.005</f>
        <v>440.87591249999991</v>
      </c>
      <c r="Q38" s="1">
        <f t="shared" si="63"/>
        <v>443.08029206249989</v>
      </c>
      <c r="R38" s="1">
        <f>+Q38*1.012</f>
        <v>448.39725556724989</v>
      </c>
      <c r="S38" s="1">
        <f t="shared" ref="S38:W38" si="64">+R38*1.012</f>
        <v>453.77802263405687</v>
      </c>
      <c r="T38" s="1">
        <f t="shared" si="64"/>
        <v>459.22335890566558</v>
      </c>
      <c r="U38" s="1">
        <f t="shared" si="64"/>
        <v>464.73403921253356</v>
      </c>
      <c r="V38" s="1">
        <f t="shared" si="64"/>
        <v>470.31084768308398</v>
      </c>
      <c r="W38" s="1">
        <f t="shared" si="64"/>
        <v>475.954577855281</v>
      </c>
      <c r="X38" s="1">
        <f t="shared" ref="X38" si="65">+W38*(1+MV)</f>
        <v>466.43548629817536</v>
      </c>
      <c r="Y38" s="1">
        <f t="shared" ref="Y38" si="66">+X38*(1+MV)</f>
        <v>457.10677657221186</v>
      </c>
      <c r="Z38" s="1">
        <f t="shared" ref="Z38" si="67">+Y38*(1+MV)</f>
        <v>447.96464104076762</v>
      </c>
      <c r="AA38" s="1">
        <f t="shared" ref="AA38" si="68">+Z38*(1+MV)</f>
        <v>439.00534821995228</v>
      </c>
      <c r="AB38" s="1">
        <f t="shared" ref="AB38" si="69">+AA38*(1+MV)</f>
        <v>430.22524125555321</v>
      </c>
      <c r="AC38" s="1">
        <f t="shared" ref="AC38" si="70">+AB38*(1+MV)</f>
        <v>421.62073643044215</v>
      </c>
      <c r="AD38" s="1">
        <f t="shared" ref="AD38" si="71">+AC38*(1+MV)</f>
        <v>413.18832170183327</v>
      </c>
      <c r="AE38" s="1">
        <f t="shared" ref="AE38" si="72">+AD38*(1+MV)</f>
        <v>404.92455526779662</v>
      </c>
      <c r="AF38" s="1">
        <f t="shared" ref="AF38" si="73">+AE38*(1+MV)</f>
        <v>396.82606416244067</v>
      </c>
      <c r="AG38" s="1">
        <f t="shared" ref="AG38" si="74">+AF38*(1+MV)</f>
        <v>388.88954287919188</v>
      </c>
      <c r="AH38" s="1">
        <f t="shared" ref="AH38" si="75">+AG38*(1+MV)</f>
        <v>381.11175202160803</v>
      </c>
      <c r="AI38" s="1">
        <f t="shared" ref="AI38" si="76">+AH38*(1+MV)</f>
        <v>373.48951698117588</v>
      </c>
      <c r="AJ38" s="1">
        <f t="shared" ref="AJ38" si="77">+AI38*(1+MV)</f>
        <v>366.01972664155238</v>
      </c>
      <c r="AK38" s="1">
        <f t="shared" ref="AK38" si="78">+AJ38*(1+MV)</f>
        <v>358.69933210872131</v>
      </c>
      <c r="AL38" s="1">
        <f t="shared" ref="AL38" si="79">+AK38*(1+MV)</f>
        <v>351.52534546654687</v>
      </c>
      <c r="AM38" s="1">
        <f t="shared" ref="AM38" si="80">+AL38*(1+MV)</f>
        <v>344.49483855721593</v>
      </c>
      <c r="AN38" s="1">
        <f t="shared" ref="AN38" si="81">+AM38*(1+MV)</f>
        <v>337.60494178607161</v>
      </c>
      <c r="AO38" s="1">
        <f t="shared" ref="AO38" si="82">+AN38*(1+MV)</f>
        <v>330.85284295035018</v>
      </c>
      <c r="AP38" s="1">
        <f t="shared" ref="AP38" si="83">+AO38*(1+MV)</f>
        <v>324.23578609134319</v>
      </c>
      <c r="AQ38" s="1">
        <f t="shared" ref="AQ38" si="84">+AP38*(1+MV)</f>
        <v>317.7510703695163</v>
      </c>
      <c r="AR38" s="1">
        <f t="shared" ref="AR38" si="85">+AQ38*(1+MV)</f>
        <v>311.39604896212597</v>
      </c>
      <c r="AS38" s="1">
        <f t="shared" ref="AS38" si="86">+AR38*(1+MV)</f>
        <v>305.16812798288345</v>
      </c>
      <c r="AT38" s="1">
        <f t="shared" ref="AT38" si="87">+AS38*(1+MV)</f>
        <v>299.06476542322577</v>
      </c>
      <c r="AU38" s="1">
        <f t="shared" ref="AU38" si="88">+AT38*(1+MV)</f>
        <v>293.08347011476127</v>
      </c>
      <c r="AV38" s="1">
        <f t="shared" ref="AV38" si="89">+AU38*(1+MV)</f>
        <v>287.22180071246606</v>
      </c>
      <c r="AW38" s="1">
        <f t="shared" ref="AW38" si="90">+AV38*(1+MV)</f>
        <v>281.47736469821672</v>
      </c>
      <c r="AX38" s="1">
        <f t="shared" ref="AX38" si="91">+AW38*(1+MV)</f>
        <v>275.8478174042524</v>
      </c>
      <c r="AY38" s="1">
        <f t="shared" ref="AY38" si="92">+AX38*(1+MV)</f>
        <v>270.33086105616735</v>
      </c>
      <c r="AZ38" s="1">
        <f t="shared" ref="AZ38" si="93">+AY38*(1+MV)</f>
        <v>264.92424383504402</v>
      </c>
      <c r="BA38" s="1">
        <f t="shared" ref="BA38" si="94">+AZ38*(1+MV)</f>
        <v>259.62575895834311</v>
      </c>
      <c r="BB38" s="1">
        <f t="shared" ref="BB38" si="95">+BA38*(1+MV)</f>
        <v>254.43324377917625</v>
      </c>
      <c r="BC38" s="1">
        <f t="shared" ref="BC38" si="96">+BB38*(1+MV)</f>
        <v>249.34457890359272</v>
      </c>
      <c r="BD38" s="1">
        <f t="shared" ref="BD38" si="97">+BC38*(1+MV)</f>
        <v>244.35768732552086</v>
      </c>
      <c r="BE38" s="1">
        <f t="shared" ref="BE38" si="98">+BD38*(1+MV)</f>
        <v>239.47053357901044</v>
      </c>
      <c r="BF38" s="1">
        <f t="shared" ref="BF38" si="99">+BE38*(1+MV)</f>
        <v>234.68112290743022</v>
      </c>
      <c r="BG38" s="1">
        <f t="shared" ref="BG38" si="100">+BF38*(1+MV)</f>
        <v>229.98750044928161</v>
      </c>
      <c r="BH38" s="1">
        <f t="shared" ref="BH38" si="101">+BG38*(1+MV)</f>
        <v>225.38775044029597</v>
      </c>
      <c r="BI38" s="1">
        <f t="shared" ref="BI38" si="102">+BH38*(1+MV)</f>
        <v>220.87999543149004</v>
      </c>
      <c r="BJ38" s="1">
        <f t="shared" ref="BJ38" si="103">+BI38*(1+MV)</f>
        <v>216.46239552286025</v>
      </c>
      <c r="BK38" s="1">
        <f t="shared" ref="BK38" si="104">+BJ38*(1+MV)</f>
        <v>212.13314761240304</v>
      </c>
      <c r="BL38" s="1">
        <f t="shared" ref="BL38" si="105">+BK38*(1+MV)</f>
        <v>207.89048466015498</v>
      </c>
      <c r="BM38" s="1">
        <f t="shared" ref="BM38" si="106">+BL38*(1+MV)</f>
        <v>203.73267496695189</v>
      </c>
      <c r="BN38" s="1">
        <f t="shared" ref="BN38" si="107">+BM38*(1+MV)</f>
        <v>199.65802146761285</v>
      </c>
      <c r="BO38" s="1">
        <f t="shared" ref="BO38" si="108">+BN38*(1+MV)</f>
        <v>195.6648610382606</v>
      </c>
      <c r="BP38" s="1">
        <f t="shared" ref="BP38" si="109">+BO38*(1+MV)</f>
        <v>191.75156381749539</v>
      </c>
      <c r="BQ38" s="1">
        <f t="shared" ref="BQ38" si="110">+BP38*(1+MV)</f>
        <v>187.91653254114547</v>
      </c>
      <c r="BR38" s="1">
        <f t="shared" ref="BR38" si="111">+BQ38*(1+MV)</f>
        <v>184.15820189032257</v>
      </c>
      <c r="BS38" s="1">
        <f t="shared" ref="BS38" si="112">+BR38*(1+MV)</f>
        <v>180.47503785251612</v>
      </c>
      <c r="BT38" s="1">
        <f t="shared" ref="BT38" si="113">+BS38*(1+MV)</f>
        <v>176.86553709546581</v>
      </c>
      <c r="BU38" s="1">
        <f t="shared" ref="BU38" si="114">+BT38*(1+MV)</f>
        <v>173.32822635355649</v>
      </c>
      <c r="BV38" s="1">
        <f t="shared" ref="BV38" si="115">+BU38*(1+MV)</f>
        <v>169.86166182648535</v>
      </c>
      <c r="BW38" s="1">
        <f t="shared" ref="BW38" si="116">+BV38*(1+MV)</f>
        <v>166.46442858995565</v>
      </c>
      <c r="BX38" s="1">
        <f t="shared" ref="BX38" si="117">+BW38*(1+MV)</f>
        <v>163.13514001815653</v>
      </c>
      <c r="BY38" s="1">
        <f t="shared" ref="BY38" si="118">+BX38*(1+MV)</f>
        <v>159.87243721779339</v>
      </c>
      <c r="BZ38" s="1">
        <f t="shared" ref="BZ38" si="119">+BY38*(1+MV)</f>
        <v>156.67498847343751</v>
      </c>
      <c r="CA38" s="1">
        <f t="shared" ref="CA38" si="120">+BZ38*(1+MV)</f>
        <v>153.54148870396875</v>
      </c>
      <c r="CB38" s="1">
        <f t="shared" ref="CB38" si="121">+CA38*(1+MV)</f>
        <v>150.47065892988937</v>
      </c>
      <c r="CC38" s="1">
        <f t="shared" ref="CC38" si="122">+CB38*(1+MV)</f>
        <v>147.46124575129159</v>
      </c>
      <c r="CD38" s="1">
        <f t="shared" ref="CD38" si="123">+CC38*(1+MV)</f>
        <v>144.51202083626575</v>
      </c>
      <c r="CE38" s="1">
        <f t="shared" ref="CE38" si="124">+CD38*(1+MV)</f>
        <v>141.62178041954044</v>
      </c>
      <c r="CF38" s="1">
        <f t="shared" ref="CF38" si="125">+CE38*(1+MV)</f>
        <v>138.78934481114962</v>
      </c>
      <c r="CG38" s="1">
        <f t="shared" ref="CG38" si="126">+CF38*(1+MV)</f>
        <v>136.01355791492662</v>
      </c>
      <c r="CH38" s="1">
        <f t="shared" ref="CH38" si="127">+CG38*(1+MV)</f>
        <v>133.29328675662808</v>
      </c>
      <c r="CI38" s="1">
        <f t="shared" ref="CI38" si="128">+CH38*(1+MV)</f>
        <v>130.62742102149551</v>
      </c>
      <c r="CJ38" s="1">
        <f t="shared" ref="CJ38" si="129">+CI38*(1+MV)</f>
        <v>128.0148726010656</v>
      </c>
      <c r="CK38" s="1">
        <f t="shared" ref="CK38" si="130">+CJ38*(1+MV)</f>
        <v>125.45457514904429</v>
      </c>
    </row>
    <row r="39" spans="1:89" s="2" customFormat="1" x14ac:dyDescent="0.25">
      <c r="A39" s="2" t="s">
        <v>52</v>
      </c>
      <c r="N39" s="2">
        <f>+N38/N27</f>
        <v>0.22405297197412979</v>
      </c>
      <c r="O39" s="2">
        <f>+O38/O27</f>
        <v>0.56907100424812651</v>
      </c>
      <c r="P39" s="2">
        <f t="shared" ref="P39:W39" si="131">+P38/P27</f>
        <v>0.46030702360615444</v>
      </c>
      <c r="Q39" s="2">
        <f t="shared" si="131"/>
        <v>0.37529307742773627</v>
      </c>
      <c r="R39" s="2">
        <f t="shared" si="131"/>
        <v>0.35468350579525371</v>
      </c>
      <c r="S39" s="2">
        <f t="shared" si="131"/>
        <v>0.33622837083220464</v>
      </c>
      <c r="T39" s="2">
        <f t="shared" si="131"/>
        <v>0.3196071012798935</v>
      </c>
      <c r="U39" s="2">
        <f t="shared" si="131"/>
        <v>0.30455931212899151</v>
      </c>
      <c r="V39" s="2">
        <f t="shared" si="131"/>
        <v>0.29087136041285583</v>
      </c>
      <c r="W39" s="2">
        <f t="shared" si="131"/>
        <v>0.27836634527620657</v>
      </c>
    </row>
    <row r="40" spans="1:89" x14ac:dyDescent="0.25">
      <c r="A40" t="s">
        <v>54</v>
      </c>
      <c r="N40">
        <v>2.2000000000000002</v>
      </c>
      <c r="O40">
        <v>2.4</v>
      </c>
    </row>
    <row r="42" spans="1:89" x14ac:dyDescent="0.25">
      <c r="A42" t="s">
        <v>62</v>
      </c>
      <c r="M42">
        <v>1126.2</v>
      </c>
      <c r="N42">
        <v>1584.7</v>
      </c>
      <c r="O42">
        <v>1500</v>
      </c>
      <c r="P42">
        <v>1300</v>
      </c>
      <c r="Q42">
        <v>1200</v>
      </c>
      <c r="R42">
        <v>1200</v>
      </c>
      <c r="S42">
        <v>1200</v>
      </c>
      <c r="T42">
        <v>1200</v>
      </c>
      <c r="U42">
        <v>1200</v>
      </c>
      <c r="V42">
        <v>1200</v>
      </c>
      <c r="W42">
        <v>1200</v>
      </c>
    </row>
    <row r="43" spans="1:89" x14ac:dyDescent="0.25">
      <c r="A43" t="s">
        <v>63</v>
      </c>
      <c r="M43" s="1">
        <f>+M27-M42+M16</f>
        <v>-1719.4999999999986</v>
      </c>
      <c r="N43" s="1">
        <f t="shared" ref="N43:BY43" si="132">+N27-N42+N16</f>
        <v>1624.0000000000014</v>
      </c>
      <c r="O43" s="1">
        <f>+O27-O42+O16</f>
        <v>506.16480600000045</v>
      </c>
      <c r="P43" s="1">
        <f t="shared" si="132"/>
        <v>880.72372912000196</v>
      </c>
      <c r="Q43" s="1">
        <f t="shared" si="132"/>
        <v>1191.332469268001</v>
      </c>
      <c r="R43" s="1">
        <f t="shared" si="132"/>
        <v>1262.8186044503618</v>
      </c>
      <c r="S43" s="1">
        <f t="shared" si="132"/>
        <v>1336.2271764343982</v>
      </c>
      <c r="T43" s="1">
        <f t="shared" si="132"/>
        <v>1411.5856561966941</v>
      </c>
      <c r="U43" s="1">
        <f t="shared" si="132"/>
        <v>1488.9239479887897</v>
      </c>
      <c r="V43" s="1">
        <f t="shared" si="132"/>
        <v>1568.2742525833219</v>
      </c>
      <c r="W43" s="1">
        <f t="shared" si="132"/>
        <v>1649.6709471773188</v>
      </c>
      <c r="X43" s="1">
        <f>+X27-X42+X16</f>
        <v>1675.6173805255046</v>
      </c>
      <c r="Y43" s="1">
        <f t="shared" si="132"/>
        <v>1642.1050329149944</v>
      </c>
      <c r="Z43" s="1">
        <f t="shared" si="132"/>
        <v>1609.2629322566945</v>
      </c>
      <c r="AA43" s="1">
        <f t="shared" si="132"/>
        <v>1577.0776736115606</v>
      </c>
      <c r="AB43" s="1">
        <f t="shared" si="132"/>
        <v>1545.5361201393293</v>
      </c>
      <c r="AC43" s="1">
        <f t="shared" si="132"/>
        <v>1514.6253977365427</v>
      </c>
      <c r="AD43" s="1">
        <f t="shared" si="132"/>
        <v>1484.3328897818119</v>
      </c>
      <c r="AE43" s="1">
        <f t="shared" si="132"/>
        <v>1454.6462319861757</v>
      </c>
      <c r="AF43" s="1">
        <f t="shared" si="132"/>
        <v>1425.5533073464521</v>
      </c>
      <c r="AG43" s="1">
        <f t="shared" si="132"/>
        <v>1397.042241199523</v>
      </c>
      <c r="AH43" s="1">
        <f t="shared" si="132"/>
        <v>1369.1013963755324</v>
      </c>
      <c r="AI43" s="1">
        <f t="shared" si="132"/>
        <v>1341.7193684480217</v>
      </c>
      <c r="AJ43" s="1">
        <f t="shared" si="132"/>
        <v>1314.8849810790612</v>
      </c>
      <c r="AK43" s="1">
        <f t="shared" si="132"/>
        <v>1288.58728145748</v>
      </c>
      <c r="AL43" s="1">
        <f t="shared" si="132"/>
        <v>1262.8155358283304</v>
      </c>
      <c r="AM43" s="1">
        <f t="shared" si="132"/>
        <v>1237.5592251117639</v>
      </c>
      <c r="AN43" s="1">
        <f t="shared" si="132"/>
        <v>1212.8080406095287</v>
      </c>
      <c r="AO43" s="1">
        <f t="shared" si="132"/>
        <v>1188.5518797973382</v>
      </c>
      <c r="AP43" s="1">
        <f t="shared" si="132"/>
        <v>1164.7808422013914</v>
      </c>
      <c r="AQ43" s="1">
        <f t="shared" si="132"/>
        <v>1141.4852253573636</v>
      </c>
      <c r="AR43" s="1">
        <f t="shared" si="132"/>
        <v>1118.6555208502164</v>
      </c>
      <c r="AS43" s="1">
        <f t="shared" si="132"/>
        <v>1096.2824104332119</v>
      </c>
      <c r="AT43" s="1">
        <f t="shared" si="132"/>
        <v>1074.3567622245475</v>
      </c>
      <c r="AU43" s="1">
        <f t="shared" si="132"/>
        <v>1052.8696269800566</v>
      </c>
      <c r="AV43" s="1">
        <f t="shared" si="132"/>
        <v>1031.8122344404555</v>
      </c>
      <c r="AW43" s="1">
        <f t="shared" si="132"/>
        <v>1011.1759897516464</v>
      </c>
      <c r="AX43" s="1">
        <f t="shared" si="132"/>
        <v>990.95246995661341</v>
      </c>
      <c r="AY43" s="1">
        <f t="shared" si="132"/>
        <v>971.13342055748114</v>
      </c>
      <c r="AZ43" s="1">
        <f t="shared" si="132"/>
        <v>951.71075214633152</v>
      </c>
      <c r="BA43" s="1">
        <f t="shared" si="132"/>
        <v>932.67653710340483</v>
      </c>
      <c r="BB43" s="1">
        <f t="shared" si="132"/>
        <v>914.02300636133668</v>
      </c>
      <c r="BC43" s="1">
        <f t="shared" si="132"/>
        <v>895.74254623410991</v>
      </c>
      <c r="BD43" s="1">
        <f t="shared" si="132"/>
        <v>877.82769530942767</v>
      </c>
      <c r="BE43" s="1">
        <f t="shared" si="132"/>
        <v>860.27114140323908</v>
      </c>
      <c r="BF43" s="1">
        <f t="shared" si="132"/>
        <v>843.06571857517429</v>
      </c>
      <c r="BG43" s="1">
        <f t="shared" si="132"/>
        <v>826.20440420367083</v>
      </c>
      <c r="BH43" s="1">
        <f t="shared" si="132"/>
        <v>809.68031611959736</v>
      </c>
      <c r="BI43" s="1">
        <f t="shared" si="132"/>
        <v>793.48670979720544</v>
      </c>
      <c r="BJ43" s="1">
        <f t="shared" si="132"/>
        <v>777.61697560126129</v>
      </c>
      <c r="BK43" s="1">
        <f t="shared" si="132"/>
        <v>762.06463608923605</v>
      </c>
      <c r="BL43" s="1">
        <f t="shared" si="132"/>
        <v>746.82334336745134</v>
      </c>
      <c r="BM43" s="1">
        <f t="shared" si="132"/>
        <v>731.88687650010229</v>
      </c>
      <c r="BN43" s="1">
        <f t="shared" si="132"/>
        <v>717.24913897010026</v>
      </c>
      <c r="BO43" s="1">
        <f t="shared" si="132"/>
        <v>702.90415619069825</v>
      </c>
      <c r="BP43" s="1">
        <f t="shared" si="132"/>
        <v>688.84607306688429</v>
      </c>
      <c r="BQ43" s="1">
        <f t="shared" si="132"/>
        <v>675.06915160554661</v>
      </c>
      <c r="BR43" s="1">
        <f t="shared" si="132"/>
        <v>661.56776857343561</v>
      </c>
      <c r="BS43" s="1">
        <f t="shared" si="132"/>
        <v>648.33641320196693</v>
      </c>
      <c r="BT43" s="1">
        <f t="shared" si="132"/>
        <v>635.36968493792756</v>
      </c>
      <c r="BU43" s="1">
        <f t="shared" si="132"/>
        <v>622.66229123916901</v>
      </c>
      <c r="BV43" s="1">
        <f t="shared" si="132"/>
        <v>610.20904541438563</v>
      </c>
      <c r="BW43" s="1">
        <f t="shared" si="132"/>
        <v>598.00486450609787</v>
      </c>
      <c r="BX43" s="1">
        <f t="shared" si="132"/>
        <v>586.04476721597587</v>
      </c>
      <c r="BY43" s="1">
        <f t="shared" si="132"/>
        <v>574.32387187165637</v>
      </c>
      <c r="BZ43" s="1">
        <f t="shared" ref="BZ43:CK43" si="133">+BZ27-BZ42+BZ16</f>
        <v>562.83739443422326</v>
      </c>
      <c r="CA43" s="1">
        <f t="shared" si="133"/>
        <v>551.5806465455388</v>
      </c>
      <c r="CB43" s="1">
        <f t="shared" si="133"/>
        <v>540.549033614628</v>
      </c>
      <c r="CC43" s="1">
        <f t="shared" si="133"/>
        <v>529.73805294233546</v>
      </c>
      <c r="CD43" s="1">
        <f t="shared" si="133"/>
        <v>519.1432918834887</v>
      </c>
      <c r="CE43" s="1">
        <f t="shared" si="133"/>
        <v>508.76042604581892</v>
      </c>
      <c r="CF43" s="1">
        <f t="shared" si="133"/>
        <v>498.58521752490253</v>
      </c>
      <c r="CG43" s="1">
        <f t="shared" si="133"/>
        <v>488.61351317440449</v>
      </c>
      <c r="CH43" s="1">
        <f t="shared" si="133"/>
        <v>478.84124291091638</v>
      </c>
      <c r="CI43" s="1">
        <f t="shared" si="133"/>
        <v>469.26441805269803</v>
      </c>
      <c r="CJ43" s="1">
        <f t="shared" si="133"/>
        <v>459.87912969164404</v>
      </c>
      <c r="CK43" s="1">
        <f t="shared" si="133"/>
        <v>450.68154709781118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2022-05-08T20:36:23Z</dcterms:created>
  <dcterms:modified xsi:type="dcterms:W3CDTF">2026-02-06T13:29:49Z</dcterms:modified>
</cp:coreProperties>
</file>