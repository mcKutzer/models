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F7FE3FAA-D3A3-40F9-89B7-4EE97DDC8641}" xr6:coauthVersionLast="47" xr6:coauthVersionMax="47" xr10:uidLastSave="{00000000-0000-0000-0000-000000000000}"/>
  <bookViews>
    <workbookView xWindow="-120" yWindow="-120" windowWidth="29040" windowHeight="15840" xr2:uid="{C8A3A8BA-8992-4609-8C34-C124F195C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M4" i="1" s="1"/>
  <c r="T27" i="1"/>
  <c r="T25" i="1"/>
  <c r="I14" i="1"/>
  <c r="J14" i="1"/>
  <c r="K14" i="1" s="1"/>
  <c r="L14" i="1" s="1"/>
  <c r="M14" i="1" s="1"/>
  <c r="N14" i="1" s="1"/>
  <c r="O14" i="1" s="1"/>
  <c r="P14" i="1" s="1"/>
  <c r="Q14" i="1" s="1"/>
  <c r="H14" i="1"/>
  <c r="H13" i="1"/>
  <c r="I13" i="1" s="1"/>
  <c r="J13" i="1" s="1"/>
  <c r="K13" i="1" s="1"/>
  <c r="H12" i="1"/>
  <c r="I12" i="1" s="1"/>
  <c r="J12" i="1" s="1"/>
  <c r="K12" i="1" s="1"/>
  <c r="I11" i="1"/>
  <c r="J11" i="1"/>
  <c r="K11" i="1"/>
  <c r="L11" i="1"/>
  <c r="L36" i="1" s="1"/>
  <c r="H11" i="1"/>
  <c r="H36" i="1" s="1"/>
  <c r="I10" i="1"/>
  <c r="I35" i="1" s="1"/>
  <c r="E35" i="1"/>
  <c r="F35" i="1"/>
  <c r="G35" i="1"/>
  <c r="H35" i="1"/>
  <c r="E36" i="1"/>
  <c r="F36" i="1"/>
  <c r="G36" i="1"/>
  <c r="I36" i="1"/>
  <c r="J36" i="1"/>
  <c r="K36" i="1"/>
  <c r="D36" i="1"/>
  <c r="D35" i="1"/>
  <c r="H22" i="1"/>
  <c r="I22" i="1"/>
  <c r="J22" i="1"/>
  <c r="K22" i="1"/>
  <c r="I7" i="1"/>
  <c r="J7" i="1"/>
  <c r="K7" i="1"/>
  <c r="H7" i="1"/>
  <c r="K4" i="1"/>
  <c r="J4" i="1"/>
  <c r="J6" i="1" s="1"/>
  <c r="I4" i="1"/>
  <c r="I6" i="1" s="1"/>
  <c r="I9" i="1" s="1"/>
  <c r="H4" i="1"/>
  <c r="H6" i="1" s="1"/>
  <c r="G24" i="1"/>
  <c r="F24" i="1"/>
  <c r="E24" i="1"/>
  <c r="K6" i="1"/>
  <c r="K9" i="1" s="1"/>
  <c r="L6" i="1"/>
  <c r="L7" i="1" s="1"/>
  <c r="F16" i="1"/>
  <c r="E16" i="1"/>
  <c r="E23" i="1" s="1"/>
  <c r="D16" i="1"/>
  <c r="F27" i="1"/>
  <c r="F28" i="1" s="1"/>
  <c r="E27" i="1"/>
  <c r="D27" i="1"/>
  <c r="D28" i="1" s="1"/>
  <c r="G15" i="1"/>
  <c r="G13" i="1"/>
  <c r="G12" i="1"/>
  <c r="G11" i="1"/>
  <c r="G10" i="1"/>
  <c r="G8" i="1"/>
  <c r="G7" i="1"/>
  <c r="G4" i="1"/>
  <c r="G6" i="1" s="1"/>
  <c r="E28" i="1"/>
  <c r="E22" i="1"/>
  <c r="E6" i="1"/>
  <c r="E9" i="1" s="1"/>
  <c r="F6" i="1"/>
  <c r="F9" i="1" s="1"/>
  <c r="F22" i="1" s="1"/>
  <c r="D6" i="1"/>
  <c r="D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N4" i="1" l="1"/>
  <c r="M6" i="1"/>
  <c r="J10" i="1"/>
  <c r="K10" i="1" s="1"/>
  <c r="K35" i="1" s="1"/>
  <c r="L9" i="1"/>
  <c r="L22" i="1" s="1"/>
  <c r="K16" i="1"/>
  <c r="J35" i="1"/>
  <c r="I16" i="1"/>
  <c r="J9" i="1"/>
  <c r="H9" i="1"/>
  <c r="H16" i="1" s="1"/>
  <c r="L24" i="1"/>
  <c r="L12" i="1" s="1"/>
  <c r="M12" i="1" s="1"/>
  <c r="K24" i="1"/>
  <c r="J24" i="1"/>
  <c r="H24" i="1"/>
  <c r="I24" i="1"/>
  <c r="M24" i="1"/>
  <c r="D18" i="1"/>
  <c r="D20" i="1" s="1"/>
  <c r="F18" i="1"/>
  <c r="F20" i="1" s="1"/>
  <c r="E18" i="1"/>
  <c r="E20" i="1" s="1"/>
  <c r="D22" i="1"/>
  <c r="D23" i="1"/>
  <c r="F23" i="1"/>
  <c r="G9" i="1"/>
  <c r="L10" i="1" l="1"/>
  <c r="M7" i="1"/>
  <c r="M9" i="1" s="1"/>
  <c r="M22" i="1" s="1"/>
  <c r="M11" i="1"/>
  <c r="M36" i="1" s="1"/>
  <c r="O4" i="1"/>
  <c r="N6" i="1"/>
  <c r="L13" i="1"/>
  <c r="M13" i="1" s="1"/>
  <c r="J16" i="1"/>
  <c r="J23" i="1" s="1"/>
  <c r="K18" i="1"/>
  <c r="K23" i="1"/>
  <c r="J18" i="1"/>
  <c r="M10" i="1"/>
  <c r="L35" i="1"/>
  <c r="I18" i="1"/>
  <c r="I23" i="1"/>
  <c r="H18" i="1"/>
  <c r="H23" i="1"/>
  <c r="G16" i="1"/>
  <c r="G23" i="1" s="1"/>
  <c r="G22" i="1"/>
  <c r="N11" i="1" l="1"/>
  <c r="N36" i="1" s="1"/>
  <c r="N7" i="1"/>
  <c r="N9" i="1" s="1"/>
  <c r="N22" i="1" s="1"/>
  <c r="N24" i="1"/>
  <c r="N12" i="1" s="1"/>
  <c r="K19" i="1"/>
  <c r="K20" i="1" s="1"/>
  <c r="P4" i="1"/>
  <c r="O6" i="1"/>
  <c r="J19" i="1"/>
  <c r="J20" i="1" s="1"/>
  <c r="H20" i="1"/>
  <c r="H19" i="1"/>
  <c r="L16" i="1"/>
  <c r="I19" i="1"/>
  <c r="I20" i="1" s="1"/>
  <c r="M35" i="1"/>
  <c r="M16" i="1"/>
  <c r="G18" i="1"/>
  <c r="G20" i="1" s="1"/>
  <c r="Q4" i="1" l="1"/>
  <c r="Q6" i="1" s="1"/>
  <c r="P6" i="1"/>
  <c r="N10" i="1"/>
  <c r="O10" i="1" s="1"/>
  <c r="L18" i="1"/>
  <c r="L23" i="1"/>
  <c r="O7" i="1"/>
  <c r="O11" i="1"/>
  <c r="O36" i="1" s="1"/>
  <c r="O24" i="1"/>
  <c r="O12" i="1" s="1"/>
  <c r="O9" i="1"/>
  <c r="O22" i="1" s="1"/>
  <c r="N13" i="1"/>
  <c r="O13" i="1" s="1"/>
  <c r="M18" i="1"/>
  <c r="M23" i="1"/>
  <c r="L19" i="1" l="1"/>
  <c r="L20" i="1" s="1"/>
  <c r="N16" i="1"/>
  <c r="N23" i="1" s="1"/>
  <c r="N35" i="1"/>
  <c r="P11" i="1"/>
  <c r="P36" i="1" s="1"/>
  <c r="P7" i="1"/>
  <c r="P9" i="1"/>
  <c r="P22" i="1" s="1"/>
  <c r="P24" i="1"/>
  <c r="P12" i="1" s="1"/>
  <c r="Q12" i="1" s="1"/>
  <c r="M20" i="1"/>
  <c r="M19" i="1"/>
  <c r="Q11" i="1"/>
  <c r="Q36" i="1" s="1"/>
  <c r="Q7" i="1"/>
  <c r="Q24" i="1"/>
  <c r="Q9" i="1"/>
  <c r="Q22" i="1" s="1"/>
  <c r="O35" i="1"/>
  <c r="O16" i="1"/>
  <c r="N18" i="1" l="1"/>
  <c r="P10" i="1"/>
  <c r="P13" i="1"/>
  <c r="Q13" i="1" s="1"/>
  <c r="O18" i="1"/>
  <c r="O23" i="1"/>
  <c r="P35" i="1"/>
  <c r="Q10" i="1"/>
  <c r="P16" i="1"/>
  <c r="O19" i="1" l="1"/>
  <c r="O20" i="1" s="1"/>
  <c r="N19" i="1"/>
  <c r="N20" i="1" s="1"/>
  <c r="Q35" i="1"/>
  <c r="Q16" i="1"/>
  <c r="P18" i="1"/>
  <c r="P23" i="1"/>
  <c r="P19" i="1" l="1"/>
  <c r="P20" i="1" s="1"/>
  <c r="Q18" i="1"/>
  <c r="Q23" i="1"/>
  <c r="Q19" i="1" l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T24" i="1" s="1"/>
  <c r="T26" i="1" s="1"/>
  <c r="T28" i="1" s="1"/>
</calcChain>
</file>

<file path=xl/sharedStrings.xml><?xml version="1.0" encoding="utf-8"?>
<sst xmlns="http://schemas.openxmlformats.org/spreadsheetml/2006/main" count="36" uniqueCount="34">
  <si>
    <t>Reserve Income</t>
  </si>
  <si>
    <t>Other Revenue</t>
  </si>
  <si>
    <t>Total Revenue</t>
  </si>
  <si>
    <t>Transaction Cost</t>
  </si>
  <si>
    <t>Other cost</t>
  </si>
  <si>
    <t>Gross Profit</t>
  </si>
  <si>
    <t>Compensation</t>
  </si>
  <si>
    <t>G&amp;A</t>
  </si>
  <si>
    <t>D&amp;A</t>
  </si>
  <si>
    <t>IT Infrastructure</t>
  </si>
  <si>
    <t>Marketing</t>
  </si>
  <si>
    <t>Operating Income</t>
  </si>
  <si>
    <t>Other Income</t>
  </si>
  <si>
    <t>Pretax</t>
  </si>
  <si>
    <t>Taxes</t>
  </si>
  <si>
    <t>Net Income</t>
  </si>
  <si>
    <t>Gross Margin</t>
  </si>
  <si>
    <t>Operating Margin</t>
  </si>
  <si>
    <t>Cash for Stablecoin</t>
  </si>
  <si>
    <t>Non-Operating Cash</t>
  </si>
  <si>
    <t>Investments</t>
  </si>
  <si>
    <t>Stablecoin Deposits</t>
  </si>
  <si>
    <t>CFFO</t>
  </si>
  <si>
    <t>CapEx</t>
  </si>
  <si>
    <t>FCF</t>
  </si>
  <si>
    <t>Digital Asset losses</t>
  </si>
  <si>
    <t>Revenue Y/Y</t>
  </si>
  <si>
    <t>Discount</t>
  </si>
  <si>
    <t>Terminal</t>
  </si>
  <si>
    <t>NPV</t>
  </si>
  <si>
    <t>Net Cash</t>
  </si>
  <si>
    <t>Value</t>
  </si>
  <si>
    <t>Share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</si>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</sst>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691242</xdr:colOff>
      <xdr:row>2</xdr:row>
      <xdr:rowOff>136071</xdr:rowOff>
    </xdr:from>
    <xdr:to>
      <xdr:col>6</xdr:col>
      <xdr:colOff>0</xdr:colOff>
      <xdr:row>33</xdr:row>
      <xdr:rowOff>10886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E045F1-C93A-CC80-01BA-2675FC1C067C}"/>
            </a:ext>
          </a:extLst>
        </xdr:cNvPr>
        <xdr:cNvCxnSpPr/>
      </xdr:nvCxnSpPr>
      <xdr:spPr>
        <a:xfrm>
          <a:off x="4087585" y="517071"/>
          <a:ext cx="5444" cy="55898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138E-8DC1-4805-8F68-C8D22A2952E8}">
  <dimension ref="B2:FJ107"/>
  <sheetViews>
    <sheetView tabSelected="1" zoomScale="175" zoomScaleNormal="175" workbookViewId="0">
      <pane xSplit="2" ySplit="2" topLeftCell="K14" activePane="bottomRight" state="frozen"/>
      <selection pane="topRight" activeCell="C1" sqref="C1"/>
      <selection pane="bottomLeft" activeCell="A3" sqref="A3"/>
      <selection pane="bottomRight" activeCell="T31" sqref="T31"/>
    </sheetView>
  </sheetViews>
  <sheetFormatPr defaultRowHeight="15" x14ac:dyDescent="0.25"/>
  <cols>
    <col min="1" max="1" width="3" customWidth="1"/>
    <col min="2" max="2" width="19.140625" bestFit="1" customWidth="1"/>
    <col min="4" max="4" width="8.42578125" bestFit="1" customWidth="1"/>
    <col min="5" max="6" width="10.42578125" bestFit="1" customWidth="1"/>
    <col min="7" max="15" width="9.42578125" bestFit="1" customWidth="1"/>
    <col min="16" max="17" width="10.42578125" bestFit="1" customWidth="1"/>
    <col min="20" max="20" width="10.42578125" bestFit="1" customWidth="1"/>
  </cols>
  <sheetData>
    <row r="2" spans="2:17" x14ac:dyDescent="0.25">
      <c r="D2">
        <v>2022</v>
      </c>
      <c r="E2">
        <f>+D2+1</f>
        <v>2023</v>
      </c>
      <c r="F2">
        <f t="shared" ref="F2:Q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B4" s="1" t="s">
        <v>0</v>
      </c>
      <c r="D4" s="1">
        <v>735885</v>
      </c>
      <c r="E4" s="1">
        <v>1430606</v>
      </c>
      <c r="F4" s="1">
        <v>1661084</v>
      </c>
      <c r="G4" s="1">
        <f>1900000*1.33</f>
        <v>2527000</v>
      </c>
      <c r="H4" s="1">
        <f>+G4*1.3</f>
        <v>3285100</v>
      </c>
      <c r="I4" s="1">
        <f>+H4*1.25</f>
        <v>4106375</v>
      </c>
      <c r="J4" s="1">
        <f>+I4*1.2</f>
        <v>4927650</v>
      </c>
      <c r="K4" s="1">
        <f>+J4*1.15</f>
        <v>5666797.5</v>
      </c>
      <c r="L4" s="1">
        <f t="shared" ref="L4:Q4" si="1">+K4*1.15</f>
        <v>6516817.1249999991</v>
      </c>
      <c r="M4" s="1">
        <f t="shared" si="1"/>
        <v>7494339.6937499987</v>
      </c>
      <c r="N4" s="1">
        <f t="shared" si="1"/>
        <v>8618490.6478124987</v>
      </c>
      <c r="O4" s="1">
        <f t="shared" si="1"/>
        <v>9911264.2449843735</v>
      </c>
      <c r="P4" s="1">
        <f t="shared" si="1"/>
        <v>11397953.881732028</v>
      </c>
      <c r="Q4" s="1">
        <f t="shared" si="1"/>
        <v>13107646.963991832</v>
      </c>
    </row>
    <row r="5" spans="2:17" s="1" customFormat="1" x14ac:dyDescent="0.25">
      <c r="B5" s="1" t="s">
        <v>1</v>
      </c>
      <c r="D5" s="1">
        <v>36167</v>
      </c>
      <c r="E5" s="1">
        <v>19860</v>
      </c>
      <c r="F5" s="1">
        <v>15169</v>
      </c>
      <c r="G5" s="1">
        <v>85000</v>
      </c>
      <c r="H5" s="1">
        <v>50000</v>
      </c>
      <c r="I5" s="1">
        <v>50000</v>
      </c>
      <c r="J5" s="1">
        <v>50000</v>
      </c>
      <c r="K5" s="1">
        <v>50000</v>
      </c>
      <c r="L5" s="1">
        <v>50000</v>
      </c>
      <c r="M5" s="1">
        <v>50000</v>
      </c>
      <c r="N5" s="1">
        <v>50000</v>
      </c>
      <c r="O5" s="1">
        <v>50000</v>
      </c>
      <c r="P5" s="1">
        <v>50000</v>
      </c>
      <c r="Q5" s="1">
        <v>50000</v>
      </c>
    </row>
    <row r="6" spans="2:17" s="2" customFormat="1" x14ac:dyDescent="0.25">
      <c r="B6" s="2" t="s">
        <v>2</v>
      </c>
      <c r="D6" s="2">
        <f>+D4+D5</f>
        <v>772052</v>
      </c>
      <c r="E6" s="2">
        <f t="shared" ref="E6:I6" si="2">+E4+E5</f>
        <v>1450466</v>
      </c>
      <c r="F6" s="2">
        <f t="shared" si="2"/>
        <v>1676253</v>
      </c>
      <c r="G6" s="2">
        <f t="shared" si="2"/>
        <v>2612000</v>
      </c>
      <c r="H6" s="2">
        <f t="shared" si="2"/>
        <v>3335100</v>
      </c>
      <c r="I6" s="2">
        <f t="shared" si="2"/>
        <v>4156375</v>
      </c>
      <c r="J6" s="2">
        <f t="shared" ref="J6" si="3">+J4+J5</f>
        <v>4977650</v>
      </c>
      <c r="K6" s="2">
        <f t="shared" ref="K6" si="4">+K4+K5</f>
        <v>5716797.5</v>
      </c>
      <c r="L6" s="2">
        <f t="shared" ref="L6" si="5">+L4+L5</f>
        <v>6566817.1249999991</v>
      </c>
      <c r="M6" s="2">
        <f t="shared" ref="M6" si="6">+M4+M5</f>
        <v>7544339.6937499987</v>
      </c>
      <c r="N6" s="2">
        <f t="shared" ref="N6" si="7">+N4+N5</f>
        <v>8668490.6478124987</v>
      </c>
      <c r="O6" s="2">
        <f t="shared" ref="O6" si="8">+O4+O5</f>
        <v>9961264.2449843735</v>
      </c>
      <c r="P6" s="2">
        <f t="shared" ref="P6" si="9">+P4+P5</f>
        <v>11447953.881732028</v>
      </c>
      <c r="Q6" s="2">
        <f t="shared" ref="Q6" si="10">+Q4+Q5</f>
        <v>13157646.963991832</v>
      </c>
    </row>
    <row r="7" spans="2:17" s="1" customFormat="1" x14ac:dyDescent="0.25">
      <c r="B7" s="1" t="s">
        <v>3</v>
      </c>
      <c r="D7" s="1">
        <v>286953</v>
      </c>
      <c r="E7" s="1">
        <v>719806</v>
      </c>
      <c r="F7" s="1">
        <v>1010811</v>
      </c>
      <c r="G7" s="1">
        <f>1200000*1.33</f>
        <v>1596000</v>
      </c>
      <c r="H7" s="1">
        <f>+H6*0.6</f>
        <v>2001060</v>
      </c>
      <c r="I7" s="1">
        <f t="shared" ref="I7:Q7" si="11">+I6*0.6</f>
        <v>2493825</v>
      </c>
      <c r="J7" s="1">
        <f t="shared" si="11"/>
        <v>2986590</v>
      </c>
      <c r="K7" s="1">
        <f t="shared" si="11"/>
        <v>3430078.5</v>
      </c>
      <c r="L7" s="1">
        <f t="shared" si="11"/>
        <v>3940090.2749999994</v>
      </c>
      <c r="M7" s="1">
        <f t="shared" si="11"/>
        <v>4526603.8162499992</v>
      </c>
      <c r="N7" s="1">
        <f t="shared" si="11"/>
        <v>5201094.3886874989</v>
      </c>
      <c r="O7" s="1">
        <f t="shared" si="11"/>
        <v>5976758.5469906237</v>
      </c>
      <c r="P7" s="1">
        <f t="shared" si="11"/>
        <v>6868772.329039217</v>
      </c>
      <c r="Q7" s="1">
        <f t="shared" si="11"/>
        <v>7894588.178395099</v>
      </c>
    </row>
    <row r="8" spans="2:17" s="1" customFormat="1" x14ac:dyDescent="0.25">
      <c r="B8" s="1" t="s">
        <v>4</v>
      </c>
      <c r="D8" s="1">
        <v>22401</v>
      </c>
      <c r="E8" s="1">
        <v>7918</v>
      </c>
      <c r="F8" s="1">
        <v>6553</v>
      </c>
      <c r="G8" s="1">
        <f>1218*1.33</f>
        <v>1619.94</v>
      </c>
      <c r="H8" s="1">
        <v>2000</v>
      </c>
      <c r="I8" s="1">
        <v>2000</v>
      </c>
      <c r="J8" s="1">
        <v>2000</v>
      </c>
      <c r="K8" s="1">
        <v>2000</v>
      </c>
      <c r="L8" s="1">
        <v>2000</v>
      </c>
      <c r="M8" s="1">
        <v>2000</v>
      </c>
      <c r="N8" s="1">
        <v>2000</v>
      </c>
      <c r="O8" s="1">
        <v>2000</v>
      </c>
      <c r="P8" s="1">
        <v>2000</v>
      </c>
      <c r="Q8" s="1">
        <v>2000</v>
      </c>
    </row>
    <row r="9" spans="2:17" s="1" customFormat="1" x14ac:dyDescent="0.25">
      <c r="B9" s="1" t="s">
        <v>5</v>
      </c>
      <c r="D9" s="1">
        <f>+D6-D7-D8</f>
        <v>462698</v>
      </c>
      <c r="E9" s="1">
        <f t="shared" ref="E9:I9" si="12">+E6-E7-E8</f>
        <v>722742</v>
      </c>
      <c r="F9" s="1">
        <f t="shared" si="12"/>
        <v>658889</v>
      </c>
      <c r="G9" s="1">
        <f t="shared" si="12"/>
        <v>1014380.06</v>
      </c>
      <c r="H9" s="1">
        <f t="shared" si="12"/>
        <v>1332040</v>
      </c>
      <c r="I9" s="1">
        <f t="shared" si="12"/>
        <v>1660550</v>
      </c>
      <c r="J9" s="1">
        <f t="shared" ref="J9" si="13">+J6-J7-J8</f>
        <v>1989060</v>
      </c>
      <c r="K9" s="1">
        <f t="shared" ref="K9" si="14">+K6-K7-K8</f>
        <v>2284719</v>
      </c>
      <c r="L9" s="1">
        <f t="shared" ref="L9" si="15">+L6-L7-L8</f>
        <v>2624726.8499999996</v>
      </c>
      <c r="M9" s="1">
        <f t="shared" ref="M9" si="16">+M6-M7-M8</f>
        <v>3015735.8774999995</v>
      </c>
      <c r="N9" s="1">
        <f t="shared" ref="N9" si="17">+N6-N7-N8</f>
        <v>3465396.2591249999</v>
      </c>
      <c r="O9" s="1">
        <f t="shared" ref="O9" si="18">+O6-O7-O8</f>
        <v>3982505.6979937498</v>
      </c>
      <c r="P9" s="1">
        <f t="shared" ref="P9" si="19">+P6-P7-P8</f>
        <v>4577181.552692811</v>
      </c>
      <c r="Q9" s="1">
        <f t="shared" ref="Q9" si="20">+Q6-Q7-Q8</f>
        <v>5261058.785596733</v>
      </c>
    </row>
    <row r="10" spans="2:17" s="1" customFormat="1" x14ac:dyDescent="0.25">
      <c r="B10" s="1" t="s">
        <v>6</v>
      </c>
      <c r="D10" s="1">
        <v>212961</v>
      </c>
      <c r="E10" s="1">
        <v>296055</v>
      </c>
      <c r="F10" s="1">
        <v>263410</v>
      </c>
      <c r="G10" s="1">
        <f>708307*1.33</f>
        <v>942048.31</v>
      </c>
      <c r="H10" s="1">
        <v>600000</v>
      </c>
      <c r="I10" s="1">
        <f>+H10*(1+I24*0.666666666666667)</f>
        <v>698500.7945788732</v>
      </c>
      <c r="J10" s="1">
        <f t="shared" ref="J10:Q10" si="21">+I10*(1+J24*0.666666666666667)</f>
        <v>790513.8652743334</v>
      </c>
      <c r="K10" s="1">
        <f t="shared" si="21"/>
        <v>868771.18847341451</v>
      </c>
      <c r="L10" s="1">
        <f t="shared" si="21"/>
        <v>954888.46652835992</v>
      </c>
      <c r="M10" s="1">
        <f t="shared" si="21"/>
        <v>1049650.2574033726</v>
      </c>
      <c r="N10" s="1">
        <f t="shared" si="21"/>
        <v>1153919.6289844248</v>
      </c>
      <c r="O10" s="1">
        <f t="shared" si="21"/>
        <v>1268646.0090981205</v>
      </c>
      <c r="P10" s="1">
        <f t="shared" si="21"/>
        <v>1394873.8203505669</v>
      </c>
      <c r="Q10" s="1">
        <f t="shared" si="21"/>
        <v>1533751.9783117145</v>
      </c>
    </row>
    <row r="11" spans="2:17" s="1" customFormat="1" x14ac:dyDescent="0.25">
      <c r="B11" s="1" t="s">
        <v>7</v>
      </c>
      <c r="D11" s="1">
        <v>82272</v>
      </c>
      <c r="E11" s="1">
        <v>100128</v>
      </c>
      <c r="F11" s="1">
        <v>137283</v>
      </c>
      <c r="G11" s="1">
        <f>119301*1.33</f>
        <v>158670.33000000002</v>
      </c>
      <c r="H11" s="1">
        <f>+H6*0.06</f>
        <v>200106</v>
      </c>
      <c r="I11" s="1">
        <f t="shared" ref="I11:Q11" si="22">+I6*0.06</f>
        <v>249382.5</v>
      </c>
      <c r="J11" s="1">
        <f t="shared" si="22"/>
        <v>298659</v>
      </c>
      <c r="K11" s="1">
        <f t="shared" si="22"/>
        <v>343007.85</v>
      </c>
      <c r="L11" s="1">
        <f t="shared" si="22"/>
        <v>394009.02749999991</v>
      </c>
      <c r="M11" s="1">
        <f t="shared" si="22"/>
        <v>452660.38162499992</v>
      </c>
      <c r="N11" s="1">
        <f t="shared" si="22"/>
        <v>520109.43886874989</v>
      </c>
      <c r="O11" s="1">
        <f t="shared" si="22"/>
        <v>597675.85469906242</v>
      </c>
      <c r="P11" s="1">
        <f t="shared" si="22"/>
        <v>686877.23290392163</v>
      </c>
      <c r="Q11" s="1">
        <f t="shared" si="22"/>
        <v>789458.81783950992</v>
      </c>
    </row>
    <row r="12" spans="2:17" s="1" customFormat="1" x14ac:dyDescent="0.25">
      <c r="B12" s="1" t="s">
        <v>8</v>
      </c>
      <c r="D12" s="1">
        <v>13277</v>
      </c>
      <c r="E12" s="1">
        <v>34887</v>
      </c>
      <c r="F12" s="1">
        <v>50854</v>
      </c>
      <c r="G12" s="1">
        <f>51091*1.33</f>
        <v>67951.03</v>
      </c>
      <c r="H12" s="1">
        <f>+G12*(1+0.8*H24)</f>
        <v>83000.153979479321</v>
      </c>
      <c r="I12" s="1">
        <f t="shared" ref="I12:Q12" si="23">+H12*(1+0.8*I24)</f>
        <v>99351.316213774393</v>
      </c>
      <c r="J12" s="1">
        <f t="shared" si="23"/>
        <v>115056.29995050991</v>
      </c>
      <c r="K12" s="1">
        <f t="shared" si="23"/>
        <v>128724.36845153662</v>
      </c>
      <c r="L12" s="1">
        <f t="shared" si="23"/>
        <v>144036.19146426875</v>
      </c>
      <c r="M12" s="1">
        <f t="shared" si="23"/>
        <v>161188.93078293753</v>
      </c>
      <c r="N12" s="1">
        <f t="shared" si="23"/>
        <v>180403.4092056487</v>
      </c>
      <c r="O12" s="1">
        <f t="shared" si="23"/>
        <v>201926.94992213638</v>
      </c>
      <c r="P12" s="1">
        <f t="shared" si="23"/>
        <v>226036.55661030021</v>
      </c>
      <c r="Q12" s="1">
        <f t="shared" si="23"/>
        <v>253042.47512932125</v>
      </c>
    </row>
    <row r="13" spans="2:17" s="1" customFormat="1" x14ac:dyDescent="0.25">
      <c r="B13" s="1" t="s">
        <v>9</v>
      </c>
      <c r="D13" s="1">
        <v>11835</v>
      </c>
      <c r="E13" s="1">
        <v>20722</v>
      </c>
      <c r="F13" s="1">
        <v>27109</v>
      </c>
      <c r="G13" s="1">
        <f>25833*1.33</f>
        <v>34357.89</v>
      </c>
      <c r="H13" s="1">
        <f>+G13*(1+H24*0.6)</f>
        <v>40064.824975267991</v>
      </c>
      <c r="I13" s="1">
        <f t="shared" ref="I13:Q13" si="24">+H13*(1+I24*0.6)</f>
        <v>45984.450617359063</v>
      </c>
      <c r="J13" s="1">
        <f t="shared" si="24"/>
        <v>51436.20312007187</v>
      </c>
      <c r="K13" s="1">
        <f t="shared" si="24"/>
        <v>56018.960961104487</v>
      </c>
      <c r="L13" s="1">
        <f t="shared" si="24"/>
        <v>61016.571898596776</v>
      </c>
      <c r="M13" s="1">
        <f t="shared" si="24"/>
        <v>66466.250940661048</v>
      </c>
      <c r="N13" s="1">
        <f t="shared" si="24"/>
        <v>72408.56815655742</v>
      </c>
      <c r="O13" s="1">
        <f t="shared" si="24"/>
        <v>78887.750445029276</v>
      </c>
      <c r="P13" s="1">
        <f t="shared" si="24"/>
        <v>85952.010452709306</v>
      </c>
      <c r="Q13" s="1">
        <f t="shared" si="24"/>
        <v>93653.90508971423</v>
      </c>
    </row>
    <row r="14" spans="2:17" s="1" customFormat="1" x14ac:dyDescent="0.25">
      <c r="B14" s="1" t="s">
        <v>10</v>
      </c>
      <c r="D14" s="1">
        <v>78839</v>
      </c>
      <c r="E14" s="1">
        <v>36544</v>
      </c>
      <c r="F14" s="1">
        <v>17326</v>
      </c>
      <c r="G14" s="1">
        <v>17393</v>
      </c>
      <c r="H14" s="1">
        <f>+G14*1.05</f>
        <v>18262.650000000001</v>
      </c>
      <c r="I14" s="1">
        <f t="shared" ref="I14:Q14" si="25">+H14*1.05</f>
        <v>19175.782500000001</v>
      </c>
      <c r="J14" s="1">
        <f t="shared" si="25"/>
        <v>20134.571625</v>
      </c>
      <c r="K14" s="1">
        <f t="shared" si="25"/>
        <v>21141.300206250002</v>
      </c>
      <c r="L14" s="1">
        <f t="shared" si="25"/>
        <v>22198.365216562503</v>
      </c>
      <c r="M14" s="1">
        <f t="shared" si="25"/>
        <v>23308.283477390629</v>
      </c>
      <c r="N14" s="1">
        <f t="shared" si="25"/>
        <v>24473.697651260161</v>
      </c>
      <c r="O14" s="1">
        <f t="shared" si="25"/>
        <v>25697.382533823169</v>
      </c>
      <c r="P14" s="1">
        <f t="shared" si="25"/>
        <v>26982.251660514328</v>
      </c>
      <c r="Q14" s="1">
        <f t="shared" si="25"/>
        <v>28331.364243540047</v>
      </c>
    </row>
    <row r="15" spans="2:17" s="1" customFormat="1" x14ac:dyDescent="0.25">
      <c r="B15" s="1" t="s">
        <v>25</v>
      </c>
      <c r="D15" s="1">
        <v>57436</v>
      </c>
      <c r="E15" s="1">
        <v>-13488</v>
      </c>
      <c r="F15" s="1">
        <v>-4251</v>
      </c>
      <c r="G15" s="1">
        <f>3906*1.33</f>
        <v>5194.9800000000005</v>
      </c>
      <c r="H15" s="1">
        <v>5000</v>
      </c>
      <c r="I15" s="1">
        <v>5000</v>
      </c>
      <c r="J15" s="1">
        <v>5000</v>
      </c>
      <c r="K15" s="1">
        <v>5000</v>
      </c>
      <c r="L15" s="1">
        <v>5000</v>
      </c>
      <c r="M15" s="1">
        <v>5000</v>
      </c>
      <c r="N15" s="1">
        <v>5000</v>
      </c>
      <c r="O15" s="1">
        <v>5000</v>
      </c>
      <c r="P15" s="1">
        <v>5000</v>
      </c>
      <c r="Q15" s="1">
        <v>5000</v>
      </c>
    </row>
    <row r="16" spans="2:17" s="2" customFormat="1" x14ac:dyDescent="0.25">
      <c r="B16" s="2" t="s">
        <v>11</v>
      </c>
      <c r="D16" s="2">
        <f>+D9-SUM(D10:D15)</f>
        <v>6078</v>
      </c>
      <c r="E16" s="2">
        <f>+E9-SUM(E10:E15)</f>
        <v>247894</v>
      </c>
      <c r="F16" s="2">
        <f>+F9-SUM(F10:F15)</f>
        <v>167158</v>
      </c>
      <c r="G16" s="2">
        <f>+G9-SUM(G10:G15)</f>
        <v>-211235.47999999998</v>
      </c>
      <c r="H16" s="2">
        <f>+H9-SUM(H10:H15)</f>
        <v>385606.37104525266</v>
      </c>
      <c r="I16" s="2">
        <f>+I9-SUM(I10:I15)</f>
        <v>543155.15608999343</v>
      </c>
      <c r="J16" s="2">
        <f t="shared" ref="J16:Q16" si="26">+J9-SUM(J10:J15)</f>
        <v>708260.0600300848</v>
      </c>
      <c r="K16" s="2">
        <f t="shared" si="26"/>
        <v>862055.33190769423</v>
      </c>
      <c r="L16" s="2">
        <f t="shared" si="26"/>
        <v>1043578.2273922116</v>
      </c>
      <c r="M16" s="2">
        <f t="shared" si="26"/>
        <v>1257461.773270638</v>
      </c>
      <c r="N16" s="2">
        <f t="shared" si="26"/>
        <v>1509081.5162583592</v>
      </c>
      <c r="O16" s="2">
        <f t="shared" si="26"/>
        <v>1804671.7512955782</v>
      </c>
      <c r="P16" s="2">
        <f t="shared" si="26"/>
        <v>2151459.6807147991</v>
      </c>
      <c r="Q16" s="2">
        <f t="shared" si="26"/>
        <v>2557820.2449829332</v>
      </c>
    </row>
    <row r="17" spans="2:166" s="1" customFormat="1" x14ac:dyDescent="0.25">
      <c r="B17" s="1" t="s">
        <v>12</v>
      </c>
      <c r="D17" s="1">
        <v>-720393</v>
      </c>
      <c r="E17" s="1">
        <v>49421</v>
      </c>
      <c r="F17" s="1">
        <v>54416</v>
      </c>
      <c r="G17" s="1">
        <v>-91453</v>
      </c>
    </row>
    <row r="18" spans="2:166" s="1" customFormat="1" x14ac:dyDescent="0.25">
      <c r="B18" s="1" t="s">
        <v>13</v>
      </c>
      <c r="D18" s="1">
        <f>+D16+D17</f>
        <v>-714315</v>
      </c>
      <c r="E18" s="1">
        <f t="shared" ref="E18:I18" si="27">+E16+E17</f>
        <v>297315</v>
      </c>
      <c r="F18" s="1">
        <f t="shared" si="27"/>
        <v>221574</v>
      </c>
      <c r="G18" s="1">
        <f t="shared" si="27"/>
        <v>-302688.48</v>
      </c>
      <c r="H18" s="1">
        <f t="shared" si="27"/>
        <v>385606.37104525266</v>
      </c>
      <c r="I18" s="1">
        <f t="shared" si="27"/>
        <v>543155.15608999343</v>
      </c>
      <c r="J18" s="1">
        <f t="shared" ref="J18" si="28">+J16+J17</f>
        <v>708260.0600300848</v>
      </c>
      <c r="K18" s="1">
        <f t="shared" ref="K18" si="29">+K16+K17</f>
        <v>862055.33190769423</v>
      </c>
      <c r="L18" s="1">
        <f t="shared" ref="L18" si="30">+L16+L17</f>
        <v>1043578.2273922116</v>
      </c>
      <c r="M18" s="1">
        <f t="shared" ref="M18" si="31">+M16+M17</f>
        <v>1257461.773270638</v>
      </c>
      <c r="N18" s="1">
        <f t="shared" ref="N18" si="32">+N16+N17</f>
        <v>1509081.5162583592</v>
      </c>
      <c r="O18" s="1">
        <f t="shared" ref="O18" si="33">+O16+O17</f>
        <v>1804671.7512955782</v>
      </c>
      <c r="P18" s="1">
        <f t="shared" ref="P18" si="34">+P16+P17</f>
        <v>2151459.6807147991</v>
      </c>
      <c r="Q18" s="1">
        <f t="shared" ref="Q18" si="35">+Q16+Q17</f>
        <v>2557820.2449829332</v>
      </c>
    </row>
    <row r="19" spans="2:166" s="1" customFormat="1" x14ac:dyDescent="0.25">
      <c r="B19" s="1" t="s">
        <v>14</v>
      </c>
      <c r="D19" s="1">
        <v>3263</v>
      </c>
      <c r="E19" s="1">
        <v>47400</v>
      </c>
      <c r="F19" s="1">
        <v>64583</v>
      </c>
      <c r="G19" s="1">
        <v>-40151</v>
      </c>
      <c r="H19" s="1">
        <f>+H18*0.25</f>
        <v>96401.592761313164</v>
      </c>
      <c r="I19" s="1">
        <f t="shared" ref="I19:Q19" si="36">+I18*0.25</f>
        <v>135788.78902249836</v>
      </c>
      <c r="J19" s="1">
        <f t="shared" si="36"/>
        <v>177065.0150075212</v>
      </c>
      <c r="K19" s="1">
        <f t="shared" si="36"/>
        <v>215513.83297692356</v>
      </c>
      <c r="L19" s="1">
        <f t="shared" si="36"/>
        <v>260894.55684805289</v>
      </c>
      <c r="M19" s="1">
        <f t="shared" si="36"/>
        <v>314365.44331765949</v>
      </c>
      <c r="N19" s="1">
        <f t="shared" si="36"/>
        <v>377270.3790645898</v>
      </c>
      <c r="O19" s="1">
        <f t="shared" si="36"/>
        <v>451167.93782389455</v>
      </c>
      <c r="P19" s="1">
        <f t="shared" si="36"/>
        <v>537864.92017869977</v>
      </c>
      <c r="Q19" s="1">
        <f t="shared" si="36"/>
        <v>639455.06124573329</v>
      </c>
    </row>
    <row r="20" spans="2:166" s="1" customFormat="1" x14ac:dyDescent="0.25">
      <c r="B20" s="1" t="s">
        <v>15</v>
      </c>
      <c r="D20" s="1">
        <f>+D18-D19</f>
        <v>-717578</v>
      </c>
      <c r="E20" s="1">
        <f t="shared" ref="E20:I20" si="37">+E18-E19</f>
        <v>249915</v>
      </c>
      <c r="F20" s="1">
        <f t="shared" si="37"/>
        <v>156991</v>
      </c>
      <c r="G20" s="1">
        <f t="shared" si="37"/>
        <v>-262537.48</v>
      </c>
      <c r="H20" s="1">
        <f t="shared" si="37"/>
        <v>289204.77828393946</v>
      </c>
      <c r="I20" s="1">
        <f t="shared" si="37"/>
        <v>407366.36706749507</v>
      </c>
      <c r="J20" s="1">
        <f t="shared" ref="J20" si="38">+J18-J19</f>
        <v>531195.04502256354</v>
      </c>
      <c r="K20" s="1">
        <f t="shared" ref="K20" si="39">+K18-K19</f>
        <v>646541.49893077067</v>
      </c>
      <c r="L20" s="1">
        <f t="shared" ref="L20" si="40">+L18-L19</f>
        <v>782683.67054415867</v>
      </c>
      <c r="M20" s="1">
        <f t="shared" ref="M20" si="41">+M18-M19</f>
        <v>943096.32995297853</v>
      </c>
      <c r="N20" s="1">
        <f t="shared" ref="N20" si="42">+N18-N19</f>
        <v>1131811.1371937694</v>
      </c>
      <c r="O20" s="1">
        <f t="shared" ref="O20" si="43">+O18-O19</f>
        <v>1353503.8134716838</v>
      </c>
      <c r="P20" s="1">
        <f t="shared" ref="P20" si="44">+P18-P19</f>
        <v>1613594.7605360993</v>
      </c>
      <c r="Q20" s="1">
        <f t="shared" ref="Q20" si="45">+Q18-Q19</f>
        <v>1918365.1837371998</v>
      </c>
      <c r="R20" s="1">
        <f>+Q20*(1+$T23)</f>
        <v>1956732.4874119437</v>
      </c>
      <c r="S20" s="1">
        <f t="shared" ref="S20:CD20" si="46">+R20*(1+$T23)</f>
        <v>1995867.1371601827</v>
      </c>
      <c r="T20" s="1">
        <f t="shared" si="46"/>
        <v>2035784.4799033864</v>
      </c>
      <c r="U20" s="1">
        <f t="shared" si="46"/>
        <v>2076500.1695014541</v>
      </c>
      <c r="V20" s="1">
        <f t="shared" si="46"/>
        <v>2118030.1728914832</v>
      </c>
      <c r="W20" s="1">
        <f t="shared" si="46"/>
        <v>2160390.7763493131</v>
      </c>
      <c r="X20" s="1">
        <f t="shared" si="46"/>
        <v>2203598.5918762996</v>
      </c>
      <c r="Y20" s="1">
        <f t="shared" si="46"/>
        <v>2247670.5637138258</v>
      </c>
      <c r="Z20" s="1">
        <f t="shared" si="46"/>
        <v>2292623.9749881024</v>
      </c>
      <c r="AA20" s="1">
        <f t="shared" si="46"/>
        <v>2338476.4544878644</v>
      </c>
      <c r="AB20" s="1">
        <f t="shared" si="46"/>
        <v>2385245.9835776216</v>
      </c>
      <c r="AC20" s="1">
        <f t="shared" si="46"/>
        <v>2432950.9032491739</v>
      </c>
      <c r="AD20" s="1">
        <f t="shared" si="46"/>
        <v>2481609.9213141575</v>
      </c>
      <c r="AE20" s="1">
        <f t="shared" si="46"/>
        <v>2531242.1197404405</v>
      </c>
      <c r="AF20" s="1">
        <f t="shared" si="46"/>
        <v>2581866.9621352493</v>
      </c>
      <c r="AG20" s="1">
        <f t="shared" si="46"/>
        <v>2633504.3013779544</v>
      </c>
      <c r="AH20" s="1">
        <f t="shared" si="46"/>
        <v>2686174.3874055138</v>
      </c>
      <c r="AI20" s="1">
        <f t="shared" si="46"/>
        <v>2739897.875153624</v>
      </c>
      <c r="AJ20" s="1">
        <f t="shared" si="46"/>
        <v>2794695.8326566964</v>
      </c>
      <c r="AK20" s="1">
        <f t="shared" si="46"/>
        <v>2850589.7493098304</v>
      </c>
      <c r="AL20" s="1">
        <f t="shared" si="46"/>
        <v>2907601.5442960272</v>
      </c>
      <c r="AM20" s="1">
        <f t="shared" si="46"/>
        <v>2965753.5751819476</v>
      </c>
      <c r="AN20" s="1">
        <f t="shared" si="46"/>
        <v>3025068.6466855868</v>
      </c>
      <c r="AO20" s="1">
        <f t="shared" si="46"/>
        <v>3085570.0196192986</v>
      </c>
      <c r="AP20" s="1">
        <f t="shared" si="46"/>
        <v>3147281.4200116848</v>
      </c>
      <c r="AQ20" s="1">
        <f t="shared" si="46"/>
        <v>3210227.0484119183</v>
      </c>
      <c r="AR20" s="1">
        <f t="shared" si="46"/>
        <v>3274431.5893801567</v>
      </c>
      <c r="AS20" s="1">
        <f t="shared" si="46"/>
        <v>3339920.22116776</v>
      </c>
      <c r="AT20" s="1">
        <f t="shared" si="46"/>
        <v>3406718.6255911151</v>
      </c>
      <c r="AU20" s="1">
        <f t="shared" si="46"/>
        <v>3474852.9981029374</v>
      </c>
      <c r="AV20" s="1">
        <f t="shared" si="46"/>
        <v>3544350.0580649963</v>
      </c>
      <c r="AW20" s="1">
        <f t="shared" si="46"/>
        <v>3615237.0592262964</v>
      </c>
      <c r="AX20" s="1">
        <f t="shared" si="46"/>
        <v>3687541.8004108225</v>
      </c>
      <c r="AY20" s="1">
        <f t="shared" si="46"/>
        <v>3761292.6364190392</v>
      </c>
      <c r="AZ20" s="1">
        <f t="shared" si="46"/>
        <v>3836518.48914742</v>
      </c>
      <c r="BA20" s="1">
        <f t="shared" si="46"/>
        <v>3913248.8589303684</v>
      </c>
      <c r="BB20" s="1">
        <f t="shared" si="46"/>
        <v>3991513.836108976</v>
      </c>
      <c r="BC20" s="1">
        <f t="shared" si="46"/>
        <v>4071344.1128311558</v>
      </c>
      <c r="BD20" s="1">
        <f t="shared" si="46"/>
        <v>4152770.9950877791</v>
      </c>
      <c r="BE20" s="1">
        <f t="shared" si="46"/>
        <v>4235826.4149895348</v>
      </c>
      <c r="BF20" s="1">
        <f t="shared" si="46"/>
        <v>4320542.9432893256</v>
      </c>
      <c r="BG20" s="1">
        <f t="shared" si="46"/>
        <v>4406953.8021551119</v>
      </c>
      <c r="BH20" s="1">
        <f t="shared" si="46"/>
        <v>4495092.8781982139</v>
      </c>
      <c r="BI20" s="1">
        <f t="shared" si="46"/>
        <v>4584994.735762178</v>
      </c>
      <c r="BJ20" s="1">
        <f t="shared" si="46"/>
        <v>4676694.6304774219</v>
      </c>
      <c r="BK20" s="1">
        <f t="shared" si="46"/>
        <v>4770228.5230869707</v>
      </c>
      <c r="BL20" s="1">
        <f t="shared" si="46"/>
        <v>4865633.0935487105</v>
      </c>
      <c r="BM20" s="1">
        <f t="shared" si="46"/>
        <v>4962945.7554196846</v>
      </c>
      <c r="BN20" s="1">
        <f t="shared" si="46"/>
        <v>5062204.6705280785</v>
      </c>
      <c r="BO20" s="1">
        <f t="shared" si="46"/>
        <v>5163448.7639386402</v>
      </c>
      <c r="BP20" s="1">
        <f t="shared" si="46"/>
        <v>5266717.7392174136</v>
      </c>
      <c r="BQ20" s="1">
        <f t="shared" si="46"/>
        <v>5372052.0940017616</v>
      </c>
      <c r="BR20" s="1">
        <f t="shared" si="46"/>
        <v>5479493.1358817974</v>
      </c>
      <c r="BS20" s="1">
        <f t="shared" si="46"/>
        <v>5589082.9985994333</v>
      </c>
      <c r="BT20" s="1">
        <f t="shared" si="46"/>
        <v>5700864.6585714221</v>
      </c>
      <c r="BU20" s="1">
        <f t="shared" si="46"/>
        <v>5814881.9517428502</v>
      </c>
      <c r="BV20" s="1">
        <f t="shared" si="46"/>
        <v>5931179.5907777073</v>
      </c>
      <c r="BW20" s="1">
        <f t="shared" si="46"/>
        <v>6049803.1825932618</v>
      </c>
      <c r="BX20" s="1">
        <f t="shared" si="46"/>
        <v>6170799.2462451272</v>
      </c>
      <c r="BY20" s="1">
        <f t="shared" si="46"/>
        <v>6294215.2311700294</v>
      </c>
      <c r="BZ20" s="1">
        <f t="shared" si="46"/>
        <v>6420099.5357934302</v>
      </c>
      <c r="CA20" s="1">
        <f t="shared" si="46"/>
        <v>6548501.5265092989</v>
      </c>
      <c r="CB20" s="1">
        <f t="shared" si="46"/>
        <v>6679471.5570394853</v>
      </c>
      <c r="CC20" s="1">
        <f t="shared" si="46"/>
        <v>6813060.9881802751</v>
      </c>
      <c r="CD20" s="1">
        <f t="shared" si="46"/>
        <v>6949322.2079438809</v>
      </c>
      <c r="CE20" s="1">
        <f t="shared" ref="CE20:DR20" si="47">+CD20*(1+$T23)</f>
        <v>7088308.6521027591</v>
      </c>
      <c r="CF20" s="1">
        <f t="shared" si="47"/>
        <v>7230074.8251448143</v>
      </c>
      <c r="CG20" s="1">
        <f t="shared" si="47"/>
        <v>7374676.3216477111</v>
      </c>
      <c r="CH20" s="1">
        <f t="shared" si="47"/>
        <v>7522169.8480806658</v>
      </c>
      <c r="CI20" s="1">
        <f t="shared" si="47"/>
        <v>7672613.2450422794</v>
      </c>
      <c r="CJ20" s="1">
        <f t="shared" si="47"/>
        <v>7826065.5099431248</v>
      </c>
      <c r="CK20" s="1">
        <f t="shared" si="47"/>
        <v>7982586.8201419879</v>
      </c>
      <c r="CL20" s="1">
        <f t="shared" si="47"/>
        <v>8142238.5565448282</v>
      </c>
      <c r="CM20" s="1">
        <f t="shared" si="47"/>
        <v>8305083.3276757253</v>
      </c>
      <c r="CN20" s="1">
        <f t="shared" si="47"/>
        <v>8471184.9942292403</v>
      </c>
      <c r="CO20" s="1">
        <f t="shared" si="47"/>
        <v>8640608.6941138245</v>
      </c>
      <c r="CP20" s="1">
        <f t="shared" si="47"/>
        <v>8813420.8679961003</v>
      </c>
      <c r="CQ20" s="1">
        <f t="shared" si="47"/>
        <v>8989689.2853560224</v>
      </c>
      <c r="CR20" s="1">
        <f t="shared" si="47"/>
        <v>9169483.0710631423</v>
      </c>
      <c r="CS20" s="1">
        <f t="shared" si="47"/>
        <v>9352872.7324844059</v>
      </c>
      <c r="CT20" s="1">
        <f t="shared" si="47"/>
        <v>9539930.1871340945</v>
      </c>
      <c r="CU20" s="1">
        <f t="shared" si="47"/>
        <v>9730728.790876776</v>
      </c>
      <c r="CV20" s="1">
        <f t="shared" si="47"/>
        <v>9925343.3666943125</v>
      </c>
      <c r="CW20" s="1">
        <f t="shared" si="47"/>
        <v>10123850.2340282</v>
      </c>
      <c r="CX20" s="1">
        <f t="shared" si="47"/>
        <v>10326327.238708764</v>
      </c>
      <c r="CY20" s="1">
        <f t="shared" si="47"/>
        <v>10532853.783482939</v>
      </c>
      <c r="CZ20" s="1">
        <f t="shared" si="47"/>
        <v>10743510.859152598</v>
      </c>
      <c r="DA20" s="1">
        <f t="shared" si="47"/>
        <v>10958381.07633565</v>
      </c>
      <c r="DB20" s="1">
        <f t="shared" si="47"/>
        <v>11177548.697862362</v>
      </c>
      <c r="DC20" s="1">
        <f t="shared" si="47"/>
        <v>11401099.671819611</v>
      </c>
      <c r="DD20" s="1">
        <f t="shared" si="47"/>
        <v>11629121.665256003</v>
      </c>
      <c r="DE20" s="1">
        <f t="shared" si="47"/>
        <v>11861704.098561123</v>
      </c>
      <c r="DF20" s="1">
        <f t="shared" si="47"/>
        <v>12098938.180532346</v>
      </c>
      <c r="DG20" s="1">
        <f t="shared" si="47"/>
        <v>12340916.944142994</v>
      </c>
      <c r="DH20" s="1">
        <f t="shared" si="47"/>
        <v>12587735.283025853</v>
      </c>
      <c r="DI20" s="1">
        <f t="shared" si="47"/>
        <v>12839489.98868637</v>
      </c>
      <c r="DJ20" s="1">
        <f t="shared" si="47"/>
        <v>13096279.788460098</v>
      </c>
      <c r="DK20" s="1">
        <f t="shared" si="47"/>
        <v>13358205.384229301</v>
      </c>
      <c r="DL20" s="1">
        <f t="shared" si="47"/>
        <v>13625369.491913887</v>
      </c>
      <c r="DM20" s="1">
        <f t="shared" si="47"/>
        <v>13897876.881752165</v>
      </c>
      <c r="DN20" s="1">
        <f t="shared" si="47"/>
        <v>14175834.419387208</v>
      </c>
      <c r="DO20" s="1">
        <f t="shared" si="47"/>
        <v>14459351.107774952</v>
      </c>
      <c r="DP20" s="1">
        <f t="shared" si="47"/>
        <v>14748538.129930452</v>
      </c>
      <c r="DQ20" s="1">
        <f t="shared" si="47"/>
        <v>15043508.892529061</v>
      </c>
      <c r="DR20" s="1">
        <f t="shared" si="47"/>
        <v>15344379.070379643</v>
      </c>
      <c r="DS20" s="1">
        <f>+DR20*(1+$T23)</f>
        <v>15651266.651787236</v>
      </c>
      <c r="DT20" s="1">
        <f t="shared" ref="DT20:FJ20" si="48">+DS20*(1+$T23)</f>
        <v>15964291.984822981</v>
      </c>
      <c r="DU20" s="1">
        <f t="shared" si="48"/>
        <v>16283577.824519441</v>
      </c>
      <c r="DV20" s="1">
        <f t="shared" si="48"/>
        <v>16609249.38100983</v>
      </c>
      <c r="DW20" s="1">
        <f t="shared" si="48"/>
        <v>16941434.368630026</v>
      </c>
      <c r="DX20" s="1">
        <f t="shared" si="48"/>
        <v>17280263.056002628</v>
      </c>
      <c r="DY20" s="1">
        <f t="shared" si="48"/>
        <v>17625868.317122679</v>
      </c>
      <c r="DZ20" s="1">
        <f t="shared" si="48"/>
        <v>17978385.683465134</v>
      </c>
      <c r="EA20" s="1">
        <f t="shared" si="48"/>
        <v>18337953.397134438</v>
      </c>
      <c r="EB20" s="1">
        <f t="shared" si="48"/>
        <v>18704712.465077128</v>
      </c>
      <c r="EC20" s="1">
        <f t="shared" si="48"/>
        <v>19078806.71437867</v>
      </c>
      <c r="ED20" s="1">
        <f t="shared" si="48"/>
        <v>19460382.848666243</v>
      </c>
      <c r="EE20" s="1">
        <f t="shared" si="48"/>
        <v>19849590.505639568</v>
      </c>
      <c r="EF20" s="1">
        <f t="shared" si="48"/>
        <v>20246582.315752361</v>
      </c>
      <c r="EG20" s="1">
        <f t="shared" si="48"/>
        <v>20651513.96206741</v>
      </c>
      <c r="EH20" s="1">
        <f t="shared" si="48"/>
        <v>21064544.24130876</v>
      </c>
      <c r="EI20" s="1">
        <f t="shared" si="48"/>
        <v>21485835.126134936</v>
      </c>
      <c r="EJ20" s="1">
        <f t="shared" si="48"/>
        <v>21915551.828657635</v>
      </c>
      <c r="EK20" s="1">
        <f t="shared" si="48"/>
        <v>22353862.865230788</v>
      </c>
      <c r="EL20" s="1">
        <f t="shared" si="48"/>
        <v>22800940.122535404</v>
      </c>
      <c r="EM20" s="1">
        <f t="shared" si="48"/>
        <v>23256958.924986113</v>
      </c>
      <c r="EN20" s="1">
        <f t="shared" si="48"/>
        <v>23722098.103485834</v>
      </c>
      <c r="EO20" s="1">
        <f t="shared" si="48"/>
        <v>24196540.06555555</v>
      </c>
      <c r="EP20" s="1">
        <f t="shared" si="48"/>
        <v>24680470.866866663</v>
      </c>
      <c r="EQ20" s="1">
        <f t="shared" si="48"/>
        <v>25174080.284203995</v>
      </c>
      <c r="ER20" s="1">
        <f t="shared" si="48"/>
        <v>25677561.889888074</v>
      </c>
      <c r="ES20" s="1">
        <f t="shared" si="48"/>
        <v>26191113.127685837</v>
      </c>
      <c r="ET20" s="1">
        <f t="shared" si="48"/>
        <v>26714935.390239555</v>
      </c>
      <c r="EU20" s="1">
        <f t="shared" si="48"/>
        <v>27249234.098044347</v>
      </c>
      <c r="EV20" s="1">
        <f t="shared" si="48"/>
        <v>27794218.780005235</v>
      </c>
      <c r="EW20" s="1">
        <f t="shared" si="48"/>
        <v>28350103.155605342</v>
      </c>
      <c r="EX20" s="1">
        <f t="shared" si="48"/>
        <v>28917105.218717448</v>
      </c>
      <c r="EY20" s="1">
        <f t="shared" si="48"/>
        <v>29495447.323091798</v>
      </c>
      <c r="EZ20" s="1">
        <f t="shared" si="48"/>
        <v>30085356.269553635</v>
      </c>
      <c r="FA20" s="1">
        <f t="shared" si="48"/>
        <v>30687063.394944709</v>
      </c>
      <c r="FB20" s="1">
        <f t="shared" si="48"/>
        <v>31300804.662843604</v>
      </c>
      <c r="FC20" s="1">
        <f t="shared" si="48"/>
        <v>31926820.756100476</v>
      </c>
      <c r="FD20" s="1">
        <f t="shared" si="48"/>
        <v>32565357.171222486</v>
      </c>
      <c r="FE20" s="1">
        <f t="shared" si="48"/>
        <v>33216664.314646937</v>
      </c>
      <c r="FF20" s="1">
        <f t="shared" si="48"/>
        <v>33880997.600939877</v>
      </c>
      <c r="FG20" s="1">
        <f t="shared" si="48"/>
        <v>34558617.552958675</v>
      </c>
      <c r="FH20" s="1">
        <f t="shared" si="48"/>
        <v>35249789.904017851</v>
      </c>
      <c r="FI20" s="1">
        <f t="shared" si="48"/>
        <v>35954785.702098206</v>
      </c>
      <c r="FJ20" s="1">
        <f t="shared" si="48"/>
        <v>36673881.416140169</v>
      </c>
    </row>
    <row r="21" spans="2:166" s="1" customFormat="1" x14ac:dyDescent="0.25">
      <c r="D21" s="4"/>
      <c r="E21" s="4"/>
      <c r="F21" s="4"/>
      <c r="G21" s="4"/>
    </row>
    <row r="22" spans="2:166" s="3" customFormat="1" x14ac:dyDescent="0.25">
      <c r="B22" s="3" t="s">
        <v>16</v>
      </c>
      <c r="D22" s="3">
        <f>+D9/D6</f>
        <v>0.59930937294379139</v>
      </c>
      <c r="E22" s="3">
        <f t="shared" ref="E22:F22" si="49">+E9/E6</f>
        <v>0.49828262089562941</v>
      </c>
      <c r="F22" s="3">
        <f t="shared" si="49"/>
        <v>0.39307252544812749</v>
      </c>
      <c r="G22" s="3">
        <f t="shared" ref="G22:Q22" si="50">+G9/G6</f>
        <v>0.3883537748851455</v>
      </c>
      <c r="H22" s="3">
        <f t="shared" si="50"/>
        <v>0.39940031783154928</v>
      </c>
      <c r="I22" s="3">
        <f t="shared" si="50"/>
        <v>0.39951881146431684</v>
      </c>
      <c r="J22" s="3">
        <f t="shared" si="50"/>
        <v>0.39959820397175372</v>
      </c>
      <c r="K22" s="3">
        <f t="shared" si="50"/>
        <v>0.39965015377927937</v>
      </c>
      <c r="L22" s="3">
        <f t="shared" si="50"/>
        <v>0.3996954384503284</v>
      </c>
      <c r="M22" s="3">
        <f t="shared" si="50"/>
        <v>0.39973490059021904</v>
      </c>
      <c r="N22" s="3">
        <f t="shared" si="50"/>
        <v>0.39976927932655676</v>
      </c>
      <c r="O22" s="3">
        <f t="shared" si="50"/>
        <v>0.39979922227231279</v>
      </c>
      <c r="P22" s="3">
        <f t="shared" si="50"/>
        <v>0.39982529629131441</v>
      </c>
      <c r="Q22" s="3">
        <f t="shared" si="50"/>
        <v>0.39984799713767416</v>
      </c>
      <c r="S22" s="3" t="s">
        <v>27</v>
      </c>
      <c r="T22" s="3">
        <v>0.1</v>
      </c>
    </row>
    <row r="23" spans="2:166" s="3" customFormat="1" x14ac:dyDescent="0.25">
      <c r="B23" s="3" t="s">
        <v>17</v>
      </c>
      <c r="D23" s="3">
        <f>+D16/D6</f>
        <v>7.872526720998068E-3</v>
      </c>
      <c r="E23" s="3">
        <f t="shared" ref="E23:F23" si="51">+E16/E6</f>
        <v>0.17090645351218159</v>
      </c>
      <c r="F23" s="3">
        <f t="shared" si="51"/>
        <v>9.9721223466863296E-2</v>
      </c>
      <c r="G23" s="3">
        <f t="shared" ref="G23:Q23" si="52">+G16/G6</f>
        <v>-8.0871163859111792E-2</v>
      </c>
      <c r="H23" s="3">
        <f t="shared" si="52"/>
        <v>0.11562063237841523</v>
      </c>
      <c r="I23" s="3">
        <f t="shared" si="52"/>
        <v>0.13068001710384491</v>
      </c>
      <c r="J23" s="3">
        <f t="shared" si="52"/>
        <v>0.14228803954277316</v>
      </c>
      <c r="K23" s="3">
        <f t="shared" si="52"/>
        <v>0.15079339995997659</v>
      </c>
      <c r="L23" s="3">
        <f t="shared" si="52"/>
        <v>0.15891690106905659</v>
      </c>
      <c r="M23" s="3">
        <f t="shared" si="52"/>
        <v>0.16667618695806663</v>
      </c>
      <c r="N23" s="3">
        <f t="shared" si="52"/>
        <v>0.17408815185596091</v>
      </c>
      <c r="O23" s="3">
        <f t="shared" si="52"/>
        <v>0.18116894672322884</v>
      </c>
      <c r="P23" s="3">
        <f t="shared" si="52"/>
        <v>0.18793399265417832</v>
      </c>
      <c r="Q23" s="3">
        <f t="shared" si="52"/>
        <v>0.19439799927622689</v>
      </c>
      <c r="S23" s="3" t="s">
        <v>28</v>
      </c>
      <c r="T23" s="3">
        <v>0.02</v>
      </c>
    </row>
    <row r="24" spans="2:166" s="3" customFormat="1" x14ac:dyDescent="0.25">
      <c r="B24" s="3" t="s">
        <v>26</v>
      </c>
      <c r="E24" s="3">
        <f>+E6/D6 -1</f>
        <v>0.87871542331345553</v>
      </c>
      <c r="F24" s="3">
        <f>+F6/E6 -1</f>
        <v>0.1556651448568942</v>
      </c>
      <c r="G24" s="3">
        <f>+G6/F6 -1</f>
        <v>0.55823733052230184</v>
      </c>
      <c r="H24" s="3">
        <f t="shared" ref="H24:Q24" si="53">+H6/G6 -1</f>
        <v>0.27683767228177647</v>
      </c>
      <c r="I24" s="3">
        <f t="shared" si="53"/>
        <v>0.24625198644718305</v>
      </c>
      <c r="J24" s="3">
        <f t="shared" si="53"/>
        <v>0.19759405732158442</v>
      </c>
      <c r="K24" s="3">
        <f t="shared" si="53"/>
        <v>0.14849326489407644</v>
      </c>
      <c r="L24" s="3">
        <f t="shared" si="53"/>
        <v>0.14868807667229755</v>
      </c>
      <c r="M24" s="3">
        <f t="shared" si="53"/>
        <v>0.14885789418873152</v>
      </c>
      <c r="N24" s="3">
        <f t="shared" si="53"/>
        <v>0.14900587721332159</v>
      </c>
      <c r="O24" s="3">
        <f t="shared" si="53"/>
        <v>0.1491347974745878</v>
      </c>
      <c r="P24" s="3">
        <f t="shared" si="53"/>
        <v>0.14924708352117277</v>
      </c>
      <c r="Q24" s="3">
        <f t="shared" si="53"/>
        <v>0.14934486109242906</v>
      </c>
      <c r="S24" s="3" t="s">
        <v>29</v>
      </c>
      <c r="T24" s="1">
        <f>NPV(T22,G20:FJ20)</f>
        <v>12965604.465448229</v>
      </c>
    </row>
    <row r="25" spans="2:166" s="1" customFormat="1" x14ac:dyDescent="0.25">
      <c r="S25" s="1" t="s">
        <v>30</v>
      </c>
      <c r="T25" s="1">
        <f>+F31</f>
        <v>1045474</v>
      </c>
    </row>
    <row r="26" spans="2:166" s="1" customFormat="1" x14ac:dyDescent="0.25">
      <c r="B26" s="1" t="s">
        <v>22</v>
      </c>
      <c r="D26" s="1">
        <v>-72693</v>
      </c>
      <c r="E26" s="1">
        <v>139568</v>
      </c>
      <c r="F26" s="1">
        <v>344576</v>
      </c>
      <c r="S26" s="1" t="s">
        <v>31</v>
      </c>
      <c r="T26" s="1">
        <f>+T24+T25</f>
        <v>14011078.465448229</v>
      </c>
    </row>
    <row r="27" spans="2:166" s="1" customFormat="1" x14ac:dyDescent="0.25">
      <c r="B27" s="1" t="s">
        <v>23</v>
      </c>
      <c r="D27" s="1">
        <f>18315+3050</f>
        <v>21365</v>
      </c>
      <c r="E27" s="1">
        <f>654+32862</f>
        <v>33516</v>
      </c>
      <c r="F27" s="1">
        <f>39098+18128</f>
        <v>57226</v>
      </c>
      <c r="S27" s="1" t="s">
        <v>32</v>
      </c>
      <c r="T27" s="1">
        <f>216487.16+18988.431</f>
        <v>235475.59100000001</v>
      </c>
    </row>
    <row r="28" spans="2:166" s="1" customFormat="1" x14ac:dyDescent="0.25">
      <c r="B28" s="1" t="s">
        <v>24</v>
      </c>
      <c r="D28" s="1">
        <f>+D26-D27</f>
        <v>-94058</v>
      </c>
      <c r="E28" s="1">
        <f>+E26-E27</f>
        <v>106052</v>
      </c>
      <c r="F28" s="1">
        <f>+F26-F27</f>
        <v>287350</v>
      </c>
      <c r="S28" s="1" t="s">
        <v>33</v>
      </c>
      <c r="T28" s="1">
        <f>+T26/T27</f>
        <v>59.501192484312433</v>
      </c>
    </row>
    <row r="29" spans="2:166" s="1" customFormat="1" x14ac:dyDescent="0.25"/>
    <row r="30" spans="2:166" s="1" customFormat="1" x14ac:dyDescent="0.25">
      <c r="B30" s="1" t="s">
        <v>19</v>
      </c>
      <c r="E30" s="1">
        <v>24346152</v>
      </c>
      <c r="F30" s="1">
        <v>43918572</v>
      </c>
    </row>
    <row r="31" spans="2:166" s="1" customFormat="1" x14ac:dyDescent="0.25">
      <c r="B31" s="1" t="s">
        <v>18</v>
      </c>
      <c r="E31" s="1">
        <v>644432</v>
      </c>
      <c r="F31" s="1">
        <v>1045474</v>
      </c>
    </row>
    <row r="32" spans="2:166" s="1" customFormat="1" x14ac:dyDescent="0.25">
      <c r="B32" s="1" t="s">
        <v>20</v>
      </c>
      <c r="E32" s="1">
        <v>75874</v>
      </c>
      <c r="F32" s="1">
        <v>84114</v>
      </c>
    </row>
    <row r="33" spans="2:17" s="1" customFormat="1" x14ac:dyDescent="0.25">
      <c r="B33" s="1" t="s">
        <v>21</v>
      </c>
      <c r="E33" s="1">
        <v>24276065</v>
      </c>
      <c r="F33" s="1">
        <v>43727363</v>
      </c>
    </row>
    <row r="34" spans="2:17" s="1" customFormat="1" x14ac:dyDescent="0.25"/>
    <row r="35" spans="2:17" s="3" customFormat="1" x14ac:dyDescent="0.25">
      <c r="B35" s="3" t="s">
        <v>6</v>
      </c>
      <c r="D35" s="3">
        <f>+D10/D$6</f>
        <v>0.27583763787931381</v>
      </c>
      <c r="E35" s="3">
        <f t="shared" ref="E35:Q35" si="54">+E10/E$6</f>
        <v>0.2041102652526843</v>
      </c>
      <c r="F35" s="3">
        <f t="shared" si="54"/>
        <v>0.15714214978287883</v>
      </c>
      <c r="G35" s="3">
        <f t="shared" si="54"/>
        <v>0.36066168070444105</v>
      </c>
      <c r="H35" s="3">
        <f t="shared" si="54"/>
        <v>0.17990465053521634</v>
      </c>
      <c r="I35" s="3">
        <f t="shared" si="54"/>
        <v>0.16805528725845795</v>
      </c>
      <c r="J35" s="3">
        <f t="shared" si="54"/>
        <v>0.15881266567041344</v>
      </c>
      <c r="K35" s="3">
        <f t="shared" si="54"/>
        <v>0.15196815847918604</v>
      </c>
      <c r="L35" s="3">
        <f t="shared" si="54"/>
        <v>0.14541115556470746</v>
      </c>
      <c r="M35" s="3">
        <f t="shared" si="54"/>
        <v>0.13913083185701997</v>
      </c>
      <c r="N35" s="3">
        <f t="shared" si="54"/>
        <v>0.13311655694934821</v>
      </c>
      <c r="O35" s="3">
        <f t="shared" si="54"/>
        <v>0.12735793147309593</v>
      </c>
      <c r="P35" s="3">
        <f t="shared" si="54"/>
        <v>0.12184481478182967</v>
      </c>
      <c r="Q35" s="3">
        <f t="shared" si="54"/>
        <v>0.11656734540067012</v>
      </c>
    </row>
    <row r="36" spans="2:17" s="3" customFormat="1" x14ac:dyDescent="0.25">
      <c r="B36" s="3" t="s">
        <v>7</v>
      </c>
      <c r="D36" s="3">
        <f>+D11/D$6</f>
        <v>0.10656277038334205</v>
      </c>
      <c r="E36" s="3">
        <f t="shared" ref="E36:Q36" si="55">+E11/E$6</f>
        <v>6.9031607772950213E-2</v>
      </c>
      <c r="F36" s="3">
        <f t="shared" si="55"/>
        <v>8.1898734856850369E-2</v>
      </c>
      <c r="G36" s="3">
        <f t="shared" si="55"/>
        <v>6.0746680704441045E-2</v>
      </c>
      <c r="H36" s="3">
        <f t="shared" si="55"/>
        <v>0.06</v>
      </c>
      <c r="I36" s="3">
        <f t="shared" si="55"/>
        <v>0.06</v>
      </c>
      <c r="J36" s="3">
        <f t="shared" si="55"/>
        <v>0.06</v>
      </c>
      <c r="K36" s="3">
        <f t="shared" si="55"/>
        <v>0.06</v>
      </c>
      <c r="L36" s="3">
        <f t="shared" si="55"/>
        <v>0.06</v>
      </c>
      <c r="M36" s="3">
        <f t="shared" si="55"/>
        <v>0.06</v>
      </c>
      <c r="N36" s="3">
        <f t="shared" si="55"/>
        <v>0.06</v>
      </c>
      <c r="O36" s="3">
        <f t="shared" si="55"/>
        <v>0.06</v>
      </c>
      <c r="P36" s="3">
        <f t="shared" si="55"/>
        <v>0.06</v>
      </c>
      <c r="Q36" s="3">
        <f t="shared" si="55"/>
        <v>0.06</v>
      </c>
    </row>
    <row r="37" spans="2:17" s="1" customFormat="1" x14ac:dyDescent="0.25"/>
    <row r="38" spans="2:17" s="1" customFormat="1" x14ac:dyDescent="0.25"/>
    <row r="39" spans="2:17" s="1" customFormat="1" x14ac:dyDescent="0.25"/>
    <row r="40" spans="2:17" s="1" customFormat="1" x14ac:dyDescent="0.25"/>
    <row r="41" spans="2:17" s="1" customFormat="1" x14ac:dyDescent="0.25"/>
    <row r="42" spans="2:17" s="1" customFormat="1" x14ac:dyDescent="0.25"/>
    <row r="43" spans="2:17" s="1" customFormat="1" x14ac:dyDescent="0.25"/>
    <row r="44" spans="2:17" s="1" customFormat="1" x14ac:dyDescent="0.25"/>
    <row r="45" spans="2:17" s="1" customFormat="1" x14ac:dyDescent="0.25"/>
    <row r="46" spans="2:17" s="1" customFormat="1" x14ac:dyDescent="0.25"/>
    <row r="47" spans="2:17" s="1" customFormat="1" x14ac:dyDescent="0.25"/>
    <row r="48" spans="2:1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2026-02-16T00:15:38Z</dcterms:created>
  <dcterms:modified xsi:type="dcterms:W3CDTF">2026-02-16T01:09:16Z</dcterms:modified>
</cp:coreProperties>
</file>