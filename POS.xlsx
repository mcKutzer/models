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CC196F6-D012-41AF-9FEE-2255A929410C}" xr6:coauthVersionLast="47" xr6:coauthVersionMax="47" xr10:uidLastSave="{00000000-0000-0000-0000-000000000000}"/>
  <bookViews>
    <workbookView xWindow="-120" yWindow="-120" windowWidth="29040" windowHeight="15840" activeTab="1" xr2:uid="{64E35AB0-E911-4EDA-932E-EF5A3E498763}"/>
  </bookViews>
  <sheets>
    <sheet name="Main" sheetId="2" r:id="rId1"/>
    <sheet name="Model" sheetId="1" r:id="rId2"/>
  </sheets>
  <definedNames>
    <definedName name="MC">Main!$D$6</definedName>
    <definedName name="TR">Model!$AB$28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1" l="1"/>
  <c r="G3" i="1"/>
  <c r="Q7" i="1"/>
  <c r="Q5" i="1"/>
  <c r="Q74" i="1"/>
  <c r="Q80" i="1" s="1"/>
  <c r="Q78" i="1"/>
  <c r="O75" i="1"/>
  <c r="P75" i="1"/>
  <c r="Q73" i="1"/>
  <c r="P39" i="1"/>
  <c r="G39" i="1"/>
  <c r="G40" i="1"/>
  <c r="G41" i="1"/>
  <c r="G42" i="1"/>
  <c r="D5" i="2"/>
  <c r="D6" i="2" s="1"/>
  <c r="G31" i="1"/>
  <c r="G64" i="1"/>
  <c r="G53" i="1"/>
  <c r="G22" i="1"/>
  <c r="O31" i="1"/>
  <c r="P31" i="1"/>
  <c r="P64" i="1"/>
  <c r="O64" i="1"/>
  <c r="G11" i="1"/>
  <c r="G13" i="1" s="1"/>
  <c r="G16" i="1" s="1"/>
  <c r="G18" i="1" s="1"/>
  <c r="G46" i="1" s="1"/>
  <c r="P22" i="1"/>
  <c r="R14" i="1"/>
  <c r="S14" i="1" s="1"/>
  <c r="T14" i="1" s="1"/>
  <c r="U14" i="1" s="1"/>
  <c r="V14" i="1" s="1"/>
  <c r="W14" i="1" s="1"/>
  <c r="X14" i="1" s="1"/>
  <c r="Y14" i="1" s="1"/>
  <c r="R15" i="1"/>
  <c r="S15" i="1" s="1"/>
  <c r="T15" i="1" s="1"/>
  <c r="U15" i="1" s="1"/>
  <c r="V15" i="1" s="1"/>
  <c r="W15" i="1" s="1"/>
  <c r="X15" i="1" s="1"/>
  <c r="Y15" i="1" s="1"/>
  <c r="Q12" i="1"/>
  <c r="R12" i="1" s="1"/>
  <c r="S12" i="1" s="1"/>
  <c r="T12" i="1" s="1"/>
  <c r="U12" i="1" s="1"/>
  <c r="V12" i="1" s="1"/>
  <c r="W12" i="1" s="1"/>
  <c r="X12" i="1" s="1"/>
  <c r="Y12" i="1" s="1"/>
  <c r="R7" i="1"/>
  <c r="S7" i="1" s="1"/>
  <c r="T7" i="1" s="1"/>
  <c r="U7" i="1" s="1"/>
  <c r="V7" i="1" s="1"/>
  <c r="W7" i="1" s="1"/>
  <c r="X7" i="1" s="1"/>
  <c r="Y7" i="1" s="1"/>
  <c r="P28" i="1"/>
  <c r="O28" i="1"/>
  <c r="O27" i="1"/>
  <c r="P27" i="1"/>
  <c r="O34" i="1"/>
  <c r="P34" i="1"/>
  <c r="P44" i="1" s="1"/>
  <c r="O42" i="1"/>
  <c r="P42" i="1"/>
  <c r="P40" i="1"/>
  <c r="O40" i="1"/>
  <c r="O39" i="1"/>
  <c r="Q4" i="1"/>
  <c r="R4" i="1" s="1"/>
  <c r="R8" i="1" s="1"/>
  <c r="P11" i="1"/>
  <c r="P13" i="1" s="1"/>
  <c r="P16" i="1" s="1"/>
  <c r="P18" i="1" s="1"/>
  <c r="P19" i="1" s="1"/>
  <c r="P26" i="1" s="1"/>
  <c r="O11" i="1"/>
  <c r="O13" i="1" s="1"/>
  <c r="O16" i="1" s="1"/>
  <c r="O18" i="1" s="1"/>
  <c r="O19" i="1" s="1"/>
  <c r="O26" i="1" s="1"/>
  <c r="P2" i="1"/>
  <c r="Q2" i="1" s="1"/>
  <c r="R2" i="1" s="1"/>
  <c r="S2" i="1" s="1"/>
  <c r="T2" i="1" s="1"/>
  <c r="U2" i="1" s="1"/>
  <c r="V2" i="1" s="1"/>
  <c r="W2" i="1" s="1"/>
  <c r="X2" i="1" s="1"/>
  <c r="Y2" i="1" s="1"/>
  <c r="C11" i="1"/>
  <c r="C13" i="1" s="1"/>
  <c r="C16" i="1" s="1"/>
  <c r="C18" i="1" s="1"/>
  <c r="C20" i="1" s="1"/>
  <c r="Q79" i="1" l="1"/>
  <c r="G54" i="1"/>
  <c r="G65" i="1" s="1"/>
  <c r="O44" i="1"/>
  <c r="O79" i="1"/>
  <c r="P79" i="1"/>
  <c r="D7" i="2"/>
  <c r="D8" i="2" s="1"/>
  <c r="P73" i="1"/>
  <c r="O73" i="1"/>
  <c r="G44" i="1"/>
  <c r="G30" i="1"/>
  <c r="G70" i="1"/>
  <c r="G32" i="1" s="1"/>
  <c r="G19" i="1"/>
  <c r="P46" i="1"/>
  <c r="P54" i="1" s="1"/>
  <c r="P65" i="1" s="1"/>
  <c r="O46" i="1"/>
  <c r="O54" i="1" s="1"/>
  <c r="O65" i="1" s="1"/>
  <c r="Q8" i="1"/>
  <c r="R10" i="1"/>
  <c r="Q10" i="1"/>
  <c r="R9" i="1"/>
  <c r="R11" i="1" s="1"/>
  <c r="R13" i="1" s="1"/>
  <c r="R16" i="1" s="1"/>
  <c r="R17" i="1" s="1"/>
  <c r="O25" i="1"/>
  <c r="P25" i="1"/>
  <c r="S4" i="1"/>
  <c r="P24" i="1"/>
  <c r="O24" i="1"/>
  <c r="Q11" i="1" l="1"/>
  <c r="Q13" i="1" s="1"/>
  <c r="Q16" i="1" s="1"/>
  <c r="Q17" i="1" s="1"/>
  <c r="O80" i="1"/>
  <c r="O78" i="1"/>
  <c r="P80" i="1"/>
  <c r="P78" i="1"/>
  <c r="P70" i="1"/>
  <c r="P32" i="1" s="1"/>
  <c r="P30" i="1"/>
  <c r="O70" i="1"/>
  <c r="O32" i="1" s="1"/>
  <c r="O30" i="1"/>
  <c r="R18" i="1"/>
  <c r="S9" i="1"/>
  <c r="S10" i="1"/>
  <c r="T4" i="1"/>
  <c r="S8" i="1"/>
  <c r="Q18" i="1" l="1"/>
  <c r="Q19" i="1" s="1"/>
  <c r="S11" i="1"/>
  <c r="S13" i="1" s="1"/>
  <c r="S16" i="1" s="1"/>
  <c r="S17" i="1" s="1"/>
  <c r="T9" i="1"/>
  <c r="T10" i="1"/>
  <c r="R19" i="1"/>
  <c r="R20" i="1" s="1"/>
  <c r="R22" i="1" s="1"/>
  <c r="U4" i="1"/>
  <c r="T8" i="1"/>
  <c r="T11" i="1" s="1"/>
  <c r="T13" i="1" s="1"/>
  <c r="T16" i="1" s="1"/>
  <c r="T17" i="1" s="1"/>
  <c r="Q20" i="1" l="1"/>
  <c r="Q75" i="1" s="1"/>
  <c r="S18" i="1"/>
  <c r="Q22" i="1"/>
  <c r="T18" i="1"/>
  <c r="U9" i="1"/>
  <c r="U10" i="1"/>
  <c r="S19" i="1"/>
  <c r="S20" i="1" s="1"/>
  <c r="S22" i="1" s="1"/>
  <c r="V4" i="1"/>
  <c r="U8" i="1"/>
  <c r="U11" i="1" s="1"/>
  <c r="U13" i="1" s="1"/>
  <c r="U16" i="1" s="1"/>
  <c r="U17" i="1" s="1"/>
  <c r="T19" i="1" l="1"/>
  <c r="T20" i="1" s="1"/>
  <c r="T22" i="1" s="1"/>
  <c r="U18" i="1"/>
  <c r="V9" i="1"/>
  <c r="V10" i="1"/>
  <c r="W4" i="1"/>
  <c r="V8" i="1"/>
  <c r="V11" i="1" s="1"/>
  <c r="V13" i="1" s="1"/>
  <c r="V16" i="1" s="1"/>
  <c r="V17" i="1" s="1"/>
  <c r="U19" i="1" l="1"/>
  <c r="U20" i="1" s="1"/>
  <c r="U22" i="1" s="1"/>
  <c r="W9" i="1"/>
  <c r="W10" i="1"/>
  <c r="V18" i="1"/>
  <c r="X4" i="1"/>
  <c r="W8" i="1"/>
  <c r="W11" i="1" s="1"/>
  <c r="W13" i="1" s="1"/>
  <c r="W16" i="1" s="1"/>
  <c r="W17" i="1" s="1"/>
  <c r="V19" i="1" l="1"/>
  <c r="V20" i="1" s="1"/>
  <c r="V22" i="1" s="1"/>
  <c r="W18" i="1"/>
  <c r="X9" i="1"/>
  <c r="X10" i="1"/>
  <c r="Y4" i="1"/>
  <c r="X8" i="1"/>
  <c r="X11" i="1" s="1"/>
  <c r="X13" i="1" s="1"/>
  <c r="X16" i="1" s="1"/>
  <c r="X17" i="1" s="1"/>
  <c r="W19" i="1" l="1"/>
  <c r="W20" i="1" s="1"/>
  <c r="Y10" i="1"/>
  <c r="Y9" i="1"/>
  <c r="X18" i="1"/>
  <c r="Y8" i="1"/>
  <c r="Y11" i="1" l="1"/>
  <c r="Y13" i="1" s="1"/>
  <c r="Y16" i="1" s="1"/>
  <c r="Y17" i="1" s="1"/>
  <c r="W22" i="1"/>
  <c r="X19" i="1"/>
  <c r="X20" i="1" s="1"/>
  <c r="X22" i="1" s="1"/>
  <c r="Y18" i="1" l="1"/>
  <c r="Y19" i="1" s="1"/>
  <c r="Y20" i="1" s="1"/>
  <c r="Y22" i="1" l="1"/>
  <c r="Z20" i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AB29" i="1" s="1"/>
  <c r="AB31" i="1" s="1"/>
  <c r="AB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36" authorId="0" shapeId="0" xr:uid="{39C7E8BA-69CB-4687-9CEF-6F9378DF1574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Als Finanzinvestitionen gehaltene Immobilien</t>
        </r>
      </text>
    </comment>
    <comment ref="B67" authorId="0" shapeId="0" xr:uid="{8581435E-1565-464A-82B1-4B54C827D14D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Basically verkauf von Immobilien
Einzahlungen aus Sachanlageabgängen und Abgängen aus Finanzimmobilien</t>
        </r>
      </text>
    </comment>
  </commentList>
</comments>
</file>

<file path=xl/sharedStrings.xml><?xml version="1.0" encoding="utf-8"?>
<sst xmlns="http://schemas.openxmlformats.org/spreadsheetml/2006/main" count="84" uniqueCount="77">
  <si>
    <t>Revenue</t>
  </si>
  <si>
    <t>Equity Income</t>
  </si>
  <si>
    <t>Eigenleistung</t>
  </si>
  <si>
    <t>Sonstige Erträge</t>
  </si>
  <si>
    <t>Material und Herstellungsleistung</t>
  </si>
  <si>
    <t>Personalaufwand</t>
  </si>
  <si>
    <t>Sonstige Aufwände</t>
  </si>
  <si>
    <t>EBITDA</t>
  </si>
  <si>
    <t>D&amp;A</t>
  </si>
  <si>
    <t>EBIT</t>
  </si>
  <si>
    <t>Interest Income</t>
  </si>
  <si>
    <t>Interest Expense</t>
  </si>
  <si>
    <t>EBT</t>
  </si>
  <si>
    <t>Taxes</t>
  </si>
  <si>
    <t>Net Income</t>
  </si>
  <si>
    <t>Company Income</t>
  </si>
  <si>
    <t>Minority Interest</t>
  </si>
  <si>
    <t>Q123</t>
  </si>
  <si>
    <t>Q223</t>
  </si>
  <si>
    <t>Q323</t>
  </si>
  <si>
    <t>Q423</t>
  </si>
  <si>
    <t>EBITDA Margin</t>
  </si>
  <si>
    <t>Net Income Margin</t>
  </si>
  <si>
    <t>Minority Margin</t>
  </si>
  <si>
    <t>CFFO</t>
  </si>
  <si>
    <t>CapEx</t>
  </si>
  <si>
    <t>FCF</t>
  </si>
  <si>
    <t>Cash</t>
  </si>
  <si>
    <t>PP&amp;E</t>
  </si>
  <si>
    <t xml:space="preserve">Immobilien </t>
  </si>
  <si>
    <t>Joint Venture</t>
  </si>
  <si>
    <t>Debt, interest Bearing</t>
  </si>
  <si>
    <t>Debt, non-interest Bearing</t>
  </si>
  <si>
    <t>Provisions</t>
  </si>
  <si>
    <t>Leasing</t>
  </si>
  <si>
    <t>NAV</t>
  </si>
  <si>
    <t>Material/Herstellung Margin</t>
  </si>
  <si>
    <t>Personall Margin</t>
  </si>
  <si>
    <t>Shares</t>
  </si>
  <si>
    <t>EPS</t>
  </si>
  <si>
    <t>Discount</t>
  </si>
  <si>
    <t>Terminal</t>
  </si>
  <si>
    <t>NPV</t>
  </si>
  <si>
    <t>Value</t>
  </si>
  <si>
    <t>Price</t>
  </si>
  <si>
    <t>Q124</t>
  </si>
  <si>
    <t>Q224</t>
  </si>
  <si>
    <t>Q324</t>
  </si>
  <si>
    <t>Q424</t>
  </si>
  <si>
    <t>Interest</t>
  </si>
  <si>
    <t>Dividend Income</t>
  </si>
  <si>
    <t>Equity income</t>
  </si>
  <si>
    <t>Discontinued Income</t>
  </si>
  <si>
    <t xml:space="preserve">Cashflow </t>
  </si>
  <si>
    <t>Kurzfristige Rückstellungen</t>
  </si>
  <si>
    <t>Steuerschulden</t>
  </si>
  <si>
    <t>Vorräte</t>
  </si>
  <si>
    <t>Forderungen</t>
  </si>
  <si>
    <t>Kurzfristige Finanzinvestitionen</t>
  </si>
  <si>
    <t>Erhaltene Zinsen</t>
  </si>
  <si>
    <t>Gezahlte Zinsen</t>
  </si>
  <si>
    <t>Sostige Vorgänge</t>
  </si>
  <si>
    <t>Abnahme langfristiger Rückstellung</t>
  </si>
  <si>
    <t>Proceeds from tangible assets</t>
  </si>
  <si>
    <t>Change in Working Capital</t>
  </si>
  <si>
    <t xml:space="preserve">Steuern </t>
  </si>
  <si>
    <t>Verbindlichkeit</t>
  </si>
  <si>
    <t>Dividende</t>
  </si>
  <si>
    <t>Rückkauf von Aktien</t>
  </si>
  <si>
    <t>MC</t>
  </si>
  <si>
    <t>net Cash</t>
  </si>
  <si>
    <t>EV</t>
  </si>
  <si>
    <t>Dividende an Shareholder</t>
  </si>
  <si>
    <t>Dividend Yield</t>
  </si>
  <si>
    <t>Share Buybacks</t>
  </si>
  <si>
    <t>Total Yield</t>
  </si>
  <si>
    <t>Payout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</si>
</sst>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9" fontId="0" fillId="0" borderId="0" xfId="1" applyFont="1"/>
    <xf numFmtId="164" fontId="0" fillId="0" borderId="0" xfId="1" applyNumberFormat="1" applyFont="1"/>
    <xf numFmtId="4" fontId="0" fillId="0" borderId="0" xfId="0" applyNumberFormat="1"/>
    <xf numFmtId="165" fontId="0" fillId="0" borderId="0" xfId="0" applyNumberFormat="1"/>
    <xf numFmtId="3" fontId="2" fillId="0" borderId="0" xfId="0" applyNumberFormat="1" applyFont="1"/>
    <xf numFmtId="3" fontId="6" fillId="0" borderId="0" xfId="0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7327</xdr:colOff>
      <xdr:row>2</xdr:row>
      <xdr:rowOff>168519</xdr:rowOff>
    </xdr:from>
    <xdr:to>
      <xdr:col>16</xdr:col>
      <xdr:colOff>8282</xdr:colOff>
      <xdr:row>32</xdr:row>
      <xdr:rowOff>24848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14D96BA-843D-CDB7-27B3-8CFA33CD48E0}"/>
            </a:ext>
          </a:extLst>
        </xdr:cNvPr>
        <xdr:cNvCxnSpPr/>
      </xdr:nvCxnSpPr>
      <xdr:spPr>
        <a:xfrm>
          <a:off x="11023197" y="549519"/>
          <a:ext cx="955" cy="51903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D34B-B592-474C-8A14-62CFF178F27D}">
  <dimension ref="C4:D8"/>
  <sheetViews>
    <sheetView workbookViewId="0">
      <selection activeCell="D8" sqref="D8"/>
    </sheetView>
  </sheetViews>
  <sheetFormatPr defaultRowHeight="15" x14ac:dyDescent="0.25"/>
  <sheetData>
    <row r="4" spans="3:4" x14ac:dyDescent="0.25">
      <c r="C4" t="s">
        <v>44</v>
      </c>
      <c r="D4">
        <v>14.14</v>
      </c>
    </row>
    <row r="5" spans="3:4" x14ac:dyDescent="0.25">
      <c r="C5" t="s">
        <v>38</v>
      </c>
      <c r="D5" s="1">
        <f>+Model!Q21</f>
        <v>38276.19</v>
      </c>
    </row>
    <row r="6" spans="3:4" x14ac:dyDescent="0.25">
      <c r="C6" t="s">
        <v>69</v>
      </c>
      <c r="D6" s="1">
        <f>+D4*D5</f>
        <v>541225.32660000003</v>
      </c>
    </row>
    <row r="7" spans="3:4" x14ac:dyDescent="0.25">
      <c r="C7" t="s">
        <v>70</v>
      </c>
      <c r="D7" s="1">
        <f>+Model!AB30</f>
        <v>0</v>
      </c>
    </row>
    <row r="8" spans="3:4" x14ac:dyDescent="0.25">
      <c r="C8" t="s">
        <v>71</v>
      </c>
      <c r="D8" s="1">
        <f>+MC-D7</f>
        <v>541225.32660000003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1DF5-033A-4672-9090-E4D4127A1583}">
  <dimension ref="B2:CV80"/>
  <sheetViews>
    <sheetView tabSelected="1" zoomScale="115" zoomScaleNormal="115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W14" sqref="W14"/>
    </sheetView>
  </sheetViews>
  <sheetFormatPr defaultRowHeight="15" x14ac:dyDescent="0.25"/>
  <cols>
    <col min="1" max="1" width="2.85546875" customWidth="1"/>
    <col min="2" max="2" width="32.5703125" customWidth="1"/>
    <col min="7" max="7" width="10" bestFit="1" customWidth="1"/>
    <col min="15" max="15" width="10" bestFit="1" customWidth="1"/>
    <col min="16" max="16" width="10.28515625" bestFit="1" customWidth="1"/>
    <col min="17" max="25" width="10" bestFit="1" customWidth="1"/>
    <col min="28" max="28" width="10" bestFit="1" customWidth="1"/>
  </cols>
  <sheetData>
    <row r="2" spans="2:25" x14ac:dyDescent="0.25">
      <c r="C2" t="s">
        <v>17</v>
      </c>
      <c r="D2" t="s">
        <v>18</v>
      </c>
      <c r="E2" t="s">
        <v>19</v>
      </c>
      <c r="F2" t="s">
        <v>20</v>
      </c>
      <c r="G2" t="s">
        <v>45</v>
      </c>
      <c r="H2" t="s">
        <v>46</v>
      </c>
      <c r="I2" t="s">
        <v>47</v>
      </c>
      <c r="J2" t="s">
        <v>48</v>
      </c>
      <c r="O2">
        <v>2022</v>
      </c>
      <c r="P2">
        <f t="shared" ref="P2:Y2" si="0">+O2+1</f>
        <v>2023</v>
      </c>
      <c r="Q2">
        <f t="shared" si="0"/>
        <v>2024</v>
      </c>
      <c r="R2">
        <f t="shared" si="0"/>
        <v>2025</v>
      </c>
      <c r="S2">
        <f t="shared" si="0"/>
        <v>2026</v>
      </c>
      <c r="T2">
        <f t="shared" si="0"/>
        <v>2027</v>
      </c>
      <c r="U2">
        <f t="shared" si="0"/>
        <v>2028</v>
      </c>
      <c r="V2">
        <f t="shared" si="0"/>
        <v>2029</v>
      </c>
      <c r="W2">
        <f t="shared" si="0"/>
        <v>2030</v>
      </c>
      <c r="X2">
        <f t="shared" si="0"/>
        <v>2031</v>
      </c>
      <c r="Y2">
        <f t="shared" si="0"/>
        <v>2032</v>
      </c>
    </row>
    <row r="3" spans="2:25" s="1" customFormat="1" x14ac:dyDescent="0.25">
      <c r="G3" s="5">
        <f>+G9/G4</f>
        <v>0.26225561481311915</v>
      </c>
    </row>
    <row r="4" spans="2:25" s="6" customFormat="1" x14ac:dyDescent="0.25">
      <c r="B4" s="6" t="s">
        <v>0</v>
      </c>
      <c r="G4" s="6">
        <v>1275599</v>
      </c>
      <c r="O4" s="6">
        <v>5786011</v>
      </c>
      <c r="P4" s="6">
        <v>6048546</v>
      </c>
      <c r="Q4" s="6">
        <f>+P4*1.025</f>
        <v>6199759.6499999994</v>
      </c>
      <c r="R4" s="6">
        <f t="shared" ref="R4:V4" si="1">+Q4*1.025</f>
        <v>6354753.6412499985</v>
      </c>
      <c r="S4" s="6">
        <f t="shared" si="1"/>
        <v>6513622.4822812481</v>
      </c>
      <c r="T4" s="6">
        <f t="shared" si="1"/>
        <v>6676463.0443382785</v>
      </c>
      <c r="U4" s="6">
        <f t="shared" si="1"/>
        <v>6843374.6204467351</v>
      </c>
      <c r="V4" s="6">
        <f t="shared" si="1"/>
        <v>7014458.9859579029</v>
      </c>
      <c r="W4" s="6">
        <f>+V4*1.02</f>
        <v>7154748.1656770613</v>
      </c>
      <c r="X4" s="6">
        <f>+W4*1.02</f>
        <v>7297843.1289906027</v>
      </c>
      <c r="Y4" s="6">
        <f>+X4*1.02</f>
        <v>7443799.991570415</v>
      </c>
    </row>
    <row r="5" spans="2:25" s="1" customFormat="1" x14ac:dyDescent="0.25">
      <c r="B5" s="1" t="s">
        <v>2</v>
      </c>
      <c r="G5" s="1">
        <v>957</v>
      </c>
      <c r="O5" s="1">
        <v>1567</v>
      </c>
      <c r="P5" s="1">
        <v>5292</v>
      </c>
      <c r="Q5" s="1">
        <f>+G5*4</f>
        <v>3828</v>
      </c>
      <c r="R5" s="1">
        <v>4000</v>
      </c>
      <c r="S5" s="1">
        <v>4000</v>
      </c>
      <c r="T5" s="1">
        <v>4000</v>
      </c>
      <c r="U5" s="1">
        <v>4000</v>
      </c>
      <c r="V5" s="1">
        <v>4000</v>
      </c>
      <c r="W5" s="1">
        <v>4000</v>
      </c>
      <c r="X5" s="1">
        <v>4000</v>
      </c>
      <c r="Y5" s="1">
        <v>4000</v>
      </c>
    </row>
    <row r="6" spans="2:25" s="1" customFormat="1" x14ac:dyDescent="0.25">
      <c r="B6" s="1" t="s">
        <v>1</v>
      </c>
      <c r="G6" s="1">
        <v>11793</v>
      </c>
      <c r="O6" s="1">
        <v>56466</v>
      </c>
      <c r="P6" s="1">
        <v>98576</v>
      </c>
      <c r="Q6" s="1">
        <v>100000</v>
      </c>
      <c r="R6" s="1">
        <v>100000</v>
      </c>
      <c r="S6" s="1">
        <v>100000</v>
      </c>
      <c r="T6" s="1">
        <v>100000</v>
      </c>
      <c r="U6" s="1">
        <v>100000</v>
      </c>
      <c r="V6" s="1">
        <v>100000</v>
      </c>
      <c r="W6" s="1">
        <v>100000</v>
      </c>
      <c r="X6" s="1">
        <v>100000</v>
      </c>
      <c r="Y6" s="1">
        <v>100000</v>
      </c>
    </row>
    <row r="7" spans="2:25" s="1" customFormat="1" x14ac:dyDescent="0.25">
      <c r="B7" s="1" t="s">
        <v>3</v>
      </c>
      <c r="G7" s="1">
        <v>38188</v>
      </c>
      <c r="O7" s="1">
        <v>189124</v>
      </c>
      <c r="P7" s="1">
        <v>181928</v>
      </c>
      <c r="Q7" s="1">
        <f>+P7*1.02</f>
        <v>185566.56</v>
      </c>
      <c r="R7" s="1">
        <f t="shared" ref="R7:Y7" si="2">+Q7*1.02</f>
        <v>189277.89120000001</v>
      </c>
      <c r="S7" s="1">
        <f t="shared" si="2"/>
        <v>193063.44902400003</v>
      </c>
      <c r="T7" s="1">
        <f t="shared" si="2"/>
        <v>196924.71800448003</v>
      </c>
      <c r="U7" s="1">
        <f t="shared" si="2"/>
        <v>200863.21236456963</v>
      </c>
      <c r="V7" s="1">
        <f t="shared" si="2"/>
        <v>204880.47661186103</v>
      </c>
      <c r="W7" s="1">
        <f t="shared" si="2"/>
        <v>208978.08614409826</v>
      </c>
      <c r="X7" s="1">
        <f t="shared" si="2"/>
        <v>213157.64786698023</v>
      </c>
      <c r="Y7" s="1">
        <f t="shared" si="2"/>
        <v>217420.80082431983</v>
      </c>
    </row>
    <row r="8" spans="2:25" s="1" customFormat="1" x14ac:dyDescent="0.25">
      <c r="B8" s="1" t="s">
        <v>4</v>
      </c>
      <c r="G8" s="1">
        <v>832560</v>
      </c>
      <c r="O8" s="1">
        <v>4005696</v>
      </c>
      <c r="P8" s="1">
        <v>4142102</v>
      </c>
      <c r="Q8" s="1">
        <f>+Q4*0.685</f>
        <v>4246835.3602499999</v>
      </c>
      <c r="R8" s="1">
        <f t="shared" ref="R8:Y8" si="3">+R4*0.685</f>
        <v>4353006.2442562496</v>
      </c>
      <c r="S8" s="1">
        <f t="shared" si="3"/>
        <v>4461831.4003626555</v>
      </c>
      <c r="T8" s="1">
        <f t="shared" si="3"/>
        <v>4573377.1853717212</v>
      </c>
      <c r="U8" s="1">
        <f t="shared" si="3"/>
        <v>4687711.6150060138</v>
      </c>
      <c r="V8" s="1">
        <f t="shared" si="3"/>
        <v>4804904.4053811636</v>
      </c>
      <c r="W8" s="1">
        <f t="shared" si="3"/>
        <v>4901002.4934887877</v>
      </c>
      <c r="X8" s="1">
        <f t="shared" si="3"/>
        <v>4999022.5433585634</v>
      </c>
      <c r="Y8" s="1">
        <f t="shared" si="3"/>
        <v>5099002.9942257348</v>
      </c>
    </row>
    <row r="9" spans="2:25" s="1" customFormat="1" x14ac:dyDescent="0.25">
      <c r="B9" s="1" t="s">
        <v>5</v>
      </c>
      <c r="G9" s="1">
        <v>334533</v>
      </c>
      <c r="O9" s="1">
        <v>1349993</v>
      </c>
      <c r="P9" s="1">
        <v>1453726</v>
      </c>
      <c r="Q9" s="1">
        <f>+Q4*0.24</f>
        <v>1487942.3159999999</v>
      </c>
      <c r="R9" s="1">
        <f t="shared" ref="R9:Y9" si="4">+R4*0.24</f>
        <v>1525140.8738999995</v>
      </c>
      <c r="S9" s="1">
        <f t="shared" si="4"/>
        <v>1563269.3957474995</v>
      </c>
      <c r="T9" s="1">
        <f t="shared" si="4"/>
        <v>1602351.1306411868</v>
      </c>
      <c r="U9" s="1">
        <f t="shared" si="4"/>
        <v>1642409.9089072163</v>
      </c>
      <c r="V9" s="1">
        <f t="shared" si="4"/>
        <v>1683470.1566298967</v>
      </c>
      <c r="W9" s="1">
        <f t="shared" si="4"/>
        <v>1717139.5597624946</v>
      </c>
      <c r="X9" s="1">
        <f t="shared" si="4"/>
        <v>1751482.3509577445</v>
      </c>
      <c r="Y9" s="1">
        <f t="shared" si="4"/>
        <v>1786511.9979768996</v>
      </c>
    </row>
    <row r="10" spans="2:25" s="1" customFormat="1" x14ac:dyDescent="0.25">
      <c r="B10" s="1" t="s">
        <v>6</v>
      </c>
      <c r="G10" s="1">
        <v>99231</v>
      </c>
      <c r="O10" s="1">
        <v>358580</v>
      </c>
      <c r="P10" s="1">
        <v>394256</v>
      </c>
      <c r="Q10" s="1">
        <f>+Q4*0.062</f>
        <v>384385.09829999995</v>
      </c>
      <c r="R10" s="1">
        <f t="shared" ref="R10:Y10" si="5">+R4*0.062</f>
        <v>393994.72575749992</v>
      </c>
      <c r="S10" s="1">
        <f t="shared" si="5"/>
        <v>403844.59390143736</v>
      </c>
      <c r="T10" s="1">
        <f t="shared" si="5"/>
        <v>413940.70874897327</v>
      </c>
      <c r="U10" s="1">
        <f t="shared" si="5"/>
        <v>424289.22646769759</v>
      </c>
      <c r="V10" s="1">
        <f t="shared" si="5"/>
        <v>434896.45712938998</v>
      </c>
      <c r="W10" s="1">
        <f t="shared" si="5"/>
        <v>443594.3862719778</v>
      </c>
      <c r="X10" s="1">
        <f t="shared" si="5"/>
        <v>452466.27399741736</v>
      </c>
      <c r="Y10" s="1">
        <f t="shared" si="5"/>
        <v>461515.59947736573</v>
      </c>
    </row>
    <row r="11" spans="2:25" s="1" customFormat="1" x14ac:dyDescent="0.25">
      <c r="B11" s="1" t="s">
        <v>7</v>
      </c>
      <c r="C11" s="1">
        <f>+C4+C5+C6+C7-C8-C9-C10</f>
        <v>0</v>
      </c>
      <c r="G11" s="1">
        <f>+G4+G5+G6+G7-G8-G9-G10</f>
        <v>60213</v>
      </c>
      <c r="O11" s="1">
        <f t="shared" ref="O11:T11" si="6">+O4+O5+O6+O7-O8-O9-O10</f>
        <v>318899</v>
      </c>
      <c r="P11" s="1">
        <f t="shared" si="6"/>
        <v>344258</v>
      </c>
      <c r="Q11" s="1">
        <f t="shared" si="6"/>
        <v>369991.43544999929</v>
      </c>
      <c r="R11" s="1">
        <f t="shared" si="6"/>
        <v>375889.6885362498</v>
      </c>
      <c r="S11" s="1">
        <f t="shared" si="6"/>
        <v>381740.54129365587</v>
      </c>
      <c r="T11" s="1">
        <f t="shared" si="6"/>
        <v>387718.7375808772</v>
      </c>
      <c r="U11" s="1">
        <f t="shared" ref="U11:Y11" si="7">+U4+U5+U6+U7-U8-U9-U10</f>
        <v>393827.08243037673</v>
      </c>
      <c r="V11" s="1">
        <f t="shared" si="7"/>
        <v>400068.4434293136</v>
      </c>
      <c r="W11" s="1">
        <f t="shared" si="7"/>
        <v>405989.81229789928</v>
      </c>
      <c r="X11" s="1">
        <f t="shared" si="7"/>
        <v>412029.60854385752</v>
      </c>
      <c r="Y11" s="1">
        <f t="shared" si="7"/>
        <v>418190.20071473473</v>
      </c>
    </row>
    <row r="12" spans="2:25" s="1" customFormat="1" x14ac:dyDescent="0.25">
      <c r="B12" s="1" t="s">
        <v>8</v>
      </c>
      <c r="G12" s="1">
        <v>48913</v>
      </c>
      <c r="O12" s="1">
        <v>198792</v>
      </c>
      <c r="P12" s="1">
        <v>203987</v>
      </c>
      <c r="Q12" s="1">
        <f>+P12*1.01</f>
        <v>206026.87</v>
      </c>
      <c r="R12" s="1">
        <f t="shared" ref="R12:Y12" si="8">+Q12*1.01</f>
        <v>208087.13870000001</v>
      </c>
      <c r="S12" s="1">
        <f t="shared" si="8"/>
        <v>210168.010087</v>
      </c>
      <c r="T12" s="1">
        <f t="shared" si="8"/>
        <v>212269.69018787</v>
      </c>
      <c r="U12" s="1">
        <f t="shared" si="8"/>
        <v>214392.38708974869</v>
      </c>
      <c r="V12" s="1">
        <f t="shared" si="8"/>
        <v>216536.31096064619</v>
      </c>
      <c r="W12" s="1">
        <f t="shared" si="8"/>
        <v>218701.67407025266</v>
      </c>
      <c r="X12" s="1">
        <f t="shared" si="8"/>
        <v>220888.69081095519</v>
      </c>
      <c r="Y12" s="1">
        <f t="shared" si="8"/>
        <v>223097.57771906475</v>
      </c>
    </row>
    <row r="13" spans="2:25" s="1" customFormat="1" x14ac:dyDescent="0.25">
      <c r="B13" s="1" t="s">
        <v>9</v>
      </c>
      <c r="C13" s="1">
        <f>+C11-C12</f>
        <v>0</v>
      </c>
      <c r="G13" s="1">
        <f>+G11-G12</f>
        <v>11300</v>
      </c>
      <c r="O13" s="1">
        <f t="shared" ref="O13:T13" si="9">+O11-O12</f>
        <v>120107</v>
      </c>
      <c r="P13" s="1">
        <f t="shared" si="9"/>
        <v>140271</v>
      </c>
      <c r="Q13" s="1">
        <f t="shared" si="9"/>
        <v>163964.5654499993</v>
      </c>
      <c r="R13" s="1">
        <f t="shared" si="9"/>
        <v>167802.54983624979</v>
      </c>
      <c r="S13" s="1">
        <f t="shared" si="9"/>
        <v>171572.53120665587</v>
      </c>
      <c r="T13" s="1">
        <f t="shared" si="9"/>
        <v>175449.0473930072</v>
      </c>
      <c r="U13" s="1">
        <f t="shared" ref="U13:Y13" si="10">+U11-U12</f>
        <v>179434.69534062804</v>
      </c>
      <c r="V13" s="1">
        <f t="shared" si="10"/>
        <v>183532.13246866741</v>
      </c>
      <c r="W13" s="1">
        <f t="shared" si="10"/>
        <v>187288.13822764662</v>
      </c>
      <c r="X13" s="1">
        <f t="shared" si="10"/>
        <v>191140.91773290234</v>
      </c>
      <c r="Y13" s="1">
        <f t="shared" si="10"/>
        <v>195092.62299566998</v>
      </c>
    </row>
    <row r="14" spans="2:25" s="1" customFormat="1" x14ac:dyDescent="0.25">
      <c r="B14" s="1" t="s">
        <v>10</v>
      </c>
      <c r="G14" s="1">
        <v>8284</v>
      </c>
      <c r="O14" s="1">
        <v>14150</v>
      </c>
      <c r="P14" s="1">
        <v>26665</v>
      </c>
      <c r="Q14" s="1">
        <v>30000</v>
      </c>
      <c r="R14" s="1">
        <f>+Q14*0.93</f>
        <v>27900</v>
      </c>
      <c r="S14" s="1">
        <f t="shared" ref="S14:Y14" si="11">+R14*0.93</f>
        <v>25947</v>
      </c>
      <c r="T14" s="1">
        <f t="shared" si="11"/>
        <v>24130.710000000003</v>
      </c>
      <c r="U14" s="1">
        <f t="shared" si="11"/>
        <v>22441.560300000005</v>
      </c>
      <c r="V14" s="1">
        <f t="shared" si="11"/>
        <v>20870.651079000007</v>
      </c>
      <c r="W14" s="1">
        <f t="shared" si="11"/>
        <v>19409.705503470006</v>
      </c>
      <c r="X14" s="1">
        <f t="shared" si="11"/>
        <v>18051.026118227106</v>
      </c>
      <c r="Y14" s="1">
        <f t="shared" si="11"/>
        <v>16787.454289951209</v>
      </c>
    </row>
    <row r="15" spans="2:25" s="1" customFormat="1" x14ac:dyDescent="0.25">
      <c r="B15" s="1" t="s">
        <v>11</v>
      </c>
      <c r="G15" s="1">
        <v>11577</v>
      </c>
      <c r="O15" s="1">
        <v>24223</v>
      </c>
      <c r="P15" s="1">
        <v>36238</v>
      </c>
      <c r="Q15" s="1">
        <v>40000</v>
      </c>
      <c r="R15" s="1">
        <f>+Q15*0.95</f>
        <v>38000</v>
      </c>
      <c r="S15" s="1">
        <f t="shared" ref="S15:Y15" si="12">+R15*0.95</f>
        <v>36100</v>
      </c>
      <c r="T15" s="1">
        <f t="shared" si="12"/>
        <v>34295</v>
      </c>
      <c r="U15" s="1">
        <f t="shared" si="12"/>
        <v>32580.25</v>
      </c>
      <c r="V15" s="1">
        <f t="shared" si="12"/>
        <v>30951.237499999999</v>
      </c>
      <c r="W15" s="1">
        <f t="shared" si="12"/>
        <v>29403.675624999996</v>
      </c>
      <c r="X15" s="1">
        <f t="shared" si="12"/>
        <v>27933.491843749995</v>
      </c>
      <c r="Y15" s="1">
        <f t="shared" si="12"/>
        <v>26536.817251562494</v>
      </c>
    </row>
    <row r="16" spans="2:25" s="1" customFormat="1" x14ac:dyDescent="0.25">
      <c r="B16" s="1" t="s">
        <v>12</v>
      </c>
      <c r="C16" s="1">
        <f>+C13+C14-C15</f>
        <v>0</v>
      </c>
      <c r="G16" s="1">
        <f>+G13+G14-G15</f>
        <v>8007</v>
      </c>
      <c r="O16" s="1">
        <f t="shared" ref="O16:T16" si="13">+O13+O14-O15</f>
        <v>110034</v>
      </c>
      <c r="P16" s="1">
        <f t="shared" si="13"/>
        <v>130698</v>
      </c>
      <c r="Q16" s="1">
        <f t="shared" si="13"/>
        <v>153964.5654499993</v>
      </c>
      <c r="R16" s="1">
        <f t="shared" si="13"/>
        <v>157702.54983624979</v>
      </c>
      <c r="S16" s="1">
        <f t="shared" si="13"/>
        <v>161419.53120665587</v>
      </c>
      <c r="T16" s="1">
        <f t="shared" si="13"/>
        <v>165284.7573930072</v>
      </c>
      <c r="U16" s="1">
        <f t="shared" ref="U16:Y16" si="14">+U13+U14-U15</f>
        <v>169296.00564062805</v>
      </c>
      <c r="V16" s="1">
        <f t="shared" si="14"/>
        <v>173451.54604766742</v>
      </c>
      <c r="W16" s="1">
        <f t="shared" si="14"/>
        <v>177294.16810611662</v>
      </c>
      <c r="X16" s="1">
        <f t="shared" si="14"/>
        <v>181258.45200737944</v>
      </c>
      <c r="Y16" s="1">
        <f t="shared" si="14"/>
        <v>185343.26003405871</v>
      </c>
    </row>
    <row r="17" spans="2:100" s="1" customFormat="1" x14ac:dyDescent="0.25">
      <c r="B17" s="1" t="s">
        <v>13</v>
      </c>
      <c r="G17" s="1">
        <v>2056</v>
      </c>
      <c r="O17" s="1">
        <v>27399</v>
      </c>
      <c r="P17" s="1">
        <v>35680</v>
      </c>
      <c r="Q17" s="1">
        <f>+Q16*0.27</f>
        <v>41570.43267149981</v>
      </c>
      <c r="R17" s="1">
        <f t="shared" ref="R17:Y17" si="15">+R16*0.27</f>
        <v>42579.688455787444</v>
      </c>
      <c r="S17" s="1">
        <f t="shared" si="15"/>
        <v>43583.273425797088</v>
      </c>
      <c r="T17" s="1">
        <f t="shared" si="15"/>
        <v>44626.884496111947</v>
      </c>
      <c r="U17" s="1">
        <f t="shared" si="15"/>
        <v>45709.921522969576</v>
      </c>
      <c r="V17" s="1">
        <f t="shared" si="15"/>
        <v>46831.917432870207</v>
      </c>
      <c r="W17" s="1">
        <f t="shared" si="15"/>
        <v>47869.425388651493</v>
      </c>
      <c r="X17" s="1">
        <f t="shared" si="15"/>
        <v>48939.782041992454</v>
      </c>
      <c r="Y17" s="1">
        <f t="shared" si="15"/>
        <v>50042.680209195853</v>
      </c>
    </row>
    <row r="18" spans="2:100" s="1" customFormat="1" x14ac:dyDescent="0.25">
      <c r="B18" s="1" t="s">
        <v>14</v>
      </c>
      <c r="C18" s="1">
        <f>+C16-C17</f>
        <v>0</v>
      </c>
      <c r="G18" s="1">
        <f>+G16-G17</f>
        <v>5951</v>
      </c>
      <c r="O18" s="1">
        <f t="shared" ref="O18:T18" si="16">+O16-O17</f>
        <v>82635</v>
      </c>
      <c r="P18" s="1">
        <f t="shared" si="16"/>
        <v>95018</v>
      </c>
      <c r="Q18" s="1">
        <f t="shared" si="16"/>
        <v>112394.13277849948</v>
      </c>
      <c r="R18" s="1">
        <f t="shared" si="16"/>
        <v>115122.86138046235</v>
      </c>
      <c r="S18" s="1">
        <f t="shared" si="16"/>
        <v>117836.25778085878</v>
      </c>
      <c r="T18" s="1">
        <f t="shared" si="16"/>
        <v>120657.87289689525</v>
      </c>
      <c r="U18" s="1">
        <f t="shared" ref="U18:Y18" si="17">+U16-U17</f>
        <v>123586.08411765847</v>
      </c>
      <c r="V18" s="1">
        <f t="shared" si="17"/>
        <v>126619.62861479721</v>
      </c>
      <c r="W18" s="1">
        <f t="shared" si="17"/>
        <v>129424.74271746512</v>
      </c>
      <c r="X18" s="1">
        <f t="shared" si="17"/>
        <v>132318.66996538697</v>
      </c>
      <c r="Y18" s="1">
        <f t="shared" si="17"/>
        <v>135300.57982486286</v>
      </c>
    </row>
    <row r="19" spans="2:100" s="1" customFormat="1" x14ac:dyDescent="0.25">
      <c r="B19" s="1" t="s">
        <v>16</v>
      </c>
      <c r="G19" s="1">
        <f>+G18-G20</f>
        <v>4903</v>
      </c>
      <c r="O19" s="1">
        <f>+O18-O20</f>
        <v>18222</v>
      </c>
      <c r="P19" s="1">
        <f>+P18-P20</f>
        <v>10005</v>
      </c>
      <c r="Q19" s="1">
        <f>+Q18*0.15</f>
        <v>16859.119916774922</v>
      </c>
      <c r="R19" s="1">
        <f t="shared" ref="R19:Y19" si="18">+R18*0.15</f>
        <v>17268.429207069352</v>
      </c>
      <c r="S19" s="1">
        <f t="shared" si="18"/>
        <v>17675.438667128816</v>
      </c>
      <c r="T19" s="1">
        <f t="shared" si="18"/>
        <v>18098.680934534288</v>
      </c>
      <c r="U19" s="1">
        <f t="shared" si="18"/>
        <v>18537.91261764877</v>
      </c>
      <c r="V19" s="1">
        <f t="shared" si="18"/>
        <v>18992.944292219581</v>
      </c>
      <c r="W19" s="1">
        <f t="shared" si="18"/>
        <v>19413.711407619769</v>
      </c>
      <c r="X19" s="1">
        <f t="shared" si="18"/>
        <v>19847.800494808045</v>
      </c>
      <c r="Y19" s="1">
        <f t="shared" si="18"/>
        <v>20295.086973729427</v>
      </c>
    </row>
    <row r="20" spans="2:100" s="6" customFormat="1" x14ac:dyDescent="0.25">
      <c r="B20" s="6" t="s">
        <v>15</v>
      </c>
      <c r="C20" s="6">
        <f>+C18-C19</f>
        <v>0</v>
      </c>
      <c r="G20" s="6">
        <v>1048</v>
      </c>
      <c r="O20" s="6">
        <v>64413</v>
      </c>
      <c r="P20" s="6">
        <v>85013</v>
      </c>
      <c r="Q20" s="6">
        <f>+Q18-Q19</f>
        <v>95535.012861724565</v>
      </c>
      <c r="R20" s="6">
        <f>+R18-R19</f>
        <v>97854.432173392997</v>
      </c>
      <c r="S20" s="6">
        <f>+S18-S19</f>
        <v>100160.81911372996</v>
      </c>
      <c r="T20" s="6">
        <f>+T18-T19</f>
        <v>102559.19196236096</v>
      </c>
      <c r="U20" s="6">
        <f t="shared" ref="U20:Y20" si="19">+U18-U19</f>
        <v>105048.17150000969</v>
      </c>
      <c r="V20" s="6">
        <f t="shared" si="19"/>
        <v>107626.68432257764</v>
      </c>
      <c r="W20" s="6">
        <f t="shared" si="19"/>
        <v>110011.03130984536</v>
      </c>
      <c r="X20" s="6">
        <f t="shared" si="19"/>
        <v>112470.86947057892</v>
      </c>
      <c r="Y20" s="6">
        <f t="shared" si="19"/>
        <v>115005.49285113343</v>
      </c>
      <c r="Z20" s="6">
        <f t="shared" ref="Z20:BE20" si="20">+Y20*(1+TR)</f>
        <v>116155.54777964477</v>
      </c>
      <c r="AA20" s="6">
        <f t="shared" si="20"/>
        <v>117317.10325744121</v>
      </c>
      <c r="AB20" s="6">
        <f t="shared" si="20"/>
        <v>118490.27429001562</v>
      </c>
      <c r="AC20" s="6">
        <f t="shared" si="20"/>
        <v>119675.17703291577</v>
      </c>
      <c r="AD20" s="6">
        <f t="shared" si="20"/>
        <v>120871.92880324493</v>
      </c>
      <c r="AE20" s="6">
        <f t="shared" si="20"/>
        <v>122080.64809127737</v>
      </c>
      <c r="AF20" s="6">
        <f t="shared" si="20"/>
        <v>123301.45457219014</v>
      </c>
      <c r="AG20" s="6">
        <f t="shared" si="20"/>
        <v>124534.46911791204</v>
      </c>
      <c r="AH20" s="6">
        <f t="shared" si="20"/>
        <v>125779.81380909117</v>
      </c>
      <c r="AI20" s="6">
        <f t="shared" si="20"/>
        <v>127037.61194718209</v>
      </c>
      <c r="AJ20" s="6">
        <f t="shared" si="20"/>
        <v>128307.98806665391</v>
      </c>
      <c r="AK20" s="6">
        <f t="shared" si="20"/>
        <v>129591.06794732045</v>
      </c>
      <c r="AL20" s="6">
        <f t="shared" si="20"/>
        <v>130886.97862679366</v>
      </c>
      <c r="AM20" s="6">
        <f t="shared" si="20"/>
        <v>132195.84841306158</v>
      </c>
      <c r="AN20" s="6">
        <f t="shared" si="20"/>
        <v>133517.8068971922</v>
      </c>
      <c r="AO20" s="6">
        <f t="shared" si="20"/>
        <v>134852.98496616413</v>
      </c>
      <c r="AP20" s="6">
        <f t="shared" si="20"/>
        <v>136201.51481582577</v>
      </c>
      <c r="AQ20" s="6">
        <f t="shared" si="20"/>
        <v>137563.52996398404</v>
      </c>
      <c r="AR20" s="6">
        <f t="shared" si="20"/>
        <v>138939.16526362387</v>
      </c>
      <c r="AS20" s="6">
        <f t="shared" si="20"/>
        <v>140328.5569162601</v>
      </c>
      <c r="AT20" s="6">
        <f t="shared" si="20"/>
        <v>141731.84248542271</v>
      </c>
      <c r="AU20" s="6">
        <f t="shared" si="20"/>
        <v>143149.16091027693</v>
      </c>
      <c r="AV20" s="6">
        <f t="shared" si="20"/>
        <v>144580.65251937971</v>
      </c>
      <c r="AW20" s="6">
        <f t="shared" si="20"/>
        <v>146026.45904457351</v>
      </c>
      <c r="AX20" s="6">
        <f t="shared" si="20"/>
        <v>147486.72363501924</v>
      </c>
      <c r="AY20" s="6">
        <f t="shared" si="20"/>
        <v>148961.59087136944</v>
      </c>
      <c r="AZ20" s="6">
        <f t="shared" si="20"/>
        <v>150451.20678008313</v>
      </c>
      <c r="BA20" s="6">
        <f t="shared" si="20"/>
        <v>151955.71884788395</v>
      </c>
      <c r="BB20" s="6">
        <f t="shared" si="20"/>
        <v>153475.2760363628</v>
      </c>
      <c r="BC20" s="6">
        <f t="shared" si="20"/>
        <v>155010.02879672643</v>
      </c>
      <c r="BD20" s="6">
        <f t="shared" si="20"/>
        <v>156560.1290846937</v>
      </c>
      <c r="BE20" s="6">
        <f t="shared" si="20"/>
        <v>158125.73037554065</v>
      </c>
      <c r="BF20" s="6">
        <f t="shared" ref="BF20:CK20" si="21">+BE20*(1+TR)</f>
        <v>159706.98767929606</v>
      </c>
      <c r="BG20" s="6">
        <f t="shared" si="21"/>
        <v>161304.05755608901</v>
      </c>
      <c r="BH20" s="6">
        <f t="shared" si="21"/>
        <v>162917.09813164989</v>
      </c>
      <c r="BI20" s="6">
        <f t="shared" si="21"/>
        <v>164546.2691129664</v>
      </c>
      <c r="BJ20" s="6">
        <f t="shared" si="21"/>
        <v>166191.73180409608</v>
      </c>
      <c r="BK20" s="6">
        <f t="shared" si="21"/>
        <v>167853.64912213705</v>
      </c>
      <c r="BL20" s="6">
        <f t="shared" si="21"/>
        <v>169532.18561335842</v>
      </c>
      <c r="BM20" s="6">
        <f t="shared" si="21"/>
        <v>171227.507469492</v>
      </c>
      <c r="BN20" s="6">
        <f t="shared" si="21"/>
        <v>172939.78254418692</v>
      </c>
      <c r="BO20" s="6">
        <f t="shared" si="21"/>
        <v>174669.1803696288</v>
      </c>
      <c r="BP20" s="6">
        <f t="shared" si="21"/>
        <v>176415.8721733251</v>
      </c>
      <c r="BQ20" s="6">
        <f t="shared" si="21"/>
        <v>178180.03089505836</v>
      </c>
      <c r="BR20" s="6">
        <f t="shared" si="21"/>
        <v>179961.83120400895</v>
      </c>
      <c r="BS20" s="6">
        <f t="shared" si="21"/>
        <v>181761.44951604903</v>
      </c>
      <c r="BT20" s="6">
        <f t="shared" si="21"/>
        <v>183579.06401120953</v>
      </c>
      <c r="BU20" s="6">
        <f t="shared" si="21"/>
        <v>185414.85465132163</v>
      </c>
      <c r="BV20" s="6">
        <f t="shared" si="21"/>
        <v>187269.00319783486</v>
      </c>
      <c r="BW20" s="6">
        <f t="shared" si="21"/>
        <v>189141.69322981322</v>
      </c>
      <c r="BX20" s="6">
        <f t="shared" si="21"/>
        <v>191033.11016211135</v>
      </c>
      <c r="BY20" s="6">
        <f t="shared" si="21"/>
        <v>192943.44126373247</v>
      </c>
      <c r="BZ20" s="6">
        <f t="shared" si="21"/>
        <v>194872.87567636979</v>
      </c>
      <c r="CA20" s="6">
        <f t="shared" si="21"/>
        <v>196821.6044331335</v>
      </c>
      <c r="CB20" s="6">
        <f t="shared" si="21"/>
        <v>198789.82047746485</v>
      </c>
      <c r="CC20" s="6">
        <f t="shared" si="21"/>
        <v>200777.7186822395</v>
      </c>
      <c r="CD20" s="6">
        <f t="shared" si="21"/>
        <v>202785.49586906191</v>
      </c>
      <c r="CE20" s="6">
        <f t="shared" si="21"/>
        <v>204813.35082775253</v>
      </c>
      <c r="CF20" s="6">
        <f t="shared" si="21"/>
        <v>206861.48433603006</v>
      </c>
      <c r="CG20" s="6">
        <f t="shared" si="21"/>
        <v>208930.09917939035</v>
      </c>
      <c r="CH20" s="6">
        <f t="shared" si="21"/>
        <v>211019.40017118427</v>
      </c>
      <c r="CI20" s="6">
        <f t="shared" si="21"/>
        <v>213129.59417289612</v>
      </c>
      <c r="CJ20" s="6">
        <f t="shared" si="21"/>
        <v>215260.89011462507</v>
      </c>
      <c r="CK20" s="6">
        <f t="shared" si="21"/>
        <v>217413.49901577132</v>
      </c>
      <c r="CL20" s="6">
        <f t="shared" ref="CL20:CV20" si="22">+CK20*(1+TR)</f>
        <v>219587.63400592902</v>
      </c>
      <c r="CM20" s="6">
        <f t="shared" si="22"/>
        <v>221783.51034598832</v>
      </c>
      <c r="CN20" s="6">
        <f t="shared" si="22"/>
        <v>224001.34544944821</v>
      </c>
      <c r="CO20" s="6">
        <f t="shared" si="22"/>
        <v>226241.35890394269</v>
      </c>
      <c r="CP20" s="6">
        <f t="shared" si="22"/>
        <v>228503.77249298213</v>
      </c>
      <c r="CQ20" s="6">
        <f t="shared" si="22"/>
        <v>230788.81021791196</v>
      </c>
      <c r="CR20" s="6">
        <f t="shared" si="22"/>
        <v>233096.69832009109</v>
      </c>
      <c r="CS20" s="6">
        <f t="shared" si="22"/>
        <v>235427.66530329201</v>
      </c>
      <c r="CT20" s="6">
        <f t="shared" si="22"/>
        <v>237781.94195632494</v>
      </c>
      <c r="CU20" s="6">
        <f t="shared" si="22"/>
        <v>240159.76137588819</v>
      </c>
      <c r="CV20" s="6">
        <f t="shared" si="22"/>
        <v>242561.35898964707</v>
      </c>
    </row>
    <row r="21" spans="2:100" s="1" customFormat="1" x14ac:dyDescent="0.25">
      <c r="B21" s="1" t="s">
        <v>38</v>
      </c>
      <c r="G21" s="1">
        <v>38276.19</v>
      </c>
      <c r="P21" s="1">
        <v>38276.19</v>
      </c>
      <c r="Q21" s="1">
        <v>38276.19</v>
      </c>
      <c r="R21" s="1">
        <v>38276.19</v>
      </c>
      <c r="S21" s="1">
        <v>38276.19</v>
      </c>
      <c r="T21" s="1">
        <v>38276.19</v>
      </c>
      <c r="U21" s="1">
        <v>38276.19</v>
      </c>
      <c r="V21" s="1">
        <v>38276.19</v>
      </c>
      <c r="W21" s="1">
        <v>38276.19</v>
      </c>
      <c r="X21" s="1">
        <v>38276.19</v>
      </c>
      <c r="Y21" s="1">
        <v>38276.19</v>
      </c>
    </row>
    <row r="22" spans="2:100" s="1" customFormat="1" x14ac:dyDescent="0.25">
      <c r="B22" s="1" t="s">
        <v>39</v>
      </c>
      <c r="G22" s="4">
        <f>+G20/G21</f>
        <v>2.7379945600646247E-2</v>
      </c>
      <c r="O22" s="5"/>
      <c r="P22" s="5">
        <f>+P20/P21</f>
        <v>2.2210413314386828</v>
      </c>
      <c r="Q22" s="5">
        <f>+Q20/Q21</f>
        <v>2.4959384113655134</v>
      </c>
      <c r="R22" s="5">
        <f t="shared" ref="R22:Y22" si="23">+R20/R21</f>
        <v>2.5565353336733097</v>
      </c>
      <c r="S22" s="5">
        <f t="shared" si="23"/>
        <v>2.6167917735210833</v>
      </c>
      <c r="T22" s="5">
        <f t="shared" si="23"/>
        <v>2.6794514282210677</v>
      </c>
      <c r="U22" s="5">
        <f t="shared" si="23"/>
        <v>2.7444782644252128</v>
      </c>
      <c r="V22" s="5">
        <f t="shared" si="23"/>
        <v>2.8118442384829221</v>
      </c>
      <c r="W22" s="5">
        <f t="shared" si="23"/>
        <v>2.8741374548993868</v>
      </c>
      <c r="X22" s="5">
        <f t="shared" si="23"/>
        <v>2.9384029463376296</v>
      </c>
      <c r="Y22" s="5">
        <f t="shared" si="23"/>
        <v>3.0046222691217026</v>
      </c>
    </row>
    <row r="23" spans="2:100" s="1" customFormat="1" x14ac:dyDescent="0.25">
      <c r="O23" s="5"/>
      <c r="P23" s="5"/>
    </row>
    <row r="24" spans="2:100" s="3" customFormat="1" x14ac:dyDescent="0.25">
      <c r="B24" s="3" t="s">
        <v>21</v>
      </c>
      <c r="O24" s="3">
        <f>+O11/O4</f>
        <v>5.5115519137450657E-2</v>
      </c>
      <c r="P24" s="3">
        <f>+P11/P4</f>
        <v>5.6915827374049897E-2</v>
      </c>
    </row>
    <row r="25" spans="2:100" s="3" customFormat="1" x14ac:dyDescent="0.25">
      <c r="B25" s="3" t="s">
        <v>22</v>
      </c>
      <c r="O25" s="3">
        <f>+O18/O4</f>
        <v>1.4281860162381302E-2</v>
      </c>
      <c r="P25" s="3">
        <f>+P18/P4</f>
        <v>1.5709229953777323E-2</v>
      </c>
    </row>
    <row r="26" spans="2:100" s="3" customFormat="1" x14ac:dyDescent="0.25">
      <c r="B26" s="3" t="s">
        <v>23</v>
      </c>
      <c r="O26" s="3">
        <f>+O19/O18</f>
        <v>0.22051188963514248</v>
      </c>
      <c r="P26" s="3">
        <f>+P19/P18</f>
        <v>0.10529583868319686</v>
      </c>
    </row>
    <row r="27" spans="2:100" s="2" customFormat="1" x14ac:dyDescent="0.25">
      <c r="B27" s="2" t="s">
        <v>36</v>
      </c>
      <c r="O27" s="3">
        <f>+O8/O4</f>
        <v>0.69230701427978625</v>
      </c>
      <c r="P27" s="3">
        <f>+P8/P4</f>
        <v>0.68480953935044886</v>
      </c>
      <c r="AA27" s="2" t="s">
        <v>40</v>
      </c>
      <c r="AB27" s="2">
        <v>0.1</v>
      </c>
    </row>
    <row r="28" spans="2:100" s="2" customFormat="1" x14ac:dyDescent="0.25">
      <c r="B28" s="2" t="s">
        <v>37</v>
      </c>
      <c r="O28" s="3">
        <f>+O9/O4</f>
        <v>0.23332015787733554</v>
      </c>
      <c r="P28" s="3">
        <f>+P9/P4</f>
        <v>0.24034305104069639</v>
      </c>
      <c r="AA28" s="2" t="s">
        <v>41</v>
      </c>
      <c r="AB28" s="2">
        <v>0.01</v>
      </c>
    </row>
    <row r="29" spans="2:100" s="1" customFormat="1" x14ac:dyDescent="0.25">
      <c r="AA29" s="1" t="s">
        <v>42</v>
      </c>
      <c r="AB29" s="1">
        <f>NPV(AB27,Q20:CV20)</f>
        <v>1143137.3013931068</v>
      </c>
    </row>
    <row r="30" spans="2:100" s="1" customFormat="1" x14ac:dyDescent="0.25">
      <c r="B30" s="1" t="s">
        <v>24</v>
      </c>
      <c r="G30" s="1">
        <f>+G65</f>
        <v>-13342</v>
      </c>
      <c r="O30" s="1">
        <f>+O65</f>
        <v>286823</v>
      </c>
      <c r="P30" s="1">
        <f>+P65</f>
        <v>276385</v>
      </c>
    </row>
    <row r="31" spans="2:100" s="1" customFormat="1" x14ac:dyDescent="0.25">
      <c r="B31" s="1" t="s">
        <v>25</v>
      </c>
      <c r="G31" s="1">
        <f>+G68</f>
        <v>57898</v>
      </c>
      <c r="O31" s="1">
        <f>+O68</f>
        <v>164886</v>
      </c>
      <c r="P31" s="1">
        <f>+P68</f>
        <v>227309</v>
      </c>
      <c r="AA31" s="1" t="s">
        <v>43</v>
      </c>
      <c r="AB31" s="1">
        <f>+AB29+AB30</f>
        <v>1143137.3013931068</v>
      </c>
    </row>
    <row r="32" spans="2:100" s="6" customFormat="1" x14ac:dyDescent="0.25">
      <c r="B32" s="6" t="s">
        <v>26</v>
      </c>
      <c r="G32" s="6">
        <f>+G70</f>
        <v>-65926</v>
      </c>
      <c r="O32" s="6">
        <f>+O70</f>
        <v>156526</v>
      </c>
      <c r="P32" s="6">
        <f>+P70</f>
        <v>83952</v>
      </c>
      <c r="AA32" s="6" t="s">
        <v>44</v>
      </c>
      <c r="AB32" s="6">
        <f>+AB31/Y21</f>
        <v>29.865493441042766</v>
      </c>
    </row>
    <row r="33" spans="2:16" s="1" customFormat="1" x14ac:dyDescent="0.25"/>
    <row r="34" spans="2:16" s="1" customFormat="1" x14ac:dyDescent="0.25">
      <c r="B34" s="1" t="s">
        <v>27</v>
      </c>
      <c r="G34" s="1">
        <v>478277</v>
      </c>
      <c r="O34" s="1">
        <f>655803</f>
        <v>655803</v>
      </c>
      <c r="P34" s="1">
        <f>631342</f>
        <v>631342</v>
      </c>
    </row>
    <row r="35" spans="2:16" s="1" customFormat="1" x14ac:dyDescent="0.25">
      <c r="B35" s="1" t="s">
        <v>30</v>
      </c>
      <c r="G35" s="1">
        <v>75629</v>
      </c>
      <c r="O35" s="1">
        <v>78408</v>
      </c>
      <c r="P35" s="1">
        <v>76485</v>
      </c>
    </row>
    <row r="36" spans="2:16" s="1" customFormat="1" x14ac:dyDescent="0.25">
      <c r="B36" s="1" t="s">
        <v>29</v>
      </c>
      <c r="G36" s="1">
        <v>34951</v>
      </c>
      <c r="O36" s="1">
        <v>33923</v>
      </c>
      <c r="P36" s="1">
        <v>34951</v>
      </c>
    </row>
    <row r="37" spans="2:16" s="1" customFormat="1" x14ac:dyDescent="0.25">
      <c r="B37" s="1" t="s">
        <v>28</v>
      </c>
      <c r="G37" s="1">
        <v>1192282</v>
      </c>
      <c r="O37" s="1">
        <v>1055267</v>
      </c>
      <c r="P37" s="1">
        <v>1166363</v>
      </c>
    </row>
    <row r="38" spans="2:16" s="1" customFormat="1" x14ac:dyDescent="0.25"/>
    <row r="39" spans="2:16" s="1" customFormat="1" x14ac:dyDescent="0.25">
      <c r="B39" s="1" t="s">
        <v>31</v>
      </c>
      <c r="G39" s="1">
        <f>9624+204138</f>
        <v>213762</v>
      </c>
      <c r="O39" s="1">
        <f>166827+55743</f>
        <v>222570</v>
      </c>
      <c r="P39" s="1">
        <f>197213+13037</f>
        <v>210250</v>
      </c>
    </row>
    <row r="40" spans="2:16" s="1" customFormat="1" x14ac:dyDescent="0.25">
      <c r="B40" s="1" t="s">
        <v>32</v>
      </c>
      <c r="G40" s="1">
        <f>22751+5074</f>
        <v>27825</v>
      </c>
      <c r="O40" s="1">
        <f>2647+33947</f>
        <v>36594</v>
      </c>
      <c r="P40" s="1">
        <f>5883+37598</f>
        <v>43481</v>
      </c>
    </row>
    <row r="41" spans="2:16" s="1" customFormat="1" x14ac:dyDescent="0.25">
      <c r="B41" s="1" t="s">
        <v>33</v>
      </c>
      <c r="G41" s="1">
        <f>334722+145462</f>
        <v>480184</v>
      </c>
      <c r="O41" s="1">
        <v>271338</v>
      </c>
      <c r="P41" s="1">
        <v>332016</v>
      </c>
    </row>
    <row r="42" spans="2:16" s="1" customFormat="1" x14ac:dyDescent="0.25">
      <c r="B42" s="1" t="s">
        <v>34</v>
      </c>
      <c r="G42" s="1">
        <f>311948+60151</f>
        <v>372099</v>
      </c>
      <c r="O42" s="1">
        <f>258833+55640</f>
        <v>314473</v>
      </c>
      <c r="P42" s="1">
        <f>321023+60287</f>
        <v>381310</v>
      </c>
    </row>
    <row r="43" spans="2:16" s="1" customFormat="1" x14ac:dyDescent="0.25"/>
    <row r="44" spans="2:16" s="1" customFormat="1" x14ac:dyDescent="0.25">
      <c r="B44" s="1" t="s">
        <v>35</v>
      </c>
      <c r="G44" s="1">
        <f>+SUM(G34:G37)-SUM(G39:G42)</f>
        <v>687269</v>
      </c>
      <c r="O44" s="1">
        <f>+SUM(O34:O37)-SUM(O39:O42)</f>
        <v>978426</v>
      </c>
      <c r="P44" s="1">
        <f>+SUM(P34:P37)-SUM(P39:P42)</f>
        <v>942084</v>
      </c>
    </row>
    <row r="45" spans="2:16" s="1" customFormat="1" x14ac:dyDescent="0.25"/>
    <row r="46" spans="2:16" s="1" customFormat="1" x14ac:dyDescent="0.25">
      <c r="B46" s="1" t="s">
        <v>14</v>
      </c>
      <c r="G46" s="1">
        <f>+G18</f>
        <v>5951</v>
      </c>
      <c r="O46" s="1">
        <f>+O18</f>
        <v>82635</v>
      </c>
      <c r="P46" s="1">
        <f>+P18</f>
        <v>95018</v>
      </c>
    </row>
    <row r="47" spans="2:16" s="1" customFormat="1" x14ac:dyDescent="0.25">
      <c r="B47" s="1" t="s">
        <v>8</v>
      </c>
      <c r="G47" s="1">
        <v>48917</v>
      </c>
      <c r="O47" s="1">
        <v>188177</v>
      </c>
      <c r="P47" s="1">
        <v>204367</v>
      </c>
    </row>
    <row r="48" spans="2:16" s="1" customFormat="1" x14ac:dyDescent="0.25">
      <c r="B48" s="1" t="s">
        <v>49</v>
      </c>
      <c r="G48" s="1">
        <v>3161</v>
      </c>
      <c r="O48" s="1">
        <v>9477</v>
      </c>
      <c r="P48" s="1">
        <v>10511</v>
      </c>
    </row>
    <row r="49" spans="2:16" s="1" customFormat="1" x14ac:dyDescent="0.25">
      <c r="B49" s="1" t="s">
        <v>51</v>
      </c>
      <c r="G49" s="1">
        <v>1266</v>
      </c>
      <c r="O49" s="1">
        <v>5347</v>
      </c>
      <c r="P49" s="1">
        <v>8218</v>
      </c>
    </row>
    <row r="50" spans="2:16" s="1" customFormat="1" x14ac:dyDescent="0.25">
      <c r="B50" s="1" t="s">
        <v>50</v>
      </c>
      <c r="G50" s="1">
        <v>1277</v>
      </c>
      <c r="O50" s="1">
        <v>10479</v>
      </c>
      <c r="P50" s="1">
        <v>8616</v>
      </c>
    </row>
    <row r="51" spans="2:16" s="1" customFormat="1" x14ac:dyDescent="0.25">
      <c r="B51" s="1" t="s">
        <v>52</v>
      </c>
      <c r="G51" s="1">
        <v>-2695</v>
      </c>
      <c r="O51" s="1">
        <v>-35236</v>
      </c>
      <c r="P51" s="1">
        <v>-32239</v>
      </c>
    </row>
    <row r="52" spans="2:16" s="1" customFormat="1" x14ac:dyDescent="0.25">
      <c r="B52" s="1" t="s">
        <v>62</v>
      </c>
      <c r="G52" s="1">
        <v>-3038</v>
      </c>
      <c r="O52" s="1">
        <v>-2841</v>
      </c>
      <c r="P52" s="1">
        <v>-756</v>
      </c>
    </row>
    <row r="53" spans="2:16" s="1" customFormat="1" x14ac:dyDescent="0.25">
      <c r="B53" s="1" t="s">
        <v>65</v>
      </c>
      <c r="G53" s="1">
        <f>8373-5265-6317</f>
        <v>-3209</v>
      </c>
      <c r="O53" s="1">
        <v>9524</v>
      </c>
      <c r="P53" s="1">
        <v>-16755</v>
      </c>
    </row>
    <row r="54" spans="2:16" s="6" customFormat="1" x14ac:dyDescent="0.25">
      <c r="B54" s="6" t="s">
        <v>53</v>
      </c>
      <c r="G54" s="6">
        <f>+SUM(G46:G53)</f>
        <v>51630</v>
      </c>
      <c r="O54" s="6">
        <f>+SUM(O46:O53)</f>
        <v>267562</v>
      </c>
      <c r="P54" s="6">
        <f>+SUM(P46:P53)</f>
        <v>276980</v>
      </c>
    </row>
    <row r="55" spans="2:16" s="1" customFormat="1" x14ac:dyDescent="0.25">
      <c r="B55" s="1" t="s">
        <v>54</v>
      </c>
      <c r="G55" s="1">
        <v>4578</v>
      </c>
      <c r="O55" s="1">
        <v>-19730</v>
      </c>
      <c r="P55" s="1">
        <v>62621</v>
      </c>
    </row>
    <row r="56" spans="2:16" s="1" customFormat="1" x14ac:dyDescent="0.25">
      <c r="B56" s="1" t="s">
        <v>55</v>
      </c>
      <c r="O56" s="1">
        <v>-6041</v>
      </c>
      <c r="P56" s="1">
        <v>17973</v>
      </c>
    </row>
    <row r="57" spans="2:16" s="1" customFormat="1" x14ac:dyDescent="0.25">
      <c r="B57" s="1" t="s">
        <v>56</v>
      </c>
      <c r="G57" s="1">
        <v>5160</v>
      </c>
      <c r="O57" s="1">
        <v>-27202</v>
      </c>
      <c r="P57" s="1">
        <v>5576</v>
      </c>
    </row>
    <row r="58" spans="2:16" s="1" customFormat="1" x14ac:dyDescent="0.25">
      <c r="B58" s="1" t="s">
        <v>57</v>
      </c>
      <c r="G58" s="1">
        <v>-131219</v>
      </c>
      <c r="O58" s="1">
        <v>-197389</v>
      </c>
      <c r="P58" s="1">
        <v>60346</v>
      </c>
    </row>
    <row r="59" spans="2:16" s="1" customFormat="1" x14ac:dyDescent="0.25">
      <c r="B59" s="1" t="s">
        <v>66</v>
      </c>
      <c r="G59" s="1">
        <v>53219</v>
      </c>
      <c r="O59" s="1">
        <v>247584</v>
      </c>
      <c r="P59" s="1">
        <v>-135979</v>
      </c>
    </row>
    <row r="60" spans="2:16" s="1" customFormat="1" x14ac:dyDescent="0.25">
      <c r="B60" s="1" t="s">
        <v>58</v>
      </c>
      <c r="G60" s="1">
        <v>7232</v>
      </c>
      <c r="O60" s="1">
        <v>38604</v>
      </c>
      <c r="P60" s="1">
        <v>0</v>
      </c>
    </row>
    <row r="61" spans="2:16" s="1" customFormat="1" x14ac:dyDescent="0.25">
      <c r="B61" s="1" t="s">
        <v>59</v>
      </c>
      <c r="G61" s="1">
        <v>7232</v>
      </c>
      <c r="O61" s="1">
        <v>9671</v>
      </c>
      <c r="P61" s="1">
        <v>15579</v>
      </c>
    </row>
    <row r="62" spans="2:16" s="1" customFormat="1" x14ac:dyDescent="0.25">
      <c r="B62" s="1" t="s">
        <v>60</v>
      </c>
      <c r="G62" s="1">
        <v>-9533</v>
      </c>
      <c r="O62" s="1">
        <v>-22600</v>
      </c>
      <c r="P62" s="1">
        <v>-30425</v>
      </c>
    </row>
    <row r="63" spans="2:16" s="1" customFormat="1" x14ac:dyDescent="0.25">
      <c r="B63" s="1" t="s">
        <v>61</v>
      </c>
      <c r="G63" s="1">
        <v>-1641</v>
      </c>
      <c r="O63" s="1">
        <v>-3636</v>
      </c>
      <c r="P63" s="1">
        <v>3714</v>
      </c>
    </row>
    <row r="64" spans="2:16" s="7" customFormat="1" x14ac:dyDescent="0.25">
      <c r="B64" s="7" t="s">
        <v>64</v>
      </c>
      <c r="G64" s="7">
        <f>+SUM(G55:G63)</f>
        <v>-64972</v>
      </c>
      <c r="O64" s="7">
        <f>+SUM(O55:O63)</f>
        <v>19261</v>
      </c>
      <c r="P64" s="7">
        <f>+SUM(P55:P63)</f>
        <v>-595</v>
      </c>
    </row>
    <row r="65" spans="2:17" s="6" customFormat="1" x14ac:dyDescent="0.25">
      <c r="B65" s="6" t="s">
        <v>24</v>
      </c>
      <c r="G65" s="6">
        <f>+SUM(G55:G63)+G54</f>
        <v>-13342</v>
      </c>
      <c r="O65" s="6">
        <f>+SUM(O55:O63)+O54</f>
        <v>286823</v>
      </c>
      <c r="P65" s="6">
        <f>+SUM(P55:P63)+P54</f>
        <v>276385</v>
      </c>
    </row>
    <row r="66" spans="2:17" s="1" customFormat="1" x14ac:dyDescent="0.25"/>
    <row r="67" spans="2:17" s="1" customFormat="1" x14ac:dyDescent="0.25">
      <c r="B67" s="1" t="s">
        <v>63</v>
      </c>
      <c r="G67" s="1">
        <v>5314</v>
      </c>
      <c r="O67" s="1">
        <v>34589</v>
      </c>
      <c r="P67" s="1">
        <v>34876</v>
      </c>
    </row>
    <row r="68" spans="2:17" s="1" customFormat="1" x14ac:dyDescent="0.25">
      <c r="B68" s="1" t="s">
        <v>25</v>
      </c>
      <c r="G68" s="1">
        <v>57898</v>
      </c>
      <c r="O68" s="1">
        <v>164886</v>
      </c>
      <c r="P68" s="1">
        <v>227309</v>
      </c>
    </row>
    <row r="69" spans="2:17" s="1" customFormat="1" x14ac:dyDescent="0.25"/>
    <row r="70" spans="2:17" s="6" customFormat="1" x14ac:dyDescent="0.25">
      <c r="B70" s="6" t="s">
        <v>26</v>
      </c>
      <c r="G70" s="6">
        <f>+G65+G67-G68</f>
        <v>-65926</v>
      </c>
      <c r="O70" s="6">
        <f>+O65+O67-O68</f>
        <v>156526</v>
      </c>
      <c r="P70" s="6">
        <f>+P65+P67-P68</f>
        <v>83952</v>
      </c>
    </row>
    <row r="71" spans="2:17" s="1" customFormat="1" x14ac:dyDescent="0.25"/>
    <row r="72" spans="2:17" s="1" customFormat="1" x14ac:dyDescent="0.25">
      <c r="B72" s="1" t="s">
        <v>67</v>
      </c>
      <c r="O72" s="1">
        <v>36268</v>
      </c>
      <c r="P72" s="1">
        <v>37232</v>
      </c>
    </row>
    <row r="73" spans="2:17" s="1" customFormat="1" x14ac:dyDescent="0.25">
      <c r="B73" s="1" t="s">
        <v>72</v>
      </c>
      <c r="O73" s="1">
        <f>+O72-O19</f>
        <v>18046</v>
      </c>
      <c r="P73" s="1">
        <f>+P72-P19</f>
        <v>27227</v>
      </c>
      <c r="Q73" s="1">
        <f>0.75*Q21</f>
        <v>28707.142500000002</v>
      </c>
    </row>
    <row r="74" spans="2:17" s="1" customFormat="1" x14ac:dyDescent="0.25">
      <c r="B74" s="1" t="s">
        <v>68</v>
      </c>
      <c r="O74" s="1">
        <v>2900</v>
      </c>
      <c r="P74" s="1">
        <v>7033</v>
      </c>
      <c r="Q74" s="1">
        <f>785.565*0.25*15</f>
        <v>2945.8687500000001</v>
      </c>
    </row>
    <row r="75" spans="2:17" s="2" customFormat="1" x14ac:dyDescent="0.25">
      <c r="B75" s="2" t="s">
        <v>76</v>
      </c>
      <c r="O75" s="2">
        <f>+O73/O20</f>
        <v>0.2801608370981013</v>
      </c>
      <c r="P75" s="2">
        <f>+P73/P20</f>
        <v>0.32026866479244354</v>
      </c>
      <c r="Q75" s="2">
        <f>+Q73/Q20</f>
        <v>0.3004881837567776</v>
      </c>
    </row>
    <row r="76" spans="2:17" s="1" customFormat="1" x14ac:dyDescent="0.25"/>
    <row r="78" spans="2:17" s="8" customFormat="1" x14ac:dyDescent="0.25">
      <c r="B78" s="8" t="s">
        <v>73</v>
      </c>
      <c r="O78" s="8">
        <f t="shared" ref="O78:Q79" si="24">+O73/MC</f>
        <v>3.3342859458122036E-2</v>
      </c>
      <c r="P78" s="8">
        <f t="shared" si="24"/>
        <v>5.0306219354221915E-2</v>
      </c>
      <c r="Q78" s="8">
        <f t="shared" si="24"/>
        <v>5.3041018387553041E-2</v>
      </c>
    </row>
    <row r="79" spans="2:17" s="8" customFormat="1" x14ac:dyDescent="0.25">
      <c r="B79" s="8" t="s">
        <v>74</v>
      </c>
      <c r="O79" s="8">
        <f t="shared" si="24"/>
        <v>5.3582119266626345E-3</v>
      </c>
      <c r="P79" s="8">
        <f t="shared" si="24"/>
        <v>1.2994587751799418E-2</v>
      </c>
      <c r="Q79" s="8">
        <f t="shared" si="24"/>
        <v>5.4429617484940511E-3</v>
      </c>
    </row>
    <row r="80" spans="2:17" s="8" customFormat="1" x14ac:dyDescent="0.25">
      <c r="B80" s="8" t="s">
        <v>75</v>
      </c>
      <c r="O80" s="8">
        <f>+(O73+O74)/MC</f>
        <v>3.8701071384784673E-2</v>
      </c>
      <c r="P80" s="8">
        <f>+(P73+P74)/MC</f>
        <v>6.3300807106021331E-2</v>
      </c>
      <c r="Q80" s="8">
        <f>+(Q73+Q74)/MC</f>
        <v>5.8483980136047095E-2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Main</vt:lpstr>
      <vt:lpstr>Model</vt:lpstr>
      <vt:lpstr>MC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2024-06-17T07:28:02Z</dcterms:created>
  <dcterms:modified xsi:type="dcterms:W3CDTF">2026-02-06T13:38:45Z</dcterms:modified>
</cp:coreProperties>
</file>