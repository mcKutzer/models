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773518A8-03D0-492B-BFC7-67B92C9495E7}" xr6:coauthVersionLast="47" xr6:coauthVersionMax="47" xr10:uidLastSave="{00000000-0000-0000-0000-000000000000}"/>
  <bookViews>
    <workbookView xWindow="-28920" yWindow="-120" windowWidth="29040" windowHeight="15840" xr2:uid="{8700361E-2760-45AD-9C84-A674B0CB1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4" i="1" s="1"/>
  <c r="B5" i="1"/>
  <c r="C4" i="1"/>
  <c r="D4" i="1" s="1"/>
  <c r="E4" i="1" s="1"/>
  <c r="F4" i="1" s="1"/>
  <c r="G4" i="1" s="1"/>
  <c r="H4" i="1" s="1"/>
  <c r="I4" i="1" s="1"/>
  <c r="J4" i="1" s="1"/>
  <c r="K4" i="1" s="1"/>
  <c r="K5" i="1" s="1"/>
  <c r="L10" i="1"/>
  <c r="L12" i="1" s="1"/>
  <c r="L14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C10" i="1"/>
  <c r="C12" i="1" s="1"/>
  <c r="C14" i="1" s="1"/>
  <c r="D10" i="1"/>
  <c r="D12" i="1" s="1"/>
  <c r="D14" i="1" s="1"/>
  <c r="E10" i="1"/>
  <c r="E12" i="1" s="1"/>
  <c r="F10" i="1"/>
  <c r="F12" i="1" s="1"/>
  <c r="F14" i="1" s="1"/>
  <c r="G10" i="1"/>
  <c r="H10" i="1"/>
  <c r="H12" i="1" s="1"/>
  <c r="H14" i="1" s="1"/>
  <c r="I10" i="1"/>
  <c r="I12" i="1" s="1"/>
  <c r="I14" i="1" s="1"/>
  <c r="J10" i="1"/>
  <c r="J12" i="1" s="1"/>
  <c r="J14" i="1" s="1"/>
  <c r="K10" i="1"/>
  <c r="K12" i="1" s="1"/>
  <c r="K14" i="1" s="1"/>
  <c r="B10" i="1"/>
  <c r="B12" i="1" s="1"/>
  <c r="B14" i="1" s="1"/>
  <c r="G5" i="1" l="1"/>
  <c r="F5" i="1"/>
  <c r="E5" i="1"/>
  <c r="D5" i="1"/>
  <c r="C5" i="1"/>
  <c r="E13" i="1"/>
  <c r="E14" i="1" s="1"/>
  <c r="J5" i="1"/>
  <c r="I5" i="1"/>
  <c r="L4" i="1"/>
  <c r="M4" i="1" s="1"/>
  <c r="N4" i="1" s="1"/>
  <c r="O4" i="1" s="1"/>
  <c r="P4" i="1" s="1"/>
  <c r="Q4" i="1" s="1"/>
  <c r="R4" i="1" s="1"/>
  <c r="S4" i="1" s="1"/>
  <c r="T4" i="1" s="1"/>
  <c r="U4" i="1" s="1"/>
  <c r="H5" i="1"/>
  <c r="M7" i="1"/>
  <c r="N7" i="1" l="1"/>
  <c r="M5" i="1"/>
  <c r="L5" i="1"/>
  <c r="M10" i="1"/>
  <c r="M12" i="1" s="1"/>
  <c r="M14" i="1" s="1"/>
  <c r="O7" i="1" l="1"/>
  <c r="N5" i="1"/>
  <c r="N10" i="1"/>
  <c r="N12" i="1" s="1"/>
  <c r="N14" i="1" s="1"/>
  <c r="P7" i="1" l="1"/>
  <c r="O5" i="1"/>
  <c r="O10" i="1"/>
  <c r="O12" i="1" s="1"/>
  <c r="O14" i="1" s="1"/>
  <c r="Q7" i="1" l="1"/>
  <c r="P5" i="1"/>
  <c r="P10" i="1"/>
  <c r="P12" i="1" s="1"/>
  <c r="P14" i="1" s="1"/>
  <c r="Q5" i="1" l="1"/>
  <c r="R7" i="1"/>
  <c r="Q10" i="1"/>
  <c r="Q12" i="1" s="1"/>
  <c r="Q14" i="1" s="1"/>
  <c r="R5" i="1" l="1"/>
  <c r="S7" i="1"/>
  <c r="R10" i="1"/>
  <c r="R12" i="1" s="1"/>
  <c r="R14" i="1" s="1"/>
  <c r="S5" i="1" l="1"/>
  <c r="S10" i="1"/>
  <c r="S12" i="1" s="1"/>
  <c r="S14" i="1" s="1"/>
  <c r="T7" i="1"/>
  <c r="T5" i="1" l="1"/>
  <c r="T10" i="1"/>
  <c r="T12" i="1" s="1"/>
  <c r="T14" i="1" s="1"/>
  <c r="U7" i="1"/>
  <c r="U10" i="1" l="1"/>
  <c r="U12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B20" i="1" s="1"/>
  <c r="U5" i="1"/>
</calcChain>
</file>

<file path=xl/sharedStrings.xml><?xml version="1.0" encoding="utf-8"?>
<sst xmlns="http://schemas.openxmlformats.org/spreadsheetml/2006/main" count="12" uniqueCount="12">
  <si>
    <t>Total Launches per Year</t>
  </si>
  <si>
    <t>Rocketlab Launches</t>
  </si>
  <si>
    <t>RocketLab Market Share</t>
  </si>
  <si>
    <t>Revenue per Launch</t>
  </si>
  <si>
    <t>Rocket Lab Revenue</t>
  </si>
  <si>
    <t>Margin</t>
  </si>
  <si>
    <t>Profit</t>
  </si>
  <si>
    <t>Taxes</t>
  </si>
  <si>
    <t>Net Income</t>
  </si>
  <si>
    <t>Discount</t>
  </si>
  <si>
    <t>Terminal Rate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</si>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</sst>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6FD6-DEE7-4661-90B9-96D423EF6E1D}">
  <dimension ref="A2:ER25"/>
  <sheetViews>
    <sheetView tabSelected="1" zoomScale="130" zoomScaleNormal="130" workbookViewId="0">
      <selection activeCell="M7" sqref="M7"/>
    </sheetView>
  </sheetViews>
  <sheetFormatPr defaultRowHeight="15" x14ac:dyDescent="0.25"/>
  <cols>
    <col min="1" max="1" width="21" customWidth="1"/>
  </cols>
  <sheetData>
    <row r="2" spans="1:148" x14ac:dyDescent="0.25">
      <c r="B2">
        <v>2026</v>
      </c>
      <c r="C2">
        <f t="shared" ref="C2:K2" si="0">+B2+1</f>
        <v>2027</v>
      </c>
      <c r="D2">
        <f t="shared" si="0"/>
        <v>2028</v>
      </c>
      <c r="E2">
        <f t="shared" si="0"/>
        <v>2029</v>
      </c>
      <c r="F2">
        <f t="shared" si="0"/>
        <v>2030</v>
      </c>
      <c r="G2">
        <f t="shared" si="0"/>
        <v>2031</v>
      </c>
      <c r="H2">
        <f t="shared" si="0"/>
        <v>2032</v>
      </c>
      <c r="I2">
        <f t="shared" si="0"/>
        <v>2033</v>
      </c>
      <c r="J2">
        <f t="shared" si="0"/>
        <v>2034</v>
      </c>
      <c r="K2">
        <f t="shared" si="0"/>
        <v>2035</v>
      </c>
      <c r="L2">
        <f t="shared" ref="L2:U2" si="1">+K2+1</f>
        <v>2036</v>
      </c>
      <c r="M2">
        <f t="shared" si="1"/>
        <v>2037</v>
      </c>
      <c r="N2">
        <f t="shared" si="1"/>
        <v>2038</v>
      </c>
      <c r="O2">
        <f t="shared" si="1"/>
        <v>2039</v>
      </c>
      <c r="P2">
        <f t="shared" si="1"/>
        <v>2040</v>
      </c>
      <c r="Q2">
        <f t="shared" si="1"/>
        <v>2041</v>
      </c>
      <c r="R2">
        <f t="shared" si="1"/>
        <v>2042</v>
      </c>
      <c r="S2">
        <f t="shared" si="1"/>
        <v>2043</v>
      </c>
      <c r="T2">
        <f t="shared" si="1"/>
        <v>2044</v>
      </c>
      <c r="U2">
        <f t="shared" si="1"/>
        <v>2045</v>
      </c>
    </row>
    <row r="3" spans="1:148" ht="16.5" customHeight="1" x14ac:dyDescent="0.25"/>
    <row r="4" spans="1:148" s="1" customFormat="1" x14ac:dyDescent="0.25">
      <c r="A4" s="1" t="s">
        <v>0</v>
      </c>
      <c r="B4" s="1">
        <v>370</v>
      </c>
      <c r="C4" s="1">
        <f t="shared" ref="C4:F4" si="2">+B4*1.146</f>
        <v>424.02</v>
      </c>
      <c r="D4" s="1">
        <f t="shared" si="2"/>
        <v>485.92691999999994</v>
      </c>
      <c r="E4" s="1">
        <f t="shared" si="2"/>
        <v>556.87225031999992</v>
      </c>
      <c r="F4" s="1">
        <f t="shared" si="2"/>
        <v>638.17559886671984</v>
      </c>
      <c r="G4" s="1">
        <f>+F4*1.11</f>
        <v>708.3749147420591</v>
      </c>
      <c r="H4" s="1">
        <f t="shared" ref="H4:I4" si="3">+G4*1.11</f>
        <v>786.29615536368567</v>
      </c>
      <c r="I4" s="1">
        <f t="shared" si="3"/>
        <v>872.78873245369118</v>
      </c>
      <c r="J4" s="1">
        <f>+I4*1.08</f>
        <v>942.61183104998656</v>
      </c>
      <c r="K4" s="1">
        <f t="shared" ref="K4" si="4">+J4*1.08</f>
        <v>1018.0207775339856</v>
      </c>
      <c r="L4" s="1">
        <f>+K4*1.07</f>
        <v>1089.2822319613647</v>
      </c>
      <c r="M4" s="1">
        <f t="shared" ref="M4:U4" si="5">+L4*1.07</f>
        <v>1165.5319881986602</v>
      </c>
      <c r="N4" s="1">
        <f t="shared" si="5"/>
        <v>1247.1192273725665</v>
      </c>
      <c r="O4" s="1">
        <f t="shared" si="5"/>
        <v>1334.4175732886463</v>
      </c>
      <c r="P4" s="1">
        <f t="shared" si="5"/>
        <v>1427.8268034188516</v>
      </c>
      <c r="Q4" s="1">
        <f t="shared" si="5"/>
        <v>1527.7746796581712</v>
      </c>
      <c r="R4" s="1">
        <f t="shared" si="5"/>
        <v>1634.7189072342433</v>
      </c>
      <c r="S4" s="1">
        <f t="shared" si="5"/>
        <v>1749.1492307406404</v>
      </c>
      <c r="T4" s="1">
        <f t="shared" si="5"/>
        <v>1871.5896768924854</v>
      </c>
      <c r="U4" s="1">
        <f t="shared" si="5"/>
        <v>2002.6009542749596</v>
      </c>
    </row>
    <row r="5" spans="1:148" s="3" customFormat="1" x14ac:dyDescent="0.25">
      <c r="A5" s="3" t="s">
        <v>2</v>
      </c>
      <c r="B5" s="3">
        <f>+B7/B4</f>
        <v>8.1081081081081086E-3</v>
      </c>
      <c r="C5" s="3">
        <f t="shared" ref="C5:U5" si="6">+C7/C4</f>
        <v>9.433517286920429E-3</v>
      </c>
      <c r="D5" s="3">
        <f t="shared" si="6"/>
        <v>1.4405458335175175E-2</v>
      </c>
      <c r="E5" s="3">
        <f t="shared" si="6"/>
        <v>1.6161695963173347E-2</v>
      </c>
      <c r="F5" s="3">
        <f t="shared" si="6"/>
        <v>2.3504502564242798E-2</v>
      </c>
      <c r="G5" s="3">
        <f t="shared" si="6"/>
        <v>2.823363671380516E-2</v>
      </c>
      <c r="H5" s="3">
        <f t="shared" si="6"/>
        <v>3.1794635938969772E-2</v>
      </c>
      <c r="I5" s="3">
        <f t="shared" si="6"/>
        <v>3.4372579393480832E-2</v>
      </c>
      <c r="J5" s="3">
        <f t="shared" si="6"/>
        <v>3.7130872801599657E-2</v>
      </c>
      <c r="K5" s="3">
        <f t="shared" si="6"/>
        <v>4.4203420001904352E-2</v>
      </c>
      <c r="L5" s="3">
        <f t="shared" si="6"/>
        <v>5.0491964695840899E-2</v>
      </c>
      <c r="M5" s="3">
        <f t="shared" si="6"/>
        <v>5.1907627257406538E-2</v>
      </c>
      <c r="N5" s="3">
        <f t="shared" si="6"/>
        <v>5.3362981292660927E-2</v>
      </c>
      <c r="O5" s="3">
        <f t="shared" si="6"/>
        <v>5.4859139646660761E-2</v>
      </c>
      <c r="P5" s="3">
        <f t="shared" si="6"/>
        <v>5.6397246365726017E-2</v>
      </c>
      <c r="Q5" s="3">
        <f t="shared" si="6"/>
        <v>5.7978477572241706E-2</v>
      </c>
      <c r="R5" s="3">
        <f t="shared" si="6"/>
        <v>5.9604042363986802E-2</v>
      </c>
      <c r="S5" s="3">
        <f t="shared" si="6"/>
        <v>6.1275183738678018E-2</v>
      </c>
      <c r="T5" s="3">
        <f t="shared" si="6"/>
        <v>6.299317954443534E-2</v>
      </c>
      <c r="U5" s="3">
        <f t="shared" si="6"/>
        <v>6.4759343456896143E-2</v>
      </c>
    </row>
    <row r="7" spans="1:148" x14ac:dyDescent="0.25">
      <c r="A7" t="s">
        <v>1</v>
      </c>
      <c r="B7">
        <v>3</v>
      </c>
      <c r="C7">
        <v>4</v>
      </c>
      <c r="D7">
        <v>7</v>
      </c>
      <c r="E7">
        <v>9</v>
      </c>
      <c r="F7">
        <v>15</v>
      </c>
      <c r="G7">
        <v>20</v>
      </c>
      <c r="H7">
        <v>25</v>
      </c>
      <c r="I7">
        <v>30</v>
      </c>
      <c r="J7">
        <v>35</v>
      </c>
      <c r="K7">
        <v>45</v>
      </c>
      <c r="L7" s="1">
        <v>55</v>
      </c>
      <c r="M7" s="1">
        <f t="shared" ref="M7:U7" si="7">+L7*1.1</f>
        <v>60.500000000000007</v>
      </c>
      <c r="N7" s="1">
        <f t="shared" si="7"/>
        <v>66.550000000000011</v>
      </c>
      <c r="O7" s="1">
        <f t="shared" si="7"/>
        <v>73.205000000000013</v>
      </c>
      <c r="P7" s="1">
        <f t="shared" si="7"/>
        <v>80.525500000000022</v>
      </c>
      <c r="Q7" s="1">
        <f t="shared" si="7"/>
        <v>88.578050000000033</v>
      </c>
      <c r="R7" s="1">
        <f t="shared" si="7"/>
        <v>97.435855000000046</v>
      </c>
      <c r="S7" s="1">
        <f t="shared" si="7"/>
        <v>107.17944050000006</v>
      </c>
      <c r="T7" s="1">
        <f t="shared" si="7"/>
        <v>117.89738455000007</v>
      </c>
      <c r="U7" s="1">
        <f t="shared" si="7"/>
        <v>129.68712300500007</v>
      </c>
    </row>
    <row r="8" spans="1:148" x14ac:dyDescent="0.25">
      <c r="A8" t="s">
        <v>3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</row>
    <row r="10" spans="1:148" s="4" customFormat="1" x14ac:dyDescent="0.25">
      <c r="A10" s="4" t="s">
        <v>4</v>
      </c>
      <c r="B10" s="4">
        <f>+B7*B8</f>
        <v>150</v>
      </c>
      <c r="C10" s="4">
        <f t="shared" ref="C10:U10" si="8">+C7*C8</f>
        <v>200</v>
      </c>
      <c r="D10" s="4">
        <f t="shared" si="8"/>
        <v>350</v>
      </c>
      <c r="E10" s="4">
        <f t="shared" si="8"/>
        <v>450</v>
      </c>
      <c r="F10" s="4">
        <f t="shared" si="8"/>
        <v>750</v>
      </c>
      <c r="G10" s="4">
        <f t="shared" si="8"/>
        <v>1000</v>
      </c>
      <c r="H10" s="4">
        <f t="shared" si="8"/>
        <v>1250</v>
      </c>
      <c r="I10" s="4">
        <f t="shared" si="8"/>
        <v>1500</v>
      </c>
      <c r="J10" s="4">
        <f t="shared" si="8"/>
        <v>1750</v>
      </c>
      <c r="K10" s="4">
        <f t="shared" si="8"/>
        <v>2250</v>
      </c>
      <c r="L10" s="4">
        <f t="shared" si="8"/>
        <v>2750</v>
      </c>
      <c r="M10" s="4">
        <f t="shared" si="8"/>
        <v>3025.0000000000005</v>
      </c>
      <c r="N10" s="4">
        <f t="shared" si="8"/>
        <v>3327.5000000000005</v>
      </c>
      <c r="O10" s="4">
        <f t="shared" si="8"/>
        <v>3660.2500000000005</v>
      </c>
      <c r="P10" s="4">
        <f t="shared" si="8"/>
        <v>4026.275000000001</v>
      </c>
      <c r="Q10" s="4">
        <f t="shared" si="8"/>
        <v>4428.902500000002</v>
      </c>
      <c r="R10" s="4">
        <f t="shared" si="8"/>
        <v>4871.7927500000023</v>
      </c>
      <c r="S10" s="4">
        <f t="shared" si="8"/>
        <v>5358.9720250000028</v>
      </c>
      <c r="T10" s="4">
        <f t="shared" si="8"/>
        <v>5894.869227500003</v>
      </c>
      <c r="U10" s="4">
        <f t="shared" si="8"/>
        <v>6484.3561502500033</v>
      </c>
    </row>
    <row r="11" spans="1:148" s="2" customFormat="1" x14ac:dyDescent="0.25">
      <c r="A11" s="2" t="s">
        <v>5</v>
      </c>
      <c r="B11" s="2">
        <v>-0.3</v>
      </c>
      <c r="C11" s="2">
        <v>-0.15</v>
      </c>
      <c r="D11" s="2">
        <v>0</v>
      </c>
      <c r="E11" s="2">
        <v>0.1</v>
      </c>
      <c r="F11" s="2">
        <v>0.18</v>
      </c>
      <c r="G11" s="2">
        <v>0.2</v>
      </c>
      <c r="H11" s="2">
        <v>0.23</v>
      </c>
      <c r="I11" s="2">
        <v>0.25</v>
      </c>
      <c r="J11" s="2">
        <v>0.25</v>
      </c>
      <c r="K11" s="2">
        <v>0.27</v>
      </c>
      <c r="L11" s="2">
        <v>0.27</v>
      </c>
      <c r="M11" s="2">
        <v>0.27</v>
      </c>
      <c r="N11" s="2">
        <v>0.3</v>
      </c>
      <c r="O11" s="2">
        <v>0.3</v>
      </c>
      <c r="P11" s="2">
        <v>0.3</v>
      </c>
      <c r="Q11" s="2">
        <v>0.3</v>
      </c>
      <c r="R11" s="2">
        <v>0.3</v>
      </c>
      <c r="S11" s="2">
        <v>0.3</v>
      </c>
      <c r="T11" s="2">
        <v>0.3</v>
      </c>
      <c r="U11" s="2">
        <v>0.3</v>
      </c>
    </row>
    <row r="12" spans="1:148" s="4" customFormat="1" x14ac:dyDescent="0.25">
      <c r="A12" s="4" t="s">
        <v>6</v>
      </c>
      <c r="B12" s="4">
        <f>+B10*B11</f>
        <v>-45</v>
      </c>
      <c r="C12" s="4">
        <f t="shared" ref="C12:U12" si="9">+C10*C11</f>
        <v>-30</v>
      </c>
      <c r="D12" s="4">
        <f t="shared" si="9"/>
        <v>0</v>
      </c>
      <c r="E12" s="4">
        <f t="shared" si="9"/>
        <v>45</v>
      </c>
      <c r="F12" s="4">
        <f t="shared" si="9"/>
        <v>135</v>
      </c>
      <c r="G12" s="4">
        <f t="shared" si="9"/>
        <v>200</v>
      </c>
      <c r="H12" s="4">
        <f t="shared" si="9"/>
        <v>287.5</v>
      </c>
      <c r="I12" s="4">
        <f t="shared" si="9"/>
        <v>375</v>
      </c>
      <c r="J12" s="4">
        <f t="shared" si="9"/>
        <v>437.5</v>
      </c>
      <c r="K12" s="4">
        <f t="shared" si="9"/>
        <v>607.5</v>
      </c>
      <c r="L12" s="4">
        <f t="shared" si="9"/>
        <v>742.5</v>
      </c>
      <c r="M12" s="4">
        <f t="shared" si="9"/>
        <v>816.75000000000023</v>
      </c>
      <c r="N12" s="4">
        <f t="shared" si="9"/>
        <v>998.25000000000011</v>
      </c>
      <c r="O12" s="4">
        <f t="shared" si="9"/>
        <v>1098.075</v>
      </c>
      <c r="P12" s="4">
        <f t="shared" si="9"/>
        <v>1207.8825000000002</v>
      </c>
      <c r="Q12" s="4">
        <f t="shared" si="9"/>
        <v>1328.6707500000005</v>
      </c>
      <c r="R12" s="4">
        <f t="shared" si="9"/>
        <v>1461.5378250000006</v>
      </c>
      <c r="S12" s="4">
        <f t="shared" si="9"/>
        <v>1607.6916075000008</v>
      </c>
      <c r="T12" s="4">
        <f t="shared" si="9"/>
        <v>1768.4607682500009</v>
      </c>
      <c r="U12" s="4">
        <f t="shared" si="9"/>
        <v>1945.3068450750009</v>
      </c>
    </row>
    <row r="13" spans="1:148" s="4" customFormat="1" x14ac:dyDescent="0.25">
      <c r="A13" s="4" t="s">
        <v>7</v>
      </c>
      <c r="B13" s="4">
        <v>0</v>
      </c>
      <c r="C13" s="4">
        <v>0</v>
      </c>
      <c r="D13" s="4">
        <v>0</v>
      </c>
      <c r="E13" s="4">
        <f>+E12*0.2</f>
        <v>9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</row>
    <row r="14" spans="1:148" s="4" customFormat="1" x14ac:dyDescent="0.25">
      <c r="A14" s="4" t="s">
        <v>8</v>
      </c>
      <c r="B14" s="4">
        <f>+B12-B13</f>
        <v>-45</v>
      </c>
      <c r="C14" s="4">
        <f t="shared" ref="C14:U14" si="10">+C12-C13</f>
        <v>-30</v>
      </c>
      <c r="D14" s="4">
        <f t="shared" si="10"/>
        <v>0</v>
      </c>
      <c r="E14" s="4">
        <f t="shared" si="10"/>
        <v>36</v>
      </c>
      <c r="F14" s="4">
        <f t="shared" si="10"/>
        <v>131</v>
      </c>
      <c r="G14" s="4">
        <f t="shared" si="10"/>
        <v>195</v>
      </c>
      <c r="H14" s="4">
        <f t="shared" si="10"/>
        <v>281.5</v>
      </c>
      <c r="I14" s="4">
        <f t="shared" si="10"/>
        <v>368</v>
      </c>
      <c r="J14" s="4">
        <f t="shared" si="10"/>
        <v>429.5</v>
      </c>
      <c r="K14" s="4">
        <f t="shared" si="10"/>
        <v>598.5</v>
      </c>
      <c r="L14" s="4">
        <f t="shared" si="10"/>
        <v>732.5</v>
      </c>
      <c r="M14" s="4">
        <f t="shared" si="10"/>
        <v>805.75000000000023</v>
      </c>
      <c r="N14" s="4">
        <f t="shared" si="10"/>
        <v>986.25000000000011</v>
      </c>
      <c r="O14" s="4">
        <f t="shared" si="10"/>
        <v>1085.075</v>
      </c>
      <c r="P14" s="4">
        <f t="shared" si="10"/>
        <v>1193.8825000000002</v>
      </c>
      <c r="Q14" s="4">
        <f t="shared" si="10"/>
        <v>1313.6707500000005</v>
      </c>
      <c r="R14" s="4">
        <f t="shared" si="10"/>
        <v>1445.5378250000006</v>
      </c>
      <c r="S14" s="4">
        <f t="shared" si="10"/>
        <v>1590.6916075000008</v>
      </c>
      <c r="T14" s="4">
        <f t="shared" si="10"/>
        <v>1750.4607682500009</v>
      </c>
      <c r="U14" s="4">
        <f t="shared" si="10"/>
        <v>1926.3068450750009</v>
      </c>
      <c r="V14" s="4">
        <f>+U14*(1+$B19)</f>
        <v>2022.6221873287509</v>
      </c>
      <c r="W14" s="4">
        <f t="shared" ref="W14:CH14" si="11">+V14*(1+$B19)</f>
        <v>2123.7532966951885</v>
      </c>
      <c r="X14" s="4">
        <f t="shared" si="11"/>
        <v>2229.9409615299483</v>
      </c>
      <c r="Y14" s="4">
        <f t="shared" si="11"/>
        <v>2341.4380096064456</v>
      </c>
      <c r="Z14" s="4">
        <f t="shared" si="11"/>
        <v>2458.5099100867678</v>
      </c>
      <c r="AA14" s="4">
        <f t="shared" si="11"/>
        <v>2581.4354055911062</v>
      </c>
      <c r="AB14" s="4">
        <f t="shared" si="11"/>
        <v>2710.5071758706617</v>
      </c>
      <c r="AC14" s="4">
        <f t="shared" si="11"/>
        <v>2846.0325346641948</v>
      </c>
      <c r="AD14" s="4">
        <f t="shared" si="11"/>
        <v>2988.3341613974048</v>
      </c>
      <c r="AE14" s="4">
        <f t="shared" si="11"/>
        <v>3137.7508694672752</v>
      </c>
      <c r="AF14" s="4">
        <f t="shared" si="11"/>
        <v>3294.6384129406392</v>
      </c>
      <c r="AG14" s="4">
        <f t="shared" si="11"/>
        <v>3459.3703335876712</v>
      </c>
      <c r="AH14" s="4">
        <f t="shared" si="11"/>
        <v>3632.338850267055</v>
      </c>
      <c r="AI14" s="4">
        <f t="shared" si="11"/>
        <v>3813.955792780408</v>
      </c>
      <c r="AJ14" s="4">
        <f t="shared" si="11"/>
        <v>4004.6535824194284</v>
      </c>
      <c r="AK14" s="4">
        <f t="shared" si="11"/>
        <v>4204.8862615403996</v>
      </c>
      <c r="AL14" s="4">
        <f t="shared" si="11"/>
        <v>4415.1305746174194</v>
      </c>
      <c r="AM14" s="4">
        <f t="shared" si="11"/>
        <v>4635.8871033482901</v>
      </c>
      <c r="AN14" s="4">
        <f t="shared" si="11"/>
        <v>4867.6814585157044</v>
      </c>
      <c r="AO14" s="4">
        <f t="shared" si="11"/>
        <v>5111.0655314414898</v>
      </c>
      <c r="AP14" s="4">
        <f t="shared" si="11"/>
        <v>5366.6188080135644</v>
      </c>
      <c r="AQ14" s="4">
        <f t="shared" si="11"/>
        <v>5634.949748414243</v>
      </c>
      <c r="AR14" s="4">
        <f t="shared" si="11"/>
        <v>5916.6972358349558</v>
      </c>
      <c r="AS14" s="4">
        <f t="shared" si="11"/>
        <v>6212.5320976267039</v>
      </c>
      <c r="AT14" s="4">
        <f t="shared" si="11"/>
        <v>6523.1587025080398</v>
      </c>
      <c r="AU14" s="4">
        <f t="shared" si="11"/>
        <v>6849.316637633442</v>
      </c>
      <c r="AV14" s="4">
        <f t="shared" si="11"/>
        <v>7191.7824695151148</v>
      </c>
      <c r="AW14" s="4">
        <f t="shared" si="11"/>
        <v>7551.3715929908712</v>
      </c>
      <c r="AX14" s="4">
        <f t="shared" si="11"/>
        <v>7928.9401726404149</v>
      </c>
      <c r="AY14" s="4">
        <f t="shared" si="11"/>
        <v>8325.3871812724356</v>
      </c>
      <c r="AZ14" s="4">
        <f t="shared" si="11"/>
        <v>8741.6565403360582</v>
      </c>
      <c r="BA14" s="4">
        <f t="shared" si="11"/>
        <v>9178.7393673528622</v>
      </c>
      <c r="BB14" s="4">
        <f t="shared" si="11"/>
        <v>9637.6763357205054</v>
      </c>
      <c r="BC14" s="4">
        <f t="shared" si="11"/>
        <v>10119.56015250653</v>
      </c>
      <c r="BD14" s="4">
        <f t="shared" si="11"/>
        <v>10625.538160131857</v>
      </c>
      <c r="BE14" s="4">
        <f t="shared" si="11"/>
        <v>11156.81506813845</v>
      </c>
      <c r="BF14" s="4">
        <f t="shared" si="11"/>
        <v>11714.655821545373</v>
      </c>
      <c r="BG14" s="4">
        <f t="shared" si="11"/>
        <v>12300.388612622643</v>
      </c>
      <c r="BH14" s="4">
        <f t="shared" si="11"/>
        <v>12915.408043253776</v>
      </c>
      <c r="BI14" s="4">
        <f t="shared" si="11"/>
        <v>13561.178445416464</v>
      </c>
      <c r="BJ14" s="4">
        <f t="shared" si="11"/>
        <v>14239.237367687288</v>
      </c>
      <c r="BK14" s="4">
        <f t="shared" si="11"/>
        <v>14951.199236071654</v>
      </c>
      <c r="BL14" s="4">
        <f t="shared" si="11"/>
        <v>15698.759197875237</v>
      </c>
      <c r="BM14" s="4">
        <f t="shared" si="11"/>
        <v>16483.697157768998</v>
      </c>
      <c r="BN14" s="4">
        <f t="shared" si="11"/>
        <v>17307.882015657447</v>
      </c>
      <c r="BO14" s="4">
        <f t="shared" si="11"/>
        <v>18173.27611644032</v>
      </c>
      <c r="BP14" s="4">
        <f t="shared" si="11"/>
        <v>19081.939922262336</v>
      </c>
      <c r="BQ14" s="4">
        <f t="shared" si="11"/>
        <v>20036.036918375452</v>
      </c>
      <c r="BR14" s="4">
        <f t="shared" si="11"/>
        <v>21037.838764294225</v>
      </c>
      <c r="BS14" s="4">
        <f t="shared" si="11"/>
        <v>22089.730702508936</v>
      </c>
      <c r="BT14" s="4">
        <f t="shared" si="11"/>
        <v>23194.217237634384</v>
      </c>
      <c r="BU14" s="4">
        <f t="shared" si="11"/>
        <v>24353.928099516106</v>
      </c>
      <c r="BV14" s="4">
        <f t="shared" si="11"/>
        <v>25571.624504491912</v>
      </c>
      <c r="BW14" s="4">
        <f t="shared" si="11"/>
        <v>26850.205729716508</v>
      </c>
      <c r="BX14" s="4">
        <f t="shared" si="11"/>
        <v>28192.716016202336</v>
      </c>
      <c r="BY14" s="4">
        <f t="shared" si="11"/>
        <v>29602.351817012455</v>
      </c>
      <c r="BZ14" s="4">
        <f t="shared" si="11"/>
        <v>31082.469407863078</v>
      </c>
      <c r="CA14" s="4">
        <f t="shared" si="11"/>
        <v>32636.592878256233</v>
      </c>
      <c r="CB14" s="4">
        <f t="shared" si="11"/>
        <v>34268.422522169043</v>
      </c>
      <c r="CC14" s="4">
        <f t="shared" si="11"/>
        <v>35981.8436482775</v>
      </c>
      <c r="CD14" s="4">
        <f t="shared" si="11"/>
        <v>37780.935830691378</v>
      </c>
      <c r="CE14" s="4">
        <f t="shared" si="11"/>
        <v>39669.982622225951</v>
      </c>
      <c r="CF14" s="4">
        <f t="shared" si="11"/>
        <v>41653.481753337248</v>
      </c>
      <c r="CG14" s="4">
        <f t="shared" si="11"/>
        <v>43736.155841004111</v>
      </c>
      <c r="CH14" s="4">
        <f t="shared" si="11"/>
        <v>45922.963633054322</v>
      </c>
      <c r="CI14" s="4">
        <f t="shared" ref="CI14:ER14" si="12">+CH14*(1+$B19)</f>
        <v>48219.111814707037</v>
      </c>
      <c r="CJ14" s="4">
        <f t="shared" si="12"/>
        <v>50630.067405442394</v>
      </c>
      <c r="CK14" s="4">
        <f t="shared" si="12"/>
        <v>53161.570775714514</v>
      </c>
      <c r="CL14" s="4">
        <f t="shared" si="12"/>
        <v>55819.649314500239</v>
      </c>
      <c r="CM14" s="4">
        <f t="shared" si="12"/>
        <v>58610.631780225252</v>
      </c>
      <c r="CN14" s="4">
        <f t="shared" si="12"/>
        <v>61541.163369236521</v>
      </c>
      <c r="CO14" s="4">
        <f t="shared" si="12"/>
        <v>64618.221537698351</v>
      </c>
      <c r="CP14" s="4">
        <f t="shared" si="12"/>
        <v>67849.132614583272</v>
      </c>
      <c r="CQ14" s="4">
        <f t="shared" si="12"/>
        <v>71241.58924531244</v>
      </c>
      <c r="CR14" s="4">
        <f t="shared" si="12"/>
        <v>74803.668707578065</v>
      </c>
      <c r="CS14" s="4">
        <f t="shared" si="12"/>
        <v>78543.852142956966</v>
      </c>
      <c r="CT14" s="4">
        <f t="shared" si="12"/>
        <v>82471.044750104818</v>
      </c>
      <c r="CU14" s="4">
        <f t="shared" si="12"/>
        <v>86594.596987610057</v>
      </c>
      <c r="CV14" s="4">
        <f t="shared" si="12"/>
        <v>90924.326836990571</v>
      </c>
      <c r="CW14" s="4">
        <f t="shared" si="12"/>
        <v>95470.543178840104</v>
      </c>
      <c r="CX14" s="4">
        <f t="shared" si="12"/>
        <v>100244.07033778212</v>
      </c>
      <c r="CY14" s="4">
        <f t="shared" si="12"/>
        <v>105256.27385467124</v>
      </c>
      <c r="CZ14" s="4">
        <f t="shared" si="12"/>
        <v>110519.08754740481</v>
      </c>
      <c r="DA14" s="4">
        <f t="shared" si="12"/>
        <v>116045.04192477505</v>
      </c>
      <c r="DB14" s="4">
        <f t="shared" si="12"/>
        <v>121847.29402101382</v>
      </c>
      <c r="DC14" s="4">
        <f t="shared" si="12"/>
        <v>127939.65872206452</v>
      </c>
      <c r="DD14" s="4">
        <f t="shared" si="12"/>
        <v>134336.64165816773</v>
      </c>
      <c r="DE14" s="4">
        <f t="shared" si="12"/>
        <v>141053.47374107613</v>
      </c>
      <c r="DF14" s="4">
        <f t="shared" si="12"/>
        <v>148106.14742812995</v>
      </c>
      <c r="DG14" s="4">
        <f t="shared" si="12"/>
        <v>155511.45479953644</v>
      </c>
      <c r="DH14" s="4">
        <f t="shared" si="12"/>
        <v>163287.02753951328</v>
      </c>
      <c r="DI14" s="4">
        <f t="shared" si="12"/>
        <v>171451.37891648896</v>
      </c>
      <c r="DJ14" s="4">
        <f t="shared" si="12"/>
        <v>180023.94786231342</v>
      </c>
      <c r="DK14" s="4">
        <f t="shared" si="12"/>
        <v>189025.14525542909</v>
      </c>
      <c r="DL14" s="4">
        <f t="shared" si="12"/>
        <v>198476.40251820054</v>
      </c>
      <c r="DM14" s="4">
        <f t="shared" si="12"/>
        <v>208400.22264411059</v>
      </c>
      <c r="DN14" s="4">
        <f t="shared" si="12"/>
        <v>218820.23377631613</v>
      </c>
      <c r="DO14" s="4">
        <f t="shared" si="12"/>
        <v>229761.24546513194</v>
      </c>
      <c r="DP14" s="4">
        <f t="shared" si="12"/>
        <v>241249.30773838854</v>
      </c>
      <c r="DQ14" s="4">
        <f t="shared" si="12"/>
        <v>253311.77312530798</v>
      </c>
      <c r="DR14" s="4">
        <f t="shared" si="12"/>
        <v>265977.36178157339</v>
      </c>
      <c r="DS14" s="4">
        <f t="shared" si="12"/>
        <v>279276.22987065208</v>
      </c>
      <c r="DT14" s="4">
        <f t="shared" si="12"/>
        <v>293240.0413641847</v>
      </c>
      <c r="DU14" s="4">
        <f t="shared" si="12"/>
        <v>307902.04343239393</v>
      </c>
      <c r="DV14" s="4">
        <f t="shared" si="12"/>
        <v>323297.14560401364</v>
      </c>
      <c r="DW14" s="4">
        <f t="shared" si="12"/>
        <v>339462.00288421434</v>
      </c>
      <c r="DX14" s="4">
        <f t="shared" si="12"/>
        <v>356435.10302842507</v>
      </c>
      <c r="DY14" s="4">
        <f t="shared" si="12"/>
        <v>374256.85817984637</v>
      </c>
      <c r="DZ14" s="4">
        <f t="shared" si="12"/>
        <v>392969.70108883869</v>
      </c>
      <c r="EA14" s="4">
        <f t="shared" si="12"/>
        <v>412618.18614328065</v>
      </c>
      <c r="EB14" s="4">
        <f t="shared" si="12"/>
        <v>433249.09545044467</v>
      </c>
      <c r="EC14" s="4">
        <f t="shared" si="12"/>
        <v>454911.55022296694</v>
      </c>
      <c r="ED14" s="4">
        <f t="shared" si="12"/>
        <v>477657.12773411529</v>
      </c>
      <c r="EE14" s="4">
        <f t="shared" si="12"/>
        <v>501539.98412082106</v>
      </c>
      <c r="EF14" s="4">
        <f t="shared" si="12"/>
        <v>526616.9833268621</v>
      </c>
      <c r="EG14" s="4">
        <f t="shared" si="12"/>
        <v>552947.83249320521</v>
      </c>
      <c r="EH14" s="4">
        <f t="shared" si="12"/>
        <v>580595.22411786544</v>
      </c>
      <c r="EI14" s="4">
        <f t="shared" si="12"/>
        <v>609624.98532375868</v>
      </c>
      <c r="EJ14" s="4">
        <f t="shared" si="12"/>
        <v>640106.23458994669</v>
      </c>
      <c r="EK14" s="4">
        <f t="shared" si="12"/>
        <v>672111.54631944408</v>
      </c>
      <c r="EL14" s="4">
        <f t="shared" si="12"/>
        <v>705717.12363541627</v>
      </c>
      <c r="EM14" s="4">
        <f t="shared" si="12"/>
        <v>741002.97981718706</v>
      </c>
      <c r="EN14" s="4">
        <f t="shared" si="12"/>
        <v>778053.12880804646</v>
      </c>
      <c r="EO14" s="4">
        <f t="shared" si="12"/>
        <v>816955.78524844884</v>
      </c>
      <c r="EP14" s="4">
        <f t="shared" si="12"/>
        <v>857803.57451087132</v>
      </c>
      <c r="EQ14" s="4">
        <f t="shared" si="12"/>
        <v>900693.75323641486</v>
      </c>
      <c r="ER14" s="4">
        <f t="shared" si="12"/>
        <v>945728.44089823565</v>
      </c>
    </row>
    <row r="15" spans="1:148" s="4" customFormat="1" x14ac:dyDescent="0.25"/>
    <row r="16" spans="1:148" s="4" customFormat="1" x14ac:dyDescent="0.25"/>
    <row r="17" spans="1:2" s="4" customFormat="1" x14ac:dyDescent="0.25"/>
    <row r="18" spans="1:2" s="4" customFormat="1" x14ac:dyDescent="0.25">
      <c r="A18" s="4" t="s">
        <v>9</v>
      </c>
      <c r="B18" s="2">
        <v>0.08</v>
      </c>
    </row>
    <row r="19" spans="1:2" s="4" customFormat="1" x14ac:dyDescent="0.25">
      <c r="A19" s="4" t="s">
        <v>10</v>
      </c>
      <c r="B19" s="2">
        <v>0.05</v>
      </c>
    </row>
    <row r="20" spans="1:2" s="4" customFormat="1" x14ac:dyDescent="0.25">
      <c r="A20" s="4" t="s">
        <v>11</v>
      </c>
      <c r="B20" s="4">
        <f>NPV(B18,B14:ES14)</f>
        <v>18820.762456105811</v>
      </c>
    </row>
    <row r="21" spans="1:2" s="4" customFormat="1" x14ac:dyDescent="0.25"/>
    <row r="22" spans="1:2" s="4" customFormat="1" x14ac:dyDescent="0.25"/>
    <row r="23" spans="1:2" s="4" customFormat="1" x14ac:dyDescent="0.25"/>
    <row r="24" spans="1:2" s="4" customFormat="1" x14ac:dyDescent="0.25"/>
    <row r="25" spans="1:2" s="4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2026-01-18T17:25:51Z</dcterms:created>
  <dcterms:modified xsi:type="dcterms:W3CDTF">2026-01-22T13:06:22Z</dcterms:modified>
</cp:coreProperties>
</file>