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05217959-0588-4B5F-AC0D-845CB40BB378}" xr6:coauthVersionLast="47" xr6:coauthVersionMax="47" xr10:uidLastSave="{00000000-0000-0000-0000-000000000000}"/>
  <bookViews>
    <workbookView xWindow="-120" yWindow="-120" windowWidth="29040" windowHeight="15840" activeTab="1" xr2:uid="{0D2D1B40-2BD3-482C-A70D-D929045688C2}"/>
  </bookViews>
  <sheets>
    <sheet name="Main" sheetId="2" r:id="rId1"/>
    <sheet name="Model" sheetId="1" r:id="rId2"/>
    <sheet name="R&amp;D Spen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1" l="1"/>
  <c r="K32" i="1"/>
  <c r="H19" i="1"/>
  <c r="H32" i="1"/>
  <c r="G31" i="1"/>
  <c r="G34" i="1"/>
  <c r="E71" i="1"/>
  <c r="F71" i="1"/>
  <c r="G71" i="1"/>
  <c r="D71" i="1"/>
  <c r="G69" i="1"/>
  <c r="F69" i="1"/>
  <c r="E69" i="1"/>
  <c r="D69" i="1"/>
  <c r="I32" i="1"/>
  <c r="J32" i="1"/>
  <c r="G32" i="1"/>
  <c r="F32" i="1"/>
  <c r="G26" i="1"/>
  <c r="G27" i="1" s="1"/>
  <c r="F25" i="1"/>
  <c r="H18" i="3"/>
  <c r="H17" i="3"/>
  <c r="H19" i="3" s="1"/>
  <c r="H7" i="3"/>
  <c r="H8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4" i="3"/>
  <c r="F18" i="1"/>
  <c r="G18" i="1" s="1"/>
  <c r="F17" i="1"/>
  <c r="G17" i="1" s="1"/>
  <c r="G14" i="1"/>
  <c r="G15" i="1" s="1"/>
  <c r="F14" i="1"/>
  <c r="F15" i="1" s="1"/>
  <c r="E15" i="1"/>
  <c r="D15" i="1"/>
  <c r="F16" i="1" l="1"/>
  <c r="H11" i="3" s="1"/>
  <c r="G16" i="1"/>
  <c r="G19" i="1" l="1"/>
  <c r="G20" i="1" s="1"/>
  <c r="H16" i="1"/>
  <c r="H4" i="3"/>
  <c r="H6" i="3" s="1"/>
  <c r="H12" i="3" s="1"/>
  <c r="H13" i="3" s="1"/>
  <c r="I16" i="1" l="1"/>
  <c r="H20" i="1"/>
  <c r="H14" i="3"/>
  <c r="F19" i="1"/>
  <c r="J16" i="1" l="1"/>
  <c r="I19" i="1"/>
  <c r="I20" i="1" s="1"/>
  <c r="K16" i="1" l="1"/>
  <c r="J19" i="1"/>
  <c r="J20" i="1" s="1"/>
  <c r="L16" i="1" l="1"/>
  <c r="K19" i="1"/>
  <c r="M16" i="1" l="1"/>
  <c r="L19" i="1"/>
  <c r="D4" i="2"/>
  <c r="D5" i="2" s="1"/>
  <c r="G58" i="1"/>
  <c r="G5" i="1"/>
  <c r="G6" i="1" s="1"/>
  <c r="G10" i="1"/>
  <c r="G8" i="1"/>
  <c r="F29" i="1"/>
  <c r="H4" i="1"/>
  <c r="I4" i="1" s="1"/>
  <c r="J4" i="1" s="1"/>
  <c r="K4" i="1" s="1"/>
  <c r="L4" i="1" s="1"/>
  <c r="M4" i="1" s="1"/>
  <c r="N4" i="1" s="1"/>
  <c r="O4" i="1" s="1"/>
  <c r="P4" i="1" s="1"/>
  <c r="Q4" i="1" s="1"/>
  <c r="Q5" i="1" s="1"/>
  <c r="G30" i="1"/>
  <c r="I38" i="1"/>
  <c r="J38" i="1"/>
  <c r="H38" i="1"/>
  <c r="I36" i="1"/>
  <c r="I37" i="1" s="1"/>
  <c r="I51" i="1" s="1"/>
  <c r="J36" i="1"/>
  <c r="J37" i="1" s="1"/>
  <c r="J51" i="1" s="1"/>
  <c r="H36" i="1"/>
  <c r="H37" i="1" s="1"/>
  <c r="H51" i="1" s="1"/>
  <c r="G36" i="1"/>
  <c r="I41" i="1"/>
  <c r="J41" i="1"/>
  <c r="H41" i="1"/>
  <c r="G41" i="1"/>
  <c r="G39" i="1"/>
  <c r="G38" i="1"/>
  <c r="T56" i="1"/>
  <c r="D6" i="2" s="1"/>
  <c r="H54" i="1"/>
  <c r="I54" i="1"/>
  <c r="J54" i="1"/>
  <c r="G54" i="1"/>
  <c r="G44" i="1"/>
  <c r="G35" i="1"/>
  <c r="D63" i="1"/>
  <c r="E63" i="1"/>
  <c r="F63" i="1"/>
  <c r="E54" i="1"/>
  <c r="F54" i="1"/>
  <c r="F58" i="1"/>
  <c r="E58" i="1"/>
  <c r="D58" i="1"/>
  <c r="F35" i="1"/>
  <c r="F37" i="1" s="1"/>
  <c r="F42" i="1" s="1"/>
  <c r="F45" i="1" s="1"/>
  <c r="F47" i="1" s="1"/>
  <c r="F53" i="1" s="1"/>
  <c r="E35" i="1"/>
  <c r="E37" i="1" s="1"/>
  <c r="E42" i="1" s="1"/>
  <c r="E45" i="1" s="1"/>
  <c r="E47" i="1" s="1"/>
  <c r="E53" i="1" s="1"/>
  <c r="D35" i="1"/>
  <c r="D2" i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L32" i="1" l="1"/>
  <c r="L34" i="1" s="1"/>
  <c r="K20" i="1"/>
  <c r="F30" i="1"/>
  <c r="F31" i="1" s="1"/>
  <c r="F26" i="1"/>
  <c r="F27" i="1" s="1"/>
  <c r="F20" i="1" s="1"/>
  <c r="N16" i="1"/>
  <c r="M19" i="1"/>
  <c r="D7" i="2"/>
  <c r="D9" i="2" s="1"/>
  <c r="D10" i="2" s="1"/>
  <c r="G9" i="1"/>
  <c r="G11" i="1" s="1"/>
  <c r="P5" i="1"/>
  <c r="P6" i="1" s="1"/>
  <c r="N5" i="1"/>
  <c r="N6" i="1" s="1"/>
  <c r="M5" i="1"/>
  <c r="M6" i="1" s="1"/>
  <c r="O5" i="1"/>
  <c r="O6" i="1" s="1"/>
  <c r="I5" i="1"/>
  <c r="I6" i="1" s="1"/>
  <c r="H5" i="1"/>
  <c r="H6" i="1" s="1"/>
  <c r="Q6" i="1"/>
  <c r="L5" i="1"/>
  <c r="L6" i="1" s="1"/>
  <c r="K5" i="1"/>
  <c r="K6" i="1" s="1"/>
  <c r="J5" i="1"/>
  <c r="J6" i="1" s="1"/>
  <c r="G37" i="1"/>
  <c r="F48" i="1"/>
  <c r="E48" i="1"/>
  <c r="H39" i="1"/>
  <c r="H42" i="1" s="1"/>
  <c r="J39" i="1"/>
  <c r="J42" i="1" s="1"/>
  <c r="I39" i="1"/>
  <c r="I42" i="1" s="1"/>
  <c r="E52" i="1"/>
  <c r="F51" i="1"/>
  <c r="D37" i="1"/>
  <c r="F52" i="1"/>
  <c r="E51" i="1"/>
  <c r="M32" i="1" l="1"/>
  <c r="M34" i="1" s="1"/>
  <c r="M38" i="1" s="1"/>
  <c r="L20" i="1"/>
  <c r="O16" i="1"/>
  <c r="N19" i="1"/>
  <c r="G42" i="1"/>
  <c r="G52" i="1" s="1"/>
  <c r="D51" i="1"/>
  <c r="G51" i="1"/>
  <c r="M41" i="1"/>
  <c r="M36" i="1"/>
  <c r="M37" i="1" s="1"/>
  <c r="M51" i="1" s="1"/>
  <c r="G45" i="1"/>
  <c r="J45" i="1"/>
  <c r="J52" i="1"/>
  <c r="I45" i="1"/>
  <c r="I52" i="1"/>
  <c r="H45" i="1"/>
  <c r="H52" i="1"/>
  <c r="D42" i="1"/>
  <c r="N32" i="1" l="1"/>
  <c r="N34" i="1" s="1"/>
  <c r="N38" i="1" s="1"/>
  <c r="M20" i="1"/>
  <c r="P16" i="1"/>
  <c r="O19" i="1"/>
  <c r="N41" i="1"/>
  <c r="N36" i="1"/>
  <c r="N37" i="1" s="1"/>
  <c r="N51" i="1" s="1"/>
  <c r="G46" i="1"/>
  <c r="G47" i="1" s="1"/>
  <c r="G53" i="1" s="1"/>
  <c r="H46" i="1"/>
  <c r="H47" i="1" s="1"/>
  <c r="H48" i="1" s="1"/>
  <c r="J46" i="1"/>
  <c r="J47" i="1" s="1"/>
  <c r="N54" i="1"/>
  <c r="I46" i="1"/>
  <c r="I47" i="1" s="1"/>
  <c r="D45" i="1"/>
  <c r="D47" i="1" s="1"/>
  <c r="D52" i="1"/>
  <c r="O32" i="1" l="1"/>
  <c r="O34" i="1" s="1"/>
  <c r="O38" i="1" s="1"/>
  <c r="N20" i="1"/>
  <c r="Q16" i="1"/>
  <c r="Q19" i="1" s="1"/>
  <c r="P19" i="1"/>
  <c r="D53" i="1"/>
  <c r="D48" i="1"/>
  <c r="O41" i="1"/>
  <c r="O36" i="1"/>
  <c r="O37" i="1" s="1"/>
  <c r="O51" i="1" s="1"/>
  <c r="G48" i="1"/>
  <c r="J53" i="1"/>
  <c r="J48" i="1"/>
  <c r="I53" i="1"/>
  <c r="I48" i="1"/>
  <c r="H53" i="1"/>
  <c r="O54" i="1"/>
  <c r="M39" i="1"/>
  <c r="M42" i="1" s="1"/>
  <c r="Q32" i="1" l="1"/>
  <c r="Q34" i="1" s="1"/>
  <c r="Q38" i="1" s="1"/>
  <c r="P32" i="1"/>
  <c r="P34" i="1" s="1"/>
  <c r="P38" i="1" s="1"/>
  <c r="O20" i="1"/>
  <c r="P41" i="1"/>
  <c r="P36" i="1"/>
  <c r="P37" i="1" s="1"/>
  <c r="P51" i="1" s="1"/>
  <c r="M45" i="1"/>
  <c r="M52" i="1"/>
  <c r="P54" i="1"/>
  <c r="N39" i="1"/>
  <c r="N42" i="1" s="1"/>
  <c r="P20" i="1" l="1"/>
  <c r="Q20" i="1"/>
  <c r="Q36" i="1"/>
  <c r="Q37" i="1" s="1"/>
  <c r="Q51" i="1" s="1"/>
  <c r="Q41" i="1"/>
  <c r="Q54" i="1"/>
  <c r="N45" i="1"/>
  <c r="N52" i="1"/>
  <c r="M46" i="1"/>
  <c r="M47" i="1" s="1"/>
  <c r="O39" i="1"/>
  <c r="O42" i="1" s="1"/>
  <c r="M53" i="1" l="1"/>
  <c r="M48" i="1"/>
  <c r="O45" i="1"/>
  <c r="O52" i="1"/>
  <c r="N46" i="1"/>
  <c r="N47" i="1" s="1"/>
  <c r="P39" i="1"/>
  <c r="P42" i="1" s="1"/>
  <c r="N53" i="1" l="1"/>
  <c r="N48" i="1"/>
  <c r="P45" i="1"/>
  <c r="P52" i="1"/>
  <c r="O46" i="1"/>
  <c r="O47" i="1" s="1"/>
  <c r="O48" i="1" s="1"/>
  <c r="Q39" i="1"/>
  <c r="Q42" i="1" s="1"/>
  <c r="O53" i="1" l="1"/>
  <c r="Q45" i="1"/>
  <c r="Q52" i="1"/>
  <c r="P46" i="1"/>
  <c r="P47" i="1" s="1"/>
  <c r="P53" i="1" l="1"/>
  <c r="P48" i="1"/>
  <c r="Q46" i="1"/>
  <c r="Q47" i="1" s="1"/>
  <c r="Q48" i="1" s="1"/>
  <c r="Q53" i="1" l="1"/>
  <c r="R47" i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BM47" i="1" s="1"/>
  <c r="BN47" i="1" s="1"/>
  <c r="BO47" i="1" s="1"/>
  <c r="BP47" i="1" s="1"/>
  <c r="BQ47" i="1" s="1"/>
  <c r="BR47" i="1" s="1"/>
  <c r="BS47" i="1" s="1"/>
  <c r="BT47" i="1" s="1"/>
  <c r="BU47" i="1" s="1"/>
  <c r="BV47" i="1" s="1"/>
  <c r="BW47" i="1" s="1"/>
  <c r="BX47" i="1" s="1"/>
  <c r="BY47" i="1" s="1"/>
  <c r="BZ47" i="1" s="1"/>
  <c r="CA47" i="1" s="1"/>
  <c r="CB47" i="1" s="1"/>
  <c r="CC47" i="1" s="1"/>
  <c r="CD47" i="1" s="1"/>
  <c r="CE47" i="1" s="1"/>
  <c r="CF47" i="1" s="1"/>
  <c r="CG47" i="1" s="1"/>
  <c r="CH47" i="1" s="1"/>
  <c r="CI47" i="1" s="1"/>
  <c r="CJ47" i="1" s="1"/>
  <c r="CK47" i="1" s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DC47" i="1" s="1"/>
  <c r="DD47" i="1" s="1"/>
  <c r="DE47" i="1" s="1"/>
  <c r="K38" i="1"/>
  <c r="K39" i="1" s="1"/>
  <c r="K41" i="1"/>
  <c r="K36" i="1"/>
  <c r="K37" i="1" s="1"/>
  <c r="K54" i="1"/>
  <c r="K42" i="1" l="1"/>
  <c r="K51" i="1"/>
  <c r="K52" i="1" l="1"/>
  <c r="K45" i="1"/>
  <c r="K46" i="1" l="1"/>
  <c r="K47" i="1" s="1"/>
  <c r="K53" i="1" l="1"/>
  <c r="K48" i="1"/>
  <c r="L38" i="1"/>
  <c r="L39" i="1" s="1"/>
  <c r="L54" i="1" l="1"/>
  <c r="L41" i="1"/>
  <c r="L36" i="1"/>
  <c r="L37" i="1" s="1"/>
  <c r="M54" i="1"/>
  <c r="L42" i="1" l="1"/>
  <c r="L51" i="1"/>
  <c r="L52" i="1" l="1"/>
  <c r="L45" i="1"/>
  <c r="L46" i="1" l="1"/>
  <c r="L47" i="1" s="1"/>
  <c r="L53" i="1" l="1"/>
  <c r="T55" i="1"/>
  <c r="T57" i="1" s="1"/>
  <c r="T58" i="1" s="1"/>
  <c r="L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14" authorId="0" shapeId="0" xr:uid="{8986187F-FE65-4109-90D6-A2DE2589DA98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https://www.destatis.de/DE/Themen/Gesellschaft-Umwelt/Bildung-Forschung-Kultur/Forschung-Entwicklung/Tabellen/forschung-entwicklung-sektoren.html</t>
        </r>
      </text>
    </comment>
  </commentList>
</comments>
</file>

<file path=xl/sharedStrings.xml><?xml version="1.0" encoding="utf-8"?>
<sst xmlns="http://schemas.openxmlformats.org/spreadsheetml/2006/main" count="208" uniqueCount="198">
  <si>
    <t>Revenue</t>
  </si>
  <si>
    <t>Other Income</t>
  </si>
  <si>
    <t>COGS</t>
  </si>
  <si>
    <t>Gross Profit</t>
  </si>
  <si>
    <t>Gehälter</t>
  </si>
  <si>
    <t>Lohnnebenkosten</t>
  </si>
  <si>
    <t>D&amp;A</t>
  </si>
  <si>
    <t>Other Expenses</t>
  </si>
  <si>
    <t>Interest Income</t>
  </si>
  <si>
    <t>EBIT</t>
  </si>
  <si>
    <t>Interest Expenses</t>
  </si>
  <si>
    <t>Pretax</t>
  </si>
  <si>
    <t>Taxes</t>
  </si>
  <si>
    <t>Net Income</t>
  </si>
  <si>
    <t>Gross Margin</t>
  </si>
  <si>
    <t>EBIT Margin</t>
  </si>
  <si>
    <t>Net Margin</t>
  </si>
  <si>
    <t>CFFO</t>
  </si>
  <si>
    <t>CapEx</t>
  </si>
  <si>
    <t>FCF</t>
  </si>
  <si>
    <t>Revenue Y/Y</t>
  </si>
  <si>
    <t>Receivables</t>
  </si>
  <si>
    <t>Cash</t>
  </si>
  <si>
    <t>Debt</t>
  </si>
  <si>
    <t>Net Debt</t>
  </si>
  <si>
    <t>Discount</t>
  </si>
  <si>
    <t>Terminal</t>
  </si>
  <si>
    <t>NPV</t>
  </si>
  <si>
    <t>Net Cash</t>
  </si>
  <si>
    <t>Value</t>
  </si>
  <si>
    <t>Shares</t>
  </si>
  <si>
    <t>Price</t>
  </si>
  <si>
    <t>EPS</t>
  </si>
  <si>
    <t>Revenue/Kunde</t>
  </si>
  <si>
    <t>Zahlende Kunden</t>
  </si>
  <si>
    <t>Marktanteil</t>
  </si>
  <si>
    <t>TAM</t>
  </si>
  <si>
    <t>R&amp;D Companies DE</t>
  </si>
  <si>
    <t>Gesamt ex kleinst</t>
  </si>
  <si>
    <t>&gt;75 in R&amp;D employed</t>
  </si>
  <si>
    <t>&lt;25</t>
  </si>
  <si>
    <t>25-75</t>
  </si>
  <si>
    <t>&lt;50 Mitarbeiter</t>
  </si>
  <si>
    <t>50-250</t>
  </si>
  <si>
    <t>&gt;250</t>
  </si>
  <si>
    <t>S&amp;M</t>
  </si>
  <si>
    <t>R&amp;D</t>
  </si>
  <si>
    <t>G&amp;A</t>
  </si>
  <si>
    <t>MC</t>
  </si>
  <si>
    <t>EV</t>
  </si>
  <si>
    <t>EV/FCF</t>
  </si>
  <si>
    <t>FCF Yield</t>
  </si>
  <si>
    <t>R&amp;D/Kunde</t>
  </si>
  <si>
    <t>Total R&amp;D spent DE</t>
  </si>
  <si>
    <t>bn</t>
  </si>
  <si>
    <t>GDP Germany</t>
  </si>
  <si>
    <t>mn</t>
  </si>
  <si>
    <t>% of GDP</t>
  </si>
  <si>
    <t>Wirtchaft</t>
  </si>
  <si>
    <t>Hochschulen</t>
  </si>
  <si>
    <t>Staat</t>
  </si>
  <si>
    <t>Total R&amp;D</t>
  </si>
  <si>
    <t>Innoscripta takes a commission of R&amp;D Tax credit received</t>
  </si>
  <si>
    <t>I gues ist between 5-8%</t>
  </si>
  <si>
    <t>I would take 5% as an estimate as this is a nice number</t>
  </si>
  <si>
    <t>SaaS does not have that much of a moat itself.</t>
  </si>
  <si>
    <t>Focus on enterprise customers with their sales team</t>
  </si>
  <si>
    <t>1INN Share</t>
  </si>
  <si>
    <t>VW</t>
  </si>
  <si>
    <t>MBG</t>
  </si>
  <si>
    <t>Bosch</t>
  </si>
  <si>
    <t>BMW</t>
  </si>
  <si>
    <t>Bayer</t>
  </si>
  <si>
    <t>SAP</t>
  </si>
  <si>
    <t>Siemens</t>
  </si>
  <si>
    <t>Boehringer</t>
  </si>
  <si>
    <t>Continental</t>
  </si>
  <si>
    <t>ZF</t>
  </si>
  <si>
    <t>Merck</t>
  </si>
  <si>
    <t>Infineon</t>
  </si>
  <si>
    <t>BASF</t>
  </si>
  <si>
    <t>Daimler Trucks</t>
  </si>
  <si>
    <t>Biontech</t>
  </si>
  <si>
    <t>Carl Zeiss</t>
  </si>
  <si>
    <t>Deutsche Bank</t>
  </si>
  <si>
    <t>Siemens Energy</t>
  </si>
  <si>
    <t xml:space="preserve">Hella </t>
  </si>
  <si>
    <t>Vitesco</t>
  </si>
  <si>
    <t>Schaeffler</t>
  </si>
  <si>
    <t>Deutsche Telekom</t>
  </si>
  <si>
    <t>Mahle</t>
  </si>
  <si>
    <t>Fesnius</t>
  </si>
  <si>
    <t>Henkel</t>
  </si>
  <si>
    <t>Knorr Bremse</t>
  </si>
  <si>
    <t>Delivery Hero</t>
  </si>
  <si>
    <t>Freudenberg</t>
  </si>
  <si>
    <t>Braun</t>
  </si>
  <si>
    <t xml:space="preserve">Trumpf </t>
  </si>
  <si>
    <t>Evonik</t>
  </si>
  <si>
    <t>Commerzbank</t>
  </si>
  <si>
    <t>Covestro</t>
  </si>
  <si>
    <t>Kion</t>
  </si>
  <si>
    <t>Diehl</t>
  </si>
  <si>
    <t>Deutsche Börse</t>
  </si>
  <si>
    <t>Beiersdorf</t>
  </si>
  <si>
    <t>Dragerwerk</t>
  </si>
  <si>
    <t>KWS Saat</t>
  </si>
  <si>
    <t>Claas</t>
  </si>
  <si>
    <t>DB</t>
  </si>
  <si>
    <t>THM</t>
  </si>
  <si>
    <t>Morphosys</t>
  </si>
  <si>
    <t>Sick</t>
  </si>
  <si>
    <t>Saftorius</t>
  </si>
  <si>
    <t>TKA</t>
  </si>
  <si>
    <t xml:space="preserve">Compugroup </t>
  </si>
  <si>
    <t>Symrise</t>
  </si>
  <si>
    <t>Gruenthal</t>
  </si>
  <si>
    <t>Pheonix Contact</t>
  </si>
  <si>
    <t>Webasto</t>
  </si>
  <si>
    <t>Merz Pharma</t>
  </si>
  <si>
    <t>Nemtschek</t>
  </si>
  <si>
    <t>G+D</t>
  </si>
  <si>
    <t>Atlana</t>
  </si>
  <si>
    <t>Software</t>
  </si>
  <si>
    <t>Krones</t>
  </si>
  <si>
    <t>Vaillant</t>
  </si>
  <si>
    <t xml:space="preserve">MTU Aero </t>
  </si>
  <si>
    <t>Wacker</t>
  </si>
  <si>
    <t>Duerr</t>
  </si>
  <si>
    <t>Metro</t>
  </si>
  <si>
    <t>Adidas</t>
  </si>
  <si>
    <t>Heraeus</t>
  </si>
  <si>
    <t>Voith</t>
  </si>
  <si>
    <t>Koerhber</t>
  </si>
  <si>
    <t>Heidelberg Mat</t>
  </si>
  <si>
    <t>GEA</t>
  </si>
  <si>
    <t>Jungheinrich</t>
  </si>
  <si>
    <t>EON</t>
  </si>
  <si>
    <t>Karl Storz</t>
  </si>
  <si>
    <t>Rewe Zentralfinanz</t>
  </si>
  <si>
    <t>Adva</t>
  </si>
  <si>
    <t>Nidda German</t>
  </si>
  <si>
    <t>Hager</t>
  </si>
  <si>
    <t>SMA Solar Tech</t>
  </si>
  <si>
    <t>Heideldruck</t>
  </si>
  <si>
    <t>Mann + Hummel</t>
  </si>
  <si>
    <t>Schott</t>
  </si>
  <si>
    <t>Lanxess</t>
  </si>
  <si>
    <t>Deutz</t>
  </si>
  <si>
    <t>Hensoldt</t>
  </si>
  <si>
    <t>Erlingklinger</t>
  </si>
  <si>
    <t>DMG</t>
  </si>
  <si>
    <t>New Work</t>
  </si>
  <si>
    <t>Puma</t>
  </si>
  <si>
    <t>HUF</t>
  </si>
  <si>
    <t>Grammer</t>
  </si>
  <si>
    <t>Hugo Boss</t>
  </si>
  <si>
    <t>Siltronix</t>
  </si>
  <si>
    <t>Paul Hartmann</t>
  </si>
  <si>
    <t>Cellcentric</t>
  </si>
  <si>
    <t>Nordex</t>
  </si>
  <si>
    <t>Aixtrom</t>
  </si>
  <si>
    <t>Brainlab</t>
  </si>
  <si>
    <t>Teamviewer</t>
  </si>
  <si>
    <t>Wilo</t>
  </si>
  <si>
    <t>Salzgitter</t>
  </si>
  <si>
    <t>Elmos</t>
  </si>
  <si>
    <t>Zalando</t>
  </si>
  <si>
    <t>Eberspacher</t>
  </si>
  <si>
    <t>Aareal bank</t>
  </si>
  <si>
    <t>Eppendorf</t>
  </si>
  <si>
    <t>König &amp; Bauer</t>
  </si>
  <si>
    <t>ENBW</t>
  </si>
  <si>
    <t>DE Share</t>
  </si>
  <si>
    <t>DE Spent</t>
  </si>
  <si>
    <t>Total</t>
  </si>
  <si>
    <t>Bucket A</t>
  </si>
  <si>
    <t>Bucket B</t>
  </si>
  <si>
    <t>Bucket C</t>
  </si>
  <si>
    <t>Companies that are to big</t>
  </si>
  <si>
    <t>Companies that would use Clusterix for their software and not primarily to get tax credits</t>
  </si>
  <si>
    <t>Companies that would use Clusterix for tax credits</t>
  </si>
  <si>
    <t>in 2024</t>
  </si>
  <si>
    <t>w/o A &amp; B</t>
  </si>
  <si>
    <t>Bucket D</t>
  </si>
  <si>
    <t>C+D</t>
  </si>
  <si>
    <t>C+D alleg.</t>
  </si>
  <si>
    <t>Alleg.</t>
  </si>
  <si>
    <t>Credit all.</t>
  </si>
  <si>
    <t>C+D non</t>
  </si>
  <si>
    <t>approx. 323 companies. Avg R&amp;D Spent estimated</t>
  </si>
  <si>
    <t>Share</t>
  </si>
  <si>
    <t>Credit Allegible</t>
  </si>
  <si>
    <t>1052 companies in germany with &gt;5M R&amp;D Spent</t>
  </si>
  <si>
    <t>SME</t>
  </si>
  <si>
    <t>As % of Customer</t>
  </si>
  <si>
    <t>Credit Ratio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</si>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</sst>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164" fontId="0" fillId="0" borderId="0" xfId="0" applyNumberFormat="1"/>
    <xf numFmtId="3" fontId="0" fillId="0" borderId="0" xfId="1" applyNumberFormat="1" applyFont="1"/>
    <xf numFmtId="164" fontId="0" fillId="0" borderId="0" xfId="1" applyNumberFormat="1" applyFont="1"/>
    <xf numFmtId="2" fontId="0" fillId="0" borderId="0" xfId="0" applyNumberFormat="1"/>
    <xf numFmtId="165" fontId="0" fillId="0" borderId="0" xfId="1" applyNumberFormat="1" applyFont="1"/>
    <xf numFmtId="3" fontId="5" fillId="0" borderId="0" xfId="0" applyNumberFormat="1" applyFont="1"/>
    <xf numFmtId="9" fontId="5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130969</xdr:rowOff>
    </xdr:from>
    <xdr:to>
      <xdr:col>6</xdr:col>
      <xdr:colOff>1</xdr:colOff>
      <xdr:row>66</xdr:row>
      <xdr:rowOff>41671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AE6BCC0-113C-7F10-4C8A-210015BB3EF7}"/>
            </a:ext>
          </a:extLst>
        </xdr:cNvPr>
        <xdr:cNvCxnSpPr/>
      </xdr:nvCxnSpPr>
      <xdr:spPr>
        <a:xfrm>
          <a:off x="3804047" y="2226469"/>
          <a:ext cx="1" cy="1057870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1ED3-F383-4DFE-9D57-C406422333C1}">
  <dimension ref="C3:G10"/>
  <sheetViews>
    <sheetView zoomScale="175" zoomScaleNormal="175" workbookViewId="0">
      <selection activeCell="E9" sqref="E9"/>
    </sheetView>
  </sheetViews>
  <sheetFormatPr defaultRowHeight="15" x14ac:dyDescent="0.25"/>
  <sheetData>
    <row r="3" spans="3:7" x14ac:dyDescent="0.25">
      <c r="C3" t="s">
        <v>31</v>
      </c>
      <c r="D3">
        <v>78</v>
      </c>
      <c r="G3" t="s">
        <v>62</v>
      </c>
    </row>
    <row r="4" spans="3:7" x14ac:dyDescent="0.25">
      <c r="C4" t="s">
        <v>30</v>
      </c>
      <c r="D4" s="1">
        <f>+Model!Q49</f>
        <v>10000</v>
      </c>
      <c r="G4" t="s">
        <v>63</v>
      </c>
    </row>
    <row r="5" spans="3:7" x14ac:dyDescent="0.25">
      <c r="C5" t="s">
        <v>48</v>
      </c>
      <c r="D5" s="1">
        <f>+D3*D4</f>
        <v>780000</v>
      </c>
      <c r="G5" t="s">
        <v>64</v>
      </c>
    </row>
    <row r="6" spans="3:7" x14ac:dyDescent="0.25">
      <c r="C6" t="s">
        <v>28</v>
      </c>
      <c r="D6" s="1">
        <f>+Model!T56</f>
        <v>17386</v>
      </c>
      <c r="G6" t="s">
        <v>65</v>
      </c>
    </row>
    <row r="7" spans="3:7" x14ac:dyDescent="0.25">
      <c r="C7" t="s">
        <v>49</v>
      </c>
      <c r="D7" s="1">
        <f>+D5+D6</f>
        <v>797386</v>
      </c>
      <c r="G7" t="s">
        <v>66</v>
      </c>
    </row>
    <row r="9" spans="3:7" x14ac:dyDescent="0.25">
      <c r="C9" t="s">
        <v>50</v>
      </c>
      <c r="D9" s="8">
        <f>+D7/Model!G58</f>
        <v>19.543774509803921</v>
      </c>
    </row>
    <row r="10" spans="3:7" x14ac:dyDescent="0.25">
      <c r="C10" t="s">
        <v>51</v>
      </c>
      <c r="D10" s="9">
        <f>1/D9</f>
        <v>5.1167188789369267E-2</v>
      </c>
      <c r="G10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25A5-A9CD-4AA3-A273-6416E90DAAF8}">
  <dimension ref="A2:DE116"/>
  <sheetViews>
    <sheetView tabSelected="1" zoomScale="160" zoomScaleNormal="160" workbookViewId="0">
      <pane xSplit="2" ySplit="2" topLeftCell="G42" activePane="bottomRight" state="frozen"/>
      <selection pane="topRight" activeCell="C1" sqref="C1"/>
      <selection pane="bottomLeft" activeCell="A3" sqref="A3"/>
      <selection pane="bottomRight" activeCell="U57" sqref="U57"/>
    </sheetView>
  </sheetViews>
  <sheetFormatPr defaultRowHeight="15" x14ac:dyDescent="0.25"/>
  <cols>
    <col min="1" max="1" width="3.28515625" customWidth="1"/>
    <col min="2" max="2" width="17.28515625" bestFit="1" customWidth="1"/>
  </cols>
  <sheetData>
    <row r="2" spans="1:17" x14ac:dyDescent="0.25">
      <c r="D2">
        <f>+E2-1</f>
        <v>2022</v>
      </c>
      <c r="E2">
        <v>2023</v>
      </c>
      <c r="F2">
        <f>+E2+1</f>
        <v>2024</v>
      </c>
      <c r="G2">
        <f>+F2+1</f>
        <v>2025</v>
      </c>
      <c r="H2">
        <f>+G2+1</f>
        <v>2026</v>
      </c>
      <c r="I2">
        <f t="shared" ref="I2:Q2" si="0">+H2+1</f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1:17" s="1" customFormat="1" x14ac:dyDescent="0.25"/>
    <row r="4" spans="1:17" s="1" customFormat="1" x14ac:dyDescent="0.25">
      <c r="B4" s="1" t="s">
        <v>37</v>
      </c>
      <c r="G4" s="1">
        <v>43000</v>
      </c>
      <c r="H4" s="1">
        <f>+G4*1.03</f>
        <v>44290</v>
      </c>
      <c r="I4" s="1">
        <f t="shared" ref="I4:Q4" si="1">+H4*1.03</f>
        <v>45618.700000000004</v>
      </c>
      <c r="J4" s="1">
        <f t="shared" si="1"/>
        <v>46987.261000000006</v>
      </c>
      <c r="K4" s="1">
        <f t="shared" si="1"/>
        <v>48396.878830000009</v>
      </c>
      <c r="L4" s="1">
        <f t="shared" si="1"/>
        <v>49848.785194900011</v>
      </c>
      <c r="M4" s="1">
        <f t="shared" si="1"/>
        <v>51344.248750747014</v>
      </c>
      <c r="N4" s="1">
        <f t="shared" si="1"/>
        <v>52884.576213269429</v>
      </c>
      <c r="O4" s="1">
        <f t="shared" si="1"/>
        <v>54471.11349966751</v>
      </c>
      <c r="P4" s="1">
        <f t="shared" si="1"/>
        <v>56105.246904657535</v>
      </c>
      <c r="Q4" s="1">
        <f t="shared" si="1"/>
        <v>57788.404311797261</v>
      </c>
    </row>
    <row r="5" spans="1:17" s="1" customFormat="1" x14ac:dyDescent="0.25">
      <c r="B5" s="1" t="s">
        <v>36</v>
      </c>
      <c r="G5" s="1">
        <f>+G4*0.9</f>
        <v>38700</v>
      </c>
      <c r="H5" s="1">
        <f t="shared" ref="H5:Q5" si="2">+H4*0.9</f>
        <v>39861</v>
      </c>
      <c r="I5" s="1">
        <f t="shared" si="2"/>
        <v>41056.83</v>
      </c>
      <c r="J5" s="1">
        <f t="shared" si="2"/>
        <v>42288.534900000006</v>
      </c>
      <c r="K5" s="1">
        <f t="shared" si="2"/>
        <v>43557.19094700001</v>
      </c>
      <c r="L5" s="1">
        <f t="shared" si="2"/>
        <v>44863.906675410013</v>
      </c>
      <c r="M5" s="1">
        <f t="shared" si="2"/>
        <v>46209.823875672315</v>
      </c>
      <c r="N5" s="1">
        <f t="shared" si="2"/>
        <v>47596.11859194249</v>
      </c>
      <c r="O5" s="1">
        <f t="shared" si="2"/>
        <v>49024.002149700762</v>
      </c>
      <c r="P5" s="1">
        <f t="shared" si="2"/>
        <v>50494.722214191781</v>
      </c>
      <c r="Q5" s="1">
        <f t="shared" si="2"/>
        <v>52009.563880617534</v>
      </c>
    </row>
    <row r="6" spans="1:17" s="3" customFormat="1" x14ac:dyDescent="0.25">
      <c r="B6" s="3" t="s">
        <v>35</v>
      </c>
      <c r="G6" s="3">
        <f t="shared" ref="G6:Q6" si="3">+G29/G5</f>
        <v>5.4263565891472867E-2</v>
      </c>
      <c r="H6" s="3">
        <f t="shared" si="3"/>
        <v>0</v>
      </c>
      <c r="I6" s="3">
        <f t="shared" si="3"/>
        <v>0</v>
      </c>
      <c r="J6" s="3">
        <f t="shared" si="3"/>
        <v>0</v>
      </c>
      <c r="K6" s="3">
        <f t="shared" si="3"/>
        <v>0</v>
      </c>
      <c r="L6" s="3">
        <f t="shared" si="3"/>
        <v>0</v>
      </c>
      <c r="M6" s="3">
        <f t="shared" si="3"/>
        <v>0</v>
      </c>
      <c r="N6" s="3">
        <f t="shared" si="3"/>
        <v>0</v>
      </c>
      <c r="O6" s="3">
        <f t="shared" si="3"/>
        <v>0</v>
      </c>
      <c r="P6" s="3">
        <f t="shared" si="3"/>
        <v>0</v>
      </c>
      <c r="Q6" s="3">
        <f t="shared" si="3"/>
        <v>0</v>
      </c>
    </row>
    <row r="7" spans="1:17" s="6" customFormat="1" x14ac:dyDescent="0.25"/>
    <row r="8" spans="1:17" s="6" customFormat="1" x14ac:dyDescent="0.25">
      <c r="B8" s="6" t="s">
        <v>42</v>
      </c>
      <c r="G8" s="6">
        <f>+G4*0.05</f>
        <v>2150</v>
      </c>
      <c r="H8" s="7"/>
    </row>
    <row r="9" spans="1:17" s="6" customFormat="1" x14ac:dyDescent="0.25">
      <c r="B9" s="6" t="s">
        <v>43</v>
      </c>
      <c r="G9" s="6">
        <f>+G4-G10-G8</f>
        <v>34787</v>
      </c>
      <c r="H9" s="7"/>
    </row>
    <row r="10" spans="1:17" s="1" customFormat="1" x14ac:dyDescent="0.25">
      <c r="B10" s="1" t="s">
        <v>44</v>
      </c>
      <c r="G10" s="1">
        <f>+G4*0.141</f>
        <v>6062.9999999999991</v>
      </c>
      <c r="H10" s="5"/>
    </row>
    <row r="11" spans="1:17" s="1" customFormat="1" x14ac:dyDescent="0.25">
      <c r="B11" s="1" t="s">
        <v>38</v>
      </c>
      <c r="G11" s="1">
        <f>+G10+G9+G8</f>
        <v>43000</v>
      </c>
    </row>
    <row r="12" spans="1:17" s="1" customFormat="1" x14ac:dyDescent="0.25"/>
    <row r="13" spans="1:17" s="1" customFormat="1" x14ac:dyDescent="0.25">
      <c r="A13" s="1" t="s">
        <v>54</v>
      </c>
      <c r="B13" s="1" t="s">
        <v>55</v>
      </c>
      <c r="D13" s="1">
        <v>3989.4</v>
      </c>
      <c r="E13" s="1">
        <v>4219.3</v>
      </c>
      <c r="F13" s="1">
        <v>4329</v>
      </c>
      <c r="G13" s="1">
        <v>4469.8999999999996</v>
      </c>
    </row>
    <row r="14" spans="1:17" s="1" customFormat="1" x14ac:dyDescent="0.25">
      <c r="A14" s="1" t="s">
        <v>56</v>
      </c>
      <c r="B14" s="1" t="s">
        <v>53</v>
      </c>
      <c r="D14" s="1">
        <v>121421</v>
      </c>
      <c r="E14" s="1">
        <v>132008</v>
      </c>
      <c r="F14" s="1">
        <f>+F13*0.0313*1000</f>
        <v>135497.70000000001</v>
      </c>
      <c r="G14" s="10">
        <f>+G13*0.031*1000</f>
        <v>138566.89999999997</v>
      </c>
    </row>
    <row r="15" spans="1:17" s="9" customFormat="1" x14ac:dyDescent="0.25">
      <c r="B15" s="9" t="s">
        <v>57</v>
      </c>
      <c r="D15" s="9">
        <f>+D14/(D13*1000)</f>
        <v>3.0435905148643905E-2</v>
      </c>
      <c r="E15" s="9">
        <f t="shared" ref="E15:G15" si="4">+E14/(E13*1000)</f>
        <v>3.1286706325693837E-2</v>
      </c>
      <c r="F15" s="9">
        <f t="shared" si="4"/>
        <v>3.1300000000000001E-2</v>
      </c>
      <c r="G15" s="9">
        <f t="shared" si="4"/>
        <v>3.0999999999999993E-2</v>
      </c>
    </row>
    <row r="16" spans="1:17" s="1" customFormat="1" x14ac:dyDescent="0.25">
      <c r="B16" s="1" t="s">
        <v>58</v>
      </c>
      <c r="D16" s="1">
        <v>81809</v>
      </c>
      <c r="E16" s="1">
        <v>90408</v>
      </c>
      <c r="F16" s="10">
        <f>+F14-F17-F18</f>
        <v>93769.180000000008</v>
      </c>
      <c r="G16" s="10">
        <f>+G14-G17-G18</f>
        <v>96702.430399999968</v>
      </c>
      <c r="H16" s="1">
        <f>+G16*1.04</f>
        <v>100570.52761599998</v>
      </c>
      <c r="I16" s="1">
        <f t="shared" ref="I16:Q16" si="5">+H16*1.04</f>
        <v>104593.34872063997</v>
      </c>
      <c r="J16" s="1">
        <f t="shared" si="5"/>
        <v>108777.08266946557</v>
      </c>
      <c r="K16" s="1">
        <f t="shared" si="5"/>
        <v>113128.1659762442</v>
      </c>
      <c r="L16" s="1">
        <f t="shared" si="5"/>
        <v>117653.29261529398</v>
      </c>
      <c r="M16" s="1">
        <f t="shared" si="5"/>
        <v>122359.42431990574</v>
      </c>
      <c r="N16" s="1">
        <f t="shared" si="5"/>
        <v>127253.80129270197</v>
      </c>
      <c r="O16" s="1">
        <f t="shared" si="5"/>
        <v>132343.95334441005</v>
      </c>
      <c r="P16" s="1">
        <f t="shared" si="5"/>
        <v>137637.71147818645</v>
      </c>
      <c r="Q16" s="1">
        <f t="shared" si="5"/>
        <v>143143.2199373139</v>
      </c>
    </row>
    <row r="17" spans="2:17" s="1" customFormat="1" x14ac:dyDescent="0.25">
      <c r="B17" s="1" t="s">
        <v>59</v>
      </c>
      <c r="D17" s="1">
        <v>22007</v>
      </c>
      <c r="E17" s="1">
        <v>23026</v>
      </c>
      <c r="F17" s="10">
        <f>+E17+500</f>
        <v>23526</v>
      </c>
      <c r="G17" s="10">
        <f>+F17+500</f>
        <v>24026</v>
      </c>
    </row>
    <row r="18" spans="2:17" s="1" customFormat="1" x14ac:dyDescent="0.25">
      <c r="B18" s="1" t="s">
        <v>60</v>
      </c>
      <c r="D18" s="1">
        <v>17605</v>
      </c>
      <c r="E18" s="1">
        <v>18574</v>
      </c>
      <c r="F18" s="10">
        <f>+E18*0.98</f>
        <v>18202.52</v>
      </c>
      <c r="G18" s="10">
        <f>+F18*0.98</f>
        <v>17838.4696</v>
      </c>
    </row>
    <row r="19" spans="2:17" s="6" customFormat="1" x14ac:dyDescent="0.25">
      <c r="B19" s="6" t="s">
        <v>192</v>
      </c>
      <c r="F19" s="6">
        <f>+'R&amp;D Spent'!H13</f>
        <v>24578.929999999989</v>
      </c>
      <c r="G19" s="6">
        <f>+G16*0.26</f>
        <v>25142.631903999994</v>
      </c>
      <c r="H19" s="6">
        <f>+H16*0.26</f>
        <v>26148.337180159993</v>
      </c>
      <c r="I19" s="6">
        <f t="shared" ref="H19:Q19" si="6">+I16*0.26</f>
        <v>27194.270667366392</v>
      </c>
      <c r="J19" s="6">
        <f t="shared" si="6"/>
        <v>28282.04149406105</v>
      </c>
      <c r="K19" s="6">
        <f t="shared" si="6"/>
        <v>29413.323153823494</v>
      </c>
      <c r="L19" s="6">
        <f t="shared" si="6"/>
        <v>30589.856079976435</v>
      </c>
      <c r="M19" s="6">
        <f t="shared" si="6"/>
        <v>31813.450323175493</v>
      </c>
      <c r="N19" s="6">
        <f t="shared" si="6"/>
        <v>33085.988336102513</v>
      </c>
      <c r="O19" s="6">
        <f t="shared" si="6"/>
        <v>34409.427869546613</v>
      </c>
      <c r="P19" s="6">
        <f t="shared" si="6"/>
        <v>35785.804984328475</v>
      </c>
      <c r="Q19" s="6">
        <f t="shared" si="6"/>
        <v>37217.237183701618</v>
      </c>
    </row>
    <row r="20" spans="2:17" s="3" customFormat="1" x14ac:dyDescent="0.25">
      <c r="B20" s="3" t="s">
        <v>67</v>
      </c>
      <c r="F20" s="3">
        <f t="shared" ref="F20:Q20" si="7">+F32/F19</f>
        <v>0.17550533458264195</v>
      </c>
      <c r="G20" s="3">
        <f t="shared" si="7"/>
        <v>0.27576004611634536</v>
      </c>
      <c r="H20" s="3">
        <f t="shared" si="7"/>
        <v>0.35183881623572166</v>
      </c>
      <c r="I20" s="3">
        <f t="shared" si="7"/>
        <v>0.43391492804990756</v>
      </c>
      <c r="J20" s="3">
        <f t="shared" si="7"/>
        <v>0.53037189706230548</v>
      </c>
      <c r="K20" s="3">
        <f t="shared" si="7"/>
        <v>0.6</v>
      </c>
      <c r="L20" s="3">
        <f t="shared" si="7"/>
        <v>0.6</v>
      </c>
      <c r="M20" s="3">
        <f t="shared" si="7"/>
        <v>0.6</v>
      </c>
      <c r="N20" s="3">
        <f t="shared" si="7"/>
        <v>0.6</v>
      </c>
      <c r="O20" s="3">
        <f t="shared" si="7"/>
        <v>0.6</v>
      </c>
      <c r="P20" s="3">
        <f t="shared" si="7"/>
        <v>0.6</v>
      </c>
      <c r="Q20" s="3">
        <f t="shared" si="7"/>
        <v>0.6</v>
      </c>
    </row>
    <row r="21" spans="2:17" s="6" customFormat="1" x14ac:dyDescent="0.25">
      <c r="G21" s="3"/>
    </row>
    <row r="22" spans="2:17" s="1" customFormat="1" x14ac:dyDescent="0.25">
      <c r="B22" s="1" t="s">
        <v>39</v>
      </c>
      <c r="E22" s="4"/>
      <c r="F22" s="1">
        <v>98</v>
      </c>
    </row>
    <row r="23" spans="2:17" s="1" customFormat="1" x14ac:dyDescent="0.25">
      <c r="B23" s="1" t="s">
        <v>41</v>
      </c>
      <c r="E23" s="4"/>
      <c r="F23" s="1">
        <v>343</v>
      </c>
    </row>
    <row r="24" spans="2:17" s="1" customFormat="1" x14ac:dyDescent="0.25">
      <c r="B24" s="1" t="s">
        <v>40</v>
      </c>
      <c r="E24" s="4"/>
      <c r="F24" s="1">
        <v>1341</v>
      </c>
    </row>
    <row r="25" spans="2:17" s="1" customFormat="1" x14ac:dyDescent="0.25">
      <c r="B25" s="1" t="s">
        <v>194</v>
      </c>
      <c r="E25" s="4"/>
      <c r="F25" s="1">
        <f>+F24+F23/2</f>
        <v>1512.5</v>
      </c>
      <c r="G25" s="1">
        <v>1550</v>
      </c>
    </row>
    <row r="26" spans="2:17" s="1" customFormat="1" x14ac:dyDescent="0.25">
      <c r="B26" s="1" t="s">
        <v>195</v>
      </c>
      <c r="E26" s="4"/>
      <c r="F26" s="3">
        <f>+F25/F29</f>
        <v>0.84876543209876543</v>
      </c>
      <c r="G26" s="3">
        <f>+G25/G29</f>
        <v>0.73809523809523814</v>
      </c>
    </row>
    <row r="27" spans="2:17" s="1" customFormat="1" x14ac:dyDescent="0.25">
      <c r="B27" s="1" t="s">
        <v>196</v>
      </c>
      <c r="E27" s="4"/>
      <c r="F27" s="3">
        <f>+F26*0.35+(1-F26)*0.25</f>
        <v>0.33487654320987653</v>
      </c>
      <c r="G27" s="3">
        <f>+G26*0.35+(1-G26)*0.25</f>
        <v>0.32380952380952382</v>
      </c>
    </row>
    <row r="28" spans="2:17" s="1" customFormat="1" x14ac:dyDescent="0.25"/>
    <row r="29" spans="2:17" s="1" customFormat="1" x14ac:dyDescent="0.25">
      <c r="B29" s="1" t="s">
        <v>34</v>
      </c>
      <c r="F29" s="1">
        <f>+F24+F23+F22</f>
        <v>1782</v>
      </c>
      <c r="G29" s="1">
        <v>2100</v>
      </c>
    </row>
    <row r="30" spans="2:17" s="1" customFormat="1" x14ac:dyDescent="0.25">
      <c r="B30" s="1" t="s">
        <v>33</v>
      </c>
      <c r="F30" s="1">
        <f>+F34/F29</f>
        <v>36.310886644219977</v>
      </c>
      <c r="G30" s="1">
        <f>+G34/G29</f>
        <v>49.523809523809526</v>
      </c>
    </row>
    <row r="31" spans="2:17" s="1" customFormat="1" x14ac:dyDescent="0.25">
      <c r="B31" s="1" t="s">
        <v>52</v>
      </c>
      <c r="F31" s="1">
        <f>+F30*4*20</f>
        <v>2904.8709315375982</v>
      </c>
      <c r="G31" s="1">
        <f>+G30*4*20</f>
        <v>3961.9047619047619</v>
      </c>
      <c r="Q31" s="1" t="s">
        <v>197</v>
      </c>
    </row>
    <row r="32" spans="2:17" s="1" customFormat="1" x14ac:dyDescent="0.25">
      <c r="B32" s="1" t="s">
        <v>61</v>
      </c>
      <c r="F32" s="1">
        <f>+(F34/0.05)/0.3 /1000</f>
        <v>4313.7333333333336</v>
      </c>
      <c r="G32" s="1">
        <f>+(G34/0.05)/0.3 /1000</f>
        <v>6933.3333333333339</v>
      </c>
      <c r="H32" s="1">
        <f>+(H34/0.05)/0.3 /1000</f>
        <v>9200</v>
      </c>
      <c r="I32" s="1">
        <f t="shared" ref="H32:J32" si="8">+(I34/0.05)/0.3 /1000</f>
        <v>11800</v>
      </c>
      <c r="J32" s="1">
        <f t="shared" si="8"/>
        <v>15000</v>
      </c>
      <c r="K32" s="1">
        <f>+K19*0.6</f>
        <v>17647.993892294096</v>
      </c>
      <c r="L32" s="1">
        <f t="shared" ref="L32:Q32" si="9">+L19*0.6</f>
        <v>18353.913647985861</v>
      </c>
      <c r="M32" s="1">
        <f t="shared" si="9"/>
        <v>19088.070193905296</v>
      </c>
      <c r="N32" s="1">
        <f t="shared" si="9"/>
        <v>19851.593001661506</v>
      </c>
      <c r="O32" s="1">
        <f t="shared" si="9"/>
        <v>20645.656721727966</v>
      </c>
      <c r="P32" s="1">
        <f t="shared" si="9"/>
        <v>21471.482990597084</v>
      </c>
      <c r="Q32" s="1">
        <f t="shared" si="9"/>
        <v>22330.342310220971</v>
      </c>
    </row>
    <row r="33" spans="2:109" s="1" customFormat="1" x14ac:dyDescent="0.25"/>
    <row r="34" spans="2:109" s="2" customFormat="1" x14ac:dyDescent="0.25">
      <c r="B34" s="2" t="s">
        <v>0</v>
      </c>
      <c r="D34" s="2">
        <v>27274</v>
      </c>
      <c r="E34" s="2">
        <v>39374</v>
      </c>
      <c r="F34" s="2">
        <v>64706</v>
      </c>
      <c r="G34" s="2">
        <f>+G65</f>
        <v>104000</v>
      </c>
      <c r="H34" s="2">
        <v>138000</v>
      </c>
      <c r="I34" s="2">
        <v>177000</v>
      </c>
      <c r="J34" s="2">
        <v>225000</v>
      </c>
      <c r="K34" s="2">
        <f>+K32*0.3*0.05*1000</f>
        <v>264719.90838441142</v>
      </c>
      <c r="L34" s="2">
        <f t="shared" ref="L34:Q34" si="10">+L32*0.3*0.05*1000</f>
        <v>275308.70471978793</v>
      </c>
      <c r="M34" s="2">
        <f t="shared" si="10"/>
        <v>286321.05290857947</v>
      </c>
      <c r="N34" s="2">
        <f t="shared" si="10"/>
        <v>297773.89502492256</v>
      </c>
      <c r="O34" s="2">
        <f t="shared" si="10"/>
        <v>309684.85082591954</v>
      </c>
      <c r="P34" s="2">
        <f t="shared" si="10"/>
        <v>322072.24485895631</v>
      </c>
      <c r="Q34" s="2">
        <f t="shared" si="10"/>
        <v>334955.1346533146</v>
      </c>
    </row>
    <row r="35" spans="2:109" s="1" customFormat="1" x14ac:dyDescent="0.25">
      <c r="B35" s="1" t="s">
        <v>1</v>
      </c>
      <c r="D35" s="1">
        <f>188-901</f>
        <v>-713</v>
      </c>
      <c r="E35" s="1">
        <f>-95+191</f>
        <v>96</v>
      </c>
      <c r="F35" s="1">
        <f>358+194</f>
        <v>552</v>
      </c>
      <c r="G35" s="1">
        <f>-68+368</f>
        <v>300</v>
      </c>
      <c r="H35" s="1">
        <v>200</v>
      </c>
      <c r="I35" s="1">
        <v>200</v>
      </c>
      <c r="J35" s="1">
        <v>200</v>
      </c>
      <c r="K35" s="1">
        <v>200</v>
      </c>
      <c r="L35" s="1">
        <v>200</v>
      </c>
      <c r="M35" s="1">
        <v>200</v>
      </c>
      <c r="N35" s="1">
        <v>200</v>
      </c>
      <c r="O35" s="1">
        <v>200</v>
      </c>
      <c r="P35" s="1">
        <v>200</v>
      </c>
      <c r="Q35" s="1">
        <v>200</v>
      </c>
    </row>
    <row r="36" spans="2:109" s="1" customFormat="1" x14ac:dyDescent="0.25">
      <c r="B36" s="1" t="s">
        <v>2</v>
      </c>
      <c r="D36" s="1">
        <v>671</v>
      </c>
      <c r="E36" s="1">
        <v>1302</v>
      </c>
      <c r="F36" s="1">
        <v>1809</v>
      </c>
      <c r="G36" s="1">
        <f>3093.515*1.33</f>
        <v>4114.3749500000004</v>
      </c>
      <c r="H36" s="1">
        <f>+H34*0.05</f>
        <v>6900</v>
      </c>
      <c r="I36" s="1">
        <f t="shared" ref="I36:Q36" si="11">+I34*0.05</f>
        <v>8850</v>
      </c>
      <c r="J36" s="1">
        <f t="shared" si="11"/>
        <v>11250</v>
      </c>
      <c r="K36" s="1">
        <f t="shared" si="11"/>
        <v>13235.995419220571</v>
      </c>
      <c r="L36" s="1">
        <f t="shared" si="11"/>
        <v>13765.435235989396</v>
      </c>
      <c r="M36" s="1">
        <f t="shared" si="11"/>
        <v>14316.052645428974</v>
      </c>
      <c r="N36" s="1">
        <f t="shared" si="11"/>
        <v>14888.694751246128</v>
      </c>
      <c r="O36" s="1">
        <f t="shared" si="11"/>
        <v>15484.242541295978</v>
      </c>
      <c r="P36" s="1">
        <f t="shared" si="11"/>
        <v>16103.612242947816</v>
      </c>
      <c r="Q36" s="1">
        <f t="shared" si="11"/>
        <v>16747.75673266573</v>
      </c>
    </row>
    <row r="37" spans="2:109" s="1" customFormat="1" x14ac:dyDescent="0.25">
      <c r="B37" s="1" t="s">
        <v>3</v>
      </c>
      <c r="D37" s="1">
        <f>+D34+D35-D36</f>
        <v>25890</v>
      </c>
      <c r="E37" s="1">
        <f>+E34+E35-E36</f>
        <v>38168</v>
      </c>
      <c r="F37" s="1">
        <f t="shared" ref="F37:H37" si="12">+F34+F35-F36</f>
        <v>63449</v>
      </c>
      <c r="G37" s="1">
        <f t="shared" si="12"/>
        <v>100185.62505</v>
      </c>
      <c r="H37" s="1">
        <f t="shared" si="12"/>
        <v>131300</v>
      </c>
      <c r="I37" s="1">
        <f t="shared" ref="I37" si="13">+I34+I35-I36</f>
        <v>168350</v>
      </c>
      <c r="J37" s="1">
        <f t="shared" ref="J37" si="14">+J34+J35-J36</f>
        <v>213950</v>
      </c>
      <c r="K37" s="1">
        <f t="shared" ref="K37" si="15">+K34+K35-K36</f>
        <v>251683.91296519086</v>
      </c>
      <c r="L37" s="1">
        <f t="shared" ref="L37" si="16">+L34+L35-L36</f>
        <v>261743.26948379853</v>
      </c>
      <c r="M37" s="1">
        <f t="shared" ref="M37" si="17">+M34+M35-M36</f>
        <v>272205.00026315049</v>
      </c>
      <c r="N37" s="1">
        <f t="shared" ref="N37" si="18">+N34+N35-N36</f>
        <v>283085.20027367643</v>
      </c>
      <c r="O37" s="1">
        <f t="shared" ref="O37" si="19">+O34+O35-O36</f>
        <v>294400.60828462354</v>
      </c>
      <c r="P37" s="1">
        <f t="shared" ref="P37" si="20">+P34+P35-P36</f>
        <v>306168.63261600852</v>
      </c>
      <c r="Q37" s="1">
        <f t="shared" ref="Q37" si="21">+Q34+Q35-Q36</f>
        <v>318407.3779206489</v>
      </c>
    </row>
    <row r="38" spans="2:109" s="1" customFormat="1" x14ac:dyDescent="0.25">
      <c r="B38" s="1" t="s">
        <v>4</v>
      </c>
      <c r="D38" s="1">
        <v>10029</v>
      </c>
      <c r="E38" s="1">
        <v>14480</v>
      </c>
      <c r="F38" s="1">
        <v>15237</v>
      </c>
      <c r="G38" s="1">
        <f>16478.369*1.33</f>
        <v>21916.230769999998</v>
      </c>
      <c r="H38" s="1">
        <f>+H34*0.22</f>
        <v>30360</v>
      </c>
      <c r="I38" s="1">
        <f t="shared" ref="I38:Q38" si="22">+I34*0.22</f>
        <v>38940</v>
      </c>
      <c r="J38" s="1">
        <f t="shared" si="22"/>
        <v>49500</v>
      </c>
      <c r="K38" s="1">
        <f t="shared" si="22"/>
        <v>58238.379844570511</v>
      </c>
      <c r="L38" s="1">
        <f t="shared" si="22"/>
        <v>60567.915038353342</v>
      </c>
      <c r="M38" s="1">
        <f t="shared" si="22"/>
        <v>62990.631639887484</v>
      </c>
      <c r="N38" s="1">
        <f t="shared" si="22"/>
        <v>65510.256905482966</v>
      </c>
      <c r="O38" s="1">
        <f t="shared" si="22"/>
        <v>68130.667181702302</v>
      </c>
      <c r="P38" s="1">
        <f t="shared" si="22"/>
        <v>70855.893868970394</v>
      </c>
      <c r="Q38" s="1">
        <f t="shared" si="22"/>
        <v>73690.129623729212</v>
      </c>
    </row>
    <row r="39" spans="2:109" s="1" customFormat="1" x14ac:dyDescent="0.25">
      <c r="B39" s="1" t="s">
        <v>5</v>
      </c>
      <c r="D39" s="1">
        <v>1689</v>
      </c>
      <c r="E39" s="1">
        <v>2308</v>
      </c>
      <c r="F39" s="1">
        <v>2729</v>
      </c>
      <c r="G39" s="1">
        <f>2781.293*1.33</f>
        <v>3699.1196900000004</v>
      </c>
      <c r="H39" s="1">
        <f>+H38*0.18</f>
        <v>5464.8</v>
      </c>
      <c r="I39" s="1">
        <f t="shared" ref="I39:Q39" si="23">+I38*0.18</f>
        <v>7009.2</v>
      </c>
      <c r="J39" s="1">
        <f t="shared" si="23"/>
        <v>8910</v>
      </c>
      <c r="K39" s="1">
        <f t="shared" si="23"/>
        <v>10482.908372022692</v>
      </c>
      <c r="L39" s="1">
        <f t="shared" si="23"/>
        <v>10902.2247069036</v>
      </c>
      <c r="M39" s="1">
        <f t="shared" si="23"/>
        <v>11338.313695179746</v>
      </c>
      <c r="N39" s="1">
        <f t="shared" si="23"/>
        <v>11791.846242986934</v>
      </c>
      <c r="O39" s="1">
        <f t="shared" si="23"/>
        <v>12263.520092706414</v>
      </c>
      <c r="P39" s="1">
        <f t="shared" si="23"/>
        <v>12754.06089641467</v>
      </c>
      <c r="Q39" s="1">
        <f t="shared" si="23"/>
        <v>13264.223332271258</v>
      </c>
    </row>
    <row r="40" spans="2:109" s="1" customFormat="1" x14ac:dyDescent="0.25">
      <c r="B40" s="1" t="s">
        <v>6</v>
      </c>
      <c r="D40" s="1">
        <v>153</v>
      </c>
      <c r="E40" s="1">
        <v>151</v>
      </c>
      <c r="F40" s="1">
        <v>182</v>
      </c>
      <c r="G40" s="1">
        <v>158.24700000000001</v>
      </c>
      <c r="H40" s="1">
        <v>150</v>
      </c>
      <c r="I40" s="1">
        <v>150</v>
      </c>
      <c r="J40" s="1">
        <v>150</v>
      </c>
      <c r="K40" s="1">
        <v>150</v>
      </c>
      <c r="L40" s="1">
        <v>150</v>
      </c>
      <c r="M40" s="1">
        <v>150</v>
      </c>
      <c r="N40" s="1">
        <v>150</v>
      </c>
      <c r="O40" s="1">
        <v>150</v>
      </c>
      <c r="P40" s="1">
        <v>150</v>
      </c>
      <c r="Q40" s="1">
        <v>150</v>
      </c>
    </row>
    <row r="41" spans="2:109" s="1" customFormat="1" x14ac:dyDescent="0.25">
      <c r="B41" s="1" t="s">
        <v>7</v>
      </c>
      <c r="D41" s="1">
        <v>4841</v>
      </c>
      <c r="E41" s="1">
        <v>5758</v>
      </c>
      <c r="F41" s="1">
        <v>8023</v>
      </c>
      <c r="G41" s="1">
        <f>7627.759*1.33</f>
        <v>10144.919470000001</v>
      </c>
      <c r="H41" s="1">
        <f>+H34*0.1</f>
        <v>13800</v>
      </c>
      <c r="I41" s="1">
        <f t="shared" ref="I41:Q41" si="24">+I34*0.1</f>
        <v>17700</v>
      </c>
      <c r="J41" s="1">
        <f t="shared" si="24"/>
        <v>22500</v>
      </c>
      <c r="K41" s="1">
        <f t="shared" si="24"/>
        <v>26471.990838441143</v>
      </c>
      <c r="L41" s="1">
        <f t="shared" si="24"/>
        <v>27530.870471978793</v>
      </c>
      <c r="M41" s="1">
        <f t="shared" si="24"/>
        <v>28632.105290857948</v>
      </c>
      <c r="N41" s="1">
        <f t="shared" si="24"/>
        <v>29777.389502492257</v>
      </c>
      <c r="O41" s="1">
        <f t="shared" si="24"/>
        <v>30968.485082591957</v>
      </c>
      <c r="P41" s="1">
        <f t="shared" si="24"/>
        <v>32207.224485895633</v>
      </c>
      <c r="Q41" s="1">
        <f t="shared" si="24"/>
        <v>33495.51346533146</v>
      </c>
    </row>
    <row r="42" spans="2:109" s="2" customFormat="1" x14ac:dyDescent="0.25">
      <c r="B42" s="2" t="s">
        <v>9</v>
      </c>
      <c r="D42" s="2">
        <f>+D37-D38-D39-D40-D41</f>
        <v>9178</v>
      </c>
      <c r="E42" s="2">
        <f>+E37-E38-E39-E40-E41</f>
        <v>15471</v>
      </c>
      <c r="F42" s="2">
        <f t="shared" ref="F42:H42" si="25">+F37-F38-F39-F40-F41</f>
        <v>37278</v>
      </c>
      <c r="G42" s="2">
        <f t="shared" si="25"/>
        <v>64267.108119999997</v>
      </c>
      <c r="H42" s="2">
        <f t="shared" si="25"/>
        <v>81525.2</v>
      </c>
      <c r="I42" s="2">
        <f t="shared" ref="I42" si="26">+I37-I38-I39-I40-I41</f>
        <v>104550.8</v>
      </c>
      <c r="J42" s="2">
        <f t="shared" ref="J42" si="27">+J37-J38-J39-J40-J41</f>
        <v>132890</v>
      </c>
      <c r="K42" s="2">
        <f t="shared" ref="K42" si="28">+K37-K38-K39-K40-K41</f>
        <v>156340.63391015652</v>
      </c>
      <c r="L42" s="2">
        <f t="shared" ref="L42" si="29">+L37-L38-L39-L40-L41</f>
        <v>162592.25926656279</v>
      </c>
      <c r="M42" s="2">
        <f t="shared" ref="M42" si="30">+M37-M38-M39-M40-M41</f>
        <v>169093.94963722531</v>
      </c>
      <c r="N42" s="2">
        <f t="shared" ref="N42" si="31">+N37-N38-N39-N40-N41</f>
        <v>175855.70762271425</v>
      </c>
      <c r="O42" s="2">
        <f t="shared" ref="O42" si="32">+O37-O38-O39-O40-O41</f>
        <v>182887.93592762289</v>
      </c>
      <c r="P42" s="2">
        <f t="shared" ref="P42" si="33">+P37-P38-P39-P40-P41</f>
        <v>190201.45336472781</v>
      </c>
      <c r="Q42" s="2">
        <f t="shared" ref="Q42" si="34">+Q37-Q38-Q39-Q40-Q41</f>
        <v>197807.51149931696</v>
      </c>
    </row>
    <row r="43" spans="2:109" s="1" customFormat="1" x14ac:dyDescent="0.25">
      <c r="B43" s="1" t="s">
        <v>8</v>
      </c>
      <c r="D43" s="1">
        <v>125</v>
      </c>
      <c r="E43" s="1">
        <v>60</v>
      </c>
      <c r="F43" s="1">
        <v>226</v>
      </c>
      <c r="G43" s="1">
        <v>152</v>
      </c>
      <c r="H43" s="1">
        <v>150</v>
      </c>
      <c r="I43" s="1">
        <v>150</v>
      </c>
      <c r="J43" s="1">
        <v>150</v>
      </c>
      <c r="K43" s="1">
        <v>150</v>
      </c>
      <c r="L43" s="1">
        <v>150</v>
      </c>
      <c r="M43" s="1">
        <v>150</v>
      </c>
      <c r="N43" s="1">
        <v>150</v>
      </c>
      <c r="O43" s="1">
        <v>150</v>
      </c>
      <c r="P43" s="1">
        <v>150</v>
      </c>
      <c r="Q43" s="1">
        <v>150</v>
      </c>
    </row>
    <row r="44" spans="2:109" s="1" customFormat="1" x14ac:dyDescent="0.25">
      <c r="B44" s="1" t="s">
        <v>10</v>
      </c>
      <c r="D44" s="1">
        <v>57</v>
      </c>
      <c r="E44" s="1">
        <v>78</v>
      </c>
      <c r="F44" s="1">
        <v>88</v>
      </c>
      <c r="G44" s="1">
        <f>34.608+0.717</f>
        <v>35.324999999999996</v>
      </c>
      <c r="H44" s="1">
        <v>50</v>
      </c>
      <c r="I44" s="1">
        <v>50</v>
      </c>
      <c r="J44" s="1">
        <v>50</v>
      </c>
      <c r="K44" s="1">
        <v>50</v>
      </c>
      <c r="L44" s="1">
        <v>50</v>
      </c>
      <c r="M44" s="1">
        <v>50</v>
      </c>
      <c r="N44" s="1">
        <v>50</v>
      </c>
      <c r="O44" s="1">
        <v>50</v>
      </c>
      <c r="P44" s="1">
        <v>50</v>
      </c>
      <c r="Q44" s="1">
        <v>50</v>
      </c>
    </row>
    <row r="45" spans="2:109" s="1" customFormat="1" x14ac:dyDescent="0.25">
      <c r="B45" s="1" t="s">
        <v>11</v>
      </c>
      <c r="D45" s="1">
        <f>+D42+D43-D44</f>
        <v>9246</v>
      </c>
      <c r="E45" s="1">
        <f>+E42+E43-E44</f>
        <v>15453</v>
      </c>
      <c r="F45" s="1">
        <f t="shared" ref="F45:H45" si="35">+F42+F43-F44</f>
        <v>37416</v>
      </c>
      <c r="G45" s="1">
        <f t="shared" si="35"/>
        <v>64383.78312</v>
      </c>
      <c r="H45" s="1">
        <f t="shared" si="35"/>
        <v>81625.2</v>
      </c>
      <c r="I45" s="1">
        <f t="shared" ref="I45" si="36">+I42+I43-I44</f>
        <v>104650.8</v>
      </c>
      <c r="J45" s="1">
        <f t="shared" ref="J45" si="37">+J42+J43-J44</f>
        <v>132990</v>
      </c>
      <c r="K45" s="1">
        <f t="shared" ref="K45" si="38">+K42+K43-K44</f>
        <v>156440.63391015652</v>
      </c>
      <c r="L45" s="1">
        <f t="shared" ref="L45" si="39">+L42+L43-L44</f>
        <v>162692.25926656279</v>
      </c>
      <c r="M45" s="1">
        <f t="shared" ref="M45" si="40">+M42+M43-M44</f>
        <v>169193.94963722531</v>
      </c>
      <c r="N45" s="1">
        <f t="shared" ref="N45" si="41">+N42+N43-N44</f>
        <v>175955.70762271425</v>
      </c>
      <c r="O45" s="1">
        <f t="shared" ref="O45" si="42">+O42+O43-O44</f>
        <v>182987.93592762289</v>
      </c>
      <c r="P45" s="1">
        <f t="shared" ref="P45" si="43">+P42+P43-P44</f>
        <v>190301.45336472781</v>
      </c>
      <c r="Q45" s="1">
        <f t="shared" ref="Q45" si="44">+Q42+Q43-Q44</f>
        <v>197907.51149931696</v>
      </c>
    </row>
    <row r="46" spans="2:109" s="1" customFormat="1" x14ac:dyDescent="0.25">
      <c r="B46" s="1" t="s">
        <v>12</v>
      </c>
      <c r="D46" s="1">
        <v>3146</v>
      </c>
      <c r="E46" s="1">
        <v>5178</v>
      </c>
      <c r="F46" s="1">
        <v>12323</v>
      </c>
      <c r="G46" s="1">
        <f>+G45*0.33</f>
        <v>21246.648429600002</v>
      </c>
      <c r="H46" s="1">
        <f t="shared" ref="H46:Q46" si="45">+H45*0.33</f>
        <v>26936.315999999999</v>
      </c>
      <c r="I46" s="1">
        <f t="shared" si="45"/>
        <v>34534.764000000003</v>
      </c>
      <c r="J46" s="1">
        <f t="shared" si="45"/>
        <v>43886.700000000004</v>
      </c>
      <c r="K46" s="1">
        <f t="shared" si="45"/>
        <v>51625.409190351653</v>
      </c>
      <c r="L46" s="1">
        <f t="shared" si="45"/>
        <v>53688.445557965722</v>
      </c>
      <c r="M46" s="1">
        <f t="shared" si="45"/>
        <v>55834.003380284354</v>
      </c>
      <c r="N46" s="1">
        <f t="shared" si="45"/>
        <v>58065.383515495705</v>
      </c>
      <c r="O46" s="1">
        <f t="shared" si="45"/>
        <v>60386.018856115559</v>
      </c>
      <c r="P46" s="1">
        <f t="shared" si="45"/>
        <v>62799.479610360184</v>
      </c>
      <c r="Q46" s="1">
        <f t="shared" si="45"/>
        <v>65309.478794774601</v>
      </c>
    </row>
    <row r="47" spans="2:109" s="2" customFormat="1" x14ac:dyDescent="0.25">
      <c r="B47" s="2" t="s">
        <v>13</v>
      </c>
      <c r="D47" s="2">
        <f>+D45-D46</f>
        <v>6100</v>
      </c>
      <c r="E47" s="2">
        <f>+E45-E46</f>
        <v>10275</v>
      </c>
      <c r="F47" s="2">
        <f t="shared" ref="F47:H47" si="46">+F45-F46</f>
        <v>25093</v>
      </c>
      <c r="G47" s="2">
        <f>+G45-G46</f>
        <v>43137.134690399995</v>
      </c>
      <c r="H47" s="2">
        <f t="shared" si="46"/>
        <v>54688.883999999998</v>
      </c>
      <c r="I47" s="2">
        <f t="shared" ref="I47" si="47">+I45-I46</f>
        <v>70116.035999999993</v>
      </c>
      <c r="J47" s="2">
        <f t="shared" ref="J47" si="48">+J45-J46</f>
        <v>89103.299999999988</v>
      </c>
      <c r="K47" s="2">
        <f t="shared" ref="K47" si="49">+K45-K46</f>
        <v>104815.22471980487</v>
      </c>
      <c r="L47" s="2">
        <f t="shared" ref="L47" si="50">+L45-L46</f>
        <v>109003.81370859707</v>
      </c>
      <c r="M47" s="2">
        <f t="shared" ref="M47" si="51">+M45-M46</f>
        <v>113359.94625694095</v>
      </c>
      <c r="N47" s="2">
        <f t="shared" ref="N47" si="52">+N45-N46</f>
        <v>117890.32410721855</v>
      </c>
      <c r="O47" s="2">
        <f t="shared" ref="O47" si="53">+O45-O46</f>
        <v>122601.91707150734</v>
      </c>
      <c r="P47" s="2">
        <f t="shared" ref="P47" si="54">+P45-P46</f>
        <v>127501.97375436763</v>
      </c>
      <c r="Q47" s="2">
        <f t="shared" ref="Q47" si="55">+Q45-Q46</f>
        <v>132598.03270454236</v>
      </c>
      <c r="R47" s="2">
        <f>+Q47*(1+$T54)</f>
        <v>136575.97368567865</v>
      </c>
      <c r="S47" s="2">
        <f t="shared" ref="S47:CD47" si="56">+R47*(1+$T54)</f>
        <v>140673.252896249</v>
      </c>
      <c r="T47" s="2">
        <f t="shared" si="56"/>
        <v>144893.45048313649</v>
      </c>
      <c r="U47" s="2">
        <f t="shared" si="56"/>
        <v>149240.25399763059</v>
      </c>
      <c r="V47" s="2">
        <f t="shared" si="56"/>
        <v>153717.46161755951</v>
      </c>
      <c r="W47" s="2">
        <f t="shared" si="56"/>
        <v>158328.98546608631</v>
      </c>
      <c r="X47" s="2">
        <f t="shared" si="56"/>
        <v>163078.85503006889</v>
      </c>
      <c r="Y47" s="2">
        <f t="shared" si="56"/>
        <v>167971.22068097096</v>
      </c>
      <c r="Z47" s="2">
        <f t="shared" si="56"/>
        <v>173010.3573014001</v>
      </c>
      <c r="AA47" s="2">
        <f t="shared" si="56"/>
        <v>178200.6680204421</v>
      </c>
      <c r="AB47" s="2">
        <f t="shared" si="56"/>
        <v>183546.68806105538</v>
      </c>
      <c r="AC47" s="2">
        <f t="shared" si="56"/>
        <v>189053.08870288703</v>
      </c>
      <c r="AD47" s="2">
        <f t="shared" si="56"/>
        <v>194724.68136397365</v>
      </c>
      <c r="AE47" s="2">
        <f t="shared" si="56"/>
        <v>200566.42180489286</v>
      </c>
      <c r="AF47" s="2">
        <f t="shared" si="56"/>
        <v>206583.41445903966</v>
      </c>
      <c r="AG47" s="2">
        <f t="shared" si="56"/>
        <v>212780.91689281087</v>
      </c>
      <c r="AH47" s="2">
        <f t="shared" si="56"/>
        <v>219164.3443995952</v>
      </c>
      <c r="AI47" s="2">
        <f t="shared" si="56"/>
        <v>225739.27473158305</v>
      </c>
      <c r="AJ47" s="2">
        <f t="shared" si="56"/>
        <v>232511.45297353054</v>
      </c>
      <c r="AK47" s="2">
        <f t="shared" si="56"/>
        <v>239486.79656273648</v>
      </c>
      <c r="AL47" s="2">
        <f t="shared" si="56"/>
        <v>246671.40045961857</v>
      </c>
      <c r="AM47" s="2">
        <f t="shared" si="56"/>
        <v>254071.54247340714</v>
      </c>
      <c r="AN47" s="2">
        <f t="shared" si="56"/>
        <v>261693.68874760935</v>
      </c>
      <c r="AO47" s="2">
        <f t="shared" si="56"/>
        <v>269544.49941003765</v>
      </c>
      <c r="AP47" s="2">
        <f t="shared" si="56"/>
        <v>277630.83439233876</v>
      </c>
      <c r="AQ47" s="2">
        <f t="shared" si="56"/>
        <v>285959.75942410895</v>
      </c>
      <c r="AR47" s="2">
        <f t="shared" si="56"/>
        <v>294538.55220683222</v>
      </c>
      <c r="AS47" s="2">
        <f t="shared" si="56"/>
        <v>303374.70877303719</v>
      </c>
      <c r="AT47" s="2">
        <f t="shared" si="56"/>
        <v>312475.95003622829</v>
      </c>
      <c r="AU47" s="2">
        <f t="shared" si="56"/>
        <v>321850.22853731515</v>
      </c>
      <c r="AV47" s="2">
        <f t="shared" si="56"/>
        <v>331505.73539343459</v>
      </c>
      <c r="AW47" s="2">
        <f t="shared" si="56"/>
        <v>341450.90745523764</v>
      </c>
      <c r="AX47" s="2">
        <f t="shared" si="56"/>
        <v>351694.43467889476</v>
      </c>
      <c r="AY47" s="2">
        <f t="shared" si="56"/>
        <v>362245.26771926164</v>
      </c>
      <c r="AZ47" s="2">
        <f t="shared" si="56"/>
        <v>373112.62575083948</v>
      </c>
      <c r="BA47" s="2">
        <f t="shared" si="56"/>
        <v>384306.00452336465</v>
      </c>
      <c r="BB47" s="2">
        <f t="shared" si="56"/>
        <v>395835.18465906562</v>
      </c>
      <c r="BC47" s="2">
        <f t="shared" si="56"/>
        <v>407710.24019883759</v>
      </c>
      <c r="BD47" s="2">
        <f t="shared" si="56"/>
        <v>419941.54740480275</v>
      </c>
      <c r="BE47" s="2">
        <f t="shared" si="56"/>
        <v>432539.79382694687</v>
      </c>
      <c r="BF47" s="2">
        <f t="shared" si="56"/>
        <v>445515.98764175532</v>
      </c>
      <c r="BG47" s="2">
        <f t="shared" si="56"/>
        <v>458881.467271008</v>
      </c>
      <c r="BH47" s="2">
        <f t="shared" si="56"/>
        <v>472647.91128913825</v>
      </c>
      <c r="BI47" s="2">
        <f t="shared" si="56"/>
        <v>486827.3486278124</v>
      </c>
      <c r="BJ47" s="2">
        <f t="shared" si="56"/>
        <v>501432.16908664681</v>
      </c>
      <c r="BK47" s="2">
        <f t="shared" si="56"/>
        <v>516475.13415924623</v>
      </c>
      <c r="BL47" s="2">
        <f t="shared" si="56"/>
        <v>531969.38818402367</v>
      </c>
      <c r="BM47" s="2">
        <f t="shared" si="56"/>
        <v>547928.46982954443</v>
      </c>
      <c r="BN47" s="2">
        <f t="shared" si="56"/>
        <v>564366.32392443076</v>
      </c>
      <c r="BO47" s="2">
        <f t="shared" si="56"/>
        <v>581297.31364216364</v>
      </c>
      <c r="BP47" s="2">
        <f t="shared" si="56"/>
        <v>598736.23305142857</v>
      </c>
      <c r="BQ47" s="2">
        <f t="shared" si="56"/>
        <v>616698.32004297141</v>
      </c>
      <c r="BR47" s="2">
        <f t="shared" si="56"/>
        <v>635199.26964426052</v>
      </c>
      <c r="BS47" s="2">
        <f t="shared" si="56"/>
        <v>654255.24773358833</v>
      </c>
      <c r="BT47" s="2">
        <f t="shared" si="56"/>
        <v>673882.90516559605</v>
      </c>
      <c r="BU47" s="2">
        <f t="shared" si="56"/>
        <v>694099.3923205639</v>
      </c>
      <c r="BV47" s="2">
        <f t="shared" si="56"/>
        <v>714922.37409018085</v>
      </c>
      <c r="BW47" s="2">
        <f t="shared" si="56"/>
        <v>736370.04531288624</v>
      </c>
      <c r="BX47" s="2">
        <f t="shared" si="56"/>
        <v>758461.14667227282</v>
      </c>
      <c r="BY47" s="2">
        <f t="shared" si="56"/>
        <v>781214.98107244098</v>
      </c>
      <c r="BZ47" s="2">
        <f t="shared" si="56"/>
        <v>804651.43050461425</v>
      </c>
      <c r="CA47" s="2">
        <f t="shared" si="56"/>
        <v>828790.97341975267</v>
      </c>
      <c r="CB47" s="2">
        <f t="shared" si="56"/>
        <v>853654.7026223453</v>
      </c>
      <c r="CC47" s="2">
        <f t="shared" si="56"/>
        <v>879264.34370101569</v>
      </c>
      <c r="CD47" s="2">
        <f t="shared" si="56"/>
        <v>905642.27401204617</v>
      </c>
      <c r="CE47" s="2">
        <f t="shared" ref="CE47:DE47" si="57">+CD47*(1+$T54)</f>
        <v>932811.54223240761</v>
      </c>
      <c r="CF47" s="2">
        <f t="shared" si="57"/>
        <v>960795.88849937986</v>
      </c>
      <c r="CG47" s="2">
        <f t="shared" si="57"/>
        <v>989619.76515436126</v>
      </c>
      <c r="CH47" s="2">
        <f t="shared" si="57"/>
        <v>1019308.3581089921</v>
      </c>
      <c r="CI47" s="2">
        <f t="shared" si="57"/>
        <v>1049887.6088522619</v>
      </c>
      <c r="CJ47" s="2">
        <f t="shared" si="57"/>
        <v>1081384.2371178297</v>
      </c>
      <c r="CK47" s="2">
        <f t="shared" si="57"/>
        <v>1113825.7642313647</v>
      </c>
      <c r="CL47" s="2">
        <f t="shared" si="57"/>
        <v>1147240.5371583058</v>
      </c>
      <c r="CM47" s="2">
        <f t="shared" si="57"/>
        <v>1181657.753273055</v>
      </c>
      <c r="CN47" s="2">
        <f t="shared" si="57"/>
        <v>1217107.4858712466</v>
      </c>
      <c r="CO47" s="2">
        <f t="shared" si="57"/>
        <v>1253620.710447384</v>
      </c>
      <c r="CP47" s="2">
        <f t="shared" si="57"/>
        <v>1291229.3317608056</v>
      </c>
      <c r="CQ47" s="2">
        <f t="shared" si="57"/>
        <v>1329966.2117136298</v>
      </c>
      <c r="CR47" s="2">
        <f t="shared" si="57"/>
        <v>1369865.1980650388</v>
      </c>
      <c r="CS47" s="2">
        <f t="shared" si="57"/>
        <v>1410961.1540069899</v>
      </c>
      <c r="CT47" s="2">
        <f t="shared" si="57"/>
        <v>1453289.9886271995</v>
      </c>
      <c r="CU47" s="2">
        <f t="shared" si="57"/>
        <v>1496888.6882860155</v>
      </c>
      <c r="CV47" s="2">
        <f t="shared" si="57"/>
        <v>1541795.3489345959</v>
      </c>
      <c r="CW47" s="2">
        <f t="shared" si="57"/>
        <v>1588049.2094026338</v>
      </c>
      <c r="CX47" s="2">
        <f t="shared" si="57"/>
        <v>1635690.6856847128</v>
      </c>
      <c r="CY47" s="2">
        <f t="shared" si="57"/>
        <v>1684761.4062552543</v>
      </c>
      <c r="CZ47" s="2">
        <f t="shared" si="57"/>
        <v>1735304.248442912</v>
      </c>
      <c r="DA47" s="2">
        <f t="shared" si="57"/>
        <v>1787363.3758961994</v>
      </c>
      <c r="DB47" s="2">
        <f t="shared" si="57"/>
        <v>1840984.2771730854</v>
      </c>
      <c r="DC47" s="2">
        <f t="shared" si="57"/>
        <v>1896213.8054882779</v>
      </c>
      <c r="DD47" s="2">
        <f t="shared" si="57"/>
        <v>1953100.2196529263</v>
      </c>
      <c r="DE47" s="2">
        <f t="shared" si="57"/>
        <v>2011693.2262425141</v>
      </c>
    </row>
    <row r="48" spans="2:109" s="4" customFormat="1" x14ac:dyDescent="0.25">
      <c r="B48" s="4" t="s">
        <v>32</v>
      </c>
      <c r="D48" s="4">
        <f>+D47/D49</f>
        <v>0.61</v>
      </c>
      <c r="E48" s="4">
        <f>+E47/E49</f>
        <v>1.0275000000000001</v>
      </c>
      <c r="F48" s="4">
        <f t="shared" ref="F48:Q48" si="58">+F47/F49</f>
        <v>2.5093000000000001</v>
      </c>
      <c r="G48" s="4">
        <f t="shared" si="58"/>
        <v>4.3137134690399996</v>
      </c>
      <c r="H48" s="4">
        <f t="shared" si="58"/>
        <v>5.4688884</v>
      </c>
      <c r="I48" s="4">
        <f t="shared" si="58"/>
        <v>7.011603599999999</v>
      </c>
      <c r="J48" s="4">
        <f t="shared" si="58"/>
        <v>8.9103299999999983</v>
      </c>
      <c r="K48" s="4">
        <f t="shared" si="58"/>
        <v>10.481522471980487</v>
      </c>
      <c r="L48" s="4">
        <f t="shared" si="58"/>
        <v>10.900381370859707</v>
      </c>
      <c r="M48" s="4">
        <f t="shared" si="58"/>
        <v>11.335994625694095</v>
      </c>
      <c r="N48" s="4">
        <f t="shared" si="58"/>
        <v>11.789032410721855</v>
      </c>
      <c r="O48" s="4">
        <f t="shared" si="58"/>
        <v>12.260191707150733</v>
      </c>
      <c r="P48" s="4">
        <f t="shared" si="58"/>
        <v>12.750197375436763</v>
      </c>
      <c r="Q48" s="4">
        <f t="shared" si="58"/>
        <v>13.259803270454237</v>
      </c>
    </row>
    <row r="49" spans="2:20" s="1" customFormat="1" x14ac:dyDescent="0.25">
      <c r="B49" s="1" t="s">
        <v>30</v>
      </c>
      <c r="D49" s="1">
        <v>10000</v>
      </c>
      <c r="E49" s="1">
        <v>10000</v>
      </c>
      <c r="F49" s="1">
        <v>10000</v>
      </c>
      <c r="G49" s="1">
        <v>10000</v>
      </c>
      <c r="H49" s="1">
        <v>10000</v>
      </c>
      <c r="I49" s="1">
        <v>10000</v>
      </c>
      <c r="J49" s="1">
        <v>10000</v>
      </c>
      <c r="K49" s="1">
        <v>10000</v>
      </c>
      <c r="L49" s="1">
        <v>10000</v>
      </c>
      <c r="M49" s="1">
        <v>10000</v>
      </c>
      <c r="N49" s="1">
        <v>10000</v>
      </c>
      <c r="O49" s="1">
        <v>10000</v>
      </c>
      <c r="P49" s="1">
        <v>10000</v>
      </c>
      <c r="Q49" s="1">
        <v>10000</v>
      </c>
    </row>
    <row r="50" spans="2:20" s="1" customFormat="1" x14ac:dyDescent="0.25">
      <c r="D50" s="4"/>
      <c r="E50" s="4"/>
      <c r="F50" s="4"/>
      <c r="G50" s="4"/>
    </row>
    <row r="51" spans="2:20" s="3" customFormat="1" x14ac:dyDescent="0.25">
      <c r="B51" s="3" t="s">
        <v>14</v>
      </c>
      <c r="D51" s="3">
        <f>+D37/D34</f>
        <v>0.94925570140060134</v>
      </c>
      <c r="E51" s="3">
        <f>+E37/E34</f>
        <v>0.96937065068319195</v>
      </c>
      <c r="F51" s="3">
        <f>+F37/F34</f>
        <v>0.98057367168423326</v>
      </c>
      <c r="G51" s="3">
        <f t="shared" ref="G51:Q51" si="59">+G37/G34</f>
        <v>0.96332331778846159</v>
      </c>
      <c r="H51" s="3">
        <f t="shared" si="59"/>
        <v>0.95144927536231882</v>
      </c>
      <c r="I51" s="3">
        <f t="shared" si="59"/>
        <v>0.95112994350282487</v>
      </c>
      <c r="J51" s="3">
        <f t="shared" si="59"/>
        <v>0.95088888888888889</v>
      </c>
      <c r="K51" s="3">
        <f t="shared" si="59"/>
        <v>0.95075551552288085</v>
      </c>
      <c r="L51" s="3">
        <f t="shared" si="59"/>
        <v>0.95072645723353921</v>
      </c>
      <c r="M51" s="3">
        <f t="shared" si="59"/>
        <v>0.95069851657071081</v>
      </c>
      <c r="N51" s="3">
        <f t="shared" si="59"/>
        <v>0.95067165054876035</v>
      </c>
      <c r="O51" s="3">
        <f t="shared" si="59"/>
        <v>0.95064581783534641</v>
      </c>
      <c r="P51" s="3">
        <f t="shared" si="59"/>
        <v>0.95062097868783324</v>
      </c>
      <c r="Q51" s="3">
        <f t="shared" si="59"/>
        <v>0.95059709489214739</v>
      </c>
    </row>
    <row r="52" spans="2:20" s="3" customFormat="1" x14ac:dyDescent="0.25">
      <c r="B52" s="3" t="s">
        <v>15</v>
      </c>
      <c r="D52" s="3">
        <f>+D42/D34</f>
        <v>0.33651096282173498</v>
      </c>
      <c r="E52" s="3">
        <f t="shared" ref="E52:F52" si="60">+E42/E34</f>
        <v>0.39292426474323155</v>
      </c>
      <c r="F52" s="3">
        <f t="shared" si="60"/>
        <v>0.57611349797545819</v>
      </c>
      <c r="G52" s="3">
        <f t="shared" ref="G52:Q52" si="61">+G42/G34</f>
        <v>0.61795296269230771</v>
      </c>
      <c r="H52" s="3">
        <f t="shared" si="61"/>
        <v>0.59076231884057973</v>
      </c>
      <c r="I52" s="3">
        <f t="shared" si="61"/>
        <v>0.59068248587570626</v>
      </c>
      <c r="J52" s="3">
        <f t="shared" si="61"/>
        <v>0.59062222222222227</v>
      </c>
      <c r="K52" s="3">
        <f t="shared" si="61"/>
        <v>0.59058887888072031</v>
      </c>
      <c r="L52" s="3">
        <f t="shared" si="61"/>
        <v>0.59058161430838474</v>
      </c>
      <c r="M52" s="3">
        <f t="shared" si="61"/>
        <v>0.59057462914267767</v>
      </c>
      <c r="N52" s="3">
        <f t="shared" si="61"/>
        <v>0.59056791263719</v>
      </c>
      <c r="O52" s="3">
        <f t="shared" si="61"/>
        <v>0.59056145445883668</v>
      </c>
      <c r="P52" s="3">
        <f t="shared" si="61"/>
        <v>0.5905552446719583</v>
      </c>
      <c r="Q52" s="3">
        <f t="shared" si="61"/>
        <v>0.59054927372303689</v>
      </c>
    </row>
    <row r="53" spans="2:20" s="3" customFormat="1" x14ac:dyDescent="0.25">
      <c r="B53" s="3" t="s">
        <v>16</v>
      </c>
      <c r="D53" s="3">
        <f>+D47/D34</f>
        <v>0.22365622937596247</v>
      </c>
      <c r="E53" s="3">
        <f t="shared" ref="E53:F53" si="62">+E47/E34</f>
        <v>0.26095900848275511</v>
      </c>
      <c r="F53" s="3">
        <f t="shared" si="62"/>
        <v>0.38780020399962911</v>
      </c>
      <c r="G53" s="3">
        <f t="shared" ref="G53:Q53" si="63">+G47/G34</f>
        <v>0.4147801412538461</v>
      </c>
      <c r="H53" s="3">
        <f t="shared" si="63"/>
        <v>0.39629626086956521</v>
      </c>
      <c r="I53" s="3">
        <f t="shared" si="63"/>
        <v>0.39613579661016945</v>
      </c>
      <c r="J53" s="3">
        <f t="shared" si="63"/>
        <v>0.39601466666666663</v>
      </c>
      <c r="K53" s="3">
        <f t="shared" si="63"/>
        <v>0.39594764655024767</v>
      </c>
      <c r="L53" s="3">
        <f t="shared" si="63"/>
        <v>0.39593304475985341</v>
      </c>
      <c r="M53" s="3">
        <f t="shared" si="63"/>
        <v>0.39591900457678214</v>
      </c>
      <c r="N53" s="3">
        <f t="shared" si="63"/>
        <v>0.39590550440075201</v>
      </c>
      <c r="O53" s="3">
        <f t="shared" si="63"/>
        <v>0.39589252346226161</v>
      </c>
      <c r="P53" s="3">
        <f t="shared" si="63"/>
        <v>0.39588004179063618</v>
      </c>
      <c r="Q53" s="3">
        <f t="shared" si="63"/>
        <v>0.39586804018330407</v>
      </c>
      <c r="S53" s="3" t="s">
        <v>25</v>
      </c>
      <c r="T53" s="3">
        <v>0.1</v>
      </c>
    </row>
    <row r="54" spans="2:20" s="3" customFormat="1" x14ac:dyDescent="0.25">
      <c r="B54" s="3" t="s">
        <v>20</v>
      </c>
      <c r="E54" s="3">
        <f>+E34/D34 -1</f>
        <v>0.44364596318838445</v>
      </c>
      <c r="F54" s="3">
        <f>+F34/E34 -1</f>
        <v>0.64336872047544058</v>
      </c>
      <c r="G54" s="3">
        <f>+G34/F34 -1</f>
        <v>0.60726980496399108</v>
      </c>
      <c r="H54" s="3">
        <f t="shared" ref="H54:Q54" si="64">+H34/G34 -1</f>
        <v>0.32692307692307687</v>
      </c>
      <c r="I54" s="3">
        <f t="shared" si="64"/>
        <v>0.28260869565217384</v>
      </c>
      <c r="J54" s="3">
        <f t="shared" si="64"/>
        <v>0.27118644067796605</v>
      </c>
      <c r="K54" s="3">
        <f t="shared" si="64"/>
        <v>0.17653292615293958</v>
      </c>
      <c r="L54" s="3">
        <f t="shared" si="64"/>
        <v>4.0000000000000258E-2</v>
      </c>
      <c r="M54" s="3">
        <f t="shared" si="64"/>
        <v>4.0000000000000036E-2</v>
      </c>
      <c r="N54" s="3">
        <f t="shared" si="64"/>
        <v>3.9999999999999591E-2</v>
      </c>
      <c r="O54" s="3">
        <f t="shared" si="64"/>
        <v>4.0000000000000258E-2</v>
      </c>
      <c r="P54" s="3">
        <f t="shared" si="64"/>
        <v>4.0000000000000036E-2</v>
      </c>
      <c r="Q54" s="3">
        <f t="shared" si="64"/>
        <v>4.0000000000000036E-2</v>
      </c>
      <c r="S54" s="3" t="s">
        <v>26</v>
      </c>
      <c r="T54" s="3">
        <v>0.03</v>
      </c>
    </row>
    <row r="55" spans="2:20" s="1" customFormat="1" x14ac:dyDescent="0.25">
      <c r="S55" s="1" t="s">
        <v>27</v>
      </c>
      <c r="T55" s="1">
        <f>NPV(T53,G47:DE47)</f>
        <v>1267588.2764279628</v>
      </c>
    </row>
    <row r="56" spans="2:20" s="1" customFormat="1" x14ac:dyDescent="0.25">
      <c r="B56" s="1" t="s">
        <v>17</v>
      </c>
      <c r="D56" s="1">
        <v>8887</v>
      </c>
      <c r="E56" s="1">
        <v>5257</v>
      </c>
      <c r="F56" s="1">
        <v>20140</v>
      </c>
      <c r="G56" s="1">
        <v>41000</v>
      </c>
      <c r="S56" s="1" t="s">
        <v>28</v>
      </c>
      <c r="T56" s="1">
        <f>+F61-F62</f>
        <v>17386</v>
      </c>
    </row>
    <row r="57" spans="2:20" s="1" customFormat="1" x14ac:dyDescent="0.25">
      <c r="B57" s="1" t="s">
        <v>18</v>
      </c>
      <c r="D57" s="1">
        <v>326</v>
      </c>
      <c r="E57" s="1">
        <v>109</v>
      </c>
      <c r="F57" s="1">
        <v>142</v>
      </c>
      <c r="G57" s="1">
        <v>200</v>
      </c>
      <c r="S57" s="1" t="s">
        <v>29</v>
      </c>
      <c r="T57" s="1">
        <f>+T55+T56</f>
        <v>1284974.2764279628</v>
      </c>
    </row>
    <row r="58" spans="2:20" s="1" customFormat="1" x14ac:dyDescent="0.25">
      <c r="B58" s="1" t="s">
        <v>19</v>
      </c>
      <c r="D58" s="1">
        <f>+D56-D57</f>
        <v>8561</v>
      </c>
      <c r="E58" s="1">
        <f>+E56-E57</f>
        <v>5148</v>
      </c>
      <c r="F58" s="1">
        <f>+F56-F57</f>
        <v>19998</v>
      </c>
      <c r="G58" s="1">
        <f>+G56-G57</f>
        <v>40800</v>
      </c>
      <c r="S58" s="1" t="s">
        <v>31</v>
      </c>
      <c r="T58" s="1">
        <f>+T57/Q49</f>
        <v>128.49742764279628</v>
      </c>
    </row>
    <row r="59" spans="2:20" s="1" customFormat="1" x14ac:dyDescent="0.25"/>
    <row r="60" spans="2:20" s="1" customFormat="1" x14ac:dyDescent="0.25">
      <c r="B60" s="1" t="s">
        <v>21</v>
      </c>
      <c r="D60" s="1">
        <v>16194</v>
      </c>
      <c r="E60" s="1">
        <v>20370</v>
      </c>
      <c r="F60" s="1">
        <v>33324</v>
      </c>
    </row>
    <row r="61" spans="2:20" s="1" customFormat="1" x14ac:dyDescent="0.25">
      <c r="B61" s="1" t="s">
        <v>22</v>
      </c>
      <c r="D61" s="1">
        <v>12585</v>
      </c>
      <c r="E61" s="1">
        <v>13656</v>
      </c>
      <c r="F61" s="1">
        <v>23878</v>
      </c>
    </row>
    <row r="62" spans="2:20" s="1" customFormat="1" x14ac:dyDescent="0.25">
      <c r="B62" s="1" t="s">
        <v>23</v>
      </c>
      <c r="D62" s="1">
        <v>7285</v>
      </c>
      <c r="E62" s="1">
        <v>8502</v>
      </c>
      <c r="F62" s="1">
        <v>6492</v>
      </c>
    </row>
    <row r="63" spans="2:20" s="1" customFormat="1" x14ac:dyDescent="0.25">
      <c r="B63" s="1" t="s">
        <v>24</v>
      </c>
      <c r="D63" s="1">
        <f>+D61-D62</f>
        <v>5300</v>
      </c>
      <c r="E63" s="1">
        <f>+E61-E62</f>
        <v>5154</v>
      </c>
      <c r="F63" s="1">
        <f>+F61-F62</f>
        <v>17386</v>
      </c>
    </row>
    <row r="64" spans="2:20" s="1" customFormat="1" x14ac:dyDescent="0.25"/>
    <row r="65" spans="2:7" s="1" customFormat="1" x14ac:dyDescent="0.25">
      <c r="B65" s="1" t="s">
        <v>0</v>
      </c>
      <c r="D65" s="1">
        <v>26600</v>
      </c>
      <c r="E65" s="1">
        <v>39500</v>
      </c>
      <c r="F65" s="1">
        <v>65300</v>
      </c>
      <c r="G65" s="1">
        <v>104000</v>
      </c>
    </row>
    <row r="66" spans="2:7" s="1" customFormat="1" x14ac:dyDescent="0.25">
      <c r="B66" s="1" t="s">
        <v>45</v>
      </c>
      <c r="D66" s="1">
        <v>7700</v>
      </c>
      <c r="E66" s="1">
        <v>12200</v>
      </c>
      <c r="F66" s="1">
        <v>12800</v>
      </c>
      <c r="G66" s="1">
        <v>19300</v>
      </c>
    </row>
    <row r="67" spans="2:7" s="1" customFormat="1" x14ac:dyDescent="0.25">
      <c r="B67" s="1" t="s">
        <v>46</v>
      </c>
      <c r="D67" s="1">
        <v>2100</v>
      </c>
      <c r="E67" s="1">
        <v>3400</v>
      </c>
      <c r="F67" s="1">
        <v>3700</v>
      </c>
      <c r="G67" s="1">
        <v>6600</v>
      </c>
    </row>
    <row r="68" spans="2:7" s="1" customFormat="1" x14ac:dyDescent="0.25">
      <c r="B68" s="1" t="s">
        <v>47</v>
      </c>
      <c r="D68" s="1">
        <v>7500</v>
      </c>
      <c r="E68" s="1">
        <v>8400</v>
      </c>
      <c r="F68" s="1">
        <v>11400</v>
      </c>
      <c r="G68" s="1">
        <v>15200</v>
      </c>
    </row>
    <row r="69" spans="2:7" s="1" customFormat="1" x14ac:dyDescent="0.25">
      <c r="B69" s="1" t="s">
        <v>175</v>
      </c>
      <c r="D69" s="1">
        <f>+SUM(D66:D68)</f>
        <v>17300</v>
      </c>
      <c r="E69" s="1">
        <f>+SUM(E66:E68)</f>
        <v>24000</v>
      </c>
      <c r="F69" s="1">
        <f>+SUM(F66:F68)</f>
        <v>27900</v>
      </c>
      <c r="G69" s="1">
        <f>+SUM(G66:G68)</f>
        <v>41100</v>
      </c>
    </row>
    <row r="70" spans="2:7" s="1" customFormat="1" x14ac:dyDescent="0.25">
      <c r="B70" s="1" t="s">
        <v>9</v>
      </c>
      <c r="D70" s="1">
        <v>9200</v>
      </c>
      <c r="E70" s="1">
        <v>15500</v>
      </c>
      <c r="F70" s="1">
        <v>38000</v>
      </c>
      <c r="G70" s="1">
        <v>63600</v>
      </c>
    </row>
    <row r="71" spans="2:7" s="11" customFormat="1" x14ac:dyDescent="0.25">
      <c r="B71" s="11" t="s">
        <v>15</v>
      </c>
      <c r="D71" s="11">
        <f>+D70/D65</f>
        <v>0.34586466165413532</v>
      </c>
      <c r="E71" s="11">
        <f t="shared" ref="E71:G71" si="65">+E70/E65</f>
        <v>0.39240506329113922</v>
      </c>
      <c r="F71" s="11">
        <f t="shared" si="65"/>
        <v>0.58192955589586526</v>
      </c>
      <c r="G71" s="11">
        <f t="shared" si="65"/>
        <v>0.61153846153846159</v>
      </c>
    </row>
    <row r="72" spans="2:7" s="1" customFormat="1" x14ac:dyDescent="0.25"/>
    <row r="73" spans="2:7" s="1" customFormat="1" x14ac:dyDescent="0.25">
      <c r="B73" s="1" t="s">
        <v>17</v>
      </c>
    </row>
    <row r="74" spans="2:7" s="1" customFormat="1" x14ac:dyDescent="0.25"/>
    <row r="75" spans="2:7" s="1" customFormat="1" x14ac:dyDescent="0.25"/>
    <row r="76" spans="2:7" s="1" customFormat="1" x14ac:dyDescent="0.25"/>
    <row r="77" spans="2:7" s="1" customFormat="1" x14ac:dyDescent="0.25"/>
    <row r="78" spans="2:7" s="1" customFormat="1" x14ac:dyDescent="0.25"/>
    <row r="79" spans="2:7" s="1" customFormat="1" x14ac:dyDescent="0.25"/>
    <row r="80" spans="2:7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28EC-AA10-4E58-9822-043690CF3687}">
  <dimension ref="B2:I300"/>
  <sheetViews>
    <sheetView zoomScale="220" zoomScaleNormal="220"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H16" sqref="H16"/>
    </sheetView>
  </sheetViews>
  <sheetFormatPr defaultRowHeight="15" x14ac:dyDescent="0.25"/>
  <cols>
    <col min="2" max="2" width="14.140625" bestFit="1" customWidth="1"/>
    <col min="4" max="4" width="9.140625" style="3"/>
    <col min="7" max="7" width="9.7109375" bestFit="1" customWidth="1"/>
  </cols>
  <sheetData>
    <row r="2" spans="2:9" x14ac:dyDescent="0.25">
      <c r="C2">
        <v>2024</v>
      </c>
      <c r="D2" s="3" t="s">
        <v>173</v>
      </c>
      <c r="E2" t="s">
        <v>174</v>
      </c>
      <c r="F2" t="s">
        <v>187</v>
      </c>
    </row>
    <row r="3" spans="2:9" s="1" customFormat="1" x14ac:dyDescent="0.25">
      <c r="D3" s="3"/>
    </row>
    <row r="4" spans="2:9" s="1" customFormat="1" x14ac:dyDescent="0.25">
      <c r="B4" s="1" t="s">
        <v>68</v>
      </c>
      <c r="C4" s="1">
        <v>21779</v>
      </c>
      <c r="D4" s="3">
        <v>0.55000000000000004</v>
      </c>
      <c r="E4" s="1">
        <f>+D4*C4</f>
        <v>11978.45</v>
      </c>
      <c r="G4" s="1" t="s">
        <v>175</v>
      </c>
      <c r="H4" s="1">
        <f>+SUM(E:E)</f>
        <v>64426.250000000015</v>
      </c>
    </row>
    <row r="5" spans="2:9" s="1" customFormat="1" x14ac:dyDescent="0.25">
      <c r="B5" s="1" t="s">
        <v>69</v>
      </c>
      <c r="C5" s="1">
        <v>9980</v>
      </c>
      <c r="D5" s="3">
        <v>0.55000000000000004</v>
      </c>
      <c r="E5" s="1">
        <f t="shared" ref="E5:E68" si="0">+D5*C5</f>
        <v>5489</v>
      </c>
    </row>
    <row r="6" spans="2:9" s="1" customFormat="1" x14ac:dyDescent="0.25">
      <c r="B6" s="1" t="s">
        <v>70</v>
      </c>
      <c r="C6" s="1">
        <v>7564</v>
      </c>
      <c r="D6" s="3">
        <v>0.6</v>
      </c>
      <c r="E6" s="1">
        <f t="shared" si="0"/>
        <v>4538.3999999999996</v>
      </c>
      <c r="G6" s="1" t="s">
        <v>176</v>
      </c>
      <c r="H6" s="1">
        <f>+H4-H7-H8</f>
        <v>54919.550000000017</v>
      </c>
      <c r="I6" s="1" t="s">
        <v>179</v>
      </c>
    </row>
    <row r="7" spans="2:9" s="1" customFormat="1" x14ac:dyDescent="0.25">
      <c r="B7" s="1" t="s">
        <v>71</v>
      </c>
      <c r="C7" s="1">
        <v>7755</v>
      </c>
      <c r="D7" s="3">
        <v>0.6</v>
      </c>
      <c r="E7" s="1">
        <f t="shared" si="0"/>
        <v>4653</v>
      </c>
      <c r="G7" s="1" t="s">
        <v>177</v>
      </c>
      <c r="H7" s="1">
        <f>+SUM(E33:E79)</f>
        <v>7707.7</v>
      </c>
      <c r="I7" s="1" t="s">
        <v>180</v>
      </c>
    </row>
    <row r="8" spans="2:9" s="1" customFormat="1" x14ac:dyDescent="0.25">
      <c r="B8" s="1" t="s">
        <v>72</v>
      </c>
      <c r="C8" s="1">
        <v>5461</v>
      </c>
      <c r="D8" s="3">
        <v>0.5</v>
      </c>
      <c r="E8" s="1">
        <f t="shared" si="0"/>
        <v>2730.5</v>
      </c>
      <c r="G8" s="1" t="s">
        <v>178</v>
      </c>
      <c r="H8" s="1">
        <f>+SUM(E80:E109)</f>
        <v>1799</v>
      </c>
      <c r="I8" s="1" t="s">
        <v>181</v>
      </c>
    </row>
    <row r="9" spans="2:9" s="1" customFormat="1" x14ac:dyDescent="0.25">
      <c r="B9" s="1" t="s">
        <v>73</v>
      </c>
      <c r="C9" s="1">
        <v>6282</v>
      </c>
      <c r="D9" s="3">
        <v>0.35</v>
      </c>
      <c r="E9" s="1">
        <f t="shared" si="0"/>
        <v>2198.6999999999998</v>
      </c>
    </row>
    <row r="10" spans="2:9" s="1" customFormat="1" x14ac:dyDescent="0.25">
      <c r="B10" s="1" t="s">
        <v>74</v>
      </c>
      <c r="C10" s="1">
        <v>6183</v>
      </c>
      <c r="D10" s="3">
        <v>0.4</v>
      </c>
      <c r="E10" s="1">
        <f t="shared" si="0"/>
        <v>2473.2000000000003</v>
      </c>
    </row>
    <row r="11" spans="2:9" s="1" customFormat="1" x14ac:dyDescent="0.25">
      <c r="B11" s="1" t="s">
        <v>75</v>
      </c>
      <c r="C11" s="1">
        <v>5766</v>
      </c>
      <c r="D11" s="3">
        <v>0.65</v>
      </c>
      <c r="E11" s="1">
        <f t="shared" si="0"/>
        <v>3747.9</v>
      </c>
      <c r="G11" s="1" t="s">
        <v>61</v>
      </c>
      <c r="H11" s="1">
        <f>+Model!F16</f>
        <v>93769.180000000008</v>
      </c>
      <c r="I11" s="1" t="s">
        <v>182</v>
      </c>
    </row>
    <row r="12" spans="2:9" s="1" customFormat="1" x14ac:dyDescent="0.25">
      <c r="B12" s="1" t="s">
        <v>76</v>
      </c>
      <c r="C12" s="1">
        <v>2876</v>
      </c>
      <c r="D12" s="3">
        <v>0.55000000000000004</v>
      </c>
      <c r="E12" s="1">
        <f t="shared" si="0"/>
        <v>1581.8000000000002</v>
      </c>
      <c r="G12" s="1" t="s">
        <v>183</v>
      </c>
      <c r="H12" s="1">
        <f>+H11-H6-H7</f>
        <v>31141.929999999989</v>
      </c>
    </row>
    <row r="13" spans="2:9" s="1" customFormat="1" x14ac:dyDescent="0.25">
      <c r="B13" s="1" t="s">
        <v>77</v>
      </c>
      <c r="C13" s="1">
        <v>2730</v>
      </c>
      <c r="D13" s="3">
        <v>0.6</v>
      </c>
      <c r="E13" s="1">
        <f t="shared" si="0"/>
        <v>1638</v>
      </c>
      <c r="G13" s="1" t="s">
        <v>188</v>
      </c>
      <c r="H13" s="1">
        <f>+H12-H19</f>
        <v>24578.929999999989</v>
      </c>
    </row>
    <row r="14" spans="2:9" s="1" customFormat="1" x14ac:dyDescent="0.25">
      <c r="B14" s="1" t="s">
        <v>78</v>
      </c>
      <c r="C14" s="1">
        <v>2438</v>
      </c>
      <c r="D14" s="3">
        <v>0.55000000000000004</v>
      </c>
      <c r="E14" s="1">
        <f t="shared" si="0"/>
        <v>1340.9</v>
      </c>
      <c r="G14" s="1" t="s">
        <v>191</v>
      </c>
      <c r="H14" s="9">
        <f>+H13/H11</f>
        <v>0.26212162674345652</v>
      </c>
    </row>
    <row r="15" spans="2:9" s="1" customFormat="1" x14ac:dyDescent="0.25">
      <c r="B15" s="1" t="s">
        <v>79</v>
      </c>
      <c r="C15" s="1">
        <v>2190</v>
      </c>
      <c r="D15" s="3">
        <v>0.55000000000000004</v>
      </c>
      <c r="E15" s="1">
        <f t="shared" si="0"/>
        <v>1204.5</v>
      </c>
    </row>
    <row r="16" spans="2:9" s="1" customFormat="1" x14ac:dyDescent="0.25">
      <c r="B16" s="1" t="s">
        <v>80</v>
      </c>
      <c r="C16" s="1">
        <v>2170</v>
      </c>
      <c r="D16" s="3">
        <v>0.55000000000000004</v>
      </c>
      <c r="E16" s="1">
        <f t="shared" si="0"/>
        <v>1193.5</v>
      </c>
      <c r="G16" s="1" t="s">
        <v>184</v>
      </c>
      <c r="H16" s="1">
        <v>9000</v>
      </c>
      <c r="I16" s="1" t="s">
        <v>190</v>
      </c>
    </row>
    <row r="17" spans="2:8" s="1" customFormat="1" x14ac:dyDescent="0.25">
      <c r="B17" s="1" t="s">
        <v>81</v>
      </c>
      <c r="C17" s="1">
        <v>1956</v>
      </c>
      <c r="D17" s="3">
        <v>0.6</v>
      </c>
      <c r="E17" s="1">
        <f t="shared" si="0"/>
        <v>1173.5999999999999</v>
      </c>
      <c r="G17" s="1" t="s">
        <v>185</v>
      </c>
      <c r="H17" s="1">
        <f>+H16+H8</f>
        <v>10799</v>
      </c>
    </row>
    <row r="18" spans="2:8" s="1" customFormat="1" x14ac:dyDescent="0.25">
      <c r="B18" s="1" t="s">
        <v>82</v>
      </c>
      <c r="C18" s="1">
        <v>1780</v>
      </c>
      <c r="D18" s="3">
        <v>0.8</v>
      </c>
      <c r="E18" s="1">
        <f t="shared" si="0"/>
        <v>1424</v>
      </c>
      <c r="G18" s="1" t="s">
        <v>186</v>
      </c>
      <c r="H18" s="1">
        <f>+SUM(F80:F251)+323*12</f>
        <v>4236</v>
      </c>
    </row>
    <row r="19" spans="2:8" s="1" customFormat="1" x14ac:dyDescent="0.25">
      <c r="B19" s="1" t="s">
        <v>83</v>
      </c>
      <c r="C19" s="1">
        <v>1600</v>
      </c>
      <c r="D19" s="3">
        <v>0.8</v>
      </c>
      <c r="E19" s="1">
        <f t="shared" si="0"/>
        <v>1280</v>
      </c>
      <c r="G19" s="1" t="s">
        <v>189</v>
      </c>
      <c r="H19" s="1">
        <f>+H17-H18</f>
        <v>6563</v>
      </c>
    </row>
    <row r="20" spans="2:8" s="1" customFormat="1" x14ac:dyDescent="0.25">
      <c r="B20" s="1" t="s">
        <v>84</v>
      </c>
      <c r="C20" s="1">
        <v>1314</v>
      </c>
      <c r="D20" s="3">
        <v>0.4</v>
      </c>
      <c r="E20" s="1">
        <f t="shared" si="0"/>
        <v>525.6</v>
      </c>
    </row>
    <row r="21" spans="2:8" s="1" customFormat="1" x14ac:dyDescent="0.25">
      <c r="B21" s="1" t="s">
        <v>85</v>
      </c>
      <c r="C21" s="1">
        <v>1313</v>
      </c>
      <c r="D21" s="3">
        <v>0.6</v>
      </c>
      <c r="E21" s="1">
        <f t="shared" si="0"/>
        <v>787.8</v>
      </c>
    </row>
    <row r="22" spans="2:8" s="1" customFormat="1" x14ac:dyDescent="0.25">
      <c r="B22" s="1" t="s">
        <v>86</v>
      </c>
      <c r="C22" s="1">
        <v>882</v>
      </c>
      <c r="D22" s="3">
        <v>0.65</v>
      </c>
      <c r="E22" s="1">
        <f t="shared" si="0"/>
        <v>573.30000000000007</v>
      </c>
    </row>
    <row r="23" spans="2:8" s="1" customFormat="1" x14ac:dyDescent="0.25">
      <c r="B23" s="1" t="s">
        <v>87</v>
      </c>
      <c r="C23" s="1">
        <v>842</v>
      </c>
      <c r="D23" s="3">
        <v>0.6</v>
      </c>
      <c r="E23" s="1">
        <f t="shared" si="0"/>
        <v>505.2</v>
      </c>
    </row>
    <row r="24" spans="2:8" s="1" customFormat="1" x14ac:dyDescent="0.25">
      <c r="B24" s="1" t="s">
        <v>88</v>
      </c>
      <c r="C24" s="1">
        <v>769</v>
      </c>
      <c r="D24" s="3">
        <v>0.7</v>
      </c>
      <c r="E24" s="1">
        <f t="shared" si="0"/>
        <v>538.29999999999995</v>
      </c>
    </row>
    <row r="25" spans="2:8" s="1" customFormat="1" x14ac:dyDescent="0.25">
      <c r="B25" s="1" t="s">
        <v>89</v>
      </c>
      <c r="C25" s="1">
        <v>733</v>
      </c>
      <c r="D25" s="3">
        <v>0.7</v>
      </c>
      <c r="E25" s="1">
        <f t="shared" si="0"/>
        <v>513.1</v>
      </c>
    </row>
    <row r="26" spans="2:8" s="1" customFormat="1" x14ac:dyDescent="0.25">
      <c r="B26" s="1" t="s">
        <v>90</v>
      </c>
      <c r="C26" s="1">
        <v>733</v>
      </c>
      <c r="D26" s="3">
        <v>0.7</v>
      </c>
      <c r="E26" s="1">
        <f t="shared" si="0"/>
        <v>513.1</v>
      </c>
    </row>
    <row r="27" spans="2:8" s="1" customFormat="1" x14ac:dyDescent="0.25">
      <c r="B27" s="1" t="s">
        <v>91</v>
      </c>
      <c r="C27" s="1">
        <v>666</v>
      </c>
      <c r="D27" s="3">
        <v>0.7</v>
      </c>
      <c r="E27" s="1">
        <f t="shared" si="0"/>
        <v>466.2</v>
      </c>
    </row>
    <row r="28" spans="2:8" s="1" customFormat="1" x14ac:dyDescent="0.25">
      <c r="B28" s="1" t="s">
        <v>92</v>
      </c>
      <c r="C28" s="1">
        <v>581</v>
      </c>
      <c r="D28" s="3">
        <v>0.7</v>
      </c>
      <c r="E28" s="1">
        <f t="shared" si="0"/>
        <v>406.7</v>
      </c>
    </row>
    <row r="29" spans="2:8" s="1" customFormat="1" x14ac:dyDescent="0.25">
      <c r="B29" s="1" t="s">
        <v>93</v>
      </c>
      <c r="C29" s="1">
        <v>544</v>
      </c>
      <c r="D29" s="3">
        <v>0.7</v>
      </c>
      <c r="E29" s="1">
        <f t="shared" si="0"/>
        <v>380.79999999999995</v>
      </c>
    </row>
    <row r="30" spans="2:8" s="1" customFormat="1" x14ac:dyDescent="0.25">
      <c r="B30" s="1" t="s">
        <v>94</v>
      </c>
      <c r="C30" s="1">
        <v>535</v>
      </c>
      <c r="D30" s="3">
        <v>0.7</v>
      </c>
      <c r="E30" s="1">
        <f t="shared" si="0"/>
        <v>374.5</v>
      </c>
    </row>
    <row r="31" spans="2:8" s="1" customFormat="1" x14ac:dyDescent="0.25">
      <c r="B31" s="1" t="s">
        <v>95</v>
      </c>
      <c r="C31" s="1">
        <v>500</v>
      </c>
      <c r="D31" s="3">
        <v>0.7</v>
      </c>
      <c r="E31" s="1">
        <f t="shared" si="0"/>
        <v>350</v>
      </c>
    </row>
    <row r="32" spans="2:8" s="1" customFormat="1" x14ac:dyDescent="0.25">
      <c r="B32" s="1" t="s">
        <v>96</v>
      </c>
      <c r="C32" s="1">
        <v>485</v>
      </c>
      <c r="D32" s="3">
        <v>0.7</v>
      </c>
      <c r="E32" s="1">
        <f t="shared" si="0"/>
        <v>339.5</v>
      </c>
    </row>
    <row r="33" spans="2:5" s="1" customFormat="1" x14ac:dyDescent="0.25">
      <c r="B33" s="1" t="s">
        <v>97</v>
      </c>
      <c r="C33" s="1">
        <v>476</v>
      </c>
      <c r="D33" s="3">
        <v>0.7</v>
      </c>
      <c r="E33" s="1">
        <f t="shared" si="0"/>
        <v>333.2</v>
      </c>
    </row>
    <row r="34" spans="2:5" s="1" customFormat="1" x14ac:dyDescent="0.25">
      <c r="B34" s="1" t="s">
        <v>98</v>
      </c>
      <c r="C34" s="1">
        <v>423</v>
      </c>
      <c r="D34" s="3">
        <v>0.7</v>
      </c>
      <c r="E34" s="1">
        <f t="shared" si="0"/>
        <v>296.09999999999997</v>
      </c>
    </row>
    <row r="35" spans="2:5" s="1" customFormat="1" x14ac:dyDescent="0.25">
      <c r="B35" s="1" t="s">
        <v>99</v>
      </c>
      <c r="C35" s="1">
        <v>408</v>
      </c>
      <c r="D35" s="3">
        <v>0.7</v>
      </c>
      <c r="E35" s="1">
        <f t="shared" si="0"/>
        <v>285.59999999999997</v>
      </c>
    </row>
    <row r="36" spans="2:5" s="1" customFormat="1" x14ac:dyDescent="0.25">
      <c r="B36" s="1" t="s">
        <v>100</v>
      </c>
      <c r="C36" s="1">
        <v>374</v>
      </c>
      <c r="D36" s="3">
        <v>0.7</v>
      </c>
      <c r="E36" s="1">
        <f t="shared" si="0"/>
        <v>261.8</v>
      </c>
    </row>
    <row r="37" spans="2:5" s="1" customFormat="1" x14ac:dyDescent="0.25">
      <c r="B37" s="1" t="s">
        <v>101</v>
      </c>
      <c r="C37" s="1">
        <v>351</v>
      </c>
      <c r="D37" s="3">
        <v>0.7</v>
      </c>
      <c r="E37" s="1">
        <f t="shared" si="0"/>
        <v>245.7</v>
      </c>
    </row>
    <row r="38" spans="2:5" s="1" customFormat="1" x14ac:dyDescent="0.25">
      <c r="B38" s="1" t="s">
        <v>102</v>
      </c>
      <c r="C38" s="1">
        <v>343</v>
      </c>
      <c r="D38" s="3">
        <v>0.7</v>
      </c>
      <c r="E38" s="1">
        <f t="shared" si="0"/>
        <v>240.1</v>
      </c>
    </row>
    <row r="39" spans="2:5" s="1" customFormat="1" x14ac:dyDescent="0.25">
      <c r="B39" s="1" t="s">
        <v>103</v>
      </c>
      <c r="C39" s="1">
        <v>324</v>
      </c>
      <c r="D39" s="3">
        <v>0.7</v>
      </c>
      <c r="E39" s="1">
        <f t="shared" si="0"/>
        <v>226.79999999999998</v>
      </c>
    </row>
    <row r="40" spans="2:5" s="1" customFormat="1" x14ac:dyDescent="0.25">
      <c r="B40" s="1" t="s">
        <v>104</v>
      </c>
      <c r="C40" s="1">
        <v>320</v>
      </c>
      <c r="D40" s="3">
        <v>0.7</v>
      </c>
      <c r="E40" s="1">
        <f t="shared" si="0"/>
        <v>224</v>
      </c>
    </row>
    <row r="41" spans="2:5" s="1" customFormat="1" x14ac:dyDescent="0.25">
      <c r="B41" s="1" t="s">
        <v>105</v>
      </c>
      <c r="C41" s="1">
        <v>320</v>
      </c>
      <c r="D41" s="3">
        <v>0.7</v>
      </c>
      <c r="E41" s="1">
        <f t="shared" si="0"/>
        <v>224</v>
      </c>
    </row>
    <row r="42" spans="2:5" s="1" customFormat="1" x14ac:dyDescent="0.25">
      <c r="B42" s="1" t="s">
        <v>106</v>
      </c>
      <c r="C42" s="1">
        <v>314</v>
      </c>
      <c r="D42" s="3">
        <v>0.7</v>
      </c>
      <c r="E42" s="1">
        <f t="shared" si="0"/>
        <v>219.79999999999998</v>
      </c>
    </row>
    <row r="43" spans="2:5" s="1" customFormat="1" x14ac:dyDescent="0.25">
      <c r="B43" s="1" t="s">
        <v>107</v>
      </c>
      <c r="C43" s="1">
        <v>302</v>
      </c>
      <c r="D43" s="3">
        <v>0.7</v>
      </c>
      <c r="E43" s="1">
        <f t="shared" si="0"/>
        <v>211.39999999999998</v>
      </c>
    </row>
    <row r="44" spans="2:5" s="1" customFormat="1" x14ac:dyDescent="0.25">
      <c r="B44" s="1" t="s">
        <v>108</v>
      </c>
      <c r="C44" s="1">
        <v>302</v>
      </c>
      <c r="D44" s="3">
        <v>0.7</v>
      </c>
      <c r="E44" s="1">
        <f t="shared" si="0"/>
        <v>211.39999999999998</v>
      </c>
    </row>
    <row r="45" spans="2:5" s="1" customFormat="1" x14ac:dyDescent="0.25">
      <c r="B45" s="1" t="s">
        <v>109</v>
      </c>
      <c r="C45" s="1">
        <v>289</v>
      </c>
      <c r="D45" s="3">
        <v>0.7</v>
      </c>
      <c r="E45" s="1">
        <f t="shared" si="0"/>
        <v>202.29999999999998</v>
      </c>
    </row>
    <row r="46" spans="2:5" s="1" customFormat="1" x14ac:dyDescent="0.25">
      <c r="B46" s="1" t="s">
        <v>110</v>
      </c>
      <c r="C46" s="1">
        <v>284</v>
      </c>
      <c r="D46" s="3">
        <v>0.7</v>
      </c>
      <c r="E46" s="1">
        <f t="shared" si="0"/>
        <v>198.79999999999998</v>
      </c>
    </row>
    <row r="47" spans="2:5" s="1" customFormat="1" x14ac:dyDescent="0.25">
      <c r="B47" s="1" t="s">
        <v>111</v>
      </c>
      <c r="C47" s="1">
        <v>272</v>
      </c>
      <c r="D47" s="3">
        <v>0.7</v>
      </c>
      <c r="E47" s="1">
        <f t="shared" si="0"/>
        <v>190.39999999999998</v>
      </c>
    </row>
    <row r="48" spans="2:5" s="1" customFormat="1" x14ac:dyDescent="0.25">
      <c r="B48" s="1" t="s">
        <v>112</v>
      </c>
      <c r="C48" s="1">
        <v>271</v>
      </c>
      <c r="D48" s="3">
        <v>0.7</v>
      </c>
      <c r="E48" s="1">
        <f t="shared" si="0"/>
        <v>189.7</v>
      </c>
    </row>
    <row r="49" spans="2:5" s="1" customFormat="1" x14ac:dyDescent="0.25">
      <c r="B49" s="1" t="s">
        <v>113</v>
      </c>
      <c r="C49" s="1">
        <v>267</v>
      </c>
      <c r="D49" s="3">
        <v>0.7</v>
      </c>
      <c r="E49" s="1">
        <f t="shared" si="0"/>
        <v>186.89999999999998</v>
      </c>
    </row>
    <row r="50" spans="2:5" s="1" customFormat="1" x14ac:dyDescent="0.25">
      <c r="B50" s="1" t="s">
        <v>114</v>
      </c>
      <c r="C50" s="1">
        <v>252</v>
      </c>
      <c r="D50" s="3">
        <v>0.7</v>
      </c>
      <c r="E50" s="1">
        <f t="shared" si="0"/>
        <v>176.39999999999998</v>
      </c>
    </row>
    <row r="51" spans="2:5" s="1" customFormat="1" x14ac:dyDescent="0.25">
      <c r="B51" s="1" t="s">
        <v>115</v>
      </c>
      <c r="C51" s="1">
        <v>237</v>
      </c>
      <c r="D51" s="3">
        <v>0.7</v>
      </c>
      <c r="E51" s="1">
        <f t="shared" si="0"/>
        <v>165.89999999999998</v>
      </c>
    </row>
    <row r="52" spans="2:5" s="1" customFormat="1" x14ac:dyDescent="0.25">
      <c r="B52" s="1" t="s">
        <v>116</v>
      </c>
      <c r="C52" s="1">
        <v>233</v>
      </c>
      <c r="D52" s="3">
        <v>0.7</v>
      </c>
      <c r="E52" s="1">
        <f t="shared" si="0"/>
        <v>163.1</v>
      </c>
    </row>
    <row r="53" spans="2:5" s="1" customFormat="1" x14ac:dyDescent="0.25">
      <c r="B53" s="1" t="s">
        <v>117</v>
      </c>
      <c r="C53" s="1">
        <v>217</v>
      </c>
      <c r="D53" s="3">
        <v>0.7</v>
      </c>
      <c r="E53" s="1">
        <f t="shared" si="0"/>
        <v>151.89999999999998</v>
      </c>
    </row>
    <row r="54" spans="2:5" s="1" customFormat="1" x14ac:dyDescent="0.25">
      <c r="B54" s="1" t="s">
        <v>118</v>
      </c>
      <c r="C54" s="1">
        <v>203</v>
      </c>
      <c r="D54" s="3">
        <v>0.7</v>
      </c>
      <c r="E54" s="1">
        <f t="shared" si="0"/>
        <v>142.1</v>
      </c>
    </row>
    <row r="55" spans="2:5" s="1" customFormat="1" x14ac:dyDescent="0.25">
      <c r="B55" s="1" t="s">
        <v>119</v>
      </c>
      <c r="C55" s="1">
        <v>202</v>
      </c>
      <c r="D55" s="3">
        <v>0.7</v>
      </c>
      <c r="E55" s="1">
        <f t="shared" si="0"/>
        <v>141.39999999999998</v>
      </c>
    </row>
    <row r="56" spans="2:5" s="1" customFormat="1" x14ac:dyDescent="0.25">
      <c r="B56" s="1" t="s">
        <v>120</v>
      </c>
      <c r="C56" s="1">
        <v>202</v>
      </c>
      <c r="D56" s="3">
        <v>0.7</v>
      </c>
      <c r="E56" s="1">
        <f t="shared" si="0"/>
        <v>141.39999999999998</v>
      </c>
    </row>
    <row r="57" spans="2:5" s="1" customFormat="1" x14ac:dyDescent="0.25">
      <c r="B57" s="1" t="s">
        <v>121</v>
      </c>
      <c r="C57" s="1">
        <v>197</v>
      </c>
      <c r="D57" s="3">
        <v>0.7</v>
      </c>
      <c r="E57" s="1">
        <f t="shared" si="0"/>
        <v>137.89999999999998</v>
      </c>
    </row>
    <row r="58" spans="2:5" s="1" customFormat="1" x14ac:dyDescent="0.25">
      <c r="B58" s="1" t="s">
        <v>122</v>
      </c>
      <c r="C58" s="1">
        <v>197</v>
      </c>
      <c r="D58" s="3">
        <v>0.7</v>
      </c>
      <c r="E58" s="1">
        <f t="shared" si="0"/>
        <v>137.89999999999998</v>
      </c>
    </row>
    <row r="59" spans="2:5" s="1" customFormat="1" x14ac:dyDescent="0.25">
      <c r="B59" s="1" t="s">
        <v>123</v>
      </c>
      <c r="C59" s="1">
        <v>196</v>
      </c>
      <c r="D59" s="3">
        <v>0.7</v>
      </c>
      <c r="E59" s="1">
        <f t="shared" si="0"/>
        <v>137.19999999999999</v>
      </c>
    </row>
    <row r="60" spans="2:5" s="1" customFormat="1" x14ac:dyDescent="0.25">
      <c r="B60" s="1" t="s">
        <v>124</v>
      </c>
      <c r="C60" s="1">
        <v>192</v>
      </c>
      <c r="D60" s="3">
        <v>0.7</v>
      </c>
      <c r="E60" s="1">
        <f t="shared" si="0"/>
        <v>134.39999999999998</v>
      </c>
    </row>
    <row r="61" spans="2:5" s="1" customFormat="1" x14ac:dyDescent="0.25">
      <c r="B61" s="1" t="s">
        <v>125</v>
      </c>
      <c r="C61" s="1">
        <v>192</v>
      </c>
      <c r="D61" s="3">
        <v>0.7</v>
      </c>
      <c r="E61" s="1">
        <f t="shared" si="0"/>
        <v>134.39999999999998</v>
      </c>
    </row>
    <row r="62" spans="2:5" s="1" customFormat="1" x14ac:dyDescent="0.25">
      <c r="B62" s="1" t="s">
        <v>126</v>
      </c>
      <c r="C62" s="1">
        <v>189</v>
      </c>
      <c r="D62" s="3">
        <v>0.7</v>
      </c>
      <c r="E62" s="1">
        <f t="shared" si="0"/>
        <v>132.29999999999998</v>
      </c>
    </row>
    <row r="63" spans="2:5" s="1" customFormat="1" x14ac:dyDescent="0.25">
      <c r="B63" s="1" t="s">
        <v>127</v>
      </c>
      <c r="C63" s="1">
        <v>184</v>
      </c>
      <c r="D63" s="3">
        <v>0.7</v>
      </c>
      <c r="E63" s="1">
        <f t="shared" si="0"/>
        <v>128.79999999999998</v>
      </c>
    </row>
    <row r="64" spans="2:5" s="1" customFormat="1" x14ac:dyDescent="0.25">
      <c r="B64" s="1" t="s">
        <v>128</v>
      </c>
      <c r="C64" s="1">
        <v>178</v>
      </c>
      <c r="D64" s="3">
        <v>0.7</v>
      </c>
      <c r="E64" s="1">
        <f t="shared" si="0"/>
        <v>124.6</v>
      </c>
    </row>
    <row r="65" spans="2:6" s="1" customFormat="1" x14ac:dyDescent="0.25">
      <c r="B65" s="1" t="s">
        <v>129</v>
      </c>
      <c r="C65" s="1">
        <v>176</v>
      </c>
      <c r="D65" s="3">
        <v>0.7</v>
      </c>
      <c r="E65" s="1">
        <f t="shared" si="0"/>
        <v>123.19999999999999</v>
      </c>
    </row>
    <row r="66" spans="2:6" s="1" customFormat="1" x14ac:dyDescent="0.25">
      <c r="B66" s="1" t="s">
        <v>130</v>
      </c>
      <c r="C66" s="1">
        <v>175</v>
      </c>
      <c r="D66" s="3">
        <v>0.7</v>
      </c>
      <c r="E66" s="1">
        <f t="shared" si="0"/>
        <v>122.49999999999999</v>
      </c>
    </row>
    <row r="67" spans="2:6" s="1" customFormat="1" x14ac:dyDescent="0.25">
      <c r="B67" s="1" t="s">
        <v>131</v>
      </c>
      <c r="C67" s="1">
        <v>173</v>
      </c>
      <c r="D67" s="3">
        <v>0.7</v>
      </c>
      <c r="E67" s="1">
        <f t="shared" si="0"/>
        <v>121.1</v>
      </c>
    </row>
    <row r="68" spans="2:6" s="1" customFormat="1" x14ac:dyDescent="0.25">
      <c r="B68" s="1" t="s">
        <v>132</v>
      </c>
      <c r="C68" s="1">
        <v>173</v>
      </c>
      <c r="D68" s="3">
        <v>0.7</v>
      </c>
      <c r="E68" s="1">
        <f t="shared" si="0"/>
        <v>121.1</v>
      </c>
    </row>
    <row r="69" spans="2:6" s="1" customFormat="1" x14ac:dyDescent="0.25">
      <c r="B69" s="1" t="s">
        <v>133</v>
      </c>
      <c r="C69" s="1">
        <v>169</v>
      </c>
      <c r="D69" s="3">
        <v>0.7</v>
      </c>
      <c r="E69" s="1">
        <f t="shared" ref="E69:E109" si="1">+D69*C69</f>
        <v>118.3</v>
      </c>
    </row>
    <row r="70" spans="2:6" s="1" customFormat="1" x14ac:dyDescent="0.25">
      <c r="B70" s="1" t="s">
        <v>134</v>
      </c>
      <c r="C70" s="1">
        <v>164</v>
      </c>
      <c r="D70" s="3">
        <v>0.7</v>
      </c>
      <c r="E70" s="1">
        <f t="shared" si="1"/>
        <v>114.8</v>
      </c>
    </row>
    <row r="71" spans="2:6" s="1" customFormat="1" x14ac:dyDescent="0.25">
      <c r="B71" s="1" t="s">
        <v>135</v>
      </c>
      <c r="C71" s="1">
        <v>154</v>
      </c>
      <c r="D71" s="3">
        <v>0.7</v>
      </c>
      <c r="E71" s="1">
        <f t="shared" si="1"/>
        <v>107.8</v>
      </c>
    </row>
    <row r="72" spans="2:6" s="1" customFormat="1" x14ac:dyDescent="0.25">
      <c r="B72" s="1" t="s">
        <v>136</v>
      </c>
      <c r="C72" s="1">
        <v>152</v>
      </c>
      <c r="D72" s="3">
        <v>0.7</v>
      </c>
      <c r="E72" s="1">
        <f t="shared" si="1"/>
        <v>106.39999999999999</v>
      </c>
    </row>
    <row r="73" spans="2:6" s="1" customFormat="1" x14ac:dyDescent="0.25">
      <c r="B73" s="1" t="s">
        <v>137</v>
      </c>
      <c r="C73" s="1">
        <v>151</v>
      </c>
      <c r="D73" s="3">
        <v>0.7</v>
      </c>
      <c r="E73" s="1">
        <f t="shared" si="1"/>
        <v>105.69999999999999</v>
      </c>
    </row>
    <row r="74" spans="2:6" s="1" customFormat="1" x14ac:dyDescent="0.25">
      <c r="B74" s="1" t="s">
        <v>138</v>
      </c>
      <c r="C74" s="1">
        <v>150</v>
      </c>
      <c r="D74" s="3">
        <v>0.7</v>
      </c>
      <c r="E74" s="1">
        <f t="shared" si="1"/>
        <v>105</v>
      </c>
    </row>
    <row r="75" spans="2:6" s="1" customFormat="1" x14ac:dyDescent="0.25">
      <c r="B75" s="1" t="s">
        <v>139</v>
      </c>
      <c r="C75" s="1">
        <v>149</v>
      </c>
      <c r="D75" s="3">
        <v>0.7</v>
      </c>
      <c r="E75" s="1">
        <f t="shared" si="1"/>
        <v>104.3</v>
      </c>
    </row>
    <row r="76" spans="2:6" s="1" customFormat="1" x14ac:dyDescent="0.25">
      <c r="B76" s="1" t="s">
        <v>140</v>
      </c>
      <c r="C76" s="1">
        <v>147</v>
      </c>
      <c r="D76" s="3">
        <v>0.7</v>
      </c>
      <c r="E76" s="1">
        <f t="shared" si="1"/>
        <v>102.89999999999999</v>
      </c>
    </row>
    <row r="77" spans="2:6" s="1" customFormat="1" x14ac:dyDescent="0.25">
      <c r="B77" s="1" t="s">
        <v>141</v>
      </c>
      <c r="C77" s="1">
        <v>124</v>
      </c>
      <c r="D77" s="3">
        <v>0.7</v>
      </c>
      <c r="E77" s="1">
        <f t="shared" si="1"/>
        <v>86.8</v>
      </c>
    </row>
    <row r="78" spans="2:6" s="1" customFormat="1" x14ac:dyDescent="0.25">
      <c r="B78" s="1" t="s">
        <v>142</v>
      </c>
      <c r="C78" s="1">
        <v>123</v>
      </c>
      <c r="D78" s="3">
        <v>0.7</v>
      </c>
      <c r="E78" s="1">
        <f t="shared" si="1"/>
        <v>86.1</v>
      </c>
    </row>
    <row r="79" spans="2:6" s="1" customFormat="1" x14ac:dyDescent="0.25">
      <c r="B79" s="1" t="s">
        <v>143</v>
      </c>
      <c r="C79" s="1">
        <v>120</v>
      </c>
      <c r="D79" s="3">
        <v>0.7</v>
      </c>
      <c r="E79" s="1">
        <f t="shared" si="1"/>
        <v>84</v>
      </c>
    </row>
    <row r="80" spans="2:6" s="1" customFormat="1" x14ac:dyDescent="0.25">
      <c r="B80" s="1" t="s">
        <v>144</v>
      </c>
      <c r="C80" s="1">
        <v>113</v>
      </c>
      <c r="D80" s="3">
        <v>0.7</v>
      </c>
      <c r="E80" s="1">
        <f t="shared" si="1"/>
        <v>79.099999999999994</v>
      </c>
      <c r="F80" s="1">
        <v>12</v>
      </c>
    </row>
    <row r="81" spans="2:6" s="1" customFormat="1" x14ac:dyDescent="0.25">
      <c r="B81" s="1" t="s">
        <v>145</v>
      </c>
      <c r="C81" s="1">
        <v>113</v>
      </c>
      <c r="D81" s="3">
        <v>0.7</v>
      </c>
      <c r="E81" s="1">
        <f t="shared" si="1"/>
        <v>79.099999999999994</v>
      </c>
      <c r="F81" s="1">
        <v>12</v>
      </c>
    </row>
    <row r="82" spans="2:6" s="1" customFormat="1" x14ac:dyDescent="0.25">
      <c r="B82" s="1" t="s">
        <v>146</v>
      </c>
      <c r="C82" s="1">
        <v>108</v>
      </c>
      <c r="D82" s="3">
        <v>0.7</v>
      </c>
      <c r="E82" s="1">
        <f t="shared" si="1"/>
        <v>75.599999999999994</v>
      </c>
      <c r="F82" s="1">
        <v>12</v>
      </c>
    </row>
    <row r="83" spans="2:6" s="1" customFormat="1" x14ac:dyDescent="0.25">
      <c r="B83" s="1" t="s">
        <v>147</v>
      </c>
      <c r="C83" s="1">
        <v>99</v>
      </c>
      <c r="D83" s="3">
        <v>0.7</v>
      </c>
      <c r="E83" s="1">
        <f t="shared" si="1"/>
        <v>69.3</v>
      </c>
      <c r="F83" s="1">
        <v>12</v>
      </c>
    </row>
    <row r="84" spans="2:6" s="1" customFormat="1" x14ac:dyDescent="0.25">
      <c r="B84" s="1" t="s">
        <v>127</v>
      </c>
      <c r="C84" s="1">
        <v>97</v>
      </c>
      <c r="D84" s="3">
        <v>0.7</v>
      </c>
      <c r="E84" s="1">
        <f t="shared" si="1"/>
        <v>67.899999999999991</v>
      </c>
      <c r="F84" s="1">
        <v>12</v>
      </c>
    </row>
    <row r="85" spans="2:6" s="1" customFormat="1" x14ac:dyDescent="0.25">
      <c r="B85" s="1" t="s">
        <v>148</v>
      </c>
      <c r="C85" s="1">
        <v>93</v>
      </c>
      <c r="D85" s="3">
        <v>0.7</v>
      </c>
      <c r="E85" s="1">
        <f t="shared" si="1"/>
        <v>65.099999999999994</v>
      </c>
      <c r="F85" s="1">
        <v>12</v>
      </c>
    </row>
    <row r="86" spans="2:6" s="1" customFormat="1" x14ac:dyDescent="0.25">
      <c r="B86" s="1" t="s">
        <v>149</v>
      </c>
      <c r="C86" s="1">
        <v>92</v>
      </c>
      <c r="D86" s="3">
        <v>0.7</v>
      </c>
      <c r="E86" s="1">
        <f t="shared" si="1"/>
        <v>64.399999999999991</v>
      </c>
      <c r="F86" s="1">
        <v>12</v>
      </c>
    </row>
    <row r="87" spans="2:6" s="1" customFormat="1" x14ac:dyDescent="0.25">
      <c r="B87" s="1" t="s">
        <v>150</v>
      </c>
      <c r="C87" s="1">
        <v>91</v>
      </c>
      <c r="D87" s="3">
        <v>0.7</v>
      </c>
      <c r="E87" s="1">
        <f t="shared" si="1"/>
        <v>63.699999999999996</v>
      </c>
      <c r="F87" s="1">
        <v>12</v>
      </c>
    </row>
    <row r="88" spans="2:6" s="1" customFormat="1" x14ac:dyDescent="0.25">
      <c r="B88" s="1" t="s">
        <v>151</v>
      </c>
      <c r="C88" s="1">
        <v>90</v>
      </c>
      <c r="D88" s="3">
        <v>0.7</v>
      </c>
      <c r="E88" s="1">
        <f t="shared" si="1"/>
        <v>62.999999999999993</v>
      </c>
      <c r="F88" s="1">
        <v>12</v>
      </c>
    </row>
    <row r="89" spans="2:6" s="1" customFormat="1" x14ac:dyDescent="0.25">
      <c r="B89" s="1" t="s">
        <v>152</v>
      </c>
      <c r="C89" s="1">
        <v>90</v>
      </c>
      <c r="D89" s="3">
        <v>0.7</v>
      </c>
      <c r="E89" s="1">
        <f t="shared" si="1"/>
        <v>62.999999999999993</v>
      </c>
      <c r="F89" s="1">
        <v>12</v>
      </c>
    </row>
    <row r="90" spans="2:6" s="1" customFormat="1" x14ac:dyDescent="0.25">
      <c r="B90" s="1" t="s">
        <v>153</v>
      </c>
      <c r="C90" s="1">
        <v>89</v>
      </c>
      <c r="D90" s="3">
        <v>0.7</v>
      </c>
      <c r="E90" s="1">
        <f t="shared" si="1"/>
        <v>62.3</v>
      </c>
      <c r="F90" s="1">
        <v>12</v>
      </c>
    </row>
    <row r="91" spans="2:6" s="1" customFormat="1" x14ac:dyDescent="0.25">
      <c r="B91" s="1" t="s">
        <v>154</v>
      </c>
      <c r="C91" s="1">
        <v>88</v>
      </c>
      <c r="D91" s="3">
        <v>0.7</v>
      </c>
      <c r="E91" s="1">
        <f t="shared" si="1"/>
        <v>61.599999999999994</v>
      </c>
      <c r="F91" s="1">
        <v>12</v>
      </c>
    </row>
    <row r="92" spans="2:6" s="1" customFormat="1" x14ac:dyDescent="0.25">
      <c r="B92" s="1" t="s">
        <v>155</v>
      </c>
      <c r="C92" s="1">
        <v>88</v>
      </c>
      <c r="D92" s="3">
        <v>0.7</v>
      </c>
      <c r="E92" s="1">
        <f t="shared" si="1"/>
        <v>61.599999999999994</v>
      </c>
      <c r="F92" s="1">
        <v>12</v>
      </c>
    </row>
    <row r="93" spans="2:6" s="1" customFormat="1" x14ac:dyDescent="0.25">
      <c r="B93" s="1" t="s">
        <v>156</v>
      </c>
      <c r="C93" s="1">
        <v>86</v>
      </c>
      <c r="D93" s="3">
        <v>0.7</v>
      </c>
      <c r="E93" s="1">
        <f t="shared" si="1"/>
        <v>60.199999999999996</v>
      </c>
      <c r="F93" s="1">
        <v>12</v>
      </c>
    </row>
    <row r="94" spans="2:6" s="1" customFormat="1" x14ac:dyDescent="0.25">
      <c r="B94" s="1" t="s">
        <v>157</v>
      </c>
      <c r="C94" s="1">
        <v>86</v>
      </c>
      <c r="D94" s="3">
        <v>0.7</v>
      </c>
      <c r="E94" s="1">
        <f t="shared" si="1"/>
        <v>60.199999999999996</v>
      </c>
      <c r="F94" s="1">
        <v>12</v>
      </c>
    </row>
    <row r="95" spans="2:6" s="1" customFormat="1" x14ac:dyDescent="0.25">
      <c r="B95" s="1" t="s">
        <v>158</v>
      </c>
      <c r="C95" s="1">
        <v>85</v>
      </c>
      <c r="D95" s="3">
        <v>0.7</v>
      </c>
      <c r="E95" s="1">
        <f t="shared" si="1"/>
        <v>59.499999999999993</v>
      </c>
      <c r="F95" s="1">
        <v>12</v>
      </c>
    </row>
    <row r="96" spans="2:6" s="1" customFormat="1" x14ac:dyDescent="0.25">
      <c r="B96" s="1" t="s">
        <v>159</v>
      </c>
      <c r="C96" s="1">
        <v>82</v>
      </c>
      <c r="D96" s="3">
        <v>0.7</v>
      </c>
      <c r="E96" s="1">
        <f t="shared" si="1"/>
        <v>57.4</v>
      </c>
      <c r="F96" s="1">
        <v>12</v>
      </c>
    </row>
    <row r="97" spans="2:6" s="1" customFormat="1" x14ac:dyDescent="0.25">
      <c r="B97" s="1" t="s">
        <v>160</v>
      </c>
      <c r="C97" s="1">
        <v>81</v>
      </c>
      <c r="D97" s="3">
        <v>0.7</v>
      </c>
      <c r="E97" s="1">
        <f t="shared" si="1"/>
        <v>56.699999999999996</v>
      </c>
      <c r="F97" s="1">
        <v>12</v>
      </c>
    </row>
    <row r="98" spans="2:6" s="1" customFormat="1" x14ac:dyDescent="0.25">
      <c r="B98" s="1" t="s">
        <v>161</v>
      </c>
      <c r="C98" s="1">
        <v>81</v>
      </c>
      <c r="D98" s="3">
        <v>0.7</v>
      </c>
      <c r="E98" s="1">
        <f t="shared" si="1"/>
        <v>56.699999999999996</v>
      </c>
      <c r="F98" s="1">
        <v>12</v>
      </c>
    </row>
    <row r="99" spans="2:6" s="1" customFormat="1" x14ac:dyDescent="0.25">
      <c r="B99" s="1" t="s">
        <v>162</v>
      </c>
      <c r="C99" s="1">
        <v>81</v>
      </c>
      <c r="D99" s="3">
        <v>0.7</v>
      </c>
      <c r="E99" s="1">
        <f t="shared" si="1"/>
        <v>56.699999999999996</v>
      </c>
      <c r="F99" s="1">
        <v>12</v>
      </c>
    </row>
    <row r="100" spans="2:6" s="1" customFormat="1" x14ac:dyDescent="0.25">
      <c r="B100" s="1" t="s">
        <v>163</v>
      </c>
      <c r="C100" s="1">
        <v>80</v>
      </c>
      <c r="D100" s="3">
        <v>0.7</v>
      </c>
      <c r="E100" s="1">
        <f t="shared" si="1"/>
        <v>56</v>
      </c>
      <c r="F100" s="1">
        <v>12</v>
      </c>
    </row>
    <row r="101" spans="2:6" s="1" customFormat="1" x14ac:dyDescent="0.25">
      <c r="B101" s="1" t="s">
        <v>164</v>
      </c>
      <c r="C101" s="1">
        <v>78</v>
      </c>
      <c r="D101" s="3">
        <v>0.7</v>
      </c>
      <c r="E101" s="1">
        <f t="shared" si="1"/>
        <v>54.599999999999994</v>
      </c>
      <c r="F101" s="1">
        <v>12</v>
      </c>
    </row>
    <row r="102" spans="2:6" s="1" customFormat="1" x14ac:dyDescent="0.25">
      <c r="B102" s="1" t="s">
        <v>165</v>
      </c>
      <c r="C102" s="1">
        <v>77</v>
      </c>
      <c r="D102" s="3">
        <v>0.7</v>
      </c>
      <c r="E102" s="1">
        <f t="shared" si="1"/>
        <v>53.9</v>
      </c>
      <c r="F102" s="1">
        <v>12</v>
      </c>
    </row>
    <row r="103" spans="2:6" s="1" customFormat="1" x14ac:dyDescent="0.25">
      <c r="B103" s="1" t="s">
        <v>166</v>
      </c>
      <c r="C103" s="1">
        <v>76</v>
      </c>
      <c r="D103" s="3">
        <v>0.7</v>
      </c>
      <c r="E103" s="1">
        <f t="shared" si="1"/>
        <v>53.199999999999996</v>
      </c>
      <c r="F103" s="1">
        <v>12</v>
      </c>
    </row>
    <row r="104" spans="2:6" s="1" customFormat="1" x14ac:dyDescent="0.25">
      <c r="B104" s="1" t="s">
        <v>167</v>
      </c>
      <c r="C104" s="1">
        <v>75</v>
      </c>
      <c r="D104" s="3">
        <v>0.7</v>
      </c>
      <c r="E104" s="1">
        <f t="shared" si="1"/>
        <v>52.5</v>
      </c>
      <c r="F104" s="1">
        <v>12</v>
      </c>
    </row>
    <row r="105" spans="2:6" s="1" customFormat="1" x14ac:dyDescent="0.25">
      <c r="B105" s="1" t="s">
        <v>168</v>
      </c>
      <c r="C105" s="1">
        <v>73</v>
      </c>
      <c r="D105" s="3">
        <v>0.7</v>
      </c>
      <c r="E105" s="1">
        <f t="shared" si="1"/>
        <v>51.099999999999994</v>
      </c>
      <c r="F105" s="1">
        <v>12</v>
      </c>
    </row>
    <row r="106" spans="2:6" s="1" customFormat="1" x14ac:dyDescent="0.25">
      <c r="B106" s="1" t="s">
        <v>169</v>
      </c>
      <c r="C106" s="1">
        <v>72</v>
      </c>
      <c r="D106" s="3">
        <v>0.7</v>
      </c>
      <c r="E106" s="1">
        <f t="shared" si="1"/>
        <v>50.4</v>
      </c>
      <c r="F106" s="1">
        <v>12</v>
      </c>
    </row>
    <row r="107" spans="2:6" s="1" customFormat="1" x14ac:dyDescent="0.25">
      <c r="B107" s="1" t="s">
        <v>170</v>
      </c>
      <c r="C107" s="1">
        <v>69</v>
      </c>
      <c r="D107" s="3">
        <v>0.7</v>
      </c>
      <c r="E107" s="1">
        <f t="shared" si="1"/>
        <v>48.3</v>
      </c>
      <c r="F107" s="1">
        <v>12</v>
      </c>
    </row>
    <row r="108" spans="2:6" s="1" customFormat="1" x14ac:dyDescent="0.25">
      <c r="B108" s="1" t="s">
        <v>171</v>
      </c>
      <c r="C108" s="1">
        <v>69</v>
      </c>
      <c r="D108" s="3">
        <v>0.7</v>
      </c>
      <c r="E108" s="1">
        <f t="shared" si="1"/>
        <v>48.3</v>
      </c>
      <c r="F108" s="1">
        <v>12</v>
      </c>
    </row>
    <row r="109" spans="2:6" s="1" customFormat="1" x14ac:dyDescent="0.25">
      <c r="B109" s="1" t="s">
        <v>172</v>
      </c>
      <c r="C109" s="1">
        <v>68</v>
      </c>
      <c r="D109" s="3">
        <v>0.7</v>
      </c>
      <c r="E109" s="1">
        <f t="shared" si="1"/>
        <v>47.599999999999994</v>
      </c>
      <c r="F109" s="1">
        <v>12</v>
      </c>
    </row>
    <row r="110" spans="2:6" s="1" customFormat="1" x14ac:dyDescent="0.25">
      <c r="D110" s="3"/>
    </row>
    <row r="111" spans="2:6" s="1" customFormat="1" x14ac:dyDescent="0.25">
      <c r="D111" s="3"/>
    </row>
    <row r="112" spans="2:6" s="1" customFormat="1" x14ac:dyDescent="0.25">
      <c r="D112" s="3"/>
    </row>
    <row r="113" spans="4:4" s="1" customFormat="1" x14ac:dyDescent="0.25">
      <c r="D113" s="3"/>
    </row>
    <row r="114" spans="4:4" s="1" customFormat="1" x14ac:dyDescent="0.25">
      <c r="D114" s="3"/>
    </row>
    <row r="115" spans="4:4" s="1" customFormat="1" x14ac:dyDescent="0.25">
      <c r="D115" s="3"/>
    </row>
    <row r="116" spans="4:4" s="1" customFormat="1" x14ac:dyDescent="0.25">
      <c r="D116" s="3"/>
    </row>
    <row r="117" spans="4:4" s="1" customFormat="1" x14ac:dyDescent="0.25">
      <c r="D117" s="3"/>
    </row>
    <row r="118" spans="4:4" s="1" customFormat="1" x14ac:dyDescent="0.25">
      <c r="D118" s="3"/>
    </row>
    <row r="119" spans="4:4" s="1" customFormat="1" x14ac:dyDescent="0.25">
      <c r="D119" s="3"/>
    </row>
    <row r="120" spans="4:4" s="1" customFormat="1" x14ac:dyDescent="0.25">
      <c r="D120" s="3"/>
    </row>
    <row r="121" spans="4:4" s="1" customFormat="1" x14ac:dyDescent="0.25">
      <c r="D121" s="3"/>
    </row>
    <row r="122" spans="4:4" s="1" customFormat="1" x14ac:dyDescent="0.25">
      <c r="D122" s="3"/>
    </row>
    <row r="123" spans="4:4" s="1" customFormat="1" x14ac:dyDescent="0.25">
      <c r="D123" s="3"/>
    </row>
    <row r="124" spans="4:4" s="1" customFormat="1" x14ac:dyDescent="0.25">
      <c r="D124" s="3"/>
    </row>
    <row r="125" spans="4:4" s="1" customFormat="1" x14ac:dyDescent="0.25">
      <c r="D125" s="3"/>
    </row>
    <row r="126" spans="4:4" s="1" customFormat="1" x14ac:dyDescent="0.25">
      <c r="D126" s="3"/>
    </row>
    <row r="127" spans="4:4" s="1" customFormat="1" x14ac:dyDescent="0.25">
      <c r="D127" s="3"/>
    </row>
    <row r="128" spans="4:4" s="1" customFormat="1" x14ac:dyDescent="0.25">
      <c r="D128" s="3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</row>
    <row r="253" spans="5:6" x14ac:dyDescent="0.25">
      <c r="E253" s="1"/>
    </row>
    <row r="254" spans="5:6" x14ac:dyDescent="0.25">
      <c r="E254" s="1"/>
    </row>
    <row r="255" spans="5:6" x14ac:dyDescent="0.25">
      <c r="E255" s="1"/>
    </row>
    <row r="256" spans="5:6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R&amp;D Spent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2025-11-27T19:56:39Z</dcterms:created>
  <dcterms:modified xsi:type="dcterms:W3CDTF">2026-02-16T16:50:43Z</dcterms:modified>
</cp:coreProperties>
</file>