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kut\Desktop\Stonks\Analysis\"/>
    </mc:Choice>
  </mc:AlternateContent>
  <xr:revisionPtr revIDLastSave="0" documentId="13_ncr:1_{3264D6B1-DEBD-4C96-A66A-2EB20C458EB3}" xr6:coauthVersionLast="47" xr6:coauthVersionMax="47" xr10:uidLastSave="{00000000-0000-0000-0000-000000000000}"/>
  <bookViews>
    <workbookView xWindow="-120" yWindow="-120" windowWidth="29040" windowHeight="15840" activeTab="2" xr2:uid="{E3445A8F-E01C-4DD9-B51F-7BC2522E8394}"/>
  </bookViews>
  <sheets>
    <sheet name="Main" sheetId="4" r:id="rId1"/>
    <sheet name="Bull" sheetId="1" r:id="rId2"/>
    <sheet name="Base" sheetId="2" r:id="rId3"/>
    <sheet name="Bear" sheetId="3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27" i="2" l="1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H18" i="2"/>
  <c r="D18" i="2"/>
  <c r="E18" i="2"/>
  <c r="F18" i="2"/>
  <c r="G18" i="2"/>
  <c r="G15" i="3"/>
  <c r="G18" i="3" s="1"/>
  <c r="G21" i="3" s="1"/>
  <c r="G15" i="1"/>
  <c r="G18" i="1" s="1"/>
  <c r="G21" i="1" s="1"/>
  <c r="G12" i="2"/>
  <c r="G11" i="2"/>
  <c r="G10" i="2"/>
  <c r="D11" i="4"/>
  <c r="D7" i="4"/>
  <c r="D6" i="4"/>
  <c r="D5" i="4"/>
  <c r="D4" i="4"/>
  <c r="T8" i="3"/>
  <c r="U8" i="3" s="1"/>
  <c r="V8" i="3" s="1"/>
  <c r="S8" i="3"/>
  <c r="R6" i="3"/>
  <c r="S6" i="3" s="1"/>
  <c r="T6" i="3" s="1"/>
  <c r="U6" i="3" s="1"/>
  <c r="V6" i="3" s="1"/>
  <c r="U4" i="3"/>
  <c r="V4" i="3" s="1"/>
  <c r="T4" i="3"/>
  <c r="S4" i="3"/>
  <c r="R4" i="3"/>
  <c r="Q6" i="3"/>
  <c r="P6" i="3"/>
  <c r="O6" i="3"/>
  <c r="N6" i="3"/>
  <c r="M6" i="3"/>
  <c r="K7" i="3"/>
  <c r="L7" i="3"/>
  <c r="F44" i="3"/>
  <c r="E44" i="3"/>
  <c r="D44" i="3"/>
  <c r="F43" i="3"/>
  <c r="E43" i="3"/>
  <c r="D43" i="3"/>
  <c r="G41" i="3"/>
  <c r="F41" i="3"/>
  <c r="E41" i="3"/>
  <c r="F33" i="3"/>
  <c r="F36" i="3" s="1"/>
  <c r="E33" i="3"/>
  <c r="E36" i="3" s="1"/>
  <c r="D33" i="3"/>
  <c r="F29" i="3"/>
  <c r="E29" i="3"/>
  <c r="F28" i="3"/>
  <c r="H25" i="3"/>
  <c r="I25" i="3" s="1"/>
  <c r="J25" i="3" s="1"/>
  <c r="K25" i="3" s="1"/>
  <c r="L25" i="3" s="1"/>
  <c r="M25" i="3" s="1"/>
  <c r="N25" i="3" s="1"/>
  <c r="O25" i="3" s="1"/>
  <c r="P25" i="3" s="1"/>
  <c r="Q25" i="3" s="1"/>
  <c r="R25" i="3" s="1"/>
  <c r="S25" i="3" s="1"/>
  <c r="T25" i="3" s="1"/>
  <c r="U25" i="3" s="1"/>
  <c r="V25" i="3" s="1"/>
  <c r="F21" i="3"/>
  <c r="F23" i="3" s="1"/>
  <c r="F24" i="3" s="1"/>
  <c r="E21" i="3"/>
  <c r="E23" i="3" s="1"/>
  <c r="E24" i="3" s="1"/>
  <c r="D21" i="3"/>
  <c r="D46" i="3" s="1"/>
  <c r="E46" i="3" s="1"/>
  <c r="F46" i="3" s="1"/>
  <c r="F18" i="3"/>
  <c r="E18" i="3"/>
  <c r="E28" i="3" s="1"/>
  <c r="D18" i="3"/>
  <c r="D28" i="3" s="1"/>
  <c r="Y17" i="3"/>
  <c r="G43" i="3"/>
  <c r="F15" i="3"/>
  <c r="F27" i="3" s="1"/>
  <c r="E15" i="3"/>
  <c r="E27" i="3" s="1"/>
  <c r="D15" i="3"/>
  <c r="D27" i="3" s="1"/>
  <c r="J13" i="3"/>
  <c r="J29" i="3" s="1"/>
  <c r="I13" i="3"/>
  <c r="Q7" i="3"/>
  <c r="M7" i="3"/>
  <c r="R5" i="3"/>
  <c r="Q5" i="3"/>
  <c r="Q13" i="3" s="1"/>
  <c r="P5" i="3"/>
  <c r="O5" i="3"/>
  <c r="N5" i="3"/>
  <c r="M5" i="3"/>
  <c r="L5" i="3"/>
  <c r="K5" i="3"/>
  <c r="J5" i="3"/>
  <c r="I5" i="3"/>
  <c r="F5" i="3"/>
  <c r="E5" i="3"/>
  <c r="F4" i="3"/>
  <c r="E4" i="3"/>
  <c r="D4" i="3"/>
  <c r="F2" i="3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E2" i="3"/>
  <c r="R6" i="2"/>
  <c r="S6" i="2" s="1"/>
  <c r="S4" i="2"/>
  <c r="T4" i="2" s="1"/>
  <c r="F45" i="2"/>
  <c r="E45" i="2"/>
  <c r="D45" i="2"/>
  <c r="G44" i="2"/>
  <c r="F44" i="2"/>
  <c r="E44" i="2"/>
  <c r="D44" i="2"/>
  <c r="G42" i="2"/>
  <c r="F42" i="2"/>
  <c r="E42" i="2"/>
  <c r="F34" i="2"/>
  <c r="F37" i="2" s="1"/>
  <c r="E34" i="2"/>
  <c r="E37" i="2" s="1"/>
  <c r="D34" i="2"/>
  <c r="F30" i="2"/>
  <c r="E30" i="2"/>
  <c r="H26" i="2"/>
  <c r="I26" i="2" s="1"/>
  <c r="J26" i="2" s="1"/>
  <c r="K26" i="2" s="1"/>
  <c r="L26" i="2" s="1"/>
  <c r="M26" i="2" s="1"/>
  <c r="N26" i="2" s="1"/>
  <c r="O26" i="2" s="1"/>
  <c r="P26" i="2" s="1"/>
  <c r="Q26" i="2" s="1"/>
  <c r="R26" i="2" s="1"/>
  <c r="S26" i="2" s="1"/>
  <c r="T26" i="2" s="1"/>
  <c r="U26" i="2" s="1"/>
  <c r="V26" i="2" s="1"/>
  <c r="E19" i="2"/>
  <c r="E29" i="2" s="1"/>
  <c r="D19" i="2"/>
  <c r="D29" i="2" s="1"/>
  <c r="Y17" i="2"/>
  <c r="G45" i="2"/>
  <c r="G15" i="2"/>
  <c r="G19" i="2" s="1"/>
  <c r="F15" i="2"/>
  <c r="F19" i="2" s="1"/>
  <c r="E15" i="2"/>
  <c r="E28" i="2" s="1"/>
  <c r="D15" i="2"/>
  <c r="D28" i="2" s="1"/>
  <c r="G4" i="2"/>
  <c r="R7" i="2"/>
  <c r="Q7" i="2"/>
  <c r="P7" i="2"/>
  <c r="O7" i="2"/>
  <c r="N7" i="2"/>
  <c r="M7" i="2"/>
  <c r="L7" i="2"/>
  <c r="K7" i="2"/>
  <c r="S5" i="2"/>
  <c r="R5" i="2"/>
  <c r="Q5" i="2"/>
  <c r="P5" i="2"/>
  <c r="O5" i="2"/>
  <c r="N5" i="2"/>
  <c r="M5" i="2"/>
  <c r="L5" i="2"/>
  <c r="K5" i="2"/>
  <c r="J5" i="2"/>
  <c r="J13" i="2" s="1"/>
  <c r="I5" i="2"/>
  <c r="I13" i="2" s="1"/>
  <c r="I14" i="2" s="1"/>
  <c r="I15" i="2" s="1"/>
  <c r="F4" i="2"/>
  <c r="E4" i="2"/>
  <c r="D4" i="2"/>
  <c r="E5" i="2" s="1"/>
  <c r="E2" i="2"/>
  <c r="F2" i="2" s="1"/>
  <c r="G2" i="2" s="1"/>
  <c r="H2" i="2" s="1"/>
  <c r="I2" i="2" s="1"/>
  <c r="J2" i="2" s="1"/>
  <c r="K2" i="2" s="1"/>
  <c r="L2" i="2" s="1"/>
  <c r="M2" i="2" s="1"/>
  <c r="N2" i="2" s="1"/>
  <c r="O2" i="2" s="1"/>
  <c r="P2" i="2" s="1"/>
  <c r="Q2" i="2" s="1"/>
  <c r="R2" i="2" s="1"/>
  <c r="S2" i="2" s="1"/>
  <c r="T2" i="2" s="1"/>
  <c r="U2" i="2" s="1"/>
  <c r="V2" i="2" s="1"/>
  <c r="R25" i="1"/>
  <c r="R29" i="1"/>
  <c r="S29" i="1"/>
  <c r="T29" i="1"/>
  <c r="U29" i="1"/>
  <c r="V29" i="1"/>
  <c r="Q14" i="1"/>
  <c r="Q15" i="1"/>
  <c r="R14" i="1"/>
  <c r="R15" i="1" s="1"/>
  <c r="S14" i="1"/>
  <c r="S15" i="1" s="1"/>
  <c r="T14" i="1"/>
  <c r="T15" i="1" s="1"/>
  <c r="U14" i="1"/>
  <c r="U15" i="1" s="1"/>
  <c r="V14" i="1"/>
  <c r="V15" i="1" s="1"/>
  <c r="R13" i="1"/>
  <c r="S13" i="1"/>
  <c r="T13" i="1"/>
  <c r="U13" i="1"/>
  <c r="V13" i="1"/>
  <c r="R7" i="1"/>
  <c r="S7" i="1"/>
  <c r="T7" i="1"/>
  <c r="U7" i="1"/>
  <c r="V7" i="1"/>
  <c r="R5" i="1"/>
  <c r="S5" i="1"/>
  <c r="T5" i="1"/>
  <c r="U5" i="1"/>
  <c r="V5" i="1"/>
  <c r="R2" i="1"/>
  <c r="S2" i="1" s="1"/>
  <c r="T2" i="1" s="1"/>
  <c r="U2" i="1" s="1"/>
  <c r="V2" i="1" s="1"/>
  <c r="L7" i="1"/>
  <c r="M7" i="1"/>
  <c r="N7" i="1"/>
  <c r="O7" i="1"/>
  <c r="P7" i="1"/>
  <c r="Q7" i="1"/>
  <c r="K7" i="1"/>
  <c r="I5" i="1"/>
  <c r="I13" i="1" s="1"/>
  <c r="I14" i="1" s="1"/>
  <c r="I15" i="1" s="1"/>
  <c r="J5" i="1"/>
  <c r="J13" i="1" s="1"/>
  <c r="J14" i="1" s="1"/>
  <c r="J15" i="1" s="1"/>
  <c r="K5" i="1"/>
  <c r="K13" i="1" s="1"/>
  <c r="L5" i="1"/>
  <c r="M5" i="1"/>
  <c r="M13" i="1" s="1"/>
  <c r="M14" i="1" s="1"/>
  <c r="N5" i="1"/>
  <c r="N13" i="1" s="1"/>
  <c r="N14" i="1" s="1"/>
  <c r="O5" i="1"/>
  <c r="P5" i="1"/>
  <c r="Q5" i="1"/>
  <c r="Q13" i="1" s="1"/>
  <c r="Y17" i="1"/>
  <c r="H25" i="1"/>
  <c r="I25" i="1" s="1"/>
  <c r="J25" i="1" s="1"/>
  <c r="K25" i="1" s="1"/>
  <c r="L25" i="1" s="1"/>
  <c r="M25" i="1" s="1"/>
  <c r="N25" i="1" s="1"/>
  <c r="O25" i="1" s="1"/>
  <c r="P25" i="1" s="1"/>
  <c r="Q25" i="1" s="1"/>
  <c r="F29" i="1"/>
  <c r="E29" i="1"/>
  <c r="F4" i="1"/>
  <c r="F5" i="1" s="1"/>
  <c r="E4" i="1"/>
  <c r="E5" i="1" s="1"/>
  <c r="D4" i="1"/>
  <c r="E43" i="1"/>
  <c r="F43" i="1"/>
  <c r="E44" i="1"/>
  <c r="F44" i="1"/>
  <c r="D44" i="1"/>
  <c r="D43" i="1"/>
  <c r="G41" i="1"/>
  <c r="F41" i="1"/>
  <c r="E41" i="1"/>
  <c r="F33" i="1"/>
  <c r="F36" i="1" s="1"/>
  <c r="E33" i="1"/>
  <c r="E36" i="1" s="1"/>
  <c r="D33" i="1"/>
  <c r="E15" i="1"/>
  <c r="E18" i="1" s="1"/>
  <c r="E21" i="1" s="1"/>
  <c r="E23" i="1" s="1"/>
  <c r="E24" i="1" s="1"/>
  <c r="F15" i="1"/>
  <c r="F18" i="1" s="1"/>
  <c r="F21" i="1" s="1"/>
  <c r="F23" i="1" s="1"/>
  <c r="F24" i="1" s="1"/>
  <c r="D15" i="1"/>
  <c r="D18" i="1" s="1"/>
  <c r="D21" i="1" s="1"/>
  <c r="D23" i="1" s="1"/>
  <c r="D24" i="1" s="1"/>
  <c r="E2" i="1"/>
  <c r="F2" i="1" s="1"/>
  <c r="G2" i="1" s="1"/>
  <c r="H2" i="1" s="1"/>
  <c r="I2" i="1" s="1"/>
  <c r="J2" i="1" s="1"/>
  <c r="K2" i="1" s="1"/>
  <c r="L2" i="1" s="1"/>
  <c r="M2" i="1" s="1"/>
  <c r="N2" i="1" s="1"/>
  <c r="O2" i="1" s="1"/>
  <c r="P2" i="1" s="1"/>
  <c r="Q2" i="1" s="1"/>
  <c r="T5" i="2" l="1"/>
  <c r="U4" i="2"/>
  <c r="V4" i="2" s="1"/>
  <c r="T6" i="2"/>
  <c r="S7" i="2"/>
  <c r="D22" i="2"/>
  <c r="D47" i="2" s="1"/>
  <c r="E22" i="2"/>
  <c r="E24" i="2" s="1"/>
  <c r="E25" i="2" s="1"/>
  <c r="F5" i="2"/>
  <c r="K13" i="2"/>
  <c r="F28" i="2"/>
  <c r="N13" i="2"/>
  <c r="N14" i="2" s="1"/>
  <c r="N15" i="2" s="1"/>
  <c r="S5" i="3"/>
  <c r="P7" i="3"/>
  <c r="P13" i="3"/>
  <c r="P14" i="3" s="1"/>
  <c r="P15" i="3" s="1"/>
  <c r="O7" i="3"/>
  <c r="N7" i="3"/>
  <c r="O13" i="3"/>
  <c r="N13" i="3"/>
  <c r="M13" i="3"/>
  <c r="M14" i="3" s="1"/>
  <c r="M15" i="3" s="1"/>
  <c r="L13" i="3"/>
  <c r="K13" i="3"/>
  <c r="K14" i="3" s="1"/>
  <c r="K15" i="3" s="1"/>
  <c r="Q14" i="3"/>
  <c r="Q15" i="3" s="1"/>
  <c r="T5" i="3"/>
  <c r="S7" i="3"/>
  <c r="G27" i="3"/>
  <c r="G44" i="3"/>
  <c r="I14" i="3"/>
  <c r="I15" i="3" s="1"/>
  <c r="R7" i="3"/>
  <c r="R13" i="3" s="1"/>
  <c r="J14" i="3"/>
  <c r="J15" i="3" s="1"/>
  <c r="D23" i="3"/>
  <c r="D24" i="3" s="1"/>
  <c r="G29" i="3"/>
  <c r="G4" i="3"/>
  <c r="S13" i="2"/>
  <c r="S14" i="2" s="1"/>
  <c r="S15" i="2" s="1"/>
  <c r="V5" i="2"/>
  <c r="U5" i="2"/>
  <c r="R13" i="2"/>
  <c r="R14" i="2" s="1"/>
  <c r="Q13" i="2"/>
  <c r="Q14" i="2" s="1"/>
  <c r="Q15" i="2" s="1"/>
  <c r="P13" i="2"/>
  <c r="P14" i="2" s="1"/>
  <c r="P15" i="2" s="1"/>
  <c r="O13" i="2"/>
  <c r="M13" i="2"/>
  <c r="M14" i="2" s="1"/>
  <c r="M15" i="2" s="1"/>
  <c r="L13" i="2"/>
  <c r="K30" i="2"/>
  <c r="K14" i="2"/>
  <c r="K15" i="2" s="1"/>
  <c r="G5" i="2"/>
  <c r="H5" i="2"/>
  <c r="H13" i="2" s="1"/>
  <c r="L30" i="2"/>
  <c r="L14" i="2"/>
  <c r="L15" i="2" s="1"/>
  <c r="F22" i="2"/>
  <c r="F24" i="2" s="1"/>
  <c r="F25" i="2" s="1"/>
  <c r="F29" i="2"/>
  <c r="G22" i="2"/>
  <c r="G24" i="2" s="1"/>
  <c r="G29" i="2"/>
  <c r="J30" i="2"/>
  <c r="J14" i="2"/>
  <c r="J15" i="2" s="1"/>
  <c r="D24" i="2"/>
  <c r="D25" i="2" s="1"/>
  <c r="G30" i="2"/>
  <c r="G28" i="2"/>
  <c r="S25" i="1"/>
  <c r="P13" i="1"/>
  <c r="P14" i="1" s="1"/>
  <c r="P15" i="1" s="1"/>
  <c r="O13" i="1"/>
  <c r="O14" i="1" s="1"/>
  <c r="O15" i="1" s="1"/>
  <c r="L13" i="1"/>
  <c r="L14" i="1" s="1"/>
  <c r="L15" i="1" s="1"/>
  <c r="K29" i="1"/>
  <c r="K14" i="1"/>
  <c r="K15" i="1" s="1"/>
  <c r="J29" i="1"/>
  <c r="D46" i="1"/>
  <c r="E46" i="1" s="1"/>
  <c r="F46" i="1" s="1"/>
  <c r="M15" i="1"/>
  <c r="N15" i="1"/>
  <c r="N29" i="1"/>
  <c r="E28" i="1"/>
  <c r="D27" i="1"/>
  <c r="D28" i="1"/>
  <c r="F28" i="1"/>
  <c r="F27" i="1"/>
  <c r="E27" i="1"/>
  <c r="E47" i="2" l="1"/>
  <c r="O30" i="2"/>
  <c r="U6" i="2"/>
  <c r="T7" i="2"/>
  <c r="T13" i="2" s="1"/>
  <c r="T14" i="2" s="1"/>
  <c r="T15" i="2" s="1"/>
  <c r="S13" i="3"/>
  <c r="S29" i="3" s="1"/>
  <c r="Q29" i="3"/>
  <c r="O29" i="3"/>
  <c r="O14" i="3"/>
  <c r="O15" i="3" s="1"/>
  <c r="P29" i="3"/>
  <c r="N14" i="3"/>
  <c r="N15" i="3" s="1"/>
  <c r="N29" i="3"/>
  <c r="L29" i="3"/>
  <c r="M29" i="3"/>
  <c r="L14" i="3"/>
  <c r="L15" i="3" s="1"/>
  <c r="K29" i="3"/>
  <c r="R14" i="3"/>
  <c r="R15" i="3" s="1"/>
  <c r="R29" i="3"/>
  <c r="U5" i="3"/>
  <c r="G5" i="3"/>
  <c r="H5" i="3"/>
  <c r="H13" i="3" s="1"/>
  <c r="G28" i="3"/>
  <c r="T7" i="3"/>
  <c r="T13" i="3" s="1"/>
  <c r="O14" i="2"/>
  <c r="O15" i="2" s="1"/>
  <c r="R15" i="2"/>
  <c r="R30" i="2"/>
  <c r="S30" i="2"/>
  <c r="P30" i="2"/>
  <c r="Q30" i="2"/>
  <c r="N30" i="2"/>
  <c r="M30" i="2"/>
  <c r="H14" i="2"/>
  <c r="H15" i="2" s="1"/>
  <c r="H30" i="2"/>
  <c r="G25" i="2"/>
  <c r="F47" i="2"/>
  <c r="G47" i="2" s="1"/>
  <c r="I30" i="2"/>
  <c r="T25" i="1"/>
  <c r="O29" i="1"/>
  <c r="Q29" i="1"/>
  <c r="P29" i="1"/>
  <c r="M29" i="1"/>
  <c r="L29" i="1"/>
  <c r="V6" i="2" l="1"/>
  <c r="U7" i="2"/>
  <c r="T30" i="2"/>
  <c r="U13" i="2"/>
  <c r="S14" i="3"/>
  <c r="S15" i="3" s="1"/>
  <c r="T29" i="3"/>
  <c r="T14" i="3"/>
  <c r="T15" i="3" s="1"/>
  <c r="G23" i="3"/>
  <c r="G46" i="3"/>
  <c r="V7" i="3"/>
  <c r="U7" i="3"/>
  <c r="U13" i="3" s="1"/>
  <c r="H29" i="3"/>
  <c r="H14" i="3"/>
  <c r="H15" i="3" s="1"/>
  <c r="I29" i="3"/>
  <c r="V5" i="3"/>
  <c r="V13" i="3" s="1"/>
  <c r="H16" i="2"/>
  <c r="H17" i="2"/>
  <c r="U25" i="1"/>
  <c r="U14" i="2" l="1"/>
  <c r="U15" i="2" s="1"/>
  <c r="U30" i="2"/>
  <c r="V7" i="2"/>
  <c r="V13" i="2"/>
  <c r="V29" i="3"/>
  <c r="V14" i="3"/>
  <c r="V15" i="3" s="1"/>
  <c r="U29" i="3"/>
  <c r="U14" i="3"/>
  <c r="U15" i="3" s="1"/>
  <c r="H17" i="3"/>
  <c r="H16" i="3"/>
  <c r="G24" i="3"/>
  <c r="I17" i="2"/>
  <c r="H45" i="2"/>
  <c r="I16" i="2"/>
  <c r="H44" i="2"/>
  <c r="H19" i="2"/>
  <c r="V25" i="1"/>
  <c r="V30" i="2" l="1"/>
  <c r="V14" i="2"/>
  <c r="V15" i="2" s="1"/>
  <c r="H43" i="3"/>
  <c r="I16" i="3"/>
  <c r="H18" i="3"/>
  <c r="I17" i="3"/>
  <c r="H44" i="3"/>
  <c r="H22" i="2"/>
  <c r="H29" i="2"/>
  <c r="J16" i="2"/>
  <c r="I44" i="2"/>
  <c r="I19" i="2"/>
  <c r="J17" i="2"/>
  <c r="I45" i="2"/>
  <c r="H28" i="3" l="1"/>
  <c r="H21" i="3"/>
  <c r="J17" i="3"/>
  <c r="I44" i="3"/>
  <c r="I43" i="3"/>
  <c r="J16" i="3"/>
  <c r="I18" i="3"/>
  <c r="K17" i="2"/>
  <c r="J45" i="2"/>
  <c r="J44" i="2"/>
  <c r="K16" i="2"/>
  <c r="J19" i="2"/>
  <c r="I22" i="2"/>
  <c r="I24" i="2" s="1"/>
  <c r="I25" i="2" s="1"/>
  <c r="I29" i="2"/>
  <c r="H24" i="2"/>
  <c r="H47" i="2"/>
  <c r="I47" i="2" l="1"/>
  <c r="I28" i="3"/>
  <c r="I21" i="3"/>
  <c r="I23" i="3" s="1"/>
  <c r="I24" i="3" s="1"/>
  <c r="J43" i="3"/>
  <c r="K16" i="3"/>
  <c r="J18" i="3"/>
  <c r="K17" i="3"/>
  <c r="J44" i="3"/>
  <c r="H23" i="3"/>
  <c r="H46" i="3"/>
  <c r="I46" i="3" s="1"/>
  <c r="H25" i="2"/>
  <c r="J22" i="2"/>
  <c r="J24" i="2" s="1"/>
  <c r="J25" i="2" s="1"/>
  <c r="J29" i="2"/>
  <c r="K44" i="2"/>
  <c r="L16" i="2"/>
  <c r="K19" i="2"/>
  <c r="L17" i="2"/>
  <c r="K45" i="2"/>
  <c r="H24" i="3" l="1"/>
  <c r="J21" i="3"/>
  <c r="J23" i="3" s="1"/>
  <c r="J24" i="3" s="1"/>
  <c r="J28" i="3"/>
  <c r="K44" i="3"/>
  <c r="L17" i="3"/>
  <c r="K43" i="3"/>
  <c r="L16" i="3"/>
  <c r="K18" i="3"/>
  <c r="L44" i="2"/>
  <c r="M16" i="2"/>
  <c r="L19" i="2"/>
  <c r="L45" i="2"/>
  <c r="M17" i="2"/>
  <c r="J47" i="2"/>
  <c r="K29" i="2"/>
  <c r="K22" i="2"/>
  <c r="K47" i="2" l="1"/>
  <c r="K21" i="3"/>
  <c r="K23" i="3" s="1"/>
  <c r="K24" i="3" s="1"/>
  <c r="K28" i="3"/>
  <c r="M16" i="3"/>
  <c r="L43" i="3"/>
  <c r="L18" i="3"/>
  <c r="M17" i="3"/>
  <c r="L44" i="3"/>
  <c r="J46" i="3"/>
  <c r="K46" i="3" s="1"/>
  <c r="L22" i="2"/>
  <c r="L48" i="2" s="1"/>
  <c r="L49" i="2" s="1"/>
  <c r="L50" i="2" s="1"/>
  <c r="L23" i="2" s="1"/>
  <c r="L29" i="2"/>
  <c r="M44" i="2"/>
  <c r="N16" i="2"/>
  <c r="M19" i="2"/>
  <c r="N17" i="2"/>
  <c r="M45" i="2"/>
  <c r="L47" i="2" l="1"/>
  <c r="N16" i="3"/>
  <c r="M43" i="3"/>
  <c r="M18" i="3"/>
  <c r="L21" i="3"/>
  <c r="L46" i="3" s="1"/>
  <c r="L28" i="3"/>
  <c r="M44" i="3"/>
  <c r="N17" i="3"/>
  <c r="O17" i="2"/>
  <c r="N45" i="2"/>
  <c r="M22" i="2"/>
  <c r="M29" i="2"/>
  <c r="L24" i="2"/>
  <c r="L25" i="2" s="1"/>
  <c r="N44" i="2"/>
  <c r="O16" i="2"/>
  <c r="N19" i="2"/>
  <c r="K24" i="2"/>
  <c r="M48" i="2" l="1"/>
  <c r="M49" i="2" s="1"/>
  <c r="M50" i="2" s="1"/>
  <c r="M23" i="2" s="1"/>
  <c r="M24" i="2" s="1"/>
  <c r="N44" i="3"/>
  <c r="O17" i="3"/>
  <c r="M21" i="3"/>
  <c r="M28" i="3"/>
  <c r="O16" i="3"/>
  <c r="N43" i="3"/>
  <c r="N18" i="3"/>
  <c r="K25" i="2"/>
  <c r="P16" i="2"/>
  <c r="O44" i="2"/>
  <c r="O19" i="2"/>
  <c r="P17" i="2"/>
  <c r="O45" i="2"/>
  <c r="N22" i="2"/>
  <c r="N48" i="2" s="1"/>
  <c r="N49" i="2" s="1"/>
  <c r="N50" i="2" s="1"/>
  <c r="N23" i="2" s="1"/>
  <c r="N29" i="2"/>
  <c r="M47" i="2" l="1"/>
  <c r="N47" i="2" s="1"/>
  <c r="L23" i="3"/>
  <c r="L24" i="3" s="1"/>
  <c r="N21" i="3"/>
  <c r="N28" i="3"/>
  <c r="P16" i="3"/>
  <c r="O43" i="3"/>
  <c r="O18" i="3"/>
  <c r="M47" i="3"/>
  <c r="M46" i="3" s="1"/>
  <c r="O44" i="3"/>
  <c r="P17" i="3"/>
  <c r="M25" i="2"/>
  <c r="O22" i="2"/>
  <c r="O29" i="2"/>
  <c r="N24" i="2"/>
  <c r="Q17" i="2"/>
  <c r="P45" i="2"/>
  <c r="Q16" i="2"/>
  <c r="P44" i="2"/>
  <c r="P19" i="2"/>
  <c r="O48" i="2" l="1"/>
  <c r="O49" i="2" s="1"/>
  <c r="O50" i="2" s="1"/>
  <c r="O23" i="2" s="1"/>
  <c r="O24" i="2" s="1"/>
  <c r="O25" i="2" s="1"/>
  <c r="M48" i="3"/>
  <c r="M49" i="3" s="1"/>
  <c r="M22" i="3" s="1"/>
  <c r="M23" i="3" s="1"/>
  <c r="M24" i="3" s="1"/>
  <c r="O21" i="3"/>
  <c r="O28" i="3"/>
  <c r="Q16" i="3"/>
  <c r="P43" i="3"/>
  <c r="P18" i="3"/>
  <c r="N47" i="3"/>
  <c r="N46" i="3" s="1"/>
  <c r="P44" i="3"/>
  <c r="Q17" i="3"/>
  <c r="N25" i="2"/>
  <c r="P22" i="2"/>
  <c r="P29" i="2"/>
  <c r="R16" i="2"/>
  <c r="Q44" i="2"/>
  <c r="Q19" i="2"/>
  <c r="Q45" i="2"/>
  <c r="R17" i="2"/>
  <c r="O47" i="3" l="1"/>
  <c r="O46" i="3" s="1"/>
  <c r="O48" i="3"/>
  <c r="O49" i="3" s="1"/>
  <c r="O22" i="3" s="1"/>
  <c r="O47" i="2"/>
  <c r="P48" i="2" s="1"/>
  <c r="P49" i="2" s="1"/>
  <c r="P50" i="2" s="1"/>
  <c r="P23" i="2" s="1"/>
  <c r="P24" i="2" s="1"/>
  <c r="P25" i="2" s="1"/>
  <c r="N48" i="3"/>
  <c r="N49" i="3" s="1"/>
  <c r="R16" i="3"/>
  <c r="Q43" i="3"/>
  <c r="Q18" i="3"/>
  <c r="P21" i="3"/>
  <c r="P28" i="3"/>
  <c r="R17" i="3"/>
  <c r="Q44" i="3"/>
  <c r="Q29" i="2"/>
  <c r="Q22" i="2"/>
  <c r="R45" i="2"/>
  <c r="S17" i="2"/>
  <c r="S16" i="2"/>
  <c r="R44" i="2"/>
  <c r="R19" i="2"/>
  <c r="P47" i="3" l="1"/>
  <c r="P48" i="3"/>
  <c r="P49" i="3" s="1"/>
  <c r="P22" i="3" s="1"/>
  <c r="N22" i="3"/>
  <c r="N23" i="3" s="1"/>
  <c r="N24" i="3" s="1"/>
  <c r="P46" i="3"/>
  <c r="P23" i="3"/>
  <c r="P24" i="3" s="1"/>
  <c r="S17" i="3"/>
  <c r="R44" i="3"/>
  <c r="O23" i="3"/>
  <c r="O24" i="3" s="1"/>
  <c r="Q28" i="3"/>
  <c r="Q21" i="3"/>
  <c r="R43" i="3"/>
  <c r="S16" i="3"/>
  <c r="R18" i="3"/>
  <c r="T16" i="2"/>
  <c r="S44" i="2"/>
  <c r="S19" i="2"/>
  <c r="R29" i="2"/>
  <c r="R22" i="2"/>
  <c r="Q23" i="2"/>
  <c r="Q24" i="2" s="1"/>
  <c r="Q25" i="2" s="1"/>
  <c r="S45" i="2"/>
  <c r="T17" i="2"/>
  <c r="Q47" i="3" l="1"/>
  <c r="Q46" i="3" s="1"/>
  <c r="R21" i="3"/>
  <c r="R47" i="3" s="1"/>
  <c r="R48" i="3" s="1"/>
  <c r="R49" i="3" s="1"/>
  <c r="R22" i="3" s="1"/>
  <c r="R28" i="3"/>
  <c r="T17" i="3"/>
  <c r="S44" i="3"/>
  <c r="S43" i="3"/>
  <c r="T16" i="3"/>
  <c r="S18" i="3"/>
  <c r="U17" i="2"/>
  <c r="T45" i="2"/>
  <c r="R23" i="2"/>
  <c r="R24" i="2" s="1"/>
  <c r="R25" i="2" s="1"/>
  <c r="S22" i="2"/>
  <c r="S29" i="2"/>
  <c r="U16" i="2"/>
  <c r="T44" i="2"/>
  <c r="T19" i="2"/>
  <c r="Q48" i="3" l="1"/>
  <c r="Q49" i="3" s="1"/>
  <c r="Q22" i="3" s="1"/>
  <c r="Q23" i="3" s="1"/>
  <c r="Q24" i="3" s="1"/>
  <c r="R46" i="3"/>
  <c r="T43" i="3"/>
  <c r="U16" i="3"/>
  <c r="T18" i="3"/>
  <c r="S28" i="3"/>
  <c r="S21" i="3"/>
  <c r="U17" i="3"/>
  <c r="T44" i="3"/>
  <c r="R23" i="3"/>
  <c r="R24" i="3" s="1"/>
  <c r="T22" i="2"/>
  <c r="T29" i="2"/>
  <c r="S23" i="2"/>
  <c r="S24" i="2" s="1"/>
  <c r="S25" i="2" s="1"/>
  <c r="V16" i="2"/>
  <c r="U44" i="2"/>
  <c r="U19" i="2"/>
  <c r="V17" i="2"/>
  <c r="V45" i="2" s="1"/>
  <c r="U45" i="2"/>
  <c r="S47" i="3" l="1"/>
  <c r="S46" i="3" s="1"/>
  <c r="S48" i="3"/>
  <c r="S49" i="3" s="1"/>
  <c r="S22" i="3" s="1"/>
  <c r="V17" i="3"/>
  <c r="V44" i="3" s="1"/>
  <c r="U44" i="3"/>
  <c r="S23" i="3"/>
  <c r="S24" i="3" s="1"/>
  <c r="T28" i="3"/>
  <c r="T21" i="3"/>
  <c r="U43" i="3"/>
  <c r="V16" i="3"/>
  <c r="U18" i="3"/>
  <c r="V44" i="2"/>
  <c r="V19" i="2"/>
  <c r="U22" i="2"/>
  <c r="U29" i="2"/>
  <c r="T23" i="2"/>
  <c r="T24" i="2" s="1"/>
  <c r="T25" i="2" s="1"/>
  <c r="T47" i="3" l="1"/>
  <c r="T48" i="3"/>
  <c r="T49" i="3" s="1"/>
  <c r="T22" i="3" s="1"/>
  <c r="T46" i="3"/>
  <c r="U47" i="3" s="1"/>
  <c r="U28" i="3"/>
  <c r="U21" i="3"/>
  <c r="U48" i="3" s="1"/>
  <c r="U49" i="3" s="1"/>
  <c r="U22" i="3" s="1"/>
  <c r="V43" i="3"/>
  <c r="V18" i="3"/>
  <c r="T23" i="3"/>
  <c r="T24" i="3" s="1"/>
  <c r="V22" i="2"/>
  <c r="V29" i="2"/>
  <c r="U23" i="2"/>
  <c r="U24" i="2" s="1"/>
  <c r="U25" i="2" s="1"/>
  <c r="U23" i="3" l="1"/>
  <c r="U24" i="3" s="1"/>
  <c r="V21" i="3"/>
  <c r="V28" i="3"/>
  <c r="V23" i="2"/>
  <c r="V24" i="2" s="1"/>
  <c r="V22" i="3" l="1"/>
  <c r="V23" i="3" s="1"/>
  <c r="V25" i="2"/>
  <c r="W24" i="2"/>
  <c r="X24" i="2" s="1"/>
  <c r="Y24" i="2" s="1"/>
  <c r="Z24" i="2" s="1"/>
  <c r="AA24" i="2" s="1"/>
  <c r="AB24" i="2" s="1"/>
  <c r="AC24" i="2" s="1"/>
  <c r="AD24" i="2" s="1"/>
  <c r="AE24" i="2" s="1"/>
  <c r="AF24" i="2" s="1"/>
  <c r="AG24" i="2" s="1"/>
  <c r="AH24" i="2" s="1"/>
  <c r="AI24" i="2" s="1"/>
  <c r="AJ24" i="2" s="1"/>
  <c r="AK24" i="2" s="1"/>
  <c r="AL24" i="2" s="1"/>
  <c r="AM24" i="2" s="1"/>
  <c r="AN24" i="2" s="1"/>
  <c r="AO24" i="2" s="1"/>
  <c r="AP24" i="2" s="1"/>
  <c r="AQ24" i="2" s="1"/>
  <c r="AR24" i="2" s="1"/>
  <c r="AS24" i="2" s="1"/>
  <c r="AT24" i="2" s="1"/>
  <c r="AU24" i="2" s="1"/>
  <c r="AV24" i="2" s="1"/>
  <c r="AW24" i="2" s="1"/>
  <c r="AX24" i="2" s="1"/>
  <c r="AY24" i="2" s="1"/>
  <c r="AZ24" i="2" s="1"/>
  <c r="BA24" i="2" s="1"/>
  <c r="BB24" i="2" s="1"/>
  <c r="BC24" i="2" s="1"/>
  <c r="BD24" i="2" s="1"/>
  <c r="BE24" i="2" s="1"/>
  <c r="BF24" i="2" s="1"/>
  <c r="BG24" i="2" s="1"/>
  <c r="BH24" i="2" s="1"/>
  <c r="BI24" i="2" s="1"/>
  <c r="BJ24" i="2" s="1"/>
  <c r="BK24" i="2" s="1"/>
  <c r="BL24" i="2" s="1"/>
  <c r="BM24" i="2" s="1"/>
  <c r="BN24" i="2" s="1"/>
  <c r="BO24" i="2" s="1"/>
  <c r="BP24" i="2" s="1"/>
  <c r="BQ24" i="2" s="1"/>
  <c r="BR24" i="2" s="1"/>
  <c r="BS24" i="2" s="1"/>
  <c r="BT24" i="2" s="1"/>
  <c r="BU24" i="2" s="1"/>
  <c r="BV24" i="2" s="1"/>
  <c r="BW24" i="2" s="1"/>
  <c r="BX24" i="2" s="1"/>
  <c r="BY24" i="2" s="1"/>
  <c r="BZ24" i="2" s="1"/>
  <c r="CA24" i="2" s="1"/>
  <c r="CB24" i="2" s="1"/>
  <c r="CC24" i="2" s="1"/>
  <c r="CD24" i="2" s="1"/>
  <c r="CE24" i="2" s="1"/>
  <c r="CF24" i="2" s="1"/>
  <c r="CG24" i="2" s="1"/>
  <c r="CH24" i="2" s="1"/>
  <c r="CI24" i="2" s="1"/>
  <c r="CJ24" i="2" s="1"/>
  <c r="CK24" i="2" s="1"/>
  <c r="CL24" i="2" s="1"/>
  <c r="CM24" i="2" s="1"/>
  <c r="CN24" i="2" s="1"/>
  <c r="CO24" i="2" s="1"/>
  <c r="CP24" i="2" s="1"/>
  <c r="CQ24" i="2" s="1"/>
  <c r="CR24" i="2" s="1"/>
  <c r="CS24" i="2" s="1"/>
  <c r="CT24" i="2" s="1"/>
  <c r="CU24" i="2" s="1"/>
  <c r="CV24" i="2" s="1"/>
  <c r="CW24" i="2" s="1"/>
  <c r="CX24" i="2" s="1"/>
  <c r="CY24" i="2" s="1"/>
  <c r="CZ24" i="2" s="1"/>
  <c r="DA24" i="2" s="1"/>
  <c r="DB24" i="2" s="1"/>
  <c r="DC24" i="2" s="1"/>
  <c r="DD24" i="2" s="1"/>
  <c r="DE24" i="2" s="1"/>
  <c r="DF24" i="2" s="1"/>
  <c r="DG24" i="2" s="1"/>
  <c r="DH24" i="2" s="1"/>
  <c r="DI24" i="2" s="1"/>
  <c r="DJ24" i="2" s="1"/>
  <c r="DK24" i="2" s="1"/>
  <c r="DL24" i="2" s="1"/>
  <c r="DM24" i="2" s="1"/>
  <c r="DN24" i="2" s="1"/>
  <c r="DO24" i="2" s="1"/>
  <c r="DP24" i="2" s="1"/>
  <c r="DQ24" i="2" s="1"/>
  <c r="DR24" i="2" s="1"/>
  <c r="DS24" i="2" s="1"/>
  <c r="DT24" i="2" s="1"/>
  <c r="DU24" i="2" s="1"/>
  <c r="DV24" i="2" s="1"/>
  <c r="DW24" i="2" s="1"/>
  <c r="DX24" i="2" s="1"/>
  <c r="DY24" i="2" s="1"/>
  <c r="DZ24" i="2" s="1"/>
  <c r="EA24" i="2" s="1"/>
  <c r="EB24" i="2" s="1"/>
  <c r="EC24" i="2" s="1"/>
  <c r="ED24" i="2" s="1"/>
  <c r="EE24" i="2" s="1"/>
  <c r="EF24" i="2" s="1"/>
  <c r="EG24" i="2" s="1"/>
  <c r="EH24" i="2" s="1"/>
  <c r="EI24" i="2" s="1"/>
  <c r="EJ24" i="2" s="1"/>
  <c r="EK24" i="2" s="1"/>
  <c r="EL24" i="2" s="1"/>
  <c r="EM24" i="2" s="1"/>
  <c r="EN24" i="2" s="1"/>
  <c r="EO24" i="2" s="1"/>
  <c r="EP24" i="2" s="1"/>
  <c r="EQ24" i="2" s="1"/>
  <c r="ER24" i="2" s="1"/>
  <c r="Y16" i="2" s="1"/>
  <c r="Y18" i="2" s="1"/>
  <c r="Y19" i="2" s="1"/>
  <c r="E12" i="4" s="1"/>
  <c r="V24" i="3" l="1"/>
  <c r="W23" i="3"/>
  <c r="X23" i="3" s="1"/>
  <c r="Y23" i="3" s="1"/>
  <c r="Z23" i="3" s="1"/>
  <c r="AA23" i="3" s="1"/>
  <c r="AB23" i="3" s="1"/>
  <c r="AC23" i="3" s="1"/>
  <c r="AD23" i="3" s="1"/>
  <c r="AE23" i="3" s="1"/>
  <c r="AF23" i="3" s="1"/>
  <c r="AG23" i="3" s="1"/>
  <c r="AH23" i="3" s="1"/>
  <c r="AI23" i="3" s="1"/>
  <c r="AJ23" i="3" s="1"/>
  <c r="AK23" i="3" s="1"/>
  <c r="AL23" i="3" s="1"/>
  <c r="AM23" i="3" s="1"/>
  <c r="AN23" i="3" s="1"/>
  <c r="AO23" i="3" s="1"/>
  <c r="AP23" i="3" s="1"/>
  <c r="AQ23" i="3" s="1"/>
  <c r="AR23" i="3" s="1"/>
  <c r="AS23" i="3" s="1"/>
  <c r="AT23" i="3" s="1"/>
  <c r="AU23" i="3" s="1"/>
  <c r="AV23" i="3" s="1"/>
  <c r="AW23" i="3" s="1"/>
  <c r="AX23" i="3" s="1"/>
  <c r="AY23" i="3" s="1"/>
  <c r="AZ23" i="3" s="1"/>
  <c r="BA23" i="3" s="1"/>
  <c r="BB23" i="3" s="1"/>
  <c r="BC23" i="3" s="1"/>
  <c r="BD23" i="3" s="1"/>
  <c r="BE23" i="3" s="1"/>
  <c r="BF23" i="3" s="1"/>
  <c r="BG23" i="3" s="1"/>
  <c r="BH23" i="3" s="1"/>
  <c r="BI23" i="3" s="1"/>
  <c r="BJ23" i="3" s="1"/>
  <c r="BK23" i="3" s="1"/>
  <c r="BL23" i="3" s="1"/>
  <c r="BM23" i="3" s="1"/>
  <c r="BN23" i="3" s="1"/>
  <c r="BO23" i="3" s="1"/>
  <c r="BP23" i="3" s="1"/>
  <c r="BQ23" i="3" s="1"/>
  <c r="BR23" i="3" s="1"/>
  <c r="BS23" i="3" s="1"/>
  <c r="BT23" i="3" s="1"/>
  <c r="BU23" i="3" s="1"/>
  <c r="BV23" i="3" s="1"/>
  <c r="BW23" i="3" s="1"/>
  <c r="BX23" i="3" s="1"/>
  <c r="BY23" i="3" s="1"/>
  <c r="BZ23" i="3" s="1"/>
  <c r="CA23" i="3" s="1"/>
  <c r="CB23" i="3" s="1"/>
  <c r="CC23" i="3" s="1"/>
  <c r="CD23" i="3" s="1"/>
  <c r="CE23" i="3" s="1"/>
  <c r="CF23" i="3" s="1"/>
  <c r="CG23" i="3" s="1"/>
  <c r="CH23" i="3" s="1"/>
  <c r="CI23" i="3" s="1"/>
  <c r="CJ23" i="3" s="1"/>
  <c r="CK23" i="3" s="1"/>
  <c r="CL23" i="3" s="1"/>
  <c r="CM23" i="3" s="1"/>
  <c r="CN23" i="3" s="1"/>
  <c r="CO23" i="3" s="1"/>
  <c r="CP23" i="3" s="1"/>
  <c r="CQ23" i="3" s="1"/>
  <c r="CR23" i="3" s="1"/>
  <c r="CS23" i="3" s="1"/>
  <c r="CT23" i="3" s="1"/>
  <c r="CU23" i="3" s="1"/>
  <c r="CV23" i="3" s="1"/>
  <c r="CW23" i="3" s="1"/>
  <c r="CX23" i="3" s="1"/>
  <c r="CY23" i="3" s="1"/>
  <c r="CZ23" i="3" s="1"/>
  <c r="DA23" i="3" s="1"/>
  <c r="DB23" i="3" s="1"/>
  <c r="DC23" i="3" s="1"/>
  <c r="DD23" i="3" s="1"/>
  <c r="DE23" i="3" s="1"/>
  <c r="DF23" i="3" s="1"/>
  <c r="DG23" i="3" s="1"/>
  <c r="DH23" i="3" s="1"/>
  <c r="DI23" i="3" s="1"/>
  <c r="DJ23" i="3" s="1"/>
  <c r="DK23" i="3" s="1"/>
  <c r="DL23" i="3" s="1"/>
  <c r="DM23" i="3" s="1"/>
  <c r="DN23" i="3" s="1"/>
  <c r="DO23" i="3" s="1"/>
  <c r="DP23" i="3" s="1"/>
  <c r="DQ23" i="3" s="1"/>
  <c r="DR23" i="3" s="1"/>
  <c r="DS23" i="3" s="1"/>
  <c r="DT23" i="3" s="1"/>
  <c r="DU23" i="3" s="1"/>
  <c r="DV23" i="3" s="1"/>
  <c r="DW23" i="3" s="1"/>
  <c r="DX23" i="3" s="1"/>
  <c r="DY23" i="3" s="1"/>
  <c r="DZ23" i="3" s="1"/>
  <c r="EA23" i="3" s="1"/>
  <c r="EB23" i="3" s="1"/>
  <c r="EC23" i="3" s="1"/>
  <c r="ED23" i="3" s="1"/>
  <c r="EE23" i="3" s="1"/>
  <c r="EF23" i="3" s="1"/>
  <c r="EG23" i="3" s="1"/>
  <c r="EH23" i="3" s="1"/>
  <c r="EI23" i="3" s="1"/>
  <c r="EJ23" i="3" s="1"/>
  <c r="EK23" i="3" s="1"/>
  <c r="EL23" i="3" s="1"/>
  <c r="EM23" i="3" s="1"/>
  <c r="EN23" i="3" s="1"/>
  <c r="EO23" i="3" s="1"/>
  <c r="EP23" i="3" s="1"/>
  <c r="EQ23" i="3" s="1"/>
  <c r="ER23" i="3" s="1"/>
  <c r="Y16" i="3" s="1"/>
  <c r="Y18" i="3" s="1"/>
  <c r="Y19" i="3" s="1"/>
  <c r="E11" i="4" s="1"/>
  <c r="G23" i="1"/>
  <c r="G24" i="1" s="1"/>
  <c r="G44" i="1"/>
  <c r="G43" i="1"/>
  <c r="G46" i="1"/>
  <c r="G27" i="1"/>
  <c r="G29" i="1"/>
  <c r="G4" i="1"/>
  <c r="H5" i="1" s="1"/>
  <c r="H13" i="1" s="1"/>
  <c r="G28" i="1"/>
  <c r="G5" i="1" l="1"/>
  <c r="H29" i="1"/>
  <c r="H14" i="1"/>
  <c r="H15" i="1" s="1"/>
  <c r="I29" i="1"/>
  <c r="H17" i="1" l="1"/>
  <c r="H16" i="1"/>
  <c r="H43" i="1" l="1"/>
  <c r="I16" i="1"/>
  <c r="H44" i="1"/>
  <c r="I17" i="1"/>
  <c r="H18" i="1"/>
  <c r="I44" i="1" l="1"/>
  <c r="J17" i="1"/>
  <c r="J16" i="1"/>
  <c r="I43" i="1"/>
  <c r="I18" i="1"/>
  <c r="H21" i="1"/>
  <c r="H28" i="1"/>
  <c r="I28" i="1" l="1"/>
  <c r="I21" i="1"/>
  <c r="I23" i="1" s="1"/>
  <c r="I24" i="1" s="1"/>
  <c r="J44" i="1"/>
  <c r="K17" i="1"/>
  <c r="H23" i="1"/>
  <c r="H46" i="1"/>
  <c r="I46" i="1" s="1"/>
  <c r="J43" i="1"/>
  <c r="K16" i="1"/>
  <c r="J18" i="1"/>
  <c r="K18" i="1" l="1"/>
  <c r="L16" i="1"/>
  <c r="K43" i="1"/>
  <c r="H24" i="1"/>
  <c r="J21" i="1"/>
  <c r="J23" i="1" s="1"/>
  <c r="J24" i="1" s="1"/>
  <c r="J28" i="1"/>
  <c r="L17" i="1"/>
  <c r="K44" i="1"/>
  <c r="L44" i="1" l="1"/>
  <c r="M17" i="1"/>
  <c r="J46" i="1"/>
  <c r="L43" i="1"/>
  <c r="L18" i="1"/>
  <c r="M16" i="1"/>
  <c r="K28" i="1"/>
  <c r="K21" i="1"/>
  <c r="M18" i="1" l="1"/>
  <c r="N16" i="1"/>
  <c r="M43" i="1"/>
  <c r="K47" i="1"/>
  <c r="K48" i="1" s="1"/>
  <c r="K49" i="1" s="1"/>
  <c r="K22" i="1" s="1"/>
  <c r="K23" i="1" s="1"/>
  <c r="L21" i="1"/>
  <c r="L28" i="1"/>
  <c r="N17" i="1"/>
  <c r="M44" i="1"/>
  <c r="K24" i="1" l="1"/>
  <c r="O17" i="1"/>
  <c r="N44" i="1"/>
  <c r="K46" i="1"/>
  <c r="N43" i="1"/>
  <c r="O16" i="1"/>
  <c r="N18" i="1"/>
  <c r="L47" i="1"/>
  <c r="L48" i="1" s="1"/>
  <c r="L49" i="1" s="1"/>
  <c r="L22" i="1" s="1"/>
  <c r="L23" i="1" s="1"/>
  <c r="M28" i="1"/>
  <c r="M21" i="1"/>
  <c r="L24" i="1" l="1"/>
  <c r="O18" i="1"/>
  <c r="O43" i="1"/>
  <c r="P16" i="1"/>
  <c r="N21" i="1"/>
  <c r="N28" i="1"/>
  <c r="L46" i="1"/>
  <c r="P17" i="1"/>
  <c r="O44" i="1"/>
  <c r="M47" i="1"/>
  <c r="M48" i="1" s="1"/>
  <c r="M49" i="1" s="1"/>
  <c r="M22" i="1" s="1"/>
  <c r="M23" i="1" s="1"/>
  <c r="M46" i="1" l="1"/>
  <c r="M24" i="1"/>
  <c r="Q17" i="1"/>
  <c r="P44" i="1"/>
  <c r="N47" i="1"/>
  <c r="N48" i="1" s="1"/>
  <c r="N49" i="1" s="1"/>
  <c r="N22" i="1" s="1"/>
  <c r="N23" i="1" s="1"/>
  <c r="O21" i="1"/>
  <c r="O28" i="1"/>
  <c r="N46" i="1"/>
  <c r="O47" i="1" s="1"/>
  <c r="Q16" i="1"/>
  <c r="P43" i="1"/>
  <c r="P18" i="1"/>
  <c r="N24" i="1" l="1"/>
  <c r="O48" i="1"/>
  <c r="O49" i="1" s="1"/>
  <c r="O22" i="1" s="1"/>
  <c r="O23" i="1" s="1"/>
  <c r="O24" i="1" s="1"/>
  <c r="R17" i="1"/>
  <c r="Q44" i="1"/>
  <c r="R16" i="1"/>
  <c r="Q18" i="1"/>
  <c r="Q43" i="1"/>
  <c r="P21" i="1"/>
  <c r="P28" i="1"/>
  <c r="R44" i="1" l="1"/>
  <c r="S17" i="1"/>
  <c r="P22" i="1"/>
  <c r="P23" i="1" s="1"/>
  <c r="P24" i="1" s="1"/>
  <c r="R43" i="1"/>
  <c r="R18" i="1"/>
  <c r="S16" i="1"/>
  <c r="Q28" i="1"/>
  <c r="Q21" i="1"/>
  <c r="Q22" i="1" l="1"/>
  <c r="Q23" i="1" s="1"/>
  <c r="Q24" i="1" s="1"/>
  <c r="R21" i="1"/>
  <c r="R28" i="1"/>
  <c r="T16" i="1"/>
  <c r="S18" i="1"/>
  <c r="S43" i="1"/>
  <c r="S44" i="1"/>
  <c r="T17" i="1"/>
  <c r="U16" i="1" l="1"/>
  <c r="T43" i="1"/>
  <c r="T18" i="1"/>
  <c r="U17" i="1"/>
  <c r="T44" i="1"/>
  <c r="S28" i="1"/>
  <c r="S21" i="1"/>
  <c r="R22" i="1"/>
  <c r="R23" i="1" s="1"/>
  <c r="R24" i="1" s="1"/>
  <c r="S22" i="1" l="1"/>
  <c r="S23" i="1" s="1"/>
  <c r="S24" i="1" s="1"/>
  <c r="T28" i="1"/>
  <c r="T21" i="1"/>
  <c r="U44" i="1"/>
  <c r="V17" i="1"/>
  <c r="V44" i="1" s="1"/>
  <c r="U43" i="1"/>
  <c r="U18" i="1"/>
  <c r="V16" i="1"/>
  <c r="V43" i="1" l="1"/>
  <c r="V18" i="1"/>
  <c r="U21" i="1"/>
  <c r="U28" i="1"/>
  <c r="T22" i="1"/>
  <c r="T23" i="1" s="1"/>
  <c r="T24" i="1" s="1"/>
  <c r="V21" i="1" l="1"/>
  <c r="V28" i="1"/>
  <c r="U22" i="1"/>
  <c r="U23" i="1" s="1"/>
  <c r="U24" i="1" s="1"/>
  <c r="V22" i="1" l="1"/>
  <c r="V23" i="1" s="1"/>
  <c r="W23" i="1" l="1"/>
  <c r="X23" i="1" s="1"/>
  <c r="Y23" i="1" s="1"/>
  <c r="Z23" i="1" s="1"/>
  <c r="AA23" i="1" s="1"/>
  <c r="AB23" i="1" s="1"/>
  <c r="AC23" i="1" s="1"/>
  <c r="AD23" i="1" s="1"/>
  <c r="AE23" i="1" s="1"/>
  <c r="AF23" i="1" s="1"/>
  <c r="AG23" i="1" s="1"/>
  <c r="AH23" i="1" s="1"/>
  <c r="AI23" i="1" s="1"/>
  <c r="AJ23" i="1" s="1"/>
  <c r="AK23" i="1" s="1"/>
  <c r="AL23" i="1" s="1"/>
  <c r="AM23" i="1" s="1"/>
  <c r="AN23" i="1" s="1"/>
  <c r="AO23" i="1" s="1"/>
  <c r="AP23" i="1" s="1"/>
  <c r="AQ23" i="1" s="1"/>
  <c r="AR23" i="1" s="1"/>
  <c r="AS23" i="1" s="1"/>
  <c r="AT23" i="1" s="1"/>
  <c r="AU23" i="1" s="1"/>
  <c r="AV23" i="1" s="1"/>
  <c r="AW23" i="1" s="1"/>
  <c r="AX23" i="1" s="1"/>
  <c r="AY23" i="1" s="1"/>
  <c r="AZ23" i="1" s="1"/>
  <c r="BA23" i="1" s="1"/>
  <c r="BB23" i="1" s="1"/>
  <c r="BC23" i="1" s="1"/>
  <c r="BD23" i="1" s="1"/>
  <c r="BE23" i="1" s="1"/>
  <c r="BF23" i="1" s="1"/>
  <c r="BG23" i="1" s="1"/>
  <c r="BH23" i="1" s="1"/>
  <c r="BI23" i="1" s="1"/>
  <c r="BJ23" i="1" s="1"/>
  <c r="BK23" i="1" s="1"/>
  <c r="BL23" i="1" s="1"/>
  <c r="BM23" i="1" s="1"/>
  <c r="BN23" i="1" s="1"/>
  <c r="BO23" i="1" s="1"/>
  <c r="BP23" i="1" s="1"/>
  <c r="BQ23" i="1" s="1"/>
  <c r="BR23" i="1" s="1"/>
  <c r="BS23" i="1" s="1"/>
  <c r="BT23" i="1" s="1"/>
  <c r="BU23" i="1" s="1"/>
  <c r="BV23" i="1" s="1"/>
  <c r="BW23" i="1" s="1"/>
  <c r="BX23" i="1" s="1"/>
  <c r="BY23" i="1" s="1"/>
  <c r="BZ23" i="1" s="1"/>
  <c r="CA23" i="1" s="1"/>
  <c r="CB23" i="1" s="1"/>
  <c r="CC23" i="1" s="1"/>
  <c r="CD23" i="1" s="1"/>
  <c r="CE23" i="1" s="1"/>
  <c r="CF23" i="1" s="1"/>
  <c r="CG23" i="1" s="1"/>
  <c r="CH23" i="1" s="1"/>
  <c r="CI23" i="1" s="1"/>
  <c r="CJ23" i="1" s="1"/>
  <c r="CK23" i="1" s="1"/>
  <c r="CL23" i="1" s="1"/>
  <c r="CM23" i="1" s="1"/>
  <c r="CN23" i="1" s="1"/>
  <c r="CO23" i="1" s="1"/>
  <c r="CP23" i="1" s="1"/>
  <c r="CQ23" i="1" s="1"/>
  <c r="CR23" i="1" s="1"/>
  <c r="CS23" i="1" s="1"/>
  <c r="CT23" i="1" s="1"/>
  <c r="CU23" i="1" s="1"/>
  <c r="CV23" i="1" s="1"/>
  <c r="CW23" i="1" s="1"/>
  <c r="CX23" i="1" s="1"/>
  <c r="CY23" i="1" s="1"/>
  <c r="CZ23" i="1" s="1"/>
  <c r="DA23" i="1" s="1"/>
  <c r="DB23" i="1" s="1"/>
  <c r="DC23" i="1" s="1"/>
  <c r="DD23" i="1" s="1"/>
  <c r="DE23" i="1" s="1"/>
  <c r="DF23" i="1" s="1"/>
  <c r="DG23" i="1" s="1"/>
  <c r="DH23" i="1" s="1"/>
  <c r="DI23" i="1" s="1"/>
  <c r="DJ23" i="1" s="1"/>
  <c r="DK23" i="1" s="1"/>
  <c r="DL23" i="1" s="1"/>
  <c r="DM23" i="1" s="1"/>
  <c r="DN23" i="1" s="1"/>
  <c r="DO23" i="1" s="1"/>
  <c r="DP23" i="1" s="1"/>
  <c r="DQ23" i="1" s="1"/>
  <c r="DR23" i="1" s="1"/>
  <c r="DS23" i="1" s="1"/>
  <c r="DT23" i="1" s="1"/>
  <c r="DU23" i="1" s="1"/>
  <c r="DV23" i="1" s="1"/>
  <c r="DW23" i="1" s="1"/>
  <c r="DX23" i="1" s="1"/>
  <c r="DY23" i="1" s="1"/>
  <c r="DZ23" i="1" s="1"/>
  <c r="EA23" i="1" s="1"/>
  <c r="EB23" i="1" s="1"/>
  <c r="EC23" i="1" s="1"/>
  <c r="ED23" i="1" s="1"/>
  <c r="EE23" i="1" s="1"/>
  <c r="EF23" i="1" s="1"/>
  <c r="EG23" i="1" s="1"/>
  <c r="EH23" i="1" s="1"/>
  <c r="EI23" i="1" s="1"/>
  <c r="EJ23" i="1" s="1"/>
  <c r="EK23" i="1" s="1"/>
  <c r="EL23" i="1" s="1"/>
  <c r="EM23" i="1" s="1"/>
  <c r="EN23" i="1" s="1"/>
  <c r="EO23" i="1" s="1"/>
  <c r="EP23" i="1" s="1"/>
  <c r="EQ23" i="1" s="1"/>
  <c r="ER23" i="1" s="1"/>
  <c r="Y16" i="1" s="1"/>
  <c r="Y18" i="1" s="1"/>
  <c r="Y19" i="1" s="1"/>
  <c r="E13" i="4" s="1"/>
  <c r="D15" i="4" s="1"/>
  <c r="D16" i="4" s="1"/>
  <c r="V24" i="1"/>
</calcChain>
</file>

<file path=xl/sharedStrings.xml><?xml version="1.0" encoding="utf-8"?>
<sst xmlns="http://schemas.openxmlformats.org/spreadsheetml/2006/main" count="148" uniqueCount="54">
  <si>
    <t>Revenue</t>
  </si>
  <si>
    <t>COGS</t>
  </si>
  <si>
    <t>Gross Profit</t>
  </si>
  <si>
    <t>R&amp;D</t>
  </si>
  <si>
    <t>SG&amp;A</t>
  </si>
  <si>
    <t>Operating Income</t>
  </si>
  <si>
    <t>Interest expenses</t>
  </si>
  <si>
    <t>Interest income</t>
  </si>
  <si>
    <t>Pretax</t>
  </si>
  <si>
    <t>Taxes</t>
  </si>
  <si>
    <t>Net income</t>
  </si>
  <si>
    <t>Shares</t>
  </si>
  <si>
    <t>EPS</t>
  </si>
  <si>
    <t>Gross Margin</t>
  </si>
  <si>
    <t>Operating Margin</t>
  </si>
  <si>
    <t>CFFO</t>
  </si>
  <si>
    <t>CapEx</t>
  </si>
  <si>
    <t>FCF</t>
  </si>
  <si>
    <t>Issue of Stocks</t>
  </si>
  <si>
    <t>FFCF</t>
  </si>
  <si>
    <t>System sales &amp; rentals</t>
  </si>
  <si>
    <t>Consumables</t>
  </si>
  <si>
    <t>Service</t>
  </si>
  <si>
    <t>Cash</t>
  </si>
  <si>
    <t>PP&amp;E</t>
  </si>
  <si>
    <t>Debt</t>
  </si>
  <si>
    <t>NAV</t>
  </si>
  <si>
    <t>Revenue Y/Y</t>
  </si>
  <si>
    <t>BHP</t>
  </si>
  <si>
    <t>Localized prostate cancer</t>
  </si>
  <si>
    <t>Other</t>
  </si>
  <si>
    <t>NOL</t>
  </si>
  <si>
    <t>Taxable income</t>
  </si>
  <si>
    <t>NOL used</t>
  </si>
  <si>
    <t xml:space="preserve">Tax </t>
  </si>
  <si>
    <t>Discount</t>
  </si>
  <si>
    <t>Terminal</t>
  </si>
  <si>
    <t>NPV</t>
  </si>
  <si>
    <t>Net Cash</t>
  </si>
  <si>
    <t>Value</t>
  </si>
  <si>
    <t>Price</t>
  </si>
  <si>
    <t>BHP Y/Y</t>
  </si>
  <si>
    <t>Y/Y</t>
  </si>
  <si>
    <t>Upside</t>
  </si>
  <si>
    <t>Share</t>
  </si>
  <si>
    <t>MC</t>
  </si>
  <si>
    <t>Net cash</t>
  </si>
  <si>
    <t>EV</t>
  </si>
  <si>
    <t>Bearish</t>
  </si>
  <si>
    <t>base</t>
  </si>
  <si>
    <t>Bullish</t>
  </si>
  <si>
    <t>Prob.</t>
  </si>
  <si>
    <t>Exp. Value</t>
  </si>
  <si>
    <t>Operating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</si>
</sst>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3" fontId="0" fillId="0" borderId="0" xfId="0" applyNumberFormat="1"/>
    <xf numFmtId="3" fontId="2" fillId="0" borderId="0" xfId="0" applyNumberFormat="1" applyFont="1"/>
    <xf numFmtId="4" fontId="2" fillId="0" borderId="0" xfId="0" applyNumberFormat="1" applyFon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11906</xdr:colOff>
      <xdr:row>8</xdr:row>
      <xdr:rowOff>168218</xdr:rowOff>
    </xdr:from>
    <xdr:to>
      <xdr:col>7</xdr:col>
      <xdr:colOff>17349</xdr:colOff>
      <xdr:row>44</xdr:row>
      <xdr:rowOff>119233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6D82417E-E43E-57C5-A0D4-4837F953343F}"/>
            </a:ext>
          </a:extLst>
        </xdr:cNvPr>
        <xdr:cNvCxnSpPr/>
      </xdr:nvCxnSpPr>
      <xdr:spPr>
        <a:xfrm>
          <a:off x="4810125" y="1692218"/>
          <a:ext cx="5443" cy="680901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35718</xdr:colOff>
      <xdr:row>8</xdr:row>
      <xdr:rowOff>156312</xdr:rowOff>
    </xdr:from>
    <xdr:to>
      <xdr:col>7</xdr:col>
      <xdr:colOff>41161</xdr:colOff>
      <xdr:row>45</xdr:row>
      <xdr:rowOff>107327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CC2E0A25-2DE7-4CC5-A429-193BEB25CD57}"/>
            </a:ext>
          </a:extLst>
        </xdr:cNvPr>
        <xdr:cNvCxnSpPr/>
      </xdr:nvCxnSpPr>
      <xdr:spPr>
        <a:xfrm>
          <a:off x="4833937" y="1680312"/>
          <a:ext cx="5443" cy="680901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16329</xdr:colOff>
      <xdr:row>8</xdr:row>
      <xdr:rowOff>174171</xdr:rowOff>
    </xdr:from>
    <xdr:to>
      <xdr:col>7</xdr:col>
      <xdr:colOff>21772</xdr:colOff>
      <xdr:row>44</xdr:row>
      <xdr:rowOff>125186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B254D565-1554-45EB-8103-5E0C0729A2FB}"/>
            </a:ext>
          </a:extLst>
        </xdr:cNvPr>
        <xdr:cNvCxnSpPr/>
      </xdr:nvCxnSpPr>
      <xdr:spPr>
        <a:xfrm>
          <a:off x="4827815" y="1698171"/>
          <a:ext cx="5443" cy="680901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1E00A-6F56-445A-834F-F6E6CE44EECE}">
  <dimension ref="C3:F16"/>
  <sheetViews>
    <sheetView zoomScale="175" zoomScaleNormal="175" workbookViewId="0">
      <selection activeCell="D9" sqref="D9"/>
    </sheetView>
  </sheetViews>
  <sheetFormatPr defaultRowHeight="15" x14ac:dyDescent="0.25"/>
  <cols>
    <col min="3" max="3" width="10.28515625" bestFit="1" customWidth="1"/>
    <col min="4" max="6" width="9.140625" style="1"/>
  </cols>
  <sheetData>
    <row r="3" spans="3:5" x14ac:dyDescent="0.25">
      <c r="C3" t="s">
        <v>40</v>
      </c>
      <c r="D3" s="1">
        <v>27.79</v>
      </c>
    </row>
    <row r="4" spans="3:5" x14ac:dyDescent="0.25">
      <c r="C4" t="s">
        <v>44</v>
      </c>
      <c r="D4" s="1">
        <f>+Bull!V25</f>
        <v>55878.589</v>
      </c>
    </row>
    <row r="5" spans="3:5" x14ac:dyDescent="0.25">
      <c r="C5" t="s">
        <v>45</v>
      </c>
      <c r="D5" s="1">
        <f>+D3*D4</f>
        <v>1552865.9883099999</v>
      </c>
    </row>
    <row r="6" spans="3:5" x14ac:dyDescent="0.25">
      <c r="C6" t="s">
        <v>46</v>
      </c>
      <c r="D6" s="1">
        <f>+Bull!Y17</f>
        <v>242715</v>
      </c>
    </row>
    <row r="7" spans="3:5" x14ac:dyDescent="0.25">
      <c r="C7" t="s">
        <v>47</v>
      </c>
      <c r="D7" s="1">
        <f>+D5-D6</f>
        <v>1310150.9883099999</v>
      </c>
    </row>
    <row r="10" spans="3:5" x14ac:dyDescent="0.25">
      <c r="D10" s="1" t="s">
        <v>51</v>
      </c>
      <c r="E10" s="1" t="s">
        <v>39</v>
      </c>
    </row>
    <row r="11" spans="3:5" x14ac:dyDescent="0.25">
      <c r="C11" t="s">
        <v>48</v>
      </c>
      <c r="D11" s="4">
        <f>1-D12-D13</f>
        <v>0.4</v>
      </c>
      <c r="E11" s="1">
        <f>+D11*Bear!Y19</f>
        <v>4.6952501743490949</v>
      </c>
    </row>
    <row r="12" spans="3:5" x14ac:dyDescent="0.25">
      <c r="C12" t="s">
        <v>49</v>
      </c>
      <c r="D12" s="4">
        <v>0.45</v>
      </c>
      <c r="E12" s="1">
        <f>+D12*Base!Y19</f>
        <v>21.446489864136883</v>
      </c>
    </row>
    <row r="13" spans="3:5" x14ac:dyDescent="0.25">
      <c r="C13" t="s">
        <v>50</v>
      </c>
      <c r="D13" s="4">
        <v>0.15</v>
      </c>
      <c r="E13" s="1">
        <f>+D13*Bull!Y19</f>
        <v>26.746764741849571</v>
      </c>
    </row>
    <row r="15" spans="3:5" x14ac:dyDescent="0.25">
      <c r="C15" t="s">
        <v>52</v>
      </c>
      <c r="D15" s="1">
        <f>+SUM(E11:E13)</f>
        <v>52.888504780335552</v>
      </c>
    </row>
    <row r="16" spans="3:5" x14ac:dyDescent="0.25">
      <c r="C16" t="s">
        <v>43</v>
      </c>
      <c r="D16" s="4">
        <f>+D15/D3 -1</f>
        <v>0.90314878662596443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478E3-282E-4665-9886-FEEE0EB233B2}">
  <dimension ref="B2:ER189"/>
  <sheetViews>
    <sheetView zoomScale="160" zoomScaleNormal="160" workbookViewId="0">
      <pane xSplit="2" ySplit="2" topLeftCell="C6" activePane="bottomRight" state="frozen"/>
      <selection pane="topRight" activeCell="C1" sqref="C1"/>
      <selection pane="bottomLeft" activeCell="A3" sqref="A3"/>
      <selection pane="bottomRight" activeCell="G13" sqref="G13"/>
    </sheetView>
  </sheetViews>
  <sheetFormatPr defaultRowHeight="15" x14ac:dyDescent="0.25"/>
  <cols>
    <col min="1" max="1" width="2.85546875" customWidth="1"/>
    <col min="2" max="2" width="23.5703125" bestFit="1" customWidth="1"/>
    <col min="25" max="25" width="10.28515625" bestFit="1" customWidth="1"/>
  </cols>
  <sheetData>
    <row r="2" spans="2:25" x14ac:dyDescent="0.25">
      <c r="D2">
        <v>2022</v>
      </c>
      <c r="E2">
        <f>+D2+1</f>
        <v>2023</v>
      </c>
      <c r="F2">
        <f t="shared" ref="F2:V2" si="0">+E2+1</f>
        <v>2024</v>
      </c>
      <c r="G2">
        <f t="shared" si="0"/>
        <v>2025</v>
      </c>
      <c r="H2">
        <f t="shared" si="0"/>
        <v>2026</v>
      </c>
      <c r="I2">
        <f t="shared" si="0"/>
        <v>2027</v>
      </c>
      <c r="J2">
        <f t="shared" si="0"/>
        <v>2028</v>
      </c>
      <c r="K2">
        <f t="shared" si="0"/>
        <v>2029</v>
      </c>
      <c r="L2">
        <f t="shared" si="0"/>
        <v>2030</v>
      </c>
      <c r="M2">
        <f t="shared" si="0"/>
        <v>2031</v>
      </c>
      <c r="N2">
        <f t="shared" si="0"/>
        <v>2032</v>
      </c>
      <c r="O2">
        <f t="shared" si="0"/>
        <v>2033</v>
      </c>
      <c r="P2">
        <f t="shared" si="0"/>
        <v>2034</v>
      </c>
      <c r="Q2">
        <f t="shared" si="0"/>
        <v>2035</v>
      </c>
      <c r="R2">
        <f t="shared" si="0"/>
        <v>2036</v>
      </c>
      <c r="S2">
        <f t="shared" si="0"/>
        <v>2037</v>
      </c>
      <c r="T2">
        <f t="shared" si="0"/>
        <v>2038</v>
      </c>
      <c r="U2">
        <f t="shared" si="0"/>
        <v>2039</v>
      </c>
      <c r="V2">
        <f t="shared" si="0"/>
        <v>2040</v>
      </c>
    </row>
    <row r="3" spans="2:25" s="1" customFormat="1" x14ac:dyDescent="0.25"/>
    <row r="4" spans="2:25" s="1" customFormat="1" x14ac:dyDescent="0.25">
      <c r="B4" s="1" t="s">
        <v>28</v>
      </c>
      <c r="D4" s="1">
        <f>+D13</f>
        <v>75014</v>
      </c>
      <c r="E4" s="1">
        <f>+E13</f>
        <v>136191</v>
      </c>
      <c r="F4" s="1">
        <f>+F13</f>
        <v>224498</v>
      </c>
      <c r="G4" s="1">
        <f>+G13</f>
        <v>308054</v>
      </c>
      <c r="H4" s="1">
        <v>400000</v>
      </c>
      <c r="I4" s="1">
        <v>500000</v>
      </c>
      <c r="J4" s="1">
        <v>600000</v>
      </c>
      <c r="K4" s="1">
        <v>750000</v>
      </c>
      <c r="L4" s="1">
        <v>900000</v>
      </c>
      <c r="M4" s="1">
        <v>1050000</v>
      </c>
      <c r="N4" s="1">
        <v>1250000</v>
      </c>
      <c r="O4" s="1">
        <v>1450000</v>
      </c>
      <c r="P4" s="1">
        <v>1650000</v>
      </c>
      <c r="Q4" s="1">
        <v>1850000</v>
      </c>
      <c r="R4" s="1">
        <v>2050000</v>
      </c>
      <c r="S4" s="1">
        <v>2250000</v>
      </c>
      <c r="T4" s="1">
        <v>2400000</v>
      </c>
      <c r="U4" s="1">
        <v>2550000</v>
      </c>
      <c r="V4" s="1">
        <v>2650000</v>
      </c>
    </row>
    <row r="5" spans="2:25" s="4" customFormat="1" x14ac:dyDescent="0.25">
      <c r="B5" s="4" t="s">
        <v>41</v>
      </c>
      <c r="E5" s="4">
        <f>+E4/D4 -1</f>
        <v>0.81554109899485439</v>
      </c>
      <c r="F5" s="4">
        <f t="shared" ref="F5:Q5" si="1">+F4/E4 -1</f>
        <v>0.64840554809054929</v>
      </c>
      <c r="G5" s="4">
        <f t="shared" si="1"/>
        <v>0.37219039813272281</v>
      </c>
      <c r="H5" s="4">
        <f t="shared" si="1"/>
        <v>0.29847364423120615</v>
      </c>
      <c r="I5" s="4">
        <f t="shared" si="1"/>
        <v>0.25</v>
      </c>
      <c r="J5" s="4">
        <f t="shared" si="1"/>
        <v>0.19999999999999996</v>
      </c>
      <c r="K5" s="4">
        <f t="shared" si="1"/>
        <v>0.25</v>
      </c>
      <c r="L5" s="4">
        <f t="shared" si="1"/>
        <v>0.19999999999999996</v>
      </c>
      <c r="M5" s="4">
        <f t="shared" si="1"/>
        <v>0.16666666666666674</v>
      </c>
      <c r="N5" s="4">
        <f t="shared" si="1"/>
        <v>0.19047619047619047</v>
      </c>
      <c r="O5" s="4">
        <f t="shared" si="1"/>
        <v>0.15999999999999992</v>
      </c>
      <c r="P5" s="4">
        <f t="shared" si="1"/>
        <v>0.13793103448275867</v>
      </c>
      <c r="Q5" s="4">
        <f t="shared" si="1"/>
        <v>0.1212121212121211</v>
      </c>
      <c r="R5" s="4">
        <f t="shared" ref="R5" si="2">+R4/Q4 -1</f>
        <v>0.10810810810810811</v>
      </c>
      <c r="S5" s="4">
        <f t="shared" ref="S5" si="3">+S4/R4 -1</f>
        <v>9.7560975609756184E-2</v>
      </c>
      <c r="T5" s="4">
        <f t="shared" ref="T5" si="4">+T4/S4 -1</f>
        <v>6.6666666666666652E-2</v>
      </c>
      <c r="U5" s="4">
        <f t="shared" ref="U5" si="5">+U4/T4 -1</f>
        <v>6.25E-2</v>
      </c>
      <c r="V5" s="4">
        <f t="shared" ref="V5" si="6">+V4/U4 -1</f>
        <v>3.9215686274509887E-2</v>
      </c>
    </row>
    <row r="6" spans="2:25" s="1" customFormat="1" x14ac:dyDescent="0.25">
      <c r="B6" s="1" t="s">
        <v>29</v>
      </c>
      <c r="J6" s="1">
        <v>20000</v>
      </c>
      <c r="K6" s="1">
        <v>80000</v>
      </c>
      <c r="L6" s="1">
        <v>180000</v>
      </c>
      <c r="M6" s="1">
        <v>350000</v>
      </c>
      <c r="N6" s="1">
        <v>650000</v>
      </c>
      <c r="O6" s="1">
        <v>1050000</v>
      </c>
      <c r="P6" s="1">
        <v>1450000</v>
      </c>
      <c r="Q6" s="1">
        <v>1800000</v>
      </c>
      <c r="R6" s="1">
        <v>2200000</v>
      </c>
      <c r="S6" s="1">
        <v>2550000</v>
      </c>
      <c r="T6" s="1">
        <v>2900000</v>
      </c>
      <c r="U6" s="1">
        <v>3150000</v>
      </c>
      <c r="V6" s="1">
        <v>3350000</v>
      </c>
    </row>
    <row r="7" spans="2:25" s="4" customFormat="1" x14ac:dyDescent="0.25">
      <c r="B7" s="4" t="s">
        <v>42</v>
      </c>
      <c r="K7" s="4">
        <f>+K6/J6 -1</f>
        <v>3</v>
      </c>
      <c r="L7" s="4">
        <f t="shared" ref="L7:Q7" si="7">+L6/K6 -1</f>
        <v>1.25</v>
      </c>
      <c r="M7" s="4">
        <f t="shared" si="7"/>
        <v>0.94444444444444442</v>
      </c>
      <c r="N7" s="4">
        <f t="shared" si="7"/>
        <v>0.85714285714285721</v>
      </c>
      <c r="O7" s="4">
        <f t="shared" si="7"/>
        <v>0.61538461538461542</v>
      </c>
      <c r="P7" s="4">
        <f t="shared" si="7"/>
        <v>0.38095238095238093</v>
      </c>
      <c r="Q7" s="4">
        <f t="shared" si="7"/>
        <v>0.24137931034482762</v>
      </c>
      <c r="R7" s="4">
        <f t="shared" ref="R7" si="8">+R6/Q6 -1</f>
        <v>0.22222222222222232</v>
      </c>
      <c r="S7" s="4">
        <f t="shared" ref="S7" si="9">+S6/R6 -1</f>
        <v>0.15909090909090917</v>
      </c>
      <c r="T7" s="4">
        <f t="shared" ref="T7" si="10">+T6/S6 -1</f>
        <v>0.13725490196078427</v>
      </c>
      <c r="U7" s="4">
        <f t="shared" ref="U7" si="11">+U6/T6 -1</f>
        <v>8.6206896551724199E-2</v>
      </c>
      <c r="V7" s="4">
        <f t="shared" ref="V7" si="12">+V6/U6 -1</f>
        <v>6.3492063492063489E-2</v>
      </c>
    </row>
    <row r="8" spans="2:25" s="1" customFormat="1" x14ac:dyDescent="0.25">
      <c r="B8" s="1" t="s">
        <v>30</v>
      </c>
      <c r="L8" s="1">
        <v>20000</v>
      </c>
      <c r="M8" s="1">
        <v>50000</v>
      </c>
      <c r="N8" s="1">
        <v>100000</v>
      </c>
      <c r="O8" s="1">
        <v>180000</v>
      </c>
      <c r="P8" s="1">
        <v>280000</v>
      </c>
      <c r="Q8" s="1">
        <v>400000</v>
      </c>
      <c r="R8" s="1">
        <v>600000</v>
      </c>
      <c r="S8" s="1">
        <v>850000</v>
      </c>
      <c r="T8" s="1">
        <v>1150000</v>
      </c>
      <c r="U8" s="1">
        <v>1450000</v>
      </c>
      <c r="V8" s="1">
        <v>1750000</v>
      </c>
    </row>
    <row r="9" spans="2:25" s="1" customFormat="1" x14ac:dyDescent="0.25"/>
    <row r="10" spans="2:25" s="1" customFormat="1" x14ac:dyDescent="0.25">
      <c r="B10" s="1" t="s">
        <v>20</v>
      </c>
      <c r="E10" s="1">
        <v>58920</v>
      </c>
      <c r="F10" s="1">
        <v>90299</v>
      </c>
    </row>
    <row r="11" spans="2:25" s="1" customFormat="1" x14ac:dyDescent="0.25">
      <c r="B11" s="1" t="s">
        <v>21</v>
      </c>
      <c r="E11" s="1">
        <v>69522</v>
      </c>
      <c r="F11" s="1">
        <v>121456</v>
      </c>
    </row>
    <row r="12" spans="2:25" s="1" customFormat="1" x14ac:dyDescent="0.25">
      <c r="B12" s="1" t="s">
        <v>22</v>
      </c>
      <c r="E12" s="1">
        <v>7749</v>
      </c>
      <c r="F12" s="1">
        <v>12743</v>
      </c>
    </row>
    <row r="13" spans="2:25" s="2" customFormat="1" x14ac:dyDescent="0.25">
      <c r="B13" s="2" t="s">
        <v>0</v>
      </c>
      <c r="D13" s="2">
        <v>75014</v>
      </c>
      <c r="E13" s="2">
        <v>136191</v>
      </c>
      <c r="F13" s="2">
        <v>224498</v>
      </c>
      <c r="G13" s="2">
        <v>308054</v>
      </c>
      <c r="H13" s="2">
        <f>+SUM(H4:H8)</f>
        <v>400000.29847364424</v>
      </c>
      <c r="I13" s="2">
        <f t="shared" ref="I13:V13" si="13">+SUM(I4:I8)</f>
        <v>500000.25</v>
      </c>
      <c r="J13" s="2">
        <f t="shared" si="13"/>
        <v>620000.19999999995</v>
      </c>
      <c r="K13" s="2">
        <f t="shared" si="13"/>
        <v>830003.25</v>
      </c>
      <c r="L13" s="2">
        <f t="shared" si="13"/>
        <v>1100001.45</v>
      </c>
      <c r="M13" s="2">
        <f t="shared" si="13"/>
        <v>1450001.1111111112</v>
      </c>
      <c r="N13" s="2">
        <f t="shared" si="13"/>
        <v>2000001.0476190476</v>
      </c>
      <c r="O13" s="2">
        <f t="shared" si="13"/>
        <v>2680000.7753846156</v>
      </c>
      <c r="P13" s="2">
        <f t="shared" si="13"/>
        <v>3380000.5188834155</v>
      </c>
      <c r="Q13" s="2">
        <f t="shared" si="13"/>
        <v>4050000.3625914315</v>
      </c>
      <c r="R13" s="2">
        <f t="shared" si="13"/>
        <v>4850000.3303303299</v>
      </c>
      <c r="S13" s="2">
        <f t="shared" si="13"/>
        <v>5650000.2566518849</v>
      </c>
      <c r="T13" s="2">
        <f t="shared" si="13"/>
        <v>6450000.2039215686</v>
      </c>
      <c r="U13" s="2">
        <f t="shared" si="13"/>
        <v>7150000.1487068962</v>
      </c>
      <c r="V13" s="2">
        <f t="shared" si="13"/>
        <v>7750000.1027077492</v>
      </c>
    </row>
    <row r="14" spans="2:25" s="1" customFormat="1" x14ac:dyDescent="0.25">
      <c r="B14" s="1" t="s">
        <v>1</v>
      </c>
      <c r="D14" s="1">
        <v>37929</v>
      </c>
      <c r="E14" s="1">
        <v>65142</v>
      </c>
      <c r="F14" s="1">
        <v>87399</v>
      </c>
      <c r="G14" s="1">
        <v>111828</v>
      </c>
      <c r="H14" s="1">
        <f>+H13*(1-H27)</f>
        <v>132000.09849630258</v>
      </c>
      <c r="I14" s="1">
        <f t="shared" ref="I14:P14" si="14">+I13*(1-I27)</f>
        <v>160000.07999999999</v>
      </c>
      <c r="J14" s="1">
        <f t="shared" si="14"/>
        <v>192200.06200000001</v>
      </c>
      <c r="K14" s="1">
        <f t="shared" si="14"/>
        <v>249000.97500000003</v>
      </c>
      <c r="L14" s="1">
        <f t="shared" si="14"/>
        <v>330000.43500000006</v>
      </c>
      <c r="M14" s="1">
        <f t="shared" si="14"/>
        <v>435000.33333333343</v>
      </c>
      <c r="N14" s="1">
        <f t="shared" si="14"/>
        <v>600000.31428571441</v>
      </c>
      <c r="O14" s="1">
        <f t="shared" si="14"/>
        <v>804000.23261538486</v>
      </c>
      <c r="P14" s="1">
        <f t="shared" si="14"/>
        <v>1014000.1556650248</v>
      </c>
      <c r="Q14" s="1">
        <f>+Q13*(1-Q27)</f>
        <v>1215000.1087774297</v>
      </c>
      <c r="R14" s="1">
        <f t="shared" ref="R14" si="15">+R13*(1-R27)</f>
        <v>1455000.0990990992</v>
      </c>
      <c r="S14" s="1">
        <f t="shared" ref="S14" si="16">+S13*(1-S27)</f>
        <v>1695000.0769955658</v>
      </c>
      <c r="T14" s="1">
        <f t="shared" ref="T14" si="17">+T13*(1-T27)</f>
        <v>1935000.0611764709</v>
      </c>
      <c r="U14" s="1">
        <f t="shared" ref="U14" si="18">+U13*(1-U27)</f>
        <v>2145000.0446120691</v>
      </c>
      <c r="V14" s="1">
        <f t="shared" ref="V14" si="19">+V13*(1-V27)</f>
        <v>2325000.030812325</v>
      </c>
      <c r="X14" s="4" t="s">
        <v>35</v>
      </c>
      <c r="Y14" s="4">
        <v>0.1</v>
      </c>
    </row>
    <row r="15" spans="2:25" s="1" customFormat="1" x14ac:dyDescent="0.25">
      <c r="B15" s="1" t="s">
        <v>2</v>
      </c>
      <c r="D15" s="1">
        <f>+D13-D14</f>
        <v>37085</v>
      </c>
      <c r="E15" s="1">
        <f t="shared" ref="E15:K15" si="20">+E13-E14</f>
        <v>71049</v>
      </c>
      <c r="F15" s="1">
        <f t="shared" si="20"/>
        <v>137099</v>
      </c>
      <c r="G15" s="1">
        <f t="shared" si="20"/>
        <v>196226</v>
      </c>
      <c r="H15" s="1">
        <f t="shared" si="20"/>
        <v>268000.19997734169</v>
      </c>
      <c r="I15" s="1">
        <f t="shared" si="20"/>
        <v>340000.17000000004</v>
      </c>
      <c r="J15" s="1">
        <f t="shared" si="20"/>
        <v>427800.13799999992</v>
      </c>
      <c r="K15" s="1">
        <f t="shared" si="20"/>
        <v>581002.27499999991</v>
      </c>
      <c r="L15" s="1">
        <f t="shared" ref="L15" si="21">+L13-L14</f>
        <v>770001.0149999999</v>
      </c>
      <c r="M15" s="1">
        <f t="shared" ref="M15" si="22">+M13-M14</f>
        <v>1015000.7777777778</v>
      </c>
      <c r="N15" s="1">
        <f t="shared" ref="N15" si="23">+N13-N14</f>
        <v>1400000.7333333332</v>
      </c>
      <c r="O15" s="1">
        <f t="shared" ref="O15" si="24">+O13-O14</f>
        <v>1876000.5427692309</v>
      </c>
      <c r="P15" s="1">
        <f t="shared" ref="P15" si="25">+P13-P14</f>
        <v>2366000.3632183908</v>
      </c>
      <c r="Q15" s="1">
        <f>+Q13-Q14</f>
        <v>2835000.2538140016</v>
      </c>
      <c r="R15" s="1">
        <f>+R13-R14</f>
        <v>3395000.2312312308</v>
      </c>
      <c r="S15" s="1">
        <f t="shared" ref="S15:V15" si="26">+S13-S14</f>
        <v>3955000.1796563193</v>
      </c>
      <c r="T15" s="1">
        <f t="shared" si="26"/>
        <v>4515000.1427450981</v>
      </c>
      <c r="U15" s="1">
        <f t="shared" si="26"/>
        <v>5005000.1040948275</v>
      </c>
      <c r="V15" s="1">
        <f t="shared" si="26"/>
        <v>5425000.0718954243</v>
      </c>
      <c r="X15" s="4" t="s">
        <v>36</v>
      </c>
      <c r="Y15" s="4">
        <v>0.03</v>
      </c>
    </row>
    <row r="16" spans="2:25" s="1" customFormat="1" x14ac:dyDescent="0.25">
      <c r="B16" s="1" t="s">
        <v>3</v>
      </c>
      <c r="D16" s="1">
        <v>28981</v>
      </c>
      <c r="E16" s="1">
        <v>48446</v>
      </c>
      <c r="F16" s="1">
        <v>62298</v>
      </c>
      <c r="G16" s="1">
        <v>71277</v>
      </c>
      <c r="H16" s="1">
        <f>+G16*(1+H29*0.8)</f>
        <v>88296.500000145286</v>
      </c>
      <c r="I16" s="1">
        <f t="shared" ref="I16:V16" si="27">+H16*(1+I29*0.8)</f>
        <v>105955.77826299524</v>
      </c>
      <c r="J16" s="1">
        <f t="shared" si="27"/>
        <v>126299.26904128268</v>
      </c>
      <c r="K16" s="1">
        <f t="shared" si="27"/>
        <v>160522.78279039433</v>
      </c>
      <c r="L16" s="1">
        <f t="shared" si="27"/>
        <v>202296.94443363842</v>
      </c>
      <c r="M16" s="1">
        <f t="shared" si="27"/>
        <v>253790.5943706175</v>
      </c>
      <c r="N16" s="1">
        <f t="shared" si="27"/>
        <v>330802.84475886147</v>
      </c>
      <c r="O16" s="1">
        <f t="shared" si="27"/>
        <v>420781.1353794164</v>
      </c>
      <c r="P16" s="1">
        <f t="shared" si="27"/>
        <v>508705.49407067959</v>
      </c>
      <c r="Q16" s="1">
        <f t="shared" si="27"/>
        <v>589375.91991626099</v>
      </c>
      <c r="R16" s="1">
        <f t="shared" si="27"/>
        <v>682511.85566070094</v>
      </c>
      <c r="S16" s="1">
        <f t="shared" si="27"/>
        <v>772575.26136029779</v>
      </c>
      <c r="T16" s="1">
        <f t="shared" si="27"/>
        <v>860088.20157617738</v>
      </c>
      <c r="U16" s="1">
        <f t="shared" si="27"/>
        <v>934762.51780305582</v>
      </c>
      <c r="V16" s="1">
        <f t="shared" si="27"/>
        <v>997515.79959536344</v>
      </c>
      <c r="X16" s="4" t="s">
        <v>37</v>
      </c>
      <c r="Y16" s="1">
        <f>NPV(Y14,G23:FB23)</f>
        <v>9721094.8272633553</v>
      </c>
    </row>
    <row r="17" spans="2:148" s="1" customFormat="1" x14ac:dyDescent="0.25">
      <c r="B17" s="1" t="s">
        <v>4</v>
      </c>
      <c r="D17" s="1">
        <v>88828</v>
      </c>
      <c r="E17" s="1">
        <v>131773</v>
      </c>
      <c r="F17" s="1">
        <v>171415</v>
      </c>
      <c r="G17" s="1">
        <v>228808</v>
      </c>
      <c r="H17" s="1">
        <f>+G17*(1+H29*0.6)</f>
        <v>269784.02756885014</v>
      </c>
      <c r="I17" s="1">
        <f t="shared" ref="I17:V17" si="28">+H17*(1+I29*0.6)</f>
        <v>310251.58189180918</v>
      </c>
      <c r="J17" s="1">
        <f t="shared" si="28"/>
        <v>354927.7687310414</v>
      </c>
      <c r="K17" s="1">
        <f t="shared" si="28"/>
        <v>427059.27510463295</v>
      </c>
      <c r="L17" s="1">
        <f t="shared" si="28"/>
        <v>510412.1310638517</v>
      </c>
      <c r="M17" s="1">
        <f t="shared" si="28"/>
        <v>607854.22419891891</v>
      </c>
      <c r="N17" s="1">
        <f t="shared" si="28"/>
        <v>746193.33945351455</v>
      </c>
      <c r="O17" s="1">
        <f t="shared" si="28"/>
        <v>898416.64002416097</v>
      </c>
      <c r="P17" s="1">
        <f t="shared" si="28"/>
        <v>1039213.1853121105</v>
      </c>
      <c r="Q17" s="1">
        <f t="shared" si="28"/>
        <v>1162811.8654629237</v>
      </c>
      <c r="R17" s="1">
        <f t="shared" si="28"/>
        <v>1300626.5871773954</v>
      </c>
      <c r="S17" s="1">
        <f t="shared" si="28"/>
        <v>1429348.3731212206</v>
      </c>
      <c r="T17" s="1">
        <f t="shared" si="28"/>
        <v>1550779.7258133632</v>
      </c>
      <c r="U17" s="1">
        <f t="shared" si="28"/>
        <v>1651760.7200573839</v>
      </c>
      <c r="V17" s="1">
        <f t="shared" si="28"/>
        <v>1734926.2866679593</v>
      </c>
      <c r="X17" s="1" t="s">
        <v>38</v>
      </c>
      <c r="Y17" s="1">
        <f>+G38-G40</f>
        <v>242715</v>
      </c>
    </row>
    <row r="18" spans="2:148" s="2" customFormat="1" x14ac:dyDescent="0.25">
      <c r="B18" s="2" t="s">
        <v>5</v>
      </c>
      <c r="D18" s="2">
        <f>+D15-D16-D17</f>
        <v>-80724</v>
      </c>
      <c r="E18" s="2">
        <f t="shared" ref="E18:K18" si="29">+E15-E16-E17</f>
        <v>-109170</v>
      </c>
      <c r="F18" s="2">
        <f t="shared" si="29"/>
        <v>-96614</v>
      </c>
      <c r="G18" s="2">
        <f t="shared" si="29"/>
        <v>-103859</v>
      </c>
      <c r="H18" s="2">
        <f t="shared" si="29"/>
        <v>-90080.327591653739</v>
      </c>
      <c r="I18" s="2">
        <f t="shared" si="29"/>
        <v>-76207.190154804382</v>
      </c>
      <c r="J18" s="2">
        <f t="shared" si="29"/>
        <v>-53426.899772324192</v>
      </c>
      <c r="K18" s="2">
        <f t="shared" si="29"/>
        <v>-6579.7828950273688</v>
      </c>
      <c r="L18" s="2">
        <f t="shared" ref="L18" si="30">+L15-L16-L17</f>
        <v>57291.939502509835</v>
      </c>
      <c r="M18" s="2">
        <f t="shared" ref="M18" si="31">+M15-M16-M17</f>
        <v>153355.95920824131</v>
      </c>
      <c r="N18" s="2">
        <f t="shared" ref="N18" si="32">+N15-N16-N17</f>
        <v>323004.54912095715</v>
      </c>
      <c r="O18" s="2">
        <f t="shared" ref="O18" si="33">+O15-O16-O17</f>
        <v>556802.76736565353</v>
      </c>
      <c r="P18" s="2">
        <f t="shared" ref="P18" si="34">+P15-P16-P17</f>
        <v>818081.68383560074</v>
      </c>
      <c r="Q18" s="2">
        <f t="shared" ref="Q18" si="35">+Q15-Q16-Q17</f>
        <v>1082812.4684348169</v>
      </c>
      <c r="R18" s="2">
        <f t="shared" ref="R18" si="36">+R15-R16-R17</f>
        <v>1411861.7883931347</v>
      </c>
      <c r="S18" s="2">
        <f t="shared" ref="S18" si="37">+S15-S16-S17</f>
        <v>1753076.5451748008</v>
      </c>
      <c r="T18" s="2">
        <f t="shared" ref="T18" si="38">+T15-T16-T17</f>
        <v>2104132.2153555574</v>
      </c>
      <c r="U18" s="2">
        <f t="shared" ref="U18" si="39">+U15-U16-U17</f>
        <v>2418476.8662343882</v>
      </c>
      <c r="V18" s="2">
        <f t="shared" ref="V18" si="40">+V15-V16-V17</f>
        <v>2692557.9856321015</v>
      </c>
      <c r="X18" s="1" t="s">
        <v>39</v>
      </c>
      <c r="Y18" s="1">
        <f>+Y16+Y17</f>
        <v>9963809.8272633553</v>
      </c>
    </row>
    <row r="19" spans="2:148" s="1" customFormat="1" x14ac:dyDescent="0.25">
      <c r="B19" s="1" t="s">
        <v>6</v>
      </c>
      <c r="D19" s="1">
        <v>5183</v>
      </c>
      <c r="E19" s="1">
        <v>3995</v>
      </c>
      <c r="F19" s="1">
        <v>4184</v>
      </c>
      <c r="G19" s="1">
        <v>3586</v>
      </c>
      <c r="H19" s="1">
        <v>3500</v>
      </c>
      <c r="I19" s="1">
        <v>3500</v>
      </c>
      <c r="J19" s="1">
        <v>3500</v>
      </c>
      <c r="K19" s="1">
        <v>3500</v>
      </c>
      <c r="L19" s="1">
        <v>3500</v>
      </c>
      <c r="M19" s="1">
        <v>3500</v>
      </c>
      <c r="N19" s="1">
        <v>3500</v>
      </c>
      <c r="O19" s="1">
        <v>3500</v>
      </c>
      <c r="P19" s="1">
        <v>3500</v>
      </c>
      <c r="Q19" s="1">
        <v>3500</v>
      </c>
      <c r="R19" s="1">
        <v>3500</v>
      </c>
      <c r="S19" s="1">
        <v>3500</v>
      </c>
      <c r="T19" s="1">
        <v>3500</v>
      </c>
      <c r="U19" s="1">
        <v>3500</v>
      </c>
      <c r="V19" s="1">
        <v>3500</v>
      </c>
      <c r="X19" s="1" t="s">
        <v>40</v>
      </c>
      <c r="Y19" s="1">
        <f>+Y18/Q25</f>
        <v>178.31176494566381</v>
      </c>
    </row>
    <row r="20" spans="2:148" s="1" customFormat="1" x14ac:dyDescent="0.25">
      <c r="B20" s="1" t="s">
        <v>7</v>
      </c>
      <c r="D20" s="1">
        <v>2011</v>
      </c>
      <c r="E20" s="1">
        <v>7268</v>
      </c>
      <c r="F20" s="1">
        <v>9385</v>
      </c>
      <c r="G20" s="1">
        <v>12063</v>
      </c>
      <c r="H20" s="1">
        <v>10000</v>
      </c>
      <c r="I20" s="1">
        <v>10000</v>
      </c>
      <c r="J20" s="1">
        <v>10000</v>
      </c>
      <c r="K20" s="1">
        <v>10000</v>
      </c>
      <c r="L20" s="1">
        <v>10000</v>
      </c>
      <c r="M20" s="1">
        <v>10000</v>
      </c>
      <c r="N20" s="1">
        <v>10000</v>
      </c>
      <c r="O20" s="1">
        <v>10000</v>
      </c>
      <c r="P20" s="1">
        <v>10000</v>
      </c>
      <c r="Q20" s="1">
        <v>10000</v>
      </c>
      <c r="R20" s="1">
        <v>10000</v>
      </c>
      <c r="S20" s="1">
        <v>10000</v>
      </c>
      <c r="T20" s="1">
        <v>10000</v>
      </c>
      <c r="U20" s="1">
        <v>10000</v>
      </c>
      <c r="V20" s="1">
        <v>10000</v>
      </c>
    </row>
    <row r="21" spans="2:148" s="1" customFormat="1" x14ac:dyDescent="0.25">
      <c r="B21" s="1" t="s">
        <v>8</v>
      </c>
      <c r="D21" s="1">
        <f>+D18-D19+D20</f>
        <v>-83896</v>
      </c>
      <c r="E21" s="1">
        <f t="shared" ref="E21:K21" si="41">+E18-E19+E20</f>
        <v>-105897</v>
      </c>
      <c r="F21" s="1">
        <f t="shared" si="41"/>
        <v>-91413</v>
      </c>
      <c r="G21" s="1">
        <f t="shared" si="41"/>
        <v>-95382</v>
      </c>
      <c r="H21" s="1">
        <f t="shared" si="41"/>
        <v>-83580.327591653739</v>
      </c>
      <c r="I21" s="1">
        <f t="shared" si="41"/>
        <v>-69707.190154804382</v>
      </c>
      <c r="J21" s="1">
        <f t="shared" si="41"/>
        <v>-46926.899772324192</v>
      </c>
      <c r="K21" s="1">
        <f t="shared" si="41"/>
        <v>-79.782895027368795</v>
      </c>
      <c r="L21" s="1">
        <f t="shared" ref="L21" si="42">+L18-L19+L20</f>
        <v>63791.939502509835</v>
      </c>
      <c r="M21" s="1">
        <f t="shared" ref="M21" si="43">+M18-M19+M20</f>
        <v>159855.95920824131</v>
      </c>
      <c r="N21" s="1">
        <f t="shared" ref="N21" si="44">+N18-N19+N20</f>
        <v>329504.54912095715</v>
      </c>
      <c r="O21" s="1">
        <f t="shared" ref="O21" si="45">+O18-O19+O20</f>
        <v>563302.76736565353</v>
      </c>
      <c r="P21" s="1">
        <f t="shared" ref="P21" si="46">+P18-P19+P20</f>
        <v>824581.68383560074</v>
      </c>
      <c r="Q21" s="1">
        <f t="shared" ref="Q21" si="47">+Q18-Q19+Q20</f>
        <v>1089312.4684348169</v>
      </c>
      <c r="R21" s="1">
        <f t="shared" ref="R21" si="48">+R18-R19+R20</f>
        <v>1418361.7883931347</v>
      </c>
      <c r="S21" s="1">
        <f t="shared" ref="S21" si="49">+S18-S19+S20</f>
        <v>1759576.5451748008</v>
      </c>
      <c r="T21" s="1">
        <f t="shared" ref="T21" si="50">+T18-T19+T20</f>
        <v>2110632.2153555574</v>
      </c>
      <c r="U21" s="1">
        <f t="shared" ref="U21" si="51">+U18-U19+U20</f>
        <v>2424976.8662343882</v>
      </c>
      <c r="V21" s="1">
        <f t="shared" ref="V21" si="52">+V18-V19+V20</f>
        <v>2699057.9856321015</v>
      </c>
    </row>
    <row r="22" spans="2:148" s="1" customFormat="1" x14ac:dyDescent="0.25">
      <c r="B22" s="1" t="s">
        <v>9</v>
      </c>
      <c r="F22" s="1">
        <v>368</v>
      </c>
      <c r="G22" s="1">
        <v>190</v>
      </c>
      <c r="K22" s="1">
        <f>+K49</f>
        <v>-3.3508815911494887</v>
      </c>
      <c r="L22" s="1">
        <f>+L49</f>
        <v>2679.2614591054121</v>
      </c>
      <c r="M22" s="1">
        <f>+M49</f>
        <v>6713.9502867461324</v>
      </c>
      <c r="N22" s="1">
        <f t="shared" ref="N22:O22" si="53">+N49</f>
        <v>13839.191063080198</v>
      </c>
      <c r="O22" s="1">
        <f t="shared" si="53"/>
        <v>90081.281177205383</v>
      </c>
      <c r="P22" s="1">
        <f t="shared" ref="P22:Q22" si="54">+P21*0.21</f>
        <v>173162.15360547614</v>
      </c>
      <c r="Q22" s="1">
        <f t="shared" si="54"/>
        <v>228755.61837131155</v>
      </c>
      <c r="R22" s="1">
        <f t="shared" ref="R22" si="55">+R21*0.21</f>
        <v>297855.97556255828</v>
      </c>
      <c r="S22" s="1">
        <f t="shared" ref="S22" si="56">+S21*0.21</f>
        <v>369511.07448670815</v>
      </c>
      <c r="T22" s="1">
        <f t="shared" ref="T22" si="57">+T21*0.21</f>
        <v>443232.76522466703</v>
      </c>
      <c r="U22" s="1">
        <f t="shared" ref="U22" si="58">+U21*0.21</f>
        <v>509245.14190922148</v>
      </c>
      <c r="V22" s="1">
        <f t="shared" ref="V22" si="59">+V21*0.21</f>
        <v>566802.17698274134</v>
      </c>
    </row>
    <row r="23" spans="2:148" s="1" customFormat="1" x14ac:dyDescent="0.25">
      <c r="B23" s="1" t="s">
        <v>10</v>
      </c>
      <c r="D23" s="1">
        <f>+D21-D22</f>
        <v>-83896</v>
      </c>
      <c r="E23" s="1">
        <f t="shared" ref="E23:K23" si="60">+E21-E22</f>
        <v>-105897</v>
      </c>
      <c r="F23" s="1">
        <f t="shared" si="60"/>
        <v>-91781</v>
      </c>
      <c r="G23" s="1">
        <f t="shared" si="60"/>
        <v>-95572</v>
      </c>
      <c r="H23" s="1">
        <f t="shared" si="60"/>
        <v>-83580.327591653739</v>
      </c>
      <c r="I23" s="1">
        <f t="shared" si="60"/>
        <v>-69707.190154804382</v>
      </c>
      <c r="J23" s="1">
        <f t="shared" si="60"/>
        <v>-46926.899772324192</v>
      </c>
      <c r="K23" s="1">
        <f t="shared" si="60"/>
        <v>-76.432013436219307</v>
      </c>
      <c r="L23" s="1">
        <f t="shared" ref="L23" si="61">+L21-L22</f>
        <v>61112.678043404419</v>
      </c>
      <c r="M23" s="1">
        <f t="shared" ref="M23" si="62">+M21-M22</f>
        <v>153142.00892149517</v>
      </c>
      <c r="N23" s="1">
        <f t="shared" ref="N23" si="63">+N21-N22</f>
        <v>315665.35805787693</v>
      </c>
      <c r="O23" s="1">
        <f t="shared" ref="O23" si="64">+O21-O22</f>
        <v>473221.48618844815</v>
      </c>
      <c r="P23" s="1">
        <f t="shared" ref="P23" si="65">+P21-P22</f>
        <v>651419.5302301246</v>
      </c>
      <c r="Q23" s="1">
        <f t="shared" ref="Q23" si="66">+Q21-Q22</f>
        <v>860556.85006350535</v>
      </c>
      <c r="R23" s="1">
        <f t="shared" ref="R23" si="67">+R21-R22</f>
        <v>1120505.8128305764</v>
      </c>
      <c r="S23" s="1">
        <f t="shared" ref="S23" si="68">+S21-S22</f>
        <v>1390065.4706880925</v>
      </c>
      <c r="T23" s="1">
        <f t="shared" ref="T23" si="69">+T21-T22</f>
        <v>1667399.4501308904</v>
      </c>
      <c r="U23" s="1">
        <f t="shared" ref="U23" si="70">+U21-U22</f>
        <v>1915731.7243251668</v>
      </c>
      <c r="V23" s="1">
        <f t="shared" ref="V23" si="71">+V21-V22</f>
        <v>2132255.8086493602</v>
      </c>
      <c r="W23" s="1">
        <f t="shared" ref="W23:BB23" si="72">+V23*(1+$Y15)</f>
        <v>2196223.4829088412</v>
      </c>
      <c r="X23" s="1">
        <f t="shared" si="72"/>
        <v>2262110.1873961063</v>
      </c>
      <c r="Y23" s="1">
        <f t="shared" si="72"/>
        <v>2329973.4930179897</v>
      </c>
      <c r="Z23" s="1">
        <f t="shared" si="72"/>
        <v>2399872.6978085293</v>
      </c>
      <c r="AA23" s="1">
        <f t="shared" si="72"/>
        <v>2471868.8787427852</v>
      </c>
      <c r="AB23" s="1">
        <f t="shared" si="72"/>
        <v>2546024.9451050689</v>
      </c>
      <c r="AC23" s="1">
        <f t="shared" si="72"/>
        <v>2622405.6934582209</v>
      </c>
      <c r="AD23" s="1">
        <f t="shared" si="72"/>
        <v>2701077.8642619676</v>
      </c>
      <c r="AE23" s="1">
        <f t="shared" si="72"/>
        <v>2782110.2001898265</v>
      </c>
      <c r="AF23" s="1">
        <f t="shared" si="72"/>
        <v>2865573.5061955214</v>
      </c>
      <c r="AG23" s="1">
        <f t="shared" si="72"/>
        <v>2951540.711381387</v>
      </c>
      <c r="AH23" s="1">
        <f t="shared" si="72"/>
        <v>3040086.9327228288</v>
      </c>
      <c r="AI23" s="1">
        <f t="shared" si="72"/>
        <v>3131289.5407045139</v>
      </c>
      <c r="AJ23" s="1">
        <f t="shared" si="72"/>
        <v>3225228.2269256492</v>
      </c>
      <c r="AK23" s="1">
        <f t="shared" si="72"/>
        <v>3321985.0737334187</v>
      </c>
      <c r="AL23" s="1">
        <f t="shared" si="72"/>
        <v>3421644.6259454214</v>
      </c>
      <c r="AM23" s="1">
        <f t="shared" si="72"/>
        <v>3524293.964723784</v>
      </c>
      <c r="AN23" s="1">
        <f t="shared" si="72"/>
        <v>3630022.7836654978</v>
      </c>
      <c r="AO23" s="1">
        <f t="shared" si="72"/>
        <v>3738923.4671754627</v>
      </c>
      <c r="AP23" s="1">
        <f t="shared" si="72"/>
        <v>3851091.1711907266</v>
      </c>
      <c r="AQ23" s="1">
        <f t="shared" si="72"/>
        <v>3966623.9063264485</v>
      </c>
      <c r="AR23" s="1">
        <f t="shared" si="72"/>
        <v>4085622.623516242</v>
      </c>
      <c r="AS23" s="1">
        <f t="shared" si="72"/>
        <v>4208191.3022217294</v>
      </c>
      <c r="AT23" s="1">
        <f t="shared" si="72"/>
        <v>4334437.0412883814</v>
      </c>
      <c r="AU23" s="1">
        <f t="shared" si="72"/>
        <v>4464470.1525270334</v>
      </c>
      <c r="AV23" s="1">
        <f t="shared" si="72"/>
        <v>4598404.2571028443</v>
      </c>
      <c r="AW23" s="1">
        <f t="shared" si="72"/>
        <v>4736356.3848159295</v>
      </c>
      <c r="AX23" s="1">
        <f t="shared" si="72"/>
        <v>4878447.0763604073</v>
      </c>
      <c r="AY23" s="1">
        <f t="shared" si="72"/>
        <v>5024800.4886512198</v>
      </c>
      <c r="AZ23" s="1">
        <f t="shared" si="72"/>
        <v>5175544.5033107568</v>
      </c>
      <c r="BA23" s="1">
        <f t="shared" si="72"/>
        <v>5330810.8384100795</v>
      </c>
      <c r="BB23" s="1">
        <f t="shared" si="72"/>
        <v>5490735.1635623816</v>
      </c>
      <c r="BC23" s="1">
        <f t="shared" ref="BC23:CH23" si="73">+BB23*(1+$Y15)</f>
        <v>5655457.2184692528</v>
      </c>
      <c r="BD23" s="1">
        <f t="shared" si="73"/>
        <v>5825120.9350233302</v>
      </c>
      <c r="BE23" s="1">
        <f t="shared" si="73"/>
        <v>5999874.56307403</v>
      </c>
      <c r="BF23" s="1">
        <f t="shared" si="73"/>
        <v>6179870.7999662515</v>
      </c>
      <c r="BG23" s="1">
        <f t="shared" si="73"/>
        <v>6365266.923965239</v>
      </c>
      <c r="BH23" s="1">
        <f t="shared" si="73"/>
        <v>6556224.931684196</v>
      </c>
      <c r="BI23" s="1">
        <f t="shared" si="73"/>
        <v>6752911.6796347219</v>
      </c>
      <c r="BJ23" s="1">
        <f t="shared" si="73"/>
        <v>6955499.0300237639</v>
      </c>
      <c r="BK23" s="1">
        <f t="shared" si="73"/>
        <v>7164164.0009244774</v>
      </c>
      <c r="BL23" s="1">
        <f t="shared" si="73"/>
        <v>7379088.9209522121</v>
      </c>
      <c r="BM23" s="1">
        <f t="shared" si="73"/>
        <v>7600461.5885807788</v>
      </c>
      <c r="BN23" s="1">
        <f t="shared" si="73"/>
        <v>7828475.4362382023</v>
      </c>
      <c r="BO23" s="1">
        <f t="shared" si="73"/>
        <v>8063329.6993253483</v>
      </c>
      <c r="BP23" s="1">
        <f t="shared" si="73"/>
        <v>8305229.5903051086</v>
      </c>
      <c r="BQ23" s="1">
        <f t="shared" si="73"/>
        <v>8554386.4780142624</v>
      </c>
      <c r="BR23" s="1">
        <f t="shared" si="73"/>
        <v>8811018.0723546911</v>
      </c>
      <c r="BS23" s="1">
        <f t="shared" si="73"/>
        <v>9075348.6145253312</v>
      </c>
      <c r="BT23" s="1">
        <f t="shared" si="73"/>
        <v>9347609.072961092</v>
      </c>
      <c r="BU23" s="1">
        <f t="shared" si="73"/>
        <v>9628037.345149925</v>
      </c>
      <c r="BV23" s="1">
        <f t="shared" si="73"/>
        <v>9916878.4655044228</v>
      </c>
      <c r="BW23" s="1">
        <f t="shared" si="73"/>
        <v>10214384.819469556</v>
      </c>
      <c r="BX23" s="1">
        <f t="shared" si="73"/>
        <v>10520816.364053642</v>
      </c>
      <c r="BY23" s="1">
        <f t="shared" si="73"/>
        <v>10836440.854975251</v>
      </c>
      <c r="BZ23" s="1">
        <f t="shared" si="73"/>
        <v>11161534.08062451</v>
      </c>
      <c r="CA23" s="1">
        <f t="shared" si="73"/>
        <v>11496380.103043245</v>
      </c>
      <c r="CB23" s="1">
        <f t="shared" si="73"/>
        <v>11841271.506134544</v>
      </c>
      <c r="CC23" s="1">
        <f t="shared" si="73"/>
        <v>12196509.65131858</v>
      </c>
      <c r="CD23" s="1">
        <f t="shared" si="73"/>
        <v>12562404.940858137</v>
      </c>
      <c r="CE23" s="1">
        <f t="shared" si="73"/>
        <v>12939277.089083882</v>
      </c>
      <c r="CF23" s="1">
        <f t="shared" si="73"/>
        <v>13327455.401756398</v>
      </c>
      <c r="CG23" s="1">
        <f t="shared" si="73"/>
        <v>13727279.063809091</v>
      </c>
      <c r="CH23" s="1">
        <f t="shared" si="73"/>
        <v>14139097.435723364</v>
      </c>
      <c r="CI23" s="1">
        <f t="shared" ref="CI23:DN23" si="74">+CH23*(1+$Y15)</f>
        <v>14563270.358795065</v>
      </c>
      <c r="CJ23" s="1">
        <f t="shared" si="74"/>
        <v>15000168.469558917</v>
      </c>
      <c r="CK23" s="1">
        <f t="shared" si="74"/>
        <v>15450173.523645684</v>
      </c>
      <c r="CL23" s="1">
        <f t="shared" si="74"/>
        <v>15913678.729355056</v>
      </c>
      <c r="CM23" s="1">
        <f t="shared" si="74"/>
        <v>16391089.091235708</v>
      </c>
      <c r="CN23" s="1">
        <f t="shared" si="74"/>
        <v>16882821.763972782</v>
      </c>
      <c r="CO23" s="1">
        <f t="shared" si="74"/>
        <v>17389306.416891966</v>
      </c>
      <c r="CP23" s="1">
        <f t="shared" si="74"/>
        <v>17910985.609398726</v>
      </c>
      <c r="CQ23" s="1">
        <f t="shared" si="74"/>
        <v>18448315.17768069</v>
      </c>
      <c r="CR23" s="1">
        <f t="shared" si="74"/>
        <v>19001764.63301111</v>
      </c>
      <c r="CS23" s="1">
        <f t="shared" si="74"/>
        <v>19571817.572001442</v>
      </c>
      <c r="CT23" s="1">
        <f t="shared" si="74"/>
        <v>20158972.099161487</v>
      </c>
      <c r="CU23" s="1">
        <f t="shared" si="74"/>
        <v>20763741.262136333</v>
      </c>
      <c r="CV23" s="1">
        <f t="shared" si="74"/>
        <v>21386653.500000425</v>
      </c>
      <c r="CW23" s="1">
        <f t="shared" si="74"/>
        <v>22028253.105000436</v>
      </c>
      <c r="CX23" s="1">
        <f t="shared" si="74"/>
        <v>22689100.698150449</v>
      </c>
      <c r="CY23" s="1">
        <f t="shared" si="74"/>
        <v>23369773.719094962</v>
      </c>
      <c r="CZ23" s="1">
        <f t="shared" si="74"/>
        <v>24070866.93066781</v>
      </c>
      <c r="DA23" s="1">
        <f t="shared" si="74"/>
        <v>24792992.938587844</v>
      </c>
      <c r="DB23" s="1">
        <f t="shared" si="74"/>
        <v>25536782.726745479</v>
      </c>
      <c r="DC23" s="1">
        <f t="shared" si="74"/>
        <v>26302886.208547845</v>
      </c>
      <c r="DD23" s="1">
        <f t="shared" si="74"/>
        <v>27091972.794804282</v>
      </c>
      <c r="DE23" s="1">
        <f t="shared" si="74"/>
        <v>27904731.978648413</v>
      </c>
      <c r="DF23" s="1">
        <f t="shared" si="74"/>
        <v>28741873.938007865</v>
      </c>
      <c r="DG23" s="1">
        <f t="shared" si="74"/>
        <v>29604130.156148102</v>
      </c>
      <c r="DH23" s="1">
        <f t="shared" si="74"/>
        <v>30492254.060832545</v>
      </c>
      <c r="DI23" s="1">
        <f t="shared" si="74"/>
        <v>31407021.682657521</v>
      </c>
      <c r="DJ23" s="1">
        <f t="shared" si="74"/>
        <v>32349232.333137248</v>
      </c>
      <c r="DK23" s="1">
        <f t="shared" si="74"/>
        <v>33319709.303131364</v>
      </c>
      <c r="DL23" s="1">
        <f t="shared" si="74"/>
        <v>34319300.582225308</v>
      </c>
      <c r="DM23" s="1">
        <f t="shared" si="74"/>
        <v>35348879.599692069</v>
      </c>
      <c r="DN23" s="1">
        <f t="shared" si="74"/>
        <v>36409345.987682834</v>
      </c>
      <c r="DO23" s="1">
        <f t="shared" ref="DO23:ER23" si="75">+DN23*(1+$Y15)</f>
        <v>37501626.367313318</v>
      </c>
      <c r="DP23" s="1">
        <f t="shared" si="75"/>
        <v>38626675.15833272</v>
      </c>
      <c r="DQ23" s="1">
        <f t="shared" si="75"/>
        <v>39785475.413082704</v>
      </c>
      <c r="DR23" s="1">
        <f t="shared" si="75"/>
        <v>40979039.675475188</v>
      </c>
      <c r="DS23" s="1">
        <f t="shared" si="75"/>
        <v>42208410.865739442</v>
      </c>
      <c r="DT23" s="1">
        <f t="shared" si="75"/>
        <v>43474663.191711627</v>
      </c>
      <c r="DU23" s="1">
        <f t="shared" si="75"/>
        <v>44778903.087462977</v>
      </c>
      <c r="DV23" s="1">
        <f t="shared" si="75"/>
        <v>46122270.180086866</v>
      </c>
      <c r="DW23" s="1">
        <f t="shared" si="75"/>
        <v>47505938.28548947</v>
      </c>
      <c r="DX23" s="1">
        <f t="shared" si="75"/>
        <v>48931116.434054159</v>
      </c>
      <c r="DY23" s="1">
        <f t="shared" si="75"/>
        <v>50399049.927075788</v>
      </c>
      <c r="DZ23" s="1">
        <f t="shared" si="75"/>
        <v>51911021.424888067</v>
      </c>
      <c r="EA23" s="1">
        <f t="shared" si="75"/>
        <v>53468352.067634709</v>
      </c>
      <c r="EB23" s="1">
        <f t="shared" si="75"/>
        <v>55072402.629663751</v>
      </c>
      <c r="EC23" s="1">
        <f t="shared" si="75"/>
        <v>56724574.708553664</v>
      </c>
      <c r="ED23" s="1">
        <f t="shared" si="75"/>
        <v>58426311.949810274</v>
      </c>
      <c r="EE23" s="1">
        <f t="shared" si="75"/>
        <v>60179101.308304586</v>
      </c>
      <c r="EF23" s="1">
        <f t="shared" si="75"/>
        <v>61984474.347553723</v>
      </c>
      <c r="EG23" s="1">
        <f t="shared" si="75"/>
        <v>63844008.57798034</v>
      </c>
      <c r="EH23" s="1">
        <f t="shared" si="75"/>
        <v>65759328.83531975</v>
      </c>
      <c r="EI23" s="1">
        <f t="shared" si="75"/>
        <v>67732108.700379342</v>
      </c>
      <c r="EJ23" s="1">
        <f t="shared" si="75"/>
        <v>69764071.961390719</v>
      </c>
      <c r="EK23" s="1">
        <f t="shared" si="75"/>
        <v>71856994.120232448</v>
      </c>
      <c r="EL23" s="1">
        <f t="shared" si="75"/>
        <v>74012703.943839416</v>
      </c>
      <c r="EM23" s="1">
        <f t="shared" si="75"/>
        <v>76233085.062154606</v>
      </c>
      <c r="EN23" s="1">
        <f t="shared" si="75"/>
        <v>78520077.614019245</v>
      </c>
      <c r="EO23" s="1">
        <f t="shared" si="75"/>
        <v>80875679.942439824</v>
      </c>
      <c r="EP23" s="1">
        <f t="shared" si="75"/>
        <v>83301950.340713024</v>
      </c>
      <c r="EQ23" s="1">
        <f t="shared" si="75"/>
        <v>85801008.850934416</v>
      </c>
      <c r="ER23" s="1">
        <f t="shared" si="75"/>
        <v>88375039.116462454</v>
      </c>
    </row>
    <row r="24" spans="2:148" s="3" customFormat="1" x14ac:dyDescent="0.25">
      <c r="B24" s="3" t="s">
        <v>12</v>
      </c>
      <c r="D24" s="3">
        <f>+D23/D25</f>
        <v>-1.8895495495495496</v>
      </c>
      <c r="E24" s="3">
        <f>+E23/E25</f>
        <v>-2.2409692096074489</v>
      </c>
      <c r="F24" s="3">
        <f>+F23/F25</f>
        <v>-1.7607865707434052</v>
      </c>
      <c r="G24" s="3">
        <f>+G23/G25</f>
        <v>-1.7103509897145042</v>
      </c>
      <c r="H24" s="3">
        <f t="shared" ref="H24:Q24" si="76">+H23/H25</f>
        <v>-1.495748713190552</v>
      </c>
      <c r="I24" s="3">
        <f t="shared" si="76"/>
        <v>-1.2474758472302223</v>
      </c>
      <c r="J24" s="3">
        <f t="shared" si="76"/>
        <v>-0.83980108682279342</v>
      </c>
      <c r="K24" s="3">
        <f t="shared" si="76"/>
        <v>-1.3678228961046118E-3</v>
      </c>
      <c r="L24" s="3">
        <f t="shared" si="76"/>
        <v>1.0936689550876888</v>
      </c>
      <c r="M24" s="3">
        <f t="shared" si="76"/>
        <v>2.7406205428969437</v>
      </c>
      <c r="N24" s="3">
        <f t="shared" si="76"/>
        <v>5.6491290082123751</v>
      </c>
      <c r="O24" s="3">
        <f t="shared" si="76"/>
        <v>8.4687443734208845</v>
      </c>
      <c r="P24" s="3">
        <f t="shared" si="76"/>
        <v>11.657766273055403</v>
      </c>
      <c r="Q24" s="3">
        <f t="shared" si="76"/>
        <v>15.400475664543093</v>
      </c>
      <c r="R24" s="3">
        <f t="shared" ref="R24" si="77">+R23/R25</f>
        <v>20.052507282003425</v>
      </c>
      <c r="S24" s="3">
        <f t="shared" ref="S24" si="78">+S23/S25</f>
        <v>24.876531343482789</v>
      </c>
      <c r="T24" s="3">
        <f t="shared" ref="T24" si="79">+T23/T25</f>
        <v>29.839684214841043</v>
      </c>
      <c r="U24" s="3">
        <f t="shared" ref="U24" si="80">+U23/U25</f>
        <v>34.283824244831358</v>
      </c>
      <c r="V24" s="3">
        <f t="shared" ref="V24" si="81">+V23/V25</f>
        <v>38.158726746828918</v>
      </c>
    </row>
    <row r="25" spans="2:148" s="1" customFormat="1" x14ac:dyDescent="0.25">
      <c r="B25" s="1" t="s">
        <v>11</v>
      </c>
      <c r="D25" s="1">
        <v>44400</v>
      </c>
      <c r="E25" s="1">
        <v>47255</v>
      </c>
      <c r="F25" s="1">
        <v>52125</v>
      </c>
      <c r="G25" s="1">
        <v>55878.589</v>
      </c>
      <c r="H25" s="1">
        <f>+G25</f>
        <v>55878.589</v>
      </c>
      <c r="I25" s="1">
        <f t="shared" ref="I25:Q25" si="82">+H25</f>
        <v>55878.589</v>
      </c>
      <c r="J25" s="1">
        <f t="shared" si="82"/>
        <v>55878.589</v>
      </c>
      <c r="K25" s="1">
        <f t="shared" si="82"/>
        <v>55878.589</v>
      </c>
      <c r="L25" s="1">
        <f t="shared" si="82"/>
        <v>55878.589</v>
      </c>
      <c r="M25" s="1">
        <f t="shared" si="82"/>
        <v>55878.589</v>
      </c>
      <c r="N25" s="1">
        <f t="shared" si="82"/>
        <v>55878.589</v>
      </c>
      <c r="O25" s="1">
        <f t="shared" si="82"/>
        <v>55878.589</v>
      </c>
      <c r="P25" s="1">
        <f t="shared" si="82"/>
        <v>55878.589</v>
      </c>
      <c r="Q25" s="1">
        <f t="shared" si="82"/>
        <v>55878.589</v>
      </c>
      <c r="R25" s="1">
        <f t="shared" ref="R25:V25" si="83">+Q25</f>
        <v>55878.589</v>
      </c>
      <c r="S25" s="1">
        <f t="shared" si="83"/>
        <v>55878.589</v>
      </c>
      <c r="T25" s="1">
        <f t="shared" si="83"/>
        <v>55878.589</v>
      </c>
      <c r="U25" s="1">
        <f t="shared" si="83"/>
        <v>55878.589</v>
      </c>
      <c r="V25" s="1">
        <f t="shared" si="83"/>
        <v>55878.589</v>
      </c>
    </row>
    <row r="26" spans="2:148" s="1" customFormat="1" x14ac:dyDescent="0.25"/>
    <row r="27" spans="2:148" s="4" customFormat="1" x14ac:dyDescent="0.25">
      <c r="B27" s="4" t="s">
        <v>13</v>
      </c>
      <c r="D27" s="4">
        <f>+D15/D13</f>
        <v>0.49437438344842294</v>
      </c>
      <c r="E27" s="4">
        <f t="shared" ref="E27:F27" si="84">+E15/E13</f>
        <v>0.52168645505209599</v>
      </c>
      <c r="F27" s="4">
        <f t="shared" si="84"/>
        <v>0.61069140927758825</v>
      </c>
      <c r="G27" s="4">
        <f t="shared" ref="G27" si="85">+G15/G13</f>
        <v>0.63698572328228165</v>
      </c>
      <c r="H27" s="4">
        <v>0.67</v>
      </c>
      <c r="I27" s="4">
        <v>0.68</v>
      </c>
      <c r="J27" s="4">
        <v>0.69</v>
      </c>
      <c r="K27" s="4">
        <v>0.7</v>
      </c>
      <c r="L27" s="4">
        <v>0.7</v>
      </c>
      <c r="M27" s="4">
        <v>0.7</v>
      </c>
      <c r="N27" s="4">
        <v>0.7</v>
      </c>
      <c r="O27" s="4">
        <v>0.7</v>
      </c>
      <c r="P27" s="4">
        <v>0.7</v>
      </c>
      <c r="Q27" s="4">
        <v>0.7</v>
      </c>
      <c r="R27" s="4">
        <v>0.7</v>
      </c>
      <c r="S27" s="4">
        <v>0.7</v>
      </c>
      <c r="T27" s="4">
        <v>0.7</v>
      </c>
      <c r="U27" s="4">
        <v>0.7</v>
      </c>
      <c r="V27" s="4">
        <v>0.7</v>
      </c>
    </row>
    <row r="28" spans="2:148" s="4" customFormat="1" x14ac:dyDescent="0.25">
      <c r="B28" s="4" t="s">
        <v>14</v>
      </c>
      <c r="D28" s="4">
        <f>+D18/D13</f>
        <v>-1.0761191244301065</v>
      </c>
      <c r="E28" s="4">
        <f t="shared" ref="E28:F28" si="86">+E18/E13</f>
        <v>-0.80159481904090579</v>
      </c>
      <c r="F28" s="4">
        <f t="shared" si="86"/>
        <v>-0.43035572699979507</v>
      </c>
      <c r="G28" s="4">
        <f t="shared" ref="G28:V28" si="87">+G18/G13</f>
        <v>-0.33714543554052212</v>
      </c>
      <c r="H28" s="4">
        <f t="shared" si="87"/>
        <v>-0.22520065093798691</v>
      </c>
      <c r="I28" s="4">
        <f t="shared" si="87"/>
        <v>-0.15241430410245671</v>
      </c>
      <c r="J28" s="4">
        <f t="shared" si="87"/>
        <v>-8.6172391190074124E-2</v>
      </c>
      <c r="K28" s="4">
        <f t="shared" si="87"/>
        <v>-7.9274182300218335E-3</v>
      </c>
      <c r="L28" s="4">
        <f t="shared" si="87"/>
        <v>5.2083512710378553E-2</v>
      </c>
      <c r="M28" s="4">
        <f t="shared" si="87"/>
        <v>0.10576264944426646</v>
      </c>
      <c r="N28" s="4">
        <f t="shared" si="87"/>
        <v>0.16150218996409335</v>
      </c>
      <c r="O28" s="4">
        <f t="shared" si="87"/>
        <v>0.20776216651868132</v>
      </c>
      <c r="P28" s="4">
        <f t="shared" si="87"/>
        <v>0.24203596397844765</v>
      </c>
      <c r="Q28" s="4">
        <f t="shared" si="87"/>
        <v>0.26736107938073589</v>
      </c>
      <c r="R28" s="4">
        <f t="shared" si="87"/>
        <v>0.29110550355302223</v>
      </c>
      <c r="S28" s="4">
        <f t="shared" si="87"/>
        <v>0.31027902044975314</v>
      </c>
      <c r="T28" s="4">
        <f t="shared" si="87"/>
        <v>0.32622203857858101</v>
      </c>
      <c r="U28" s="4">
        <f t="shared" si="87"/>
        <v>0.33824850572510529</v>
      </c>
      <c r="V28" s="4">
        <f t="shared" si="87"/>
        <v>0.34742683225144178</v>
      </c>
    </row>
    <row r="29" spans="2:148" s="4" customFormat="1" x14ac:dyDescent="0.25">
      <c r="B29" s="4" t="s">
        <v>27</v>
      </c>
      <c r="E29" s="4">
        <f>+E13/D13 -1</f>
        <v>0.81554109899485439</v>
      </c>
      <c r="F29" s="4">
        <f t="shared" ref="F29:V29" si="88">+F13/E13 -1</f>
        <v>0.64840554809054929</v>
      </c>
      <c r="G29" s="4">
        <f t="shared" si="88"/>
        <v>0.37219039813272281</v>
      </c>
      <c r="H29" s="4">
        <f t="shared" si="88"/>
        <v>0.29847461313160761</v>
      </c>
      <c r="I29" s="4">
        <f t="shared" si="88"/>
        <v>0.24999969227009133</v>
      </c>
      <c r="J29" s="4">
        <f t="shared" si="88"/>
        <v>0.23999978000010991</v>
      </c>
      <c r="K29" s="4">
        <f t="shared" si="88"/>
        <v>0.33871448751145583</v>
      </c>
      <c r="L29" s="4">
        <f t="shared" si="88"/>
        <v>0.32529776238827979</v>
      </c>
      <c r="M29" s="4">
        <f t="shared" si="88"/>
        <v>0.31818109068048162</v>
      </c>
      <c r="N29" s="4">
        <f t="shared" si="88"/>
        <v>0.37931001038094436</v>
      </c>
      <c r="O29" s="4">
        <f t="shared" si="88"/>
        <v>0.33999968578771056</v>
      </c>
      <c r="P29" s="4">
        <f t="shared" si="88"/>
        <v>0.26119385857205235</v>
      </c>
      <c r="Q29" s="4">
        <f t="shared" si="88"/>
        <v>0.19822477540013828</v>
      </c>
      <c r="R29" s="4">
        <f t="shared" si="88"/>
        <v>0.19753083854713793</v>
      </c>
      <c r="S29" s="4">
        <f t="shared" si="88"/>
        <v>0.16494842718228586</v>
      </c>
      <c r="T29" s="4">
        <f t="shared" si="88"/>
        <v>0.1415929045893094</v>
      </c>
      <c r="U29" s="4">
        <f t="shared" si="88"/>
        <v>0.10852711979136553</v>
      </c>
      <c r="V29" s="4">
        <f t="shared" si="88"/>
        <v>8.3916075737336282E-2</v>
      </c>
    </row>
    <row r="30" spans="2:148" s="1" customFormat="1" x14ac:dyDescent="0.25"/>
    <row r="31" spans="2:148" s="1" customFormat="1" x14ac:dyDescent="0.25">
      <c r="B31" s="1" t="s">
        <v>15</v>
      </c>
      <c r="D31" s="1">
        <v>-80382</v>
      </c>
      <c r="E31" s="1">
        <v>-108003</v>
      </c>
      <c r="F31" s="1">
        <v>-99213</v>
      </c>
    </row>
    <row r="32" spans="2:148" s="1" customFormat="1" x14ac:dyDescent="0.25">
      <c r="B32" s="1" t="s">
        <v>16</v>
      </c>
      <c r="D32" s="1">
        <v>2653</v>
      </c>
      <c r="E32" s="1">
        <v>25206</v>
      </c>
      <c r="F32" s="1">
        <v>4409</v>
      </c>
    </row>
    <row r="33" spans="2:22" s="1" customFormat="1" x14ac:dyDescent="0.25">
      <c r="B33" s="1" t="s">
        <v>17</v>
      </c>
      <c r="D33" s="1">
        <f>+D31-D32</f>
        <v>-83035</v>
      </c>
      <c r="E33" s="1">
        <f>+E31-E32</f>
        <v>-133209</v>
      </c>
      <c r="F33" s="1">
        <f>+F31-F32</f>
        <v>-103622</v>
      </c>
    </row>
    <row r="34" spans="2:22" s="1" customFormat="1" x14ac:dyDescent="0.25"/>
    <row r="35" spans="2:22" s="1" customFormat="1" x14ac:dyDescent="0.25">
      <c r="B35" s="1" t="s">
        <v>18</v>
      </c>
      <c r="E35" s="1">
        <v>161705</v>
      </c>
      <c r="F35" s="1">
        <v>164523</v>
      </c>
    </row>
    <row r="36" spans="2:22" s="1" customFormat="1" x14ac:dyDescent="0.25">
      <c r="B36" s="1" t="s">
        <v>19</v>
      </c>
      <c r="E36" s="1">
        <f>+E33+E35</f>
        <v>28496</v>
      </c>
      <c r="F36" s="1">
        <f>+F33+F35</f>
        <v>60901</v>
      </c>
    </row>
    <row r="37" spans="2:22" s="1" customFormat="1" x14ac:dyDescent="0.25"/>
    <row r="38" spans="2:22" s="1" customFormat="1" x14ac:dyDescent="0.25">
      <c r="B38" s="1" t="s">
        <v>23</v>
      </c>
      <c r="E38" s="1">
        <v>257222</v>
      </c>
      <c r="F38" s="1">
        <v>333725</v>
      </c>
      <c r="G38" s="1">
        <v>294281</v>
      </c>
    </row>
    <row r="39" spans="2:22" s="1" customFormat="1" x14ac:dyDescent="0.25">
      <c r="B39" s="1" t="s">
        <v>24</v>
      </c>
      <c r="E39" s="1">
        <v>27748</v>
      </c>
      <c r="F39" s="1">
        <v>26709</v>
      </c>
      <c r="G39" s="1">
        <v>30022</v>
      </c>
    </row>
    <row r="40" spans="2:22" s="1" customFormat="1" x14ac:dyDescent="0.25">
      <c r="B40" s="1" t="s">
        <v>25</v>
      </c>
      <c r="E40" s="1">
        <v>51339</v>
      </c>
      <c r="F40" s="1">
        <v>51472</v>
      </c>
      <c r="G40" s="1">
        <v>51566</v>
      </c>
    </row>
    <row r="41" spans="2:22" s="1" customFormat="1" x14ac:dyDescent="0.25">
      <c r="B41" s="1" t="s">
        <v>26</v>
      </c>
      <c r="E41" s="1">
        <f>+E38+E39-E40</f>
        <v>233631</v>
      </c>
      <c r="F41" s="1">
        <f>+F38+F39-F40</f>
        <v>308962</v>
      </c>
      <c r="G41" s="1">
        <f>+G38+G39-G40</f>
        <v>272737</v>
      </c>
    </row>
    <row r="42" spans="2:22" s="1" customFormat="1" x14ac:dyDescent="0.25"/>
    <row r="43" spans="2:22" s="4" customFormat="1" x14ac:dyDescent="0.25">
      <c r="B43" s="4" t="s">
        <v>3</v>
      </c>
      <c r="D43" s="4">
        <f>+D16/D$13</f>
        <v>0.38634121630628948</v>
      </c>
      <c r="E43" s="4">
        <f t="shared" ref="E43:G43" si="89">+E16/E$13</f>
        <v>0.35572100946464891</v>
      </c>
      <c r="F43" s="4">
        <f t="shared" si="89"/>
        <v>0.27749913139537991</v>
      </c>
      <c r="G43" s="4">
        <f t="shared" si="89"/>
        <v>0.23137826484966922</v>
      </c>
      <c r="H43" s="4">
        <f t="shared" ref="H43:Q43" si="90">+H16/H$13</f>
        <v>0.22074108528687281</v>
      </c>
      <c r="I43" s="4">
        <f t="shared" si="90"/>
        <v>0.2119114505702652</v>
      </c>
      <c r="J43" s="4">
        <f t="shared" si="90"/>
        <v>0.20370843274128408</v>
      </c>
      <c r="K43" s="4">
        <f t="shared" si="90"/>
        <v>0.19340018583107274</v>
      </c>
      <c r="L43" s="4">
        <f t="shared" si="90"/>
        <v>0.18390607069985082</v>
      </c>
      <c r="M43" s="4">
        <f t="shared" si="90"/>
        <v>0.17502786199670017</v>
      </c>
      <c r="N43" s="4">
        <f t="shared" si="90"/>
        <v>0.16540133574063581</v>
      </c>
      <c r="O43" s="4">
        <f t="shared" si="90"/>
        <v>0.15700784090968359</v>
      </c>
      <c r="P43" s="4">
        <f t="shared" si="90"/>
        <v>0.15050456093975118</v>
      </c>
      <c r="Q43" s="4">
        <f t="shared" si="90"/>
        <v>0.14552490546917957</v>
      </c>
      <c r="R43" s="4">
        <f t="shared" ref="R43:V43" si="91">+R16/R$13</f>
        <v>0.14072408436603459</v>
      </c>
      <c r="S43" s="4">
        <f t="shared" si="91"/>
        <v>0.13673897810017369</v>
      </c>
      <c r="T43" s="4">
        <f t="shared" si="91"/>
        <v>0.13334700378044143</v>
      </c>
      <c r="U43" s="4">
        <f t="shared" si="91"/>
        <v>0.13073601375688237</v>
      </c>
      <c r="V43" s="4">
        <f t="shared" si="91"/>
        <v>0.12871171437105458</v>
      </c>
    </row>
    <row r="44" spans="2:22" s="4" customFormat="1" x14ac:dyDescent="0.25">
      <c r="B44" s="4" t="s">
        <v>4</v>
      </c>
      <c r="D44" s="4">
        <f>+D17/D$13</f>
        <v>1.1841522915722398</v>
      </c>
      <c r="E44" s="4">
        <f t="shared" ref="E44:G44" si="92">+E17/E$13</f>
        <v>0.96756026462835287</v>
      </c>
      <c r="F44" s="4">
        <f t="shared" si="92"/>
        <v>0.76354800488200336</v>
      </c>
      <c r="G44" s="4">
        <f t="shared" si="92"/>
        <v>0.7427528939731346</v>
      </c>
      <c r="H44" s="4">
        <f t="shared" ref="H44:Q44" si="93">+H17/H$13</f>
        <v>0.6744595656511142</v>
      </c>
      <c r="I44" s="4">
        <f t="shared" si="93"/>
        <v>0.62050285353219159</v>
      </c>
      <c r="J44" s="4">
        <f t="shared" si="93"/>
        <v>0.57246395844878994</v>
      </c>
      <c r="K44" s="4">
        <f t="shared" si="93"/>
        <v>0.51452723239894893</v>
      </c>
      <c r="L44" s="4">
        <f t="shared" si="93"/>
        <v>0.4640104165897706</v>
      </c>
      <c r="M44" s="4">
        <f t="shared" si="93"/>
        <v>0.41920948855903328</v>
      </c>
      <c r="N44" s="4">
        <f t="shared" si="93"/>
        <v>0.37309647429527076</v>
      </c>
      <c r="O44" s="4">
        <f t="shared" si="93"/>
        <v>0.3352299925716351</v>
      </c>
      <c r="P44" s="4">
        <f t="shared" si="93"/>
        <v>0.30745947508180116</v>
      </c>
      <c r="Q44" s="4">
        <f t="shared" si="93"/>
        <v>0.28711401515008445</v>
      </c>
      <c r="R44" s="4">
        <f t="shared" ref="R44:V44" si="94">+R17/R$13</f>
        <v>0.26817041208094322</v>
      </c>
      <c r="S44" s="4">
        <f t="shared" si="94"/>
        <v>0.2529820014500731</v>
      </c>
      <c r="T44" s="4">
        <f t="shared" si="94"/>
        <v>0.24043095764097755</v>
      </c>
      <c r="U44" s="4">
        <f t="shared" si="94"/>
        <v>0.23101548051801241</v>
      </c>
      <c r="V44" s="4">
        <f t="shared" si="94"/>
        <v>0.22386145337750366</v>
      </c>
    </row>
    <row r="45" spans="2:22" s="1" customFormat="1" x14ac:dyDescent="0.25"/>
    <row r="46" spans="2:22" s="1" customFormat="1" x14ac:dyDescent="0.25">
      <c r="B46" s="1" t="s">
        <v>31</v>
      </c>
      <c r="D46" s="1">
        <f>-D21</f>
        <v>83896</v>
      </c>
      <c r="E46" s="1">
        <f>+D46-E21</f>
        <v>189793</v>
      </c>
      <c r="F46" s="1">
        <f t="shared" ref="F46:I46" si="95">+E46-F21</f>
        <v>281206</v>
      </c>
      <c r="G46" s="1">
        <f t="shared" si="95"/>
        <v>376588</v>
      </c>
      <c r="H46" s="1">
        <f t="shared" si="95"/>
        <v>460168.32759165374</v>
      </c>
      <c r="I46" s="1">
        <f t="shared" si="95"/>
        <v>529875.51774645806</v>
      </c>
      <c r="J46" s="1">
        <f>+I46-J21</f>
        <v>576802.4175187822</v>
      </c>
      <c r="K46" s="1">
        <f>+J46-K47</f>
        <v>576866.24383480405</v>
      </c>
      <c r="L46" s="1">
        <f t="shared" ref="L46:N46" si="96">+K46-L47</f>
        <v>525832.69223279622</v>
      </c>
      <c r="M46" s="1">
        <f t="shared" si="96"/>
        <v>397947.92486620316</v>
      </c>
      <c r="N46" s="1">
        <f t="shared" si="96"/>
        <v>134344.28556943743</v>
      </c>
    </row>
    <row r="47" spans="2:22" s="1" customFormat="1" x14ac:dyDescent="0.25">
      <c r="B47" s="1" t="s">
        <v>33</v>
      </c>
      <c r="K47" s="1">
        <f>+K21*0.8</f>
        <v>-63.826316021895039</v>
      </c>
      <c r="L47" s="1">
        <f>+L21*0.8</f>
        <v>51033.551602007872</v>
      </c>
      <c r="M47" s="1">
        <f>+M21*0.8</f>
        <v>127884.76736659306</v>
      </c>
      <c r="N47" s="1">
        <f>+N21*0.8</f>
        <v>263603.63929676573</v>
      </c>
      <c r="O47" s="1">
        <f>+N46</f>
        <v>134344.28556943743</v>
      </c>
    </row>
    <row r="48" spans="2:22" s="1" customFormat="1" x14ac:dyDescent="0.25">
      <c r="B48" s="1" t="s">
        <v>32</v>
      </c>
      <c r="K48" s="1">
        <f>+K21-K47</f>
        <v>-15.956579005473756</v>
      </c>
      <c r="L48" s="1">
        <f>+L21-L47</f>
        <v>12758.387900501963</v>
      </c>
      <c r="M48" s="1">
        <f t="shared" ref="M48:O48" si="97">+M21-M47</f>
        <v>31971.191841648251</v>
      </c>
      <c r="N48" s="1">
        <f t="shared" si="97"/>
        <v>65900.909824191418</v>
      </c>
      <c r="O48" s="1">
        <f t="shared" si="97"/>
        <v>428958.4817962161</v>
      </c>
    </row>
    <row r="49" spans="2:15" s="1" customFormat="1" x14ac:dyDescent="0.25">
      <c r="B49" s="1" t="s">
        <v>34</v>
      </c>
      <c r="K49" s="1">
        <f>+K48*0.21</f>
        <v>-3.3508815911494887</v>
      </c>
      <c r="L49" s="1">
        <f>+L48*0.21</f>
        <v>2679.2614591054121</v>
      </c>
      <c r="M49" s="1">
        <f>+M48*0.21</f>
        <v>6713.9502867461324</v>
      </c>
      <c r="N49" s="1">
        <f t="shared" ref="N49" si="98">+N48*0.21</f>
        <v>13839.191063080198</v>
      </c>
      <c r="O49" s="1">
        <f>+O48*0.21</f>
        <v>90081.281177205383</v>
      </c>
    </row>
    <row r="50" spans="2:15" s="1" customFormat="1" x14ac:dyDescent="0.25"/>
    <row r="51" spans="2:15" s="1" customFormat="1" x14ac:dyDescent="0.25"/>
    <row r="52" spans="2:15" s="1" customFormat="1" x14ac:dyDescent="0.25"/>
    <row r="53" spans="2:15" s="1" customFormat="1" x14ac:dyDescent="0.25"/>
    <row r="54" spans="2:15" s="1" customFormat="1" x14ac:dyDescent="0.25"/>
    <row r="55" spans="2:15" s="1" customFormat="1" x14ac:dyDescent="0.25"/>
    <row r="56" spans="2:15" s="1" customFormat="1" x14ac:dyDescent="0.25"/>
    <row r="57" spans="2:15" s="1" customFormat="1" x14ac:dyDescent="0.25"/>
    <row r="58" spans="2:15" s="1" customFormat="1" x14ac:dyDescent="0.25"/>
    <row r="59" spans="2:15" s="1" customFormat="1" x14ac:dyDescent="0.25"/>
    <row r="60" spans="2:15" s="1" customFormat="1" x14ac:dyDescent="0.25"/>
    <row r="61" spans="2:15" s="1" customFormat="1" x14ac:dyDescent="0.25"/>
    <row r="62" spans="2:15" s="1" customFormat="1" x14ac:dyDescent="0.25"/>
    <row r="63" spans="2:15" s="1" customFormat="1" x14ac:dyDescent="0.25"/>
    <row r="64" spans="2:15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  <row r="138" s="1" customFormat="1" x14ac:dyDescent="0.25"/>
    <row r="139" s="1" customFormat="1" x14ac:dyDescent="0.25"/>
    <row r="140" s="1" customFormat="1" x14ac:dyDescent="0.25"/>
    <row r="141" s="1" customFormat="1" x14ac:dyDescent="0.25"/>
    <row r="142" s="1" customFormat="1" x14ac:dyDescent="0.25"/>
    <row r="143" s="1" customFormat="1" x14ac:dyDescent="0.25"/>
    <row r="144" s="1" customFormat="1" x14ac:dyDescent="0.25"/>
    <row r="145" s="1" customFormat="1" x14ac:dyDescent="0.25"/>
    <row r="146" s="1" customFormat="1" x14ac:dyDescent="0.25"/>
    <row r="147" s="1" customFormat="1" x14ac:dyDescent="0.25"/>
    <row r="148" s="1" customFormat="1" x14ac:dyDescent="0.25"/>
    <row r="149" s="1" customFormat="1" x14ac:dyDescent="0.25"/>
    <row r="150" s="1" customFormat="1" x14ac:dyDescent="0.25"/>
    <row r="151" s="1" customFormat="1" x14ac:dyDescent="0.25"/>
    <row r="152" s="1" customFormat="1" x14ac:dyDescent="0.25"/>
    <row r="153" s="1" customFormat="1" x14ac:dyDescent="0.25"/>
    <row r="154" s="1" customFormat="1" x14ac:dyDescent="0.25"/>
    <row r="155" s="1" customFormat="1" x14ac:dyDescent="0.25"/>
    <row r="156" s="1" customFormat="1" x14ac:dyDescent="0.25"/>
    <row r="157" s="1" customFormat="1" x14ac:dyDescent="0.25"/>
    <row r="158" s="1" customFormat="1" x14ac:dyDescent="0.25"/>
    <row r="159" s="1" customFormat="1" x14ac:dyDescent="0.25"/>
    <row r="160" s="1" customFormat="1" x14ac:dyDescent="0.25"/>
    <row r="161" s="1" customFormat="1" x14ac:dyDescent="0.25"/>
    <row r="162" s="1" customFormat="1" x14ac:dyDescent="0.25"/>
    <row r="163" s="1" customFormat="1" x14ac:dyDescent="0.25"/>
    <row r="164" s="1" customFormat="1" x14ac:dyDescent="0.25"/>
    <row r="165" s="1" customFormat="1" x14ac:dyDescent="0.25"/>
    <row r="166" s="1" customFormat="1" x14ac:dyDescent="0.25"/>
    <row r="167" s="1" customFormat="1" x14ac:dyDescent="0.25"/>
    <row r="168" s="1" customFormat="1" x14ac:dyDescent="0.25"/>
    <row r="169" s="1" customFormat="1" x14ac:dyDescent="0.25"/>
    <row r="170" s="1" customFormat="1" x14ac:dyDescent="0.25"/>
    <row r="171" s="1" customFormat="1" x14ac:dyDescent="0.25"/>
    <row r="172" s="1" customFormat="1" x14ac:dyDescent="0.25"/>
    <row r="173" s="1" customFormat="1" x14ac:dyDescent="0.25"/>
    <row r="174" s="1" customFormat="1" x14ac:dyDescent="0.25"/>
    <row r="175" s="1" customFormat="1" x14ac:dyDescent="0.25"/>
    <row r="176" s="1" customFormat="1" x14ac:dyDescent="0.25"/>
    <row r="177" s="1" customFormat="1" x14ac:dyDescent="0.25"/>
    <row r="178" s="1" customFormat="1" x14ac:dyDescent="0.25"/>
    <row r="179" s="1" customFormat="1" x14ac:dyDescent="0.25"/>
    <row r="180" s="1" customFormat="1" x14ac:dyDescent="0.25"/>
    <row r="181" s="1" customFormat="1" x14ac:dyDescent="0.25"/>
    <row r="182" s="1" customFormat="1" x14ac:dyDescent="0.25"/>
    <row r="183" s="1" customFormat="1" x14ac:dyDescent="0.25"/>
    <row r="184" s="1" customFormat="1" x14ac:dyDescent="0.25"/>
    <row r="185" s="1" customFormat="1" x14ac:dyDescent="0.25"/>
    <row r="186" s="1" customFormat="1" x14ac:dyDescent="0.25"/>
    <row r="187" s="1" customFormat="1" x14ac:dyDescent="0.25"/>
    <row r="188" s="1" customFormat="1" x14ac:dyDescent="0.25"/>
    <row r="189" s="1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87853-407E-4BC1-93C9-4061D9042820}">
  <dimension ref="B2:ER190"/>
  <sheetViews>
    <sheetView tabSelected="1" zoomScale="160" zoomScaleNormal="160" workbookViewId="0">
      <pane xSplit="2" ySplit="2" topLeftCell="O12" activePane="bottomRight" state="frozen"/>
      <selection pane="topRight" activeCell="C1" sqref="C1"/>
      <selection pane="bottomLeft" activeCell="A3" sqref="A3"/>
      <selection pane="bottomRight" activeCell="V27" sqref="V27"/>
    </sheetView>
  </sheetViews>
  <sheetFormatPr defaultRowHeight="15" x14ac:dyDescent="0.25"/>
  <cols>
    <col min="1" max="1" width="2.85546875" customWidth="1"/>
    <col min="2" max="2" width="23.5703125" bestFit="1" customWidth="1"/>
    <col min="25" max="25" width="10.28515625" bestFit="1" customWidth="1"/>
  </cols>
  <sheetData>
    <row r="2" spans="2:25" x14ac:dyDescent="0.25">
      <c r="D2">
        <v>2022</v>
      </c>
      <c r="E2">
        <f>+D2+1</f>
        <v>2023</v>
      </c>
      <c r="F2">
        <f t="shared" ref="F2:V2" si="0">+E2+1</f>
        <v>2024</v>
      </c>
      <c r="G2">
        <f t="shared" si="0"/>
        <v>2025</v>
      </c>
      <c r="H2">
        <f t="shared" si="0"/>
        <v>2026</v>
      </c>
      <c r="I2">
        <f t="shared" si="0"/>
        <v>2027</v>
      </c>
      <c r="J2">
        <f t="shared" si="0"/>
        <v>2028</v>
      </c>
      <c r="K2">
        <f t="shared" si="0"/>
        <v>2029</v>
      </c>
      <c r="L2">
        <f t="shared" si="0"/>
        <v>2030</v>
      </c>
      <c r="M2">
        <f t="shared" si="0"/>
        <v>2031</v>
      </c>
      <c r="N2">
        <f t="shared" si="0"/>
        <v>2032</v>
      </c>
      <c r="O2">
        <f t="shared" si="0"/>
        <v>2033</v>
      </c>
      <c r="P2">
        <f t="shared" si="0"/>
        <v>2034</v>
      </c>
      <c r="Q2">
        <f t="shared" si="0"/>
        <v>2035</v>
      </c>
      <c r="R2">
        <f t="shared" si="0"/>
        <v>2036</v>
      </c>
      <c r="S2">
        <f t="shared" si="0"/>
        <v>2037</v>
      </c>
      <c r="T2">
        <f t="shared" si="0"/>
        <v>2038</v>
      </c>
      <c r="U2">
        <f t="shared" si="0"/>
        <v>2039</v>
      </c>
      <c r="V2">
        <f t="shared" si="0"/>
        <v>2040</v>
      </c>
    </row>
    <row r="3" spans="2:25" s="1" customFormat="1" x14ac:dyDescent="0.25"/>
    <row r="4" spans="2:25" s="1" customFormat="1" x14ac:dyDescent="0.25">
      <c r="B4" s="1" t="s">
        <v>28</v>
      </c>
      <c r="D4" s="1">
        <f>+D13</f>
        <v>75014</v>
      </c>
      <c r="E4" s="1">
        <f>+E13</f>
        <v>136191</v>
      </c>
      <c r="F4" s="1">
        <f>+F13</f>
        <v>224498</v>
      </c>
      <c r="G4" s="1">
        <f>+G13</f>
        <v>308054</v>
      </c>
      <c r="H4" s="1">
        <v>400000</v>
      </c>
      <c r="I4" s="1">
        <v>500000</v>
      </c>
      <c r="J4" s="1">
        <v>580000</v>
      </c>
      <c r="K4" s="1">
        <v>720000</v>
      </c>
      <c r="L4" s="1">
        <v>880000</v>
      </c>
      <c r="M4" s="1">
        <v>1050000</v>
      </c>
      <c r="N4" s="1">
        <v>1220000</v>
      </c>
      <c r="O4" s="1">
        <v>1400000</v>
      </c>
      <c r="P4" s="1">
        <v>1550000</v>
      </c>
      <c r="Q4" s="1">
        <v>1700000</v>
      </c>
      <c r="R4" s="1">
        <v>1800000</v>
      </c>
      <c r="S4" s="1">
        <f>+R4+100000</f>
        <v>1900000</v>
      </c>
      <c r="T4" s="1">
        <f>+S4+100000</f>
        <v>2000000</v>
      </c>
      <c r="U4" s="1">
        <f>+T4+50000</f>
        <v>2050000</v>
      </c>
      <c r="V4" s="1">
        <f>+U4+50000</f>
        <v>2100000</v>
      </c>
    </row>
    <row r="5" spans="2:25" s="4" customFormat="1" x14ac:dyDescent="0.25">
      <c r="B5" s="4" t="s">
        <v>41</v>
      </c>
      <c r="E5" s="4">
        <f>+E4/D4 -1</f>
        <v>0.81554109899485439</v>
      </c>
      <c r="F5" s="4">
        <f t="shared" ref="F5:V5" si="1">+F4/E4 -1</f>
        <v>0.64840554809054929</v>
      </c>
      <c r="G5" s="4">
        <f t="shared" si="1"/>
        <v>0.37219039813272281</v>
      </c>
      <c r="H5" s="4">
        <f t="shared" si="1"/>
        <v>0.29847364423120615</v>
      </c>
      <c r="I5" s="4">
        <f t="shared" si="1"/>
        <v>0.25</v>
      </c>
      <c r="J5" s="4">
        <f t="shared" si="1"/>
        <v>0.15999999999999992</v>
      </c>
      <c r="K5" s="4">
        <f t="shared" si="1"/>
        <v>0.24137931034482762</v>
      </c>
      <c r="L5" s="4">
        <f t="shared" si="1"/>
        <v>0.22222222222222232</v>
      </c>
      <c r="M5" s="4">
        <f t="shared" si="1"/>
        <v>0.19318181818181812</v>
      </c>
      <c r="N5" s="4">
        <f t="shared" si="1"/>
        <v>0.161904761904762</v>
      </c>
      <c r="O5" s="4">
        <f t="shared" si="1"/>
        <v>0.14754098360655732</v>
      </c>
      <c r="P5" s="4">
        <f t="shared" si="1"/>
        <v>0.10714285714285721</v>
      </c>
      <c r="Q5" s="4">
        <f t="shared" si="1"/>
        <v>9.6774193548387011E-2</v>
      </c>
      <c r="R5" s="4">
        <f t="shared" si="1"/>
        <v>5.8823529411764719E-2</v>
      </c>
      <c r="S5" s="4">
        <f t="shared" si="1"/>
        <v>5.555555555555558E-2</v>
      </c>
      <c r="T5" s="4">
        <f t="shared" si="1"/>
        <v>5.2631578947368363E-2</v>
      </c>
      <c r="U5" s="4">
        <f t="shared" si="1"/>
        <v>2.4999999999999911E-2</v>
      </c>
      <c r="V5" s="4">
        <f t="shared" si="1"/>
        <v>2.4390243902439046E-2</v>
      </c>
    </row>
    <row r="6" spans="2:25" s="1" customFormat="1" x14ac:dyDescent="0.25">
      <c r="B6" s="1" t="s">
        <v>29</v>
      </c>
      <c r="J6" s="1">
        <v>20000</v>
      </c>
      <c r="K6" s="1">
        <v>60000</v>
      </c>
      <c r="L6" s="1">
        <v>100000</v>
      </c>
      <c r="M6" s="1">
        <v>130000</v>
      </c>
      <c r="N6" s="1">
        <v>200000</v>
      </c>
      <c r="O6" s="1">
        <v>270000</v>
      </c>
      <c r="P6" s="1">
        <v>350000</v>
      </c>
      <c r="Q6" s="1">
        <v>450000</v>
      </c>
      <c r="R6" s="1">
        <f>+Q6+50000</f>
        <v>500000</v>
      </c>
      <c r="S6" s="1">
        <f>+R6+50000</f>
        <v>550000</v>
      </c>
      <c r="T6" s="1">
        <f>+S6+50000</f>
        <v>600000</v>
      </c>
      <c r="U6" s="1">
        <f>+T6+50000</f>
        <v>650000</v>
      </c>
      <c r="V6" s="1">
        <f>+U6+50000</f>
        <v>700000</v>
      </c>
    </row>
    <row r="7" spans="2:25" s="4" customFormat="1" x14ac:dyDescent="0.25">
      <c r="B7" s="4" t="s">
        <v>42</v>
      </c>
      <c r="K7" s="4">
        <f>+K6/J6 -1</f>
        <v>2</v>
      </c>
      <c r="L7" s="4">
        <f t="shared" ref="L7:V7" si="2">+L6/K6 -1</f>
        <v>0.66666666666666674</v>
      </c>
      <c r="M7" s="4">
        <f t="shared" si="2"/>
        <v>0.30000000000000004</v>
      </c>
      <c r="N7" s="4">
        <f t="shared" si="2"/>
        <v>0.53846153846153855</v>
      </c>
      <c r="O7" s="4">
        <f t="shared" si="2"/>
        <v>0.35000000000000009</v>
      </c>
      <c r="P7" s="4">
        <f t="shared" si="2"/>
        <v>0.29629629629629628</v>
      </c>
      <c r="Q7" s="4">
        <f t="shared" si="2"/>
        <v>0.28571428571428581</v>
      </c>
      <c r="R7" s="4">
        <f t="shared" si="2"/>
        <v>0.11111111111111116</v>
      </c>
      <c r="S7" s="4">
        <f t="shared" si="2"/>
        <v>0.10000000000000009</v>
      </c>
      <c r="T7" s="4">
        <f t="shared" si="2"/>
        <v>9.0909090909090828E-2</v>
      </c>
      <c r="U7" s="4">
        <f t="shared" si="2"/>
        <v>8.3333333333333259E-2</v>
      </c>
      <c r="V7" s="4">
        <f t="shared" si="2"/>
        <v>7.6923076923076872E-2</v>
      </c>
    </row>
    <row r="8" spans="2:25" s="1" customFormat="1" x14ac:dyDescent="0.25">
      <c r="B8" s="1" t="s">
        <v>30</v>
      </c>
      <c r="L8" s="1">
        <v>20000</v>
      </c>
      <c r="M8" s="1">
        <v>20000</v>
      </c>
      <c r="N8" s="1">
        <v>30000</v>
      </c>
      <c r="O8" s="1">
        <v>30000</v>
      </c>
      <c r="P8" s="1">
        <v>50000</v>
      </c>
      <c r="Q8" s="1">
        <v>50000</v>
      </c>
      <c r="R8" s="1">
        <v>50000</v>
      </c>
      <c r="S8" s="1">
        <v>50000</v>
      </c>
      <c r="T8" s="1">
        <v>50000</v>
      </c>
      <c r="U8" s="1">
        <v>50000</v>
      </c>
      <c r="V8" s="1">
        <v>50000</v>
      </c>
    </row>
    <row r="9" spans="2:25" s="1" customFormat="1" x14ac:dyDescent="0.25"/>
    <row r="10" spans="2:25" s="1" customFormat="1" x14ac:dyDescent="0.25">
      <c r="B10" s="1" t="s">
        <v>20</v>
      </c>
      <c r="E10" s="1">
        <v>58920</v>
      </c>
      <c r="F10" s="1">
        <v>90299</v>
      </c>
      <c r="G10" s="1">
        <f>93000+13132</f>
        <v>106132</v>
      </c>
    </row>
    <row r="11" spans="2:25" s="1" customFormat="1" x14ac:dyDescent="0.25">
      <c r="B11" s="1" t="s">
        <v>21</v>
      </c>
      <c r="E11" s="1">
        <v>69522</v>
      </c>
      <c r="F11" s="1">
        <v>121456</v>
      </c>
      <c r="G11" s="1">
        <f>159669+21777</f>
        <v>181446</v>
      </c>
    </row>
    <row r="12" spans="2:25" s="1" customFormat="1" x14ac:dyDescent="0.25">
      <c r="B12" s="1" t="s">
        <v>22</v>
      </c>
      <c r="E12" s="1">
        <v>7749</v>
      </c>
      <c r="F12" s="1">
        <v>12743</v>
      </c>
      <c r="G12" s="1">
        <f>2767+17709</f>
        <v>20476</v>
      </c>
    </row>
    <row r="13" spans="2:25" s="2" customFormat="1" x14ac:dyDescent="0.25">
      <c r="B13" s="2" t="s">
        <v>0</v>
      </c>
      <c r="D13" s="2">
        <v>75014</v>
      </c>
      <c r="E13" s="2">
        <v>136191</v>
      </c>
      <c r="F13" s="2">
        <v>224498</v>
      </c>
      <c r="G13" s="2">
        <v>308054</v>
      </c>
      <c r="H13" s="2">
        <f>+SUM(H4:H8)</f>
        <v>400000.29847364424</v>
      </c>
      <c r="I13" s="2">
        <f t="shared" ref="I13:V13" si="3">+SUM(I4:I8)</f>
        <v>500000.25</v>
      </c>
      <c r="J13" s="2">
        <f t="shared" si="3"/>
        <v>600000.16</v>
      </c>
      <c r="K13" s="2">
        <f t="shared" si="3"/>
        <v>780002.24137931038</v>
      </c>
      <c r="L13" s="2">
        <f t="shared" si="3"/>
        <v>1000000.8888888889</v>
      </c>
      <c r="M13" s="2">
        <f t="shared" si="3"/>
        <v>1200000.4931818182</v>
      </c>
      <c r="N13" s="2">
        <f t="shared" si="3"/>
        <v>1450000.7003663003</v>
      </c>
      <c r="O13" s="2">
        <f t="shared" si="3"/>
        <v>1700000.4975409836</v>
      </c>
      <c r="P13" s="2">
        <f t="shared" si="3"/>
        <v>1950000.4034391535</v>
      </c>
      <c r="Q13" s="2">
        <f t="shared" si="3"/>
        <v>2200000.3824884794</v>
      </c>
      <c r="R13" s="2">
        <f t="shared" si="3"/>
        <v>2350000.1699346406</v>
      </c>
      <c r="S13" s="2">
        <f t="shared" si="3"/>
        <v>2500000.1555555556</v>
      </c>
      <c r="T13" s="2">
        <f t="shared" si="3"/>
        <v>2650000.1435406697</v>
      </c>
      <c r="U13" s="2">
        <f t="shared" si="3"/>
        <v>2750000.1083333334</v>
      </c>
      <c r="V13" s="2">
        <f t="shared" si="3"/>
        <v>2850000.1013133209</v>
      </c>
    </row>
    <row r="14" spans="2:25" s="1" customFormat="1" x14ac:dyDescent="0.25">
      <c r="B14" s="1" t="s">
        <v>1</v>
      </c>
      <c r="D14" s="1">
        <v>37929</v>
      </c>
      <c r="E14" s="1">
        <v>65142</v>
      </c>
      <c r="F14" s="1">
        <v>87399</v>
      </c>
      <c r="G14" s="1">
        <v>111828</v>
      </c>
      <c r="H14" s="1">
        <f>+H13*(1-H28)</f>
        <v>140000.10446577548</v>
      </c>
      <c r="I14" s="1">
        <f t="shared" ref="I14:P14" si="4">+I13*(1-I28)</f>
        <v>165000.08249999999</v>
      </c>
      <c r="J14" s="1">
        <f t="shared" si="4"/>
        <v>192000.05119999999</v>
      </c>
      <c r="K14" s="1">
        <f t="shared" si="4"/>
        <v>241800.69482758627</v>
      </c>
      <c r="L14" s="1">
        <f t="shared" si="4"/>
        <v>300000.26666666672</v>
      </c>
      <c r="M14" s="1">
        <f t="shared" si="4"/>
        <v>360000.14795454551</v>
      </c>
      <c r="N14" s="1">
        <f t="shared" si="4"/>
        <v>435000.21010989015</v>
      </c>
      <c r="O14" s="1">
        <f t="shared" si="4"/>
        <v>510000.14926229516</v>
      </c>
      <c r="P14" s="1">
        <f t="shared" si="4"/>
        <v>585000.12103174615</v>
      </c>
      <c r="Q14" s="1">
        <f>+Q13*(1-Q28)</f>
        <v>660000.11474654393</v>
      </c>
      <c r="R14" s="1">
        <f t="shared" ref="R14:V14" si="5">+R13*(1-R28)</f>
        <v>705000.05098039226</v>
      </c>
      <c r="S14" s="1">
        <f t="shared" si="5"/>
        <v>750000.04666666675</v>
      </c>
      <c r="T14" s="1">
        <f t="shared" si="5"/>
        <v>795000.043062201</v>
      </c>
      <c r="U14" s="1">
        <f t="shared" si="5"/>
        <v>825000.03250000009</v>
      </c>
      <c r="V14" s="1">
        <f t="shared" si="5"/>
        <v>855000.03039399639</v>
      </c>
      <c r="X14" s="4" t="s">
        <v>35</v>
      </c>
      <c r="Y14" s="4">
        <v>0.1</v>
      </c>
    </row>
    <row r="15" spans="2:25" s="1" customFormat="1" x14ac:dyDescent="0.25">
      <c r="B15" s="1" t="s">
        <v>2</v>
      </c>
      <c r="D15" s="1">
        <f>+D13-D14</f>
        <v>37085</v>
      </c>
      <c r="E15" s="1">
        <f t="shared" ref="E15:P15" si="6">+E13-E14</f>
        <v>71049</v>
      </c>
      <c r="F15" s="1">
        <f t="shared" si="6"/>
        <v>137099</v>
      </c>
      <c r="G15" s="1">
        <f t="shared" si="6"/>
        <v>196226</v>
      </c>
      <c r="H15" s="1">
        <f t="shared" si="6"/>
        <v>260000.19400786876</v>
      </c>
      <c r="I15" s="1">
        <f t="shared" si="6"/>
        <v>335000.16749999998</v>
      </c>
      <c r="J15" s="1">
        <f t="shared" si="6"/>
        <v>408000.10880000005</v>
      </c>
      <c r="K15" s="1">
        <f t="shared" si="6"/>
        <v>538201.54655172408</v>
      </c>
      <c r="L15" s="1">
        <f t="shared" si="6"/>
        <v>700000.62222222215</v>
      </c>
      <c r="M15" s="1">
        <f t="shared" si="6"/>
        <v>840000.34522727272</v>
      </c>
      <c r="N15" s="1">
        <f t="shared" si="6"/>
        <v>1015000.4902564101</v>
      </c>
      <c r="O15" s="1">
        <f t="shared" si="6"/>
        <v>1190000.3482786885</v>
      </c>
      <c r="P15" s="1">
        <f t="shared" si="6"/>
        <v>1365000.2824074072</v>
      </c>
      <c r="Q15" s="1">
        <f>+Q13-Q14</f>
        <v>1540000.2677419353</v>
      </c>
      <c r="R15" s="1">
        <f>+R13-R14</f>
        <v>1645000.1189542483</v>
      </c>
      <c r="S15" s="1">
        <f t="shared" ref="S15:V15" si="7">+S13-S14</f>
        <v>1750000.1088888887</v>
      </c>
      <c r="T15" s="1">
        <f t="shared" si="7"/>
        <v>1855000.1004784687</v>
      </c>
      <c r="U15" s="1">
        <f t="shared" si="7"/>
        <v>1925000.0758333332</v>
      </c>
      <c r="V15" s="1">
        <f t="shared" si="7"/>
        <v>1995000.0709193246</v>
      </c>
      <c r="X15" s="4" t="s">
        <v>36</v>
      </c>
      <c r="Y15" s="4">
        <v>0.03</v>
      </c>
    </row>
    <row r="16" spans="2:25" s="1" customFormat="1" x14ac:dyDescent="0.25">
      <c r="B16" s="1" t="s">
        <v>3</v>
      </c>
      <c r="D16" s="1">
        <v>28981</v>
      </c>
      <c r="E16" s="1">
        <v>48446</v>
      </c>
      <c r="F16" s="1">
        <v>62298</v>
      </c>
      <c r="G16" s="1">
        <v>71277</v>
      </c>
      <c r="H16" s="1">
        <f>+G16*(1+H30*0.8)</f>
        <v>88296.500000145286</v>
      </c>
      <c r="I16" s="1">
        <f t="shared" ref="I16:V16" si="8">+H16*(1+I30*0.8)</f>
        <v>105955.77826299524</v>
      </c>
      <c r="J16" s="1">
        <f t="shared" si="8"/>
        <v>122908.67905099201</v>
      </c>
      <c r="K16" s="1">
        <f t="shared" si="8"/>
        <v>152407.09524976127</v>
      </c>
      <c r="L16" s="1">
        <f t="shared" si="8"/>
        <v>186796.07830347112</v>
      </c>
      <c r="M16" s="1">
        <f t="shared" si="8"/>
        <v>216683.36513232614</v>
      </c>
      <c r="N16" s="1">
        <f t="shared" si="8"/>
        <v>252797.27440773151</v>
      </c>
      <c r="O16" s="1">
        <f t="shared" si="8"/>
        <v>287665.81885038188</v>
      </c>
      <c r="P16" s="1">
        <f t="shared" si="8"/>
        <v>321508.83371854981</v>
      </c>
      <c r="Q16" s="1">
        <f t="shared" si="8"/>
        <v>354484.08912959561</v>
      </c>
      <c r="R16" s="1">
        <f t="shared" si="8"/>
        <v>373819.55413977552</v>
      </c>
      <c r="S16" s="1">
        <f t="shared" si="8"/>
        <v>392908.20901330857</v>
      </c>
      <c r="T16" s="1">
        <f t="shared" si="8"/>
        <v>411767.80036182253</v>
      </c>
      <c r="U16" s="1">
        <f t="shared" si="8"/>
        <v>424198.52136062772</v>
      </c>
      <c r="V16" s="1">
        <f t="shared" si="8"/>
        <v>436538.84062960197</v>
      </c>
      <c r="X16" s="4" t="s">
        <v>37</v>
      </c>
      <c r="Y16" s="1">
        <f>NPV(Y14,G24:FB24)</f>
        <v>2428222.2058017123</v>
      </c>
    </row>
    <row r="17" spans="2:148" s="1" customFormat="1" x14ac:dyDescent="0.25">
      <c r="B17" s="1" t="s">
        <v>4</v>
      </c>
      <c r="D17" s="1">
        <v>88828</v>
      </c>
      <c r="E17" s="1">
        <v>131773</v>
      </c>
      <c r="F17" s="1">
        <v>171415</v>
      </c>
      <c r="G17" s="1">
        <v>228808</v>
      </c>
      <c r="H17" s="1">
        <f>+G17*(1+H30*0.6)</f>
        <v>269784.02756885014</v>
      </c>
      <c r="I17" s="1">
        <f t="shared" ref="I17:V17" si="9">+H17*(1+I30*0.6)</f>
        <v>310251.58189180918</v>
      </c>
      <c r="J17" s="1">
        <f t="shared" si="9"/>
        <v>347481.71959658654</v>
      </c>
      <c r="K17" s="1">
        <f t="shared" si="9"/>
        <v>410029.13568592299</v>
      </c>
      <c r="L17" s="1">
        <f t="shared" si="9"/>
        <v>479418.05574664724</v>
      </c>
      <c r="M17" s="1">
        <f t="shared" si="9"/>
        <v>536948.05747299688</v>
      </c>
      <c r="N17" s="1">
        <f t="shared" si="9"/>
        <v>604066.592696073</v>
      </c>
      <c r="O17" s="1">
        <f t="shared" si="9"/>
        <v>666556.15933526307</v>
      </c>
      <c r="P17" s="1">
        <f t="shared" si="9"/>
        <v>725369.89874911658</v>
      </c>
      <c r="Q17" s="1">
        <f t="shared" si="9"/>
        <v>781167.56704819889</v>
      </c>
      <c r="R17" s="1">
        <f t="shared" si="9"/>
        <v>813124.37122416683</v>
      </c>
      <c r="S17" s="1">
        <f t="shared" si="9"/>
        <v>844265.29935312935</v>
      </c>
      <c r="T17" s="1">
        <f t="shared" si="9"/>
        <v>874658.84580418759</v>
      </c>
      <c r="U17" s="1">
        <f t="shared" si="9"/>
        <v>894462.43426795583</v>
      </c>
      <c r="V17" s="1">
        <f t="shared" si="9"/>
        <v>913977.97614955984</v>
      </c>
      <c r="X17" s="1" t="s">
        <v>38</v>
      </c>
      <c r="Y17" s="1">
        <f>+G39-G41</f>
        <v>234888</v>
      </c>
    </row>
    <row r="18" spans="2:148" s="1" customFormat="1" x14ac:dyDescent="0.25">
      <c r="B18" s="1" t="s">
        <v>53</v>
      </c>
      <c r="D18" s="1">
        <f>+SUM(D16:D17)</f>
        <v>117809</v>
      </c>
      <c r="E18" s="1">
        <f>+SUM(E16:E17)</f>
        <v>180219</v>
      </c>
      <c r="F18" s="1">
        <f>+SUM(F16:F17)</f>
        <v>233713</v>
      </c>
      <c r="G18" s="1">
        <f>+SUM(G16:G17)</f>
        <v>300085</v>
      </c>
      <c r="H18" s="1">
        <f>+SUM(H16:H17)</f>
        <v>358080.52756899543</v>
      </c>
      <c r="I18" s="1">
        <f t="shared" ref="I18:V18" si="10">+SUM(I16:I17)</f>
        <v>416207.36015480442</v>
      </c>
      <c r="J18" s="1">
        <f t="shared" si="10"/>
        <v>470390.39864757855</v>
      </c>
      <c r="K18" s="1">
        <f t="shared" si="10"/>
        <v>562436.23093568429</v>
      </c>
      <c r="L18" s="1">
        <f t="shared" si="10"/>
        <v>666214.13405011839</v>
      </c>
      <c r="M18" s="1">
        <f t="shared" si="10"/>
        <v>753631.42260532302</v>
      </c>
      <c r="N18" s="1">
        <f t="shared" si="10"/>
        <v>856863.86710380448</v>
      </c>
      <c r="O18" s="1">
        <f t="shared" si="10"/>
        <v>954221.97818564496</v>
      </c>
      <c r="P18" s="1">
        <f t="shared" si="10"/>
        <v>1046878.7324676664</v>
      </c>
      <c r="Q18" s="1">
        <f t="shared" si="10"/>
        <v>1135651.6561777946</v>
      </c>
      <c r="R18" s="1">
        <f t="shared" si="10"/>
        <v>1186943.9253639423</v>
      </c>
      <c r="S18" s="1">
        <f t="shared" si="10"/>
        <v>1237173.5083664379</v>
      </c>
      <c r="T18" s="1">
        <f t="shared" si="10"/>
        <v>1286426.6461660101</v>
      </c>
      <c r="U18" s="1">
        <f t="shared" si="10"/>
        <v>1318660.9556285837</v>
      </c>
      <c r="V18" s="1">
        <f t="shared" si="10"/>
        <v>1350516.8167791618</v>
      </c>
      <c r="X18" s="1" t="s">
        <v>39</v>
      </c>
      <c r="Y18" s="1">
        <f>+Y16+Y17</f>
        <v>2663110.2058017123</v>
      </c>
    </row>
    <row r="19" spans="2:148" s="2" customFormat="1" x14ac:dyDescent="0.25">
      <c r="B19" s="2" t="s">
        <v>5</v>
      </c>
      <c r="D19" s="2">
        <f>+D15-D16-D17</f>
        <v>-80724</v>
      </c>
      <c r="E19" s="2">
        <f t="shared" ref="E19:V19" si="11">+E15-E16-E17</f>
        <v>-109170</v>
      </c>
      <c r="F19" s="2">
        <f t="shared" si="11"/>
        <v>-96614</v>
      </c>
      <c r="G19" s="2">
        <f t="shared" si="11"/>
        <v>-103859</v>
      </c>
      <c r="H19" s="2">
        <f t="shared" si="11"/>
        <v>-98080.333561126667</v>
      </c>
      <c r="I19" s="2">
        <f t="shared" si="11"/>
        <v>-81207.192654804443</v>
      </c>
      <c r="J19" s="2">
        <f t="shared" si="11"/>
        <v>-62390.289847578504</v>
      </c>
      <c r="K19" s="2">
        <f t="shared" si="11"/>
        <v>-24234.68438396015</v>
      </c>
      <c r="L19" s="2">
        <f t="shared" si="11"/>
        <v>33786.488172103825</v>
      </c>
      <c r="M19" s="2">
        <f t="shared" si="11"/>
        <v>86368.922621949692</v>
      </c>
      <c r="N19" s="2">
        <f t="shared" si="11"/>
        <v>158136.62315260561</v>
      </c>
      <c r="O19" s="2">
        <f t="shared" si="11"/>
        <v>235778.37009304354</v>
      </c>
      <c r="P19" s="2">
        <f t="shared" si="11"/>
        <v>318121.5499397408</v>
      </c>
      <c r="Q19" s="2">
        <f t="shared" si="11"/>
        <v>404348.61156414088</v>
      </c>
      <c r="R19" s="2">
        <f t="shared" si="11"/>
        <v>458056.19359030598</v>
      </c>
      <c r="S19" s="2">
        <f t="shared" si="11"/>
        <v>512826.60052245075</v>
      </c>
      <c r="T19" s="2">
        <f t="shared" si="11"/>
        <v>568573.45431245852</v>
      </c>
      <c r="U19" s="2">
        <f t="shared" si="11"/>
        <v>606339.12020474952</v>
      </c>
      <c r="V19" s="2">
        <f t="shared" si="11"/>
        <v>644483.25414016296</v>
      </c>
      <c r="X19" s="1" t="s">
        <v>40</v>
      </c>
      <c r="Y19" s="1">
        <f>+Y18/Q26</f>
        <v>47.658866364748626</v>
      </c>
    </row>
    <row r="20" spans="2:148" s="1" customFormat="1" x14ac:dyDescent="0.25">
      <c r="B20" s="1" t="s">
        <v>6</v>
      </c>
      <c r="D20" s="1">
        <v>5183</v>
      </c>
      <c r="E20" s="1">
        <v>3995</v>
      </c>
      <c r="F20" s="1">
        <v>4184</v>
      </c>
      <c r="G20" s="1">
        <v>3586</v>
      </c>
      <c r="H20" s="1">
        <v>3500</v>
      </c>
      <c r="I20" s="1">
        <v>3500</v>
      </c>
      <c r="J20" s="1">
        <v>3500</v>
      </c>
      <c r="K20" s="1">
        <v>3500</v>
      </c>
      <c r="L20" s="1">
        <v>3500</v>
      </c>
      <c r="M20" s="1">
        <v>3500</v>
      </c>
      <c r="N20" s="1">
        <v>3500</v>
      </c>
      <c r="O20" s="1">
        <v>3500</v>
      </c>
      <c r="P20" s="1">
        <v>3500</v>
      </c>
      <c r="Q20" s="1">
        <v>3500</v>
      </c>
      <c r="R20" s="1">
        <v>3500</v>
      </c>
      <c r="S20" s="1">
        <v>3500</v>
      </c>
      <c r="T20" s="1">
        <v>3500</v>
      </c>
      <c r="U20" s="1">
        <v>3500</v>
      </c>
      <c r="V20" s="1">
        <v>3500</v>
      </c>
    </row>
    <row r="21" spans="2:148" s="1" customFormat="1" x14ac:dyDescent="0.25">
      <c r="B21" s="1" t="s">
        <v>7</v>
      </c>
      <c r="D21" s="1">
        <v>2011</v>
      </c>
      <c r="E21" s="1">
        <v>7268</v>
      </c>
      <c r="F21" s="1">
        <v>9385</v>
      </c>
      <c r="G21" s="1">
        <v>12063</v>
      </c>
      <c r="H21" s="1">
        <v>10000</v>
      </c>
      <c r="I21" s="1">
        <v>10000</v>
      </c>
      <c r="J21" s="1">
        <v>10000</v>
      </c>
      <c r="K21" s="1">
        <v>10000</v>
      </c>
      <c r="L21" s="1">
        <v>10000</v>
      </c>
      <c r="M21" s="1">
        <v>10000</v>
      </c>
      <c r="N21" s="1">
        <v>10000</v>
      </c>
      <c r="O21" s="1">
        <v>10000</v>
      </c>
      <c r="P21" s="1">
        <v>10000</v>
      </c>
      <c r="Q21" s="1">
        <v>10000</v>
      </c>
      <c r="R21" s="1">
        <v>10000</v>
      </c>
      <c r="S21" s="1">
        <v>10000</v>
      </c>
      <c r="T21" s="1">
        <v>10000</v>
      </c>
      <c r="U21" s="1">
        <v>10000</v>
      </c>
      <c r="V21" s="1">
        <v>10000</v>
      </c>
    </row>
    <row r="22" spans="2:148" s="1" customFormat="1" x14ac:dyDescent="0.25">
      <c r="B22" s="1" t="s">
        <v>8</v>
      </c>
      <c r="D22" s="1">
        <f>+D19-D20+D21</f>
        <v>-83896</v>
      </c>
      <c r="E22" s="1">
        <f t="shared" ref="E22:V22" si="12">+E19-E20+E21</f>
        <v>-105897</v>
      </c>
      <c r="F22" s="1">
        <f t="shared" si="12"/>
        <v>-91413</v>
      </c>
      <c r="G22" s="1">
        <f t="shared" si="12"/>
        <v>-95382</v>
      </c>
      <c r="H22" s="1">
        <f t="shared" si="12"/>
        <v>-91580.333561126667</v>
      </c>
      <c r="I22" s="1">
        <f t="shared" si="12"/>
        <v>-74707.192654804443</v>
      </c>
      <c r="J22" s="1">
        <f t="shared" si="12"/>
        <v>-55890.289847578504</v>
      </c>
      <c r="K22" s="1">
        <f t="shared" si="12"/>
        <v>-17734.68438396015</v>
      </c>
      <c r="L22" s="1">
        <f t="shared" si="12"/>
        <v>40286.488172103825</v>
      </c>
      <c r="M22" s="1">
        <f t="shared" si="12"/>
        <v>92868.922621949692</v>
      </c>
      <c r="N22" s="1">
        <f t="shared" si="12"/>
        <v>164636.62315260561</v>
      </c>
      <c r="O22" s="1">
        <f t="shared" si="12"/>
        <v>242278.37009304354</v>
      </c>
      <c r="P22" s="1">
        <f t="shared" si="12"/>
        <v>324621.5499397408</v>
      </c>
      <c r="Q22" s="1">
        <f t="shared" si="12"/>
        <v>410848.61156414088</v>
      </c>
      <c r="R22" s="1">
        <f t="shared" si="12"/>
        <v>464556.19359030598</v>
      </c>
      <c r="S22" s="1">
        <f t="shared" si="12"/>
        <v>519326.60052245075</v>
      </c>
      <c r="T22" s="1">
        <f t="shared" si="12"/>
        <v>575073.45431245852</v>
      </c>
      <c r="U22" s="1">
        <f t="shared" si="12"/>
        <v>612839.12020474952</v>
      </c>
      <c r="V22" s="1">
        <f t="shared" si="12"/>
        <v>650983.25414016296</v>
      </c>
    </row>
    <row r="23" spans="2:148" s="1" customFormat="1" x14ac:dyDescent="0.25">
      <c r="B23" s="1" t="s">
        <v>9</v>
      </c>
      <c r="F23" s="1">
        <v>368</v>
      </c>
      <c r="G23" s="1">
        <v>190</v>
      </c>
      <c r="H23" s="1">
        <v>200</v>
      </c>
      <c r="I23" s="1">
        <v>200</v>
      </c>
      <c r="J23" s="1">
        <v>200</v>
      </c>
      <c r="K23" s="1">
        <v>200</v>
      </c>
      <c r="L23" s="1">
        <f t="shared" ref="L23:P23" si="13">+L50</f>
        <v>1692.0325032283604</v>
      </c>
      <c r="M23" s="1">
        <f t="shared" si="13"/>
        <v>3900.4947501218862</v>
      </c>
      <c r="N23" s="1">
        <f t="shared" si="13"/>
        <v>6914.7381724094348</v>
      </c>
      <c r="O23" s="1">
        <f t="shared" si="13"/>
        <v>10175.691543907826</v>
      </c>
      <c r="P23" s="1">
        <f t="shared" si="13"/>
        <v>29437.248272046971</v>
      </c>
      <c r="Q23" s="1">
        <f t="shared" ref="Q23:V23" si="14">+Q22*0.21</f>
        <v>86278.208428469588</v>
      </c>
      <c r="R23" s="1">
        <f t="shared" si="14"/>
        <v>97556.800653964252</v>
      </c>
      <c r="S23" s="1">
        <f t="shared" si="14"/>
        <v>109058.58610971466</v>
      </c>
      <c r="T23" s="1">
        <f t="shared" si="14"/>
        <v>120765.42540561629</v>
      </c>
      <c r="U23" s="1">
        <f t="shared" si="14"/>
        <v>128696.21524299739</v>
      </c>
      <c r="V23" s="1">
        <f t="shared" si="14"/>
        <v>136706.48336943422</v>
      </c>
    </row>
    <row r="24" spans="2:148" s="1" customFormat="1" x14ac:dyDescent="0.25">
      <c r="B24" s="1" t="s">
        <v>10</v>
      </c>
      <c r="D24" s="1">
        <f>+D22-D23</f>
        <v>-83896</v>
      </c>
      <c r="E24" s="1">
        <f t="shared" ref="E24:V24" si="15">+E22-E23</f>
        <v>-105897</v>
      </c>
      <c r="F24" s="1">
        <f t="shared" si="15"/>
        <v>-91781</v>
      </c>
      <c r="G24" s="1">
        <f t="shared" si="15"/>
        <v>-95572</v>
      </c>
      <c r="H24" s="1">
        <f t="shared" si="15"/>
        <v>-91780.333561126667</v>
      </c>
      <c r="I24" s="1">
        <f t="shared" si="15"/>
        <v>-74907.192654804443</v>
      </c>
      <c r="J24" s="1">
        <f t="shared" si="15"/>
        <v>-56090.289847578504</v>
      </c>
      <c r="K24" s="1">
        <f t="shared" si="15"/>
        <v>-17934.68438396015</v>
      </c>
      <c r="L24" s="1">
        <f t="shared" si="15"/>
        <v>38594.455668875467</v>
      </c>
      <c r="M24" s="1">
        <f t="shared" si="15"/>
        <v>88968.427871827807</v>
      </c>
      <c r="N24" s="1">
        <f t="shared" si="15"/>
        <v>157721.88498019616</v>
      </c>
      <c r="O24" s="1">
        <f t="shared" si="15"/>
        <v>232102.67854913572</v>
      </c>
      <c r="P24" s="1">
        <f t="shared" si="15"/>
        <v>295184.30166769383</v>
      </c>
      <c r="Q24" s="1">
        <f t="shared" si="15"/>
        <v>324570.40313567128</v>
      </c>
      <c r="R24" s="1">
        <f t="shared" si="15"/>
        <v>366999.3929363417</v>
      </c>
      <c r="S24" s="1">
        <f t="shared" si="15"/>
        <v>410268.01441273611</v>
      </c>
      <c r="T24" s="1">
        <f t="shared" si="15"/>
        <v>454308.02890684223</v>
      </c>
      <c r="U24" s="1">
        <f t="shared" si="15"/>
        <v>484142.90496175212</v>
      </c>
      <c r="V24" s="1">
        <f t="shared" si="15"/>
        <v>514276.7707707287</v>
      </c>
      <c r="W24" s="1">
        <f t="shared" ref="W24:BB24" si="16">+V24*(1+$Y15)</f>
        <v>529705.07389385055</v>
      </c>
      <c r="X24" s="1">
        <f t="shared" si="16"/>
        <v>545596.22611066606</v>
      </c>
      <c r="Y24" s="1">
        <f t="shared" si="16"/>
        <v>561964.11289398605</v>
      </c>
      <c r="Z24" s="1">
        <f t="shared" si="16"/>
        <v>578823.03628080559</v>
      </c>
      <c r="AA24" s="1">
        <f t="shared" si="16"/>
        <v>596187.72736922977</v>
      </c>
      <c r="AB24" s="1">
        <f t="shared" si="16"/>
        <v>614073.35919030663</v>
      </c>
      <c r="AC24" s="1">
        <f t="shared" si="16"/>
        <v>632495.55996601586</v>
      </c>
      <c r="AD24" s="1">
        <f t="shared" si="16"/>
        <v>651470.42676499637</v>
      </c>
      <c r="AE24" s="1">
        <f t="shared" si="16"/>
        <v>671014.53956794622</v>
      </c>
      <c r="AF24" s="1">
        <f t="shared" si="16"/>
        <v>691144.97575498465</v>
      </c>
      <c r="AG24" s="1">
        <f t="shared" si="16"/>
        <v>711879.32502763416</v>
      </c>
      <c r="AH24" s="1">
        <f t="shared" si="16"/>
        <v>733235.70477846323</v>
      </c>
      <c r="AI24" s="1">
        <f t="shared" si="16"/>
        <v>755232.77592181717</v>
      </c>
      <c r="AJ24" s="1">
        <f t="shared" si="16"/>
        <v>777889.75919947168</v>
      </c>
      <c r="AK24" s="1">
        <f t="shared" si="16"/>
        <v>801226.45197545586</v>
      </c>
      <c r="AL24" s="1">
        <f t="shared" si="16"/>
        <v>825263.24553471955</v>
      </c>
      <c r="AM24" s="1">
        <f t="shared" si="16"/>
        <v>850021.1429007611</v>
      </c>
      <c r="AN24" s="1">
        <f t="shared" si="16"/>
        <v>875521.77718778397</v>
      </c>
      <c r="AO24" s="1">
        <f t="shared" si="16"/>
        <v>901787.4305034175</v>
      </c>
      <c r="AP24" s="1">
        <f t="shared" si="16"/>
        <v>928841.05341852002</v>
      </c>
      <c r="AQ24" s="1">
        <f t="shared" si="16"/>
        <v>956706.28502107563</v>
      </c>
      <c r="AR24" s="1">
        <f t="shared" si="16"/>
        <v>985407.47357170796</v>
      </c>
      <c r="AS24" s="1">
        <f t="shared" si="16"/>
        <v>1014969.6977788592</v>
      </c>
      <c r="AT24" s="1">
        <f t="shared" si="16"/>
        <v>1045418.7887122249</v>
      </c>
      <c r="AU24" s="1">
        <f t="shared" si="16"/>
        <v>1076781.3523735916</v>
      </c>
      <c r="AV24" s="1">
        <f t="shared" si="16"/>
        <v>1109084.7929447994</v>
      </c>
      <c r="AW24" s="1">
        <f t="shared" si="16"/>
        <v>1142357.3367331433</v>
      </c>
      <c r="AX24" s="1">
        <f t="shared" si="16"/>
        <v>1176628.0568351375</v>
      </c>
      <c r="AY24" s="1">
        <f t="shared" si="16"/>
        <v>1211926.8985401916</v>
      </c>
      <c r="AZ24" s="1">
        <f t="shared" si="16"/>
        <v>1248284.7054963973</v>
      </c>
      <c r="BA24" s="1">
        <f t="shared" si="16"/>
        <v>1285733.2466612894</v>
      </c>
      <c r="BB24" s="1">
        <f t="shared" si="16"/>
        <v>1324305.244061128</v>
      </c>
      <c r="BC24" s="1">
        <f t="shared" ref="BC24:CH24" si="17">+BB24*(1+$Y15)</f>
        <v>1364034.4013829618</v>
      </c>
      <c r="BD24" s="1">
        <f t="shared" si="17"/>
        <v>1404955.4334244507</v>
      </c>
      <c r="BE24" s="1">
        <f t="shared" si="17"/>
        <v>1447104.0964271843</v>
      </c>
      <c r="BF24" s="1">
        <f t="shared" si="17"/>
        <v>1490517.2193199999</v>
      </c>
      <c r="BG24" s="1">
        <f t="shared" si="17"/>
        <v>1535232.7358996</v>
      </c>
      <c r="BH24" s="1">
        <f t="shared" si="17"/>
        <v>1581289.7179765881</v>
      </c>
      <c r="BI24" s="1">
        <f t="shared" si="17"/>
        <v>1628728.4095158856</v>
      </c>
      <c r="BJ24" s="1">
        <f t="shared" si="17"/>
        <v>1677590.2618013623</v>
      </c>
      <c r="BK24" s="1">
        <f t="shared" si="17"/>
        <v>1727917.9696554032</v>
      </c>
      <c r="BL24" s="1">
        <f t="shared" si="17"/>
        <v>1779755.5087450654</v>
      </c>
      <c r="BM24" s="1">
        <f t="shared" si="17"/>
        <v>1833148.1740074174</v>
      </c>
      <c r="BN24" s="1">
        <f t="shared" si="17"/>
        <v>1888142.6192276399</v>
      </c>
      <c r="BO24" s="1">
        <f t="shared" si="17"/>
        <v>1944786.8978044691</v>
      </c>
      <c r="BP24" s="1">
        <f t="shared" si="17"/>
        <v>2003130.5047386033</v>
      </c>
      <c r="BQ24" s="1">
        <f t="shared" si="17"/>
        <v>2063224.4198807613</v>
      </c>
      <c r="BR24" s="1">
        <f t="shared" si="17"/>
        <v>2125121.1524771843</v>
      </c>
      <c r="BS24" s="1">
        <f t="shared" si="17"/>
        <v>2188874.7870514998</v>
      </c>
      <c r="BT24" s="1">
        <f t="shared" si="17"/>
        <v>2254541.0306630447</v>
      </c>
      <c r="BU24" s="1">
        <f t="shared" si="17"/>
        <v>2322177.2615829362</v>
      </c>
      <c r="BV24" s="1">
        <f t="shared" si="17"/>
        <v>2391842.5794304241</v>
      </c>
      <c r="BW24" s="1">
        <f t="shared" si="17"/>
        <v>2463597.8568133367</v>
      </c>
      <c r="BX24" s="1">
        <f t="shared" si="17"/>
        <v>2537505.792517737</v>
      </c>
      <c r="BY24" s="1">
        <f t="shared" si="17"/>
        <v>2613630.9662932693</v>
      </c>
      <c r="BZ24" s="1">
        <f t="shared" si="17"/>
        <v>2692039.8952820674</v>
      </c>
      <c r="CA24" s="1">
        <f t="shared" si="17"/>
        <v>2772801.0921405293</v>
      </c>
      <c r="CB24" s="1">
        <f t="shared" si="17"/>
        <v>2855985.1249047453</v>
      </c>
      <c r="CC24" s="1">
        <f t="shared" si="17"/>
        <v>2941664.6786518879</v>
      </c>
      <c r="CD24" s="1">
        <f t="shared" si="17"/>
        <v>3029914.6190114445</v>
      </c>
      <c r="CE24" s="1">
        <f t="shared" si="17"/>
        <v>3120812.0575817879</v>
      </c>
      <c r="CF24" s="1">
        <f t="shared" si="17"/>
        <v>3214436.4193092417</v>
      </c>
      <c r="CG24" s="1">
        <f t="shared" si="17"/>
        <v>3310869.5118885189</v>
      </c>
      <c r="CH24" s="1">
        <f t="shared" si="17"/>
        <v>3410195.5972451745</v>
      </c>
      <c r="CI24" s="1">
        <f t="shared" ref="CI24:DN24" si="18">+CH24*(1+$Y15)</f>
        <v>3512501.4651625296</v>
      </c>
      <c r="CJ24" s="1">
        <f t="shared" si="18"/>
        <v>3617876.5091174054</v>
      </c>
      <c r="CK24" s="1">
        <f t="shared" si="18"/>
        <v>3726412.8043909278</v>
      </c>
      <c r="CL24" s="1">
        <f t="shared" si="18"/>
        <v>3838205.1885226555</v>
      </c>
      <c r="CM24" s="1">
        <f t="shared" si="18"/>
        <v>3953351.3441783353</v>
      </c>
      <c r="CN24" s="1">
        <f t="shared" si="18"/>
        <v>4071951.8845036854</v>
      </c>
      <c r="CO24" s="1">
        <f t="shared" si="18"/>
        <v>4194110.4410387962</v>
      </c>
      <c r="CP24" s="1">
        <f t="shared" si="18"/>
        <v>4319933.7542699603</v>
      </c>
      <c r="CQ24" s="1">
        <f t="shared" si="18"/>
        <v>4449531.7668980593</v>
      </c>
      <c r="CR24" s="1">
        <f t="shared" si="18"/>
        <v>4583017.7199050011</v>
      </c>
      <c r="CS24" s="1">
        <f t="shared" si="18"/>
        <v>4720508.2515021516</v>
      </c>
      <c r="CT24" s="1">
        <f t="shared" si="18"/>
        <v>4862123.499047216</v>
      </c>
      <c r="CU24" s="1">
        <f t="shared" si="18"/>
        <v>5007987.2040186329</v>
      </c>
      <c r="CV24" s="1">
        <f t="shared" si="18"/>
        <v>5158226.820139192</v>
      </c>
      <c r="CW24" s="1">
        <f t="shared" si="18"/>
        <v>5312973.6247433675</v>
      </c>
      <c r="CX24" s="1">
        <f t="shared" si="18"/>
        <v>5472362.8334856685</v>
      </c>
      <c r="CY24" s="1">
        <f t="shared" si="18"/>
        <v>5636533.7184902383</v>
      </c>
      <c r="CZ24" s="1">
        <f t="shared" si="18"/>
        <v>5805629.7300449451</v>
      </c>
      <c r="DA24" s="1">
        <f t="shared" si="18"/>
        <v>5979798.6219462939</v>
      </c>
      <c r="DB24" s="1">
        <f t="shared" si="18"/>
        <v>6159192.5806046827</v>
      </c>
      <c r="DC24" s="1">
        <f t="shared" si="18"/>
        <v>6343968.358022823</v>
      </c>
      <c r="DD24" s="1">
        <f t="shared" si="18"/>
        <v>6534287.4087635083</v>
      </c>
      <c r="DE24" s="1">
        <f t="shared" si="18"/>
        <v>6730316.0310264137</v>
      </c>
      <c r="DF24" s="1">
        <f t="shared" si="18"/>
        <v>6932225.5119572058</v>
      </c>
      <c r="DG24" s="1">
        <f t="shared" si="18"/>
        <v>7140192.2773159221</v>
      </c>
      <c r="DH24" s="1">
        <f t="shared" si="18"/>
        <v>7354398.0456354003</v>
      </c>
      <c r="DI24" s="1">
        <f t="shared" si="18"/>
        <v>7575029.9870044626</v>
      </c>
      <c r="DJ24" s="1">
        <f t="shared" si="18"/>
        <v>7802280.8866145965</v>
      </c>
      <c r="DK24" s="1">
        <f t="shared" si="18"/>
        <v>8036349.3132130345</v>
      </c>
      <c r="DL24" s="1">
        <f t="shared" si="18"/>
        <v>8277439.7926094262</v>
      </c>
      <c r="DM24" s="1">
        <f t="shared" si="18"/>
        <v>8525762.9863877092</v>
      </c>
      <c r="DN24" s="1">
        <f t="shared" si="18"/>
        <v>8781535.8759793416</v>
      </c>
      <c r="DO24" s="1">
        <f t="shared" ref="DO24:ER24" si="19">+DN24*(1+$Y15)</f>
        <v>9044981.9522587229</v>
      </c>
      <c r="DP24" s="1">
        <f t="shared" si="19"/>
        <v>9316331.4108264856</v>
      </c>
      <c r="DQ24" s="1">
        <f t="shared" si="19"/>
        <v>9595821.3531512804</v>
      </c>
      <c r="DR24" s="1">
        <f t="shared" si="19"/>
        <v>9883695.9937458187</v>
      </c>
      <c r="DS24" s="1">
        <f t="shared" si="19"/>
        <v>10180206.873558193</v>
      </c>
      <c r="DT24" s="1">
        <f t="shared" si="19"/>
        <v>10485613.07976494</v>
      </c>
      <c r="DU24" s="1">
        <f t="shared" si="19"/>
        <v>10800181.472157888</v>
      </c>
      <c r="DV24" s="1">
        <f t="shared" si="19"/>
        <v>11124186.916322624</v>
      </c>
      <c r="DW24" s="1">
        <f t="shared" si="19"/>
        <v>11457912.523812303</v>
      </c>
      <c r="DX24" s="1">
        <f t="shared" si="19"/>
        <v>11801649.899526672</v>
      </c>
      <c r="DY24" s="1">
        <f t="shared" si="19"/>
        <v>12155699.396512473</v>
      </c>
      <c r="DZ24" s="1">
        <f t="shared" si="19"/>
        <v>12520370.378407847</v>
      </c>
      <c r="EA24" s="1">
        <f t="shared" si="19"/>
        <v>12895981.489760082</v>
      </c>
      <c r="EB24" s="1">
        <f t="shared" si="19"/>
        <v>13282860.934452886</v>
      </c>
      <c r="EC24" s="1">
        <f t="shared" si="19"/>
        <v>13681346.762486473</v>
      </c>
      <c r="ED24" s="1">
        <f t="shared" si="19"/>
        <v>14091787.165361067</v>
      </c>
      <c r="EE24" s="1">
        <f t="shared" si="19"/>
        <v>14514540.7803219</v>
      </c>
      <c r="EF24" s="1">
        <f t="shared" si="19"/>
        <v>14949977.003731558</v>
      </c>
      <c r="EG24" s="1">
        <f t="shared" si="19"/>
        <v>15398476.313843505</v>
      </c>
      <c r="EH24" s="1">
        <f t="shared" si="19"/>
        <v>15860430.603258811</v>
      </c>
      <c r="EI24" s="1">
        <f t="shared" si="19"/>
        <v>16336243.521356575</v>
      </c>
      <c r="EJ24" s="1">
        <f t="shared" si="19"/>
        <v>16826330.826997273</v>
      </c>
      <c r="EK24" s="1">
        <f t="shared" si="19"/>
        <v>17331120.75180719</v>
      </c>
      <c r="EL24" s="1">
        <f t="shared" si="19"/>
        <v>17851054.374361407</v>
      </c>
      <c r="EM24" s="1">
        <f t="shared" si="19"/>
        <v>18386586.005592249</v>
      </c>
      <c r="EN24" s="1">
        <f t="shared" si="19"/>
        <v>18938183.585760016</v>
      </c>
      <c r="EO24" s="1">
        <f t="shared" si="19"/>
        <v>19506329.093332816</v>
      </c>
      <c r="EP24" s="1">
        <f t="shared" si="19"/>
        <v>20091518.966132801</v>
      </c>
      <c r="EQ24" s="1">
        <f t="shared" si="19"/>
        <v>20694264.535116784</v>
      </c>
      <c r="ER24" s="1">
        <f t="shared" si="19"/>
        <v>21315092.471170288</v>
      </c>
    </row>
    <row r="25" spans="2:148" s="3" customFormat="1" x14ac:dyDescent="0.25">
      <c r="B25" s="3" t="s">
        <v>12</v>
      </c>
      <c r="D25" s="3">
        <f>+D24/D26</f>
        <v>-1.8895495495495496</v>
      </c>
      <c r="E25" s="3">
        <f>+E24/E26</f>
        <v>-2.2409692096074489</v>
      </c>
      <c r="F25" s="3">
        <f>+F24/F26</f>
        <v>-1.7607865707434052</v>
      </c>
      <c r="G25" s="3">
        <f>+G24/G26</f>
        <v>-1.7103509897145042</v>
      </c>
      <c r="H25" s="3">
        <f t="shared" ref="H25:V25" si="20">+H24/H26</f>
        <v>-1.642495546212283</v>
      </c>
      <c r="I25" s="3">
        <f t="shared" si="20"/>
        <v>-1.3405347915067154</v>
      </c>
      <c r="J25" s="3">
        <f t="shared" si="20"/>
        <v>-1.0037885861358902</v>
      </c>
      <c r="K25" s="3">
        <f t="shared" si="20"/>
        <v>-0.32095807544389049</v>
      </c>
      <c r="L25" s="3">
        <f t="shared" si="20"/>
        <v>0.69068414860789462</v>
      </c>
      <c r="M25" s="3">
        <f t="shared" si="20"/>
        <v>1.5921738444724831</v>
      </c>
      <c r="N25" s="3">
        <f t="shared" si="20"/>
        <v>2.8225817402117324</v>
      </c>
      <c r="O25" s="3">
        <f t="shared" si="20"/>
        <v>4.1536961240938943</v>
      </c>
      <c r="P25" s="3">
        <f t="shared" si="20"/>
        <v>5.2826012064780992</v>
      </c>
      <c r="Q25" s="3">
        <f t="shared" si="20"/>
        <v>5.8084931803784681</v>
      </c>
      <c r="R25" s="3">
        <f t="shared" si="20"/>
        <v>6.5677999302441528</v>
      </c>
      <c r="S25" s="3">
        <f t="shared" si="20"/>
        <v>7.3421326800634876</v>
      </c>
      <c r="T25" s="3">
        <f t="shared" si="20"/>
        <v>8.1302702347556099</v>
      </c>
      <c r="U25" s="3">
        <f t="shared" si="20"/>
        <v>8.6641934527328903</v>
      </c>
      <c r="V25" s="3">
        <f t="shared" si="20"/>
        <v>9.2034673740728969</v>
      </c>
    </row>
    <row r="26" spans="2:148" s="1" customFormat="1" x14ac:dyDescent="0.25">
      <c r="B26" s="1" t="s">
        <v>11</v>
      </c>
      <c r="D26" s="1">
        <v>44400</v>
      </c>
      <c r="E26" s="1">
        <v>47255</v>
      </c>
      <c r="F26" s="1">
        <v>52125</v>
      </c>
      <c r="G26" s="1">
        <v>55878.589</v>
      </c>
      <c r="H26" s="1">
        <f>+G26</f>
        <v>55878.589</v>
      </c>
      <c r="I26" s="1">
        <f t="shared" ref="I26:V26" si="21">+H26</f>
        <v>55878.589</v>
      </c>
      <c r="J26" s="1">
        <f t="shared" si="21"/>
        <v>55878.589</v>
      </c>
      <c r="K26" s="1">
        <f t="shared" si="21"/>
        <v>55878.589</v>
      </c>
      <c r="L26" s="1">
        <f t="shared" si="21"/>
        <v>55878.589</v>
      </c>
      <c r="M26" s="1">
        <f t="shared" si="21"/>
        <v>55878.589</v>
      </c>
      <c r="N26" s="1">
        <f t="shared" si="21"/>
        <v>55878.589</v>
      </c>
      <c r="O26" s="1">
        <f t="shared" si="21"/>
        <v>55878.589</v>
      </c>
      <c r="P26" s="1">
        <f t="shared" si="21"/>
        <v>55878.589</v>
      </c>
      <c r="Q26" s="1">
        <f t="shared" si="21"/>
        <v>55878.589</v>
      </c>
      <c r="R26" s="1">
        <f t="shared" si="21"/>
        <v>55878.589</v>
      </c>
      <c r="S26" s="1">
        <f t="shared" si="21"/>
        <v>55878.589</v>
      </c>
      <c r="T26" s="1">
        <f t="shared" si="21"/>
        <v>55878.589</v>
      </c>
      <c r="U26" s="1">
        <f t="shared" si="21"/>
        <v>55878.589</v>
      </c>
      <c r="V26" s="1">
        <f t="shared" si="21"/>
        <v>55878.589</v>
      </c>
    </row>
    <row r="27" spans="2:148" s="1" customFormat="1" x14ac:dyDescent="0.25">
      <c r="V27" s="1">
        <f>+V25*20</f>
        <v>184.06934748145795</v>
      </c>
    </row>
    <row r="28" spans="2:148" s="4" customFormat="1" x14ac:dyDescent="0.25">
      <c r="B28" s="4" t="s">
        <v>13</v>
      </c>
      <c r="D28" s="4">
        <f>+D15/D13</f>
        <v>0.49437438344842294</v>
      </c>
      <c r="E28" s="4">
        <f t="shared" ref="E28:G28" si="22">+E15/E13</f>
        <v>0.52168645505209599</v>
      </c>
      <c r="F28" s="4">
        <f t="shared" si="22"/>
        <v>0.61069140927758825</v>
      </c>
      <c r="G28" s="4">
        <f t="shared" si="22"/>
        <v>0.63698572328228165</v>
      </c>
      <c r="H28" s="4">
        <v>0.65</v>
      </c>
      <c r="I28" s="4">
        <v>0.67</v>
      </c>
      <c r="J28" s="4">
        <v>0.68</v>
      </c>
      <c r="K28" s="4">
        <v>0.69</v>
      </c>
      <c r="L28" s="4">
        <v>0.7</v>
      </c>
      <c r="M28" s="4">
        <v>0.7</v>
      </c>
      <c r="N28" s="4">
        <v>0.7</v>
      </c>
      <c r="O28" s="4">
        <v>0.7</v>
      </c>
      <c r="P28" s="4">
        <v>0.7</v>
      </c>
      <c r="Q28" s="4">
        <v>0.7</v>
      </c>
      <c r="R28" s="4">
        <v>0.7</v>
      </c>
      <c r="S28" s="4">
        <v>0.7</v>
      </c>
      <c r="T28" s="4">
        <v>0.7</v>
      </c>
      <c r="U28" s="4">
        <v>0.7</v>
      </c>
      <c r="V28" s="4">
        <v>0.7</v>
      </c>
    </row>
    <row r="29" spans="2:148" s="4" customFormat="1" x14ac:dyDescent="0.25">
      <c r="B29" s="4" t="s">
        <v>14</v>
      </c>
      <c r="D29" s="4">
        <f>+D19/D13</f>
        <v>-1.0761191244301065</v>
      </c>
      <c r="E29" s="4">
        <f t="shared" ref="E29:V29" si="23">+E19/E13</f>
        <v>-0.80159481904090579</v>
      </c>
      <c r="F29" s="4">
        <f t="shared" si="23"/>
        <v>-0.43035572699979507</v>
      </c>
      <c r="G29" s="4">
        <f t="shared" si="23"/>
        <v>-0.33714543554052212</v>
      </c>
      <c r="H29" s="4">
        <f t="shared" si="23"/>
        <v>-0.24520065093798701</v>
      </c>
      <c r="I29" s="4">
        <f t="shared" si="23"/>
        <v>-0.16241430410245683</v>
      </c>
      <c r="J29" s="4">
        <f t="shared" si="23"/>
        <v>-0.10398378868362051</v>
      </c>
      <c r="K29" s="4">
        <f t="shared" si="23"/>
        <v>-3.107001890290078E-2</v>
      </c>
      <c r="L29" s="4">
        <f t="shared" si="23"/>
        <v>3.3786458139696593E-2</v>
      </c>
      <c r="M29" s="4">
        <f t="shared" si="23"/>
        <v>7.1974072604704759E-2</v>
      </c>
      <c r="N29" s="4">
        <f t="shared" si="23"/>
        <v>0.10905968742819021</v>
      </c>
      <c r="O29" s="4">
        <f t="shared" si="23"/>
        <v>0.13869311828678416</v>
      </c>
      <c r="P29" s="4">
        <f t="shared" si="23"/>
        <v>0.16313922262717484</v>
      </c>
      <c r="Q29" s="4">
        <f t="shared" si="23"/>
        <v>0.18379479148397754</v>
      </c>
      <c r="R29" s="4">
        <f t="shared" si="23"/>
        <v>0.1949175150923694</v>
      </c>
      <c r="S29" s="4">
        <f t="shared" si="23"/>
        <v>0.20513062744529681</v>
      </c>
      <c r="T29" s="4">
        <f t="shared" si="23"/>
        <v>0.21455600887356427</v>
      </c>
      <c r="U29" s="4">
        <f t="shared" si="23"/>
        <v>0.22048694411587777</v>
      </c>
      <c r="V29" s="4">
        <f t="shared" si="23"/>
        <v>0.22613446709815058</v>
      </c>
    </row>
    <row r="30" spans="2:148" s="4" customFormat="1" x14ac:dyDescent="0.25">
      <c r="B30" s="4" t="s">
        <v>27</v>
      </c>
      <c r="E30" s="4">
        <f>+E13/D13 -1</f>
        <v>0.81554109899485439</v>
      </c>
      <c r="F30" s="4">
        <f t="shared" ref="F30:V30" si="24">+F13/E13 -1</f>
        <v>0.64840554809054929</v>
      </c>
      <c r="G30" s="4">
        <f t="shared" si="24"/>
        <v>0.37219039813272281</v>
      </c>
      <c r="H30" s="4">
        <f t="shared" si="24"/>
        <v>0.29847461313160761</v>
      </c>
      <c r="I30" s="4">
        <f t="shared" si="24"/>
        <v>0.24999969227009133</v>
      </c>
      <c r="J30" s="4">
        <f t="shared" si="24"/>
        <v>0.19999972000013999</v>
      </c>
      <c r="K30" s="4">
        <f t="shared" si="24"/>
        <v>0.30000338896461343</v>
      </c>
      <c r="L30" s="4">
        <f t="shared" si="24"/>
        <v>0.28204873760432503</v>
      </c>
      <c r="M30" s="4">
        <f t="shared" si="24"/>
        <v>0.19999942651566127</v>
      </c>
      <c r="N30" s="4">
        <f t="shared" si="24"/>
        <v>0.2083334203651892</v>
      </c>
      <c r="O30" s="4">
        <f t="shared" si="24"/>
        <v>0.17241356994622703</v>
      </c>
      <c r="P30" s="4">
        <f t="shared" si="24"/>
        <v>0.1470587251355453</v>
      </c>
      <c r="Q30" s="4">
        <f t="shared" si="24"/>
        <v>0.12820509093660126</v>
      </c>
      <c r="R30" s="4">
        <f t="shared" si="24"/>
        <v>6.8181709712473948E-2</v>
      </c>
      <c r="S30" s="4">
        <f t="shared" si="24"/>
        <v>6.3829776499584989E-2</v>
      </c>
      <c r="T30" s="4">
        <f t="shared" si="24"/>
        <v>5.9999991460712776E-2</v>
      </c>
      <c r="U30" s="4">
        <f t="shared" si="24"/>
        <v>3.7735833726806334E-2</v>
      </c>
      <c r="V30" s="4">
        <f t="shared" si="24"/>
        <v>3.6363632378397792E-2</v>
      </c>
    </row>
    <row r="31" spans="2:148" s="1" customFormat="1" x14ac:dyDescent="0.25"/>
    <row r="32" spans="2:148" s="1" customFormat="1" x14ac:dyDescent="0.25">
      <c r="B32" s="1" t="s">
        <v>15</v>
      </c>
      <c r="D32" s="1">
        <v>-80382</v>
      </c>
      <c r="E32" s="1">
        <v>-108003</v>
      </c>
      <c r="F32" s="1">
        <v>-99213</v>
      </c>
    </row>
    <row r="33" spans="2:22" s="1" customFormat="1" x14ac:dyDescent="0.25">
      <c r="B33" s="1" t="s">
        <v>16</v>
      </c>
      <c r="D33" s="1">
        <v>2653</v>
      </c>
      <c r="E33" s="1">
        <v>25206</v>
      </c>
      <c r="F33" s="1">
        <v>4409</v>
      </c>
    </row>
    <row r="34" spans="2:22" s="1" customFormat="1" x14ac:dyDescent="0.25">
      <c r="B34" s="1" t="s">
        <v>17</v>
      </c>
      <c r="D34" s="1">
        <f>+D32-D33</f>
        <v>-83035</v>
      </c>
      <c r="E34" s="1">
        <f>+E32-E33</f>
        <v>-133209</v>
      </c>
      <c r="F34" s="1">
        <f>+F32-F33</f>
        <v>-103622</v>
      </c>
    </row>
    <row r="35" spans="2:22" s="1" customFormat="1" x14ac:dyDescent="0.25"/>
    <row r="36" spans="2:22" s="1" customFormat="1" x14ac:dyDescent="0.25">
      <c r="B36" s="1" t="s">
        <v>18</v>
      </c>
      <c r="E36" s="1">
        <v>161705</v>
      </c>
      <c r="F36" s="1">
        <v>164523</v>
      </c>
    </row>
    <row r="37" spans="2:22" s="1" customFormat="1" x14ac:dyDescent="0.25">
      <c r="B37" s="1" t="s">
        <v>19</v>
      </c>
      <c r="E37" s="1">
        <f>+E34+E36</f>
        <v>28496</v>
      </c>
      <c r="F37" s="1">
        <f>+F34+F36</f>
        <v>60901</v>
      </c>
    </row>
    <row r="38" spans="2:22" s="1" customFormat="1" x14ac:dyDescent="0.25"/>
    <row r="39" spans="2:22" s="1" customFormat="1" x14ac:dyDescent="0.25">
      <c r="B39" s="1" t="s">
        <v>23</v>
      </c>
      <c r="E39" s="1">
        <v>257222</v>
      </c>
      <c r="F39" s="1">
        <v>333725</v>
      </c>
      <c r="G39" s="1">
        <v>286503</v>
      </c>
    </row>
    <row r="40" spans="2:22" s="1" customFormat="1" x14ac:dyDescent="0.25">
      <c r="B40" s="1" t="s">
        <v>24</v>
      </c>
      <c r="E40" s="1">
        <v>27748</v>
      </c>
      <c r="F40" s="1">
        <v>26709</v>
      </c>
      <c r="G40" s="1">
        <v>30399</v>
      </c>
    </row>
    <row r="41" spans="2:22" s="1" customFormat="1" x14ac:dyDescent="0.25">
      <c r="B41" s="1" t="s">
        <v>25</v>
      </c>
      <c r="E41" s="1">
        <v>51339</v>
      </c>
      <c r="F41" s="1">
        <v>51472</v>
      </c>
      <c r="G41" s="1">
        <v>51615</v>
      </c>
    </row>
    <row r="42" spans="2:22" s="1" customFormat="1" x14ac:dyDescent="0.25">
      <c r="B42" s="1" t="s">
        <v>26</v>
      </c>
      <c r="E42" s="1">
        <f>+E39+E40-E41</f>
        <v>233631</v>
      </c>
      <c r="F42" s="1">
        <f>+F39+F40-F41</f>
        <v>308962</v>
      </c>
      <c r="G42" s="1">
        <f>+G39+G40-G41</f>
        <v>265287</v>
      </c>
    </row>
    <row r="43" spans="2:22" s="1" customFormat="1" x14ac:dyDescent="0.25"/>
    <row r="44" spans="2:22" s="4" customFormat="1" x14ac:dyDescent="0.25">
      <c r="B44" s="4" t="s">
        <v>3</v>
      </c>
      <c r="D44" s="4">
        <f>+D16/D$13</f>
        <v>0.38634121630628948</v>
      </c>
      <c r="E44" s="4">
        <f>+E16/E$13</f>
        <v>0.35572100946464891</v>
      </c>
      <c r="F44" s="4">
        <f>+F16/F$13</f>
        <v>0.27749913139537991</v>
      </c>
      <c r="G44" s="4">
        <f>+G16/G$13</f>
        <v>0.23137826484966922</v>
      </c>
      <c r="H44" s="4">
        <f>+H16/H$13</f>
        <v>0.22074108528687281</v>
      </c>
      <c r="I44" s="4">
        <f>+I16/I$13</f>
        <v>0.2119114505702652</v>
      </c>
      <c r="J44" s="4">
        <f>+J16/J$13</f>
        <v>0.20484774379225498</v>
      </c>
      <c r="K44" s="4">
        <f>+K16/K$13</f>
        <v>0.19539315038409821</v>
      </c>
      <c r="L44" s="4">
        <f>+L16/L$13</f>
        <v>0.18679591226266024</v>
      </c>
      <c r="M44" s="4">
        <f>+M16/M$13</f>
        <v>0.18056939673231898</v>
      </c>
      <c r="N44" s="4">
        <f>+N16/N$13</f>
        <v>0.17434286365783802</v>
      </c>
      <c r="O44" s="4">
        <f>+O16/O$13</f>
        <v>0.16921513803465627</v>
      </c>
      <c r="P44" s="4">
        <f>+P16/P$13</f>
        <v>0.16487629087230699</v>
      </c>
      <c r="Q44" s="4">
        <f>+Q16/Q$13</f>
        <v>0.16112910340889539</v>
      </c>
      <c r="R44" s="4">
        <f>+R16/R$13</f>
        <v>0.15907213919485477</v>
      </c>
      <c r="S44" s="4">
        <f>+S16/S$13</f>
        <v>0.15716327382627529</v>
      </c>
      <c r="T44" s="4">
        <f>+T16/T$13</f>
        <v>0.1553840671916564</v>
      </c>
      <c r="U44" s="4">
        <f>+U16/U$13</f>
        <v>0.1542540016908282</v>
      </c>
      <c r="V44" s="4">
        <f>+V16/V$13</f>
        <v>0.15317151758290767</v>
      </c>
    </row>
    <row r="45" spans="2:22" s="4" customFormat="1" x14ac:dyDescent="0.25">
      <c r="B45" s="4" t="s">
        <v>4</v>
      </c>
      <c r="D45" s="4">
        <f>+D17/D$13</f>
        <v>1.1841522915722398</v>
      </c>
      <c r="E45" s="4">
        <f>+E17/E$13</f>
        <v>0.96756026462835287</v>
      </c>
      <c r="F45" s="4">
        <f>+F17/F$13</f>
        <v>0.76354800488200336</v>
      </c>
      <c r="G45" s="4">
        <f>+G17/G$13</f>
        <v>0.7427528939731346</v>
      </c>
      <c r="H45" s="4">
        <f>+H17/H$13</f>
        <v>0.6744595656511142</v>
      </c>
      <c r="I45" s="4">
        <f>+I17/I$13</f>
        <v>0.62050285353219159</v>
      </c>
      <c r="J45" s="4">
        <f>+J17/J$13</f>
        <v>0.57913604489136561</v>
      </c>
      <c r="K45" s="4">
        <f>+K17/K$13</f>
        <v>0.52567686851880246</v>
      </c>
      <c r="L45" s="4">
        <f>+L17/L$13</f>
        <v>0.47941762959764317</v>
      </c>
      <c r="M45" s="4">
        <f>+M17/M$13</f>
        <v>0.4474565306629763</v>
      </c>
      <c r="N45" s="4">
        <f>+N17/N$13</f>
        <v>0.41659744891397171</v>
      </c>
      <c r="O45" s="4">
        <f>+O17/O$13</f>
        <v>0.39209174367855959</v>
      </c>
      <c r="P45" s="4">
        <f>+P17/P$13</f>
        <v>0.37198448650051807</v>
      </c>
      <c r="Q45" s="4">
        <f>+Q17/Q$13</f>
        <v>0.355076105107127</v>
      </c>
      <c r="R45" s="4">
        <f>+R17/R$13</f>
        <v>0.34601034571277578</v>
      </c>
      <c r="S45" s="4">
        <f>+S17/S$13</f>
        <v>0.33770609872842783</v>
      </c>
      <c r="T45" s="4">
        <f>+T17/T$13</f>
        <v>0.33005992393477929</v>
      </c>
      <c r="U45" s="4">
        <f>+U17/U$13</f>
        <v>0.32525905419329393</v>
      </c>
      <c r="V45" s="4">
        <f>+V17/V$13</f>
        <v>0.32069401531894182</v>
      </c>
    </row>
    <row r="46" spans="2:22" s="1" customFormat="1" x14ac:dyDescent="0.25"/>
    <row r="47" spans="2:22" s="1" customFormat="1" x14ac:dyDescent="0.25">
      <c r="B47" s="1" t="s">
        <v>31</v>
      </c>
      <c r="D47" s="1">
        <f>-D22</f>
        <v>83896</v>
      </c>
      <c r="E47" s="1">
        <f>+D47-E22</f>
        <v>189793</v>
      </c>
      <c r="F47" s="1">
        <f t="shared" ref="F47:K47" si="25">+E47-F22</f>
        <v>281206</v>
      </c>
      <c r="G47" s="1">
        <f t="shared" si="25"/>
        <v>376588</v>
      </c>
      <c r="H47" s="1">
        <f t="shared" si="25"/>
        <v>468168.33356112667</v>
      </c>
      <c r="I47" s="1">
        <f t="shared" si="25"/>
        <v>542875.52621593117</v>
      </c>
      <c r="J47" s="1">
        <f t="shared" si="25"/>
        <v>598765.81606350967</v>
      </c>
      <c r="K47" s="1">
        <f t="shared" si="25"/>
        <v>616500.50044746976</v>
      </c>
      <c r="L47" s="1">
        <f t="shared" ref="L47:O47" si="26">+K47-L48</f>
        <v>584271.30990978668</v>
      </c>
      <c r="M47" s="1">
        <f t="shared" si="26"/>
        <v>509976.17181222694</v>
      </c>
      <c r="N47" s="1">
        <f t="shared" si="26"/>
        <v>378266.87329014245</v>
      </c>
      <c r="O47" s="1">
        <f t="shared" si="26"/>
        <v>184444.1772157076</v>
      </c>
    </row>
    <row r="48" spans="2:22" s="1" customFormat="1" x14ac:dyDescent="0.25">
      <c r="B48" s="1" t="s">
        <v>33</v>
      </c>
      <c r="L48" s="1">
        <f>+L22*0.8</f>
        <v>32229.190537683062</v>
      </c>
      <c r="M48" s="1">
        <f>+M22*0.8</f>
        <v>74295.138097559757</v>
      </c>
      <c r="N48" s="1">
        <f>+N22*0.8</f>
        <v>131709.29852208449</v>
      </c>
      <c r="O48" s="1">
        <f>+O22*0.8</f>
        <v>193822.69607443485</v>
      </c>
      <c r="P48" s="1">
        <f>+O47</f>
        <v>184444.1772157076</v>
      </c>
    </row>
    <row r="49" spans="2:16" s="1" customFormat="1" x14ac:dyDescent="0.25">
      <c r="B49" s="1" t="s">
        <v>32</v>
      </c>
      <c r="L49" s="1">
        <f>+L22-L48</f>
        <v>8057.2976344207636</v>
      </c>
      <c r="M49" s="1">
        <f t="shared" ref="M49:P49" si="27">+M22-M48</f>
        <v>18573.784524389936</v>
      </c>
      <c r="N49" s="1">
        <f t="shared" si="27"/>
        <v>32927.324630521121</v>
      </c>
      <c r="O49" s="1">
        <f t="shared" si="27"/>
        <v>48455.674018608697</v>
      </c>
      <c r="P49" s="1">
        <f t="shared" si="27"/>
        <v>140177.37272403319</v>
      </c>
    </row>
    <row r="50" spans="2:16" s="1" customFormat="1" x14ac:dyDescent="0.25">
      <c r="B50" s="1" t="s">
        <v>34</v>
      </c>
      <c r="L50" s="1">
        <f>+L49*0.21</f>
        <v>1692.0325032283604</v>
      </c>
      <c r="M50" s="1">
        <f>+M49*0.21</f>
        <v>3900.4947501218862</v>
      </c>
      <c r="N50" s="1">
        <f t="shared" ref="N50" si="28">+N49*0.21</f>
        <v>6914.7381724094348</v>
      </c>
      <c r="O50" s="1">
        <f>+O49*0.21</f>
        <v>10175.691543907826</v>
      </c>
      <c r="P50" s="1">
        <f>+P49*0.21</f>
        <v>29437.248272046971</v>
      </c>
    </row>
    <row r="51" spans="2:16" s="1" customFormat="1" x14ac:dyDescent="0.25"/>
    <row r="52" spans="2:16" s="1" customFormat="1" x14ac:dyDescent="0.25"/>
    <row r="53" spans="2:16" s="1" customFormat="1" x14ac:dyDescent="0.25"/>
    <row r="54" spans="2:16" s="1" customFormat="1" x14ac:dyDescent="0.25"/>
    <row r="55" spans="2:16" s="1" customFormat="1" x14ac:dyDescent="0.25"/>
    <row r="56" spans="2:16" s="1" customFormat="1" x14ac:dyDescent="0.25"/>
    <row r="57" spans="2:16" s="1" customFormat="1" x14ac:dyDescent="0.25"/>
    <row r="58" spans="2:16" s="1" customFormat="1" x14ac:dyDescent="0.25"/>
    <row r="59" spans="2:16" s="1" customFormat="1" x14ac:dyDescent="0.25"/>
    <row r="60" spans="2:16" s="1" customFormat="1" x14ac:dyDescent="0.25"/>
    <row r="61" spans="2:16" s="1" customFormat="1" x14ac:dyDescent="0.25"/>
    <row r="62" spans="2:16" s="1" customFormat="1" x14ac:dyDescent="0.25"/>
    <row r="63" spans="2:16" s="1" customFormat="1" x14ac:dyDescent="0.25"/>
    <row r="64" spans="2:16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  <row r="138" s="1" customFormat="1" x14ac:dyDescent="0.25"/>
    <row r="139" s="1" customFormat="1" x14ac:dyDescent="0.25"/>
    <row r="140" s="1" customFormat="1" x14ac:dyDescent="0.25"/>
    <row r="141" s="1" customFormat="1" x14ac:dyDescent="0.25"/>
    <row r="142" s="1" customFormat="1" x14ac:dyDescent="0.25"/>
    <row r="143" s="1" customFormat="1" x14ac:dyDescent="0.25"/>
    <row r="144" s="1" customFormat="1" x14ac:dyDescent="0.25"/>
    <row r="145" s="1" customFormat="1" x14ac:dyDescent="0.25"/>
    <row r="146" s="1" customFormat="1" x14ac:dyDescent="0.25"/>
    <row r="147" s="1" customFormat="1" x14ac:dyDescent="0.25"/>
    <row r="148" s="1" customFormat="1" x14ac:dyDescent="0.25"/>
    <row r="149" s="1" customFormat="1" x14ac:dyDescent="0.25"/>
    <row r="150" s="1" customFormat="1" x14ac:dyDescent="0.25"/>
    <row r="151" s="1" customFormat="1" x14ac:dyDescent="0.25"/>
    <row r="152" s="1" customFormat="1" x14ac:dyDescent="0.25"/>
    <row r="153" s="1" customFormat="1" x14ac:dyDescent="0.25"/>
    <row r="154" s="1" customFormat="1" x14ac:dyDescent="0.25"/>
    <row r="155" s="1" customFormat="1" x14ac:dyDescent="0.25"/>
    <row r="156" s="1" customFormat="1" x14ac:dyDescent="0.25"/>
    <row r="157" s="1" customFormat="1" x14ac:dyDescent="0.25"/>
    <row r="158" s="1" customFormat="1" x14ac:dyDescent="0.25"/>
    <row r="159" s="1" customFormat="1" x14ac:dyDescent="0.25"/>
    <row r="160" s="1" customFormat="1" x14ac:dyDescent="0.25"/>
    <row r="161" s="1" customFormat="1" x14ac:dyDescent="0.25"/>
    <row r="162" s="1" customFormat="1" x14ac:dyDescent="0.25"/>
    <row r="163" s="1" customFormat="1" x14ac:dyDescent="0.25"/>
    <row r="164" s="1" customFormat="1" x14ac:dyDescent="0.25"/>
    <row r="165" s="1" customFormat="1" x14ac:dyDescent="0.25"/>
    <row r="166" s="1" customFormat="1" x14ac:dyDescent="0.25"/>
    <row r="167" s="1" customFormat="1" x14ac:dyDescent="0.25"/>
    <row r="168" s="1" customFormat="1" x14ac:dyDescent="0.25"/>
    <row r="169" s="1" customFormat="1" x14ac:dyDescent="0.25"/>
    <row r="170" s="1" customFormat="1" x14ac:dyDescent="0.25"/>
    <row r="171" s="1" customFormat="1" x14ac:dyDescent="0.25"/>
    <row r="172" s="1" customFormat="1" x14ac:dyDescent="0.25"/>
    <row r="173" s="1" customFormat="1" x14ac:dyDescent="0.25"/>
    <row r="174" s="1" customFormat="1" x14ac:dyDescent="0.25"/>
    <row r="175" s="1" customFormat="1" x14ac:dyDescent="0.25"/>
    <row r="176" s="1" customFormat="1" x14ac:dyDescent="0.25"/>
    <row r="177" s="1" customFormat="1" x14ac:dyDescent="0.25"/>
    <row r="178" s="1" customFormat="1" x14ac:dyDescent="0.25"/>
    <row r="179" s="1" customFormat="1" x14ac:dyDescent="0.25"/>
    <row r="180" s="1" customFormat="1" x14ac:dyDescent="0.25"/>
    <row r="181" s="1" customFormat="1" x14ac:dyDescent="0.25"/>
    <row r="182" s="1" customFormat="1" x14ac:dyDescent="0.25"/>
    <row r="183" s="1" customFormat="1" x14ac:dyDescent="0.25"/>
    <row r="184" s="1" customFormat="1" x14ac:dyDescent="0.25"/>
    <row r="185" s="1" customFormat="1" x14ac:dyDescent="0.25"/>
    <row r="186" s="1" customFormat="1" x14ac:dyDescent="0.25"/>
    <row r="187" s="1" customFormat="1" x14ac:dyDescent="0.25"/>
    <row r="188" s="1" customFormat="1" x14ac:dyDescent="0.25"/>
    <row r="189" s="1" customFormat="1" x14ac:dyDescent="0.25"/>
    <row r="190" s="1" customFormat="1" x14ac:dyDescent="0.25"/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C3968-BB11-481C-8E6B-A79DF7E476FB}">
  <dimension ref="B2:ER189"/>
  <sheetViews>
    <sheetView zoomScale="175" zoomScaleNormal="175" workbookViewId="0">
      <pane xSplit="2" ySplit="2" topLeftCell="E9" activePane="bottomRight" state="frozen"/>
      <selection pane="topRight" activeCell="C1" sqref="C1"/>
      <selection pane="bottomLeft" activeCell="A3" sqref="A3"/>
      <selection pane="bottomRight" activeCell="F22" sqref="F22"/>
    </sheetView>
  </sheetViews>
  <sheetFormatPr defaultRowHeight="15" x14ac:dyDescent="0.25"/>
  <cols>
    <col min="1" max="1" width="2.85546875" customWidth="1"/>
    <col min="2" max="2" width="23.5703125" bestFit="1" customWidth="1"/>
    <col min="25" max="25" width="10.28515625" bestFit="1" customWidth="1"/>
  </cols>
  <sheetData>
    <row r="2" spans="2:25" x14ac:dyDescent="0.25">
      <c r="D2">
        <v>2022</v>
      </c>
      <c r="E2">
        <f>+D2+1</f>
        <v>2023</v>
      </c>
      <c r="F2">
        <f t="shared" ref="F2:V2" si="0">+E2+1</f>
        <v>2024</v>
      </c>
      <c r="G2">
        <f t="shared" si="0"/>
        <v>2025</v>
      </c>
      <c r="H2">
        <f t="shared" si="0"/>
        <v>2026</v>
      </c>
      <c r="I2">
        <f t="shared" si="0"/>
        <v>2027</v>
      </c>
      <c r="J2">
        <f t="shared" si="0"/>
        <v>2028</v>
      </c>
      <c r="K2">
        <f t="shared" si="0"/>
        <v>2029</v>
      </c>
      <c r="L2">
        <f t="shared" si="0"/>
        <v>2030</v>
      </c>
      <c r="M2">
        <f t="shared" si="0"/>
        <v>2031</v>
      </c>
      <c r="N2">
        <f t="shared" si="0"/>
        <v>2032</v>
      </c>
      <c r="O2">
        <f t="shared" si="0"/>
        <v>2033</v>
      </c>
      <c r="P2">
        <f t="shared" si="0"/>
        <v>2034</v>
      </c>
      <c r="Q2">
        <f t="shared" si="0"/>
        <v>2035</v>
      </c>
      <c r="R2">
        <f t="shared" si="0"/>
        <v>2036</v>
      </c>
      <c r="S2">
        <f t="shared" si="0"/>
        <v>2037</v>
      </c>
      <c r="T2">
        <f t="shared" si="0"/>
        <v>2038</v>
      </c>
      <c r="U2">
        <f t="shared" si="0"/>
        <v>2039</v>
      </c>
      <c r="V2">
        <f t="shared" si="0"/>
        <v>2040</v>
      </c>
    </row>
    <row r="3" spans="2:25" s="1" customFormat="1" x14ac:dyDescent="0.25"/>
    <row r="4" spans="2:25" s="1" customFormat="1" x14ac:dyDescent="0.25">
      <c r="B4" s="1" t="s">
        <v>28</v>
      </c>
      <c r="D4" s="1">
        <f>+D13</f>
        <v>75014</v>
      </c>
      <c r="E4" s="1">
        <f>+E13</f>
        <v>136191</v>
      </c>
      <c r="F4" s="1">
        <f>+F13</f>
        <v>224498</v>
      </c>
      <c r="G4" s="1">
        <f>+G13</f>
        <v>308054</v>
      </c>
      <c r="H4" s="1">
        <v>400000</v>
      </c>
      <c r="I4" s="1">
        <v>480000</v>
      </c>
      <c r="J4" s="1">
        <v>550000</v>
      </c>
      <c r="K4" s="1">
        <v>620000</v>
      </c>
      <c r="L4" s="1">
        <v>700000</v>
      </c>
      <c r="M4" s="1">
        <v>780000</v>
      </c>
      <c r="N4" s="1">
        <v>850000</v>
      </c>
      <c r="O4" s="1">
        <v>920000</v>
      </c>
      <c r="P4" s="1">
        <v>980000</v>
      </c>
      <c r="Q4" s="1">
        <v>1030000</v>
      </c>
      <c r="R4" s="1">
        <f>+Q4*1.04</f>
        <v>1071200</v>
      </c>
      <c r="S4" s="1">
        <f t="shared" ref="S4" si="1">+R4*1.04</f>
        <v>1114048</v>
      </c>
      <c r="T4" s="1">
        <f>+S4*1.03</f>
        <v>1147469.44</v>
      </c>
      <c r="U4" s="1">
        <f t="shared" ref="U4:V4" si="2">+T4*1.03</f>
        <v>1181893.5231999999</v>
      </c>
      <c r="V4" s="1">
        <f t="shared" si="2"/>
        <v>1217350.3288960001</v>
      </c>
    </row>
    <row r="5" spans="2:25" s="4" customFormat="1" x14ac:dyDescent="0.25">
      <c r="B5" s="4" t="s">
        <v>41</v>
      </c>
      <c r="E5" s="4">
        <f>+E4/D4 -1</f>
        <v>0.81554109899485439</v>
      </c>
      <c r="F5" s="4">
        <f t="shared" ref="F5:V5" si="3">+F4/E4 -1</f>
        <v>0.64840554809054929</v>
      </c>
      <c r="G5" s="4">
        <f t="shared" si="3"/>
        <v>0.37219039813272281</v>
      </c>
      <c r="H5" s="4">
        <f t="shared" si="3"/>
        <v>0.29847364423120615</v>
      </c>
      <c r="I5" s="4">
        <f t="shared" si="3"/>
        <v>0.19999999999999996</v>
      </c>
      <c r="J5" s="4">
        <f t="shared" si="3"/>
        <v>0.14583333333333326</v>
      </c>
      <c r="K5" s="4">
        <f t="shared" si="3"/>
        <v>0.1272727272727272</v>
      </c>
      <c r="L5" s="4">
        <f t="shared" si="3"/>
        <v>0.12903225806451624</v>
      </c>
      <c r="M5" s="4">
        <f t="shared" si="3"/>
        <v>0.11428571428571432</v>
      </c>
      <c r="N5" s="4">
        <f t="shared" si="3"/>
        <v>8.9743589743589647E-2</v>
      </c>
      <c r="O5" s="4">
        <f t="shared" si="3"/>
        <v>8.2352941176470518E-2</v>
      </c>
      <c r="P5" s="4">
        <f t="shared" si="3"/>
        <v>6.5217391304347894E-2</v>
      </c>
      <c r="Q5" s="4">
        <f t="shared" si="3"/>
        <v>5.1020408163265252E-2</v>
      </c>
      <c r="R5" s="4">
        <f t="shared" si="3"/>
        <v>4.0000000000000036E-2</v>
      </c>
      <c r="S5" s="4">
        <f t="shared" si="3"/>
        <v>4.0000000000000036E-2</v>
      </c>
      <c r="T5" s="4">
        <f t="shared" si="3"/>
        <v>3.0000000000000027E-2</v>
      </c>
      <c r="U5" s="4">
        <f t="shared" si="3"/>
        <v>3.0000000000000027E-2</v>
      </c>
      <c r="V5" s="4">
        <f t="shared" si="3"/>
        <v>3.0000000000000027E-2</v>
      </c>
    </row>
    <row r="6" spans="2:25" s="1" customFormat="1" x14ac:dyDescent="0.25">
      <c r="B6" s="1" t="s">
        <v>29</v>
      </c>
      <c r="J6" s="1">
        <v>10000</v>
      </c>
      <c r="K6" s="1">
        <v>20000</v>
      </c>
      <c r="L6" s="1">
        <v>30000</v>
      </c>
      <c r="M6" s="1">
        <f>+L6+10000</f>
        <v>40000</v>
      </c>
      <c r="N6" s="1">
        <f>+M6+10000</f>
        <v>50000</v>
      </c>
      <c r="O6" s="1">
        <f>+N6+10000</f>
        <v>60000</v>
      </c>
      <c r="P6" s="1">
        <f>+O6+10000</f>
        <v>70000</v>
      </c>
      <c r="Q6" s="1">
        <f>+P6+10000</f>
        <v>80000</v>
      </c>
      <c r="R6" s="1">
        <f t="shared" ref="R6:V6" si="4">+Q6+10000</f>
        <v>90000</v>
      </c>
      <c r="S6" s="1">
        <f t="shared" si="4"/>
        <v>100000</v>
      </c>
      <c r="T6" s="1">
        <f t="shared" si="4"/>
        <v>110000</v>
      </c>
      <c r="U6" s="1">
        <f t="shared" si="4"/>
        <v>120000</v>
      </c>
      <c r="V6" s="1">
        <f t="shared" si="4"/>
        <v>130000</v>
      </c>
    </row>
    <row r="7" spans="2:25" s="4" customFormat="1" x14ac:dyDescent="0.25">
      <c r="B7" s="4" t="s">
        <v>42</v>
      </c>
      <c r="K7" s="4">
        <f t="shared" ref="K7:V7" si="5">+K6/J6 -1</f>
        <v>1</v>
      </c>
      <c r="L7" s="4">
        <f t="shared" si="5"/>
        <v>0.5</v>
      </c>
      <c r="M7" s="4">
        <f t="shared" si="5"/>
        <v>0.33333333333333326</v>
      </c>
      <c r="N7" s="4">
        <f t="shared" si="5"/>
        <v>0.25</v>
      </c>
      <c r="O7" s="4">
        <f t="shared" si="5"/>
        <v>0.19999999999999996</v>
      </c>
      <c r="P7" s="4">
        <f t="shared" si="5"/>
        <v>0.16666666666666674</v>
      </c>
      <c r="Q7" s="4">
        <f t="shared" si="5"/>
        <v>0.14285714285714279</v>
      </c>
      <c r="R7" s="4">
        <f t="shared" si="5"/>
        <v>0.125</v>
      </c>
      <c r="S7" s="4">
        <f t="shared" si="5"/>
        <v>0.11111111111111116</v>
      </c>
      <c r="T7" s="4">
        <f t="shared" si="5"/>
        <v>0.10000000000000009</v>
      </c>
      <c r="U7" s="4">
        <f t="shared" si="5"/>
        <v>9.0909090909090828E-2</v>
      </c>
      <c r="V7" s="4">
        <f t="shared" si="5"/>
        <v>8.3333333333333259E-2</v>
      </c>
    </row>
    <row r="8" spans="2:25" s="1" customFormat="1" x14ac:dyDescent="0.25">
      <c r="B8" s="1" t="s">
        <v>30</v>
      </c>
      <c r="L8" s="1">
        <v>10000</v>
      </c>
      <c r="M8" s="1">
        <v>10000</v>
      </c>
      <c r="N8" s="1">
        <v>20000</v>
      </c>
      <c r="O8" s="1">
        <v>20000</v>
      </c>
      <c r="P8" s="1">
        <v>30000</v>
      </c>
      <c r="Q8" s="1">
        <v>40000</v>
      </c>
      <c r="R8" s="1">
        <v>50000</v>
      </c>
      <c r="S8" s="1">
        <f>+R8+10000</f>
        <v>60000</v>
      </c>
      <c r="T8" s="1">
        <f t="shared" ref="T8:V8" si="6">+S8+10000</f>
        <v>70000</v>
      </c>
      <c r="U8" s="1">
        <f t="shared" si="6"/>
        <v>80000</v>
      </c>
      <c r="V8" s="1">
        <f t="shared" si="6"/>
        <v>90000</v>
      </c>
    </row>
    <row r="9" spans="2:25" s="1" customFormat="1" x14ac:dyDescent="0.25"/>
    <row r="10" spans="2:25" s="1" customFormat="1" x14ac:dyDescent="0.25">
      <c r="B10" s="1" t="s">
        <v>20</v>
      </c>
      <c r="E10" s="1">
        <v>58920</v>
      </c>
      <c r="F10" s="1">
        <v>90299</v>
      </c>
    </row>
    <row r="11" spans="2:25" s="1" customFormat="1" x14ac:dyDescent="0.25">
      <c r="B11" s="1" t="s">
        <v>21</v>
      </c>
      <c r="E11" s="1">
        <v>69522</v>
      </c>
      <c r="F11" s="1">
        <v>121456</v>
      </c>
    </row>
    <row r="12" spans="2:25" s="1" customFormat="1" x14ac:dyDescent="0.25">
      <c r="B12" s="1" t="s">
        <v>22</v>
      </c>
      <c r="E12" s="1">
        <v>7749</v>
      </c>
      <c r="F12" s="1">
        <v>12743</v>
      </c>
    </row>
    <row r="13" spans="2:25" s="2" customFormat="1" x14ac:dyDescent="0.25">
      <c r="B13" s="2" t="s">
        <v>0</v>
      </c>
      <c r="D13" s="2">
        <v>75014</v>
      </c>
      <c r="E13" s="2">
        <v>136191</v>
      </c>
      <c r="F13" s="2">
        <v>224498</v>
      </c>
      <c r="G13" s="2">
        <v>308054</v>
      </c>
      <c r="H13" s="2">
        <f>+SUM(H4:H8)</f>
        <v>400000.29847364424</v>
      </c>
      <c r="I13" s="2">
        <f t="shared" ref="I13:V13" si="7">+SUM(I4:I8)</f>
        <v>480000.2</v>
      </c>
      <c r="J13" s="2">
        <f t="shared" si="7"/>
        <v>560000.14583333337</v>
      </c>
      <c r="K13" s="2">
        <f t="shared" si="7"/>
        <v>640001.12727272732</v>
      </c>
      <c r="L13" s="2">
        <f t="shared" si="7"/>
        <v>740000.62903225806</v>
      </c>
      <c r="M13" s="2">
        <f t="shared" si="7"/>
        <v>830000.44761904771</v>
      </c>
      <c r="N13" s="2">
        <f t="shared" si="7"/>
        <v>920000.33974358975</v>
      </c>
      <c r="O13" s="2">
        <f t="shared" si="7"/>
        <v>1000000.2823529411</v>
      </c>
      <c r="P13" s="2">
        <f t="shared" si="7"/>
        <v>1080000.2318840581</v>
      </c>
      <c r="Q13" s="2">
        <f t="shared" si="7"/>
        <v>1150000.193877551</v>
      </c>
      <c r="R13" s="2">
        <f t="shared" si="7"/>
        <v>1211200.165</v>
      </c>
      <c r="S13" s="2">
        <f t="shared" si="7"/>
        <v>1274048.151111111</v>
      </c>
      <c r="T13" s="2">
        <f t="shared" si="7"/>
        <v>1327469.57</v>
      </c>
      <c r="U13" s="2">
        <f t="shared" si="7"/>
        <v>1381893.6441090908</v>
      </c>
      <c r="V13" s="2">
        <f t="shared" si="7"/>
        <v>1437350.4422293333</v>
      </c>
    </row>
    <row r="14" spans="2:25" s="1" customFormat="1" x14ac:dyDescent="0.25">
      <c r="B14" s="1" t="s">
        <v>1</v>
      </c>
      <c r="D14" s="1">
        <v>37929</v>
      </c>
      <c r="E14" s="1">
        <v>65142</v>
      </c>
      <c r="F14" s="1">
        <v>87399</v>
      </c>
      <c r="G14" s="1">
        <v>111828</v>
      </c>
      <c r="H14" s="1">
        <f>+H13*(1-H27)</f>
        <v>132000.09849630258</v>
      </c>
      <c r="I14" s="1">
        <f t="shared" ref="I14:P14" si="8">+I13*(1-I27)</f>
        <v>153600.06399999998</v>
      </c>
      <c r="J14" s="1">
        <f t="shared" si="8"/>
        <v>173600.04520833338</v>
      </c>
      <c r="K14" s="1">
        <f t="shared" si="8"/>
        <v>192000.33818181822</v>
      </c>
      <c r="L14" s="1">
        <f t="shared" si="8"/>
        <v>222000.18870967746</v>
      </c>
      <c r="M14" s="1">
        <f t="shared" si="8"/>
        <v>249000.13428571436</v>
      </c>
      <c r="N14" s="1">
        <f t="shared" si="8"/>
        <v>276000.10192307696</v>
      </c>
      <c r="O14" s="1">
        <f t="shared" si="8"/>
        <v>300000.08470588236</v>
      </c>
      <c r="P14" s="1">
        <f t="shared" si="8"/>
        <v>324000.06956521748</v>
      </c>
      <c r="Q14" s="1">
        <f>+Q13*(1-Q27)</f>
        <v>345000.05816326535</v>
      </c>
      <c r="R14" s="1">
        <f t="shared" ref="R14:V14" si="9">+R13*(1-R27)</f>
        <v>363360.04950000008</v>
      </c>
      <c r="S14" s="1">
        <f t="shared" si="9"/>
        <v>382214.44533333339</v>
      </c>
      <c r="T14" s="1">
        <f t="shared" si="9"/>
        <v>398240.8710000001</v>
      </c>
      <c r="U14" s="1">
        <f t="shared" si="9"/>
        <v>414568.09323272732</v>
      </c>
      <c r="V14" s="1">
        <f t="shared" si="9"/>
        <v>431205.13266880007</v>
      </c>
      <c r="X14" s="4" t="s">
        <v>35</v>
      </c>
      <c r="Y14" s="4">
        <v>0.1</v>
      </c>
    </row>
    <row r="15" spans="2:25" s="1" customFormat="1" x14ac:dyDescent="0.25">
      <c r="B15" s="1" t="s">
        <v>2</v>
      </c>
      <c r="D15" s="1">
        <f>+D13-D14</f>
        <v>37085</v>
      </c>
      <c r="E15" s="1">
        <f t="shared" ref="E15:P15" si="10">+E13-E14</f>
        <v>71049</v>
      </c>
      <c r="F15" s="1">
        <f t="shared" si="10"/>
        <v>137099</v>
      </c>
      <c r="G15" s="1">
        <f t="shared" si="10"/>
        <v>196226</v>
      </c>
      <c r="H15" s="1">
        <f t="shared" si="10"/>
        <v>268000.19997734169</v>
      </c>
      <c r="I15" s="1">
        <f t="shared" si="10"/>
        <v>326400.13600000006</v>
      </c>
      <c r="J15" s="1">
        <f t="shared" si="10"/>
        <v>386400.10062499996</v>
      </c>
      <c r="K15" s="1">
        <f t="shared" si="10"/>
        <v>448000.78909090906</v>
      </c>
      <c r="L15" s="1">
        <f t="shared" si="10"/>
        <v>518000.44032258063</v>
      </c>
      <c r="M15" s="1">
        <f t="shared" si="10"/>
        <v>581000.31333333335</v>
      </c>
      <c r="N15" s="1">
        <f t="shared" si="10"/>
        <v>644000.23782051285</v>
      </c>
      <c r="O15" s="1">
        <f t="shared" si="10"/>
        <v>700000.19764705875</v>
      </c>
      <c r="P15" s="1">
        <f t="shared" si="10"/>
        <v>756000.16231884062</v>
      </c>
      <c r="Q15" s="1">
        <f>+Q13-Q14</f>
        <v>805000.13571428566</v>
      </c>
      <c r="R15" s="1">
        <f>+R13-R14</f>
        <v>847840.11549999996</v>
      </c>
      <c r="S15" s="1">
        <f t="shared" ref="S15:V15" si="11">+S13-S14</f>
        <v>891833.70577777759</v>
      </c>
      <c r="T15" s="1">
        <f t="shared" si="11"/>
        <v>929228.69900000002</v>
      </c>
      <c r="U15" s="1">
        <f t="shared" si="11"/>
        <v>967325.55087636341</v>
      </c>
      <c r="V15" s="1">
        <f t="shared" si="11"/>
        <v>1006145.3095605333</v>
      </c>
      <c r="X15" s="4" t="s">
        <v>36</v>
      </c>
      <c r="Y15" s="4">
        <v>0.03</v>
      </c>
    </row>
    <row r="16" spans="2:25" s="1" customFormat="1" x14ac:dyDescent="0.25">
      <c r="B16" s="1" t="s">
        <v>3</v>
      </c>
      <c r="D16" s="1">
        <v>28981</v>
      </c>
      <c r="E16" s="1">
        <v>48446</v>
      </c>
      <c r="F16" s="1">
        <v>62298</v>
      </c>
      <c r="G16" s="1">
        <v>71277</v>
      </c>
      <c r="H16" s="1">
        <f>+G16*(1+H29*0.8)</f>
        <v>88296.500000145286</v>
      </c>
      <c r="I16" s="1">
        <f t="shared" ref="I16:V16" si="12">+H16*(1+I29*0.8)</f>
        <v>102423.91206876186</v>
      </c>
      <c r="J16" s="1">
        <f t="shared" si="12"/>
        <v>116080.41874111582</v>
      </c>
      <c r="K16" s="1">
        <f t="shared" si="12"/>
        <v>129346.91160799294</v>
      </c>
      <c r="L16" s="1">
        <f t="shared" si="12"/>
        <v>145515.16652348335</v>
      </c>
      <c r="M16" s="1">
        <f t="shared" si="12"/>
        <v>159673.35836812202</v>
      </c>
      <c r="N16" s="1">
        <f t="shared" si="12"/>
        <v>173524.51719052315</v>
      </c>
      <c r="O16" s="1">
        <f t="shared" si="12"/>
        <v>185595.77483412466</v>
      </c>
      <c r="P16" s="1">
        <f t="shared" si="12"/>
        <v>197473.89357623775</v>
      </c>
      <c r="Q16" s="1">
        <f t="shared" si="12"/>
        <v>207713.27289261381</v>
      </c>
      <c r="R16" s="1">
        <f t="shared" si="12"/>
        <v>216556.43404716288</v>
      </c>
      <c r="S16" s="1">
        <f t="shared" si="12"/>
        <v>225545.95446009503</v>
      </c>
      <c r="T16" s="1">
        <f t="shared" si="12"/>
        <v>233111.75008651559</v>
      </c>
      <c r="U16" s="1">
        <f t="shared" si="12"/>
        <v>240757.50947663604</v>
      </c>
      <c r="V16" s="1">
        <f t="shared" si="12"/>
        <v>248486.98455217184</v>
      </c>
      <c r="X16" s="4" t="s">
        <v>37</v>
      </c>
      <c r="Y16" s="1">
        <f>NPV(Y14,G23:FB23)</f>
        <v>413194.8868615785</v>
      </c>
    </row>
    <row r="17" spans="2:148" s="1" customFormat="1" x14ac:dyDescent="0.25">
      <c r="B17" s="1" t="s">
        <v>4</v>
      </c>
      <c r="D17" s="1">
        <v>88828</v>
      </c>
      <c r="E17" s="1">
        <v>131773</v>
      </c>
      <c r="F17" s="1">
        <v>171415</v>
      </c>
      <c r="G17" s="1">
        <v>228808</v>
      </c>
      <c r="H17" s="1">
        <f>+G17*(1+H29*0.6)</f>
        <v>269784.02756885014</v>
      </c>
      <c r="I17" s="1">
        <f t="shared" ref="I17:V17" si="13">+H17*(1+I29*0.6)</f>
        <v>302158.04687020887</v>
      </c>
      <c r="J17" s="1">
        <f t="shared" si="13"/>
        <v>332373.81850870716</v>
      </c>
      <c r="K17" s="1">
        <f t="shared" si="13"/>
        <v>360863.34503826202</v>
      </c>
      <c r="L17" s="1">
        <f t="shared" si="13"/>
        <v>394694.05548798869</v>
      </c>
      <c r="M17" s="1">
        <f t="shared" si="13"/>
        <v>423495.97159256664</v>
      </c>
      <c r="N17" s="1">
        <f t="shared" si="13"/>
        <v>451048.6736672548</v>
      </c>
      <c r="O17" s="1">
        <f t="shared" si="13"/>
        <v>474581.62237298762</v>
      </c>
      <c r="P17" s="1">
        <f t="shared" si="13"/>
        <v>497361.51944395743</v>
      </c>
      <c r="Q17" s="1">
        <f t="shared" si="13"/>
        <v>516703.34165673668</v>
      </c>
      <c r="R17" s="1">
        <f t="shared" si="13"/>
        <v>533201.89344304998</v>
      </c>
      <c r="S17" s="1">
        <f t="shared" si="13"/>
        <v>549802.28675303282</v>
      </c>
      <c r="T17" s="1">
        <f t="shared" si="13"/>
        <v>563634.36283638387</v>
      </c>
      <c r="U17" s="1">
        <f t="shared" si="13"/>
        <v>577499.21323748387</v>
      </c>
      <c r="V17" s="1">
        <f t="shared" si="13"/>
        <v>591404.5918835043</v>
      </c>
      <c r="X17" s="1" t="s">
        <v>38</v>
      </c>
      <c r="Y17" s="1">
        <f>+G38-G40</f>
        <v>242715</v>
      </c>
    </row>
    <row r="18" spans="2:148" s="2" customFormat="1" x14ac:dyDescent="0.25">
      <c r="B18" s="2" t="s">
        <v>5</v>
      </c>
      <c r="D18" s="2">
        <f>+D15-D16-D17</f>
        <v>-80724</v>
      </c>
      <c r="E18" s="2">
        <f t="shared" ref="E18:V18" si="14">+E15-E16-E17</f>
        <v>-109170</v>
      </c>
      <c r="F18" s="2">
        <f t="shared" si="14"/>
        <v>-96614</v>
      </c>
      <c r="G18" s="2">
        <f t="shared" si="14"/>
        <v>-103859</v>
      </c>
      <c r="H18" s="2">
        <f t="shared" si="14"/>
        <v>-90080.327591653739</v>
      </c>
      <c r="I18" s="2">
        <f t="shared" si="14"/>
        <v>-78181.822938970668</v>
      </c>
      <c r="J18" s="2">
        <f t="shared" si="14"/>
        <v>-62054.136624823033</v>
      </c>
      <c r="K18" s="2">
        <f t="shared" si="14"/>
        <v>-42209.467555345909</v>
      </c>
      <c r="L18" s="2">
        <f t="shared" si="14"/>
        <v>-22208.781688891409</v>
      </c>
      <c r="M18" s="2">
        <f t="shared" si="14"/>
        <v>-2169.0166273553041</v>
      </c>
      <c r="N18" s="2">
        <f t="shared" si="14"/>
        <v>19427.046962734894</v>
      </c>
      <c r="O18" s="2">
        <f t="shared" si="14"/>
        <v>39822.80043994647</v>
      </c>
      <c r="P18" s="2">
        <f t="shared" si="14"/>
        <v>61164.749298645474</v>
      </c>
      <c r="Q18" s="2">
        <f t="shared" si="14"/>
        <v>80583.521164935199</v>
      </c>
      <c r="R18" s="2">
        <f t="shared" si="14"/>
        <v>98081.788009787095</v>
      </c>
      <c r="S18" s="2">
        <f t="shared" si="14"/>
        <v>116485.46456464974</v>
      </c>
      <c r="T18" s="2">
        <f t="shared" si="14"/>
        <v>132482.5860771006</v>
      </c>
      <c r="U18" s="2">
        <f t="shared" si="14"/>
        <v>149068.82816224347</v>
      </c>
      <c r="V18" s="2">
        <f t="shared" si="14"/>
        <v>166253.73312485707</v>
      </c>
      <c r="X18" s="1" t="s">
        <v>39</v>
      </c>
      <c r="Y18" s="1">
        <f>+Y16+Y17</f>
        <v>655909.88686157856</v>
      </c>
    </row>
    <row r="19" spans="2:148" s="1" customFormat="1" x14ac:dyDescent="0.25">
      <c r="B19" s="1" t="s">
        <v>6</v>
      </c>
      <c r="D19" s="1">
        <v>5183</v>
      </c>
      <c r="E19" s="1">
        <v>3995</v>
      </c>
      <c r="F19" s="1">
        <v>4184</v>
      </c>
      <c r="G19" s="1">
        <v>3586</v>
      </c>
      <c r="H19" s="1">
        <v>3500</v>
      </c>
      <c r="I19" s="1">
        <v>3500</v>
      </c>
      <c r="J19" s="1">
        <v>3500</v>
      </c>
      <c r="K19" s="1">
        <v>3500</v>
      </c>
      <c r="L19" s="1">
        <v>3500</v>
      </c>
      <c r="M19" s="1">
        <v>3500</v>
      </c>
      <c r="N19" s="1">
        <v>3500</v>
      </c>
      <c r="O19" s="1">
        <v>3500</v>
      </c>
      <c r="P19" s="1">
        <v>3500</v>
      </c>
      <c r="Q19" s="1">
        <v>3500</v>
      </c>
      <c r="R19" s="1">
        <v>3500</v>
      </c>
      <c r="S19" s="1">
        <v>3500</v>
      </c>
      <c r="T19" s="1">
        <v>3500</v>
      </c>
      <c r="U19" s="1">
        <v>3500</v>
      </c>
      <c r="V19" s="1">
        <v>3500</v>
      </c>
      <c r="X19" s="1" t="s">
        <v>40</v>
      </c>
      <c r="Y19" s="1">
        <f>+Y18/Q25</f>
        <v>11.738125435872737</v>
      </c>
    </row>
    <row r="20" spans="2:148" s="1" customFormat="1" x14ac:dyDescent="0.25">
      <c r="B20" s="1" t="s">
        <v>7</v>
      </c>
      <c r="D20" s="1">
        <v>2011</v>
      </c>
      <c r="E20" s="1">
        <v>7268</v>
      </c>
      <c r="F20" s="1">
        <v>9385</v>
      </c>
      <c r="G20" s="1">
        <v>12063</v>
      </c>
      <c r="H20" s="1">
        <v>10000</v>
      </c>
      <c r="I20" s="1">
        <v>10000</v>
      </c>
      <c r="J20" s="1">
        <v>10000</v>
      </c>
      <c r="K20" s="1">
        <v>10000</v>
      </c>
      <c r="L20" s="1">
        <v>10000</v>
      </c>
      <c r="M20" s="1">
        <v>10000</v>
      </c>
      <c r="N20" s="1">
        <v>10000</v>
      </c>
      <c r="O20" s="1">
        <v>10000</v>
      </c>
      <c r="P20" s="1">
        <v>10000</v>
      </c>
      <c r="Q20" s="1">
        <v>10000</v>
      </c>
      <c r="R20" s="1">
        <v>10000</v>
      </c>
      <c r="S20" s="1">
        <v>10000</v>
      </c>
      <c r="T20" s="1">
        <v>10000</v>
      </c>
      <c r="U20" s="1">
        <v>10000</v>
      </c>
      <c r="V20" s="1">
        <v>10000</v>
      </c>
    </row>
    <row r="21" spans="2:148" s="1" customFormat="1" x14ac:dyDescent="0.25">
      <c r="B21" s="1" t="s">
        <v>8</v>
      </c>
      <c r="D21" s="1">
        <f>+D18-D19+D20</f>
        <v>-83896</v>
      </c>
      <c r="E21" s="1">
        <f t="shared" ref="E21:V21" si="15">+E18-E19+E20</f>
        <v>-105897</v>
      </c>
      <c r="F21" s="1">
        <f t="shared" si="15"/>
        <v>-91413</v>
      </c>
      <c r="G21" s="1">
        <f t="shared" si="15"/>
        <v>-95382</v>
      </c>
      <c r="H21" s="1">
        <f t="shared" si="15"/>
        <v>-83580.327591653739</v>
      </c>
      <c r="I21" s="1">
        <f t="shared" si="15"/>
        <v>-71681.822938970668</v>
      </c>
      <c r="J21" s="1">
        <f t="shared" si="15"/>
        <v>-55554.136624823033</v>
      </c>
      <c r="K21" s="1">
        <f t="shared" si="15"/>
        <v>-35709.467555345909</v>
      </c>
      <c r="L21" s="1">
        <f t="shared" si="15"/>
        <v>-15708.781688891409</v>
      </c>
      <c r="M21" s="1">
        <f t="shared" si="15"/>
        <v>4330.9833726446959</v>
      </c>
      <c r="N21" s="1">
        <f t="shared" si="15"/>
        <v>25927.046962734894</v>
      </c>
      <c r="O21" s="1">
        <f t="shared" si="15"/>
        <v>46322.80043994647</v>
      </c>
      <c r="P21" s="1">
        <f t="shared" si="15"/>
        <v>67664.749298645474</v>
      </c>
      <c r="Q21" s="1">
        <f t="shared" si="15"/>
        <v>87083.521164935199</v>
      </c>
      <c r="R21" s="1">
        <f t="shared" si="15"/>
        <v>104581.78800978709</v>
      </c>
      <c r="S21" s="1">
        <f t="shared" si="15"/>
        <v>122985.46456464974</v>
      </c>
      <c r="T21" s="1">
        <f t="shared" si="15"/>
        <v>138982.5860771006</v>
      </c>
      <c r="U21" s="1">
        <f t="shared" si="15"/>
        <v>155568.82816224347</v>
      </c>
      <c r="V21" s="1">
        <f t="shared" si="15"/>
        <v>172753.73312485707</v>
      </c>
    </row>
    <row r="22" spans="2:148" s="1" customFormat="1" x14ac:dyDescent="0.25">
      <c r="B22" s="1" t="s">
        <v>9</v>
      </c>
      <c r="F22" s="1">
        <v>368</v>
      </c>
      <c r="G22" s="1">
        <v>190</v>
      </c>
      <c r="M22" s="1">
        <f t="shared" ref="M22:U22" si="16">+M49</f>
        <v>181.90130165107723</v>
      </c>
      <c r="N22" s="1">
        <f t="shared" si="16"/>
        <v>1088.9359724348656</v>
      </c>
      <c r="O22" s="1">
        <f t="shared" si="16"/>
        <v>1945.5576184777519</v>
      </c>
      <c r="P22" s="1">
        <f t="shared" si="16"/>
        <v>2841.91947054311</v>
      </c>
      <c r="Q22" s="1">
        <f t="shared" si="16"/>
        <v>3657.5078889272763</v>
      </c>
      <c r="R22" s="1">
        <f t="shared" si="16"/>
        <v>4392.4350964110563</v>
      </c>
      <c r="S22" s="1">
        <f t="shared" si="16"/>
        <v>5165.3895117152888</v>
      </c>
      <c r="T22" s="1">
        <f t="shared" si="16"/>
        <v>5837.2686152382239</v>
      </c>
      <c r="U22" s="1">
        <f t="shared" si="16"/>
        <v>-1039.6168282680628</v>
      </c>
      <c r="V22" s="1">
        <f t="shared" ref="V22" si="17">+V21*0.21</f>
        <v>36278.283956219981</v>
      </c>
    </row>
    <row r="23" spans="2:148" s="1" customFormat="1" x14ac:dyDescent="0.25">
      <c r="B23" s="1" t="s">
        <v>10</v>
      </c>
      <c r="D23" s="1">
        <f>+D21-D22</f>
        <v>-83896</v>
      </c>
      <c r="E23" s="1">
        <f t="shared" ref="E23:V23" si="18">+E21-E22</f>
        <v>-105897</v>
      </c>
      <c r="F23" s="1">
        <f t="shared" si="18"/>
        <v>-91781</v>
      </c>
      <c r="G23" s="1">
        <f t="shared" si="18"/>
        <v>-95572</v>
      </c>
      <c r="H23" s="1">
        <f t="shared" si="18"/>
        <v>-83580.327591653739</v>
      </c>
      <c r="I23" s="1">
        <f t="shared" si="18"/>
        <v>-71681.822938970668</v>
      </c>
      <c r="J23" s="1">
        <f t="shared" si="18"/>
        <v>-55554.136624823033</v>
      </c>
      <c r="K23" s="1">
        <f t="shared" si="18"/>
        <v>-35709.467555345909</v>
      </c>
      <c r="L23" s="1">
        <f t="shared" si="18"/>
        <v>-15708.781688891409</v>
      </c>
      <c r="M23" s="1">
        <f t="shared" si="18"/>
        <v>4149.0820709936188</v>
      </c>
      <c r="N23" s="1">
        <f t="shared" si="18"/>
        <v>24838.110990300029</v>
      </c>
      <c r="O23" s="1">
        <f t="shared" si="18"/>
        <v>44377.242821468717</v>
      </c>
      <c r="P23" s="1">
        <f t="shared" si="18"/>
        <v>64822.829828102367</v>
      </c>
      <c r="Q23" s="1">
        <f t="shared" si="18"/>
        <v>83426.013276007929</v>
      </c>
      <c r="R23" s="1">
        <f t="shared" si="18"/>
        <v>100189.35291337603</v>
      </c>
      <c r="S23" s="1">
        <f t="shared" si="18"/>
        <v>117820.07505293445</v>
      </c>
      <c r="T23" s="1">
        <f t="shared" si="18"/>
        <v>133145.31746186237</v>
      </c>
      <c r="U23" s="1">
        <f t="shared" si="18"/>
        <v>156608.44499051155</v>
      </c>
      <c r="V23" s="1">
        <f t="shared" si="18"/>
        <v>136475.4491686371</v>
      </c>
      <c r="W23" s="1">
        <f t="shared" ref="W23:BB23" si="19">+V23*(1+$Y15)</f>
        <v>140569.71264369623</v>
      </c>
      <c r="X23" s="1">
        <f t="shared" si="19"/>
        <v>144786.80402300711</v>
      </c>
      <c r="Y23" s="1">
        <f t="shared" si="19"/>
        <v>149130.40814369734</v>
      </c>
      <c r="Z23" s="1">
        <f t="shared" si="19"/>
        <v>153604.32038800826</v>
      </c>
      <c r="AA23" s="1">
        <f t="shared" si="19"/>
        <v>158212.44999964852</v>
      </c>
      <c r="AB23" s="1">
        <f t="shared" si="19"/>
        <v>162958.82349963798</v>
      </c>
      <c r="AC23" s="1">
        <f t="shared" si="19"/>
        <v>167847.58820462713</v>
      </c>
      <c r="AD23" s="1">
        <f t="shared" si="19"/>
        <v>172883.01585076595</v>
      </c>
      <c r="AE23" s="1">
        <f t="shared" si="19"/>
        <v>178069.50632628895</v>
      </c>
      <c r="AF23" s="1">
        <f t="shared" si="19"/>
        <v>183411.59151607761</v>
      </c>
      <c r="AG23" s="1">
        <f t="shared" si="19"/>
        <v>188913.93926155995</v>
      </c>
      <c r="AH23" s="1">
        <f t="shared" si="19"/>
        <v>194581.35743940674</v>
      </c>
      <c r="AI23" s="1">
        <f t="shared" si="19"/>
        <v>200418.79816258894</v>
      </c>
      <c r="AJ23" s="1">
        <f t="shared" si="19"/>
        <v>206431.36210746662</v>
      </c>
      <c r="AK23" s="1">
        <f t="shared" si="19"/>
        <v>212624.30297069062</v>
      </c>
      <c r="AL23" s="1">
        <f t="shared" si="19"/>
        <v>219003.03205981135</v>
      </c>
      <c r="AM23" s="1">
        <f t="shared" si="19"/>
        <v>225573.12302160569</v>
      </c>
      <c r="AN23" s="1">
        <f t="shared" si="19"/>
        <v>232340.31671225387</v>
      </c>
      <c r="AO23" s="1">
        <f t="shared" si="19"/>
        <v>239310.52621362149</v>
      </c>
      <c r="AP23" s="1">
        <f t="shared" si="19"/>
        <v>246489.84200003013</v>
      </c>
      <c r="AQ23" s="1">
        <f t="shared" si="19"/>
        <v>253884.53726003104</v>
      </c>
      <c r="AR23" s="1">
        <f t="shared" si="19"/>
        <v>261501.07337783198</v>
      </c>
      <c r="AS23" s="1">
        <f t="shared" si="19"/>
        <v>269346.10557916696</v>
      </c>
      <c r="AT23" s="1">
        <f t="shared" si="19"/>
        <v>277426.48874654196</v>
      </c>
      <c r="AU23" s="1">
        <f t="shared" si="19"/>
        <v>285749.28340893821</v>
      </c>
      <c r="AV23" s="1">
        <f t="shared" si="19"/>
        <v>294321.76191120635</v>
      </c>
      <c r="AW23" s="1">
        <f t="shared" si="19"/>
        <v>303151.41476854257</v>
      </c>
      <c r="AX23" s="1">
        <f t="shared" si="19"/>
        <v>312245.95721159887</v>
      </c>
      <c r="AY23" s="1">
        <f t="shared" si="19"/>
        <v>321613.33592794684</v>
      </c>
      <c r="AZ23" s="1">
        <f t="shared" si="19"/>
        <v>331261.73600578523</v>
      </c>
      <c r="BA23" s="1">
        <f t="shared" si="19"/>
        <v>341199.58808595879</v>
      </c>
      <c r="BB23" s="1">
        <f t="shared" si="19"/>
        <v>351435.57572853757</v>
      </c>
      <c r="BC23" s="1">
        <f t="shared" ref="BC23:CH23" si="20">+BB23*(1+$Y15)</f>
        <v>361978.6430003937</v>
      </c>
      <c r="BD23" s="1">
        <f t="shared" si="20"/>
        <v>372838.00229040551</v>
      </c>
      <c r="BE23" s="1">
        <f t="shared" si="20"/>
        <v>384023.14235911769</v>
      </c>
      <c r="BF23" s="1">
        <f t="shared" si="20"/>
        <v>395543.83662989124</v>
      </c>
      <c r="BG23" s="1">
        <f t="shared" si="20"/>
        <v>407410.15172878798</v>
      </c>
      <c r="BH23" s="1">
        <f t="shared" si="20"/>
        <v>419632.45628065162</v>
      </c>
      <c r="BI23" s="1">
        <f t="shared" si="20"/>
        <v>432221.42996907118</v>
      </c>
      <c r="BJ23" s="1">
        <f t="shared" si="20"/>
        <v>445188.07286814332</v>
      </c>
      <c r="BK23" s="1">
        <f t="shared" si="20"/>
        <v>458543.71505418763</v>
      </c>
      <c r="BL23" s="1">
        <f t="shared" si="20"/>
        <v>472300.02650581329</v>
      </c>
      <c r="BM23" s="1">
        <f t="shared" si="20"/>
        <v>486469.02730098768</v>
      </c>
      <c r="BN23" s="1">
        <f t="shared" si="20"/>
        <v>501063.09812001733</v>
      </c>
      <c r="BO23" s="1">
        <f t="shared" si="20"/>
        <v>516094.99106361787</v>
      </c>
      <c r="BP23" s="1">
        <f t="shared" si="20"/>
        <v>531577.8407955264</v>
      </c>
      <c r="BQ23" s="1">
        <f t="shared" si="20"/>
        <v>547525.17601939221</v>
      </c>
      <c r="BR23" s="1">
        <f t="shared" si="20"/>
        <v>563950.93129997398</v>
      </c>
      <c r="BS23" s="1">
        <f t="shared" si="20"/>
        <v>580869.45923897321</v>
      </c>
      <c r="BT23" s="1">
        <f t="shared" si="20"/>
        <v>598295.54301614244</v>
      </c>
      <c r="BU23" s="1">
        <f t="shared" si="20"/>
        <v>616244.40930662677</v>
      </c>
      <c r="BV23" s="1">
        <f t="shared" si="20"/>
        <v>634731.74158582557</v>
      </c>
      <c r="BW23" s="1">
        <f t="shared" si="20"/>
        <v>653773.69383340038</v>
      </c>
      <c r="BX23" s="1">
        <f t="shared" si="20"/>
        <v>673386.90464840236</v>
      </c>
      <c r="BY23" s="1">
        <f t="shared" si="20"/>
        <v>693588.51178785448</v>
      </c>
      <c r="BZ23" s="1">
        <f t="shared" si="20"/>
        <v>714396.16714149015</v>
      </c>
      <c r="CA23" s="1">
        <f t="shared" si="20"/>
        <v>735828.05215573485</v>
      </c>
      <c r="CB23" s="1">
        <f t="shared" si="20"/>
        <v>757902.89372040692</v>
      </c>
      <c r="CC23" s="1">
        <f t="shared" si="20"/>
        <v>780639.98053201917</v>
      </c>
      <c r="CD23" s="1">
        <f t="shared" si="20"/>
        <v>804059.17994797975</v>
      </c>
      <c r="CE23" s="1">
        <f t="shared" si="20"/>
        <v>828180.95534641913</v>
      </c>
      <c r="CF23" s="1">
        <f t="shared" si="20"/>
        <v>853026.38400681177</v>
      </c>
      <c r="CG23" s="1">
        <f t="shared" si="20"/>
        <v>878617.17552701617</v>
      </c>
      <c r="CH23" s="1">
        <f t="shared" si="20"/>
        <v>904975.6907928267</v>
      </c>
      <c r="CI23" s="1">
        <f t="shared" ref="CI23:DN23" si="21">+CH23*(1+$Y15)</f>
        <v>932124.96151661151</v>
      </c>
      <c r="CJ23" s="1">
        <f t="shared" si="21"/>
        <v>960088.71036210994</v>
      </c>
      <c r="CK23" s="1">
        <f t="shared" si="21"/>
        <v>988891.37167297327</v>
      </c>
      <c r="CL23" s="1">
        <f t="shared" si="21"/>
        <v>1018558.1128231625</v>
      </c>
      <c r="CM23" s="1">
        <f t="shared" si="21"/>
        <v>1049114.8562078574</v>
      </c>
      <c r="CN23" s="1">
        <f t="shared" si="21"/>
        <v>1080588.3018940932</v>
      </c>
      <c r="CO23" s="1">
        <f t="shared" si="21"/>
        <v>1113005.9509509159</v>
      </c>
      <c r="CP23" s="1">
        <f t="shared" si="21"/>
        <v>1146396.1294794434</v>
      </c>
      <c r="CQ23" s="1">
        <f t="shared" si="21"/>
        <v>1180788.0133638268</v>
      </c>
      <c r="CR23" s="1">
        <f t="shared" si="21"/>
        <v>1216211.6537647417</v>
      </c>
      <c r="CS23" s="1">
        <f t="shared" si="21"/>
        <v>1252698.0033776839</v>
      </c>
      <c r="CT23" s="1">
        <f t="shared" si="21"/>
        <v>1290278.9434790146</v>
      </c>
      <c r="CU23" s="1">
        <f t="shared" si="21"/>
        <v>1328987.311783385</v>
      </c>
      <c r="CV23" s="1">
        <f t="shared" si="21"/>
        <v>1368856.9311368866</v>
      </c>
      <c r="CW23" s="1">
        <f t="shared" si="21"/>
        <v>1409922.6390709933</v>
      </c>
      <c r="CX23" s="1">
        <f t="shared" si="21"/>
        <v>1452220.3182431231</v>
      </c>
      <c r="CY23" s="1">
        <f t="shared" si="21"/>
        <v>1495786.9277904169</v>
      </c>
      <c r="CZ23" s="1">
        <f t="shared" si="21"/>
        <v>1540660.5356241295</v>
      </c>
      <c r="DA23" s="1">
        <f t="shared" si="21"/>
        <v>1586880.3516928535</v>
      </c>
      <c r="DB23" s="1">
        <f t="shared" si="21"/>
        <v>1634486.7622436392</v>
      </c>
      <c r="DC23" s="1">
        <f t="shared" si="21"/>
        <v>1683521.3651109484</v>
      </c>
      <c r="DD23" s="1">
        <f t="shared" si="21"/>
        <v>1734027.0060642769</v>
      </c>
      <c r="DE23" s="1">
        <f t="shared" si="21"/>
        <v>1786047.8162462052</v>
      </c>
      <c r="DF23" s="1">
        <f t="shared" si="21"/>
        <v>1839629.2507335914</v>
      </c>
      <c r="DG23" s="1">
        <f t="shared" si="21"/>
        <v>1894818.1282555992</v>
      </c>
      <c r="DH23" s="1">
        <f t="shared" si="21"/>
        <v>1951662.6721032672</v>
      </c>
      <c r="DI23" s="1">
        <f t="shared" si="21"/>
        <v>2010212.5522663651</v>
      </c>
      <c r="DJ23" s="1">
        <f t="shared" si="21"/>
        <v>2070518.9288343561</v>
      </c>
      <c r="DK23" s="1">
        <f t="shared" si="21"/>
        <v>2132634.4966993867</v>
      </c>
      <c r="DL23" s="1">
        <f t="shared" si="21"/>
        <v>2196613.5316003682</v>
      </c>
      <c r="DM23" s="1">
        <f t="shared" si="21"/>
        <v>2262511.9375483794</v>
      </c>
      <c r="DN23" s="1">
        <f t="shared" si="21"/>
        <v>2330387.2956748307</v>
      </c>
      <c r="DO23" s="1">
        <f t="shared" ref="DO23:ER23" si="22">+DN23*(1+$Y15)</f>
        <v>2400298.9145450755</v>
      </c>
      <c r="DP23" s="1">
        <f t="shared" si="22"/>
        <v>2472307.8819814278</v>
      </c>
      <c r="DQ23" s="1">
        <f t="shared" si="22"/>
        <v>2546477.1184408707</v>
      </c>
      <c r="DR23" s="1">
        <f t="shared" si="22"/>
        <v>2622871.4319940968</v>
      </c>
      <c r="DS23" s="1">
        <f t="shared" si="22"/>
        <v>2701557.5749539197</v>
      </c>
      <c r="DT23" s="1">
        <f t="shared" si="22"/>
        <v>2782604.3022025372</v>
      </c>
      <c r="DU23" s="1">
        <f t="shared" si="22"/>
        <v>2866082.4312686133</v>
      </c>
      <c r="DV23" s="1">
        <f t="shared" si="22"/>
        <v>2952064.9042066718</v>
      </c>
      <c r="DW23" s="1">
        <f t="shared" si="22"/>
        <v>3040626.8513328722</v>
      </c>
      <c r="DX23" s="1">
        <f t="shared" si="22"/>
        <v>3131845.6568728583</v>
      </c>
      <c r="DY23" s="1">
        <f t="shared" si="22"/>
        <v>3225801.0265790443</v>
      </c>
      <c r="DZ23" s="1">
        <f t="shared" si="22"/>
        <v>3322575.0573764159</v>
      </c>
      <c r="EA23" s="1">
        <f t="shared" si="22"/>
        <v>3422252.3090977087</v>
      </c>
      <c r="EB23" s="1">
        <f t="shared" si="22"/>
        <v>3524919.8783706399</v>
      </c>
      <c r="EC23" s="1">
        <f t="shared" si="22"/>
        <v>3630667.4747217591</v>
      </c>
      <c r="ED23" s="1">
        <f t="shared" si="22"/>
        <v>3739587.4989634119</v>
      </c>
      <c r="EE23" s="1">
        <f t="shared" si="22"/>
        <v>3851775.1239323146</v>
      </c>
      <c r="EF23" s="1">
        <f t="shared" si="22"/>
        <v>3967328.3776502842</v>
      </c>
      <c r="EG23" s="1">
        <f t="shared" si="22"/>
        <v>4086348.2289797929</v>
      </c>
      <c r="EH23" s="1">
        <f t="shared" si="22"/>
        <v>4208938.6758491872</v>
      </c>
      <c r="EI23" s="1">
        <f t="shared" si="22"/>
        <v>4335206.8361246632</v>
      </c>
      <c r="EJ23" s="1">
        <f t="shared" si="22"/>
        <v>4465263.0412084032</v>
      </c>
      <c r="EK23" s="1">
        <f t="shared" si="22"/>
        <v>4599220.9324446553</v>
      </c>
      <c r="EL23" s="1">
        <f t="shared" si="22"/>
        <v>4737197.5604179949</v>
      </c>
      <c r="EM23" s="1">
        <f t="shared" si="22"/>
        <v>4879313.4872305347</v>
      </c>
      <c r="EN23" s="1">
        <f t="shared" si="22"/>
        <v>5025692.8918474512</v>
      </c>
      <c r="EO23" s="1">
        <f t="shared" si="22"/>
        <v>5176463.6786028752</v>
      </c>
      <c r="EP23" s="1">
        <f t="shared" si="22"/>
        <v>5331757.5889609614</v>
      </c>
      <c r="EQ23" s="1">
        <f t="shared" si="22"/>
        <v>5491710.3166297907</v>
      </c>
      <c r="ER23" s="1">
        <f t="shared" si="22"/>
        <v>5656461.6261286847</v>
      </c>
    </row>
    <row r="24" spans="2:148" s="3" customFormat="1" x14ac:dyDescent="0.25">
      <c r="B24" s="3" t="s">
        <v>12</v>
      </c>
      <c r="D24" s="3">
        <f>+D23/D25</f>
        <v>-1.8895495495495496</v>
      </c>
      <c r="E24" s="3">
        <f>+E23/E25</f>
        <v>-2.2409692096074489</v>
      </c>
      <c r="F24" s="3">
        <f>+F23/F25</f>
        <v>-1.7607865707434052</v>
      </c>
      <c r="G24" s="3">
        <f>+G23/G25</f>
        <v>-1.7103509897145042</v>
      </c>
      <c r="H24" s="3">
        <f t="shared" ref="H24:V24" si="23">+H23/H25</f>
        <v>-1.495748713190552</v>
      </c>
      <c r="I24" s="3">
        <f t="shared" si="23"/>
        <v>-1.2828137614385837</v>
      </c>
      <c r="J24" s="3">
        <f t="shared" si="23"/>
        <v>-0.99419361904115067</v>
      </c>
      <c r="K24" s="3">
        <f t="shared" si="23"/>
        <v>-0.63905456802686822</v>
      </c>
      <c r="L24" s="3">
        <f t="shared" si="23"/>
        <v>-0.28112344942875006</v>
      </c>
      <c r="M24" s="3">
        <f t="shared" si="23"/>
        <v>7.4251733002664383E-2</v>
      </c>
      <c r="N24" s="3">
        <f t="shared" si="23"/>
        <v>0.44450139910118397</v>
      </c>
      <c r="O24" s="3">
        <f t="shared" si="23"/>
        <v>0.79417257335307301</v>
      </c>
      <c r="P24" s="3">
        <f t="shared" si="23"/>
        <v>1.1600656170488193</v>
      </c>
      <c r="Q24" s="3">
        <f t="shared" si="23"/>
        <v>1.4929871131142542</v>
      </c>
      <c r="R24" s="3">
        <f t="shared" si="23"/>
        <v>1.7929828706550917</v>
      </c>
      <c r="S24" s="3">
        <f t="shared" si="23"/>
        <v>2.1085012553365376</v>
      </c>
      <c r="T24" s="3">
        <f t="shared" si="23"/>
        <v>2.3827609079725041</v>
      </c>
      <c r="U24" s="3">
        <f t="shared" si="23"/>
        <v>2.8026556824924755</v>
      </c>
      <c r="V24" s="3">
        <f t="shared" si="23"/>
        <v>2.442356752577219</v>
      </c>
    </row>
    <row r="25" spans="2:148" s="1" customFormat="1" x14ac:dyDescent="0.25">
      <c r="B25" s="1" t="s">
        <v>11</v>
      </c>
      <c r="D25" s="1">
        <v>44400</v>
      </c>
      <c r="E25" s="1">
        <v>47255</v>
      </c>
      <c r="F25" s="1">
        <v>52125</v>
      </c>
      <c r="G25" s="1">
        <v>55878.589</v>
      </c>
      <c r="H25" s="1">
        <f>+G25</f>
        <v>55878.589</v>
      </c>
      <c r="I25" s="1">
        <f t="shared" ref="I25:V25" si="24">+H25</f>
        <v>55878.589</v>
      </c>
      <c r="J25" s="1">
        <f t="shared" si="24"/>
        <v>55878.589</v>
      </c>
      <c r="K25" s="1">
        <f t="shared" si="24"/>
        <v>55878.589</v>
      </c>
      <c r="L25" s="1">
        <f t="shared" si="24"/>
        <v>55878.589</v>
      </c>
      <c r="M25" s="1">
        <f t="shared" si="24"/>
        <v>55878.589</v>
      </c>
      <c r="N25" s="1">
        <f t="shared" si="24"/>
        <v>55878.589</v>
      </c>
      <c r="O25" s="1">
        <f t="shared" si="24"/>
        <v>55878.589</v>
      </c>
      <c r="P25" s="1">
        <f t="shared" si="24"/>
        <v>55878.589</v>
      </c>
      <c r="Q25" s="1">
        <f t="shared" si="24"/>
        <v>55878.589</v>
      </c>
      <c r="R25" s="1">
        <f t="shared" si="24"/>
        <v>55878.589</v>
      </c>
      <c r="S25" s="1">
        <f t="shared" si="24"/>
        <v>55878.589</v>
      </c>
      <c r="T25" s="1">
        <f t="shared" si="24"/>
        <v>55878.589</v>
      </c>
      <c r="U25" s="1">
        <f t="shared" si="24"/>
        <v>55878.589</v>
      </c>
      <c r="V25" s="1">
        <f t="shared" si="24"/>
        <v>55878.589</v>
      </c>
    </row>
    <row r="26" spans="2:148" s="1" customFormat="1" x14ac:dyDescent="0.25"/>
    <row r="27" spans="2:148" s="4" customFormat="1" x14ac:dyDescent="0.25">
      <c r="B27" s="4" t="s">
        <v>13</v>
      </c>
      <c r="D27" s="4">
        <f>+D15/D13</f>
        <v>0.49437438344842294</v>
      </c>
      <c r="E27" s="4">
        <f t="shared" ref="E27:G27" si="25">+E15/E13</f>
        <v>0.52168645505209599</v>
      </c>
      <c r="F27" s="4">
        <f t="shared" si="25"/>
        <v>0.61069140927758825</v>
      </c>
      <c r="G27" s="4">
        <f t="shared" si="25"/>
        <v>0.63698572328228165</v>
      </c>
      <c r="H27" s="4">
        <v>0.67</v>
      </c>
      <c r="I27" s="4">
        <v>0.68</v>
      </c>
      <c r="J27" s="4">
        <v>0.69</v>
      </c>
      <c r="K27" s="4">
        <v>0.7</v>
      </c>
      <c r="L27" s="4">
        <v>0.7</v>
      </c>
      <c r="M27" s="4">
        <v>0.7</v>
      </c>
      <c r="N27" s="4">
        <v>0.7</v>
      </c>
      <c r="O27" s="4">
        <v>0.7</v>
      </c>
      <c r="P27" s="4">
        <v>0.7</v>
      </c>
      <c r="Q27" s="4">
        <v>0.7</v>
      </c>
      <c r="R27" s="4">
        <v>0.7</v>
      </c>
      <c r="S27" s="4">
        <v>0.7</v>
      </c>
      <c r="T27" s="4">
        <v>0.7</v>
      </c>
      <c r="U27" s="4">
        <v>0.7</v>
      </c>
      <c r="V27" s="4">
        <v>0.7</v>
      </c>
    </row>
    <row r="28" spans="2:148" s="4" customFormat="1" x14ac:dyDescent="0.25">
      <c r="B28" s="4" t="s">
        <v>14</v>
      </c>
      <c r="D28" s="4">
        <f>+D18/D13</f>
        <v>-1.0761191244301065</v>
      </c>
      <c r="E28" s="4">
        <f t="shared" ref="E28:V28" si="26">+E18/E13</f>
        <v>-0.80159481904090579</v>
      </c>
      <c r="F28" s="4">
        <f t="shared" si="26"/>
        <v>-0.43035572699979507</v>
      </c>
      <c r="G28" s="4">
        <f t="shared" si="26"/>
        <v>-0.33714543554052212</v>
      </c>
      <c r="H28" s="4">
        <f t="shared" si="26"/>
        <v>-0.22520065093798691</v>
      </c>
      <c r="I28" s="4">
        <f t="shared" si="26"/>
        <v>-0.16287872992338476</v>
      </c>
      <c r="J28" s="4">
        <f t="shared" si="26"/>
        <v>-0.11081092940159969</v>
      </c>
      <c r="K28" s="4">
        <f t="shared" si="26"/>
        <v>-6.5952176889461867E-2</v>
      </c>
      <c r="L28" s="4">
        <f t="shared" si="26"/>
        <v>-3.0011841635776887E-2</v>
      </c>
      <c r="M28" s="4">
        <f t="shared" si="26"/>
        <v>-2.6132716356688469E-3</v>
      </c>
      <c r="N28" s="4">
        <f t="shared" si="26"/>
        <v>2.111634759629474E-2</v>
      </c>
      <c r="O28" s="4">
        <f t="shared" si="26"/>
        <v>3.9822789195864815E-2</v>
      </c>
      <c r="P28" s="4">
        <f t="shared" si="26"/>
        <v>5.6634014968629867E-2</v>
      </c>
      <c r="Q28" s="4">
        <f t="shared" si="26"/>
        <v>7.0072615286459264E-2</v>
      </c>
      <c r="R28" s="4">
        <f t="shared" si="26"/>
        <v>8.0979008130986421E-2</v>
      </c>
      <c r="S28" s="4">
        <f t="shared" si="26"/>
        <v>9.1429405131243674E-2</v>
      </c>
      <c r="T28" s="4">
        <f t="shared" si="26"/>
        <v>9.9800845963723739E-2</v>
      </c>
      <c r="U28" s="4">
        <f t="shared" si="26"/>
        <v>0.1078728661917744</v>
      </c>
      <c r="V28" s="4">
        <f t="shared" si="26"/>
        <v>0.11566680486562289</v>
      </c>
    </row>
    <row r="29" spans="2:148" s="4" customFormat="1" x14ac:dyDescent="0.25">
      <c r="B29" s="4" t="s">
        <v>27</v>
      </c>
      <c r="E29" s="4">
        <f>+E13/D13 -1</f>
        <v>0.81554109899485439</v>
      </c>
      <c r="F29" s="4">
        <f t="shared" ref="F29:V29" si="27">+F13/E13 -1</f>
        <v>0.64840554809054929</v>
      </c>
      <c r="G29" s="4">
        <f t="shared" si="27"/>
        <v>0.37219039813272281</v>
      </c>
      <c r="H29" s="4">
        <f t="shared" si="27"/>
        <v>0.29847461313160761</v>
      </c>
      <c r="I29" s="4">
        <f t="shared" si="27"/>
        <v>0.19999960457936239</v>
      </c>
      <c r="J29" s="4">
        <f t="shared" si="27"/>
        <v>0.16666648437507603</v>
      </c>
      <c r="K29" s="4">
        <f t="shared" si="27"/>
        <v>0.14285885822466149</v>
      </c>
      <c r="L29" s="4">
        <f t="shared" si="27"/>
        <v>0.15624894628805452</v>
      </c>
      <c r="M29" s="4">
        <f t="shared" si="27"/>
        <v>0.12162127308525084</v>
      </c>
      <c r="N29" s="4">
        <f t="shared" si="27"/>
        <v>0.10843354649110992</v>
      </c>
      <c r="O29" s="4">
        <f t="shared" si="27"/>
        <v>8.6956427246154933E-2</v>
      </c>
      <c r="P29" s="4">
        <f t="shared" si="27"/>
        <v>7.9999926942902366E-2</v>
      </c>
      <c r="Q29" s="4">
        <f t="shared" si="27"/>
        <v>6.4814765707390753E-2</v>
      </c>
      <c r="R29" s="4">
        <f t="shared" si="27"/>
        <v>5.321735722156351E-2</v>
      </c>
      <c r="S29" s="4">
        <f t="shared" si="27"/>
        <v>5.1889017131294013E-2</v>
      </c>
      <c r="T29" s="4">
        <f t="shared" si="27"/>
        <v>4.1930455173377679E-2</v>
      </c>
      <c r="U29" s="4">
        <f t="shared" si="27"/>
        <v>4.0998359087877745E-2</v>
      </c>
      <c r="V29" s="4">
        <f t="shared" si="27"/>
        <v>4.0131017576244599E-2</v>
      </c>
    </row>
    <row r="30" spans="2:148" s="1" customFormat="1" x14ac:dyDescent="0.25"/>
    <row r="31" spans="2:148" s="1" customFormat="1" x14ac:dyDescent="0.25">
      <c r="B31" s="1" t="s">
        <v>15</v>
      </c>
      <c r="D31" s="1">
        <v>-80382</v>
      </c>
      <c r="E31" s="1">
        <v>-108003</v>
      </c>
      <c r="F31" s="1">
        <v>-99213</v>
      </c>
    </row>
    <row r="32" spans="2:148" s="1" customFormat="1" x14ac:dyDescent="0.25">
      <c r="B32" s="1" t="s">
        <v>16</v>
      </c>
      <c r="D32" s="1">
        <v>2653</v>
      </c>
      <c r="E32" s="1">
        <v>25206</v>
      </c>
      <c r="F32" s="1">
        <v>4409</v>
      </c>
    </row>
    <row r="33" spans="2:22" s="1" customFormat="1" x14ac:dyDescent="0.25">
      <c r="B33" s="1" t="s">
        <v>17</v>
      </c>
      <c r="D33" s="1">
        <f>+D31-D32</f>
        <v>-83035</v>
      </c>
      <c r="E33" s="1">
        <f>+E31-E32</f>
        <v>-133209</v>
      </c>
      <c r="F33" s="1">
        <f>+F31-F32</f>
        <v>-103622</v>
      </c>
    </row>
    <row r="34" spans="2:22" s="1" customFormat="1" x14ac:dyDescent="0.25"/>
    <row r="35" spans="2:22" s="1" customFormat="1" x14ac:dyDescent="0.25">
      <c r="B35" s="1" t="s">
        <v>18</v>
      </c>
      <c r="E35" s="1">
        <v>161705</v>
      </c>
      <c r="F35" s="1">
        <v>164523</v>
      </c>
    </row>
    <row r="36" spans="2:22" s="1" customFormat="1" x14ac:dyDescent="0.25">
      <c r="B36" s="1" t="s">
        <v>19</v>
      </c>
      <c r="E36" s="1">
        <f>+E33+E35</f>
        <v>28496</v>
      </c>
      <c r="F36" s="1">
        <f>+F33+F35</f>
        <v>60901</v>
      </c>
    </row>
    <row r="37" spans="2:22" s="1" customFormat="1" x14ac:dyDescent="0.25"/>
    <row r="38" spans="2:22" s="1" customFormat="1" x14ac:dyDescent="0.25">
      <c r="B38" s="1" t="s">
        <v>23</v>
      </c>
      <c r="E38" s="1">
        <v>257222</v>
      </c>
      <c r="F38" s="1">
        <v>333725</v>
      </c>
      <c r="G38" s="1">
        <v>294281</v>
      </c>
    </row>
    <row r="39" spans="2:22" s="1" customFormat="1" x14ac:dyDescent="0.25">
      <c r="B39" s="1" t="s">
        <v>24</v>
      </c>
      <c r="E39" s="1">
        <v>27748</v>
      </c>
      <c r="F39" s="1">
        <v>26709</v>
      </c>
      <c r="G39" s="1">
        <v>30022</v>
      </c>
    </row>
    <row r="40" spans="2:22" s="1" customFormat="1" x14ac:dyDescent="0.25">
      <c r="B40" s="1" t="s">
        <v>25</v>
      </c>
      <c r="E40" s="1">
        <v>51339</v>
      </c>
      <c r="F40" s="1">
        <v>51472</v>
      </c>
      <c r="G40" s="1">
        <v>51566</v>
      </c>
    </row>
    <row r="41" spans="2:22" s="1" customFormat="1" x14ac:dyDescent="0.25">
      <c r="B41" s="1" t="s">
        <v>26</v>
      </c>
      <c r="E41" s="1">
        <f>+E38+E39-E40</f>
        <v>233631</v>
      </c>
      <c r="F41" s="1">
        <f>+F38+F39-F40</f>
        <v>308962</v>
      </c>
      <c r="G41" s="1">
        <f>+G38+G39-G40</f>
        <v>272737</v>
      </c>
    </row>
    <row r="42" spans="2:22" s="1" customFormat="1" x14ac:dyDescent="0.25"/>
    <row r="43" spans="2:22" s="4" customFormat="1" x14ac:dyDescent="0.25">
      <c r="B43" s="4" t="s">
        <v>3</v>
      </c>
      <c r="D43" s="4">
        <f>+D16/D$13</f>
        <v>0.38634121630628948</v>
      </c>
      <c r="E43" s="4">
        <f t="shared" ref="E43:V44" si="28">+E16/E$13</f>
        <v>0.35572100946464891</v>
      </c>
      <c r="F43" s="4">
        <f t="shared" si="28"/>
        <v>0.27749913139537991</v>
      </c>
      <c r="G43" s="4">
        <f t="shared" si="28"/>
        <v>0.23137826484966922</v>
      </c>
      <c r="H43" s="4">
        <f t="shared" si="28"/>
        <v>0.22074108528687281</v>
      </c>
      <c r="I43" s="4">
        <f t="shared" si="28"/>
        <v>0.213383061233645</v>
      </c>
      <c r="J43" s="4">
        <f t="shared" si="28"/>
        <v>0.20728640805687137</v>
      </c>
      <c r="K43" s="4">
        <f t="shared" si="28"/>
        <v>0.20210419340851193</v>
      </c>
      <c r="L43" s="4">
        <f t="shared" si="28"/>
        <v>0.19664194976939683</v>
      </c>
      <c r="M43" s="4">
        <f t="shared" si="28"/>
        <v>0.19237743645339411</v>
      </c>
      <c r="N43" s="4">
        <f t="shared" si="28"/>
        <v>0.18861353598943845</v>
      </c>
      <c r="O43" s="4">
        <f t="shared" si="28"/>
        <v>0.18559572243062658</v>
      </c>
      <c r="P43" s="4">
        <f t="shared" si="28"/>
        <v>0.1828461584973412</v>
      </c>
      <c r="Q43" s="4">
        <f t="shared" si="28"/>
        <v>0.18062020684731342</v>
      </c>
      <c r="R43" s="4">
        <f t="shared" si="28"/>
        <v>0.17879491788804608</v>
      </c>
      <c r="S43" s="4">
        <f t="shared" si="28"/>
        <v>0.17703094993968163</v>
      </c>
      <c r="T43" s="4">
        <f t="shared" si="28"/>
        <v>0.17560609700945204</v>
      </c>
      <c r="U43" s="4">
        <f t="shared" si="28"/>
        <v>0.17422289371035701</v>
      </c>
      <c r="V43" s="4">
        <f t="shared" si="28"/>
        <v>0.172878497304226</v>
      </c>
    </row>
    <row r="44" spans="2:22" s="4" customFormat="1" x14ac:dyDescent="0.25">
      <c r="B44" s="4" t="s">
        <v>4</v>
      </c>
      <c r="D44" s="4">
        <f>+D17/D$13</f>
        <v>1.1841522915722398</v>
      </c>
      <c r="E44" s="4">
        <f t="shared" si="28"/>
        <v>0.96756026462835287</v>
      </c>
      <c r="F44" s="4">
        <f t="shared" si="28"/>
        <v>0.76354800488200336</v>
      </c>
      <c r="G44" s="4">
        <f t="shared" si="28"/>
        <v>0.7427528939731346</v>
      </c>
      <c r="H44" s="4">
        <f t="shared" si="28"/>
        <v>0.6744595656511142</v>
      </c>
      <c r="I44" s="4">
        <f t="shared" si="28"/>
        <v>0.62949566868973983</v>
      </c>
      <c r="J44" s="4">
        <f t="shared" si="28"/>
        <v>0.59352452134472822</v>
      </c>
      <c r="K44" s="4">
        <f t="shared" si="28"/>
        <v>0.56384798348094978</v>
      </c>
      <c r="L44" s="4">
        <f t="shared" si="28"/>
        <v>0.53336989186638006</v>
      </c>
      <c r="M44" s="4">
        <f t="shared" si="28"/>
        <v>0.51023583518227467</v>
      </c>
      <c r="N44" s="4">
        <f t="shared" si="28"/>
        <v>0.49027011641426688</v>
      </c>
      <c r="O44" s="4">
        <f t="shared" si="28"/>
        <v>0.47458148837350861</v>
      </c>
      <c r="P44" s="4">
        <f t="shared" si="28"/>
        <v>0.4605198265340289</v>
      </c>
      <c r="Q44" s="4">
        <f t="shared" si="28"/>
        <v>0.44930717786622731</v>
      </c>
      <c r="R44" s="4">
        <f t="shared" si="28"/>
        <v>0.44022607398096741</v>
      </c>
      <c r="S44" s="4">
        <f t="shared" si="28"/>
        <v>0.4315396449290746</v>
      </c>
      <c r="T44" s="4">
        <f t="shared" si="28"/>
        <v>0.42459305702682421</v>
      </c>
      <c r="U44" s="4">
        <f t="shared" si="28"/>
        <v>0.41790424009786847</v>
      </c>
      <c r="V44" s="4">
        <f t="shared" si="28"/>
        <v>0.41145469783015104</v>
      </c>
    </row>
    <row r="45" spans="2:22" s="1" customFormat="1" x14ac:dyDescent="0.25"/>
    <row r="46" spans="2:22" s="1" customFormat="1" x14ac:dyDescent="0.25">
      <c r="B46" s="1" t="s">
        <v>31</v>
      </c>
      <c r="D46" s="1">
        <f>-D21</f>
        <v>83896</v>
      </c>
      <c r="E46" s="1">
        <f>+D46-E21</f>
        <v>189793</v>
      </c>
      <c r="F46" s="1">
        <f t="shared" ref="F46:L46" si="29">+E46-F21</f>
        <v>281206</v>
      </c>
      <c r="G46" s="1">
        <f t="shared" si="29"/>
        <v>376588</v>
      </c>
      <c r="H46" s="1">
        <f t="shared" si="29"/>
        <v>460168.32759165374</v>
      </c>
      <c r="I46" s="1">
        <f t="shared" si="29"/>
        <v>531850.15053062444</v>
      </c>
      <c r="J46" s="1">
        <f t="shared" si="29"/>
        <v>587404.28715544753</v>
      </c>
      <c r="K46" s="1">
        <f t="shared" si="29"/>
        <v>623113.7547107935</v>
      </c>
      <c r="L46" s="1">
        <f t="shared" si="29"/>
        <v>638822.53639968485</v>
      </c>
      <c r="M46" s="1">
        <f t="shared" ref="M46:N46" si="30">+L46-M47</f>
        <v>635357.74970156909</v>
      </c>
      <c r="N46" s="1">
        <f t="shared" si="30"/>
        <v>614616.11213138117</v>
      </c>
      <c r="O46" s="1">
        <f t="shared" ref="O46" si="31">+N46-O47</f>
        <v>577557.87177942402</v>
      </c>
      <c r="P46" s="1">
        <f t="shared" ref="P46" si="32">+O46-P47</f>
        <v>523426.07234050764</v>
      </c>
      <c r="Q46" s="1">
        <f t="shared" ref="Q46" si="33">+P46-Q47</f>
        <v>453759.25540855946</v>
      </c>
      <c r="R46" s="1">
        <f t="shared" ref="R46" si="34">+Q46-R47</f>
        <v>370093.82500072976</v>
      </c>
      <c r="S46" s="1">
        <f t="shared" ref="S46" si="35">+R46-S47</f>
        <v>271705.45334900997</v>
      </c>
      <c r="T46" s="1">
        <f t="shared" ref="T46" si="36">+S46-T47</f>
        <v>160519.38448732949</v>
      </c>
    </row>
    <row r="47" spans="2:22" s="1" customFormat="1" x14ac:dyDescent="0.25">
      <c r="B47" s="1" t="s">
        <v>33</v>
      </c>
      <c r="M47" s="1">
        <f>+M21*0.8</f>
        <v>3464.7866981157567</v>
      </c>
      <c r="N47" s="1">
        <f>+N21*0.8</f>
        <v>20741.637570187915</v>
      </c>
      <c r="O47" s="1">
        <f t="shared" ref="O47:P47" si="37">+O21*0.8</f>
        <v>37058.240351957174</v>
      </c>
      <c r="P47" s="1">
        <f t="shared" si="37"/>
        <v>54131.79943891638</v>
      </c>
      <c r="Q47" s="1">
        <f>+Q21*0.8</f>
        <v>69666.816931948168</v>
      </c>
      <c r="R47" s="1">
        <f t="shared" ref="R47" si="38">+R21*0.8</f>
        <v>83665.430407829685</v>
      </c>
      <c r="S47" s="1">
        <f>+S21*0.8</f>
        <v>98388.37165171979</v>
      </c>
      <c r="T47" s="1">
        <f t="shared" ref="T47" si="39">+T21*0.8</f>
        <v>111186.06886168048</v>
      </c>
      <c r="U47" s="1">
        <f>+T46</f>
        <v>160519.38448732949</v>
      </c>
    </row>
    <row r="48" spans="2:22" s="1" customFormat="1" x14ac:dyDescent="0.25">
      <c r="B48" s="1" t="s">
        <v>32</v>
      </c>
      <c r="M48" s="1">
        <f t="shared" ref="M48:N48" si="40">+M21-M47</f>
        <v>866.19667452893918</v>
      </c>
      <c r="N48" s="1">
        <f t="shared" si="40"/>
        <v>5185.4093925469788</v>
      </c>
      <c r="O48" s="1">
        <f t="shared" ref="O48" si="41">+O21-O47</f>
        <v>9264.5600879892954</v>
      </c>
      <c r="P48" s="1">
        <f t="shared" ref="P48" si="42">+P21-P47</f>
        <v>13532.949859729095</v>
      </c>
      <c r="Q48" s="1">
        <f t="shared" ref="Q48" si="43">+Q21-Q47</f>
        <v>17416.704232987031</v>
      </c>
      <c r="R48" s="1">
        <f t="shared" ref="R48" si="44">+R21-R47</f>
        <v>20916.35760195741</v>
      </c>
      <c r="S48" s="1">
        <f t="shared" ref="S48" si="45">+S21-S47</f>
        <v>24597.092912929947</v>
      </c>
      <c r="T48" s="1">
        <f t="shared" ref="T48:U48" si="46">+T21-T47</f>
        <v>27796.517215420114</v>
      </c>
      <c r="U48" s="1">
        <f t="shared" si="46"/>
        <v>-4950.5563250860141</v>
      </c>
    </row>
    <row r="49" spans="2:21" s="1" customFormat="1" x14ac:dyDescent="0.25">
      <c r="B49" s="1" t="s">
        <v>34</v>
      </c>
      <c r="M49" s="1">
        <f>+M48*0.21</f>
        <v>181.90130165107723</v>
      </c>
      <c r="N49" s="1">
        <f t="shared" ref="N49" si="47">+N48*0.21</f>
        <v>1088.9359724348656</v>
      </c>
      <c r="O49" s="1">
        <f t="shared" ref="O49" si="48">+O48*0.21</f>
        <v>1945.5576184777519</v>
      </c>
      <c r="P49" s="1">
        <f t="shared" ref="P49" si="49">+P48*0.21</f>
        <v>2841.91947054311</v>
      </c>
      <c r="Q49" s="1">
        <f t="shared" ref="Q49" si="50">+Q48*0.21</f>
        <v>3657.5078889272763</v>
      </c>
      <c r="R49" s="1">
        <f t="shared" ref="R49" si="51">+R48*0.21</f>
        <v>4392.4350964110563</v>
      </c>
      <c r="S49" s="1">
        <f t="shared" ref="S49" si="52">+S48*0.21</f>
        <v>5165.3895117152888</v>
      </c>
      <c r="T49" s="1">
        <f t="shared" ref="T49:U49" si="53">+T48*0.21</f>
        <v>5837.2686152382239</v>
      </c>
      <c r="U49" s="1">
        <f t="shared" si="53"/>
        <v>-1039.6168282680628</v>
      </c>
    </row>
    <row r="50" spans="2:21" s="1" customFormat="1" x14ac:dyDescent="0.25"/>
    <row r="51" spans="2:21" s="1" customFormat="1" x14ac:dyDescent="0.25"/>
    <row r="52" spans="2:21" s="1" customFormat="1" x14ac:dyDescent="0.25"/>
    <row r="53" spans="2:21" s="1" customFormat="1" x14ac:dyDescent="0.25"/>
    <row r="54" spans="2:21" s="1" customFormat="1" x14ac:dyDescent="0.25"/>
    <row r="55" spans="2:21" s="1" customFormat="1" x14ac:dyDescent="0.25"/>
    <row r="56" spans="2:21" s="1" customFormat="1" x14ac:dyDescent="0.25"/>
    <row r="57" spans="2:21" s="1" customFormat="1" x14ac:dyDescent="0.25"/>
    <row r="58" spans="2:21" s="1" customFormat="1" x14ac:dyDescent="0.25"/>
    <row r="59" spans="2:21" s="1" customFormat="1" x14ac:dyDescent="0.25"/>
    <row r="60" spans="2:21" s="1" customFormat="1" x14ac:dyDescent="0.25"/>
    <row r="61" spans="2:21" s="1" customFormat="1" x14ac:dyDescent="0.25"/>
    <row r="62" spans="2:21" s="1" customFormat="1" x14ac:dyDescent="0.25"/>
    <row r="63" spans="2:21" s="1" customFormat="1" x14ac:dyDescent="0.25"/>
    <row r="64" spans="2:21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  <row r="138" s="1" customFormat="1" x14ac:dyDescent="0.25"/>
    <row r="139" s="1" customFormat="1" x14ac:dyDescent="0.25"/>
    <row r="140" s="1" customFormat="1" x14ac:dyDescent="0.25"/>
    <row r="141" s="1" customFormat="1" x14ac:dyDescent="0.25"/>
    <row r="142" s="1" customFormat="1" x14ac:dyDescent="0.25"/>
    <row r="143" s="1" customFormat="1" x14ac:dyDescent="0.25"/>
    <row r="144" s="1" customFormat="1" x14ac:dyDescent="0.25"/>
    <row r="145" s="1" customFormat="1" x14ac:dyDescent="0.25"/>
    <row r="146" s="1" customFormat="1" x14ac:dyDescent="0.25"/>
    <row r="147" s="1" customFormat="1" x14ac:dyDescent="0.25"/>
    <row r="148" s="1" customFormat="1" x14ac:dyDescent="0.25"/>
    <row r="149" s="1" customFormat="1" x14ac:dyDescent="0.25"/>
    <row r="150" s="1" customFormat="1" x14ac:dyDescent="0.25"/>
    <row r="151" s="1" customFormat="1" x14ac:dyDescent="0.25"/>
    <row r="152" s="1" customFormat="1" x14ac:dyDescent="0.25"/>
    <row r="153" s="1" customFormat="1" x14ac:dyDescent="0.25"/>
    <row r="154" s="1" customFormat="1" x14ac:dyDescent="0.25"/>
    <row r="155" s="1" customFormat="1" x14ac:dyDescent="0.25"/>
    <row r="156" s="1" customFormat="1" x14ac:dyDescent="0.25"/>
    <row r="157" s="1" customFormat="1" x14ac:dyDescent="0.25"/>
    <row r="158" s="1" customFormat="1" x14ac:dyDescent="0.25"/>
    <row r="159" s="1" customFormat="1" x14ac:dyDescent="0.25"/>
    <row r="160" s="1" customFormat="1" x14ac:dyDescent="0.25"/>
    <row r="161" s="1" customFormat="1" x14ac:dyDescent="0.25"/>
    <row r="162" s="1" customFormat="1" x14ac:dyDescent="0.25"/>
    <row r="163" s="1" customFormat="1" x14ac:dyDescent="0.25"/>
    <row r="164" s="1" customFormat="1" x14ac:dyDescent="0.25"/>
    <row r="165" s="1" customFormat="1" x14ac:dyDescent="0.25"/>
    <row r="166" s="1" customFormat="1" x14ac:dyDescent="0.25"/>
    <row r="167" s="1" customFormat="1" x14ac:dyDescent="0.25"/>
    <row r="168" s="1" customFormat="1" x14ac:dyDescent="0.25"/>
    <row r="169" s="1" customFormat="1" x14ac:dyDescent="0.25"/>
    <row r="170" s="1" customFormat="1" x14ac:dyDescent="0.25"/>
    <row r="171" s="1" customFormat="1" x14ac:dyDescent="0.25"/>
    <row r="172" s="1" customFormat="1" x14ac:dyDescent="0.25"/>
    <row r="173" s="1" customFormat="1" x14ac:dyDescent="0.25"/>
    <row r="174" s="1" customFormat="1" x14ac:dyDescent="0.25"/>
    <row r="175" s="1" customFormat="1" x14ac:dyDescent="0.25"/>
    <row r="176" s="1" customFormat="1" x14ac:dyDescent="0.25"/>
    <row r="177" s="1" customFormat="1" x14ac:dyDescent="0.25"/>
    <row r="178" s="1" customFormat="1" x14ac:dyDescent="0.25"/>
    <row r="179" s="1" customFormat="1" x14ac:dyDescent="0.25"/>
    <row r="180" s="1" customFormat="1" x14ac:dyDescent="0.25"/>
    <row r="181" s="1" customFormat="1" x14ac:dyDescent="0.25"/>
    <row r="182" s="1" customFormat="1" x14ac:dyDescent="0.25"/>
    <row r="183" s="1" customFormat="1" x14ac:dyDescent="0.25"/>
    <row r="184" s="1" customFormat="1" x14ac:dyDescent="0.25"/>
    <row r="185" s="1" customFormat="1" x14ac:dyDescent="0.25"/>
    <row r="186" s="1" customFormat="1" x14ac:dyDescent="0.25"/>
    <row r="187" s="1" customFormat="1" x14ac:dyDescent="0.25"/>
    <row r="188" s="1" customFormat="1" x14ac:dyDescent="0.25"/>
    <row r="189" s="1" customFormat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Bull</vt:lpstr>
      <vt:lpstr>Base</vt:lpstr>
      <vt:lpstr>Bear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Kutzer Maximilian Claudius</dc:creator>
  <cp:lastModifiedBy>Kutzer Maximilian Claudius</cp:lastModifiedBy>
  <dcterms:created xsi:type="dcterms:W3CDTF">2026-02-15T13:28:54Z</dcterms:created>
  <dcterms:modified xsi:type="dcterms:W3CDTF">2026-02-26T12:45:37Z</dcterms:modified>
</cp:coreProperties>
</file>