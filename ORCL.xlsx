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A0C9BBA6-5FE0-463E-B00B-8AC99F2CE00F}" xr6:coauthVersionLast="47" xr6:coauthVersionMax="47" xr10:uidLastSave="{00000000-0000-0000-0000-000000000000}"/>
  <bookViews>
    <workbookView xWindow="-120" yWindow="-120" windowWidth="29040" windowHeight="15840" xr2:uid="{1CDCE113-6F97-4781-A72B-C698A9C4E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4" i="1" l="1"/>
  <c r="O34" i="1" s="1"/>
  <c r="P34" i="1" s="1"/>
  <c r="Q34" i="1" s="1"/>
  <c r="R34" i="1" s="1"/>
  <c r="M34" i="1"/>
  <c r="U31" i="1"/>
  <c r="J36" i="1"/>
  <c r="K36" i="1"/>
  <c r="L36" i="1"/>
  <c r="I36" i="1"/>
  <c r="J33" i="1"/>
  <c r="K20" i="1"/>
  <c r="J20" i="1"/>
  <c r="I46" i="1"/>
  <c r="F41" i="1"/>
  <c r="J17" i="1" s="1"/>
  <c r="G41" i="1"/>
  <c r="I39" i="1"/>
  <c r="I40" i="1" s="1"/>
  <c r="I41" i="1" s="1"/>
  <c r="J39" i="1"/>
  <c r="J40" i="1" s="1"/>
  <c r="J41" i="1" s="1"/>
  <c r="K39" i="1"/>
  <c r="K40" i="1" s="1"/>
  <c r="K41" i="1" s="1"/>
  <c r="L39" i="1"/>
  <c r="L40" i="1" s="1"/>
  <c r="L41" i="1" s="1"/>
  <c r="H39" i="1"/>
  <c r="H40" i="1" s="1"/>
  <c r="H41" i="1" s="1"/>
  <c r="I17" i="1"/>
  <c r="N39" i="1"/>
  <c r="N40" i="1" s="1"/>
  <c r="J26" i="1"/>
  <c r="K26" i="1" s="1"/>
  <c r="L26" i="1" s="1"/>
  <c r="M26" i="1" s="1"/>
  <c r="N26" i="1" s="1"/>
  <c r="O26" i="1" s="1"/>
  <c r="P26" i="1" s="1"/>
  <c r="Q26" i="1" s="1"/>
  <c r="R26" i="1" s="1"/>
  <c r="G54" i="1"/>
  <c r="G53" i="1"/>
  <c r="H54" i="1"/>
  <c r="H53" i="1"/>
  <c r="I54" i="1"/>
  <c r="I53" i="1"/>
  <c r="J6" i="1"/>
  <c r="K6" i="1" s="1"/>
  <c r="K10" i="1" s="1"/>
  <c r="J7" i="1"/>
  <c r="K7" i="1" s="1"/>
  <c r="L7" i="1" s="1"/>
  <c r="M7" i="1" s="1"/>
  <c r="N7" i="1" s="1"/>
  <c r="O7" i="1" s="1"/>
  <c r="P7" i="1" s="1"/>
  <c r="Q7" i="1" s="1"/>
  <c r="R7" i="1" s="1"/>
  <c r="R11" i="1" s="1"/>
  <c r="J5" i="1"/>
  <c r="K5" i="1" s="1"/>
  <c r="L5" i="1" s="1"/>
  <c r="M5" i="1" s="1"/>
  <c r="N5" i="1" s="1"/>
  <c r="O5" i="1" s="1"/>
  <c r="P5" i="1" s="1"/>
  <c r="Q5" i="1" s="1"/>
  <c r="R5" i="1" s="1"/>
  <c r="H30" i="1"/>
  <c r="G30" i="1"/>
  <c r="H52" i="1"/>
  <c r="G52" i="1"/>
  <c r="I4" i="1"/>
  <c r="I9" i="1" s="1"/>
  <c r="H46" i="1"/>
  <c r="H49" i="1" s="1"/>
  <c r="G46" i="1"/>
  <c r="G49" i="1" s="1"/>
  <c r="H35" i="1"/>
  <c r="G35" i="1"/>
  <c r="F35" i="1"/>
  <c r="H18" i="1"/>
  <c r="G18" i="1"/>
  <c r="F18" i="1"/>
  <c r="G8" i="1"/>
  <c r="G57" i="1" s="1"/>
  <c r="H8" i="1"/>
  <c r="H57" i="1" s="1"/>
  <c r="G12" i="1"/>
  <c r="H12" i="1"/>
  <c r="F12" i="1"/>
  <c r="F8" i="1"/>
  <c r="F58" i="1" s="1"/>
  <c r="G2" i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L17" i="1" l="1"/>
  <c r="K17" i="1"/>
  <c r="J4" i="1"/>
  <c r="K4" i="1" s="1"/>
  <c r="L4" i="1" s="1"/>
  <c r="M4" i="1" s="1"/>
  <c r="N4" i="1" s="1"/>
  <c r="O4" i="1" s="1"/>
  <c r="P4" i="1" s="1"/>
  <c r="Q4" i="1" s="1"/>
  <c r="R4" i="1" s="1"/>
  <c r="N41" i="1"/>
  <c r="I30" i="1"/>
  <c r="M39" i="1"/>
  <c r="M40" i="1" s="1"/>
  <c r="M41" i="1" s="1"/>
  <c r="N11" i="1"/>
  <c r="F57" i="1"/>
  <c r="G56" i="1"/>
  <c r="M11" i="1"/>
  <c r="J10" i="1"/>
  <c r="L11" i="1"/>
  <c r="F56" i="1"/>
  <c r="K11" i="1"/>
  <c r="H56" i="1"/>
  <c r="H58" i="1"/>
  <c r="J11" i="1"/>
  <c r="G58" i="1"/>
  <c r="Q11" i="1"/>
  <c r="P11" i="1"/>
  <c r="O11" i="1"/>
  <c r="L6" i="1"/>
  <c r="I12" i="1"/>
  <c r="I52" i="1"/>
  <c r="J52" i="1" s="1"/>
  <c r="K52" i="1" s="1"/>
  <c r="L52" i="1" s="1"/>
  <c r="M52" i="1" s="1"/>
  <c r="N52" i="1" s="1"/>
  <c r="O52" i="1" s="1"/>
  <c r="P52" i="1" s="1"/>
  <c r="Q52" i="1" s="1"/>
  <c r="R52" i="1" s="1"/>
  <c r="I8" i="1"/>
  <c r="G47" i="1"/>
  <c r="H47" i="1"/>
  <c r="H13" i="1"/>
  <c r="G13" i="1"/>
  <c r="F13" i="1"/>
  <c r="J8" i="1" l="1"/>
  <c r="N17" i="1"/>
  <c r="M17" i="1"/>
  <c r="O39" i="1"/>
  <c r="O40" i="1" s="1"/>
  <c r="O41" i="1" s="1"/>
  <c r="O17" i="1" s="1"/>
  <c r="I13" i="1"/>
  <c r="I19" i="1" s="1"/>
  <c r="I28" i="1"/>
  <c r="J14" i="1"/>
  <c r="J56" i="1" s="1"/>
  <c r="J16" i="1"/>
  <c r="J58" i="1" s="1"/>
  <c r="J15" i="1"/>
  <c r="J57" i="1" s="1"/>
  <c r="I57" i="1"/>
  <c r="I58" i="1"/>
  <c r="I56" i="1"/>
  <c r="J9" i="1"/>
  <c r="J12" i="1" s="1"/>
  <c r="J13" i="1" s="1"/>
  <c r="M6" i="1"/>
  <c r="L10" i="1"/>
  <c r="F19" i="1"/>
  <c r="F28" i="1"/>
  <c r="G19" i="1"/>
  <c r="G28" i="1"/>
  <c r="H19" i="1"/>
  <c r="H28" i="1"/>
  <c r="I29" i="1" l="1"/>
  <c r="I22" i="1"/>
  <c r="I24" i="1" s="1"/>
  <c r="I33" i="1" s="1"/>
  <c r="I35" i="1" s="1"/>
  <c r="P39" i="1"/>
  <c r="P40" i="1" s="1"/>
  <c r="P41" i="1" s="1"/>
  <c r="J19" i="1"/>
  <c r="J22" i="1" s="1"/>
  <c r="J23" i="1" s="1"/>
  <c r="J24" i="1" s="1"/>
  <c r="J28" i="1"/>
  <c r="I25" i="1"/>
  <c r="K9" i="1"/>
  <c r="K12" i="1" s="1"/>
  <c r="K8" i="1"/>
  <c r="N6" i="1"/>
  <c r="M10" i="1"/>
  <c r="G22" i="1"/>
  <c r="G24" i="1" s="1"/>
  <c r="G25" i="1" s="1"/>
  <c r="G29" i="1"/>
  <c r="H22" i="1"/>
  <c r="H24" i="1" s="1"/>
  <c r="H25" i="1" s="1"/>
  <c r="H29" i="1"/>
  <c r="F22" i="1"/>
  <c r="F24" i="1" s="1"/>
  <c r="F25" i="1" s="1"/>
  <c r="F29" i="1"/>
  <c r="P17" i="1" l="1"/>
  <c r="J29" i="1"/>
  <c r="Q39" i="1"/>
  <c r="Q40" i="1" s="1"/>
  <c r="Q41" i="1" s="1"/>
  <c r="Q17" i="1" s="1"/>
  <c r="J25" i="1"/>
  <c r="J35" i="1"/>
  <c r="J46" i="1" s="1"/>
  <c r="O6" i="1"/>
  <c r="N10" i="1"/>
  <c r="K13" i="1"/>
  <c r="K16" i="1"/>
  <c r="K58" i="1" s="1"/>
  <c r="K15" i="1"/>
  <c r="K57" i="1" s="1"/>
  <c r="K14" i="1"/>
  <c r="K56" i="1" s="1"/>
  <c r="L9" i="1"/>
  <c r="L12" i="1" s="1"/>
  <c r="L8" i="1"/>
  <c r="R39" i="1" l="1"/>
  <c r="R40" i="1" s="1"/>
  <c r="R41" i="1" s="1"/>
  <c r="R17" i="1" s="1"/>
  <c r="K19" i="1"/>
  <c r="K29" i="1" s="1"/>
  <c r="K28" i="1"/>
  <c r="L13" i="1"/>
  <c r="L28" i="1" s="1"/>
  <c r="L16" i="1"/>
  <c r="L58" i="1" s="1"/>
  <c r="L15" i="1"/>
  <c r="L57" i="1" s="1"/>
  <c r="L14" i="1"/>
  <c r="L56" i="1" s="1"/>
  <c r="M9" i="1"/>
  <c r="M12" i="1" s="1"/>
  <c r="M8" i="1"/>
  <c r="P6" i="1"/>
  <c r="O10" i="1"/>
  <c r="K22" i="1" l="1"/>
  <c r="K23" i="1" s="1"/>
  <c r="K24" i="1" s="1"/>
  <c r="K25" i="1" s="1"/>
  <c r="Q6" i="1"/>
  <c r="P10" i="1"/>
  <c r="N9" i="1"/>
  <c r="N12" i="1" s="1"/>
  <c r="N8" i="1"/>
  <c r="M13" i="1"/>
  <c r="M28" i="1" s="1"/>
  <c r="M16" i="1"/>
  <c r="M58" i="1" s="1"/>
  <c r="M15" i="1"/>
  <c r="M57" i="1" s="1"/>
  <c r="M14" i="1"/>
  <c r="M56" i="1" s="1"/>
  <c r="L19" i="1"/>
  <c r="K33" i="1" l="1"/>
  <c r="K35" i="1" s="1"/>
  <c r="K46" i="1" s="1"/>
  <c r="L20" i="1" s="1"/>
  <c r="L22" i="1" s="1"/>
  <c r="L23" i="1" s="1"/>
  <c r="L24" i="1" s="1"/>
  <c r="L29" i="1"/>
  <c r="M19" i="1"/>
  <c r="N13" i="1"/>
  <c r="N28" i="1" s="1"/>
  <c r="N14" i="1"/>
  <c r="N56" i="1" s="1"/>
  <c r="N16" i="1"/>
  <c r="N58" i="1" s="1"/>
  <c r="N15" i="1"/>
  <c r="N57" i="1" s="1"/>
  <c r="O9" i="1"/>
  <c r="O12" i="1" s="1"/>
  <c r="O8" i="1"/>
  <c r="R6" i="1"/>
  <c r="R10" i="1" s="1"/>
  <c r="Q10" i="1"/>
  <c r="L25" i="1" l="1"/>
  <c r="L33" i="1"/>
  <c r="L35" i="1" s="1"/>
  <c r="L46" i="1" s="1"/>
  <c r="M20" i="1" s="1"/>
  <c r="M22" i="1" s="1"/>
  <c r="M23" i="1" s="1"/>
  <c r="M24" i="1" s="1"/>
  <c r="M29" i="1"/>
  <c r="O13" i="1"/>
  <c r="O28" i="1" s="1"/>
  <c r="O14" i="1"/>
  <c r="O56" i="1" s="1"/>
  <c r="O16" i="1"/>
  <c r="O58" i="1" s="1"/>
  <c r="O15" i="1"/>
  <c r="O57" i="1" s="1"/>
  <c r="P9" i="1"/>
  <c r="P12" i="1" s="1"/>
  <c r="P8" i="1"/>
  <c r="N19" i="1"/>
  <c r="M25" i="1" l="1"/>
  <c r="M33" i="1"/>
  <c r="M35" i="1" s="1"/>
  <c r="N29" i="1"/>
  <c r="P13" i="1"/>
  <c r="P28" i="1" s="1"/>
  <c r="P14" i="1"/>
  <c r="P56" i="1" s="1"/>
  <c r="P16" i="1"/>
  <c r="P58" i="1" s="1"/>
  <c r="P15" i="1"/>
  <c r="P57" i="1" s="1"/>
  <c r="Q9" i="1"/>
  <c r="Q12" i="1" s="1"/>
  <c r="Q8" i="1"/>
  <c r="O19" i="1"/>
  <c r="M46" i="1" l="1"/>
  <c r="N20" i="1" s="1"/>
  <c r="N22" i="1" s="1"/>
  <c r="N23" i="1" s="1"/>
  <c r="N24" i="1" s="1"/>
  <c r="N25" i="1" s="1"/>
  <c r="M36" i="1"/>
  <c r="O29" i="1"/>
  <c r="Q13" i="1"/>
  <c r="Q28" i="1" s="1"/>
  <c r="Q14" i="1"/>
  <c r="Q56" i="1" s="1"/>
  <c r="Q16" i="1"/>
  <c r="Q58" i="1" s="1"/>
  <c r="Q15" i="1"/>
  <c r="Q57" i="1" s="1"/>
  <c r="P19" i="1"/>
  <c r="R9" i="1"/>
  <c r="R12" i="1" s="1"/>
  <c r="R8" i="1"/>
  <c r="N33" i="1" l="1"/>
  <c r="N35" i="1" s="1"/>
  <c r="P29" i="1"/>
  <c r="R13" i="1"/>
  <c r="R28" i="1" s="1"/>
  <c r="R14" i="1"/>
  <c r="R56" i="1" s="1"/>
  <c r="R16" i="1"/>
  <c r="R58" i="1" s="1"/>
  <c r="R15" i="1"/>
  <c r="R57" i="1" s="1"/>
  <c r="Q19" i="1"/>
  <c r="N46" i="1" l="1"/>
  <c r="O20" i="1" s="1"/>
  <c r="O22" i="1" s="1"/>
  <c r="O23" i="1" s="1"/>
  <c r="O24" i="1" s="1"/>
  <c r="N36" i="1"/>
  <c r="Q29" i="1"/>
  <c r="R19" i="1"/>
  <c r="O25" i="1" l="1"/>
  <c r="O33" i="1"/>
  <c r="O35" i="1" s="1"/>
  <c r="R29" i="1"/>
  <c r="O46" i="1" l="1"/>
  <c r="P20" i="1" s="1"/>
  <c r="P22" i="1" s="1"/>
  <c r="P23" i="1" s="1"/>
  <c r="P24" i="1" s="1"/>
  <c r="O36" i="1"/>
  <c r="P25" i="1" l="1"/>
  <c r="P33" i="1"/>
  <c r="P35" i="1" s="1"/>
  <c r="P46" i="1" l="1"/>
  <c r="Q20" i="1" s="1"/>
  <c r="Q22" i="1" s="1"/>
  <c r="Q23" i="1" s="1"/>
  <c r="Q24" i="1" s="1"/>
  <c r="P36" i="1"/>
  <c r="Q25" i="1" l="1"/>
  <c r="Q33" i="1"/>
  <c r="Q35" i="1" s="1"/>
  <c r="Q46" i="1" l="1"/>
  <c r="R20" i="1" s="1"/>
  <c r="R22" i="1" s="1"/>
  <c r="R23" i="1" s="1"/>
  <c r="R24" i="1" s="1"/>
  <c r="Q36" i="1"/>
  <c r="R25" i="1" l="1"/>
  <c r="R33" i="1"/>
  <c r="R35" i="1" s="1"/>
  <c r="R46" i="1" l="1"/>
  <c r="R36" i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DH36" i="1" s="1"/>
  <c r="DI36" i="1" s="1"/>
  <c r="DJ36" i="1" s="1"/>
  <c r="DK36" i="1" s="1"/>
  <c r="DL36" i="1" s="1"/>
  <c r="DM36" i="1" s="1"/>
  <c r="DN36" i="1" s="1"/>
  <c r="DO36" i="1" s="1"/>
  <c r="DP36" i="1" s="1"/>
  <c r="DQ36" i="1" s="1"/>
  <c r="DR36" i="1" s="1"/>
  <c r="DS36" i="1" s="1"/>
  <c r="DT36" i="1" s="1"/>
  <c r="DU36" i="1" s="1"/>
  <c r="DV36" i="1" s="1"/>
  <c r="DW36" i="1" s="1"/>
  <c r="DX36" i="1" s="1"/>
  <c r="DY36" i="1" s="1"/>
  <c r="DZ36" i="1" s="1"/>
  <c r="EA36" i="1" s="1"/>
  <c r="EB36" i="1" s="1"/>
  <c r="EC36" i="1" s="1"/>
  <c r="ED36" i="1" s="1"/>
  <c r="EE36" i="1" s="1"/>
  <c r="EF36" i="1" s="1"/>
  <c r="EG36" i="1" s="1"/>
  <c r="EH36" i="1" s="1"/>
  <c r="EI36" i="1" s="1"/>
  <c r="EJ36" i="1" s="1"/>
  <c r="EK36" i="1" s="1"/>
  <c r="EL36" i="1" s="1"/>
  <c r="EM36" i="1" s="1"/>
  <c r="EN36" i="1" s="1"/>
  <c r="EO36" i="1" s="1"/>
  <c r="EP36" i="1" s="1"/>
  <c r="EQ36" i="1" s="1"/>
  <c r="ER36" i="1" s="1"/>
  <c r="ES36" i="1" s="1"/>
  <c r="ET36" i="1" s="1"/>
  <c r="EU36" i="1" s="1"/>
  <c r="EV36" i="1" s="1"/>
  <c r="EW36" i="1" s="1"/>
  <c r="EX36" i="1" s="1"/>
  <c r="EY36" i="1" s="1"/>
  <c r="EZ36" i="1" s="1"/>
  <c r="FA36" i="1" s="1"/>
  <c r="FB36" i="1" s="1"/>
  <c r="FC36" i="1" s="1"/>
  <c r="FD36" i="1" s="1"/>
  <c r="U30" i="1" s="1"/>
  <c r="U32" i="1" s="1"/>
  <c r="U33" i="1" s="1"/>
</calcChain>
</file>

<file path=xl/sharedStrings.xml><?xml version="1.0" encoding="utf-8"?>
<sst xmlns="http://schemas.openxmlformats.org/spreadsheetml/2006/main" count="54" uniqueCount="45">
  <si>
    <t>Cloud services</t>
  </si>
  <si>
    <t>Cloud license</t>
  </si>
  <si>
    <t>Hardware</t>
  </si>
  <si>
    <t>Service</t>
  </si>
  <si>
    <t>Total Revenue</t>
  </si>
  <si>
    <t>Cloud support</t>
  </si>
  <si>
    <t>COGS</t>
  </si>
  <si>
    <t>Gross Profit</t>
  </si>
  <si>
    <t>S&amp;M</t>
  </si>
  <si>
    <t>R&amp;D</t>
  </si>
  <si>
    <t>G&amp;A</t>
  </si>
  <si>
    <t>D&amp;A</t>
  </si>
  <si>
    <t>M&amp;A + Related</t>
  </si>
  <si>
    <t>Operating Income</t>
  </si>
  <si>
    <t>Interest expense</t>
  </si>
  <si>
    <t>Other Income</t>
  </si>
  <si>
    <t>Pretax</t>
  </si>
  <si>
    <t>Taxes</t>
  </si>
  <si>
    <t>Net Income</t>
  </si>
  <si>
    <t>Shares</t>
  </si>
  <si>
    <t>EPS</t>
  </si>
  <si>
    <t>Gross Margin</t>
  </si>
  <si>
    <t>Operating Margin</t>
  </si>
  <si>
    <t>CFFO</t>
  </si>
  <si>
    <t>CapEx</t>
  </si>
  <si>
    <t>FCF</t>
  </si>
  <si>
    <t>Cash</t>
  </si>
  <si>
    <t>Securities</t>
  </si>
  <si>
    <t>PP&amp;E</t>
  </si>
  <si>
    <t>Debt</t>
  </si>
  <si>
    <t>NAV</t>
  </si>
  <si>
    <t>Cost of Debt</t>
  </si>
  <si>
    <t>Cloud Y/Y</t>
  </si>
  <si>
    <t>SBC</t>
  </si>
  <si>
    <t>Non AI CapEx</t>
  </si>
  <si>
    <t>AI CapEx</t>
  </si>
  <si>
    <t>GPUs</t>
  </si>
  <si>
    <t>Non GPU</t>
  </si>
  <si>
    <t>FCFF</t>
  </si>
  <si>
    <t>Discount</t>
  </si>
  <si>
    <t>Terminal</t>
  </si>
  <si>
    <t>NPV</t>
  </si>
  <si>
    <t>Net Cash</t>
  </si>
  <si>
    <t>Value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</si>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</sst>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7" formatCode="#,##0_ ;[Red]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9" fontId="0" fillId="0" borderId="0" xfId="1" applyFont="1"/>
    <xf numFmtId="165" fontId="0" fillId="0" borderId="0" xfId="1" applyNumberFormat="1" applyFont="1"/>
    <xf numFmtId="167" fontId="0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604157</xdr:colOff>
      <xdr:row>3</xdr:row>
      <xdr:rowOff>0</xdr:rowOff>
    </xdr:from>
    <xdr:to>
      <xdr:col>8</xdr:col>
      <xdr:colOff>5443</xdr:colOff>
      <xdr:row>34</xdr:row>
      <xdr:rowOff>10886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D863B1-F8D2-3D0E-05ED-682A62A60E83}"/>
            </a:ext>
          </a:extLst>
        </xdr:cNvPr>
        <xdr:cNvCxnSpPr/>
      </xdr:nvCxnSpPr>
      <xdr:spPr>
        <a:xfrm>
          <a:off x="3755571" y="571500"/>
          <a:ext cx="10886" cy="55353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9E65-4660-45A1-8F6E-E3692E351D3B}">
  <dimension ref="B2:FD103"/>
  <sheetViews>
    <sheetView tabSelected="1" zoomScale="175" zoomScaleNormal="175" workbookViewId="0">
      <pane xSplit="2" ySplit="2" topLeftCell="I18" activePane="bottomRight" state="frozen"/>
      <selection pane="topRight" activeCell="C1" sqref="C1"/>
      <selection pane="bottomLeft" activeCell="A3" sqref="A3"/>
      <selection pane="bottomRight" activeCell="T27" sqref="T27"/>
    </sheetView>
  </sheetViews>
  <sheetFormatPr defaultRowHeight="15" x14ac:dyDescent="0.25"/>
  <cols>
    <col min="1" max="1" width="2.85546875" customWidth="1"/>
    <col min="2" max="2" width="17" bestFit="1" customWidth="1"/>
    <col min="21" max="21" width="9.28515625" customWidth="1"/>
  </cols>
  <sheetData>
    <row r="2" spans="2:18" x14ac:dyDescent="0.25">
      <c r="F2">
        <v>2023</v>
      </c>
      <c r="G2">
        <f>+F2+1</f>
        <v>2024</v>
      </c>
      <c r="H2">
        <f>+G2+1</f>
        <v>2025</v>
      </c>
      <c r="I2">
        <f>+H2+1</f>
        <v>2026</v>
      </c>
      <c r="J2">
        <f t="shared" ref="J2:R2" si="0">+I2+1</f>
        <v>2027</v>
      </c>
      <c r="K2">
        <f t="shared" si="0"/>
        <v>2028</v>
      </c>
      <c r="L2">
        <f t="shared" si="0"/>
        <v>2029</v>
      </c>
      <c r="M2">
        <f t="shared" si="0"/>
        <v>2030</v>
      </c>
      <c r="N2">
        <f t="shared" si="0"/>
        <v>2031</v>
      </c>
      <c r="O2">
        <f t="shared" si="0"/>
        <v>2032</v>
      </c>
      <c r="P2">
        <f t="shared" si="0"/>
        <v>2033</v>
      </c>
      <c r="Q2">
        <f t="shared" si="0"/>
        <v>2034</v>
      </c>
      <c r="R2">
        <f t="shared" si="0"/>
        <v>2035</v>
      </c>
    </row>
    <row r="3" spans="2:18" s="1" customFormat="1" x14ac:dyDescent="0.25"/>
    <row r="4" spans="2:18" s="1" customFormat="1" x14ac:dyDescent="0.25">
      <c r="B4" s="1" t="s">
        <v>0</v>
      </c>
      <c r="F4" s="1">
        <v>35307</v>
      </c>
      <c r="G4" s="1">
        <v>39383</v>
      </c>
      <c r="H4" s="1">
        <v>44029</v>
      </c>
      <c r="I4" s="1">
        <f>+H4+8000</f>
        <v>52029</v>
      </c>
      <c r="J4" s="1">
        <f>+I4*(1+J30)</f>
        <v>70239.150000000009</v>
      </c>
      <c r="K4" s="1">
        <f>+J4*(1+K30)</f>
        <v>105358.72500000001</v>
      </c>
      <c r="L4" s="1">
        <f t="shared" ref="L4:R4" si="1">+K4*(1+L30)</f>
        <v>142234.27875000003</v>
      </c>
      <c r="M4" s="1">
        <f t="shared" si="1"/>
        <v>177792.84843750004</v>
      </c>
      <c r="N4" s="1">
        <f t="shared" si="1"/>
        <v>213351.41812500005</v>
      </c>
      <c r="O4" s="1">
        <f t="shared" si="1"/>
        <v>256021.70175000007</v>
      </c>
      <c r="P4" s="1">
        <f t="shared" si="1"/>
        <v>294424.95701250003</v>
      </c>
      <c r="Q4" s="1">
        <f t="shared" si="1"/>
        <v>338588.70056437503</v>
      </c>
      <c r="R4" s="1">
        <f t="shared" si="1"/>
        <v>389377.00564903126</v>
      </c>
    </row>
    <row r="5" spans="2:18" s="1" customFormat="1" x14ac:dyDescent="0.25">
      <c r="B5" s="1" t="s">
        <v>1</v>
      </c>
      <c r="F5" s="1">
        <v>5779</v>
      </c>
      <c r="G5" s="1">
        <v>5081</v>
      </c>
      <c r="H5" s="1">
        <v>5201</v>
      </c>
      <c r="I5" s="1">
        <v>5000</v>
      </c>
      <c r="J5" s="1">
        <f>+I5*1.05</f>
        <v>5250</v>
      </c>
      <c r="K5" s="1">
        <f t="shared" ref="K5:R5" si="2">+J5*1.05</f>
        <v>5512.5</v>
      </c>
      <c r="L5" s="1">
        <f t="shared" si="2"/>
        <v>5788.125</v>
      </c>
      <c r="M5" s="1">
        <f t="shared" si="2"/>
        <v>6077.53125</v>
      </c>
      <c r="N5" s="1">
        <f t="shared" si="2"/>
        <v>6381.4078125000005</v>
      </c>
      <c r="O5" s="1">
        <f t="shared" si="2"/>
        <v>6700.4782031250006</v>
      </c>
      <c r="P5" s="1">
        <f t="shared" si="2"/>
        <v>7035.5021132812508</v>
      </c>
      <c r="Q5" s="1">
        <f t="shared" si="2"/>
        <v>7387.2772189453135</v>
      </c>
      <c r="R5" s="1">
        <f t="shared" si="2"/>
        <v>7756.6410798925799</v>
      </c>
    </row>
    <row r="6" spans="2:18" s="1" customFormat="1" x14ac:dyDescent="0.25">
      <c r="B6" s="1" t="s">
        <v>2</v>
      </c>
      <c r="F6" s="1">
        <v>3274</v>
      </c>
      <c r="G6" s="1">
        <v>3066</v>
      </c>
      <c r="H6" s="1">
        <v>2936</v>
      </c>
      <c r="I6" s="1">
        <v>3000</v>
      </c>
      <c r="J6" s="1">
        <f t="shared" ref="J6:R6" si="3">+I6*1.05</f>
        <v>3150</v>
      </c>
      <c r="K6" s="1">
        <f t="shared" si="3"/>
        <v>3307.5</v>
      </c>
      <c r="L6" s="1">
        <f t="shared" si="3"/>
        <v>3472.875</v>
      </c>
      <c r="M6" s="1">
        <f t="shared" si="3"/>
        <v>3646.5187500000002</v>
      </c>
      <c r="N6" s="1">
        <f t="shared" si="3"/>
        <v>3828.8446875000004</v>
      </c>
      <c r="O6" s="1">
        <f t="shared" si="3"/>
        <v>4020.2869218750006</v>
      </c>
      <c r="P6" s="1">
        <f t="shared" si="3"/>
        <v>4221.3012679687508</v>
      </c>
      <c r="Q6" s="1">
        <f t="shared" si="3"/>
        <v>4432.3663313671886</v>
      </c>
      <c r="R6" s="1">
        <f t="shared" si="3"/>
        <v>4653.9846479355483</v>
      </c>
    </row>
    <row r="7" spans="2:18" s="1" customFormat="1" x14ac:dyDescent="0.25">
      <c r="B7" s="1" t="s">
        <v>3</v>
      </c>
      <c r="F7" s="1">
        <v>5594</v>
      </c>
      <c r="G7" s="1">
        <v>5431</v>
      </c>
      <c r="H7" s="1">
        <v>5233</v>
      </c>
      <c r="I7" s="1">
        <v>6000</v>
      </c>
      <c r="J7" s="1">
        <f t="shared" ref="J7:R7" si="4">+I7*1.05</f>
        <v>6300</v>
      </c>
      <c r="K7" s="1">
        <f t="shared" si="4"/>
        <v>6615</v>
      </c>
      <c r="L7" s="1">
        <f t="shared" si="4"/>
        <v>6945.75</v>
      </c>
      <c r="M7" s="1">
        <f t="shared" si="4"/>
        <v>7293.0375000000004</v>
      </c>
      <c r="N7" s="1">
        <f t="shared" si="4"/>
        <v>7657.6893750000008</v>
      </c>
      <c r="O7" s="1">
        <f t="shared" si="4"/>
        <v>8040.5738437500013</v>
      </c>
      <c r="P7" s="1">
        <f t="shared" si="4"/>
        <v>8442.6025359375017</v>
      </c>
      <c r="Q7" s="1">
        <f t="shared" si="4"/>
        <v>8864.7326627343773</v>
      </c>
      <c r="R7" s="1">
        <f t="shared" si="4"/>
        <v>9307.9692958710966</v>
      </c>
    </row>
    <row r="8" spans="2:18" s="2" customFormat="1" x14ac:dyDescent="0.25">
      <c r="B8" s="2" t="s">
        <v>4</v>
      </c>
      <c r="F8" s="2">
        <f>+SUM(F4:F7)</f>
        <v>49954</v>
      </c>
      <c r="G8" s="2">
        <f t="shared" ref="G8:J8" si="5">+SUM(G4:G7)</f>
        <v>52961</v>
      </c>
      <c r="H8" s="2">
        <f t="shared" si="5"/>
        <v>57399</v>
      </c>
      <c r="I8" s="2">
        <f t="shared" si="5"/>
        <v>66029</v>
      </c>
      <c r="J8" s="2">
        <f t="shared" si="5"/>
        <v>84939.150000000009</v>
      </c>
      <c r="K8" s="2">
        <f t="shared" ref="K8" si="6">+SUM(K4:K7)</f>
        <v>120793.72500000001</v>
      </c>
      <c r="L8" s="2">
        <f t="shared" ref="L8" si="7">+SUM(L4:L7)</f>
        <v>158441.02875000003</v>
      </c>
      <c r="M8" s="2">
        <f t="shared" ref="M8" si="8">+SUM(M4:M7)</f>
        <v>194809.93593750003</v>
      </c>
      <c r="N8" s="2">
        <f t="shared" ref="N8" si="9">+SUM(N4:N7)</f>
        <v>231219.36000000004</v>
      </c>
      <c r="O8" s="2">
        <f t="shared" ref="O8" si="10">+SUM(O4:O7)</f>
        <v>274783.0407187501</v>
      </c>
      <c r="P8" s="2">
        <f t="shared" ref="P8" si="11">+SUM(P4:P7)</f>
        <v>314124.36292968749</v>
      </c>
      <c r="Q8" s="2">
        <f t="shared" ref="Q8" si="12">+SUM(Q4:Q7)</f>
        <v>359273.07677742193</v>
      </c>
      <c r="R8" s="2">
        <f t="shared" ref="R8" si="13">+SUM(R4:R7)</f>
        <v>411095.60067273048</v>
      </c>
    </row>
    <row r="9" spans="2:18" s="1" customFormat="1" x14ac:dyDescent="0.25">
      <c r="B9" s="1" t="s">
        <v>5</v>
      </c>
      <c r="F9" s="1">
        <v>7763</v>
      </c>
      <c r="G9" s="1">
        <v>9427</v>
      </c>
      <c r="H9" s="1">
        <v>11569</v>
      </c>
      <c r="I9" s="1">
        <f>+I4*0.25+I5*0.25</f>
        <v>14257.25</v>
      </c>
      <c r="J9" s="1">
        <f>(J4+J5)*J52</f>
        <v>18494.841750000003</v>
      </c>
      <c r="K9" s="1">
        <f>(K4+K5)*K52</f>
        <v>26609.094000000001</v>
      </c>
      <c r="L9" s="1">
        <f>(L4+L5)*L52</f>
        <v>34785.264881250005</v>
      </c>
      <c r="M9" s="1">
        <f>(M4+M5)*M52</f>
        <v>42290.187328125008</v>
      </c>
      <c r="N9" s="1">
        <f>(N4+N5)*N52</f>
        <v>49439.885835937508</v>
      </c>
      <c r="O9" s="1">
        <f>(O4+O5)*O52</f>
        <v>57798.879589687509</v>
      </c>
      <c r="P9" s="1">
        <f>(P4+P5)*P52</f>
        <v>64813.998712042958</v>
      </c>
      <c r="Q9" s="1">
        <f>(Q4+Q5)*Q52</f>
        <v>72654.955334497266</v>
      </c>
      <c r="R9" s="1">
        <f>(R4+R5)*R52</f>
        <v>81412.397579429366</v>
      </c>
    </row>
    <row r="10" spans="2:18" s="1" customFormat="1" x14ac:dyDescent="0.25">
      <c r="B10" s="1" t="s">
        <v>2</v>
      </c>
      <c r="F10" s="1">
        <v>1040</v>
      </c>
      <c r="G10" s="1">
        <v>891</v>
      </c>
      <c r="H10" s="1">
        <v>782</v>
      </c>
      <c r="I10" s="1">
        <v>800</v>
      </c>
      <c r="J10" s="1">
        <f>+J6*0.27</f>
        <v>850.5</v>
      </c>
      <c r="K10" s="1">
        <f t="shared" ref="K10:R10" si="14">+K6*0.27</f>
        <v>893.02500000000009</v>
      </c>
      <c r="L10" s="1">
        <f t="shared" si="14"/>
        <v>937.6762500000001</v>
      </c>
      <c r="M10" s="1">
        <f t="shared" si="14"/>
        <v>984.56006250000007</v>
      </c>
      <c r="N10" s="1">
        <f t="shared" si="14"/>
        <v>1033.7880656250002</v>
      </c>
      <c r="O10" s="1">
        <f t="shared" si="14"/>
        <v>1085.4774689062504</v>
      </c>
      <c r="P10" s="1">
        <f t="shared" si="14"/>
        <v>1139.7513423515627</v>
      </c>
      <c r="Q10" s="1">
        <f t="shared" si="14"/>
        <v>1196.7389094691409</v>
      </c>
      <c r="R10" s="1">
        <f t="shared" si="14"/>
        <v>1256.5758549425982</v>
      </c>
    </row>
    <row r="11" spans="2:18" s="1" customFormat="1" x14ac:dyDescent="0.25">
      <c r="B11" s="1" t="s">
        <v>3</v>
      </c>
      <c r="F11" s="1">
        <v>4761</v>
      </c>
      <c r="G11" s="1">
        <v>4825</v>
      </c>
      <c r="H11" s="1">
        <v>4576</v>
      </c>
      <c r="I11" s="1">
        <v>5000</v>
      </c>
      <c r="J11" s="1">
        <f>+J7*0.8</f>
        <v>5040</v>
      </c>
      <c r="K11" s="1">
        <f t="shared" ref="K11:R11" si="15">+K7*0.8</f>
        <v>5292</v>
      </c>
      <c r="L11" s="1">
        <f t="shared" si="15"/>
        <v>5556.6</v>
      </c>
      <c r="M11" s="1">
        <f t="shared" si="15"/>
        <v>5834.43</v>
      </c>
      <c r="N11" s="1">
        <f t="shared" si="15"/>
        <v>6126.1515000000009</v>
      </c>
      <c r="O11" s="1">
        <f t="shared" si="15"/>
        <v>6432.4590750000016</v>
      </c>
      <c r="P11" s="1">
        <f t="shared" si="15"/>
        <v>6754.0820287500019</v>
      </c>
      <c r="Q11" s="1">
        <f t="shared" si="15"/>
        <v>7091.7861301875018</v>
      </c>
      <c r="R11" s="1">
        <f t="shared" si="15"/>
        <v>7446.3754366968778</v>
      </c>
    </row>
    <row r="12" spans="2:18" s="1" customFormat="1" x14ac:dyDescent="0.25">
      <c r="B12" s="1" t="s">
        <v>6</v>
      </c>
      <c r="F12" s="1">
        <f>+SUM(F9:F11)</f>
        <v>13564</v>
      </c>
      <c r="G12" s="1">
        <f t="shared" ref="G12:I12" si="16">+SUM(G9:G11)</f>
        <v>15143</v>
      </c>
      <c r="H12" s="1">
        <f t="shared" si="16"/>
        <v>16927</v>
      </c>
      <c r="I12" s="1">
        <f t="shared" si="16"/>
        <v>20057.25</v>
      </c>
      <c r="J12" s="1">
        <f t="shared" ref="J12" si="17">+SUM(J9:J11)</f>
        <v>24385.341750000003</v>
      </c>
      <c r="K12" s="1">
        <f t="shared" ref="K12" si="18">+SUM(K9:K11)</f>
        <v>32794.119000000006</v>
      </c>
      <c r="L12" s="1">
        <f t="shared" ref="L12" si="19">+SUM(L9:L11)</f>
        <v>41279.54113125</v>
      </c>
      <c r="M12" s="1">
        <f t="shared" ref="M12" si="20">+SUM(M9:M11)</f>
        <v>49109.177390625009</v>
      </c>
      <c r="N12" s="1">
        <f t="shared" ref="N12" si="21">+SUM(N9:N11)</f>
        <v>56599.825401562506</v>
      </c>
      <c r="O12" s="1">
        <f t="shared" ref="O12" si="22">+SUM(O9:O11)</f>
        <v>65316.816133593755</v>
      </c>
      <c r="P12" s="1">
        <f t="shared" ref="P12" si="23">+SUM(P9:P11)</f>
        <v>72707.832083144516</v>
      </c>
      <c r="Q12" s="1">
        <f t="shared" ref="Q12" si="24">+SUM(Q9:Q11)</f>
        <v>80943.480374153907</v>
      </c>
      <c r="R12" s="1">
        <f t="shared" ref="R12" si="25">+SUM(R9:R11)</f>
        <v>90115.34887106884</v>
      </c>
    </row>
    <row r="13" spans="2:18" s="1" customFormat="1" x14ac:dyDescent="0.25">
      <c r="B13" s="1" t="s">
        <v>7</v>
      </c>
      <c r="F13" s="1">
        <f>+F8-F12</f>
        <v>36390</v>
      </c>
      <c r="G13" s="1">
        <f t="shared" ref="G13:J13" si="26">+G8-G12</f>
        <v>37818</v>
      </c>
      <c r="H13" s="1">
        <f t="shared" si="26"/>
        <v>40472</v>
      </c>
      <c r="I13" s="1">
        <f t="shared" si="26"/>
        <v>45971.75</v>
      </c>
      <c r="J13" s="1">
        <f t="shared" si="26"/>
        <v>60553.808250000002</v>
      </c>
      <c r="K13" s="1">
        <f t="shared" ref="K13" si="27">+K8-K12</f>
        <v>87999.606</v>
      </c>
      <c r="L13" s="1">
        <f t="shared" ref="L13" si="28">+L8-L12</f>
        <v>117161.48761875002</v>
      </c>
      <c r="M13" s="1">
        <f t="shared" ref="M13" si="29">+M8-M12</f>
        <v>145700.75854687503</v>
      </c>
      <c r="N13" s="1">
        <f t="shared" ref="N13" si="30">+N8-N12</f>
        <v>174619.53459843755</v>
      </c>
      <c r="O13" s="1">
        <f t="shared" ref="O13" si="31">+O8-O12</f>
        <v>209466.22458515633</v>
      </c>
      <c r="P13" s="1">
        <f t="shared" ref="P13" si="32">+P8-P12</f>
        <v>241416.53084654297</v>
      </c>
      <c r="Q13" s="1">
        <f t="shared" ref="Q13" si="33">+Q8-Q12</f>
        <v>278329.59640326805</v>
      </c>
      <c r="R13" s="1">
        <f t="shared" ref="R13" si="34">+R8-R12</f>
        <v>320980.25180166162</v>
      </c>
    </row>
    <row r="14" spans="2:18" s="1" customFormat="1" x14ac:dyDescent="0.25">
      <c r="B14" s="1" t="s">
        <v>8</v>
      </c>
      <c r="F14" s="1">
        <v>8833</v>
      </c>
      <c r="G14" s="1">
        <v>8274</v>
      </c>
      <c r="H14" s="1">
        <v>8651</v>
      </c>
      <c r="I14" s="1">
        <v>8500</v>
      </c>
      <c r="J14" s="1">
        <f>+J8*0.12</f>
        <v>10192.698</v>
      </c>
      <c r="K14" s="1">
        <f t="shared" ref="K14:R14" si="35">+K8*0.12</f>
        <v>14495.246999999999</v>
      </c>
      <c r="L14" s="1">
        <f t="shared" si="35"/>
        <v>19012.923450000002</v>
      </c>
      <c r="M14" s="1">
        <f t="shared" si="35"/>
        <v>23377.192312500003</v>
      </c>
      <c r="N14" s="1">
        <f t="shared" si="35"/>
        <v>27746.323200000003</v>
      </c>
      <c r="O14" s="1">
        <f t="shared" si="35"/>
        <v>32973.964886250011</v>
      </c>
      <c r="P14" s="1">
        <f t="shared" si="35"/>
        <v>37694.923551562497</v>
      </c>
      <c r="Q14" s="1">
        <f t="shared" si="35"/>
        <v>43112.76921329063</v>
      </c>
      <c r="R14" s="1">
        <f t="shared" si="35"/>
        <v>49331.472080727654</v>
      </c>
    </row>
    <row r="15" spans="2:18" s="1" customFormat="1" x14ac:dyDescent="0.25">
      <c r="B15" s="1" t="s">
        <v>9</v>
      </c>
      <c r="F15" s="1">
        <v>8623</v>
      </c>
      <c r="G15" s="1">
        <v>8915</v>
      </c>
      <c r="H15" s="1">
        <v>9860</v>
      </c>
      <c r="I15" s="1">
        <v>10200</v>
      </c>
      <c r="J15" s="1">
        <f>+J8*0.15</f>
        <v>12740.872500000001</v>
      </c>
      <c r="K15" s="1">
        <f t="shared" ref="K15:R15" si="36">+K8*0.15</f>
        <v>18119.05875</v>
      </c>
      <c r="L15" s="1">
        <f t="shared" si="36"/>
        <v>23766.154312500003</v>
      </c>
      <c r="M15" s="1">
        <f t="shared" si="36"/>
        <v>29221.490390625004</v>
      </c>
      <c r="N15" s="1">
        <f t="shared" si="36"/>
        <v>34682.904000000002</v>
      </c>
      <c r="O15" s="1">
        <f t="shared" si="36"/>
        <v>41217.456107812512</v>
      </c>
      <c r="P15" s="1">
        <f t="shared" si="36"/>
        <v>47118.654439453123</v>
      </c>
      <c r="Q15" s="1">
        <f t="shared" si="36"/>
        <v>53890.961516613286</v>
      </c>
      <c r="R15" s="1">
        <f t="shared" si="36"/>
        <v>61664.340100909569</v>
      </c>
    </row>
    <row r="16" spans="2:18" s="1" customFormat="1" x14ac:dyDescent="0.25">
      <c r="B16" s="1" t="s">
        <v>10</v>
      </c>
      <c r="F16" s="1">
        <v>1579</v>
      </c>
      <c r="G16" s="1">
        <v>1548</v>
      </c>
      <c r="H16" s="1">
        <v>1602</v>
      </c>
      <c r="I16" s="1">
        <v>1700</v>
      </c>
      <c r="J16" s="1">
        <f>+J8*0.03</f>
        <v>2548.1745000000001</v>
      </c>
      <c r="K16" s="1">
        <f t="shared" ref="K16:R16" si="37">+K8*0.03</f>
        <v>3623.8117499999998</v>
      </c>
      <c r="L16" s="1">
        <f t="shared" si="37"/>
        <v>4753.2308625000005</v>
      </c>
      <c r="M16" s="1">
        <f t="shared" si="37"/>
        <v>5844.2980781250008</v>
      </c>
      <c r="N16" s="1">
        <f t="shared" si="37"/>
        <v>6936.5808000000006</v>
      </c>
      <c r="O16" s="1">
        <f t="shared" si="37"/>
        <v>8243.4912215625027</v>
      </c>
      <c r="P16" s="1">
        <f t="shared" si="37"/>
        <v>9423.7308878906242</v>
      </c>
      <c r="Q16" s="1">
        <f t="shared" si="37"/>
        <v>10778.192303322658</v>
      </c>
      <c r="R16" s="1">
        <f t="shared" si="37"/>
        <v>12332.868020181913</v>
      </c>
    </row>
    <row r="17" spans="2:21" s="1" customFormat="1" x14ac:dyDescent="0.25">
      <c r="B17" s="1" t="s">
        <v>11</v>
      </c>
      <c r="F17" s="1">
        <v>3582</v>
      </c>
      <c r="G17" s="1">
        <v>3010</v>
      </c>
      <c r="H17" s="1">
        <v>2307</v>
      </c>
      <c r="I17" s="1">
        <f>+H34*0.1</f>
        <v>2121.5</v>
      </c>
      <c r="J17" s="1">
        <f>+SUM(C41:J41)/8  +SUM(H40:J40)/3</f>
        <v>30898.875</v>
      </c>
      <c r="K17" s="1">
        <f t="shared" ref="K17:R17" si="38">+SUM(D41:K41)/8+SUM(I40:K40)/3</f>
        <v>45093.375</v>
      </c>
      <c r="L17" s="1">
        <f t="shared" si="38"/>
        <v>55629.625</v>
      </c>
      <c r="M17" s="1">
        <f t="shared" si="38"/>
        <v>64862.4375</v>
      </c>
      <c r="N17" s="1">
        <f t="shared" si="38"/>
        <v>71608.765625</v>
      </c>
      <c r="O17" s="1">
        <f t="shared" si="38"/>
        <v>78485.37890625</v>
      </c>
      <c r="P17" s="1">
        <f t="shared" si="38"/>
        <v>84758.7353515625</v>
      </c>
      <c r="Q17" s="1">
        <f t="shared" si="38"/>
        <v>90117.047119140625</v>
      </c>
      <c r="R17" s="1">
        <f t="shared" si="38"/>
        <v>95290.399475097656</v>
      </c>
    </row>
    <row r="18" spans="2:21" s="1" customFormat="1" x14ac:dyDescent="0.25">
      <c r="B18" s="1" t="s">
        <v>12</v>
      </c>
      <c r="F18" s="1">
        <f>190+490</f>
        <v>680</v>
      </c>
      <c r="G18" s="1">
        <f>314+404</f>
        <v>718</v>
      </c>
      <c r="H18" s="1">
        <f>75+299</f>
        <v>374</v>
      </c>
      <c r="I18" s="1">
        <v>1000</v>
      </c>
      <c r="J18" s="1">
        <v>500</v>
      </c>
      <c r="K18" s="1">
        <v>500</v>
      </c>
      <c r="L18" s="1">
        <v>500</v>
      </c>
      <c r="M18" s="1">
        <v>500</v>
      </c>
      <c r="N18" s="1">
        <v>500</v>
      </c>
      <c r="O18" s="1">
        <v>500</v>
      </c>
      <c r="P18" s="1">
        <v>500</v>
      </c>
      <c r="Q18" s="1">
        <v>500</v>
      </c>
      <c r="R18" s="1">
        <v>500</v>
      </c>
    </row>
    <row r="19" spans="2:21" s="2" customFormat="1" x14ac:dyDescent="0.25">
      <c r="B19" s="2" t="s">
        <v>13</v>
      </c>
      <c r="F19" s="2">
        <f>+F13-SUM(F14:F18)</f>
        <v>13093</v>
      </c>
      <c r="G19" s="2">
        <f t="shared" ref="G19:J19" si="39">+G13-SUM(G14:G18)</f>
        <v>15353</v>
      </c>
      <c r="H19" s="2">
        <f t="shared" si="39"/>
        <v>17678</v>
      </c>
      <c r="I19" s="2">
        <f t="shared" si="39"/>
        <v>22450.25</v>
      </c>
      <c r="J19" s="2">
        <f t="shared" si="39"/>
        <v>3673.1882499999992</v>
      </c>
      <c r="K19" s="2">
        <f t="shared" ref="K19" si="40">+K13-SUM(K14:K18)</f>
        <v>6168.1135000000068</v>
      </c>
      <c r="L19" s="2">
        <f t="shared" ref="L19" si="41">+L13-SUM(L14:L18)</f>
        <v>13499.553993750014</v>
      </c>
      <c r="M19" s="2">
        <f t="shared" ref="M19" si="42">+M13-SUM(M14:M18)</f>
        <v>21895.340265625025</v>
      </c>
      <c r="N19" s="2">
        <f t="shared" ref="N19" si="43">+N13-SUM(N14:N18)</f>
        <v>33144.960973437526</v>
      </c>
      <c r="O19" s="2">
        <f t="shared" ref="O19" si="44">+O13-SUM(O14:O18)</f>
        <v>48045.933463281282</v>
      </c>
      <c r="P19" s="2">
        <f t="shared" ref="P19" si="45">+P13-SUM(P14:P18)</f>
        <v>61920.486616074224</v>
      </c>
      <c r="Q19" s="2">
        <f t="shared" ref="Q19" si="46">+Q13-SUM(Q14:Q18)</f>
        <v>79930.626250900852</v>
      </c>
      <c r="R19" s="2">
        <f t="shared" ref="R19" si="47">+R13-SUM(R14:R18)</f>
        <v>101861.17212474486</v>
      </c>
    </row>
    <row r="20" spans="2:21" s="1" customFormat="1" x14ac:dyDescent="0.25">
      <c r="B20" s="1" t="s">
        <v>14</v>
      </c>
      <c r="F20" s="1">
        <v>3505</v>
      </c>
      <c r="G20" s="1">
        <v>3514</v>
      </c>
      <c r="H20" s="1">
        <v>3578</v>
      </c>
      <c r="I20" s="1">
        <v>4000</v>
      </c>
      <c r="J20" s="1">
        <f>+I46*J49</f>
        <v>4700.21</v>
      </c>
      <c r="K20" s="1">
        <f t="shared" ref="K20:R20" si="48">+J46*K49</f>
        <v>5829.1737395000009</v>
      </c>
      <c r="L20" s="1">
        <f t="shared" si="48"/>
        <v>6903.9147876429997</v>
      </c>
      <c r="M20" s="1">
        <f t="shared" si="48"/>
        <v>7579.4780546353622</v>
      </c>
      <c r="N20" s="1">
        <f t="shared" si="48"/>
        <v>7779.4912394617131</v>
      </c>
      <c r="O20" s="1">
        <f t="shared" si="48"/>
        <v>7498.0271435065351</v>
      </c>
      <c r="P20" s="1">
        <f t="shared" si="48"/>
        <v>6597.5612973841935</v>
      </c>
      <c r="Q20" s="1">
        <f t="shared" si="48"/>
        <v>5124.6894537362314</v>
      </c>
      <c r="R20" s="1">
        <f>+Q46*R49</f>
        <v>2964.9856006795098</v>
      </c>
    </row>
    <row r="21" spans="2:21" s="1" customFormat="1" x14ac:dyDescent="0.25">
      <c r="B21" s="1" t="s">
        <v>15</v>
      </c>
      <c r="F21" s="1">
        <v>-462</v>
      </c>
      <c r="G21" s="1">
        <v>-98</v>
      </c>
      <c r="H21" s="1">
        <v>60</v>
      </c>
      <c r="I21" s="1">
        <v>2741</v>
      </c>
    </row>
    <row r="22" spans="2:21" s="1" customFormat="1" x14ac:dyDescent="0.25">
      <c r="B22" s="1" t="s">
        <v>16</v>
      </c>
      <c r="F22" s="1">
        <f>+F19-F20+F21</f>
        <v>9126</v>
      </c>
      <c r="G22" s="1">
        <f t="shared" ref="G22:J22" si="49">+G19-G20+G21</f>
        <v>11741</v>
      </c>
      <c r="H22" s="1">
        <f t="shared" si="49"/>
        <v>14160</v>
      </c>
      <c r="I22" s="1">
        <f t="shared" si="49"/>
        <v>21191.25</v>
      </c>
      <c r="J22" s="1">
        <f t="shared" si="49"/>
        <v>-1027.0217500000008</v>
      </c>
      <c r="K22" s="1">
        <f t="shared" ref="K22" si="50">+K19-K20+K21</f>
        <v>338.93976050000583</v>
      </c>
      <c r="L22" s="1">
        <f t="shared" ref="L22" si="51">+L19-L20+L21</f>
        <v>6595.6392061070146</v>
      </c>
      <c r="M22" s="1">
        <f t="shared" ref="M22" si="52">+M19-M20+M21</f>
        <v>14315.862210989664</v>
      </c>
      <c r="N22" s="1">
        <f t="shared" ref="N22" si="53">+N19-N20+N21</f>
        <v>25365.469733975813</v>
      </c>
      <c r="O22" s="1">
        <f t="shared" ref="O22" si="54">+O19-O20+O21</f>
        <v>40547.906319774745</v>
      </c>
      <c r="P22" s="1">
        <f t="shared" ref="P22" si="55">+P19-P20+P21</f>
        <v>55322.925318690031</v>
      </c>
      <c r="Q22" s="1">
        <f t="shared" ref="Q22" si="56">+Q19-Q20+Q21</f>
        <v>74805.936797164613</v>
      </c>
      <c r="R22" s="1">
        <f t="shared" ref="R22" si="57">+R19-R20+R21</f>
        <v>98896.186524065342</v>
      </c>
    </row>
    <row r="23" spans="2:21" s="1" customFormat="1" x14ac:dyDescent="0.25">
      <c r="B23" s="1" t="s">
        <v>17</v>
      </c>
      <c r="F23" s="1">
        <v>623</v>
      </c>
      <c r="G23" s="1">
        <v>1274</v>
      </c>
      <c r="H23" s="1">
        <v>1717</v>
      </c>
      <c r="I23" s="1">
        <v>1400</v>
      </c>
      <c r="J23" s="1">
        <f>+J22*0.15</f>
        <v>-154.0532625000001</v>
      </c>
      <c r="K23" s="1">
        <f t="shared" ref="K23:R23" si="58">+K22*0.15</f>
        <v>50.840964075000876</v>
      </c>
      <c r="L23" s="1">
        <f t="shared" si="58"/>
        <v>989.34588091605212</v>
      </c>
      <c r="M23" s="1">
        <f t="shared" si="58"/>
        <v>2147.3793316484494</v>
      </c>
      <c r="N23" s="1">
        <f t="shared" si="58"/>
        <v>3804.8204600963718</v>
      </c>
      <c r="O23" s="1">
        <f t="shared" si="58"/>
        <v>6082.1859479662116</v>
      </c>
      <c r="P23" s="1">
        <f t="shared" si="58"/>
        <v>8298.4387978035047</v>
      </c>
      <c r="Q23" s="1">
        <f t="shared" si="58"/>
        <v>11220.890519574692</v>
      </c>
      <c r="R23" s="1">
        <f t="shared" si="58"/>
        <v>14834.427978609801</v>
      </c>
    </row>
    <row r="24" spans="2:21" s="1" customFormat="1" x14ac:dyDescent="0.25">
      <c r="B24" s="1" t="s">
        <v>18</v>
      </c>
      <c r="F24" s="1">
        <f>+F22-F23</f>
        <v>8503</v>
      </c>
      <c r="G24" s="1">
        <f t="shared" ref="G24:J24" si="59">+G22-G23</f>
        <v>10467</v>
      </c>
      <c r="H24" s="1">
        <f t="shared" si="59"/>
        <v>12443</v>
      </c>
      <c r="I24" s="1">
        <f t="shared" si="59"/>
        <v>19791.25</v>
      </c>
      <c r="J24" s="1">
        <f t="shared" si="59"/>
        <v>-872.96848750000072</v>
      </c>
      <c r="K24" s="1">
        <f t="shared" ref="K24" si="60">+K22-K23</f>
        <v>288.09879642500493</v>
      </c>
      <c r="L24" s="1">
        <f t="shared" ref="L24" si="61">+L22-L23</f>
        <v>5606.2933251909626</v>
      </c>
      <c r="M24" s="1">
        <f t="shared" ref="M24" si="62">+M22-M23</f>
        <v>12168.482879341214</v>
      </c>
      <c r="N24" s="1">
        <f t="shared" ref="N24" si="63">+N22-N23</f>
        <v>21560.64927387944</v>
      </c>
      <c r="O24" s="1">
        <f t="shared" ref="O24" si="64">+O22-O23</f>
        <v>34465.720371808537</v>
      </c>
      <c r="P24" s="1">
        <f t="shared" ref="P24" si="65">+P22-P23</f>
        <v>47024.486520886523</v>
      </c>
      <c r="Q24" s="1">
        <f t="shared" ref="Q24" si="66">+Q22-Q23</f>
        <v>63585.046277589921</v>
      </c>
      <c r="R24" s="1">
        <f t="shared" ref="R24" si="67">+R22-R23</f>
        <v>84061.758545455537</v>
      </c>
    </row>
    <row r="25" spans="2:21" s="3" customFormat="1" x14ac:dyDescent="0.25">
      <c r="B25" s="3" t="s">
        <v>20</v>
      </c>
      <c r="F25" s="3">
        <f>+F24/F26</f>
        <v>3.0741142443962399</v>
      </c>
      <c r="G25" s="3">
        <f t="shared" ref="G25:I25" si="68">+G24/G26</f>
        <v>3.7077577045696066</v>
      </c>
      <c r="H25" s="3">
        <f t="shared" si="68"/>
        <v>4.3415910676901603</v>
      </c>
      <c r="I25" s="3">
        <f t="shared" si="68"/>
        <v>6.7731861738535253</v>
      </c>
      <c r="J25" s="3">
        <f t="shared" ref="J25" si="69">+J24/J26</f>
        <v>-0.29875718258042461</v>
      </c>
      <c r="K25" s="3">
        <f t="shared" ref="K25" si="70">+K24/K26</f>
        <v>9.8596439570501349E-2</v>
      </c>
      <c r="L25" s="3">
        <f t="shared" ref="L25" si="71">+L24/L26</f>
        <v>1.9186493241584404</v>
      </c>
      <c r="M25" s="3">
        <f t="shared" ref="M25" si="72">+M24/M26</f>
        <v>4.1644363036759806</v>
      </c>
      <c r="N25" s="3">
        <f t="shared" ref="N25" si="73">+N24/N26</f>
        <v>7.3787300731962491</v>
      </c>
      <c r="O25" s="3">
        <f t="shared" ref="O25" si="74">+O24/O26</f>
        <v>11.795249956128863</v>
      </c>
      <c r="P25" s="3">
        <f t="shared" ref="P25" si="75">+P24/P26</f>
        <v>16.093253429461505</v>
      </c>
      <c r="Q25" s="3">
        <f t="shared" ref="Q25" si="76">+Q24/Q26</f>
        <v>21.760796125116332</v>
      </c>
      <c r="R25" s="3">
        <f t="shared" ref="R25" si="77">+R24/R26</f>
        <v>28.768568975173011</v>
      </c>
    </row>
    <row r="26" spans="2:21" s="1" customFormat="1" x14ac:dyDescent="0.25">
      <c r="B26" s="1" t="s">
        <v>19</v>
      </c>
      <c r="F26" s="1">
        <v>2766</v>
      </c>
      <c r="G26" s="1">
        <v>2823</v>
      </c>
      <c r="H26" s="1">
        <v>2866</v>
      </c>
      <c r="I26" s="1">
        <v>2922</v>
      </c>
      <c r="J26" s="1">
        <f>+I26+0</f>
        <v>2922</v>
      </c>
      <c r="K26" s="1">
        <f t="shared" ref="K26:R26" si="78">+J26+0</f>
        <v>2922</v>
      </c>
      <c r="L26" s="1">
        <f t="shared" si="78"/>
        <v>2922</v>
      </c>
      <c r="M26" s="1">
        <f t="shared" si="78"/>
        <v>2922</v>
      </c>
      <c r="N26" s="1">
        <f t="shared" si="78"/>
        <v>2922</v>
      </c>
      <c r="O26" s="1">
        <f t="shared" si="78"/>
        <v>2922</v>
      </c>
      <c r="P26" s="1">
        <f t="shared" si="78"/>
        <v>2922</v>
      </c>
      <c r="Q26" s="1">
        <f t="shared" si="78"/>
        <v>2922</v>
      </c>
      <c r="R26" s="1">
        <f t="shared" si="78"/>
        <v>2922</v>
      </c>
    </row>
    <row r="27" spans="2:21" s="1" customFormat="1" x14ac:dyDescent="0.25">
      <c r="C27" s="4"/>
      <c r="D27" s="4"/>
      <c r="E27" s="4"/>
      <c r="F27" s="4"/>
      <c r="G27" s="4"/>
      <c r="H27" s="4"/>
    </row>
    <row r="28" spans="2:21" s="4" customFormat="1" x14ac:dyDescent="0.25">
      <c r="B28" s="4" t="s">
        <v>21</v>
      </c>
      <c r="F28" s="4">
        <f>+F13/F8</f>
        <v>0.72847019257717105</v>
      </c>
      <c r="G28" s="4">
        <f t="shared" ref="G28:H28" si="79">+G13/G8</f>
        <v>0.71407261947470779</v>
      </c>
      <c r="H28" s="4">
        <f t="shared" si="79"/>
        <v>0.70509939197547</v>
      </c>
      <c r="I28" s="4">
        <f t="shared" ref="I28:R28" si="80">+I13/I8</f>
        <v>0.6962357448999682</v>
      </c>
      <c r="J28" s="4">
        <f t="shared" si="80"/>
        <v>0.71290810244745795</v>
      </c>
      <c r="K28" s="4">
        <f t="shared" si="80"/>
        <v>0.7285114023927981</v>
      </c>
      <c r="L28" s="4">
        <f t="shared" si="80"/>
        <v>0.73946432021478525</v>
      </c>
      <c r="M28" s="4">
        <f t="shared" si="80"/>
        <v>0.74791235798988986</v>
      </c>
      <c r="N28" s="4">
        <f t="shared" si="80"/>
        <v>0.75521156445739457</v>
      </c>
      <c r="O28" s="4">
        <f t="shared" si="80"/>
        <v>0.76229677070773894</v>
      </c>
      <c r="P28" s="4">
        <f t="shared" si="80"/>
        <v>0.76853806751875786</v>
      </c>
      <c r="Q28" s="4">
        <f t="shared" si="80"/>
        <v>0.77470207035775118</v>
      </c>
      <c r="R28" s="4">
        <f t="shared" si="80"/>
        <v>0.7807922324549299</v>
      </c>
      <c r="T28" s="4" t="s">
        <v>39</v>
      </c>
      <c r="U28" s="4">
        <v>0.1</v>
      </c>
    </row>
    <row r="29" spans="2:21" s="4" customFormat="1" x14ac:dyDescent="0.25">
      <c r="B29" s="4" t="s">
        <v>22</v>
      </c>
      <c r="F29" s="4">
        <f>+F19/F8</f>
        <v>0.26210113304239901</v>
      </c>
      <c r="G29" s="4">
        <f t="shared" ref="G29:H29" si="81">+G19/G8</f>
        <v>0.28989256245161532</v>
      </c>
      <c r="H29" s="4">
        <f t="shared" si="81"/>
        <v>0.30798445965957594</v>
      </c>
      <c r="I29" s="4">
        <f t="shared" ref="I29:R29" si="82">+I19/I8</f>
        <v>0.34000590649563073</v>
      </c>
      <c r="J29" s="4">
        <f t="shared" si="82"/>
        <v>4.3244937699517816E-2</v>
      </c>
      <c r="K29" s="4">
        <f t="shared" si="82"/>
        <v>5.1063194714791739E-2</v>
      </c>
      <c r="L29" s="4">
        <f t="shared" si="82"/>
        <v>8.5202387918413544E-2</v>
      </c>
      <c r="M29" s="4">
        <f t="shared" si="82"/>
        <v>0.11239334462206078</v>
      </c>
      <c r="N29" s="4">
        <f t="shared" si="82"/>
        <v>0.14334855426222753</v>
      </c>
      <c r="O29" s="4">
        <f t="shared" si="82"/>
        <v>0.17485043231782979</v>
      </c>
      <c r="P29" s="4">
        <f t="shared" si="82"/>
        <v>0.19712093019010529</v>
      </c>
      <c r="Q29" s="4">
        <f t="shared" si="82"/>
        <v>0.22247875339798909</v>
      </c>
      <c r="R29" s="4">
        <f t="shared" si="82"/>
        <v>0.24777976693999124</v>
      </c>
      <c r="T29" s="4" t="s">
        <v>40</v>
      </c>
      <c r="U29" s="4">
        <v>0.04</v>
      </c>
    </row>
    <row r="30" spans="2:21" s="4" customFormat="1" x14ac:dyDescent="0.25">
      <c r="B30" s="4" t="s">
        <v>32</v>
      </c>
      <c r="G30" s="4">
        <f>+G4/F4 -1</f>
        <v>0.11544452941343075</v>
      </c>
      <c r="H30" s="4">
        <f t="shared" ref="H30:I30" si="83">+H4/G4 -1</f>
        <v>0.11796968235025274</v>
      </c>
      <c r="I30" s="4">
        <f t="shared" si="83"/>
        <v>0.1816984260373844</v>
      </c>
      <c r="J30" s="4">
        <v>0.35</v>
      </c>
      <c r="K30" s="4">
        <v>0.5</v>
      </c>
      <c r="L30" s="4">
        <v>0.35</v>
      </c>
      <c r="M30" s="4">
        <v>0.25</v>
      </c>
      <c r="N30" s="4">
        <v>0.2</v>
      </c>
      <c r="O30" s="4">
        <v>0.2</v>
      </c>
      <c r="P30" s="4">
        <v>0.15</v>
      </c>
      <c r="Q30" s="4">
        <v>0.15</v>
      </c>
      <c r="R30" s="4">
        <v>0.15</v>
      </c>
      <c r="T30" s="4" t="s">
        <v>41</v>
      </c>
      <c r="U30" s="6">
        <f>NPV(U28,I36:FN36)</f>
        <v>558065.17166247685</v>
      </c>
    </row>
    <row r="31" spans="2:21" s="1" customFormat="1" x14ac:dyDescent="0.25">
      <c r="T31" s="1" t="s">
        <v>42</v>
      </c>
      <c r="U31" s="1">
        <f>+H43+H44-H46</f>
        <v>-81365</v>
      </c>
    </row>
    <row r="32" spans="2:21" s="1" customFormat="1" x14ac:dyDescent="0.25">
      <c r="B32" s="1" t="s">
        <v>33</v>
      </c>
      <c r="F32" s="1">
        <v>3582</v>
      </c>
      <c r="G32" s="1">
        <v>3010</v>
      </c>
      <c r="H32" s="1">
        <v>2307</v>
      </c>
      <c r="T32" s="1" t="s">
        <v>43</v>
      </c>
      <c r="U32" s="1">
        <f>+U30+U31</f>
        <v>476700.17166247685</v>
      </c>
    </row>
    <row r="33" spans="2:160" s="2" customFormat="1" x14ac:dyDescent="0.25">
      <c r="B33" s="2" t="s">
        <v>23</v>
      </c>
      <c r="F33" s="2">
        <v>17165</v>
      </c>
      <c r="G33" s="2">
        <v>18673</v>
      </c>
      <c r="H33" s="2">
        <v>20821</v>
      </c>
      <c r="I33" s="2">
        <f>+I24+I17</f>
        <v>21912.75</v>
      </c>
      <c r="J33" s="2">
        <f>+J24+J17</f>
        <v>30025.906512499998</v>
      </c>
      <c r="K33" s="2">
        <f t="shared" ref="J33:R33" si="84">+K24+K17</f>
        <v>45381.473796425002</v>
      </c>
      <c r="L33" s="2">
        <f t="shared" si="84"/>
        <v>61235.918325190964</v>
      </c>
      <c r="M33" s="2">
        <f t="shared" si="84"/>
        <v>77030.920379341216</v>
      </c>
      <c r="N33" s="2">
        <f t="shared" si="84"/>
        <v>93169.414898879448</v>
      </c>
      <c r="O33" s="2">
        <f t="shared" si="84"/>
        <v>112951.09927805854</v>
      </c>
      <c r="P33" s="2">
        <f t="shared" si="84"/>
        <v>131783.22187244904</v>
      </c>
      <c r="Q33" s="2">
        <f t="shared" si="84"/>
        <v>153702.09339673055</v>
      </c>
      <c r="R33" s="2">
        <f t="shared" si="84"/>
        <v>179352.15802055318</v>
      </c>
      <c r="T33" s="2" t="s">
        <v>44</v>
      </c>
      <c r="U33" s="2">
        <f>+U32/R26</f>
        <v>163.141742526515</v>
      </c>
    </row>
    <row r="34" spans="2:160" s="1" customFormat="1" x14ac:dyDescent="0.25">
      <c r="B34" s="1" t="s">
        <v>24</v>
      </c>
      <c r="F34" s="1">
        <v>8695</v>
      </c>
      <c r="G34" s="1">
        <v>6866</v>
      </c>
      <c r="H34" s="1">
        <v>21215</v>
      </c>
      <c r="I34" s="1">
        <v>46850</v>
      </c>
      <c r="J34" s="1">
        <v>58250</v>
      </c>
      <c r="K34" s="1">
        <v>72250</v>
      </c>
      <c r="L34" s="1">
        <v>78125</v>
      </c>
      <c r="M34" s="1">
        <f>+L34*1.05</f>
        <v>82031.25</v>
      </c>
      <c r="N34" s="1">
        <f t="shared" ref="N34:R34" si="85">+M34*1.05</f>
        <v>86132.8125</v>
      </c>
      <c r="O34" s="1">
        <f t="shared" si="85"/>
        <v>90439.453125</v>
      </c>
      <c r="P34" s="1">
        <f t="shared" si="85"/>
        <v>94961.42578125</v>
      </c>
      <c r="Q34" s="1">
        <f t="shared" si="85"/>
        <v>99709.4970703125</v>
      </c>
      <c r="R34" s="1">
        <f t="shared" si="85"/>
        <v>104694.97192382813</v>
      </c>
    </row>
    <row r="35" spans="2:160" s="1" customFormat="1" x14ac:dyDescent="0.25">
      <c r="B35" s="1" t="s">
        <v>25</v>
      </c>
      <c r="F35" s="1">
        <f>+F33-F34</f>
        <v>8470</v>
      </c>
      <c r="G35" s="1">
        <f>+G33-G34</f>
        <v>11807</v>
      </c>
      <c r="H35" s="1">
        <f>+H33-H34</f>
        <v>-394</v>
      </c>
      <c r="I35" s="1">
        <f>+I33-I34</f>
        <v>-24937.25</v>
      </c>
      <c r="J35" s="1">
        <f t="shared" ref="J35:R35" si="86">+J33-J34</f>
        <v>-28224.093487500002</v>
      </c>
      <c r="K35" s="1">
        <f t="shared" si="86"/>
        <v>-26868.526203574998</v>
      </c>
      <c r="L35" s="1">
        <f t="shared" si="86"/>
        <v>-16889.081674809036</v>
      </c>
      <c r="M35" s="1">
        <f t="shared" si="86"/>
        <v>-5000.3296206587838</v>
      </c>
      <c r="N35" s="1">
        <f t="shared" si="86"/>
        <v>7036.6023988794477</v>
      </c>
      <c r="O35" s="1">
        <f t="shared" si="86"/>
        <v>22511.646153058537</v>
      </c>
      <c r="P35" s="1">
        <f t="shared" si="86"/>
        <v>36821.796091199038</v>
      </c>
      <c r="Q35" s="1">
        <f t="shared" si="86"/>
        <v>53992.596326418046</v>
      </c>
      <c r="R35" s="1">
        <f t="shared" si="86"/>
        <v>74657.186096725054</v>
      </c>
    </row>
    <row r="36" spans="2:160" s="1" customFormat="1" x14ac:dyDescent="0.25">
      <c r="B36" s="1" t="s">
        <v>38</v>
      </c>
      <c r="I36" s="1">
        <f>+I35+I20</f>
        <v>-20937.25</v>
      </c>
      <c r="J36" s="1">
        <f t="shared" ref="J36:R36" si="87">+J35+J20</f>
        <v>-23523.883487500003</v>
      </c>
      <c r="K36" s="1">
        <f t="shared" si="87"/>
        <v>-21039.352464074997</v>
      </c>
      <c r="L36" s="1">
        <f t="shared" si="87"/>
        <v>-9985.1668871660368</v>
      </c>
      <c r="M36" s="1">
        <f t="shared" si="87"/>
        <v>2579.1484339765784</v>
      </c>
      <c r="N36" s="1">
        <f t="shared" si="87"/>
        <v>14816.093638341161</v>
      </c>
      <c r="O36" s="1">
        <f t="shared" si="87"/>
        <v>30009.673296565074</v>
      </c>
      <c r="P36" s="1">
        <f t="shared" si="87"/>
        <v>43419.35738858323</v>
      </c>
      <c r="Q36" s="1">
        <f t="shared" si="87"/>
        <v>59117.285780154278</v>
      </c>
      <c r="R36" s="1">
        <f t="shared" si="87"/>
        <v>77622.17169740457</v>
      </c>
      <c r="S36" s="1">
        <f>+R36*(1+$U29)</f>
        <v>80727.058565300758</v>
      </c>
      <c r="T36" s="1">
        <f t="shared" ref="T36:CE36" si="88">+S36*(1+$U29)</f>
        <v>83956.140907912792</v>
      </c>
      <c r="U36" s="1">
        <f t="shared" si="88"/>
        <v>87314.386544229303</v>
      </c>
      <c r="V36" s="1">
        <f t="shared" si="88"/>
        <v>90806.962005998474</v>
      </c>
      <c r="W36" s="1">
        <f t="shared" si="88"/>
        <v>94439.240486238414</v>
      </c>
      <c r="X36" s="1">
        <f t="shared" si="88"/>
        <v>98216.810105687953</v>
      </c>
      <c r="Y36" s="1">
        <f t="shared" si="88"/>
        <v>102145.48250991547</v>
      </c>
      <c r="Z36" s="1">
        <f t="shared" si="88"/>
        <v>106231.30181031208</v>
      </c>
      <c r="AA36" s="1">
        <f t="shared" si="88"/>
        <v>110480.55388272458</v>
      </c>
      <c r="AB36" s="1">
        <f t="shared" si="88"/>
        <v>114899.77603803357</v>
      </c>
      <c r="AC36" s="1">
        <f t="shared" si="88"/>
        <v>119495.76707955492</v>
      </c>
      <c r="AD36" s="1">
        <f t="shared" si="88"/>
        <v>124275.59776273712</v>
      </c>
      <c r="AE36" s="1">
        <f t="shared" si="88"/>
        <v>129246.62167324661</v>
      </c>
      <c r="AF36" s="1">
        <f t="shared" si="88"/>
        <v>134416.48654017647</v>
      </c>
      <c r="AG36" s="1">
        <f t="shared" si="88"/>
        <v>139793.14600178352</v>
      </c>
      <c r="AH36" s="1">
        <f t="shared" si="88"/>
        <v>145384.87184185485</v>
      </c>
      <c r="AI36" s="1">
        <f t="shared" si="88"/>
        <v>151200.26671552905</v>
      </c>
      <c r="AJ36" s="1">
        <f t="shared" si="88"/>
        <v>157248.27738415022</v>
      </c>
      <c r="AK36" s="1">
        <f t="shared" si="88"/>
        <v>163538.20847951624</v>
      </c>
      <c r="AL36" s="1">
        <f t="shared" si="88"/>
        <v>170079.7368186969</v>
      </c>
      <c r="AM36" s="1">
        <f t="shared" si="88"/>
        <v>176882.92629144478</v>
      </c>
      <c r="AN36" s="1">
        <f t="shared" si="88"/>
        <v>183958.24334310257</v>
      </c>
      <c r="AO36" s="1">
        <f t="shared" si="88"/>
        <v>191316.57307682669</v>
      </c>
      <c r="AP36" s="1">
        <f t="shared" si="88"/>
        <v>198969.23599989977</v>
      </c>
      <c r="AQ36" s="1">
        <f t="shared" si="88"/>
        <v>206928.00543989576</v>
      </c>
      <c r="AR36" s="1">
        <f t="shared" si="88"/>
        <v>215205.12565749159</v>
      </c>
      <c r="AS36" s="1">
        <f t="shared" si="88"/>
        <v>223813.33068379125</v>
      </c>
      <c r="AT36" s="1">
        <f t="shared" si="88"/>
        <v>232765.86391114292</v>
      </c>
      <c r="AU36" s="1">
        <f t="shared" si="88"/>
        <v>242076.49846758865</v>
      </c>
      <c r="AV36" s="1">
        <f t="shared" si="88"/>
        <v>251759.5584062922</v>
      </c>
      <c r="AW36" s="1">
        <f t="shared" si="88"/>
        <v>261829.9407425439</v>
      </c>
      <c r="AX36" s="1">
        <f t="shared" si="88"/>
        <v>272303.13837224565</v>
      </c>
      <c r="AY36" s="1">
        <f t="shared" si="88"/>
        <v>283195.26390713546</v>
      </c>
      <c r="AZ36" s="1">
        <f t="shared" si="88"/>
        <v>294523.0744634209</v>
      </c>
      <c r="BA36" s="1">
        <f t="shared" si="88"/>
        <v>306303.99744195776</v>
      </c>
      <c r="BB36" s="1">
        <f t="shared" si="88"/>
        <v>318556.15733963606</v>
      </c>
      <c r="BC36" s="1">
        <f t="shared" si="88"/>
        <v>331298.40363322152</v>
      </c>
      <c r="BD36" s="1">
        <f t="shared" si="88"/>
        <v>344550.33977855038</v>
      </c>
      <c r="BE36" s="1">
        <f t="shared" si="88"/>
        <v>358332.3533696924</v>
      </c>
      <c r="BF36" s="1">
        <f t="shared" si="88"/>
        <v>372665.64750448009</v>
      </c>
      <c r="BG36" s="1">
        <f t="shared" si="88"/>
        <v>387572.2734046593</v>
      </c>
      <c r="BH36" s="1">
        <f t="shared" si="88"/>
        <v>403075.16434084566</v>
      </c>
      <c r="BI36" s="1">
        <f t="shared" si="88"/>
        <v>419198.17091447947</v>
      </c>
      <c r="BJ36" s="1">
        <f t="shared" si="88"/>
        <v>435966.09775105864</v>
      </c>
      <c r="BK36" s="1">
        <f t="shared" si="88"/>
        <v>453404.741661101</v>
      </c>
      <c r="BL36" s="1">
        <f t="shared" si="88"/>
        <v>471540.93132754503</v>
      </c>
      <c r="BM36" s="1">
        <f t="shared" si="88"/>
        <v>490402.56858064682</v>
      </c>
      <c r="BN36" s="1">
        <f t="shared" si="88"/>
        <v>510018.6713238727</v>
      </c>
      <c r="BO36" s="1">
        <f t="shared" si="88"/>
        <v>530419.4181768276</v>
      </c>
      <c r="BP36" s="1">
        <f t="shared" si="88"/>
        <v>551636.19490390073</v>
      </c>
      <c r="BQ36" s="1">
        <f t="shared" si="88"/>
        <v>573701.64270005678</v>
      </c>
      <c r="BR36" s="1">
        <f t="shared" si="88"/>
        <v>596649.70840805909</v>
      </c>
      <c r="BS36" s="1">
        <f t="shared" si="88"/>
        <v>620515.69674438145</v>
      </c>
      <c r="BT36" s="1">
        <f t="shared" si="88"/>
        <v>645336.32461415674</v>
      </c>
      <c r="BU36" s="1">
        <f t="shared" si="88"/>
        <v>671149.77759872307</v>
      </c>
      <c r="BV36" s="1">
        <f t="shared" si="88"/>
        <v>697995.76870267198</v>
      </c>
      <c r="BW36" s="1">
        <f t="shared" si="88"/>
        <v>725915.59945077891</v>
      </c>
      <c r="BX36" s="1">
        <f t="shared" si="88"/>
        <v>754952.22342881013</v>
      </c>
      <c r="BY36" s="1">
        <f t="shared" si="88"/>
        <v>785150.31236596254</v>
      </c>
      <c r="BZ36" s="1">
        <f t="shared" si="88"/>
        <v>816556.3248606011</v>
      </c>
      <c r="CA36" s="1">
        <f t="shared" si="88"/>
        <v>849218.57785502519</v>
      </c>
      <c r="CB36" s="1">
        <f t="shared" si="88"/>
        <v>883187.32096922619</v>
      </c>
      <c r="CC36" s="1">
        <f t="shared" si="88"/>
        <v>918514.81380799529</v>
      </c>
      <c r="CD36" s="1">
        <f t="shared" si="88"/>
        <v>955255.40636031516</v>
      </c>
      <c r="CE36" s="1">
        <f t="shared" si="88"/>
        <v>993465.62261472782</v>
      </c>
      <c r="CF36" s="1">
        <f t="shared" ref="CF36:EQ36" si="89">+CE36*(1+$U29)</f>
        <v>1033204.247519317</v>
      </c>
      <c r="CG36" s="1">
        <f t="shared" si="89"/>
        <v>1074532.4174200897</v>
      </c>
      <c r="CH36" s="1">
        <f t="shared" si="89"/>
        <v>1117513.7141168932</v>
      </c>
      <c r="CI36" s="1">
        <f t="shared" si="89"/>
        <v>1162214.262681569</v>
      </c>
      <c r="CJ36" s="1">
        <f t="shared" si="89"/>
        <v>1208702.8331888318</v>
      </c>
      <c r="CK36" s="1">
        <f t="shared" si="89"/>
        <v>1257050.9465163851</v>
      </c>
      <c r="CL36" s="1">
        <f t="shared" si="89"/>
        <v>1307332.9843770405</v>
      </c>
      <c r="CM36" s="1">
        <f t="shared" si="89"/>
        <v>1359626.3037521222</v>
      </c>
      <c r="CN36" s="1">
        <f t="shared" si="89"/>
        <v>1414011.3559022071</v>
      </c>
      <c r="CO36" s="1">
        <f t="shared" si="89"/>
        <v>1470571.8101382954</v>
      </c>
      <c r="CP36" s="1">
        <f t="shared" si="89"/>
        <v>1529394.6825438272</v>
      </c>
      <c r="CQ36" s="1">
        <f t="shared" si="89"/>
        <v>1590570.4698455804</v>
      </c>
      <c r="CR36" s="1">
        <f t="shared" si="89"/>
        <v>1654193.2886394036</v>
      </c>
      <c r="CS36" s="1">
        <f t="shared" si="89"/>
        <v>1720361.0201849798</v>
      </c>
      <c r="CT36" s="1">
        <f t="shared" si="89"/>
        <v>1789175.4609923791</v>
      </c>
      <c r="CU36" s="1">
        <f t="shared" si="89"/>
        <v>1860742.4794320744</v>
      </c>
      <c r="CV36" s="1">
        <f t="shared" si="89"/>
        <v>1935172.1786093574</v>
      </c>
      <c r="CW36" s="1">
        <f t="shared" si="89"/>
        <v>2012579.0657537319</v>
      </c>
      <c r="CX36" s="1">
        <f t="shared" si="89"/>
        <v>2093082.2283838813</v>
      </c>
      <c r="CY36" s="1">
        <f t="shared" si="89"/>
        <v>2176805.5175192365</v>
      </c>
      <c r="CZ36" s="1">
        <f t="shared" si="89"/>
        <v>2263877.7382200062</v>
      </c>
      <c r="DA36" s="1">
        <f t="shared" si="89"/>
        <v>2354432.8477488067</v>
      </c>
      <c r="DB36" s="1">
        <f t="shared" si="89"/>
        <v>2448610.1616587592</v>
      </c>
      <c r="DC36" s="1">
        <f t="shared" si="89"/>
        <v>2546554.5681251097</v>
      </c>
      <c r="DD36" s="1">
        <f t="shared" si="89"/>
        <v>2648416.750850114</v>
      </c>
      <c r="DE36" s="1">
        <f t="shared" si="89"/>
        <v>2754353.4208841189</v>
      </c>
      <c r="DF36" s="1">
        <f t="shared" si="89"/>
        <v>2864527.5577194835</v>
      </c>
      <c r="DG36" s="1">
        <f t="shared" si="89"/>
        <v>2979108.660028263</v>
      </c>
      <c r="DH36" s="1">
        <f t="shared" si="89"/>
        <v>3098273.0064293938</v>
      </c>
      <c r="DI36" s="1">
        <f t="shared" si="89"/>
        <v>3222203.9266865696</v>
      </c>
      <c r="DJ36" s="1">
        <f t="shared" si="89"/>
        <v>3351092.0837540324</v>
      </c>
      <c r="DK36" s="1">
        <f t="shared" si="89"/>
        <v>3485135.7671041936</v>
      </c>
      <c r="DL36" s="1">
        <f t="shared" si="89"/>
        <v>3624541.1977883615</v>
      </c>
      <c r="DM36" s="1">
        <f t="shared" si="89"/>
        <v>3769522.8456998961</v>
      </c>
      <c r="DN36" s="1">
        <f t="shared" si="89"/>
        <v>3920303.7595278919</v>
      </c>
      <c r="DO36" s="1">
        <f t="shared" si="89"/>
        <v>4077115.9099090076</v>
      </c>
      <c r="DP36" s="1">
        <f t="shared" si="89"/>
        <v>4240200.5463053677</v>
      </c>
      <c r="DQ36" s="1">
        <f t="shared" si="89"/>
        <v>4409808.5681575825</v>
      </c>
      <c r="DR36" s="1">
        <f t="shared" si="89"/>
        <v>4586200.9108838858</v>
      </c>
      <c r="DS36" s="1">
        <f t="shared" si="89"/>
        <v>4769648.9473192412</v>
      </c>
      <c r="DT36" s="1">
        <f t="shared" si="89"/>
        <v>4960434.9052120112</v>
      </c>
      <c r="DU36" s="1">
        <f t="shared" si="89"/>
        <v>5158852.3014204921</v>
      </c>
      <c r="DV36" s="1">
        <f t="shared" si="89"/>
        <v>5365206.3934773123</v>
      </c>
      <c r="DW36" s="1">
        <f t="shared" si="89"/>
        <v>5579814.6492164051</v>
      </c>
      <c r="DX36" s="1">
        <f t="shared" si="89"/>
        <v>5803007.2351850616</v>
      </c>
      <c r="DY36" s="1">
        <f t="shared" si="89"/>
        <v>6035127.5245924639</v>
      </c>
      <c r="DZ36" s="1">
        <f t="shared" si="89"/>
        <v>6276532.6255761627</v>
      </c>
      <c r="EA36" s="1">
        <f t="shared" si="89"/>
        <v>6527593.9305992099</v>
      </c>
      <c r="EB36" s="1">
        <f t="shared" si="89"/>
        <v>6788697.6878231782</v>
      </c>
      <c r="EC36" s="1">
        <f t="shared" si="89"/>
        <v>7060245.5953361057</v>
      </c>
      <c r="ED36" s="1">
        <f t="shared" si="89"/>
        <v>7342655.4191495506</v>
      </c>
      <c r="EE36" s="1">
        <f t="shared" si="89"/>
        <v>7636361.6359155327</v>
      </c>
      <c r="EF36" s="1">
        <f t="shared" si="89"/>
        <v>7941816.1013521543</v>
      </c>
      <c r="EG36" s="1">
        <f t="shared" si="89"/>
        <v>8259488.7454062412</v>
      </c>
      <c r="EH36" s="1">
        <f t="shared" si="89"/>
        <v>8589868.295222491</v>
      </c>
      <c r="EI36" s="1">
        <f t="shared" si="89"/>
        <v>8933463.0270313919</v>
      </c>
      <c r="EJ36" s="1">
        <f t="shared" si="89"/>
        <v>9290801.5481126476</v>
      </c>
      <c r="EK36" s="1">
        <f t="shared" si="89"/>
        <v>9662433.6100371536</v>
      </c>
      <c r="EL36" s="1">
        <f t="shared" si="89"/>
        <v>10048930.95443864</v>
      </c>
      <c r="EM36" s="1">
        <f t="shared" si="89"/>
        <v>10450888.192616185</v>
      </c>
      <c r="EN36" s="1">
        <f t="shared" si="89"/>
        <v>10868923.720320834</v>
      </c>
      <c r="EO36" s="1">
        <f t="shared" si="89"/>
        <v>11303680.669133667</v>
      </c>
      <c r="EP36" s="1">
        <f t="shared" si="89"/>
        <v>11755827.895899015</v>
      </c>
      <c r="EQ36" s="1">
        <f t="shared" si="89"/>
        <v>12226061.011734976</v>
      </c>
      <c r="ER36" s="1">
        <f t="shared" ref="ER36:FD36" si="90">+EQ36*(1+$U29)</f>
        <v>12715103.452204375</v>
      </c>
      <c r="ES36" s="1">
        <f t="shared" si="90"/>
        <v>13223707.590292551</v>
      </c>
      <c r="ET36" s="1">
        <f t="shared" si="90"/>
        <v>13752655.893904254</v>
      </c>
      <c r="EU36" s="1">
        <f t="shared" si="90"/>
        <v>14302762.129660424</v>
      </c>
      <c r="EV36" s="1">
        <f t="shared" si="90"/>
        <v>14874872.614846841</v>
      </c>
      <c r="EW36" s="1">
        <f t="shared" si="90"/>
        <v>15469867.519440714</v>
      </c>
      <c r="EX36" s="1">
        <f t="shared" si="90"/>
        <v>16088662.220218344</v>
      </c>
      <c r="EY36" s="1">
        <f t="shared" si="90"/>
        <v>16732208.709027078</v>
      </c>
      <c r="EZ36" s="1">
        <f t="shared" si="90"/>
        <v>17401497.05738816</v>
      </c>
      <c r="FA36" s="1">
        <f t="shared" si="90"/>
        <v>18097556.939683687</v>
      </c>
      <c r="FB36" s="1">
        <f t="shared" si="90"/>
        <v>18821459.217271034</v>
      </c>
      <c r="FC36" s="1">
        <f t="shared" si="90"/>
        <v>19574317.585961875</v>
      </c>
      <c r="FD36" s="1">
        <f t="shared" si="90"/>
        <v>20357290.28940035</v>
      </c>
    </row>
    <row r="37" spans="2:160" s="1" customFormat="1" x14ac:dyDescent="0.25"/>
    <row r="38" spans="2:160" s="1" customFormat="1" x14ac:dyDescent="0.25">
      <c r="B38" s="1" t="s">
        <v>34</v>
      </c>
      <c r="H38" s="1">
        <v>10000</v>
      </c>
      <c r="I38" s="1">
        <v>10000</v>
      </c>
      <c r="J38" s="1">
        <v>10000</v>
      </c>
      <c r="K38" s="1">
        <v>10000</v>
      </c>
      <c r="L38" s="1">
        <v>10000</v>
      </c>
      <c r="M38" s="1">
        <v>10000</v>
      </c>
      <c r="N38" s="1">
        <v>10000</v>
      </c>
      <c r="O38" s="1">
        <v>10000</v>
      </c>
      <c r="P38" s="1">
        <v>10000</v>
      </c>
      <c r="Q38" s="1">
        <v>10000</v>
      </c>
      <c r="R38" s="1">
        <v>10000</v>
      </c>
    </row>
    <row r="39" spans="2:160" s="1" customFormat="1" x14ac:dyDescent="0.25">
      <c r="B39" s="1" t="s">
        <v>35</v>
      </c>
      <c r="H39" s="1">
        <f>+H34-H38</f>
        <v>11215</v>
      </c>
      <c r="I39" s="1">
        <f t="shared" ref="I39:R39" si="91">+I34-I38</f>
        <v>36850</v>
      </c>
      <c r="J39" s="1">
        <f t="shared" si="91"/>
        <v>48250</v>
      </c>
      <c r="K39" s="1">
        <f t="shared" si="91"/>
        <v>62250</v>
      </c>
      <c r="L39" s="1">
        <f t="shared" si="91"/>
        <v>68125</v>
      </c>
      <c r="M39" s="1">
        <f t="shared" si="91"/>
        <v>72031.25</v>
      </c>
      <c r="N39" s="1">
        <f t="shared" si="91"/>
        <v>76132.8125</v>
      </c>
      <c r="O39" s="1">
        <f t="shared" si="91"/>
        <v>80439.453125</v>
      </c>
      <c r="P39" s="1">
        <f t="shared" si="91"/>
        <v>84961.42578125</v>
      </c>
      <c r="Q39" s="1">
        <f t="shared" si="91"/>
        <v>89709.4970703125</v>
      </c>
      <c r="R39" s="1">
        <f t="shared" si="91"/>
        <v>94694.971923828125</v>
      </c>
    </row>
    <row r="40" spans="2:160" s="1" customFormat="1" x14ac:dyDescent="0.25">
      <c r="B40" s="1" t="s">
        <v>36</v>
      </c>
      <c r="H40" s="1">
        <f>+H39*0.6</f>
        <v>6729</v>
      </c>
      <c r="I40" s="1">
        <f t="shared" ref="I40:R40" si="92">+I39*0.6</f>
        <v>22110</v>
      </c>
      <c r="J40" s="1">
        <f t="shared" si="92"/>
        <v>28950</v>
      </c>
      <c r="K40" s="1">
        <f t="shared" si="92"/>
        <v>37350</v>
      </c>
      <c r="L40" s="1">
        <f t="shared" si="92"/>
        <v>40875</v>
      </c>
      <c r="M40" s="1">
        <f t="shared" si="92"/>
        <v>43218.75</v>
      </c>
      <c r="N40" s="1">
        <f t="shared" si="92"/>
        <v>45679.6875</v>
      </c>
      <c r="O40" s="1">
        <f t="shared" si="92"/>
        <v>48263.671875</v>
      </c>
      <c r="P40" s="1">
        <f t="shared" si="92"/>
        <v>50976.85546875</v>
      </c>
      <c r="Q40" s="1">
        <f t="shared" si="92"/>
        <v>53825.6982421875</v>
      </c>
      <c r="R40" s="1">
        <f t="shared" si="92"/>
        <v>56816.983154296875</v>
      </c>
    </row>
    <row r="41" spans="2:160" s="1" customFormat="1" x14ac:dyDescent="0.25">
      <c r="B41" s="1" t="s">
        <v>37</v>
      </c>
      <c r="C41" s="1">
        <v>3000</v>
      </c>
      <c r="D41" s="1">
        <v>3000</v>
      </c>
      <c r="E41" s="1">
        <v>3000</v>
      </c>
      <c r="F41" s="1">
        <f t="shared" ref="F41:G41" si="93">+F34-F40</f>
        <v>8695</v>
      </c>
      <c r="G41" s="1">
        <f t="shared" si="93"/>
        <v>6866</v>
      </c>
      <c r="H41" s="1">
        <f>+H34-H40</f>
        <v>14486</v>
      </c>
      <c r="I41" s="1">
        <f t="shared" ref="I41:R41" si="94">+I34-I40</f>
        <v>24740</v>
      </c>
      <c r="J41" s="1">
        <f t="shared" si="94"/>
        <v>29300</v>
      </c>
      <c r="K41" s="1">
        <f t="shared" si="94"/>
        <v>34900</v>
      </c>
      <c r="L41" s="1">
        <f t="shared" si="94"/>
        <v>37250</v>
      </c>
      <c r="M41" s="1">
        <f t="shared" si="94"/>
        <v>38812.5</v>
      </c>
      <c r="N41" s="1">
        <f t="shared" si="94"/>
        <v>40453.125</v>
      </c>
      <c r="O41" s="1">
        <f t="shared" si="94"/>
        <v>42175.78125</v>
      </c>
      <c r="P41" s="1">
        <f t="shared" si="94"/>
        <v>43984.5703125</v>
      </c>
      <c r="Q41" s="1">
        <f t="shared" si="94"/>
        <v>45883.798828125</v>
      </c>
      <c r="R41" s="1">
        <f t="shared" si="94"/>
        <v>47877.98876953125</v>
      </c>
    </row>
    <row r="42" spans="2:160" s="1" customFormat="1" x14ac:dyDescent="0.25"/>
    <row r="43" spans="2:160" s="1" customFormat="1" x14ac:dyDescent="0.25">
      <c r="B43" s="1" t="s">
        <v>26</v>
      </c>
      <c r="G43" s="1">
        <v>10454</v>
      </c>
      <c r="H43" s="1">
        <v>10786</v>
      </c>
    </row>
    <row r="44" spans="2:160" s="1" customFormat="1" x14ac:dyDescent="0.25">
      <c r="B44" s="1" t="s">
        <v>27</v>
      </c>
      <c r="G44" s="1">
        <v>207</v>
      </c>
      <c r="H44" s="1">
        <v>417</v>
      </c>
    </row>
    <row r="45" spans="2:160" s="1" customFormat="1" x14ac:dyDescent="0.25">
      <c r="B45" s="1" t="s">
        <v>28</v>
      </c>
      <c r="G45" s="1">
        <v>21536</v>
      </c>
      <c r="H45" s="1">
        <v>43522</v>
      </c>
    </row>
    <row r="46" spans="2:160" s="1" customFormat="1" x14ac:dyDescent="0.25">
      <c r="B46" s="1" t="s">
        <v>29</v>
      </c>
      <c r="G46" s="1">
        <f>10605+76264</f>
        <v>86869</v>
      </c>
      <c r="H46" s="1">
        <f>7271+85297</f>
        <v>92568</v>
      </c>
      <c r="I46" s="1">
        <f>+H46-I35</f>
        <v>117505.25</v>
      </c>
      <c r="J46" s="1">
        <f t="shared" ref="J46:R46" si="95">+I46-J35</f>
        <v>145729.34348750001</v>
      </c>
      <c r="K46" s="1">
        <f t="shared" si="95"/>
        <v>172597.869691075</v>
      </c>
      <c r="L46" s="1">
        <f t="shared" si="95"/>
        <v>189486.95136588404</v>
      </c>
      <c r="M46" s="1">
        <f t="shared" si="95"/>
        <v>194487.28098654281</v>
      </c>
      <c r="N46" s="1">
        <f t="shared" si="95"/>
        <v>187450.67858766337</v>
      </c>
      <c r="O46" s="1">
        <f t="shared" si="95"/>
        <v>164939.03243460483</v>
      </c>
      <c r="P46" s="1">
        <f t="shared" si="95"/>
        <v>128117.23634340579</v>
      </c>
      <c r="Q46" s="1">
        <f t="shared" si="95"/>
        <v>74124.640016987745</v>
      </c>
      <c r="R46" s="1">
        <f t="shared" si="95"/>
        <v>-532.5460797373089</v>
      </c>
    </row>
    <row r="47" spans="2:160" s="1" customFormat="1" x14ac:dyDescent="0.25">
      <c r="B47" s="1" t="s">
        <v>30</v>
      </c>
      <c r="G47" s="1">
        <f>+G43+G44+G45-G46</f>
        <v>-54672</v>
      </c>
      <c r="H47" s="1">
        <f>+H43+H44+H45-H46</f>
        <v>-37843</v>
      </c>
    </row>
    <row r="48" spans="2:160" s="1" customFormat="1" x14ac:dyDescent="0.25"/>
    <row r="49" spans="2:18" s="5" customFormat="1" x14ac:dyDescent="0.25">
      <c r="B49" s="5" t="s">
        <v>31</v>
      </c>
      <c r="G49" s="5">
        <f>+G20/G46</f>
        <v>4.0451714650796028E-2</v>
      </c>
      <c r="H49" s="5">
        <f>+H20/H46</f>
        <v>3.8652666148128942E-2</v>
      </c>
      <c r="I49" s="5">
        <v>0.04</v>
      </c>
      <c r="J49" s="5">
        <v>0.04</v>
      </c>
      <c r="K49" s="5">
        <v>0.04</v>
      </c>
      <c r="L49" s="5">
        <v>0.04</v>
      </c>
      <c r="M49" s="5">
        <v>0.04</v>
      </c>
      <c r="N49" s="5">
        <v>0.04</v>
      </c>
      <c r="O49" s="5">
        <v>0.04</v>
      </c>
      <c r="P49" s="5">
        <v>0.04</v>
      </c>
      <c r="Q49" s="5">
        <v>0.04</v>
      </c>
      <c r="R49" s="5">
        <v>0.04</v>
      </c>
    </row>
    <row r="50" spans="2:18" s="5" customFormat="1" x14ac:dyDescent="0.25"/>
    <row r="51" spans="2:18" s="1" customFormat="1" x14ac:dyDescent="0.25">
      <c r="B51" s="2" t="s">
        <v>6</v>
      </c>
    </row>
    <row r="52" spans="2:18" s="4" customFormat="1" x14ac:dyDescent="0.25">
      <c r="B52" s="4" t="s">
        <v>5</v>
      </c>
      <c r="G52" s="4">
        <f>+G9/(G4+G5)</f>
        <v>0.21201421374595178</v>
      </c>
      <c r="H52" s="4">
        <f>+H9/(H4+H5)</f>
        <v>0.23499898435913061</v>
      </c>
      <c r="I52" s="4">
        <f>+I9/(I4+I5)</f>
        <v>0.25</v>
      </c>
      <c r="J52" s="4">
        <f>+I52-0.005</f>
        <v>0.245</v>
      </c>
      <c r="K52" s="4">
        <f t="shared" ref="K52:R52" si="96">+J52-0.005</f>
        <v>0.24</v>
      </c>
      <c r="L52" s="4">
        <f t="shared" si="96"/>
        <v>0.23499999999999999</v>
      </c>
      <c r="M52" s="4">
        <f t="shared" si="96"/>
        <v>0.22999999999999998</v>
      </c>
      <c r="N52" s="4">
        <f t="shared" si="96"/>
        <v>0.22499999999999998</v>
      </c>
      <c r="O52" s="4">
        <f t="shared" si="96"/>
        <v>0.21999999999999997</v>
      </c>
      <c r="P52" s="4">
        <f t="shared" si="96"/>
        <v>0.21499999999999997</v>
      </c>
      <c r="Q52" s="4">
        <f t="shared" si="96"/>
        <v>0.20999999999999996</v>
      </c>
      <c r="R52" s="4">
        <f t="shared" si="96"/>
        <v>0.20499999999999996</v>
      </c>
    </row>
    <row r="53" spans="2:18" s="4" customFormat="1" x14ac:dyDescent="0.25">
      <c r="B53" s="4" t="s">
        <v>2</v>
      </c>
      <c r="G53" s="4">
        <f>+G10/G6</f>
        <v>0.29060665362035226</v>
      </c>
      <c r="H53" s="4">
        <f>+H10/H6</f>
        <v>0.26634877384196187</v>
      </c>
      <c r="I53" s="4">
        <f>+I10/I6</f>
        <v>0.26666666666666666</v>
      </c>
    </row>
    <row r="54" spans="2:18" s="4" customFormat="1" x14ac:dyDescent="0.25">
      <c r="B54" s="4" t="s">
        <v>3</v>
      </c>
      <c r="G54" s="4">
        <f>+G11/G7</f>
        <v>0.88841833916405821</v>
      </c>
      <c r="H54" s="4">
        <f>+H11/H7</f>
        <v>0.87445060194916868</v>
      </c>
      <c r="I54" s="4">
        <f>+I11/I7</f>
        <v>0.83333333333333337</v>
      </c>
    </row>
    <row r="55" spans="2:18" s="1" customFormat="1" x14ac:dyDescent="0.25"/>
    <row r="56" spans="2:18" s="1" customFormat="1" x14ac:dyDescent="0.25">
      <c r="B56" s="1" t="s">
        <v>8</v>
      </c>
      <c r="F56" s="4">
        <f>+F14/F$8</f>
        <v>0.17682267686271369</v>
      </c>
      <c r="G56" s="4">
        <f>+G14/G$8</f>
        <v>0.15622816789713184</v>
      </c>
      <c r="H56" s="4">
        <f>+H14/H$8</f>
        <v>0.15071691144445026</v>
      </c>
      <c r="I56" s="4">
        <f>+I14/I$8</f>
        <v>0.12873131502824517</v>
      </c>
      <c r="J56" s="4">
        <f t="shared" ref="J56:R56" si="97">+J14/J$8</f>
        <v>0.12</v>
      </c>
      <c r="K56" s="4">
        <f t="shared" si="97"/>
        <v>0.12</v>
      </c>
      <c r="L56" s="4">
        <f t="shared" si="97"/>
        <v>0.12</v>
      </c>
      <c r="M56" s="4">
        <f t="shared" si="97"/>
        <v>0.12</v>
      </c>
      <c r="N56" s="4">
        <f t="shared" si="97"/>
        <v>0.11999999999999998</v>
      </c>
      <c r="O56" s="4">
        <f t="shared" si="97"/>
        <v>0.12</v>
      </c>
      <c r="P56" s="4">
        <f t="shared" si="97"/>
        <v>0.12</v>
      </c>
      <c r="Q56" s="4">
        <f t="shared" si="97"/>
        <v>0.12</v>
      </c>
      <c r="R56" s="4">
        <f t="shared" si="97"/>
        <v>0.12</v>
      </c>
    </row>
    <row r="57" spans="2:18" s="1" customFormat="1" x14ac:dyDescent="0.25">
      <c r="B57" s="1" t="s">
        <v>9</v>
      </c>
      <c r="F57" s="4">
        <f t="shared" ref="F57:I57" si="98">+F15/F$8</f>
        <v>0.17261880930456019</v>
      </c>
      <c r="G57" s="4">
        <f t="shared" si="98"/>
        <v>0.16833141368176582</v>
      </c>
      <c r="H57" s="4">
        <f t="shared" si="98"/>
        <v>0.17177999616718062</v>
      </c>
      <c r="I57" s="4">
        <f t="shared" si="98"/>
        <v>0.1544775780338942</v>
      </c>
      <c r="J57" s="4">
        <f t="shared" ref="J57:R57" si="99">+J15/J$8</f>
        <v>0.15</v>
      </c>
      <c r="K57" s="4">
        <f t="shared" si="99"/>
        <v>0.15</v>
      </c>
      <c r="L57" s="4">
        <f t="shared" si="99"/>
        <v>0.15</v>
      </c>
      <c r="M57" s="4">
        <f t="shared" si="99"/>
        <v>0.15</v>
      </c>
      <c r="N57" s="4">
        <f t="shared" si="99"/>
        <v>0.15</v>
      </c>
      <c r="O57" s="4">
        <f t="shared" si="99"/>
        <v>0.15</v>
      </c>
      <c r="P57" s="4">
        <f t="shared" si="99"/>
        <v>0.15</v>
      </c>
      <c r="Q57" s="4">
        <f t="shared" si="99"/>
        <v>0.15</v>
      </c>
      <c r="R57" s="4">
        <f t="shared" si="99"/>
        <v>0.15</v>
      </c>
    </row>
    <row r="58" spans="2:18" s="1" customFormat="1" x14ac:dyDescent="0.25">
      <c r="B58" s="1" t="s">
        <v>10</v>
      </c>
      <c r="F58" s="4">
        <f t="shared" ref="F58:I58" si="100">+F16/F$8</f>
        <v>3.1609080353925609E-2</v>
      </c>
      <c r="G58" s="4">
        <f t="shared" si="100"/>
        <v>2.92290553426106E-2</v>
      </c>
      <c r="H58" s="4">
        <f t="shared" si="100"/>
        <v>2.7909893900590604E-2</v>
      </c>
      <c r="I58" s="4">
        <f t="shared" si="100"/>
        <v>2.5746263005649032E-2</v>
      </c>
      <c r="J58" s="4">
        <f t="shared" ref="J58:R58" si="101">+J16/J$8</f>
        <v>0.03</v>
      </c>
      <c r="K58" s="4">
        <f t="shared" si="101"/>
        <v>0.03</v>
      </c>
      <c r="L58" s="4">
        <f t="shared" si="101"/>
        <v>0.03</v>
      </c>
      <c r="M58" s="4">
        <f t="shared" si="101"/>
        <v>0.03</v>
      </c>
      <c r="N58" s="4">
        <f t="shared" si="101"/>
        <v>2.9999999999999995E-2</v>
      </c>
      <c r="O58" s="4">
        <f t="shared" si="101"/>
        <v>0.03</v>
      </c>
      <c r="P58" s="4">
        <f t="shared" si="101"/>
        <v>0.03</v>
      </c>
      <c r="Q58" s="4">
        <f t="shared" si="101"/>
        <v>0.03</v>
      </c>
      <c r="R58" s="4">
        <f t="shared" si="101"/>
        <v>0.03</v>
      </c>
    </row>
    <row r="59" spans="2:18" s="1" customFormat="1" x14ac:dyDescent="0.25"/>
    <row r="60" spans="2:18" s="1" customFormat="1" x14ac:dyDescent="0.25"/>
    <row r="61" spans="2:18" s="1" customFormat="1" x14ac:dyDescent="0.25"/>
    <row r="62" spans="2:18" s="1" customFormat="1" x14ac:dyDescent="0.25"/>
    <row r="63" spans="2:18" s="1" customFormat="1" x14ac:dyDescent="0.25"/>
    <row r="64" spans="2:18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2026-02-12T19:26:55Z</dcterms:created>
  <dcterms:modified xsi:type="dcterms:W3CDTF">2026-02-12T20:23:14Z</dcterms:modified>
</cp:coreProperties>
</file>