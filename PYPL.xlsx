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C331E661-DD73-4D0E-A40E-50D94C4FF848}" xr6:coauthVersionLast="47" xr6:coauthVersionMax="47" xr10:uidLastSave="{00000000-0000-0000-0000-000000000000}"/>
  <bookViews>
    <workbookView xWindow="-120" yWindow="-120" windowWidth="29040" windowHeight="15840" activeTab="1" xr2:uid="{EBD473E7-E36B-4F3A-A60F-95C7D5DE3E78}"/>
  </bookViews>
  <sheets>
    <sheet name="Sheet1" sheetId="1" r:id="rId1"/>
    <sheet name="Sheet2" sheetId="2" r:id="rId2"/>
  </sheets>
  <definedNames>
    <definedName name="MV">Sheet2!$AE$32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6" i="2" l="1"/>
  <c r="AB29" i="2"/>
  <c r="V10" i="2"/>
  <c r="AB7" i="2"/>
  <c r="U6" i="2"/>
  <c r="V6" i="2"/>
  <c r="W6" i="2" s="1"/>
  <c r="X6" i="2" s="1"/>
  <c r="Y6" i="2" s="1"/>
  <c r="Z6" i="2" s="1"/>
  <c r="AA6" i="2" s="1"/>
  <c r="AB6" i="2" s="1"/>
  <c r="T6" i="2"/>
  <c r="O53" i="2"/>
  <c r="P53" i="2"/>
  <c r="Q53" i="2"/>
  <c r="R53" i="2"/>
  <c r="S53" i="2"/>
  <c r="U10" i="2"/>
  <c r="T10" i="2"/>
  <c r="S10" i="2"/>
  <c r="T18" i="2" l="1"/>
  <c r="W10" i="2"/>
  <c r="X10" i="2" l="1"/>
  <c r="Y10" i="2" l="1"/>
  <c r="Z10" i="2" l="1"/>
  <c r="AA10" i="2" l="1"/>
  <c r="AB10" i="2" l="1"/>
  <c r="S9" i="2" l="1"/>
  <c r="S52" i="2" s="1"/>
  <c r="S7" i="2"/>
  <c r="S8" i="2" s="1"/>
  <c r="S40" i="2"/>
  <c r="S42" i="2" s="1"/>
  <c r="AE34" i="2"/>
  <c r="D6" i="1" s="1"/>
  <c r="S36" i="2"/>
  <c r="N48" i="2"/>
  <c r="O48" i="2"/>
  <c r="P48" i="2"/>
  <c r="N49" i="2"/>
  <c r="O49" i="2"/>
  <c r="P49" i="2"/>
  <c r="N50" i="2"/>
  <c r="O50" i="2"/>
  <c r="P50" i="2"/>
  <c r="R48" i="2"/>
  <c r="R49" i="2"/>
  <c r="R50" i="2"/>
  <c r="Q49" i="2"/>
  <c r="Q50" i="2"/>
  <c r="Q48" i="2"/>
  <c r="T22" i="2"/>
  <c r="U22" i="2" s="1"/>
  <c r="V22" i="2" s="1"/>
  <c r="W22" i="2" s="1"/>
  <c r="X22" i="2" s="1"/>
  <c r="Y22" i="2" s="1"/>
  <c r="Z22" i="2" s="1"/>
  <c r="AA22" i="2" s="1"/>
  <c r="AB22" i="2" s="1"/>
  <c r="T21" i="2"/>
  <c r="U21" i="2" s="1"/>
  <c r="V21" i="2" s="1"/>
  <c r="W21" i="2" s="1"/>
  <c r="X21" i="2" s="1"/>
  <c r="Y21" i="2" s="1"/>
  <c r="Z21" i="2" s="1"/>
  <c r="AA21" i="2" s="1"/>
  <c r="AB21" i="2" s="1"/>
  <c r="S48" i="2"/>
  <c r="S49" i="2"/>
  <c r="P36" i="2"/>
  <c r="Q36" i="2"/>
  <c r="R36" i="2"/>
  <c r="R12" i="2"/>
  <c r="Q12" i="2"/>
  <c r="Q8" i="2"/>
  <c r="R8" i="2"/>
  <c r="Q34" i="2"/>
  <c r="R34" i="2"/>
  <c r="R40" i="2"/>
  <c r="R42" i="2" s="1"/>
  <c r="Q40" i="2"/>
  <c r="Q42" i="2" s="1"/>
  <c r="P40" i="2"/>
  <c r="O8" i="2"/>
  <c r="P12" i="2"/>
  <c r="P8" i="2"/>
  <c r="P23" i="2"/>
  <c r="P34" i="2"/>
  <c r="N34" i="2"/>
  <c r="O34" i="2"/>
  <c r="P3" i="2"/>
  <c r="Q3" i="2" s="1"/>
  <c r="R3" i="2" s="1"/>
  <c r="S3" i="2" s="1"/>
  <c r="T3" i="2" s="1"/>
  <c r="U3" i="2" s="1"/>
  <c r="V3" i="2" s="1"/>
  <c r="W3" i="2" s="1"/>
  <c r="X3" i="2" s="1"/>
  <c r="O12" i="2"/>
  <c r="M12" i="2"/>
  <c r="M8" i="2"/>
  <c r="F34" i="2"/>
  <c r="C16" i="2"/>
  <c r="D16" i="2"/>
  <c r="D30" i="2" s="1"/>
  <c r="E16" i="2"/>
  <c r="E30" i="2" s="1"/>
  <c r="F16" i="2"/>
  <c r="F30" i="2" s="1"/>
  <c r="G16" i="2"/>
  <c r="G30" i="2" s="1"/>
  <c r="H16" i="2"/>
  <c r="H30" i="2" s="1"/>
  <c r="I16" i="2"/>
  <c r="C23" i="2"/>
  <c r="D23" i="2"/>
  <c r="E23" i="2"/>
  <c r="F23" i="2"/>
  <c r="G23" i="2"/>
  <c r="H23" i="2"/>
  <c r="I23" i="2"/>
  <c r="B16" i="2"/>
  <c r="B30" i="2" s="1"/>
  <c r="B23" i="2"/>
  <c r="N16" i="2"/>
  <c r="N30" i="2" s="1"/>
  <c r="O16" i="2"/>
  <c r="O30" i="2" s="1"/>
  <c r="M16" i="2"/>
  <c r="N23" i="2"/>
  <c r="O23" i="2"/>
  <c r="M23" i="2"/>
  <c r="D5" i="1"/>
  <c r="S46" i="2" s="1"/>
  <c r="U18" i="2" l="1"/>
  <c r="T7" i="2"/>
  <c r="T9" i="2" s="1"/>
  <c r="T17" i="2" s="1"/>
  <c r="T36" i="2"/>
  <c r="U36" i="2"/>
  <c r="S34" i="2"/>
  <c r="S50" i="2"/>
  <c r="Q16" i="2"/>
  <c r="Q30" i="2" s="1"/>
  <c r="Q23" i="2"/>
  <c r="R23" i="2"/>
  <c r="P16" i="2"/>
  <c r="P30" i="2" s="1"/>
  <c r="M24" i="2"/>
  <c r="M26" i="2" s="1"/>
  <c r="M28" i="2" s="1"/>
  <c r="M32" i="2" s="1"/>
  <c r="G24" i="2"/>
  <c r="E24" i="2"/>
  <c r="E26" i="2" s="1"/>
  <c r="E28" i="2" s="1"/>
  <c r="E32" i="2" s="1"/>
  <c r="D24" i="2"/>
  <c r="D26" i="2" s="1"/>
  <c r="D28" i="2" s="1"/>
  <c r="D32" i="2" s="1"/>
  <c r="M30" i="2"/>
  <c r="I24" i="2"/>
  <c r="I26" i="2" s="1"/>
  <c r="I28" i="2" s="1"/>
  <c r="I32" i="2" s="1"/>
  <c r="I30" i="2"/>
  <c r="H24" i="2"/>
  <c r="C24" i="2"/>
  <c r="C30" i="2"/>
  <c r="B24" i="2"/>
  <c r="F24" i="2"/>
  <c r="D7" i="1"/>
  <c r="O24" i="2"/>
  <c r="N24" i="2"/>
  <c r="W18" i="2" l="1"/>
  <c r="V18" i="2"/>
  <c r="X18" i="2"/>
  <c r="V36" i="2"/>
  <c r="W36" i="2"/>
  <c r="M31" i="2"/>
  <c r="Q24" i="2"/>
  <c r="Q26" i="2" s="1"/>
  <c r="P24" i="2"/>
  <c r="P31" i="2" s="1"/>
  <c r="R16" i="2"/>
  <c r="S23" i="2"/>
  <c r="D31" i="2"/>
  <c r="G26" i="2"/>
  <c r="G28" i="2" s="1"/>
  <c r="G32" i="2" s="1"/>
  <c r="G31" i="2"/>
  <c r="E31" i="2"/>
  <c r="I31" i="2"/>
  <c r="F26" i="2"/>
  <c r="F28" i="2" s="1"/>
  <c r="F32" i="2" s="1"/>
  <c r="F31" i="2"/>
  <c r="B26" i="2"/>
  <c r="B28" i="2" s="1"/>
  <c r="B32" i="2" s="1"/>
  <c r="B31" i="2"/>
  <c r="C26" i="2"/>
  <c r="C28" i="2" s="1"/>
  <c r="C32" i="2" s="1"/>
  <c r="C31" i="2"/>
  <c r="H26" i="2"/>
  <c r="H28" i="2" s="1"/>
  <c r="H32" i="2" s="1"/>
  <c r="H31" i="2"/>
  <c r="N31" i="2"/>
  <c r="N26" i="2"/>
  <c r="N28" i="2" s="1"/>
  <c r="O26" i="2"/>
  <c r="O28" i="2" s="1"/>
  <c r="O31" i="2"/>
  <c r="Y18" i="2" l="1"/>
  <c r="X36" i="2"/>
  <c r="Q31" i="2"/>
  <c r="O32" i="2"/>
  <c r="O35" i="2"/>
  <c r="S12" i="2"/>
  <c r="T12" i="2" s="1"/>
  <c r="U12" i="2" s="1"/>
  <c r="V12" i="2" s="1"/>
  <c r="W12" i="2" s="1"/>
  <c r="X12" i="2" s="1"/>
  <c r="Y12" i="2" s="1"/>
  <c r="Z12" i="2" s="1"/>
  <c r="AA12" i="2" s="1"/>
  <c r="AB12" i="2" s="1"/>
  <c r="N32" i="2"/>
  <c r="N35" i="2"/>
  <c r="P26" i="2"/>
  <c r="P28" i="2" s="1"/>
  <c r="P35" i="2" s="1"/>
  <c r="R30" i="2"/>
  <c r="R24" i="2"/>
  <c r="Q28" i="2"/>
  <c r="Z18" i="2" l="1"/>
  <c r="Y36" i="2"/>
  <c r="Y7" i="2"/>
  <c r="Q35" i="2"/>
  <c r="S16" i="2"/>
  <c r="S30" i="2" s="1"/>
  <c r="Q32" i="2"/>
  <c r="P32" i="2"/>
  <c r="R31" i="2"/>
  <c r="R26" i="2"/>
  <c r="Y14" i="2" l="1"/>
  <c r="Y15" i="2" s="1"/>
  <c r="Y9" i="2"/>
  <c r="Y17" i="2" s="1"/>
  <c r="Z36" i="2"/>
  <c r="Z7" i="2"/>
  <c r="Z9" i="2" s="1"/>
  <c r="Z17" i="2" s="1"/>
  <c r="AA18" i="2"/>
  <c r="Y16" i="2"/>
  <c r="Y50" i="2"/>
  <c r="T14" i="2"/>
  <c r="T15" i="2" s="1"/>
  <c r="Z14" i="2"/>
  <c r="Z15" i="2" s="1"/>
  <c r="S24" i="2"/>
  <c r="S26" i="2" s="1"/>
  <c r="U7" i="2"/>
  <c r="U9" i="2" s="1"/>
  <c r="U17" i="2" s="1"/>
  <c r="R28" i="2"/>
  <c r="R35" i="2" s="1"/>
  <c r="Z19" i="2" l="1"/>
  <c r="Z20" i="2"/>
  <c r="T20" i="2"/>
  <c r="T49" i="2" s="1"/>
  <c r="T19" i="2"/>
  <c r="Y19" i="2"/>
  <c r="Y48" i="2" s="1"/>
  <c r="Y20" i="2"/>
  <c r="Y49" i="2" s="1"/>
  <c r="AA36" i="2"/>
  <c r="AB18" i="2"/>
  <c r="AA7" i="2"/>
  <c r="AA9" i="2" s="1"/>
  <c r="AA17" i="2" s="1"/>
  <c r="Z49" i="2"/>
  <c r="Z16" i="2"/>
  <c r="Z48" i="2"/>
  <c r="Z50" i="2"/>
  <c r="T34" i="2"/>
  <c r="T16" i="2"/>
  <c r="T50" i="2"/>
  <c r="T48" i="2"/>
  <c r="Y23" i="2"/>
  <c r="Y24" i="2" s="1"/>
  <c r="Z34" i="2"/>
  <c r="Y30" i="2"/>
  <c r="U14" i="2"/>
  <c r="U15" i="2" s="1"/>
  <c r="S31" i="2"/>
  <c r="V7" i="2"/>
  <c r="V9" i="2" s="1"/>
  <c r="V17" i="2" s="1"/>
  <c r="R32" i="2"/>
  <c r="S28" i="2"/>
  <c r="S35" i="2" s="1"/>
  <c r="AA14" i="2" l="1"/>
  <c r="U20" i="2"/>
  <c r="U49" i="2" s="1"/>
  <c r="U19" i="2"/>
  <c r="U48" i="2" s="1"/>
  <c r="T23" i="2"/>
  <c r="T24" i="2" s="1"/>
  <c r="AB36" i="2"/>
  <c r="AA50" i="2"/>
  <c r="Z23" i="2"/>
  <c r="Z24" i="2" s="1"/>
  <c r="U34" i="2"/>
  <c r="U16" i="2"/>
  <c r="U30" i="2" s="1"/>
  <c r="U50" i="2"/>
  <c r="Y26" i="2"/>
  <c r="Y27" i="2" s="1"/>
  <c r="Y28" i="2" s="1"/>
  <c r="Y31" i="2"/>
  <c r="Z30" i="2"/>
  <c r="V14" i="2"/>
  <c r="V15" i="2" s="1"/>
  <c r="T30" i="2"/>
  <c r="W7" i="2"/>
  <c r="W9" i="2" s="1"/>
  <c r="W17" i="2" s="1"/>
  <c r="S32" i="2"/>
  <c r="AA34" i="2" l="1"/>
  <c r="AA15" i="2"/>
  <c r="AA16" i="2" s="1"/>
  <c r="AB14" i="2"/>
  <c r="AB15" i="2" s="1"/>
  <c r="AB9" i="2"/>
  <c r="AB17" i="2" s="1"/>
  <c r="V19" i="2"/>
  <c r="V20" i="2"/>
  <c r="V49" i="2" s="1"/>
  <c r="AA20" i="2"/>
  <c r="AA49" i="2" s="1"/>
  <c r="AA19" i="2"/>
  <c r="AA48" i="2" s="1"/>
  <c r="AB50" i="2"/>
  <c r="U23" i="2"/>
  <c r="U24" i="2" s="1"/>
  <c r="U26" i="2" s="1"/>
  <c r="U27" i="2" s="1"/>
  <c r="U28" i="2" s="1"/>
  <c r="V34" i="2"/>
  <c r="V48" i="2"/>
  <c r="V16" i="2"/>
  <c r="V50" i="2"/>
  <c r="Z26" i="2"/>
  <c r="Z27" i="2" s="1"/>
  <c r="Z28" i="2" s="1"/>
  <c r="Z31" i="2"/>
  <c r="Y32" i="2"/>
  <c r="AA30" i="2"/>
  <c r="W14" i="2"/>
  <c r="W15" i="2" s="1"/>
  <c r="T31" i="2"/>
  <c r="T26" i="2"/>
  <c r="T27" i="2" s="1"/>
  <c r="T28" i="2" s="1"/>
  <c r="X7" i="2"/>
  <c r="X9" i="2" s="1"/>
  <c r="X17" i="2" s="1"/>
  <c r="AA23" i="2" l="1"/>
  <c r="AA24" i="2" s="1"/>
  <c r="W19" i="2"/>
  <c r="W48" i="2" s="1"/>
  <c r="W20" i="2"/>
  <c r="AB20" i="2"/>
  <c r="AB49" i="2" s="1"/>
  <c r="AB19" i="2"/>
  <c r="AB23" i="2" s="1"/>
  <c r="AB34" i="2"/>
  <c r="AB16" i="2"/>
  <c r="AB30" i="2" s="1"/>
  <c r="T38" i="2"/>
  <c r="T40" i="2" s="1"/>
  <c r="T42" i="2" s="1"/>
  <c r="U31" i="2"/>
  <c r="W34" i="2"/>
  <c r="W16" i="2"/>
  <c r="W49" i="2"/>
  <c r="W50" i="2"/>
  <c r="V23" i="2"/>
  <c r="V24" i="2" s="1"/>
  <c r="U35" i="2"/>
  <c r="U32" i="2"/>
  <c r="AA26" i="2"/>
  <c r="AA27" i="2" s="1"/>
  <c r="AA28" i="2" s="1"/>
  <c r="AA31" i="2"/>
  <c r="T32" i="2"/>
  <c r="T35" i="2"/>
  <c r="V30" i="2"/>
  <c r="Z32" i="2"/>
  <c r="Z35" i="2"/>
  <c r="X14" i="2"/>
  <c r="X15" i="2" s="1"/>
  <c r="D12" i="1" l="1"/>
  <c r="D13" i="1" s="1"/>
  <c r="AB24" i="2"/>
  <c r="AB48" i="2"/>
  <c r="X19" i="2"/>
  <c r="X20" i="2"/>
  <c r="W23" i="2"/>
  <c r="W24" i="2" s="1"/>
  <c r="X16" i="2"/>
  <c r="X49" i="2"/>
  <c r="X48" i="2"/>
  <c r="X50" i="2"/>
  <c r="V26" i="2"/>
  <c r="V27" i="2" s="1"/>
  <c r="V28" i="2" s="1"/>
  <c r="V31" i="2"/>
  <c r="AA35" i="2"/>
  <c r="AA32" i="2"/>
  <c r="X34" i="2"/>
  <c r="Y34" i="2"/>
  <c r="W30" i="2"/>
  <c r="AB26" i="2" l="1"/>
  <c r="AB27" i="2" s="1"/>
  <c r="AB28" i="2" s="1"/>
  <c r="AB31" i="2"/>
  <c r="X23" i="2"/>
  <c r="X24" i="2" s="1"/>
  <c r="W26" i="2"/>
  <c r="W27" i="2" s="1"/>
  <c r="W28" i="2" s="1"/>
  <c r="W31" i="2"/>
  <c r="X30" i="2"/>
  <c r="V35" i="2"/>
  <c r="V32" i="2"/>
  <c r="AB35" i="2" l="1"/>
  <c r="AC28" i="2"/>
  <c r="AD28" i="2" s="1"/>
  <c r="AE28" i="2" s="1"/>
  <c r="AF28" i="2" s="1"/>
  <c r="AG28" i="2" s="1"/>
  <c r="AH28" i="2" s="1"/>
  <c r="AI28" i="2" s="1"/>
  <c r="AJ28" i="2" s="1"/>
  <c r="AK28" i="2" s="1"/>
  <c r="AL28" i="2" s="1"/>
  <c r="AM28" i="2" s="1"/>
  <c r="AN28" i="2" s="1"/>
  <c r="AO28" i="2" s="1"/>
  <c r="AP28" i="2" s="1"/>
  <c r="AQ28" i="2" s="1"/>
  <c r="AR28" i="2" s="1"/>
  <c r="AS28" i="2" s="1"/>
  <c r="AT28" i="2" s="1"/>
  <c r="AU28" i="2" s="1"/>
  <c r="AV28" i="2" s="1"/>
  <c r="AW28" i="2" s="1"/>
  <c r="AX28" i="2" s="1"/>
  <c r="AY28" i="2" s="1"/>
  <c r="AZ28" i="2" s="1"/>
  <c r="BA28" i="2" s="1"/>
  <c r="BB28" i="2" s="1"/>
  <c r="BC28" i="2" s="1"/>
  <c r="BD28" i="2" s="1"/>
  <c r="BE28" i="2" s="1"/>
  <c r="BF28" i="2" s="1"/>
  <c r="BG28" i="2" s="1"/>
  <c r="BH28" i="2" s="1"/>
  <c r="BI28" i="2" s="1"/>
  <c r="BJ28" i="2" s="1"/>
  <c r="BK28" i="2" s="1"/>
  <c r="BL28" i="2" s="1"/>
  <c r="BM28" i="2" s="1"/>
  <c r="BN28" i="2" s="1"/>
  <c r="BO28" i="2" s="1"/>
  <c r="BP28" i="2" s="1"/>
  <c r="BQ28" i="2" s="1"/>
  <c r="BR28" i="2" s="1"/>
  <c r="BS28" i="2" s="1"/>
  <c r="BT28" i="2" s="1"/>
  <c r="BU28" i="2" s="1"/>
  <c r="BV28" i="2" s="1"/>
  <c r="BW28" i="2" s="1"/>
  <c r="BX28" i="2" s="1"/>
  <c r="BY28" i="2" s="1"/>
  <c r="BZ28" i="2" s="1"/>
  <c r="CA28" i="2" s="1"/>
  <c r="CB28" i="2" s="1"/>
  <c r="CC28" i="2" s="1"/>
  <c r="CD28" i="2" s="1"/>
  <c r="CE28" i="2" s="1"/>
  <c r="CF28" i="2" s="1"/>
  <c r="CG28" i="2" s="1"/>
  <c r="CH28" i="2" s="1"/>
  <c r="CI28" i="2" s="1"/>
  <c r="CJ28" i="2" s="1"/>
  <c r="CK28" i="2" s="1"/>
  <c r="CL28" i="2" s="1"/>
  <c r="CM28" i="2" s="1"/>
  <c r="CN28" i="2" s="1"/>
  <c r="CO28" i="2" s="1"/>
  <c r="AB32" i="2"/>
  <c r="X26" i="2"/>
  <c r="X27" i="2" s="1"/>
  <c r="X28" i="2" s="1"/>
  <c r="X31" i="2"/>
  <c r="W35" i="2"/>
  <c r="W32" i="2"/>
  <c r="AE33" i="2" l="1"/>
  <c r="AE35" i="2" s="1"/>
  <c r="AE36" i="2" s="1"/>
  <c r="AE37" i="2" s="1"/>
  <c r="X35" i="2"/>
  <c r="X32" i="2"/>
  <c r="Y35" i="2"/>
  <c r="D9" i="1" l="1"/>
</calcChain>
</file>

<file path=xl/sharedStrings.xml><?xml version="1.0" encoding="utf-8"?>
<sst xmlns="http://schemas.openxmlformats.org/spreadsheetml/2006/main" count="80" uniqueCount="76">
  <si>
    <t xml:space="preserve">Price </t>
  </si>
  <si>
    <t>Shares</t>
  </si>
  <si>
    <t>Cap</t>
  </si>
  <si>
    <t>Net Cash</t>
  </si>
  <si>
    <t>EV</t>
  </si>
  <si>
    <t>Q121</t>
  </si>
  <si>
    <t>Q221</t>
  </si>
  <si>
    <t>Q321</t>
  </si>
  <si>
    <t>Q421</t>
  </si>
  <si>
    <t>Q122</t>
  </si>
  <si>
    <t>Q222</t>
  </si>
  <si>
    <t>Q322</t>
  </si>
  <si>
    <t>Q422</t>
  </si>
  <si>
    <t>Revenue</t>
  </si>
  <si>
    <t>Transaction expense</t>
  </si>
  <si>
    <t>Credit losses</t>
  </si>
  <si>
    <t xml:space="preserve">Customer Support </t>
  </si>
  <si>
    <t>R&amp;D</t>
  </si>
  <si>
    <t>Sales</t>
  </si>
  <si>
    <t>Operating Expenses</t>
  </si>
  <si>
    <t>Operating Income</t>
  </si>
  <si>
    <t>Other Income</t>
  </si>
  <si>
    <t>Pretax Income</t>
  </si>
  <si>
    <t>Taxes</t>
  </si>
  <si>
    <t>Net Income</t>
  </si>
  <si>
    <t>FY19</t>
  </si>
  <si>
    <t>FY20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</si>
  <si>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</si>
  <si>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</si>
  <si>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</si>
  <si>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</si>
  <si>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</si>
  <si>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</si>
  <si>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</si>
  <si>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</si>
  <si>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</si>
  <si>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</si>
  <si>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G&amp;A</t>
  </si>
  <si>
    <t>Restructuring</t>
  </si>
  <si>
    <t>Gross Profit</t>
  </si>
  <si>
    <t>Gross Margin</t>
  </si>
  <si>
    <t>Operating Margin</t>
  </si>
  <si>
    <t>Net Margin</t>
  </si>
  <si>
    <t>Revenue Y/Y</t>
  </si>
  <si>
    <t>Active Accounts</t>
  </si>
  <si>
    <t>Transaction</t>
  </si>
  <si>
    <t>TPA</t>
  </si>
  <si>
    <t>Revenue/Transaction</t>
  </si>
  <si>
    <t>US People</t>
  </si>
  <si>
    <t>US Penetration</t>
  </si>
  <si>
    <t>Discount</t>
  </si>
  <si>
    <t>Maturity</t>
  </si>
  <si>
    <t>NPV</t>
  </si>
  <si>
    <t>Value</t>
  </si>
  <si>
    <t>Price</t>
  </si>
  <si>
    <t>Net Income Y/Y</t>
  </si>
  <si>
    <t>CFFO</t>
  </si>
  <si>
    <t>CapEx</t>
  </si>
  <si>
    <t>FCF</t>
  </si>
  <si>
    <t>Acounts Y/Y</t>
  </si>
  <si>
    <t>FY31</t>
  </si>
  <si>
    <t>FY32</t>
  </si>
  <si>
    <t>FY33</t>
  </si>
  <si>
    <t>FY34</t>
  </si>
  <si>
    <t>Diff</t>
  </si>
  <si>
    <t>SBC</t>
  </si>
  <si>
    <t>Adj. FCF</t>
  </si>
  <si>
    <t>Stock buybacks</t>
  </si>
  <si>
    <t>Stocks bought</t>
  </si>
  <si>
    <t>Buyback Yield</t>
  </si>
  <si>
    <t>EV/FCF</t>
  </si>
  <si>
    <t>FCF Yield</t>
  </si>
  <si>
    <t>TPV</t>
  </si>
  <si>
    <t>Credit loss as TPV</t>
  </si>
  <si>
    <t>VPT</t>
  </si>
  <si>
    <t>Support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</si>
</sst>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9" fontId="0" fillId="0" borderId="0" xfId="1" applyFont="1"/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2" fontId="0" fillId="0" borderId="0" xfId="1" applyNumberFormat="1" applyFont="1"/>
    <xf numFmtId="1" fontId="0" fillId="0" borderId="0" xfId="0" applyNumberFormat="1"/>
    <xf numFmtId="3" fontId="3" fillId="0" borderId="0" xfId="0" applyNumberFormat="1" applyFont="1"/>
    <xf numFmtId="165" fontId="0" fillId="0" borderId="0" xfId="1" applyNumberFormat="1" applyFont="1"/>
    <xf numFmtId="3" fontId="0" fillId="0" borderId="0" xfId="1" applyNumberFormat="1" applyFont="1"/>
    <xf numFmtId="10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3061-213B-4BD6-9354-17044F005AD9}">
  <dimension ref="C3:D13"/>
  <sheetViews>
    <sheetView zoomScale="160" zoomScaleNormal="160" workbookViewId="0">
      <selection activeCell="D12" sqref="D12"/>
    </sheetView>
  </sheetViews>
  <sheetFormatPr defaultRowHeight="15" x14ac:dyDescent="0.25"/>
  <cols>
    <col min="4" max="4" width="9" customWidth="1"/>
  </cols>
  <sheetData>
    <row r="3" spans="3:4" x14ac:dyDescent="0.25">
      <c r="C3" t="s">
        <v>0</v>
      </c>
      <c r="D3">
        <v>40.270000000000003</v>
      </c>
    </row>
    <row r="4" spans="3:4" x14ac:dyDescent="0.25">
      <c r="C4" t="s">
        <v>1</v>
      </c>
      <c r="D4">
        <v>977</v>
      </c>
    </row>
    <row r="5" spans="3:4" x14ac:dyDescent="0.25">
      <c r="C5" t="s">
        <v>2</v>
      </c>
      <c r="D5">
        <f>+D3*D4</f>
        <v>39343.79</v>
      </c>
    </row>
    <row r="6" spans="3:4" x14ac:dyDescent="0.25">
      <c r="C6" t="s">
        <v>3</v>
      </c>
      <c r="D6">
        <f>+Sheet2!AE34</f>
        <v>3080</v>
      </c>
    </row>
    <row r="7" spans="3:4" x14ac:dyDescent="0.25">
      <c r="C7" t="s">
        <v>4</v>
      </c>
      <c r="D7">
        <f>+D5-D6</f>
        <v>36263.79</v>
      </c>
    </row>
    <row r="9" spans="3:4" x14ac:dyDescent="0.25">
      <c r="D9" s="1">
        <f>+Sheet2!AE36/Sheet1!D3 -1</f>
        <v>0.431776511344379</v>
      </c>
    </row>
    <row r="12" spans="3:4" x14ac:dyDescent="0.25">
      <c r="C12" t="s">
        <v>70</v>
      </c>
      <c r="D12">
        <f>+D7/Sheet2!T42</f>
        <v>11.412848610285128</v>
      </c>
    </row>
    <row r="13" spans="3:4" x14ac:dyDescent="0.25">
      <c r="C13" t="s">
        <v>71</v>
      </c>
      <c r="D13" s="8">
        <f>1/D12</f>
        <v>8.7620543665041836E-2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5B562-C566-4AF7-80A9-1A2CB7594EF2}">
  <dimension ref="A1:CO53"/>
  <sheetViews>
    <sheetView tabSelected="1" zoomScale="160" zoomScaleNormal="160" workbookViewId="0">
      <pane xSplit="1" ySplit="1" topLeftCell="R25" activePane="bottomRight" state="frozen"/>
      <selection pane="topRight" activeCell="B1" sqref="B1"/>
      <selection pane="bottomLeft" activeCell="A2" sqref="A2"/>
      <selection pane="bottomRight" activeCell="T46" sqref="T46"/>
    </sheetView>
  </sheetViews>
  <sheetFormatPr defaultRowHeight="15" x14ac:dyDescent="0.25"/>
  <cols>
    <col min="1" max="1" width="19.42578125" bestFit="1" customWidth="1"/>
    <col min="27" max="27" width="10.85546875" bestFit="1" customWidth="1"/>
    <col min="31" max="31" width="10.85546875" bestFit="1" customWidth="1"/>
  </cols>
  <sheetData>
    <row r="1" spans="1:28" x14ac:dyDescent="0.25"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60</v>
      </c>
      <c r="Z1" t="s">
        <v>61</v>
      </c>
      <c r="AA1" t="s">
        <v>62</v>
      </c>
      <c r="AB1" t="s">
        <v>63</v>
      </c>
    </row>
    <row r="3" spans="1:28" x14ac:dyDescent="0.25">
      <c r="A3" t="s">
        <v>48</v>
      </c>
      <c r="M3">
        <v>238.3</v>
      </c>
      <c r="N3">
        <v>329.5</v>
      </c>
      <c r="O3" s="3">
        <v>332.9</v>
      </c>
      <c r="P3" s="3">
        <f>+O3*1.01</f>
        <v>336.22899999999998</v>
      </c>
      <c r="Q3" s="3">
        <f t="shared" ref="Q3:X3" si="0">+P3*1.01</f>
        <v>339.59129000000001</v>
      </c>
      <c r="R3" s="3">
        <f t="shared" si="0"/>
        <v>342.9872029</v>
      </c>
      <c r="S3" s="3">
        <f t="shared" si="0"/>
        <v>346.41707492900002</v>
      </c>
      <c r="T3" s="3">
        <f t="shared" si="0"/>
        <v>349.88124567829004</v>
      </c>
      <c r="U3" s="3">
        <f t="shared" si="0"/>
        <v>353.38005813507294</v>
      </c>
      <c r="V3" s="3">
        <f t="shared" si="0"/>
        <v>356.9138587164237</v>
      </c>
      <c r="W3" s="3">
        <f t="shared" si="0"/>
        <v>360.48299730358792</v>
      </c>
      <c r="X3" s="3">
        <f t="shared" si="0"/>
        <v>364.08782727662378</v>
      </c>
    </row>
    <row r="4" spans="1:28" x14ac:dyDescent="0.25">
      <c r="A4" t="s">
        <v>49</v>
      </c>
    </row>
    <row r="6" spans="1:28" x14ac:dyDescent="0.25">
      <c r="A6" t="s">
        <v>44</v>
      </c>
      <c r="M6">
        <v>305</v>
      </c>
      <c r="O6">
        <v>426</v>
      </c>
      <c r="P6">
        <v>435</v>
      </c>
      <c r="Q6" s="6">
        <v>426</v>
      </c>
      <c r="R6">
        <v>434</v>
      </c>
      <c r="S6" s="6">
        <v>439</v>
      </c>
      <c r="T6" s="6">
        <f>+S6*1.005</f>
        <v>441.19499999999994</v>
      </c>
      <c r="U6" s="6">
        <f t="shared" ref="U6:AB6" si="1">+T6*1.005</f>
        <v>443.4009749999999</v>
      </c>
      <c r="V6" s="6">
        <f t="shared" si="1"/>
        <v>445.61797987499983</v>
      </c>
      <c r="W6" s="6">
        <f t="shared" si="1"/>
        <v>447.84606977437477</v>
      </c>
      <c r="X6" s="6">
        <f t="shared" si="1"/>
        <v>450.08530012324661</v>
      </c>
      <c r="Y6" s="6">
        <f t="shared" si="1"/>
        <v>452.3357266238628</v>
      </c>
      <c r="Z6" s="6">
        <f t="shared" si="1"/>
        <v>454.59740525698209</v>
      </c>
      <c r="AA6" s="6">
        <f t="shared" si="1"/>
        <v>456.87039228326694</v>
      </c>
      <c r="AB6" s="6">
        <f t="shared" si="1"/>
        <v>459.15474424468323</v>
      </c>
    </row>
    <row r="7" spans="1:28" s="2" customFormat="1" x14ac:dyDescent="0.25">
      <c r="A7" s="2" t="s">
        <v>45</v>
      </c>
      <c r="M7" s="2">
        <v>12400</v>
      </c>
      <c r="O7" s="2">
        <v>19300</v>
      </c>
      <c r="P7" s="2">
        <v>22349</v>
      </c>
      <c r="Q7" s="2">
        <v>24981</v>
      </c>
      <c r="R7" s="2">
        <v>26334</v>
      </c>
      <c r="S7" s="2">
        <f>6045+6226+6331+6754</f>
        <v>25356</v>
      </c>
      <c r="T7" s="2">
        <f>+T6*T8</f>
        <v>25589.309999999998</v>
      </c>
      <c r="U7" s="2">
        <f t="shared" ref="U7:AB7" si="2">+U6*U8</f>
        <v>25717.256549999995</v>
      </c>
      <c r="V7" s="2">
        <f t="shared" si="2"/>
        <v>25845.84283274999</v>
      </c>
      <c r="W7" s="2">
        <f t="shared" si="2"/>
        <v>25975.072046913738</v>
      </c>
      <c r="X7" s="2">
        <f t="shared" si="2"/>
        <v>26104.947407148302</v>
      </c>
      <c r="Y7" s="2">
        <f t="shared" si="2"/>
        <v>26235.472144184041</v>
      </c>
      <c r="Z7" s="2">
        <f t="shared" si="2"/>
        <v>26366.649504904963</v>
      </c>
      <c r="AA7" s="2">
        <f t="shared" si="2"/>
        <v>26498.482752429481</v>
      </c>
      <c r="AB7" s="2">
        <f>+AB6*AB8</f>
        <v>26630.975166191627</v>
      </c>
    </row>
    <row r="8" spans="1:28" s="6" customFormat="1" x14ac:dyDescent="0.25">
      <c r="A8" s="6" t="s">
        <v>46</v>
      </c>
      <c r="M8" s="6">
        <f>+M7/M6</f>
        <v>40.655737704918032</v>
      </c>
      <c r="O8" s="6">
        <f>+O7/O6</f>
        <v>45.305164319248824</v>
      </c>
      <c r="P8" s="6">
        <f>+P7/P6</f>
        <v>51.377011494252876</v>
      </c>
      <c r="Q8" s="6">
        <f t="shared" ref="Q8:S8" si="3">+Q7/Q6</f>
        <v>58.640845070422536</v>
      </c>
      <c r="R8" s="6">
        <f t="shared" si="3"/>
        <v>60.677419354838712</v>
      </c>
      <c r="S8" s="6">
        <f t="shared" si="3"/>
        <v>57.758542141230066</v>
      </c>
      <c r="T8" s="6">
        <v>58</v>
      </c>
      <c r="U8" s="6">
        <v>58</v>
      </c>
      <c r="V8" s="6">
        <v>58</v>
      </c>
      <c r="W8" s="6">
        <v>58</v>
      </c>
      <c r="X8" s="6">
        <v>58</v>
      </c>
      <c r="Y8" s="6">
        <v>58</v>
      </c>
      <c r="Z8" s="6">
        <v>58</v>
      </c>
      <c r="AA8" s="6">
        <v>58</v>
      </c>
      <c r="AB8" s="6">
        <v>58</v>
      </c>
    </row>
    <row r="9" spans="1:28" s="2" customFormat="1" x14ac:dyDescent="0.25">
      <c r="A9" s="2" t="s">
        <v>72</v>
      </c>
      <c r="S9" s="2">
        <f>475.135+458.088+443.547+417.208</f>
        <v>1793.9780000000001</v>
      </c>
      <c r="T9" s="2">
        <f>+T7*T10/1000</f>
        <v>1846.6947609513959</v>
      </c>
      <c r="U9" s="2">
        <f t="shared" ref="U9:AB9" si="4">+U7*U10/1000</f>
        <v>1893.0467994512758</v>
      </c>
      <c r="V9" s="2">
        <f t="shared" si="4"/>
        <v>1940.5622741175021</v>
      </c>
      <c r="W9" s="2">
        <f t="shared" si="4"/>
        <v>1989.2703871978515</v>
      </c>
      <c r="X9" s="2">
        <f t="shared" si="4"/>
        <v>2039.2010739165171</v>
      </c>
      <c r="Y9" s="2">
        <f t="shared" si="4"/>
        <v>2090.3850208718218</v>
      </c>
      <c r="Z9" s="2">
        <f t="shared" si="4"/>
        <v>2142.8536848957046</v>
      </c>
      <c r="AA9" s="2">
        <f t="shared" si="4"/>
        <v>2196.6393123865864</v>
      </c>
      <c r="AB9" s="2">
        <f t="shared" si="4"/>
        <v>2251.7749591274896</v>
      </c>
    </row>
    <row r="10" spans="1:28" s="2" customFormat="1" x14ac:dyDescent="0.25">
      <c r="A10" s="2" t="s">
        <v>74</v>
      </c>
      <c r="S10" s="2">
        <f>+S9*1000/S7</f>
        <v>70.751616974286165</v>
      </c>
      <c r="T10" s="2">
        <f>+S10*1.02</f>
        <v>72.166649313771885</v>
      </c>
      <c r="U10" s="2">
        <f t="shared" ref="U10:AB10" si="5">+T10*1.02</f>
        <v>73.609982300047321</v>
      </c>
      <c r="V10" s="2">
        <f>+U10*1.02</f>
        <v>75.082181946048266</v>
      </c>
      <c r="W10" s="2">
        <f t="shared" si="5"/>
        <v>76.583825584969233</v>
      </c>
      <c r="X10" s="2">
        <f t="shared" si="5"/>
        <v>78.115502096668621</v>
      </c>
      <c r="Y10" s="2">
        <f t="shared" si="5"/>
        <v>79.677812138601993</v>
      </c>
      <c r="Z10" s="2">
        <f t="shared" si="5"/>
        <v>81.271368381374032</v>
      </c>
      <c r="AA10" s="2">
        <f t="shared" si="5"/>
        <v>82.896795749001512</v>
      </c>
      <c r="AB10" s="2">
        <f t="shared" si="5"/>
        <v>84.554731663981542</v>
      </c>
    </row>
    <row r="11" spans="1:28" s="2" customFormat="1" x14ac:dyDescent="0.25"/>
    <row r="12" spans="1:28" s="5" customFormat="1" x14ac:dyDescent="0.25">
      <c r="A12" s="5" t="s">
        <v>47</v>
      </c>
      <c r="M12" s="5">
        <f>+M14/M7</f>
        <v>1.4332258064516128</v>
      </c>
      <c r="O12" s="5">
        <f>+O14/O7</f>
        <v>1.3145595854922281</v>
      </c>
      <c r="P12" s="5">
        <f t="shared" ref="P12:Q12" si="6">+P14/P7</f>
        <v>1.2312855161304757</v>
      </c>
      <c r="Q12" s="5">
        <f t="shared" si="6"/>
        <v>1.1917457267523317</v>
      </c>
      <c r="R12" s="5">
        <f>+R14/R7</f>
        <v>1.2074504442925496</v>
      </c>
      <c r="S12" s="5">
        <f>+S14/S7</f>
        <v>1.3082505126991639</v>
      </c>
      <c r="T12" s="5">
        <f>+S12*1.02</f>
        <v>1.3344155229531471</v>
      </c>
      <c r="U12" s="5">
        <f t="shared" ref="U12:AB12" si="7">+T12*1.02</f>
        <v>1.3611038334122101</v>
      </c>
      <c r="V12" s="5">
        <f t="shared" si="7"/>
        <v>1.3883259100804544</v>
      </c>
      <c r="W12" s="5">
        <f t="shared" si="7"/>
        <v>1.4160924282820635</v>
      </c>
      <c r="X12" s="5">
        <f t="shared" si="7"/>
        <v>1.4444142768477048</v>
      </c>
      <c r="Y12" s="5">
        <f t="shared" si="7"/>
        <v>1.473302562384659</v>
      </c>
      <c r="Z12" s="5">
        <f t="shared" si="7"/>
        <v>1.5027686136323521</v>
      </c>
      <c r="AA12" s="5">
        <f t="shared" si="7"/>
        <v>1.5328239859049992</v>
      </c>
      <c r="AB12" s="5">
        <f t="shared" si="7"/>
        <v>1.5634804656230992</v>
      </c>
    </row>
    <row r="13" spans="1:28" s="2" customFormat="1" x14ac:dyDescent="0.25">
      <c r="M13" s="4"/>
      <c r="O13" s="4"/>
      <c r="P13" s="8"/>
      <c r="Q13" s="8"/>
      <c r="R13" s="8"/>
      <c r="S13" s="8"/>
    </row>
    <row r="14" spans="1:28" s="7" customFormat="1" x14ac:dyDescent="0.25">
      <c r="A14" s="7" t="s">
        <v>13</v>
      </c>
      <c r="B14" s="7">
        <v>6033</v>
      </c>
      <c r="F14" s="7">
        <v>6483</v>
      </c>
      <c r="M14" s="7">
        <v>17772</v>
      </c>
      <c r="N14" s="7">
        <v>21454</v>
      </c>
      <c r="O14" s="7">
        <v>25371</v>
      </c>
      <c r="P14" s="7">
        <v>27518</v>
      </c>
      <c r="Q14" s="7">
        <v>29771</v>
      </c>
      <c r="R14" s="7">
        <v>31797</v>
      </c>
      <c r="S14" s="7">
        <v>33172</v>
      </c>
      <c r="T14" s="7">
        <f t="shared" ref="T14:AB14" si="8">+T7*T12</f>
        <v>34146.772485660193</v>
      </c>
      <c r="U14" s="7">
        <f t="shared" si="8"/>
        <v>35003.856475050263</v>
      </c>
      <c r="V14" s="7">
        <f t="shared" si="8"/>
        <v>35882.453272574021</v>
      </c>
      <c r="W14" s="7">
        <f t="shared" si="8"/>
        <v>36783.102849715622</v>
      </c>
      <c r="X14" s="7">
        <f t="shared" si="8"/>
        <v>37706.358731243483</v>
      </c>
      <c r="Y14" s="7">
        <f t="shared" si="8"/>
        <v>38652.788335397694</v>
      </c>
      <c r="Z14" s="7">
        <f t="shared" si="8"/>
        <v>39622.973322616177</v>
      </c>
      <c r="AA14" s="7">
        <f t="shared" si="8"/>
        <v>40617.509953013832</v>
      </c>
      <c r="AB14" s="7">
        <f t="shared" si="8"/>
        <v>41637.009452834478</v>
      </c>
    </row>
    <row r="15" spans="1:28" s="2" customFormat="1" x14ac:dyDescent="0.25">
      <c r="A15" s="2" t="s">
        <v>14</v>
      </c>
      <c r="B15" s="2">
        <v>2275</v>
      </c>
      <c r="F15" s="2">
        <v>2817</v>
      </c>
      <c r="M15" s="2">
        <v>6790</v>
      </c>
      <c r="N15" s="2">
        <v>7934</v>
      </c>
      <c r="O15" s="2">
        <v>10315</v>
      </c>
      <c r="P15" s="2">
        <v>12173</v>
      </c>
      <c r="Q15" s="2">
        <v>14385</v>
      </c>
      <c r="R15" s="2">
        <v>15697</v>
      </c>
      <c r="S15" s="2">
        <v>15987</v>
      </c>
      <c r="T15" s="2">
        <f>+T14*0.48</f>
        <v>16390.450793116892</v>
      </c>
      <c r="U15" s="2">
        <f t="shared" ref="U15:AB15" si="9">+U14*0.48</f>
        <v>16801.851108024126</v>
      </c>
      <c r="V15" s="2">
        <f t="shared" si="9"/>
        <v>17223.577570835529</v>
      </c>
      <c r="W15" s="2">
        <f t="shared" si="9"/>
        <v>17655.8893678635</v>
      </c>
      <c r="X15" s="2">
        <f t="shared" si="9"/>
        <v>18099.05219099687</v>
      </c>
      <c r="Y15" s="2">
        <f t="shared" si="9"/>
        <v>18553.338400990891</v>
      </c>
      <c r="Z15" s="2">
        <f t="shared" si="9"/>
        <v>19019.027194855764</v>
      </c>
      <c r="AA15" s="2">
        <f t="shared" si="9"/>
        <v>19496.404777446638</v>
      </c>
      <c r="AB15" s="2">
        <f t="shared" si="9"/>
        <v>19985.764537360548</v>
      </c>
    </row>
    <row r="16" spans="1:28" s="2" customFormat="1" x14ac:dyDescent="0.25">
      <c r="A16" s="2" t="s">
        <v>39</v>
      </c>
      <c r="B16" s="2">
        <f>+B14-B15</f>
        <v>3758</v>
      </c>
      <c r="C16" s="2">
        <f t="shared" ref="C16:I16" si="10">+C14-C15</f>
        <v>0</v>
      </c>
      <c r="D16" s="2">
        <f t="shared" si="10"/>
        <v>0</v>
      </c>
      <c r="E16" s="2">
        <f t="shared" si="10"/>
        <v>0</v>
      </c>
      <c r="F16" s="2">
        <f t="shared" si="10"/>
        <v>3666</v>
      </c>
      <c r="G16" s="2">
        <f t="shared" si="10"/>
        <v>0</v>
      </c>
      <c r="H16" s="2">
        <f t="shared" si="10"/>
        <v>0</v>
      </c>
      <c r="I16" s="2">
        <f t="shared" si="10"/>
        <v>0</v>
      </c>
      <c r="M16" s="2">
        <f>+M14-M15</f>
        <v>10982</v>
      </c>
      <c r="N16" s="2">
        <f t="shared" ref="N16:AB16" si="11">+N14-N15</f>
        <v>13520</v>
      </c>
      <c r="O16" s="2">
        <f t="shared" si="11"/>
        <v>15056</v>
      </c>
      <c r="P16" s="2">
        <f t="shared" si="11"/>
        <v>15345</v>
      </c>
      <c r="Q16" s="2">
        <f t="shared" si="11"/>
        <v>15386</v>
      </c>
      <c r="R16" s="2">
        <f t="shared" si="11"/>
        <v>16100</v>
      </c>
      <c r="S16" s="2">
        <f t="shared" si="11"/>
        <v>17185</v>
      </c>
      <c r="T16" s="2">
        <f t="shared" si="11"/>
        <v>17756.321692543301</v>
      </c>
      <c r="U16" s="2">
        <f t="shared" si="11"/>
        <v>18202.005367026137</v>
      </c>
      <c r="V16" s="2">
        <f t="shared" si="11"/>
        <v>18658.875701738492</v>
      </c>
      <c r="W16" s="2">
        <f t="shared" si="11"/>
        <v>19127.213481852123</v>
      </c>
      <c r="X16" s="2">
        <f t="shared" si="11"/>
        <v>19607.306540246613</v>
      </c>
      <c r="Y16" s="2">
        <f t="shared" si="11"/>
        <v>20099.449934406803</v>
      </c>
      <c r="Z16" s="2">
        <f t="shared" si="11"/>
        <v>20603.946127760413</v>
      </c>
      <c r="AA16" s="2">
        <f t="shared" si="11"/>
        <v>21121.105175567194</v>
      </c>
      <c r="AB16" s="2">
        <f t="shared" si="11"/>
        <v>21651.24491547393</v>
      </c>
    </row>
    <row r="17" spans="1:93" s="2" customFormat="1" x14ac:dyDescent="0.25">
      <c r="A17" s="2" t="s">
        <v>15</v>
      </c>
      <c r="B17" s="2">
        <v>273</v>
      </c>
      <c r="F17" s="2">
        <v>369</v>
      </c>
      <c r="M17" s="2">
        <v>1380</v>
      </c>
      <c r="N17" s="2">
        <v>1741</v>
      </c>
      <c r="O17" s="2">
        <v>1060</v>
      </c>
      <c r="P17" s="2">
        <v>1572</v>
      </c>
      <c r="Q17" s="2">
        <v>1682</v>
      </c>
      <c r="R17" s="2">
        <v>1442</v>
      </c>
      <c r="S17" s="2">
        <v>1720</v>
      </c>
      <c r="T17" s="2">
        <f>+T9*0.001*1000</f>
        <v>1846.6947609513959</v>
      </c>
      <c r="U17" s="2">
        <f t="shared" ref="U17:AB17" si="12">+U9*0.001*1000</f>
        <v>1893.0467994512758</v>
      </c>
      <c r="V17" s="2">
        <f t="shared" si="12"/>
        <v>1940.5622741175021</v>
      </c>
      <c r="W17" s="2">
        <f t="shared" si="12"/>
        <v>1989.2703871978517</v>
      </c>
      <c r="X17" s="2">
        <f t="shared" si="12"/>
        <v>2039.2010739165171</v>
      </c>
      <c r="Y17" s="2">
        <f t="shared" si="12"/>
        <v>2090.3850208718218</v>
      </c>
      <c r="Z17" s="2">
        <f t="shared" si="12"/>
        <v>2142.8536848957046</v>
      </c>
      <c r="AA17" s="2">
        <f t="shared" si="12"/>
        <v>2196.6393123865864</v>
      </c>
      <c r="AB17" s="2">
        <f t="shared" si="12"/>
        <v>2251.7749591274896</v>
      </c>
    </row>
    <row r="18" spans="1:93" s="2" customFormat="1" x14ac:dyDescent="0.25">
      <c r="A18" s="2" t="s">
        <v>16</v>
      </c>
      <c r="B18" s="2">
        <v>518</v>
      </c>
      <c r="F18" s="2">
        <v>534</v>
      </c>
      <c r="M18" s="2">
        <v>1615</v>
      </c>
      <c r="N18" s="2">
        <v>1778</v>
      </c>
      <c r="O18" s="2">
        <v>2075</v>
      </c>
      <c r="P18" s="2">
        <v>2120</v>
      </c>
      <c r="Q18" s="2">
        <v>1919</v>
      </c>
      <c r="R18" s="2">
        <v>1768</v>
      </c>
      <c r="S18" s="2">
        <v>1704</v>
      </c>
      <c r="T18" s="2">
        <f>+T6*4</f>
        <v>1764.7799999999997</v>
      </c>
      <c r="U18" s="2">
        <f t="shared" ref="U18:AB18" si="13">+U6*4</f>
        <v>1773.6038999999996</v>
      </c>
      <c r="V18" s="2">
        <f t="shared" si="13"/>
        <v>1782.4719194999993</v>
      </c>
      <c r="W18" s="2">
        <f t="shared" si="13"/>
        <v>1791.3842790974991</v>
      </c>
      <c r="X18" s="2">
        <f t="shared" si="13"/>
        <v>1800.3412004929864</v>
      </c>
      <c r="Y18" s="2">
        <f t="shared" si="13"/>
        <v>1809.3429064954512</v>
      </c>
      <c r="Z18" s="2">
        <f t="shared" si="13"/>
        <v>1818.3896210279283</v>
      </c>
      <c r="AA18" s="2">
        <f t="shared" si="13"/>
        <v>1827.4815691330678</v>
      </c>
      <c r="AB18" s="2">
        <f t="shared" si="13"/>
        <v>1836.6189769787329</v>
      </c>
    </row>
    <row r="19" spans="1:93" s="2" customFormat="1" x14ac:dyDescent="0.25">
      <c r="A19" s="2" t="s">
        <v>18</v>
      </c>
      <c r="B19" s="2">
        <v>602</v>
      </c>
      <c r="F19" s="2">
        <v>594</v>
      </c>
      <c r="M19" s="2">
        <v>1401</v>
      </c>
      <c r="N19" s="2">
        <v>1861</v>
      </c>
      <c r="O19" s="2">
        <v>2445</v>
      </c>
      <c r="P19" s="2">
        <v>2257</v>
      </c>
      <c r="Q19" s="2">
        <v>1809</v>
      </c>
      <c r="R19" s="2">
        <v>2001</v>
      </c>
      <c r="S19" s="2">
        <v>2283</v>
      </c>
      <c r="T19" s="2">
        <f>+T14*0.07</f>
        <v>2390.2740739962137</v>
      </c>
      <c r="U19" s="2">
        <f t="shared" ref="U19:AB19" si="14">+U14*0.07</f>
        <v>2450.2699532535185</v>
      </c>
      <c r="V19" s="2">
        <f t="shared" si="14"/>
        <v>2511.7717290801816</v>
      </c>
      <c r="W19" s="2">
        <f t="shared" si="14"/>
        <v>2574.8171994800937</v>
      </c>
      <c r="X19" s="2">
        <f t="shared" si="14"/>
        <v>2639.4451111870439</v>
      </c>
      <c r="Y19" s="2">
        <f t="shared" si="14"/>
        <v>2705.6951834778388</v>
      </c>
      <c r="Z19" s="2">
        <f t="shared" si="14"/>
        <v>2773.6081325831328</v>
      </c>
      <c r="AA19" s="2">
        <f t="shared" si="14"/>
        <v>2843.2256967109684</v>
      </c>
      <c r="AB19" s="2">
        <f t="shared" si="14"/>
        <v>2914.5906616984139</v>
      </c>
    </row>
    <row r="20" spans="1:93" s="2" customFormat="1" x14ac:dyDescent="0.25">
      <c r="A20" s="2" t="s">
        <v>17</v>
      </c>
      <c r="B20" s="2">
        <v>741</v>
      </c>
      <c r="F20" s="2">
        <v>815</v>
      </c>
      <c r="M20" s="2">
        <v>2085</v>
      </c>
      <c r="N20" s="2">
        <v>2642</v>
      </c>
      <c r="O20" s="2">
        <v>3038</v>
      </c>
      <c r="P20" s="2">
        <v>3253</v>
      </c>
      <c r="Q20" s="2">
        <v>2973</v>
      </c>
      <c r="R20" s="2">
        <v>2979</v>
      </c>
      <c r="S20" s="2">
        <v>3103</v>
      </c>
      <c r="T20" s="2">
        <f>+T14*0.094</f>
        <v>3209.7966136520581</v>
      </c>
      <c r="U20" s="2">
        <f t="shared" ref="U20:AB20" si="15">+U14*0.094</f>
        <v>3290.3625086547249</v>
      </c>
      <c r="V20" s="2">
        <f t="shared" si="15"/>
        <v>3372.9506076219582</v>
      </c>
      <c r="W20" s="2">
        <f t="shared" si="15"/>
        <v>3457.6116678732683</v>
      </c>
      <c r="X20" s="2">
        <f t="shared" si="15"/>
        <v>3544.3977207368875</v>
      </c>
      <c r="Y20" s="2">
        <f t="shared" si="15"/>
        <v>3633.3621035273832</v>
      </c>
      <c r="Z20" s="2">
        <f t="shared" si="15"/>
        <v>3724.5594923259205</v>
      </c>
      <c r="AA20" s="2">
        <f t="shared" si="15"/>
        <v>3818.0459355833004</v>
      </c>
      <c r="AB20" s="2">
        <f t="shared" si="15"/>
        <v>3913.8788885664408</v>
      </c>
    </row>
    <row r="21" spans="1:93" s="2" customFormat="1" x14ac:dyDescent="0.25">
      <c r="A21" s="2" t="s">
        <v>37</v>
      </c>
      <c r="B21" s="2">
        <v>524</v>
      </c>
      <c r="F21" s="2">
        <v>607</v>
      </c>
      <c r="M21" s="2">
        <v>1711</v>
      </c>
      <c r="N21" s="2">
        <v>2070</v>
      </c>
      <c r="O21" s="2">
        <v>2114</v>
      </c>
      <c r="P21" s="2">
        <v>2099</v>
      </c>
      <c r="Q21" s="2">
        <v>2059</v>
      </c>
      <c r="R21" s="2">
        <v>2147</v>
      </c>
      <c r="S21" s="2">
        <v>1979</v>
      </c>
      <c r="T21" s="2">
        <f t="shared" ref="T21:X21" si="16">+S21*1.04</f>
        <v>2058.16</v>
      </c>
      <c r="U21" s="2">
        <f t="shared" si="16"/>
        <v>2140.4863999999998</v>
      </c>
      <c r="V21" s="2">
        <f t="shared" si="16"/>
        <v>2226.1058559999997</v>
      </c>
      <c r="W21" s="2">
        <f t="shared" si="16"/>
        <v>2315.1500902399998</v>
      </c>
      <c r="X21" s="2">
        <f t="shared" si="16"/>
        <v>2407.7560938495999</v>
      </c>
      <c r="Y21" s="2">
        <f t="shared" ref="Y21" si="17">+X21*1.04</f>
        <v>2504.0663376035841</v>
      </c>
      <c r="Z21" s="2">
        <f t="shared" ref="Z21" si="18">+Y21*1.04</f>
        <v>2604.2289911077273</v>
      </c>
      <c r="AA21" s="2">
        <f t="shared" ref="AA21" si="19">+Z21*1.04</f>
        <v>2708.3981507520366</v>
      </c>
      <c r="AB21" s="2">
        <f t="shared" ref="AB21" si="20">+AA21*1.04</f>
        <v>2816.7340767821183</v>
      </c>
    </row>
    <row r="22" spans="1:93" s="2" customFormat="1" x14ac:dyDescent="0.25">
      <c r="A22" s="2" t="s">
        <v>38</v>
      </c>
      <c r="B22" s="2">
        <v>58</v>
      </c>
      <c r="F22" s="2">
        <v>36</v>
      </c>
      <c r="M22" s="2">
        <v>71</v>
      </c>
      <c r="N22" s="2">
        <v>139</v>
      </c>
      <c r="O22" s="2">
        <v>62</v>
      </c>
      <c r="P22" s="2">
        <v>207</v>
      </c>
      <c r="Q22" s="2">
        <v>-84</v>
      </c>
      <c r="R22" s="2">
        <v>438</v>
      </c>
      <c r="S22" s="2">
        <v>331</v>
      </c>
      <c r="T22" s="2">
        <f>+S22*0.8</f>
        <v>264.8</v>
      </c>
      <c r="U22" s="2">
        <f t="shared" ref="U22:AB22" si="21">+T22*0.8</f>
        <v>211.84000000000003</v>
      </c>
      <c r="V22" s="2">
        <f t="shared" si="21"/>
        <v>169.47200000000004</v>
      </c>
      <c r="W22" s="2">
        <f t="shared" si="21"/>
        <v>135.57760000000005</v>
      </c>
      <c r="X22" s="2">
        <f t="shared" si="21"/>
        <v>108.46208000000004</v>
      </c>
      <c r="Y22" s="2">
        <f t="shared" si="21"/>
        <v>86.769664000000034</v>
      </c>
      <c r="Z22" s="2">
        <f t="shared" si="21"/>
        <v>69.415731200000025</v>
      </c>
      <c r="AA22" s="2">
        <f t="shared" si="21"/>
        <v>55.532584960000023</v>
      </c>
      <c r="AB22" s="2">
        <f t="shared" si="21"/>
        <v>44.426067968000019</v>
      </c>
    </row>
    <row r="23" spans="1:93" s="2" customFormat="1" x14ac:dyDescent="0.25">
      <c r="A23" s="2" t="s">
        <v>19</v>
      </c>
      <c r="B23" s="2">
        <f t="shared" ref="B23" si="22">+SUM(B17:B22)</f>
        <v>2716</v>
      </c>
      <c r="C23" s="2">
        <f t="shared" ref="C23" si="23">+SUM(C17:C22)</f>
        <v>0</v>
      </c>
      <c r="D23" s="2">
        <f t="shared" ref="D23" si="24">+SUM(D17:D22)</f>
        <v>0</v>
      </c>
      <c r="E23" s="2">
        <f t="shared" ref="E23" si="25">+SUM(E17:E22)</f>
        <v>0</v>
      </c>
      <c r="F23" s="2">
        <f t="shared" ref="F23" si="26">+SUM(F17:F22)</f>
        <v>2955</v>
      </c>
      <c r="G23" s="2">
        <f t="shared" ref="G23" si="27">+SUM(G17:G22)</f>
        <v>0</v>
      </c>
      <c r="H23" s="2">
        <f t="shared" ref="H23" si="28">+SUM(H17:H22)</f>
        <v>0</v>
      </c>
      <c r="I23" s="2">
        <f t="shared" ref="I23" si="29">+SUM(I17:I22)</f>
        <v>0</v>
      </c>
      <c r="M23" s="2">
        <f>+SUM(M17:M22)</f>
        <v>8263</v>
      </c>
      <c r="N23" s="2">
        <f t="shared" ref="N23:X23" si="30">+SUM(N17:N22)</f>
        <v>10231</v>
      </c>
      <c r="O23" s="2">
        <f t="shared" si="30"/>
        <v>10794</v>
      </c>
      <c r="P23" s="2">
        <f t="shared" si="30"/>
        <v>11508</v>
      </c>
      <c r="Q23" s="2">
        <f t="shared" si="30"/>
        <v>10358</v>
      </c>
      <c r="R23" s="2">
        <f t="shared" si="30"/>
        <v>10775</v>
      </c>
      <c r="S23" s="2">
        <f t="shared" si="30"/>
        <v>11120</v>
      </c>
      <c r="T23" s="2">
        <f t="shared" si="30"/>
        <v>11534.505448599666</v>
      </c>
      <c r="U23" s="2">
        <f t="shared" si="30"/>
        <v>11759.609561359519</v>
      </c>
      <c r="V23" s="2">
        <f t="shared" si="30"/>
        <v>12003.334386319641</v>
      </c>
      <c r="W23" s="2">
        <f t="shared" si="30"/>
        <v>12263.811223888713</v>
      </c>
      <c r="X23" s="2">
        <f t="shared" si="30"/>
        <v>12539.603280183035</v>
      </c>
      <c r="Y23" s="2">
        <f t="shared" ref="Y23:AB23" si="31">+SUM(Y17:Y22)</f>
        <v>12829.621215976078</v>
      </c>
      <c r="Z23" s="2">
        <f t="shared" si="31"/>
        <v>13133.055653140415</v>
      </c>
      <c r="AA23" s="2">
        <f t="shared" si="31"/>
        <v>13449.32324952596</v>
      </c>
      <c r="AB23" s="2">
        <f t="shared" si="31"/>
        <v>13778.023631121194</v>
      </c>
    </row>
    <row r="24" spans="1:93" s="7" customFormat="1" x14ac:dyDescent="0.25">
      <c r="A24" s="7" t="s">
        <v>20</v>
      </c>
      <c r="B24" s="7">
        <f t="shared" ref="B24" si="32">+B16-B23</f>
        <v>1042</v>
      </c>
      <c r="C24" s="7">
        <f t="shared" ref="C24" si="33">+C16-C23</f>
        <v>0</v>
      </c>
      <c r="D24" s="7">
        <f t="shared" ref="D24" si="34">+D16-D23</f>
        <v>0</v>
      </c>
      <c r="E24" s="7">
        <f t="shared" ref="E24" si="35">+E16-E23</f>
        <v>0</v>
      </c>
      <c r="F24" s="7">
        <f t="shared" ref="F24" si="36">+F16-F23</f>
        <v>711</v>
      </c>
      <c r="G24" s="7">
        <f t="shared" ref="G24" si="37">+G16-G23</f>
        <v>0</v>
      </c>
      <c r="H24" s="7">
        <f t="shared" ref="H24" si="38">+H16-H23</f>
        <v>0</v>
      </c>
      <c r="I24" s="7">
        <f t="shared" ref="I24" si="39">+I16-I23</f>
        <v>0</v>
      </c>
      <c r="M24" s="7">
        <f>+M16-M23</f>
        <v>2719</v>
      </c>
      <c r="N24" s="7">
        <f t="shared" ref="N24:X24" si="40">+N16-N23</f>
        <v>3289</v>
      </c>
      <c r="O24" s="7">
        <f t="shared" si="40"/>
        <v>4262</v>
      </c>
      <c r="P24" s="7">
        <f t="shared" si="40"/>
        <v>3837</v>
      </c>
      <c r="Q24" s="7">
        <f t="shared" si="40"/>
        <v>5028</v>
      </c>
      <c r="R24" s="7">
        <f t="shared" si="40"/>
        <v>5325</v>
      </c>
      <c r="S24" s="7">
        <f t="shared" si="40"/>
        <v>6065</v>
      </c>
      <c r="T24" s="7">
        <f t="shared" si="40"/>
        <v>6221.8162439436346</v>
      </c>
      <c r="U24" s="7">
        <f t="shared" si="40"/>
        <v>6442.3958056666179</v>
      </c>
      <c r="V24" s="7">
        <f t="shared" si="40"/>
        <v>6655.5413154188518</v>
      </c>
      <c r="W24" s="7">
        <f t="shared" si="40"/>
        <v>6863.4022579634093</v>
      </c>
      <c r="X24" s="7">
        <f t="shared" si="40"/>
        <v>7067.7032600635775</v>
      </c>
      <c r="Y24" s="7">
        <f t="shared" ref="Y24:AB24" si="41">+Y16-Y23</f>
        <v>7269.8287184307246</v>
      </c>
      <c r="Z24" s="7">
        <f t="shared" si="41"/>
        <v>7470.8904746199987</v>
      </c>
      <c r="AA24" s="7">
        <f t="shared" si="41"/>
        <v>7671.7819260412343</v>
      </c>
      <c r="AB24" s="7">
        <f t="shared" si="41"/>
        <v>7873.2212843527359</v>
      </c>
    </row>
    <row r="25" spans="1:93" s="2" customFormat="1" x14ac:dyDescent="0.25">
      <c r="A25" s="2" t="s">
        <v>21</v>
      </c>
      <c r="B25" s="2">
        <v>-170</v>
      </c>
      <c r="F25" s="2">
        <v>82</v>
      </c>
      <c r="M25" s="2">
        <v>279</v>
      </c>
      <c r="N25" s="2">
        <v>1776</v>
      </c>
      <c r="O25" s="2">
        <v>-163</v>
      </c>
      <c r="P25" s="2">
        <v>-471</v>
      </c>
      <c r="Q25" s="2">
        <v>383</v>
      </c>
      <c r="R25" s="2">
        <v>4</v>
      </c>
      <c r="S25" s="2">
        <v>227</v>
      </c>
    </row>
    <row r="26" spans="1:93" s="2" customFormat="1" x14ac:dyDescent="0.25">
      <c r="A26" s="2" t="s">
        <v>22</v>
      </c>
      <c r="B26" s="2">
        <f t="shared" ref="B26" si="42">+B24+B25</f>
        <v>872</v>
      </c>
      <c r="C26" s="2">
        <f t="shared" ref="C26" si="43">+C24+C25</f>
        <v>0</v>
      </c>
      <c r="D26" s="2">
        <f t="shared" ref="D26" si="44">+D24+D25</f>
        <v>0</v>
      </c>
      <c r="E26" s="2">
        <f t="shared" ref="E26" si="45">+E24+E25</f>
        <v>0</v>
      </c>
      <c r="F26" s="2">
        <f t="shared" ref="F26" si="46">+F24+F25</f>
        <v>793</v>
      </c>
      <c r="G26" s="2">
        <f t="shared" ref="G26" si="47">+G24+G25</f>
        <v>0</v>
      </c>
      <c r="H26" s="2">
        <f t="shared" ref="H26" si="48">+H24+H25</f>
        <v>0</v>
      </c>
      <c r="I26" s="2">
        <f t="shared" ref="I26" si="49">+I24+I25</f>
        <v>0</v>
      </c>
      <c r="M26" s="2">
        <f>+M24+M25</f>
        <v>2998</v>
      </c>
      <c r="N26" s="2">
        <f t="shared" ref="N26:X26" si="50">+N24+N25</f>
        <v>5065</v>
      </c>
      <c r="O26" s="2">
        <f t="shared" si="50"/>
        <v>4099</v>
      </c>
      <c r="P26" s="2">
        <f t="shared" si="50"/>
        <v>3366</v>
      </c>
      <c r="Q26" s="2">
        <f t="shared" si="50"/>
        <v>5411</v>
      </c>
      <c r="R26" s="2">
        <f t="shared" si="50"/>
        <v>5329</v>
      </c>
      <c r="S26" s="2">
        <f t="shared" si="50"/>
        <v>6292</v>
      </c>
      <c r="T26" s="2">
        <f t="shared" si="50"/>
        <v>6221.8162439436346</v>
      </c>
      <c r="U26" s="2">
        <f t="shared" si="50"/>
        <v>6442.3958056666179</v>
      </c>
      <c r="V26" s="2">
        <f t="shared" si="50"/>
        <v>6655.5413154188518</v>
      </c>
      <c r="W26" s="2">
        <f t="shared" si="50"/>
        <v>6863.4022579634093</v>
      </c>
      <c r="X26" s="2">
        <f t="shared" si="50"/>
        <v>7067.7032600635775</v>
      </c>
      <c r="Y26" s="2">
        <f t="shared" ref="Y26:AB26" si="51">+Y24+Y25</f>
        <v>7269.8287184307246</v>
      </c>
      <c r="Z26" s="2">
        <f t="shared" si="51"/>
        <v>7470.8904746199987</v>
      </c>
      <c r="AA26" s="2">
        <f t="shared" si="51"/>
        <v>7671.7819260412343</v>
      </c>
      <c r="AB26" s="2">
        <f t="shared" si="51"/>
        <v>7873.2212843527359</v>
      </c>
    </row>
    <row r="27" spans="1:93" s="2" customFormat="1" x14ac:dyDescent="0.25">
      <c r="A27" s="2" t="s">
        <v>23</v>
      </c>
      <c r="B27" s="2">
        <v>-225</v>
      </c>
      <c r="F27" s="2">
        <v>120</v>
      </c>
      <c r="M27" s="2">
        <v>539</v>
      </c>
      <c r="N27" s="2">
        <v>863</v>
      </c>
      <c r="O27" s="2">
        <v>-70</v>
      </c>
      <c r="P27" s="2">
        <v>947</v>
      </c>
      <c r="Q27" s="2">
        <v>1165</v>
      </c>
      <c r="R27" s="2">
        <v>1182</v>
      </c>
      <c r="S27" s="2">
        <v>1059</v>
      </c>
      <c r="T27" s="2">
        <f t="shared" ref="T27:AB27" si="52">+T26*0.2</f>
        <v>1244.3632487887271</v>
      </c>
      <c r="U27" s="2">
        <f t="shared" si="52"/>
        <v>1288.4791611333237</v>
      </c>
      <c r="V27" s="2">
        <f t="shared" si="52"/>
        <v>1331.1082630837705</v>
      </c>
      <c r="W27" s="2">
        <f t="shared" si="52"/>
        <v>1372.6804515926819</v>
      </c>
      <c r="X27" s="2">
        <f t="shared" si="52"/>
        <v>1413.5406520127156</v>
      </c>
      <c r="Y27" s="2">
        <f t="shared" si="52"/>
        <v>1453.9657436861451</v>
      </c>
      <c r="Z27" s="2">
        <f t="shared" si="52"/>
        <v>1494.1780949239999</v>
      </c>
      <c r="AA27" s="2">
        <f t="shared" si="52"/>
        <v>1534.356385208247</v>
      </c>
      <c r="AB27" s="2">
        <f t="shared" si="52"/>
        <v>1574.6442568705472</v>
      </c>
    </row>
    <row r="28" spans="1:93" s="2" customFormat="1" x14ac:dyDescent="0.25">
      <c r="A28" s="2" t="s">
        <v>24</v>
      </c>
      <c r="B28" s="2">
        <f>+B26-B27</f>
        <v>1097</v>
      </c>
      <c r="C28" s="2">
        <f t="shared" ref="C28:I28" si="53">+C26-C27</f>
        <v>0</v>
      </c>
      <c r="D28" s="2">
        <f t="shared" si="53"/>
        <v>0</v>
      </c>
      <c r="E28" s="2">
        <f t="shared" si="53"/>
        <v>0</v>
      </c>
      <c r="F28" s="2">
        <f t="shared" si="53"/>
        <v>673</v>
      </c>
      <c r="G28" s="2">
        <f t="shared" si="53"/>
        <v>0</v>
      </c>
      <c r="H28" s="2">
        <f t="shared" si="53"/>
        <v>0</v>
      </c>
      <c r="I28" s="2">
        <f t="shared" si="53"/>
        <v>0</v>
      </c>
      <c r="M28" s="2">
        <f>+M26-M27</f>
        <v>2459</v>
      </c>
      <c r="N28" s="2">
        <f t="shared" ref="N28" si="54">+N26-N27</f>
        <v>4202</v>
      </c>
      <c r="O28" s="2">
        <f t="shared" ref="O28" si="55">+O26-O27</f>
        <v>4169</v>
      </c>
      <c r="P28" s="2">
        <f t="shared" ref="P28" si="56">+P26-P27</f>
        <v>2419</v>
      </c>
      <c r="Q28" s="2">
        <f t="shared" ref="Q28" si="57">+Q26-Q27</f>
        <v>4246</v>
      </c>
      <c r="R28" s="2">
        <f t="shared" ref="R28" si="58">+R26-R27</f>
        <v>4147</v>
      </c>
      <c r="S28" s="2">
        <f t="shared" ref="S28" si="59">+S26-S27</f>
        <v>5233</v>
      </c>
      <c r="T28" s="2">
        <f t="shared" ref="T28" si="60">+T26-T27</f>
        <v>4977.4529951549075</v>
      </c>
      <c r="U28" s="2">
        <f t="shared" ref="U28" si="61">+U26-U27</f>
        <v>5153.9166445332939</v>
      </c>
      <c r="V28" s="2">
        <f>+V26-V27</f>
        <v>5324.4330523350818</v>
      </c>
      <c r="W28" s="2">
        <f t="shared" ref="W28:AB28" si="62">+W26-W27</f>
        <v>5490.7218063707278</v>
      </c>
      <c r="X28" s="2">
        <f t="shared" si="62"/>
        <v>5654.1626080508622</v>
      </c>
      <c r="Y28" s="2">
        <f t="shared" si="62"/>
        <v>5815.8629747445793</v>
      </c>
      <c r="Z28" s="2">
        <f t="shared" si="62"/>
        <v>5976.7123796959986</v>
      </c>
      <c r="AA28" s="2">
        <f t="shared" si="62"/>
        <v>6137.4255408329873</v>
      </c>
      <c r="AB28" s="2">
        <f t="shared" si="62"/>
        <v>6298.5770274821889</v>
      </c>
      <c r="AC28" s="2">
        <f t="shared" ref="AC28:BD28" si="63">+AB28*(1+MV)</f>
        <v>6235.5912572073667</v>
      </c>
      <c r="AD28" s="2">
        <f t="shared" si="63"/>
        <v>6173.2353446352927</v>
      </c>
      <c r="AE28" s="2">
        <f t="shared" si="63"/>
        <v>6111.5029911889396</v>
      </c>
      <c r="AF28" s="2">
        <f t="shared" si="63"/>
        <v>6050.3879612770506</v>
      </c>
      <c r="AG28" s="2">
        <f t="shared" si="63"/>
        <v>5989.8840816642805</v>
      </c>
      <c r="AH28" s="2">
        <f t="shared" si="63"/>
        <v>5929.9852408476381</v>
      </c>
      <c r="AI28" s="2">
        <f t="shared" si="63"/>
        <v>5870.6853884391621</v>
      </c>
      <c r="AJ28" s="2">
        <f t="shared" si="63"/>
        <v>5811.9785345547707</v>
      </c>
      <c r="AK28" s="2">
        <f t="shared" si="63"/>
        <v>5753.8587492092229</v>
      </c>
      <c r="AL28" s="2">
        <f t="shared" si="63"/>
        <v>5696.3201617171308</v>
      </c>
      <c r="AM28" s="2">
        <f t="shared" si="63"/>
        <v>5639.356960099959</v>
      </c>
      <c r="AN28" s="2">
        <f t="shared" si="63"/>
        <v>5582.9633904989596</v>
      </c>
      <c r="AO28" s="2">
        <f t="shared" si="63"/>
        <v>5527.1337565939702</v>
      </c>
      <c r="AP28" s="2">
        <f t="shared" si="63"/>
        <v>5471.8624190280307</v>
      </c>
      <c r="AQ28" s="2">
        <f t="shared" si="63"/>
        <v>5417.1437948377506</v>
      </c>
      <c r="AR28" s="2">
        <f t="shared" si="63"/>
        <v>5362.9723568893733</v>
      </c>
      <c r="AS28" s="2">
        <f t="shared" si="63"/>
        <v>5309.3426333204798</v>
      </c>
      <c r="AT28" s="2">
        <f t="shared" si="63"/>
        <v>5256.2492069872751</v>
      </c>
      <c r="AU28" s="2">
        <f t="shared" si="63"/>
        <v>5203.6867149174022</v>
      </c>
      <c r="AV28" s="2">
        <f t="shared" si="63"/>
        <v>5151.649847768228</v>
      </c>
      <c r="AW28" s="2">
        <f t="shared" si="63"/>
        <v>5100.133349290546</v>
      </c>
      <c r="AX28" s="2">
        <f t="shared" si="63"/>
        <v>5049.1320157976406</v>
      </c>
      <c r="AY28" s="2">
        <f t="shared" si="63"/>
        <v>4998.640695639664</v>
      </c>
      <c r="AZ28" s="2">
        <f t="shared" si="63"/>
        <v>4948.6542886832676</v>
      </c>
      <c r="BA28" s="2">
        <f t="shared" si="63"/>
        <v>4899.1677457964352</v>
      </c>
      <c r="BB28" s="2">
        <f t="shared" si="63"/>
        <v>4850.1760683384709</v>
      </c>
      <c r="BC28" s="2">
        <f t="shared" si="63"/>
        <v>4801.6743076550865</v>
      </c>
      <c r="BD28" s="2">
        <f t="shared" si="63"/>
        <v>4753.657564578536</v>
      </c>
      <c r="BE28" s="2">
        <f t="shared" ref="BE28:CO28" si="64">+BD28*(1+MV)</f>
        <v>4706.1209889327511</v>
      </c>
      <c r="BF28" s="2">
        <f t="shared" si="64"/>
        <v>4659.0597790434231</v>
      </c>
      <c r="BG28" s="2">
        <f t="shared" si="64"/>
        <v>4612.4691812529891</v>
      </c>
      <c r="BH28" s="2">
        <f t="shared" si="64"/>
        <v>4566.3444894404593</v>
      </c>
      <c r="BI28" s="2">
        <f t="shared" si="64"/>
        <v>4520.6810445460542</v>
      </c>
      <c r="BJ28" s="2">
        <f t="shared" si="64"/>
        <v>4475.474234100594</v>
      </c>
      <c r="BK28" s="2">
        <f t="shared" si="64"/>
        <v>4430.719491759588</v>
      </c>
      <c r="BL28" s="2">
        <f t="shared" si="64"/>
        <v>4386.4122968419924</v>
      </c>
      <c r="BM28" s="2">
        <f t="shared" si="64"/>
        <v>4342.5481738735725</v>
      </c>
      <c r="BN28" s="2">
        <f t="shared" si="64"/>
        <v>4299.1226921348371</v>
      </c>
      <c r="BO28" s="2">
        <f t="shared" si="64"/>
        <v>4256.1314652134888</v>
      </c>
      <c r="BP28" s="2">
        <f t="shared" si="64"/>
        <v>4213.5701505613542</v>
      </c>
      <c r="BQ28" s="2">
        <f t="shared" si="64"/>
        <v>4171.4344490557405</v>
      </c>
      <c r="BR28" s="2">
        <f t="shared" si="64"/>
        <v>4129.7201045651827</v>
      </c>
      <c r="BS28" s="2">
        <f t="shared" si="64"/>
        <v>4088.4229035195308</v>
      </c>
      <c r="BT28" s="2">
        <f t="shared" si="64"/>
        <v>4047.5386744843354</v>
      </c>
      <c r="BU28" s="2">
        <f t="shared" si="64"/>
        <v>4007.0632877394919</v>
      </c>
      <c r="BV28" s="2">
        <f t="shared" si="64"/>
        <v>3966.992654862097</v>
      </c>
      <c r="BW28" s="2">
        <f t="shared" si="64"/>
        <v>3927.3227283134761</v>
      </c>
      <c r="BX28" s="2">
        <f t="shared" si="64"/>
        <v>3888.0495010303412</v>
      </c>
      <c r="BY28" s="2">
        <f t="shared" si="64"/>
        <v>3849.1690060200376</v>
      </c>
      <c r="BZ28" s="2">
        <f t="shared" si="64"/>
        <v>3810.6773159598374</v>
      </c>
      <c r="CA28" s="2">
        <f t="shared" si="64"/>
        <v>3772.5705428002389</v>
      </c>
      <c r="CB28" s="2">
        <f t="shared" si="64"/>
        <v>3734.8448373722363</v>
      </c>
      <c r="CC28" s="2">
        <f t="shared" si="64"/>
        <v>3697.4963889985138</v>
      </c>
      <c r="CD28" s="2">
        <f t="shared" si="64"/>
        <v>3660.5214251085285</v>
      </c>
      <c r="CE28" s="2">
        <f t="shared" si="64"/>
        <v>3623.9162108574433</v>
      </c>
      <c r="CF28" s="2">
        <f t="shared" si="64"/>
        <v>3587.6770487488689</v>
      </c>
      <c r="CG28" s="2">
        <f t="shared" si="64"/>
        <v>3551.8002782613803</v>
      </c>
      <c r="CH28" s="2">
        <f t="shared" si="64"/>
        <v>3516.2822754787667</v>
      </c>
      <c r="CI28" s="2">
        <f t="shared" si="64"/>
        <v>3481.1194527239791</v>
      </c>
      <c r="CJ28" s="2">
        <f t="shared" si="64"/>
        <v>3446.3082581967392</v>
      </c>
      <c r="CK28" s="2">
        <f t="shared" si="64"/>
        <v>3411.845175614772</v>
      </c>
      <c r="CL28" s="2">
        <f t="shared" si="64"/>
        <v>3377.7267238586242</v>
      </c>
      <c r="CM28" s="2">
        <f t="shared" si="64"/>
        <v>3343.9494566200378</v>
      </c>
      <c r="CN28" s="2">
        <f t="shared" si="64"/>
        <v>3310.5099620538376</v>
      </c>
      <c r="CO28" s="2">
        <f t="shared" si="64"/>
        <v>3277.4048624332991</v>
      </c>
    </row>
    <row r="29" spans="1:93" x14ac:dyDescent="0.25">
      <c r="AB29">
        <f>+AB28/Sheet1!D4</f>
        <v>6.4468546852427728</v>
      </c>
    </row>
    <row r="30" spans="1:93" s="1" customFormat="1" x14ac:dyDescent="0.25">
      <c r="A30" s="1" t="s">
        <v>40</v>
      </c>
      <c r="B30" s="1">
        <f>+B16/B14</f>
        <v>0.62290734294712413</v>
      </c>
      <c r="C30" s="1" t="e">
        <f t="shared" ref="C30:I30" si="65">+C16/C14</f>
        <v>#DIV/0!</v>
      </c>
      <c r="D30" s="1" t="e">
        <f t="shared" si="65"/>
        <v>#DIV/0!</v>
      </c>
      <c r="E30" s="1" t="e">
        <f t="shared" si="65"/>
        <v>#DIV/0!</v>
      </c>
      <c r="F30" s="1">
        <f t="shared" si="65"/>
        <v>0.56547894493290141</v>
      </c>
      <c r="G30" s="1" t="e">
        <f t="shared" si="65"/>
        <v>#DIV/0!</v>
      </c>
      <c r="H30" s="1" t="e">
        <f t="shared" si="65"/>
        <v>#DIV/0!</v>
      </c>
      <c r="I30" s="1" t="e">
        <f t="shared" si="65"/>
        <v>#DIV/0!</v>
      </c>
      <c r="M30" s="1">
        <f>+M16/M14</f>
        <v>0.61793832995723608</v>
      </c>
      <c r="N30" s="1">
        <f t="shared" ref="N30:T30" si="66">+N16/N14</f>
        <v>0.63018551319101335</v>
      </c>
      <c r="O30" s="1">
        <f t="shared" si="66"/>
        <v>0.59343344763706596</v>
      </c>
      <c r="P30" s="1">
        <f t="shared" si="66"/>
        <v>0.5576350025437895</v>
      </c>
      <c r="Q30" s="1">
        <f t="shared" si="66"/>
        <v>0.51681166235598397</v>
      </c>
      <c r="R30" s="1">
        <f t="shared" si="66"/>
        <v>0.50633707582476339</v>
      </c>
      <c r="S30" s="1">
        <f t="shared" si="66"/>
        <v>0.51805739780537807</v>
      </c>
      <c r="T30" s="1">
        <f t="shared" si="66"/>
        <v>0.52</v>
      </c>
      <c r="U30" s="1">
        <f t="shared" ref="U30:AB30" si="67">+U16/U14</f>
        <v>0.52</v>
      </c>
      <c r="V30" s="1">
        <f t="shared" si="67"/>
        <v>0.52</v>
      </c>
      <c r="W30" s="1">
        <f t="shared" si="67"/>
        <v>0.52</v>
      </c>
      <c r="X30" s="1">
        <f t="shared" si="67"/>
        <v>0.52</v>
      </c>
      <c r="Y30" s="1">
        <f t="shared" si="67"/>
        <v>0.52</v>
      </c>
      <c r="Z30" s="1">
        <f t="shared" si="67"/>
        <v>0.52</v>
      </c>
      <c r="AA30" s="1">
        <f t="shared" si="67"/>
        <v>0.52</v>
      </c>
      <c r="AB30" s="1">
        <f t="shared" si="67"/>
        <v>0.52</v>
      </c>
    </row>
    <row r="31" spans="1:93" s="1" customFormat="1" x14ac:dyDescent="0.25">
      <c r="A31" s="1" t="s">
        <v>41</v>
      </c>
      <c r="B31" s="1">
        <f>+B24/B14</f>
        <v>0.17271672468092159</v>
      </c>
      <c r="C31" s="1" t="e">
        <f t="shared" ref="C31:I31" si="68">+C24/C14</f>
        <v>#DIV/0!</v>
      </c>
      <c r="D31" s="1" t="e">
        <f t="shared" si="68"/>
        <v>#DIV/0!</v>
      </c>
      <c r="E31" s="1" t="e">
        <f t="shared" si="68"/>
        <v>#DIV/0!</v>
      </c>
      <c r="F31" s="1">
        <f t="shared" si="68"/>
        <v>0.10967144840351689</v>
      </c>
      <c r="G31" s="1" t="e">
        <f t="shared" si="68"/>
        <v>#DIV/0!</v>
      </c>
      <c r="H31" s="1" t="e">
        <f t="shared" si="68"/>
        <v>#DIV/0!</v>
      </c>
      <c r="I31" s="1" t="e">
        <f t="shared" si="68"/>
        <v>#DIV/0!</v>
      </c>
      <c r="M31" s="1">
        <f>+M24/M14</f>
        <v>0.15299347287868556</v>
      </c>
      <c r="N31" s="1">
        <f t="shared" ref="N31:T31" si="69">+N24/N14</f>
        <v>0.15330474503589075</v>
      </c>
      <c r="O31" s="1">
        <f t="shared" si="69"/>
        <v>0.16798707185369122</v>
      </c>
      <c r="P31" s="1">
        <f t="shared" si="69"/>
        <v>0.13943600552365723</v>
      </c>
      <c r="Q31" s="1">
        <f t="shared" si="69"/>
        <v>0.16888918746431092</v>
      </c>
      <c r="R31" s="1">
        <f t="shared" si="69"/>
        <v>0.16746862911595434</v>
      </c>
      <c r="S31" s="1">
        <f t="shared" si="69"/>
        <v>0.1828349210177258</v>
      </c>
      <c r="T31" s="1">
        <f t="shared" si="69"/>
        <v>0.18220803288382417</v>
      </c>
      <c r="U31" s="1">
        <f t="shared" ref="U31:AB31" si="70">+U24/U14</f>
        <v>0.18404817224235195</v>
      </c>
      <c r="V31" s="1">
        <f t="shared" si="70"/>
        <v>0.1854817803248105</v>
      </c>
      <c r="W31" s="1">
        <f t="shared" si="70"/>
        <v>0.18659117165849623</v>
      </c>
      <c r="X31" s="1">
        <f t="shared" si="70"/>
        <v>0.18744062004075931</v>
      </c>
      <c r="Y31" s="1">
        <f t="shared" si="70"/>
        <v>0.18808031791520496</v>
      </c>
      <c r="Z31" s="1">
        <f t="shared" si="70"/>
        <v>0.18854946633587769</v>
      </c>
      <c r="AA31" s="1">
        <f t="shared" si="70"/>
        <v>0.18887868643144101</v>
      </c>
      <c r="AB31" s="1">
        <f t="shared" si="70"/>
        <v>0.18909190135932682</v>
      </c>
      <c r="AD31" s="1" t="s">
        <v>50</v>
      </c>
      <c r="AE31" s="1">
        <v>0.1</v>
      </c>
    </row>
    <row r="32" spans="1:93" s="1" customFormat="1" x14ac:dyDescent="0.25">
      <c r="A32" s="1" t="s">
        <v>42</v>
      </c>
      <c r="B32" s="1">
        <f>+B28/B14</f>
        <v>0.1818332504558263</v>
      </c>
      <c r="C32" s="1" t="e">
        <f t="shared" ref="C32:I32" si="71">+C28/C14</f>
        <v>#DIV/0!</v>
      </c>
      <c r="D32" s="1" t="e">
        <f t="shared" si="71"/>
        <v>#DIV/0!</v>
      </c>
      <c r="E32" s="1" t="e">
        <f t="shared" si="71"/>
        <v>#DIV/0!</v>
      </c>
      <c r="F32" s="1">
        <f t="shared" si="71"/>
        <v>0.10380996452259757</v>
      </c>
      <c r="G32" s="1" t="e">
        <f t="shared" si="71"/>
        <v>#DIV/0!</v>
      </c>
      <c r="H32" s="1" t="e">
        <f t="shared" si="71"/>
        <v>#DIV/0!</v>
      </c>
      <c r="I32" s="1" t="e">
        <f t="shared" si="71"/>
        <v>#DIV/0!</v>
      </c>
      <c r="M32" s="1">
        <f>+M28/M14</f>
        <v>0.13836371820841772</v>
      </c>
      <c r="N32" s="1">
        <f t="shared" ref="N32:T32" si="72">+N28/N14</f>
        <v>0.19586091171809453</v>
      </c>
      <c r="O32" s="1">
        <f t="shared" si="72"/>
        <v>0.16432146939419021</v>
      </c>
      <c r="P32" s="1">
        <f t="shared" si="72"/>
        <v>8.7906097826876958E-2</v>
      </c>
      <c r="Q32" s="1">
        <f t="shared" si="72"/>
        <v>0.14262201471230393</v>
      </c>
      <c r="R32" s="1">
        <f t="shared" si="72"/>
        <v>0.13042110890964556</v>
      </c>
      <c r="S32" s="1">
        <f t="shared" si="72"/>
        <v>0.15775352707102375</v>
      </c>
      <c r="T32" s="1">
        <f t="shared" si="72"/>
        <v>0.14576642630705933</v>
      </c>
      <c r="U32" s="1">
        <f t="shared" ref="U32:AB32" si="73">+U28/U14</f>
        <v>0.14723853779388157</v>
      </c>
      <c r="V32" s="1">
        <f t="shared" si="73"/>
        <v>0.14838542425984841</v>
      </c>
      <c r="W32" s="1">
        <f t="shared" si="73"/>
        <v>0.149272937326797</v>
      </c>
      <c r="X32" s="1">
        <f t="shared" si="73"/>
        <v>0.14995249603260746</v>
      </c>
      <c r="Y32" s="1">
        <f t="shared" si="73"/>
        <v>0.15046425433216395</v>
      </c>
      <c r="Z32" s="1">
        <f t="shared" si="73"/>
        <v>0.15083957306870213</v>
      </c>
      <c r="AA32" s="1">
        <f t="shared" si="73"/>
        <v>0.15110294914515282</v>
      </c>
      <c r="AB32" s="1">
        <f t="shared" si="73"/>
        <v>0.15127352108746148</v>
      </c>
      <c r="AD32" s="1" t="s">
        <v>51</v>
      </c>
      <c r="AE32" s="1">
        <v>-0.01</v>
      </c>
    </row>
    <row r="33" spans="1:31" x14ac:dyDescent="0.25">
      <c r="AD33" s="1" t="s">
        <v>52</v>
      </c>
      <c r="AE33" s="9">
        <f>NPV(AE31,Q28:CP28)</f>
        <v>53251.514389265874</v>
      </c>
    </row>
    <row r="34" spans="1:31" s="1" customFormat="1" x14ac:dyDescent="0.25">
      <c r="A34" s="1" t="s">
        <v>43</v>
      </c>
      <c r="F34" s="1">
        <f>+F14/B14 -1</f>
        <v>7.458975634012921E-2</v>
      </c>
      <c r="N34" s="1">
        <f>+N14/M14 -1</f>
        <v>0.20717983344586988</v>
      </c>
      <c r="O34" s="1">
        <f>+O14/N14 -1</f>
        <v>0.18257667567819524</v>
      </c>
      <c r="P34" s="1">
        <f>+P14/O14 -1</f>
        <v>8.4624177210200546E-2</v>
      </c>
      <c r="Q34" s="1">
        <f t="shared" ref="Q34:R34" si="74">+Q14/P14 -1</f>
        <v>8.1873682680427384E-2</v>
      </c>
      <c r="R34" s="1">
        <f t="shared" si="74"/>
        <v>6.8052803063383793E-2</v>
      </c>
      <c r="S34" s="1">
        <f t="shared" ref="S34" si="75">+S14/R14 -1</f>
        <v>4.3243073245903707E-2</v>
      </c>
      <c r="T34" s="1">
        <f t="shared" ref="T34" si="76">+T14/S14 -1</f>
        <v>2.938539990534772E-2</v>
      </c>
      <c r="U34" s="1">
        <f t="shared" ref="U34" si="77">+U14/T14 -1</f>
        <v>2.50999999999999E-2</v>
      </c>
      <c r="V34" s="1">
        <f t="shared" ref="V34" si="78">+V14/U14 -1</f>
        <v>2.50999999999999E-2</v>
      </c>
      <c r="W34" s="1">
        <f t="shared" ref="W34" si="79">+W14/V14 -1</f>
        <v>2.50999999999999E-2</v>
      </c>
      <c r="X34" s="1">
        <f t="shared" ref="X34" si="80">+X14/W14 -1</f>
        <v>2.50999999999999E-2</v>
      </c>
      <c r="Y34" s="1">
        <f t="shared" ref="Y34" si="81">+Y14/X14 -1</f>
        <v>2.50999999999999E-2</v>
      </c>
      <c r="Z34" s="1">
        <f t="shared" ref="Z34" si="82">+Z14/Y14 -1</f>
        <v>2.5100000000000122E-2</v>
      </c>
      <c r="AA34" s="1">
        <f t="shared" ref="AA34" si="83">+AA14/Z14 -1</f>
        <v>2.5099999999999678E-2</v>
      </c>
      <c r="AB34" s="1">
        <f t="shared" ref="AB34" si="84">+AB14/AA14 -1</f>
        <v>2.50999999999999E-2</v>
      </c>
      <c r="AD34" s="1" t="s">
        <v>3</v>
      </c>
      <c r="AE34" s="2">
        <f>8995+1760+3601-11276</f>
        <v>3080</v>
      </c>
    </row>
    <row r="35" spans="1:31" s="1" customFormat="1" x14ac:dyDescent="0.25">
      <c r="A35" s="1" t="s">
        <v>55</v>
      </c>
      <c r="N35" s="1">
        <f>+N28/M28 -1</f>
        <v>0.70882472549816988</v>
      </c>
      <c r="O35" s="1">
        <f t="shared" ref="O35:R35" si="85">+O28/N28 -1</f>
        <v>-7.8534031413612926E-3</v>
      </c>
      <c r="P35" s="1">
        <f t="shared" si="85"/>
        <v>-0.41976493163828255</v>
      </c>
      <c r="Q35" s="1">
        <f t="shared" si="85"/>
        <v>0.75527077304671342</v>
      </c>
      <c r="R35" s="1">
        <f t="shared" si="85"/>
        <v>-2.3316062176165775E-2</v>
      </c>
      <c r="S35" s="1">
        <f t="shared" ref="S35" si="86">+S28/R28 -1</f>
        <v>0.26187605497950317</v>
      </c>
      <c r="T35" s="1">
        <f t="shared" ref="T35" si="87">+T28/S28 -1</f>
        <v>-4.8833748298316881E-2</v>
      </c>
      <c r="U35" s="1">
        <f t="shared" ref="U35" si="88">+U28/T28 -1</f>
        <v>3.5452599863857515E-2</v>
      </c>
      <c r="V35" s="1">
        <f t="shared" ref="V35" si="89">+V28/U28 -1</f>
        <v>3.3084820644635915E-2</v>
      </c>
      <c r="W35" s="1">
        <f t="shared" ref="W35" si="90">+W28/V28 -1</f>
        <v>3.1231260192616794E-2</v>
      </c>
      <c r="X35" s="1">
        <f t="shared" ref="X35" si="91">+X28/W28 -1</f>
        <v>2.9766724201998107E-2</v>
      </c>
      <c r="Y35" s="1">
        <f t="shared" ref="Y35" si="92">+Y28/X28 -1</f>
        <v>2.85984641586845E-2</v>
      </c>
      <c r="Z35" s="1">
        <f t="shared" ref="Z35" si="93">+Z28/Y28 -1</f>
        <v>2.7657014212664421E-2</v>
      </c>
      <c r="AA35" s="1">
        <f t="shared" ref="AA35" si="94">+AA28/Z28 -1</f>
        <v>2.6889893795619235E-2</v>
      </c>
      <c r="AB35" s="1">
        <f t="shared" ref="AB35" si="95">+AB28/AA28 -1</f>
        <v>2.6257179916406637E-2</v>
      </c>
      <c r="AD35" s="1" t="s">
        <v>53</v>
      </c>
      <c r="AE35" s="9">
        <f>+AE33+AE34</f>
        <v>56331.514389265874</v>
      </c>
    </row>
    <row r="36" spans="1:31" s="1" customFormat="1" x14ac:dyDescent="0.25">
      <c r="A36" s="1" t="s">
        <v>59</v>
      </c>
      <c r="P36" s="1">
        <f t="shared" ref="P36:R36" si="96">+P6/O6 -1</f>
        <v>2.1126760563380254E-2</v>
      </c>
      <c r="Q36" s="1">
        <f t="shared" si="96"/>
        <v>-2.0689655172413834E-2</v>
      </c>
      <c r="R36" s="1">
        <f t="shared" si="96"/>
        <v>1.8779342723004744E-2</v>
      </c>
      <c r="S36" s="1">
        <f t="shared" ref="S36" si="97">+S6/R6 -1</f>
        <v>1.1520737327188835E-2</v>
      </c>
      <c r="T36" s="1">
        <f t="shared" ref="T36" si="98">+T6/S6 -1</f>
        <v>4.9999999999998934E-3</v>
      </c>
      <c r="U36" s="1">
        <f t="shared" ref="U36" si="99">+U6/T6 -1</f>
        <v>4.9999999999998934E-3</v>
      </c>
      <c r="V36" s="1">
        <f t="shared" ref="V36" si="100">+V6/U6 -1</f>
        <v>4.9999999999998934E-3</v>
      </c>
      <c r="W36" s="1">
        <f t="shared" ref="W36" si="101">+W6/V6 -1</f>
        <v>4.9999999999998934E-3</v>
      </c>
      <c r="X36" s="1">
        <f t="shared" ref="X36" si="102">+X6/W6 -1</f>
        <v>4.9999999999998934E-3</v>
      </c>
      <c r="Y36" s="1">
        <f t="shared" ref="Y36" si="103">+Y6/X6 -1</f>
        <v>4.9999999999998934E-3</v>
      </c>
      <c r="Z36" s="1">
        <f t="shared" ref="Z36" si="104">+Z6/Y6 -1</f>
        <v>4.9999999999998934E-3</v>
      </c>
      <c r="AA36" s="1">
        <f t="shared" ref="AA36" si="105">+AA6/Z6 -1</f>
        <v>4.9999999999998934E-3</v>
      </c>
      <c r="AB36" s="1">
        <f t="shared" ref="AB36" si="106">+AB6/AA6 -1</f>
        <v>4.9999999999998934E-3</v>
      </c>
      <c r="AD36" s="1" t="s">
        <v>54</v>
      </c>
      <c r="AE36" s="9">
        <f>+AE35/Sheet1!D4</f>
        <v>57.657640111838148</v>
      </c>
    </row>
    <row r="37" spans="1:31" x14ac:dyDescent="0.25">
      <c r="Z37" s="1"/>
      <c r="AD37" s="1" t="s">
        <v>64</v>
      </c>
      <c r="AE37" s="1">
        <f>+AE36/Sheet1!D3 -1</f>
        <v>0.431776511344379</v>
      </c>
    </row>
    <row r="38" spans="1:31" s="2" customFormat="1" x14ac:dyDescent="0.25">
      <c r="A38" s="9" t="s">
        <v>56</v>
      </c>
      <c r="P38" s="2">
        <v>5813</v>
      </c>
      <c r="Q38" s="2">
        <v>4843</v>
      </c>
      <c r="R38" s="2">
        <v>7450</v>
      </c>
      <c r="S38" s="2">
        <v>6416</v>
      </c>
      <c r="T38" s="2">
        <f>+T28</f>
        <v>4977.4529951549075</v>
      </c>
      <c r="Z38" s="9"/>
    </row>
    <row r="39" spans="1:31" s="2" customFormat="1" x14ac:dyDescent="0.25">
      <c r="A39" s="9" t="s">
        <v>57</v>
      </c>
      <c r="P39" s="2">
        <v>706</v>
      </c>
      <c r="Q39" s="2">
        <v>623</v>
      </c>
      <c r="R39" s="2">
        <v>683</v>
      </c>
      <c r="S39" s="2">
        <v>852</v>
      </c>
      <c r="T39" s="2">
        <v>800</v>
      </c>
    </row>
    <row r="40" spans="1:31" s="2" customFormat="1" x14ac:dyDescent="0.25">
      <c r="A40" s="9" t="s">
        <v>58</v>
      </c>
      <c r="P40" s="2">
        <f>+P38-P39</f>
        <v>5107</v>
      </c>
      <c r="Q40" s="2">
        <f>+Q38-Q39</f>
        <v>4220</v>
      </c>
      <c r="R40" s="2">
        <f>+R38-R39</f>
        <v>6767</v>
      </c>
      <c r="S40" s="2">
        <f>+S38-S39</f>
        <v>5564</v>
      </c>
      <c r="T40" s="2">
        <f>+T38-T39</f>
        <v>4177.4529951549075</v>
      </c>
    </row>
    <row r="41" spans="1:31" s="2" customFormat="1" x14ac:dyDescent="0.25">
      <c r="A41" s="9" t="s">
        <v>65</v>
      </c>
      <c r="Q41" s="2">
        <v>1475</v>
      </c>
      <c r="R41" s="2">
        <v>1230</v>
      </c>
      <c r="S41" s="2">
        <v>1002</v>
      </c>
      <c r="T41" s="2">
        <v>1000</v>
      </c>
    </row>
    <row r="42" spans="1:31" s="2" customFormat="1" x14ac:dyDescent="0.25">
      <c r="A42" s="9" t="s">
        <v>66</v>
      </c>
      <c r="Q42" s="2">
        <f>+Q40-Q41</f>
        <v>2745</v>
      </c>
      <c r="R42" s="2">
        <f>+R40-R41</f>
        <v>5537</v>
      </c>
      <c r="S42" s="2">
        <f>+S40-S41</f>
        <v>4562</v>
      </c>
      <c r="T42" s="2">
        <f>+T40-T41</f>
        <v>3177.4529951549075</v>
      </c>
    </row>
    <row r="43" spans="1:31" s="2" customFormat="1" x14ac:dyDescent="0.25">
      <c r="A43" s="9"/>
    </row>
    <row r="44" spans="1:31" s="2" customFormat="1" x14ac:dyDescent="0.25">
      <c r="A44" s="9" t="s">
        <v>67</v>
      </c>
      <c r="S44" s="2">
        <v>5700</v>
      </c>
      <c r="T44" s="2">
        <v>6000</v>
      </c>
    </row>
    <row r="45" spans="1:31" x14ac:dyDescent="0.25">
      <c r="A45" s="1" t="s">
        <v>68</v>
      </c>
      <c r="S45">
        <v>78</v>
      </c>
    </row>
    <row r="46" spans="1:31" x14ac:dyDescent="0.25">
      <c r="A46" s="1" t="s">
        <v>69</v>
      </c>
      <c r="S46" s="8">
        <f>+S44/Sheet1!$D$5</f>
        <v>0.14487673912452256</v>
      </c>
      <c r="T46" s="8">
        <f>+T44/Sheet1!$D$5</f>
        <v>0.15250183065739217</v>
      </c>
    </row>
    <row r="48" spans="1:31" s="1" customFormat="1" x14ac:dyDescent="0.25">
      <c r="A48" s="1" t="s">
        <v>18</v>
      </c>
      <c r="N48" s="1">
        <f>+N19/N$14</f>
        <v>8.674373077281626E-2</v>
      </c>
      <c r="O48" s="1">
        <f t="shared" ref="O48:P48" si="107">+O19/O$14</f>
        <v>9.6369871112687716E-2</v>
      </c>
      <c r="P48" s="8">
        <f t="shared" si="107"/>
        <v>8.2019042081546631E-2</v>
      </c>
      <c r="Q48" s="8">
        <f>+Q19/Q$14</f>
        <v>6.0763830573376774E-2</v>
      </c>
      <c r="R48" s="8">
        <f t="shared" ref="R48:S48" si="108">+R19/R$14</f>
        <v>6.2930465138220593E-2</v>
      </c>
      <c r="S48" s="8">
        <f t="shared" si="108"/>
        <v>6.8823103822500911E-2</v>
      </c>
      <c r="T48" s="8">
        <f t="shared" ref="T48:AB48" si="109">+T19/T$14</f>
        <v>7.0000000000000007E-2</v>
      </c>
      <c r="U48" s="8">
        <f t="shared" si="109"/>
        <v>7.0000000000000007E-2</v>
      </c>
      <c r="V48" s="8">
        <f t="shared" si="109"/>
        <v>7.0000000000000007E-2</v>
      </c>
      <c r="W48" s="8">
        <f t="shared" si="109"/>
        <v>7.0000000000000007E-2</v>
      </c>
      <c r="X48" s="8">
        <f t="shared" si="109"/>
        <v>7.0000000000000007E-2</v>
      </c>
      <c r="Y48" s="8">
        <f t="shared" si="109"/>
        <v>7.0000000000000007E-2</v>
      </c>
      <c r="Z48" s="8">
        <f t="shared" si="109"/>
        <v>7.0000000000000007E-2</v>
      </c>
      <c r="AA48" s="8">
        <f t="shared" si="109"/>
        <v>7.0000000000000007E-2</v>
      </c>
      <c r="AB48" s="8">
        <f t="shared" si="109"/>
        <v>7.0000000000000007E-2</v>
      </c>
    </row>
    <row r="49" spans="1:28" s="1" customFormat="1" x14ac:dyDescent="0.25">
      <c r="A49" s="1" t="s">
        <v>17</v>
      </c>
      <c r="N49" s="1">
        <f t="shared" ref="N49:P49" si="110">+N20/N$14</f>
        <v>0.12314719865759299</v>
      </c>
      <c r="O49" s="1">
        <f t="shared" si="110"/>
        <v>0.11974301367703283</v>
      </c>
      <c r="P49" s="1">
        <f t="shared" si="110"/>
        <v>0.1182135329602442</v>
      </c>
      <c r="Q49" s="1">
        <f t="shared" ref="Q49:S50" si="111">+Q20/Q$14</f>
        <v>9.9862282086594339E-2</v>
      </c>
      <c r="R49" s="8">
        <f t="shared" si="111"/>
        <v>9.3688083781488823E-2</v>
      </c>
      <c r="S49" s="8">
        <f t="shared" si="111"/>
        <v>9.3542746894971662E-2</v>
      </c>
      <c r="T49" s="8">
        <f t="shared" ref="T49:AB49" si="112">+T20/T$14</f>
        <v>9.4E-2</v>
      </c>
      <c r="U49" s="8">
        <f t="shared" si="112"/>
        <v>9.4E-2</v>
      </c>
      <c r="V49" s="8">
        <f t="shared" si="112"/>
        <v>9.4E-2</v>
      </c>
      <c r="W49" s="8">
        <f t="shared" si="112"/>
        <v>9.4E-2</v>
      </c>
      <c r="X49" s="8">
        <f t="shared" si="112"/>
        <v>9.4E-2</v>
      </c>
      <c r="Y49" s="8">
        <f t="shared" si="112"/>
        <v>9.4E-2</v>
      </c>
      <c r="Z49" s="8">
        <f t="shared" si="112"/>
        <v>9.4E-2</v>
      </c>
      <c r="AA49" s="8">
        <f t="shared" si="112"/>
        <v>9.4E-2</v>
      </c>
      <c r="AB49" s="8">
        <f t="shared" si="112"/>
        <v>9.4E-2</v>
      </c>
    </row>
    <row r="50" spans="1:28" s="1" customFormat="1" x14ac:dyDescent="0.25">
      <c r="A50" s="1" t="s">
        <v>37</v>
      </c>
      <c r="N50" s="1">
        <f t="shared" ref="N50:P50" si="113">+N21/N$14</f>
        <v>9.6485503868742425E-2</v>
      </c>
      <c r="O50" s="8">
        <f t="shared" si="113"/>
        <v>8.3323479563280914E-2</v>
      </c>
      <c r="P50" s="8">
        <f t="shared" si="113"/>
        <v>7.6277345737335564E-2</v>
      </c>
      <c r="Q50" s="8">
        <f t="shared" si="111"/>
        <v>6.9161264317624538E-2</v>
      </c>
      <c r="R50" s="8">
        <f t="shared" si="111"/>
        <v>6.7522093279240178E-2</v>
      </c>
      <c r="S50" s="8">
        <f t="shared" si="111"/>
        <v>5.9658748341975161E-2</v>
      </c>
      <c r="T50" s="8">
        <f t="shared" ref="T50:AB50" si="114">+T21/T$14</f>
        <v>6.0273924888928118E-2</v>
      </c>
      <c r="U50" s="8">
        <f t="shared" si="114"/>
        <v>6.1150016471061601E-2</v>
      </c>
      <c r="V50" s="8">
        <f t="shared" si="114"/>
        <v>6.2038842190912172E-2</v>
      </c>
      <c r="W50" s="8">
        <f t="shared" si="114"/>
        <v>6.294058714130199E-2</v>
      </c>
      <c r="X50" s="8">
        <f t="shared" si="114"/>
        <v>6.3855439105408335E-2</v>
      </c>
      <c r="Y50" s="8">
        <f t="shared" si="114"/>
        <v>6.4783588595868372E-2</v>
      </c>
      <c r="Z50" s="8">
        <f t="shared" si="114"/>
        <v>6.5725228894452342E-2</v>
      </c>
      <c r="AA50" s="8">
        <f t="shared" si="114"/>
        <v>6.6680556092313395E-2</v>
      </c>
      <c r="AB50" s="8">
        <f t="shared" si="114"/>
        <v>6.764976913082231E-2</v>
      </c>
    </row>
    <row r="52" spans="1:28" x14ac:dyDescent="0.25">
      <c r="A52" s="1" t="s">
        <v>73</v>
      </c>
      <c r="S52" s="10">
        <f>+S17/(S9*1000)</f>
        <v>9.587631509416503E-4</v>
      </c>
    </row>
    <row r="53" spans="1:28" s="11" customFormat="1" x14ac:dyDescent="0.25">
      <c r="A53" s="5" t="s">
        <v>75</v>
      </c>
      <c r="O53" s="11">
        <f t="shared" ref="O53:R53" si="115">+O18/O6</f>
        <v>4.870892018779343</v>
      </c>
      <c r="P53" s="11">
        <f t="shared" si="115"/>
        <v>4.8735632183908049</v>
      </c>
      <c r="Q53" s="11">
        <f t="shared" si="115"/>
        <v>4.504694835680751</v>
      </c>
      <c r="R53" s="11">
        <f t="shared" si="115"/>
        <v>4.0737327188940089</v>
      </c>
      <c r="S53" s="11">
        <f>+S18/S6</f>
        <v>3.8815489749430525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MV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Kutzer</dc:creator>
  <cp:lastModifiedBy>Kutzer Maximilian Claudius</cp:lastModifiedBy>
  <dcterms:created xsi:type="dcterms:W3CDTF">2022-04-29T14:33:05Z</dcterms:created>
  <dcterms:modified xsi:type="dcterms:W3CDTF">2026-02-13T20:31:08Z</dcterms:modified>
</cp:coreProperties>
</file>