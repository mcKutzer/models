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15470EB-D27A-47EC-A697-B1D9E89A7E20}" xr6:coauthVersionLast="47" xr6:coauthVersionMax="47" xr10:uidLastSave="{00000000-0000-0000-0000-000000000000}"/>
  <bookViews>
    <workbookView xWindow="-120" yWindow="-120" windowWidth="29040" windowHeight="15840" activeTab="1" xr2:uid="{F085FBF2-96B1-4272-9032-74A496D06EFE}"/>
  </bookViews>
  <sheets>
    <sheet name="Overview" sheetId="1" r:id="rId1"/>
    <sheet name="Detail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7" i="2" l="1"/>
  <c r="T29" i="2" s="1"/>
  <c r="T31" i="2" s="1"/>
  <c r="T33" i="2" s="1"/>
  <c r="S23" i="2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R23" i="2"/>
  <c r="T28" i="2"/>
  <c r="I25" i="2"/>
  <c r="J25" i="2"/>
  <c r="K25" i="2"/>
  <c r="L25" i="2"/>
  <c r="M25" i="2"/>
  <c r="N25" i="2"/>
  <c r="O25" i="2"/>
  <c r="P25" i="2"/>
  <c r="Q25" i="2"/>
  <c r="I26" i="2"/>
  <c r="J26" i="2"/>
  <c r="K26" i="2"/>
  <c r="L26" i="2"/>
  <c r="M26" i="2"/>
  <c r="N26" i="2"/>
  <c r="O26" i="2"/>
  <c r="P26" i="2"/>
  <c r="Q26" i="2"/>
  <c r="H26" i="2"/>
  <c r="H25" i="2"/>
  <c r="I22" i="2"/>
  <c r="J22" i="2"/>
  <c r="K22" i="2"/>
  <c r="L22" i="2"/>
  <c r="M22" i="2"/>
  <c r="N22" i="2"/>
  <c r="O22" i="2"/>
  <c r="P22" i="2"/>
  <c r="Q22" i="2"/>
  <c r="H22" i="2"/>
  <c r="J19" i="2"/>
  <c r="K19" i="2" s="1"/>
  <c r="L19" i="2" s="1"/>
  <c r="M19" i="2" s="1"/>
  <c r="N19" i="2" s="1"/>
  <c r="O19" i="2" s="1"/>
  <c r="P19" i="2" s="1"/>
  <c r="Q19" i="2" s="1"/>
  <c r="I19" i="2"/>
  <c r="I18" i="2"/>
  <c r="J18" i="2" s="1"/>
  <c r="K18" i="2" s="1"/>
  <c r="L18" i="2" s="1"/>
  <c r="M18" i="2" s="1"/>
  <c r="N18" i="2" s="1"/>
  <c r="O18" i="2" s="1"/>
  <c r="P18" i="2" s="1"/>
  <c r="Q18" i="2" s="1"/>
  <c r="H18" i="2"/>
  <c r="Q13" i="2"/>
  <c r="P13" i="2"/>
  <c r="O13" i="2"/>
  <c r="N13" i="2"/>
  <c r="M13" i="2"/>
  <c r="L13" i="2"/>
  <c r="K13" i="2"/>
  <c r="J13" i="2"/>
  <c r="I13" i="2"/>
  <c r="H13" i="2"/>
  <c r="I12" i="2"/>
  <c r="J12" i="2"/>
  <c r="K12" i="2"/>
  <c r="L12" i="2"/>
  <c r="M12" i="2"/>
  <c r="N12" i="2"/>
  <c r="O12" i="2"/>
  <c r="P12" i="2"/>
  <c r="Q12" i="2"/>
  <c r="H12" i="2"/>
  <c r="J11" i="2"/>
  <c r="K11" i="2" s="1"/>
  <c r="L11" i="2" s="1"/>
  <c r="M11" i="2" s="1"/>
  <c r="N11" i="2" s="1"/>
  <c r="O11" i="2" s="1"/>
  <c r="P11" i="2" s="1"/>
  <c r="Q11" i="2" s="1"/>
  <c r="I11" i="2"/>
  <c r="I10" i="2"/>
  <c r="J10" i="2"/>
  <c r="K10" i="2"/>
  <c r="L10" i="2"/>
  <c r="M10" i="2"/>
  <c r="N10" i="2"/>
  <c r="O10" i="2"/>
  <c r="P10" i="2"/>
  <c r="Q10" i="2"/>
  <c r="H10" i="2"/>
  <c r="I9" i="2"/>
  <c r="J9" i="2"/>
  <c r="K9" i="2"/>
  <c r="L9" i="2"/>
  <c r="M9" i="2"/>
  <c r="N9" i="2"/>
  <c r="O9" i="2"/>
  <c r="P9" i="2"/>
  <c r="Q9" i="2"/>
  <c r="H9" i="2"/>
  <c r="I6" i="2"/>
  <c r="I7" i="2" s="1"/>
  <c r="I8" i="2" s="1"/>
  <c r="H6" i="2"/>
  <c r="H7" i="2" s="1"/>
  <c r="H4" i="2" s="1"/>
  <c r="E4" i="2"/>
  <c r="F4" i="2"/>
  <c r="G4" i="2"/>
  <c r="D4" i="2"/>
  <c r="G30" i="2"/>
  <c r="F30" i="2"/>
  <c r="E30" i="2"/>
  <c r="D30" i="2"/>
  <c r="D8" i="2"/>
  <c r="D17" i="2" s="1"/>
  <c r="D21" i="2" s="1"/>
  <c r="D23" i="2" s="1"/>
  <c r="D26" i="2" s="1"/>
  <c r="E8" i="2"/>
  <c r="E17" i="2" s="1"/>
  <c r="E21" i="2" s="1"/>
  <c r="E23" i="2" s="1"/>
  <c r="E26" i="2" s="1"/>
  <c r="G20" i="2"/>
  <c r="G8" i="2"/>
  <c r="G17" i="2" s="1"/>
  <c r="G25" i="2" s="1"/>
  <c r="F8" i="2"/>
  <c r="F17" i="2" s="1"/>
  <c r="F21" i="2" s="1"/>
  <c r="G2" i="2"/>
  <c r="H2" i="2" s="1"/>
  <c r="I2" i="2" s="1"/>
  <c r="J2" i="2" s="1"/>
  <c r="K2" i="2" s="1"/>
  <c r="L2" i="2" s="1"/>
  <c r="M2" i="2" s="1"/>
  <c r="N2" i="2" s="1"/>
  <c r="O2" i="2" s="1"/>
  <c r="P2" i="2" s="1"/>
  <c r="Q2" i="2" s="1"/>
  <c r="E2" i="2"/>
  <c r="D2" i="2" s="1"/>
  <c r="E14" i="1"/>
  <c r="F14" i="1"/>
  <c r="G14" i="1"/>
  <c r="E15" i="1"/>
  <c r="F15" i="1"/>
  <c r="G15" i="1"/>
  <c r="D15" i="1"/>
  <c r="D14" i="1"/>
  <c r="D8" i="1"/>
  <c r="D10" i="1" s="1"/>
  <c r="D12" i="1" s="1"/>
  <c r="E8" i="1"/>
  <c r="E10" i="1" s="1"/>
  <c r="E12" i="1" s="1"/>
  <c r="D2" i="1"/>
  <c r="E2" i="1"/>
  <c r="G8" i="1"/>
  <c r="G10" i="1" s="1"/>
  <c r="G12" i="1" s="1"/>
  <c r="H8" i="1"/>
  <c r="I8" i="1"/>
  <c r="I10" i="1" s="1"/>
  <c r="I12" i="1" s="1"/>
  <c r="H10" i="1"/>
  <c r="H12" i="1" s="1"/>
  <c r="F8" i="1"/>
  <c r="F10" i="1" s="1"/>
  <c r="F12" i="1" s="1"/>
  <c r="I2" i="1"/>
  <c r="H2" i="1"/>
  <c r="G2" i="1"/>
  <c r="T36" i="2" l="1"/>
  <c r="T35" i="2"/>
  <c r="I17" i="2"/>
  <c r="I21" i="2" s="1"/>
  <c r="I23" i="2" s="1"/>
  <c r="J6" i="2"/>
  <c r="I4" i="2"/>
  <c r="H8" i="2"/>
  <c r="H17" i="2" s="1"/>
  <c r="H21" i="2" s="1"/>
  <c r="H23" i="2" s="1"/>
  <c r="F25" i="2"/>
  <c r="D25" i="2"/>
  <c r="E25" i="2"/>
  <c r="F23" i="2"/>
  <c r="F26" i="2" s="1"/>
  <c r="G21" i="2"/>
  <c r="G23" i="2" s="1"/>
  <c r="G26" i="2" s="1"/>
  <c r="K6" i="2" l="1"/>
  <c r="J7" i="2"/>
  <c r="J4" i="2" l="1"/>
  <c r="J8" i="2"/>
  <c r="J17" i="2" s="1"/>
  <c r="J21" i="2" s="1"/>
  <c r="J23" i="2" s="1"/>
  <c r="L6" i="2"/>
  <c r="L7" i="2" s="1"/>
  <c r="L4" i="2" s="1"/>
  <c r="K7" i="2"/>
  <c r="M6" i="2"/>
  <c r="M7" i="2" s="1"/>
  <c r="M4" i="2" s="1"/>
  <c r="L8" i="2"/>
  <c r="L17" i="2" s="1"/>
  <c r="L21" i="2" s="1"/>
  <c r="L23" i="2" s="1"/>
  <c r="K4" i="2" l="1"/>
  <c r="K8" i="2"/>
  <c r="K17" i="2" s="1"/>
  <c r="K21" i="2" s="1"/>
  <c r="K23" i="2" s="1"/>
  <c r="N6" i="2"/>
  <c r="N7" i="2" s="1"/>
  <c r="N4" i="2" s="1"/>
  <c r="M8" i="2"/>
  <c r="M17" i="2" s="1"/>
  <c r="M21" i="2" s="1"/>
  <c r="M23" i="2" s="1"/>
  <c r="O6" i="2" l="1"/>
  <c r="O7" i="2" s="1"/>
  <c r="O4" i="2" s="1"/>
  <c r="N8" i="2"/>
  <c r="N17" i="2" s="1"/>
  <c r="N21" i="2" s="1"/>
  <c r="N23" i="2" s="1"/>
  <c r="O8" i="2" l="1"/>
  <c r="O17" i="2" s="1"/>
  <c r="O21" i="2" s="1"/>
  <c r="O23" i="2" s="1"/>
  <c r="P6" i="2"/>
  <c r="P7" i="2" s="1"/>
  <c r="P4" i="2" s="1"/>
  <c r="P8" i="2" l="1"/>
  <c r="P17" i="2" s="1"/>
  <c r="P21" i="2" s="1"/>
  <c r="P23" i="2" s="1"/>
  <c r="Q6" i="2"/>
  <c r="Q7" i="2" l="1"/>
  <c r="Q8" i="2" l="1"/>
  <c r="Q17" i="2" s="1"/>
  <c r="Q21" i="2" s="1"/>
  <c r="Q23" i="2" s="1"/>
  <c r="Q4" i="2"/>
</calcChain>
</file>

<file path=xl/sharedStrings.xml><?xml version="1.0" encoding="utf-8"?>
<sst xmlns="http://schemas.openxmlformats.org/spreadsheetml/2006/main" count="48" uniqueCount="39">
  <si>
    <t>Revenue</t>
  </si>
  <si>
    <t>Fuel Cosst</t>
  </si>
  <si>
    <t>Operating Expenses</t>
  </si>
  <si>
    <t>Operating Income</t>
  </si>
  <si>
    <t>Finance Expenses</t>
  </si>
  <si>
    <t>Pretax</t>
  </si>
  <si>
    <t>Taxes</t>
  </si>
  <si>
    <t>Net Income</t>
  </si>
  <si>
    <t>Operating Margin</t>
  </si>
  <si>
    <t>Net Margin</t>
  </si>
  <si>
    <t>CFFO</t>
  </si>
  <si>
    <t>CapEx</t>
  </si>
  <si>
    <t>FCF</t>
  </si>
  <si>
    <t>Ticket Revenue</t>
  </si>
  <si>
    <t>Ancillary Revenue</t>
  </si>
  <si>
    <t>Total Revenue</t>
  </si>
  <si>
    <t>Staff costs</t>
  </si>
  <si>
    <t>Fuel costs</t>
  </si>
  <si>
    <t>Marketing</t>
  </si>
  <si>
    <t>Maintenance &amp; repairs</t>
  </si>
  <si>
    <t>Airport charges</t>
  </si>
  <si>
    <t>D&amp;A</t>
  </si>
  <si>
    <t>Other expenses</t>
  </si>
  <si>
    <t>Other income</t>
  </si>
  <si>
    <t>Finance income</t>
  </si>
  <si>
    <t>Finance expenses</t>
  </si>
  <si>
    <t>other, net</t>
  </si>
  <si>
    <t>Ancillary Ratio</t>
  </si>
  <si>
    <t>Discount</t>
  </si>
  <si>
    <t>Terminal</t>
  </si>
  <si>
    <t>NPV</t>
  </si>
  <si>
    <t>Net Cash</t>
  </si>
  <si>
    <t>Shares</t>
  </si>
  <si>
    <t>Value</t>
  </si>
  <si>
    <t>Price</t>
  </si>
  <si>
    <t>Current</t>
  </si>
  <si>
    <t>€</t>
  </si>
  <si>
    <t>Price GBP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</si>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</sst>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1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17859</xdr:colOff>
      <xdr:row>4</xdr:row>
      <xdr:rowOff>184547</xdr:rowOff>
    </xdr:from>
    <xdr:to>
      <xdr:col>7</xdr:col>
      <xdr:colOff>53578</xdr:colOff>
      <xdr:row>26</xdr:row>
      <xdr:rowOff>125016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A53D33-C002-A270-8435-A0D8B00DE25A}"/>
            </a:ext>
          </a:extLst>
        </xdr:cNvPr>
        <xdr:cNvCxnSpPr/>
      </xdr:nvCxnSpPr>
      <xdr:spPr>
        <a:xfrm>
          <a:off x="4673203" y="756047"/>
          <a:ext cx="35719" cy="4131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EE90-6CDA-4CE9-AE79-53CB31930187}">
  <dimension ref="B2:I83"/>
  <sheetViews>
    <sheetView zoomScale="175" zoomScaleNormal="175" workbookViewId="0">
      <pane xSplit="2" ySplit="2" topLeftCell="D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5"/>
  <cols>
    <col min="1" max="1" width="2.85546875" customWidth="1"/>
    <col min="2" max="2" width="18.85546875" bestFit="1" customWidth="1"/>
  </cols>
  <sheetData>
    <row r="2" spans="2:9" x14ac:dyDescent="0.25">
      <c r="D2">
        <f>+E2-1</f>
        <v>2022</v>
      </c>
      <c r="E2">
        <f>+F2-1</f>
        <v>2023</v>
      </c>
      <c r="F2">
        <v>2024</v>
      </c>
      <c r="G2">
        <f>+F2+1</f>
        <v>2025</v>
      </c>
      <c r="H2">
        <f>+G2+1</f>
        <v>2026</v>
      </c>
      <c r="I2">
        <f>+H2+1</f>
        <v>2027</v>
      </c>
    </row>
    <row r="3" spans="2:9" s="1" customFormat="1" x14ac:dyDescent="0.25"/>
    <row r="4" spans="2:9" s="1" customFormat="1" x14ac:dyDescent="0.25"/>
    <row r="5" spans="2:9" s="1" customFormat="1" x14ac:dyDescent="0.25">
      <c r="B5" s="1" t="s">
        <v>0</v>
      </c>
      <c r="D5" s="1">
        <v>1663.4</v>
      </c>
      <c r="E5" s="1">
        <v>3895.7</v>
      </c>
      <c r="F5" s="1">
        <v>5073.1000000000004</v>
      </c>
      <c r="G5" s="1">
        <v>5267.6</v>
      </c>
    </row>
    <row r="6" spans="2:9" s="1" customFormat="1" x14ac:dyDescent="0.25">
      <c r="B6" s="1" t="s">
        <v>1</v>
      </c>
      <c r="D6" s="1">
        <v>649</v>
      </c>
      <c r="E6" s="1">
        <v>1954.4</v>
      </c>
      <c r="F6" s="1">
        <v>1855.7</v>
      </c>
      <c r="G6" s="1">
        <v>1797.6</v>
      </c>
    </row>
    <row r="7" spans="2:9" s="1" customFormat="1" x14ac:dyDescent="0.25">
      <c r="B7" s="1" t="s">
        <v>2</v>
      </c>
      <c r="D7" s="1">
        <v>1479.7</v>
      </c>
      <c r="E7" s="1">
        <v>2408.1</v>
      </c>
      <c r="F7" s="1">
        <v>2779.5</v>
      </c>
      <c r="G7" s="1">
        <v>3302.5</v>
      </c>
    </row>
    <row r="8" spans="2:9" s="1" customFormat="1" x14ac:dyDescent="0.25">
      <c r="B8" s="1" t="s">
        <v>3</v>
      </c>
      <c r="D8" s="1">
        <f t="shared" ref="D8:I8" si="0">+D5-D6-D7</f>
        <v>-465.29999999999995</v>
      </c>
      <c r="E8" s="1">
        <f t="shared" si="0"/>
        <v>-466.80000000000018</v>
      </c>
      <c r="F8" s="1">
        <f>+F5-F6-F7</f>
        <v>437.90000000000055</v>
      </c>
      <c r="G8" s="1">
        <f t="shared" si="0"/>
        <v>167.50000000000045</v>
      </c>
      <c r="H8" s="1">
        <f t="shared" si="0"/>
        <v>0</v>
      </c>
      <c r="I8" s="1">
        <f t="shared" si="0"/>
        <v>0</v>
      </c>
    </row>
    <row r="9" spans="2:9" s="1" customFormat="1" x14ac:dyDescent="0.25">
      <c r="B9" s="1" t="s">
        <v>4</v>
      </c>
      <c r="D9" s="1">
        <v>176.2</v>
      </c>
      <c r="E9" s="1">
        <v>97.9</v>
      </c>
      <c r="F9" s="1">
        <v>96.8</v>
      </c>
      <c r="G9" s="1">
        <v>147.80000000000001</v>
      </c>
    </row>
    <row r="10" spans="2:9" s="1" customFormat="1" x14ac:dyDescent="0.25">
      <c r="B10" s="1" t="s">
        <v>5</v>
      </c>
      <c r="D10" s="1">
        <f t="shared" ref="D10:I10" si="1">+D8-D9</f>
        <v>-641.5</v>
      </c>
      <c r="E10" s="1">
        <f t="shared" si="1"/>
        <v>-564.70000000000016</v>
      </c>
      <c r="F10" s="1">
        <f>+F8-F9</f>
        <v>341.10000000000053</v>
      </c>
      <c r="G10" s="1">
        <f t="shared" si="1"/>
        <v>19.700000000000443</v>
      </c>
      <c r="H10" s="1">
        <f t="shared" si="1"/>
        <v>0</v>
      </c>
      <c r="I10" s="1">
        <f t="shared" si="1"/>
        <v>0</v>
      </c>
    </row>
    <row r="11" spans="2:9" s="1" customFormat="1" x14ac:dyDescent="0.25">
      <c r="B11" s="1" t="s">
        <v>6</v>
      </c>
      <c r="D11" s="1">
        <v>0.9</v>
      </c>
      <c r="E11" s="1">
        <v>-29.5</v>
      </c>
      <c r="F11" s="1">
        <v>-24.8</v>
      </c>
      <c r="G11" s="1">
        <v>-194.2</v>
      </c>
    </row>
    <row r="12" spans="2:9" s="1" customFormat="1" x14ac:dyDescent="0.25">
      <c r="B12" s="1" t="s">
        <v>7</v>
      </c>
      <c r="D12" s="1">
        <f t="shared" ref="D12:I12" si="2">+D10-D11</f>
        <v>-642.4</v>
      </c>
      <c r="E12" s="1">
        <f t="shared" si="2"/>
        <v>-535.20000000000016</v>
      </c>
      <c r="F12" s="1">
        <f>+F10-F11</f>
        <v>365.90000000000055</v>
      </c>
      <c r="G12" s="1">
        <f t="shared" si="2"/>
        <v>213.90000000000043</v>
      </c>
      <c r="H12" s="1">
        <f t="shared" si="2"/>
        <v>0</v>
      </c>
      <c r="I12" s="1">
        <f t="shared" si="2"/>
        <v>0</v>
      </c>
    </row>
    <row r="13" spans="2:9" s="1" customFormat="1" x14ac:dyDescent="0.25"/>
    <row r="14" spans="2:9" s="2" customFormat="1" x14ac:dyDescent="0.25">
      <c r="B14" s="2" t="s">
        <v>8</v>
      </c>
      <c r="D14" s="2">
        <f>+D8/D5</f>
        <v>-0.279728267404112</v>
      </c>
      <c r="E14" s="2">
        <f t="shared" ref="E14:G14" si="3">+E8/E5</f>
        <v>-0.11982442179839316</v>
      </c>
      <c r="F14" s="2">
        <f t="shared" si="3"/>
        <v>8.6318030395616197E-2</v>
      </c>
      <c r="G14" s="2">
        <f t="shared" si="3"/>
        <v>3.1798162350975857E-2</v>
      </c>
    </row>
    <row r="15" spans="2:9" s="2" customFormat="1" x14ac:dyDescent="0.25">
      <c r="B15" s="2" t="s">
        <v>9</v>
      </c>
      <c r="D15" s="2">
        <f>+D12/D5</f>
        <v>-0.38619694601418775</v>
      </c>
      <c r="E15" s="2">
        <f t="shared" ref="E15:G15" si="4">+E12/E5</f>
        <v>-0.13738224195908313</v>
      </c>
      <c r="F15" s="2">
        <f t="shared" si="4"/>
        <v>7.2125524827028942E-2</v>
      </c>
      <c r="G15" s="2">
        <f t="shared" si="4"/>
        <v>4.0606727921634223E-2</v>
      </c>
    </row>
    <row r="16" spans="2:9" s="1" customFormat="1" x14ac:dyDescent="0.25"/>
    <row r="17" spans="2:7" s="1" customFormat="1" x14ac:dyDescent="0.25">
      <c r="B17" s="1" t="s">
        <v>10</v>
      </c>
      <c r="F17" s="1">
        <v>664.5</v>
      </c>
      <c r="G17" s="1">
        <v>1065.5999999999999</v>
      </c>
    </row>
    <row r="18" spans="2:7" s="1" customFormat="1" x14ac:dyDescent="0.25">
      <c r="B18" s="1" t="s">
        <v>11</v>
      </c>
    </row>
    <row r="19" spans="2:7" s="1" customFormat="1" x14ac:dyDescent="0.25">
      <c r="B19" s="1" t="s">
        <v>12</v>
      </c>
    </row>
    <row r="20" spans="2:7" s="1" customFormat="1" x14ac:dyDescent="0.25"/>
    <row r="21" spans="2:7" s="1" customFormat="1" x14ac:dyDescent="0.25"/>
    <row r="22" spans="2:7" s="1" customFormat="1" x14ac:dyDescent="0.25"/>
    <row r="23" spans="2:7" s="1" customFormat="1" x14ac:dyDescent="0.25"/>
    <row r="24" spans="2:7" s="1" customFormat="1" x14ac:dyDescent="0.25"/>
    <row r="25" spans="2:7" s="1" customFormat="1" x14ac:dyDescent="0.25"/>
    <row r="26" spans="2:7" s="1" customFormat="1" x14ac:dyDescent="0.25"/>
    <row r="27" spans="2:7" s="1" customFormat="1" x14ac:dyDescent="0.25"/>
    <row r="28" spans="2:7" s="1" customFormat="1" x14ac:dyDescent="0.25"/>
    <row r="29" spans="2:7" s="1" customFormat="1" x14ac:dyDescent="0.25"/>
    <row r="30" spans="2:7" s="1" customFormat="1" x14ac:dyDescent="0.25"/>
    <row r="31" spans="2:7" s="1" customFormat="1" x14ac:dyDescent="0.25"/>
    <row r="32" spans="2:7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FF7C-6572-4000-A70D-F7EB4DA4A198}">
  <dimension ref="A1:XFD94"/>
  <sheetViews>
    <sheetView tabSelected="1" zoomScale="160" zoomScaleNormal="160" workbookViewId="0">
      <pane xSplit="2" ySplit="2" topLeftCell="G15" activePane="bottomRight" state="frozen"/>
      <selection pane="topRight" activeCell="C1" sqref="C1"/>
      <selection pane="bottomLeft" activeCell="A3" sqref="A3"/>
      <selection pane="bottomRight" activeCell="Q24" sqref="Q24"/>
    </sheetView>
  </sheetViews>
  <sheetFormatPr defaultRowHeight="15" x14ac:dyDescent="0.25"/>
  <cols>
    <col min="1" max="1" width="2.85546875" customWidth="1"/>
    <col min="2" max="2" width="21.42578125" bestFit="1" customWidth="1"/>
  </cols>
  <sheetData>
    <row r="1" spans="1:17 16384:16384" x14ac:dyDescent="0.25">
      <c r="A1" t="s">
        <v>36</v>
      </c>
    </row>
    <row r="2" spans="1:17 16384:16384" x14ac:dyDescent="0.25">
      <c r="D2">
        <f>+E2-1</f>
        <v>2022</v>
      </c>
      <c r="E2">
        <f>+F2-1</f>
        <v>2023</v>
      </c>
      <c r="F2">
        <v>2024</v>
      </c>
      <c r="G2">
        <f>+F2+1</f>
        <v>2025</v>
      </c>
      <c r="H2">
        <f>+G2+1</f>
        <v>2026</v>
      </c>
      <c r="I2">
        <f>+H2+1</f>
        <v>2027</v>
      </c>
      <c r="J2">
        <f t="shared" ref="J2:Q2" si="0">+I2+1</f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1:17 16384:16384" s="1" customFormat="1" x14ac:dyDescent="0.25"/>
    <row r="4" spans="1:17 16384:16384" s="1" customFormat="1" x14ac:dyDescent="0.25">
      <c r="B4" s="1" t="s">
        <v>27</v>
      </c>
      <c r="D4" s="2">
        <f>+D7/D6</f>
        <v>1.2739707290384352</v>
      </c>
      <c r="E4" s="2">
        <f t="shared" ref="E4:Q4" si="1">+E7/E6</f>
        <v>0.92389747641858855</v>
      </c>
      <c r="F4" s="2">
        <f t="shared" si="1"/>
        <v>0.80910776692104713</v>
      </c>
      <c r="G4" s="2">
        <f t="shared" si="1"/>
        <v>0.80582790538224203</v>
      </c>
      <c r="H4" s="2">
        <f t="shared" si="1"/>
        <v>0.81</v>
      </c>
      <c r="I4" s="2">
        <f t="shared" si="1"/>
        <v>0.81000000000000016</v>
      </c>
      <c r="J4" s="2">
        <f t="shared" si="1"/>
        <v>0.81</v>
      </c>
      <c r="K4" s="2">
        <f t="shared" si="1"/>
        <v>0.81</v>
      </c>
      <c r="L4" s="2">
        <f t="shared" si="1"/>
        <v>0.81</v>
      </c>
      <c r="M4" s="2">
        <f t="shared" si="1"/>
        <v>0.81</v>
      </c>
      <c r="N4" s="2">
        <f t="shared" si="1"/>
        <v>0.81</v>
      </c>
      <c r="O4" s="2">
        <f t="shared" si="1"/>
        <v>0.81</v>
      </c>
      <c r="P4" s="2">
        <f t="shared" si="1"/>
        <v>0.81</v>
      </c>
      <c r="Q4" s="2">
        <f t="shared" si="1"/>
        <v>0.81</v>
      </c>
    </row>
    <row r="5" spans="1:17 16384:16384" s="1" customFormat="1" x14ac:dyDescent="0.25">
      <c r="D5" s="2"/>
      <c r="E5" s="2"/>
      <c r="F5" s="2"/>
      <c r="G5" s="2"/>
      <c r="XFD5" s="2"/>
    </row>
    <row r="6" spans="1:17 16384:16384" s="1" customFormat="1" x14ac:dyDescent="0.25">
      <c r="B6" s="1" t="s">
        <v>13</v>
      </c>
      <c r="D6" s="1">
        <v>731.1</v>
      </c>
      <c r="E6" s="1">
        <v>2024.9</v>
      </c>
      <c r="F6" s="1">
        <v>2804.2</v>
      </c>
      <c r="G6" s="1">
        <v>2917</v>
      </c>
      <c r="H6" s="1">
        <f>+G6*1.1</f>
        <v>3208.7000000000003</v>
      </c>
      <c r="I6" s="1">
        <f>+H6*1.12</f>
        <v>3593.7440000000006</v>
      </c>
      <c r="J6" s="1">
        <f t="shared" ref="J6:L6" si="2">+I6*1.12</f>
        <v>4024.9932800000011</v>
      </c>
      <c r="K6" s="1">
        <f t="shared" si="2"/>
        <v>4507.9924736000012</v>
      </c>
      <c r="L6" s="1">
        <f t="shared" si="2"/>
        <v>5048.951570432002</v>
      </c>
      <c r="M6" s="1">
        <f t="shared" ref="M6:Q6" si="3">+L6*1.1</f>
        <v>5553.8467274752029</v>
      </c>
      <c r="N6" s="1">
        <f t="shared" si="3"/>
        <v>6109.231400222724</v>
      </c>
      <c r="O6" s="1">
        <f t="shared" si="3"/>
        <v>6720.1545402449965</v>
      </c>
      <c r="P6" s="1">
        <f t="shared" si="3"/>
        <v>7392.1699942694968</v>
      </c>
      <c r="Q6" s="1">
        <f t="shared" si="3"/>
        <v>8131.3869936964475</v>
      </c>
    </row>
    <row r="7" spans="1:17 16384:16384" s="1" customFormat="1" x14ac:dyDescent="0.25">
      <c r="B7" s="1" t="s">
        <v>14</v>
      </c>
      <c r="D7" s="1">
        <v>931.4</v>
      </c>
      <c r="E7" s="1">
        <v>1870.8</v>
      </c>
      <c r="F7" s="1">
        <v>2268.9</v>
      </c>
      <c r="G7" s="1">
        <v>2350.6</v>
      </c>
      <c r="H7" s="1">
        <f>+H6*0.81</f>
        <v>2599.0470000000005</v>
      </c>
      <c r="I7" s="1">
        <f t="shared" ref="I7:Q7" si="4">+I6*0.81</f>
        <v>2910.9326400000009</v>
      </c>
      <c r="J7" s="1">
        <f t="shared" si="4"/>
        <v>3260.2445568000012</v>
      </c>
      <c r="K7" s="1">
        <f t="shared" si="4"/>
        <v>3651.4739036160013</v>
      </c>
      <c r="L7" s="1">
        <f t="shared" si="4"/>
        <v>4089.6507720499217</v>
      </c>
      <c r="M7" s="1">
        <f t="shared" si="4"/>
        <v>4498.6158492549148</v>
      </c>
      <c r="N7" s="1">
        <f t="shared" si="4"/>
        <v>4948.4774341804068</v>
      </c>
      <c r="O7" s="1">
        <f t="shared" si="4"/>
        <v>5443.3251775984472</v>
      </c>
      <c r="P7" s="1">
        <f t="shared" si="4"/>
        <v>5987.6576953582926</v>
      </c>
      <c r="Q7" s="1">
        <f t="shared" si="4"/>
        <v>6586.4234648941228</v>
      </c>
    </row>
    <row r="8" spans="1:17 16384:16384" s="3" customFormat="1" x14ac:dyDescent="0.25">
      <c r="B8" s="3" t="s">
        <v>15</v>
      </c>
      <c r="D8" s="3">
        <f t="shared" ref="D8:I8" si="5">+D6+D7</f>
        <v>1662.5</v>
      </c>
      <c r="E8" s="3">
        <f t="shared" si="5"/>
        <v>3895.7</v>
      </c>
      <c r="F8" s="3">
        <f>+F6+F7</f>
        <v>5073.1000000000004</v>
      </c>
      <c r="G8" s="3">
        <f t="shared" si="5"/>
        <v>5267.6</v>
      </c>
      <c r="H8" s="3">
        <f t="shared" si="5"/>
        <v>5807.7470000000012</v>
      </c>
      <c r="I8" s="3">
        <f t="shared" si="5"/>
        <v>6504.6766400000015</v>
      </c>
      <c r="J8" s="3">
        <f t="shared" ref="J8" si="6">+J6+J7</f>
        <v>7285.2378368000027</v>
      </c>
      <c r="K8" s="3">
        <f t="shared" ref="K8" si="7">+K6+K7</f>
        <v>8159.466377216002</v>
      </c>
      <c r="L8" s="3">
        <f t="shared" ref="L8" si="8">+L6+L7</f>
        <v>9138.6023424819232</v>
      </c>
      <c r="M8" s="3">
        <f t="shared" ref="M8" si="9">+M6+M7</f>
        <v>10052.462576730119</v>
      </c>
      <c r="N8" s="3">
        <f t="shared" ref="N8" si="10">+N6+N7</f>
        <v>11057.708834403131</v>
      </c>
      <c r="O8" s="3">
        <f t="shared" ref="O8" si="11">+O6+O7</f>
        <v>12163.479717843444</v>
      </c>
      <c r="P8" s="3">
        <f t="shared" ref="P8" si="12">+P6+P7</f>
        <v>13379.827689627789</v>
      </c>
      <c r="Q8" s="3">
        <f t="shared" ref="Q8" si="13">+Q6+Q7</f>
        <v>14717.810458590571</v>
      </c>
    </row>
    <row r="9" spans="1:17 16384:16384" s="1" customFormat="1" x14ac:dyDescent="0.25">
      <c r="B9" s="1" t="s">
        <v>16</v>
      </c>
      <c r="D9" s="1">
        <v>220.5</v>
      </c>
      <c r="E9" s="1">
        <v>373.9</v>
      </c>
      <c r="F9" s="1">
        <v>507.8</v>
      </c>
      <c r="G9" s="1">
        <v>564.9</v>
      </c>
      <c r="H9" s="1">
        <f>+H8*0.1</f>
        <v>580.77470000000017</v>
      </c>
      <c r="I9" s="1">
        <f t="shared" ref="I9:Q9" si="14">+I8*0.1</f>
        <v>650.46766400000024</v>
      </c>
      <c r="J9" s="1">
        <f t="shared" si="14"/>
        <v>728.52378368000029</v>
      </c>
      <c r="K9" s="1">
        <f t="shared" si="14"/>
        <v>815.94663772160027</v>
      </c>
      <c r="L9" s="1">
        <f t="shared" si="14"/>
        <v>913.86023424819234</v>
      </c>
      <c r="M9" s="1">
        <f t="shared" si="14"/>
        <v>1005.2462576730119</v>
      </c>
      <c r="N9" s="1">
        <f t="shared" si="14"/>
        <v>1105.7708834403131</v>
      </c>
      <c r="O9" s="1">
        <f t="shared" si="14"/>
        <v>1216.3479717843445</v>
      </c>
      <c r="P9" s="1">
        <f t="shared" si="14"/>
        <v>1337.9827689627791</v>
      </c>
      <c r="Q9" s="1">
        <f t="shared" si="14"/>
        <v>1471.7810458590573</v>
      </c>
    </row>
    <row r="10" spans="1:17 16384:16384" s="1" customFormat="1" x14ac:dyDescent="0.25">
      <c r="B10" s="1" t="s">
        <v>17</v>
      </c>
      <c r="D10" s="1">
        <v>649</v>
      </c>
      <c r="E10" s="1">
        <v>1954.4</v>
      </c>
      <c r="F10" s="1">
        <v>1855.7</v>
      </c>
      <c r="G10" s="1">
        <v>1797.6</v>
      </c>
      <c r="H10" s="1">
        <f>+H6*0.65</f>
        <v>2085.6550000000002</v>
      </c>
      <c r="I10" s="1">
        <f t="shared" ref="I10:Q10" si="15">+I6*0.65</f>
        <v>2335.9336000000003</v>
      </c>
      <c r="J10" s="1">
        <f t="shared" si="15"/>
        <v>2616.2456320000006</v>
      </c>
      <c r="K10" s="1">
        <f t="shared" si="15"/>
        <v>2930.1951078400007</v>
      </c>
      <c r="L10" s="1">
        <f t="shared" si="15"/>
        <v>3281.8185207808015</v>
      </c>
      <c r="M10" s="1">
        <f t="shared" si="15"/>
        <v>3610.0003728588822</v>
      </c>
      <c r="N10" s="1">
        <f t="shared" si="15"/>
        <v>3971.0004101447707</v>
      </c>
      <c r="O10" s="1">
        <f t="shared" si="15"/>
        <v>4368.1004511592482</v>
      </c>
      <c r="P10" s="1">
        <f t="shared" si="15"/>
        <v>4804.9104962751735</v>
      </c>
      <c r="Q10" s="1">
        <f t="shared" si="15"/>
        <v>5285.4015459026914</v>
      </c>
    </row>
    <row r="11" spans="1:17 16384:16384" s="1" customFormat="1" x14ac:dyDescent="0.25">
      <c r="B11" s="1" t="s">
        <v>18</v>
      </c>
      <c r="D11" s="1">
        <v>43.4</v>
      </c>
      <c r="E11" s="1">
        <v>91.5</v>
      </c>
      <c r="F11" s="1">
        <v>117.1</v>
      </c>
      <c r="G11" s="1">
        <v>117.8</v>
      </c>
      <c r="H11" s="1">
        <v>120</v>
      </c>
      <c r="I11" s="1">
        <f>+H11*1.04</f>
        <v>124.80000000000001</v>
      </c>
      <c r="J11" s="1">
        <f t="shared" ref="J11:Q11" si="16">+I11*1.04</f>
        <v>129.79200000000003</v>
      </c>
      <c r="K11" s="1">
        <f t="shared" si="16"/>
        <v>134.98368000000005</v>
      </c>
      <c r="L11" s="1">
        <f t="shared" si="16"/>
        <v>140.38302720000004</v>
      </c>
      <c r="M11" s="1">
        <f t="shared" si="16"/>
        <v>145.99834828800005</v>
      </c>
      <c r="N11" s="1">
        <f t="shared" si="16"/>
        <v>151.83828221952004</v>
      </c>
      <c r="O11" s="1">
        <f t="shared" si="16"/>
        <v>157.91181350830084</v>
      </c>
      <c r="P11" s="1">
        <f t="shared" si="16"/>
        <v>164.22828604863287</v>
      </c>
      <c r="Q11" s="1">
        <f t="shared" si="16"/>
        <v>170.7974174905782</v>
      </c>
    </row>
    <row r="12" spans="1:17 16384:16384" s="1" customFormat="1" x14ac:dyDescent="0.25">
      <c r="B12" s="1" t="s">
        <v>19</v>
      </c>
      <c r="D12" s="1">
        <v>170.4</v>
      </c>
      <c r="E12" s="1">
        <v>237</v>
      </c>
      <c r="F12" s="1">
        <v>285</v>
      </c>
      <c r="G12" s="1">
        <v>330.4</v>
      </c>
      <c r="H12" s="1">
        <f>+H6*0.12</f>
        <v>385.04400000000004</v>
      </c>
      <c r="I12" s="1">
        <f t="shared" ref="I12:Q12" si="17">+I6*0.12</f>
        <v>431.24928000000006</v>
      </c>
      <c r="J12" s="1">
        <f t="shared" si="17"/>
        <v>482.99919360000013</v>
      </c>
      <c r="K12" s="1">
        <f t="shared" si="17"/>
        <v>540.95909683200011</v>
      </c>
      <c r="L12" s="1">
        <f t="shared" si="17"/>
        <v>605.87418845184027</v>
      </c>
      <c r="M12" s="1">
        <f t="shared" si="17"/>
        <v>666.46160729702433</v>
      </c>
      <c r="N12" s="1">
        <f t="shared" si="17"/>
        <v>733.10776802672683</v>
      </c>
      <c r="O12" s="1">
        <f t="shared" si="17"/>
        <v>806.41854482939959</v>
      </c>
      <c r="P12" s="1">
        <f t="shared" si="17"/>
        <v>887.06039931233954</v>
      </c>
      <c r="Q12" s="1">
        <f t="shared" si="17"/>
        <v>975.7664392435737</v>
      </c>
    </row>
    <row r="13" spans="1:17 16384:16384" s="1" customFormat="1" x14ac:dyDescent="0.25">
      <c r="B13" s="1" t="s">
        <v>20</v>
      </c>
      <c r="D13" s="1">
        <v>545.9</v>
      </c>
      <c r="E13" s="1">
        <v>963.2</v>
      </c>
      <c r="F13" s="1">
        <v>1210.0999999999999</v>
      </c>
      <c r="G13" s="1">
        <v>1351.8</v>
      </c>
      <c r="H13" s="1">
        <f>+H6*0.45</f>
        <v>1443.9150000000002</v>
      </c>
      <c r="I13" s="1">
        <f t="shared" ref="I13:Q13" si="18">+I6*0.45</f>
        <v>1617.1848000000002</v>
      </c>
      <c r="J13" s="1">
        <f t="shared" si="18"/>
        <v>1811.2469760000006</v>
      </c>
      <c r="K13" s="1">
        <f t="shared" si="18"/>
        <v>2028.5966131200005</v>
      </c>
      <c r="L13" s="1">
        <f t="shared" si="18"/>
        <v>2272.028206694401</v>
      </c>
      <c r="M13" s="1">
        <f t="shared" si="18"/>
        <v>2499.2310273638413</v>
      </c>
      <c r="N13" s="1">
        <f t="shared" si="18"/>
        <v>2749.1541301002258</v>
      </c>
      <c r="O13" s="1">
        <f t="shared" si="18"/>
        <v>3024.0695431102486</v>
      </c>
      <c r="P13" s="1">
        <f t="shared" si="18"/>
        <v>3326.4764974212735</v>
      </c>
      <c r="Q13" s="1">
        <f t="shared" si="18"/>
        <v>3659.1241471634016</v>
      </c>
    </row>
    <row r="14" spans="1:17 16384:16384" s="1" customFormat="1" x14ac:dyDescent="0.25">
      <c r="B14" s="1" t="s">
        <v>21</v>
      </c>
      <c r="D14" s="1">
        <v>446.3</v>
      </c>
      <c r="E14" s="1">
        <v>601.1</v>
      </c>
      <c r="F14" s="1">
        <v>755.3</v>
      </c>
      <c r="G14" s="1">
        <v>966.8</v>
      </c>
      <c r="H14" s="1">
        <v>1000</v>
      </c>
      <c r="I14" s="1">
        <v>1000</v>
      </c>
      <c r="J14" s="1">
        <v>1000</v>
      </c>
      <c r="K14" s="1">
        <v>1000</v>
      </c>
      <c r="L14" s="1">
        <v>1000</v>
      </c>
      <c r="M14" s="1">
        <v>1000</v>
      </c>
      <c r="N14" s="1">
        <v>1000</v>
      </c>
      <c r="O14" s="1">
        <v>1000</v>
      </c>
      <c r="P14" s="1">
        <v>1000</v>
      </c>
      <c r="Q14" s="1">
        <v>1000</v>
      </c>
    </row>
    <row r="15" spans="1:17 16384:16384" s="1" customFormat="1" x14ac:dyDescent="0.25">
      <c r="B15" s="1" t="s">
        <v>22</v>
      </c>
      <c r="D15" s="1">
        <v>53.2</v>
      </c>
      <c r="E15" s="1">
        <v>141.30000000000001</v>
      </c>
      <c r="F15" s="1">
        <v>370</v>
      </c>
      <c r="G15" s="1">
        <v>466.6</v>
      </c>
      <c r="H15" s="1">
        <v>450</v>
      </c>
      <c r="I15" s="1">
        <v>450</v>
      </c>
      <c r="J15" s="1">
        <v>450</v>
      </c>
      <c r="K15" s="1">
        <v>450</v>
      </c>
      <c r="L15" s="1">
        <v>450</v>
      </c>
      <c r="M15" s="1">
        <v>450</v>
      </c>
      <c r="N15" s="1">
        <v>450</v>
      </c>
      <c r="O15" s="1">
        <v>450</v>
      </c>
      <c r="P15" s="1">
        <v>450</v>
      </c>
      <c r="Q15" s="1">
        <v>450</v>
      </c>
    </row>
    <row r="16" spans="1:17 16384:16384" s="1" customFormat="1" x14ac:dyDescent="0.25">
      <c r="B16" s="1" t="s">
        <v>23</v>
      </c>
      <c r="F16" s="1">
        <v>465.8</v>
      </c>
      <c r="G16" s="1">
        <v>495.8</v>
      </c>
      <c r="H16" s="1">
        <v>500</v>
      </c>
      <c r="I16" s="1">
        <v>500</v>
      </c>
      <c r="J16" s="1">
        <v>500</v>
      </c>
      <c r="K16" s="1">
        <v>500</v>
      </c>
      <c r="L16" s="1">
        <v>500</v>
      </c>
      <c r="M16" s="1">
        <v>500</v>
      </c>
      <c r="N16" s="1">
        <v>500</v>
      </c>
      <c r="O16" s="1">
        <v>500</v>
      </c>
      <c r="P16" s="1">
        <v>500</v>
      </c>
      <c r="Q16" s="1">
        <v>500</v>
      </c>
    </row>
    <row r="17" spans="2:129" s="3" customFormat="1" x14ac:dyDescent="0.25">
      <c r="B17" s="3" t="s">
        <v>3</v>
      </c>
      <c r="D17" s="3">
        <f t="shared" ref="D17:I17" si="19">+D8-SUM(D9:D15)+D16</f>
        <v>-466.19999999999982</v>
      </c>
      <c r="E17" s="3">
        <f t="shared" si="19"/>
        <v>-466.70000000000073</v>
      </c>
      <c r="F17" s="3">
        <f t="shared" si="19"/>
        <v>437.90000000000038</v>
      </c>
      <c r="G17" s="3">
        <f t="shared" si="19"/>
        <v>167.49999999999983</v>
      </c>
      <c r="H17" s="3">
        <f t="shared" si="19"/>
        <v>242.35830000000078</v>
      </c>
      <c r="I17" s="3">
        <f t="shared" si="19"/>
        <v>395.04129600000033</v>
      </c>
      <c r="J17" s="3">
        <f t="shared" ref="J17:Q17" si="20">+J8-SUM(J9:J15)+J16</f>
        <v>566.43025152000155</v>
      </c>
      <c r="K17" s="3">
        <f t="shared" si="20"/>
        <v>758.78524170240053</v>
      </c>
      <c r="L17" s="3">
        <f t="shared" si="20"/>
        <v>974.63816510668767</v>
      </c>
      <c r="M17" s="3">
        <f t="shared" si="20"/>
        <v>1175.5249632493596</v>
      </c>
      <c r="N17" s="3">
        <f t="shared" si="20"/>
        <v>1396.8373604715744</v>
      </c>
      <c r="O17" s="3">
        <f t="shared" si="20"/>
        <v>1640.6313934519021</v>
      </c>
      <c r="P17" s="3">
        <f t="shared" si="20"/>
        <v>1909.1692416075912</v>
      </c>
      <c r="Q17" s="3">
        <f t="shared" si="20"/>
        <v>2204.9398629312691</v>
      </c>
    </row>
    <row r="18" spans="2:129" s="1" customFormat="1" x14ac:dyDescent="0.25">
      <c r="B18" s="1" t="s">
        <v>24</v>
      </c>
      <c r="D18" s="1">
        <v>2.8</v>
      </c>
      <c r="E18" s="1">
        <v>20.8</v>
      </c>
      <c r="F18" s="1">
        <v>80.5</v>
      </c>
      <c r="G18" s="1">
        <v>82.1</v>
      </c>
      <c r="H18" s="1">
        <f>+G18+1</f>
        <v>83.1</v>
      </c>
      <c r="I18" s="1">
        <f t="shared" ref="I18:Q18" si="21">+H18+1</f>
        <v>84.1</v>
      </c>
      <c r="J18" s="1">
        <f t="shared" si="21"/>
        <v>85.1</v>
      </c>
      <c r="K18" s="1">
        <f t="shared" si="21"/>
        <v>86.1</v>
      </c>
      <c r="L18" s="1">
        <f t="shared" si="21"/>
        <v>87.1</v>
      </c>
      <c r="M18" s="1">
        <f t="shared" si="21"/>
        <v>88.1</v>
      </c>
      <c r="N18" s="1">
        <f t="shared" si="21"/>
        <v>89.1</v>
      </c>
      <c r="O18" s="1">
        <f t="shared" si="21"/>
        <v>90.1</v>
      </c>
      <c r="P18" s="1">
        <f t="shared" si="21"/>
        <v>91.1</v>
      </c>
      <c r="Q18" s="1">
        <f t="shared" si="21"/>
        <v>92.1</v>
      </c>
    </row>
    <row r="19" spans="2:129" s="1" customFormat="1" x14ac:dyDescent="0.25">
      <c r="B19" s="1" t="s">
        <v>25</v>
      </c>
      <c r="D19" s="1">
        <v>89.5</v>
      </c>
      <c r="E19" s="1">
        <v>135.30000000000001</v>
      </c>
      <c r="F19" s="1">
        <v>196.7</v>
      </c>
      <c r="G19" s="1">
        <v>249.5</v>
      </c>
      <c r="H19" s="1">
        <v>300</v>
      </c>
      <c r="I19" s="1">
        <f>+H19*1.04</f>
        <v>312</v>
      </c>
      <c r="J19" s="1">
        <f t="shared" ref="J19:Q19" si="22">+I19*1.04</f>
        <v>324.48</v>
      </c>
      <c r="K19" s="1">
        <f t="shared" si="22"/>
        <v>337.45920000000001</v>
      </c>
      <c r="L19" s="1">
        <f t="shared" si="22"/>
        <v>350.95756800000004</v>
      </c>
      <c r="M19" s="1">
        <f t="shared" si="22"/>
        <v>364.99587072000003</v>
      </c>
      <c r="N19" s="1">
        <f t="shared" si="22"/>
        <v>379.59570554880003</v>
      </c>
      <c r="O19" s="1">
        <f t="shared" si="22"/>
        <v>394.77953377075204</v>
      </c>
      <c r="P19" s="1">
        <f t="shared" si="22"/>
        <v>410.57071512158211</v>
      </c>
      <c r="Q19" s="1">
        <f t="shared" si="22"/>
        <v>426.99354372644541</v>
      </c>
    </row>
    <row r="20" spans="2:129" s="1" customFormat="1" x14ac:dyDescent="0.25">
      <c r="B20" s="1" t="s">
        <v>26</v>
      </c>
      <c r="D20" s="1">
        <v>-89.5</v>
      </c>
      <c r="E20" s="1">
        <v>16.600000000000001</v>
      </c>
      <c r="F20" s="1">
        <v>19.399999999999999</v>
      </c>
      <c r="G20" s="1">
        <f>26-6.4</f>
        <v>19.600000000000001</v>
      </c>
      <c r="H20" s="1">
        <v>20</v>
      </c>
      <c r="I20" s="1">
        <v>20</v>
      </c>
      <c r="J20" s="1">
        <v>20</v>
      </c>
      <c r="K20" s="1">
        <v>20</v>
      </c>
      <c r="L20" s="1">
        <v>20</v>
      </c>
      <c r="M20" s="1">
        <v>20</v>
      </c>
      <c r="N20" s="1">
        <v>20</v>
      </c>
      <c r="O20" s="1">
        <v>20</v>
      </c>
      <c r="P20" s="1">
        <v>20</v>
      </c>
      <c r="Q20" s="1">
        <v>20</v>
      </c>
    </row>
    <row r="21" spans="2:129" s="1" customFormat="1" x14ac:dyDescent="0.25">
      <c r="B21" s="1" t="s">
        <v>5</v>
      </c>
      <c r="D21" s="1">
        <f t="shared" ref="D21:I21" si="23">+D17+D18-D19+D20</f>
        <v>-642.39999999999986</v>
      </c>
      <c r="E21" s="1">
        <f t="shared" si="23"/>
        <v>-564.6000000000007</v>
      </c>
      <c r="F21" s="1">
        <f>+F17+F18-F19+F20</f>
        <v>341.10000000000031</v>
      </c>
      <c r="G21" s="1">
        <f t="shared" si="23"/>
        <v>19.699999999999825</v>
      </c>
      <c r="H21" s="1">
        <f t="shared" si="23"/>
        <v>45.458300000000804</v>
      </c>
      <c r="I21" s="1">
        <f t="shared" si="23"/>
        <v>187.14129600000035</v>
      </c>
      <c r="J21" s="1">
        <f t="shared" ref="J21" si="24">+J17+J18-J19+J20</f>
        <v>347.05025152000155</v>
      </c>
      <c r="K21" s="1">
        <f t="shared" ref="K21" si="25">+K17+K18-K19+K20</f>
        <v>527.42604170240054</v>
      </c>
      <c r="L21" s="1">
        <f t="shared" ref="L21" si="26">+L17+L18-L19+L20</f>
        <v>730.78059710668754</v>
      </c>
      <c r="M21" s="1">
        <f t="shared" ref="M21" si="27">+M17+M18-M19+M20</f>
        <v>918.62909252935947</v>
      </c>
      <c r="N21" s="1">
        <f t="shared" ref="N21" si="28">+N17+N18-N19+N20</f>
        <v>1126.3416549227743</v>
      </c>
      <c r="O21" s="1">
        <f t="shared" ref="O21" si="29">+O17+O18-O19+O20</f>
        <v>1355.9518596811499</v>
      </c>
      <c r="P21" s="1">
        <f t="shared" ref="P21" si="30">+P17+P18-P19+P20</f>
        <v>1609.6985264860091</v>
      </c>
      <c r="Q21" s="1">
        <f t="shared" ref="Q21" si="31">+Q17+Q18-Q19+Q20</f>
        <v>1890.0463192048237</v>
      </c>
    </row>
    <row r="22" spans="2:129" s="1" customFormat="1" x14ac:dyDescent="0.25">
      <c r="B22" s="1" t="s">
        <v>6</v>
      </c>
      <c r="D22" s="1">
        <v>0.9</v>
      </c>
      <c r="E22" s="1">
        <v>-29.5</v>
      </c>
      <c r="F22" s="1">
        <v>-24.8</v>
      </c>
      <c r="G22" s="1">
        <v>-194.2</v>
      </c>
      <c r="H22" s="1">
        <f>+H21*0.25</f>
        <v>11.364575000000201</v>
      </c>
      <c r="I22" s="1">
        <f t="shared" ref="I22:Q22" si="32">+I21*0.25</f>
        <v>46.785324000000088</v>
      </c>
      <c r="J22" s="1">
        <f t="shared" si="32"/>
        <v>86.762562880000388</v>
      </c>
      <c r="K22" s="1">
        <f t="shared" si="32"/>
        <v>131.85651042560013</v>
      </c>
      <c r="L22" s="1">
        <f t="shared" si="32"/>
        <v>182.69514927667188</v>
      </c>
      <c r="M22" s="1">
        <f t="shared" si="32"/>
        <v>229.65727313233987</v>
      </c>
      <c r="N22" s="1">
        <f t="shared" si="32"/>
        <v>281.58541373069357</v>
      </c>
      <c r="O22" s="1">
        <f t="shared" si="32"/>
        <v>338.98796492028748</v>
      </c>
      <c r="P22" s="1">
        <f t="shared" si="32"/>
        <v>402.42463162150227</v>
      </c>
      <c r="Q22" s="1">
        <f t="shared" si="32"/>
        <v>472.51157980120593</v>
      </c>
    </row>
    <row r="23" spans="2:129" s="1" customFormat="1" x14ac:dyDescent="0.25">
      <c r="B23" s="1" t="s">
        <v>7</v>
      </c>
      <c r="D23" s="1">
        <f t="shared" ref="D23:I23" si="33">+D21-D22</f>
        <v>-643.29999999999984</v>
      </c>
      <c r="E23" s="1">
        <f t="shared" si="33"/>
        <v>-535.1000000000007</v>
      </c>
      <c r="F23" s="1">
        <f>+F21-F22</f>
        <v>365.90000000000032</v>
      </c>
      <c r="G23" s="1">
        <f t="shared" si="33"/>
        <v>213.89999999999981</v>
      </c>
      <c r="H23" s="1">
        <f t="shared" si="33"/>
        <v>34.093725000000603</v>
      </c>
      <c r="I23" s="1">
        <f t="shared" si="33"/>
        <v>140.35597200000026</v>
      </c>
      <c r="J23" s="1">
        <f t="shared" ref="J23" si="34">+J21-J22</f>
        <v>260.28768864000119</v>
      </c>
      <c r="K23" s="1">
        <f t="shared" ref="K23" si="35">+K21-K22</f>
        <v>395.56953127680038</v>
      </c>
      <c r="L23" s="1">
        <f t="shared" ref="L23" si="36">+L21-L22</f>
        <v>548.08544783001571</v>
      </c>
      <c r="M23" s="1">
        <f t="shared" ref="M23" si="37">+M21-M22</f>
        <v>688.97181939701954</v>
      </c>
      <c r="N23" s="1">
        <f t="shared" ref="N23" si="38">+N21-N22</f>
        <v>844.75624119208078</v>
      </c>
      <c r="O23" s="1">
        <f t="shared" ref="O23" si="39">+O21-O22</f>
        <v>1016.9638947608624</v>
      </c>
      <c r="P23" s="1">
        <f t="shared" ref="P23" si="40">+P21-P22</f>
        <v>1207.2738948645069</v>
      </c>
      <c r="Q23" s="1">
        <f t="shared" ref="Q23" si="41">+Q21-Q22</f>
        <v>1417.5347394036178</v>
      </c>
      <c r="R23" s="1">
        <f>+Q23*(1+$T26)</f>
        <v>1431.710086797654</v>
      </c>
      <c r="S23" s="1">
        <f t="shared" ref="S23:CD23" si="42">+R23*(1+$T26)</f>
        <v>1446.0271876656304</v>
      </c>
      <c r="T23" s="1">
        <f t="shared" si="42"/>
        <v>1460.4874595422868</v>
      </c>
      <c r="U23" s="1">
        <f t="shared" si="42"/>
        <v>1475.0923341377097</v>
      </c>
      <c r="V23" s="1">
        <f t="shared" si="42"/>
        <v>1489.8432574790868</v>
      </c>
      <c r="W23" s="1">
        <f t="shared" si="42"/>
        <v>1504.7416900538776</v>
      </c>
      <c r="X23" s="1">
        <f t="shared" si="42"/>
        <v>1519.7891069544164</v>
      </c>
      <c r="Y23" s="1">
        <f t="shared" si="42"/>
        <v>1534.9869980239605</v>
      </c>
      <c r="Z23" s="1">
        <f t="shared" si="42"/>
        <v>1550.3368680042001</v>
      </c>
      <c r="AA23" s="1">
        <f t="shared" si="42"/>
        <v>1565.8402366842422</v>
      </c>
      <c r="AB23" s="1">
        <f t="shared" si="42"/>
        <v>1581.4986390510846</v>
      </c>
      <c r="AC23" s="1">
        <f t="shared" si="42"/>
        <v>1597.3136254415956</v>
      </c>
      <c r="AD23" s="1">
        <f t="shared" si="42"/>
        <v>1613.2867616960116</v>
      </c>
      <c r="AE23" s="1">
        <f t="shared" si="42"/>
        <v>1629.4196293129717</v>
      </c>
      <c r="AF23" s="1">
        <f t="shared" si="42"/>
        <v>1645.7138256061014</v>
      </c>
      <c r="AG23" s="1">
        <f t="shared" si="42"/>
        <v>1662.1709638621624</v>
      </c>
      <c r="AH23" s="1">
        <f t="shared" si="42"/>
        <v>1678.7926735007841</v>
      </c>
      <c r="AI23" s="1">
        <f t="shared" si="42"/>
        <v>1695.580600235792</v>
      </c>
      <c r="AJ23" s="1">
        <f t="shared" si="42"/>
        <v>1712.53640623815</v>
      </c>
      <c r="AK23" s="1">
        <f t="shared" si="42"/>
        <v>1729.6617703005315</v>
      </c>
      <c r="AL23" s="1">
        <f t="shared" si="42"/>
        <v>1746.9583880035368</v>
      </c>
      <c r="AM23" s="1">
        <f t="shared" si="42"/>
        <v>1764.4279718835721</v>
      </c>
      <c r="AN23" s="1">
        <f t="shared" si="42"/>
        <v>1782.072251602408</v>
      </c>
      <c r="AO23" s="1">
        <f t="shared" si="42"/>
        <v>1799.892974118432</v>
      </c>
      <c r="AP23" s="1">
        <f t="shared" si="42"/>
        <v>1817.8919038596164</v>
      </c>
      <c r="AQ23" s="1">
        <f t="shared" si="42"/>
        <v>1836.0708228982126</v>
      </c>
      <c r="AR23" s="1">
        <f t="shared" si="42"/>
        <v>1854.4315311271946</v>
      </c>
      <c r="AS23" s="1">
        <f t="shared" si="42"/>
        <v>1872.9758464384665</v>
      </c>
      <c r="AT23" s="1">
        <f t="shared" si="42"/>
        <v>1891.7056049028513</v>
      </c>
      <c r="AU23" s="1">
        <f t="shared" si="42"/>
        <v>1910.6226609518799</v>
      </c>
      <c r="AV23" s="1">
        <f t="shared" si="42"/>
        <v>1929.7288875613988</v>
      </c>
      <c r="AW23" s="1">
        <f t="shared" si="42"/>
        <v>1949.0261764370127</v>
      </c>
      <c r="AX23" s="1">
        <f t="shared" si="42"/>
        <v>1968.5164382013829</v>
      </c>
      <c r="AY23" s="1">
        <f t="shared" si="42"/>
        <v>1988.2016025833968</v>
      </c>
      <c r="AZ23" s="1">
        <f t="shared" si="42"/>
        <v>2008.0836186092308</v>
      </c>
      <c r="BA23" s="1">
        <f t="shared" si="42"/>
        <v>2028.1644547953231</v>
      </c>
      <c r="BB23" s="1">
        <f t="shared" si="42"/>
        <v>2048.4460993432763</v>
      </c>
      <c r="BC23" s="1">
        <f t="shared" si="42"/>
        <v>2068.9305603367093</v>
      </c>
      <c r="BD23" s="1">
        <f t="shared" si="42"/>
        <v>2089.6198659400766</v>
      </c>
      <c r="BE23" s="1">
        <f t="shared" si="42"/>
        <v>2110.5160645994774</v>
      </c>
      <c r="BF23" s="1">
        <f t="shared" si="42"/>
        <v>2131.621225245472</v>
      </c>
      <c r="BG23" s="1">
        <f t="shared" si="42"/>
        <v>2152.9374374979266</v>
      </c>
      <c r="BH23" s="1">
        <f t="shared" si="42"/>
        <v>2174.466811872906</v>
      </c>
      <c r="BI23" s="1">
        <f t="shared" si="42"/>
        <v>2196.2114799916349</v>
      </c>
      <c r="BJ23" s="1">
        <f t="shared" si="42"/>
        <v>2218.1735947915513</v>
      </c>
      <c r="BK23" s="1">
        <f t="shared" si="42"/>
        <v>2240.3553307394668</v>
      </c>
      <c r="BL23" s="1">
        <f t="shared" si="42"/>
        <v>2262.7588840468616</v>
      </c>
      <c r="BM23" s="1">
        <f t="shared" si="42"/>
        <v>2285.38647288733</v>
      </c>
      <c r="BN23" s="1">
        <f t="shared" si="42"/>
        <v>2308.2403376162033</v>
      </c>
      <c r="BO23" s="1">
        <f t="shared" si="42"/>
        <v>2331.3227409923652</v>
      </c>
      <c r="BP23" s="1">
        <f t="shared" si="42"/>
        <v>2354.6359684022887</v>
      </c>
      <c r="BQ23" s="1">
        <f t="shared" si="42"/>
        <v>2378.1823280863114</v>
      </c>
      <c r="BR23" s="1">
        <f t="shared" si="42"/>
        <v>2401.9641513671745</v>
      </c>
      <c r="BS23" s="1">
        <f t="shared" si="42"/>
        <v>2425.9837928808461</v>
      </c>
      <c r="BT23" s="1">
        <f t="shared" si="42"/>
        <v>2450.2436308096544</v>
      </c>
      <c r="BU23" s="1">
        <f t="shared" si="42"/>
        <v>2474.746067117751</v>
      </c>
      <c r="BV23" s="1">
        <f t="shared" si="42"/>
        <v>2499.4935277889285</v>
      </c>
      <c r="BW23" s="1">
        <f t="shared" si="42"/>
        <v>2524.488463066818</v>
      </c>
      <c r="BX23" s="1">
        <f t="shared" si="42"/>
        <v>2549.7333476974864</v>
      </c>
      <c r="BY23" s="1">
        <f t="shared" si="42"/>
        <v>2575.2306811744611</v>
      </c>
      <c r="BZ23" s="1">
        <f t="shared" si="42"/>
        <v>2600.9829879862059</v>
      </c>
      <c r="CA23" s="1">
        <f t="shared" si="42"/>
        <v>2626.992817866068</v>
      </c>
      <c r="CB23" s="1">
        <f t="shared" si="42"/>
        <v>2653.2627460447288</v>
      </c>
      <c r="CC23" s="1">
        <f t="shared" si="42"/>
        <v>2679.795373505176</v>
      </c>
      <c r="CD23" s="1">
        <f t="shared" si="42"/>
        <v>2706.5933272402276</v>
      </c>
      <c r="CE23" s="1">
        <f t="shared" ref="CE23:DY23" si="43">+CD23*(1+$T26)</f>
        <v>2733.6592605126298</v>
      </c>
      <c r="CF23" s="1">
        <f t="shared" si="43"/>
        <v>2760.9958531177563</v>
      </c>
      <c r="CG23" s="1">
        <f t="shared" si="43"/>
        <v>2788.6058116489339</v>
      </c>
      <c r="CH23" s="1">
        <f t="shared" si="43"/>
        <v>2816.4918697654234</v>
      </c>
      <c r="CI23" s="1">
        <f t="shared" si="43"/>
        <v>2844.6567884630776</v>
      </c>
      <c r="CJ23" s="1">
        <f t="shared" si="43"/>
        <v>2873.1033563477085</v>
      </c>
      <c r="CK23" s="1">
        <f t="shared" si="43"/>
        <v>2901.8343899111856</v>
      </c>
      <c r="CL23" s="1">
        <f t="shared" si="43"/>
        <v>2930.8527338102977</v>
      </c>
      <c r="CM23" s="1">
        <f t="shared" si="43"/>
        <v>2960.1612611484006</v>
      </c>
      <c r="CN23" s="1">
        <f t="shared" si="43"/>
        <v>2989.7628737598848</v>
      </c>
      <c r="CO23" s="1">
        <f t="shared" si="43"/>
        <v>3019.6605024974838</v>
      </c>
      <c r="CP23" s="1">
        <f t="shared" si="43"/>
        <v>3049.8571075224586</v>
      </c>
      <c r="CQ23" s="1">
        <f t="shared" si="43"/>
        <v>3080.355678597683</v>
      </c>
      <c r="CR23" s="1">
        <f t="shared" si="43"/>
        <v>3111.15923538366</v>
      </c>
      <c r="CS23" s="1">
        <f t="shared" si="43"/>
        <v>3142.2708277374968</v>
      </c>
      <c r="CT23" s="1">
        <f t="shared" si="43"/>
        <v>3173.6935360148718</v>
      </c>
      <c r="CU23" s="1">
        <f t="shared" si="43"/>
        <v>3205.4304713750207</v>
      </c>
      <c r="CV23" s="1">
        <f t="shared" si="43"/>
        <v>3237.484776088771</v>
      </c>
      <c r="CW23" s="1">
        <f t="shared" si="43"/>
        <v>3269.8596238496589</v>
      </c>
      <c r="CX23" s="1">
        <f t="shared" si="43"/>
        <v>3302.5582200881554</v>
      </c>
      <c r="CY23" s="1">
        <f t="shared" si="43"/>
        <v>3335.5838022890371</v>
      </c>
      <c r="CZ23" s="1">
        <f t="shared" si="43"/>
        <v>3368.9396403119276</v>
      </c>
      <c r="DA23" s="1">
        <f t="shared" si="43"/>
        <v>3402.6290367150468</v>
      </c>
      <c r="DB23" s="1">
        <f t="shared" si="43"/>
        <v>3436.6553270821973</v>
      </c>
      <c r="DC23" s="1">
        <f t="shared" si="43"/>
        <v>3471.0218803530192</v>
      </c>
      <c r="DD23" s="1">
        <f t="shared" si="43"/>
        <v>3505.7320991565493</v>
      </c>
      <c r="DE23" s="1">
        <f t="shared" si="43"/>
        <v>3540.7894201481149</v>
      </c>
      <c r="DF23" s="1">
        <f t="shared" si="43"/>
        <v>3576.1973143495961</v>
      </c>
      <c r="DG23" s="1">
        <f t="shared" si="43"/>
        <v>3611.9592874930922</v>
      </c>
      <c r="DH23" s="1">
        <f t="shared" si="43"/>
        <v>3648.078880368023</v>
      </c>
      <c r="DI23" s="1">
        <f t="shared" si="43"/>
        <v>3684.5596691717033</v>
      </c>
      <c r="DJ23" s="1">
        <f t="shared" si="43"/>
        <v>3721.4052658634205</v>
      </c>
      <c r="DK23" s="1">
        <f t="shared" si="43"/>
        <v>3758.6193185220545</v>
      </c>
      <c r="DL23" s="1">
        <f t="shared" si="43"/>
        <v>3796.205511707275</v>
      </c>
      <c r="DM23" s="1">
        <f t="shared" si="43"/>
        <v>3834.1675668243479</v>
      </c>
      <c r="DN23" s="1">
        <f t="shared" si="43"/>
        <v>3872.5092424925915</v>
      </c>
      <c r="DO23" s="1">
        <f t="shared" si="43"/>
        <v>3911.2343349175176</v>
      </c>
      <c r="DP23" s="1">
        <f t="shared" si="43"/>
        <v>3950.3466782666928</v>
      </c>
      <c r="DQ23" s="1">
        <f t="shared" si="43"/>
        <v>3989.85014504936</v>
      </c>
      <c r="DR23" s="1">
        <f t="shared" si="43"/>
        <v>4029.7486464998537</v>
      </c>
      <c r="DS23" s="1">
        <f t="shared" si="43"/>
        <v>4070.0461329648524</v>
      </c>
      <c r="DT23" s="1">
        <f t="shared" si="43"/>
        <v>4110.7465942945009</v>
      </c>
      <c r="DU23" s="1">
        <f t="shared" si="43"/>
        <v>4151.854060237446</v>
      </c>
      <c r="DV23" s="1">
        <f t="shared" si="43"/>
        <v>4193.3726008398207</v>
      </c>
      <c r="DW23" s="1">
        <f t="shared" si="43"/>
        <v>4235.3063268482192</v>
      </c>
      <c r="DX23" s="1">
        <f t="shared" si="43"/>
        <v>4277.6593901167016</v>
      </c>
      <c r="DY23" s="1">
        <f t="shared" si="43"/>
        <v>4320.4359840178686</v>
      </c>
    </row>
    <row r="24" spans="2:129" s="1" customFormat="1" x14ac:dyDescent="0.25"/>
    <row r="25" spans="2:129" s="2" customFormat="1" x14ac:dyDescent="0.25">
      <c r="B25" s="2" t="s">
        <v>8</v>
      </c>
      <c r="D25" s="2">
        <f t="shared" ref="D25:E25" si="44">+D17/D8</f>
        <v>-0.28042105263157885</v>
      </c>
      <c r="E25" s="2">
        <f t="shared" si="44"/>
        <v>-0.11979875247067298</v>
      </c>
      <c r="F25" s="2">
        <f>+F17/F8</f>
        <v>8.6318030395616155E-2</v>
      </c>
      <c r="G25" s="2">
        <f>+G17/G8</f>
        <v>3.1798162350975739E-2</v>
      </c>
      <c r="H25" s="2">
        <f>+H17/H8</f>
        <v>4.1730175229740679E-2</v>
      </c>
      <c r="I25" s="2">
        <f t="shared" ref="I25:Q25" si="45">+I17/I8</f>
        <v>6.0731888434042161E-2</v>
      </c>
      <c r="J25" s="2">
        <f t="shared" si="45"/>
        <v>7.7750413124302697E-2</v>
      </c>
      <c r="K25" s="2">
        <f t="shared" si="45"/>
        <v>9.2994468832077834E-2</v>
      </c>
      <c r="L25" s="2">
        <f t="shared" si="45"/>
        <v>0.10665068120712087</v>
      </c>
      <c r="M25" s="2">
        <f t="shared" si="45"/>
        <v>0.11693900417699803</v>
      </c>
      <c r="N25" s="2">
        <f t="shared" si="45"/>
        <v>0.1263224942336775</v>
      </c>
      <c r="O25" s="2">
        <f t="shared" si="45"/>
        <v>0.13488174695972463</v>
      </c>
      <c r="P25" s="2">
        <f t="shared" si="45"/>
        <v>0.14269012171865286</v>
      </c>
      <c r="Q25" s="2">
        <f t="shared" si="45"/>
        <v>0.14981439454836012</v>
      </c>
      <c r="S25" s="2" t="s">
        <v>28</v>
      </c>
      <c r="T25" s="2">
        <v>0.12</v>
      </c>
    </row>
    <row r="26" spans="2:129" s="2" customFormat="1" x14ac:dyDescent="0.25">
      <c r="B26" s="2" t="s">
        <v>9</v>
      </c>
      <c r="D26" s="2">
        <f t="shared" ref="D26:E26" si="46">+D23/D8</f>
        <v>-0.38694736842105254</v>
      </c>
      <c r="E26" s="2">
        <f t="shared" si="46"/>
        <v>-0.13735657263136297</v>
      </c>
      <c r="F26" s="2">
        <f>+F23/F8</f>
        <v>7.21255248270289E-2</v>
      </c>
      <c r="G26" s="2">
        <f>+G23/G8</f>
        <v>4.0606727921634105E-2</v>
      </c>
      <c r="H26" s="2">
        <f>+H23/H8</f>
        <v>5.8703874325105061E-3</v>
      </c>
      <c r="I26" s="2">
        <f t="shared" ref="I26:Q26" si="47">+I23/I8</f>
        <v>2.1577701670347785E-2</v>
      </c>
      <c r="J26" s="2">
        <f t="shared" si="47"/>
        <v>3.5728097623005127E-2</v>
      </c>
      <c r="K26" s="2">
        <f t="shared" si="47"/>
        <v>4.8479828580624426E-2</v>
      </c>
      <c r="L26" s="2">
        <f t="shared" si="47"/>
        <v>5.9974756236210514E-2</v>
      </c>
      <c r="M26" s="2">
        <f t="shared" si="47"/>
        <v>6.8537615946154498E-2</v>
      </c>
      <c r="N26" s="2">
        <f t="shared" si="47"/>
        <v>7.6395232850031788E-2</v>
      </c>
      <c r="O26" s="2">
        <f t="shared" si="47"/>
        <v>8.3607973898210092E-2</v>
      </c>
      <c r="P26" s="2">
        <f t="shared" si="47"/>
        <v>9.0230900043682991E-2</v>
      </c>
      <c r="Q26" s="2">
        <f t="shared" si="47"/>
        <v>9.6314240721602953E-2</v>
      </c>
      <c r="S26" s="2" t="s">
        <v>29</v>
      </c>
      <c r="T26" s="2">
        <v>0.01</v>
      </c>
    </row>
    <row r="27" spans="2:129" s="1" customFormat="1" x14ac:dyDescent="0.25">
      <c r="S27" s="1" t="s">
        <v>30</v>
      </c>
      <c r="T27" s="1">
        <f>NPV(T25,H23:EQ23)</f>
        <v>7114.2850382739562</v>
      </c>
    </row>
    <row r="28" spans="2:129" s="1" customFormat="1" x14ac:dyDescent="0.25">
      <c r="B28" s="1" t="s">
        <v>10</v>
      </c>
      <c r="D28" s="1">
        <v>281.2</v>
      </c>
      <c r="E28" s="1">
        <v>421.9</v>
      </c>
      <c r="F28" s="1">
        <v>664.5</v>
      </c>
      <c r="G28" s="1">
        <v>1065.5999999999999</v>
      </c>
      <c r="S28" s="1" t="s">
        <v>31</v>
      </c>
      <c r="T28" s="1">
        <f>597.5+1060.2-5070.6-1517.9</f>
        <v>-4930.8000000000011</v>
      </c>
    </row>
    <row r="29" spans="2:129" s="1" customFormat="1" x14ac:dyDescent="0.25">
      <c r="B29" s="1" t="s">
        <v>11</v>
      </c>
      <c r="D29" s="1">
        <v>59.1</v>
      </c>
      <c r="E29" s="1">
        <v>69.7</v>
      </c>
      <c r="F29" s="1">
        <v>107.6</v>
      </c>
      <c r="G29" s="1">
        <v>23.9</v>
      </c>
      <c r="S29" s="1" t="s">
        <v>33</v>
      </c>
      <c r="T29" s="1">
        <f>+T27+T28</f>
        <v>2183.4850382739551</v>
      </c>
    </row>
    <row r="30" spans="2:129" s="1" customFormat="1" x14ac:dyDescent="0.25">
      <c r="B30" s="1" t="s">
        <v>12</v>
      </c>
      <c r="D30" s="1">
        <f>+D28-D29</f>
        <v>222.1</v>
      </c>
      <c r="E30" s="1">
        <f>+E28-E29</f>
        <v>352.2</v>
      </c>
      <c r="F30" s="1">
        <f>+F28-F29</f>
        <v>556.9</v>
      </c>
      <c r="G30" s="1">
        <f>+G28-G29</f>
        <v>1041.6999999999998</v>
      </c>
      <c r="S30" s="1" t="s">
        <v>32</v>
      </c>
      <c r="T30" s="1">
        <v>103.360705</v>
      </c>
    </row>
    <row r="31" spans="2:129" s="1" customFormat="1" x14ac:dyDescent="0.25">
      <c r="S31" s="1" t="s">
        <v>34</v>
      </c>
      <c r="T31" s="1">
        <f>+T29/T30</f>
        <v>21.124904655729228</v>
      </c>
    </row>
    <row r="32" spans="2:129" s="1" customFormat="1" x14ac:dyDescent="0.25"/>
    <row r="33" spans="19:20" s="1" customFormat="1" x14ac:dyDescent="0.25">
      <c r="S33" s="1" t="s">
        <v>37</v>
      </c>
      <c r="T33" s="4">
        <f>+T31*0.87</f>
        <v>18.378667050484427</v>
      </c>
    </row>
    <row r="34" spans="19:20" s="1" customFormat="1" x14ac:dyDescent="0.25">
      <c r="S34" s="1" t="s">
        <v>35</v>
      </c>
      <c r="T34" s="1">
        <v>14.18</v>
      </c>
    </row>
    <row r="35" spans="19:20" s="1" customFormat="1" x14ac:dyDescent="0.25">
      <c r="S35" s="1" t="s">
        <v>38</v>
      </c>
      <c r="T35" s="2">
        <f>+T33/T34 -1</f>
        <v>0.29609781738254082</v>
      </c>
    </row>
    <row r="36" spans="19:20" s="1" customFormat="1" x14ac:dyDescent="0.25">
      <c r="T36" s="5">
        <f>+T33/2</f>
        <v>9.1893335252422137</v>
      </c>
    </row>
    <row r="37" spans="19:20" s="1" customFormat="1" x14ac:dyDescent="0.25"/>
    <row r="38" spans="19:20" s="1" customFormat="1" x14ac:dyDescent="0.25"/>
    <row r="39" spans="19:20" s="1" customFormat="1" x14ac:dyDescent="0.25"/>
    <row r="40" spans="19:20" s="1" customFormat="1" x14ac:dyDescent="0.25"/>
    <row r="41" spans="19:20" s="1" customFormat="1" x14ac:dyDescent="0.25"/>
    <row r="42" spans="19:20" s="1" customFormat="1" x14ac:dyDescent="0.25"/>
    <row r="43" spans="19:20" s="1" customFormat="1" x14ac:dyDescent="0.25"/>
    <row r="44" spans="19:20" s="1" customFormat="1" x14ac:dyDescent="0.25"/>
    <row r="45" spans="19:20" s="1" customFormat="1" x14ac:dyDescent="0.25"/>
    <row r="46" spans="19:20" s="1" customFormat="1" x14ac:dyDescent="0.25"/>
    <row r="47" spans="19:20" s="1" customFormat="1" x14ac:dyDescent="0.25"/>
    <row r="48" spans="19:20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2026-01-20T22:37:09Z</dcterms:created>
  <dcterms:modified xsi:type="dcterms:W3CDTF">2026-02-01T22:01:11Z</dcterms:modified>
</cp:coreProperties>
</file>