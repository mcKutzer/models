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ckut\Desktop\Stonks\Analysis\"/>
    </mc:Choice>
  </mc:AlternateContent>
  <xr:revisionPtr revIDLastSave="0" documentId="13_ncr:1_{37DD07DE-91D0-4861-A2D6-473DFB5496E3}" xr6:coauthVersionLast="47" xr6:coauthVersionMax="47" xr10:uidLastSave="{00000000-0000-0000-0000-000000000000}"/>
  <bookViews>
    <workbookView xWindow="-120" yWindow="-120" windowWidth="29040" windowHeight="15840" activeTab="1" xr2:uid="{F085FBF2-96B1-4272-9032-74A496D06EFE}"/>
  </bookViews>
  <sheets>
    <sheet name="Overview" sheetId="1" r:id="rId1"/>
    <sheet name="Detailed" sheetId="2" r:id="rId2"/>
    <sheet name="Route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7" i="2" l="1"/>
  <c r="R50" i="2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AG50" i="2" s="1"/>
  <c r="AH50" i="2" s="1"/>
  <c r="AI50" i="2" s="1"/>
  <c r="AJ50" i="2" s="1"/>
  <c r="AK50" i="2" s="1"/>
  <c r="AL50" i="2" s="1"/>
  <c r="AM50" i="2" s="1"/>
  <c r="AN50" i="2" s="1"/>
  <c r="AO50" i="2" s="1"/>
  <c r="AP50" i="2" s="1"/>
  <c r="AQ50" i="2" s="1"/>
  <c r="AR50" i="2" s="1"/>
  <c r="AS50" i="2" s="1"/>
  <c r="AT50" i="2" s="1"/>
  <c r="AU50" i="2" s="1"/>
  <c r="AV50" i="2" s="1"/>
  <c r="AW50" i="2" s="1"/>
  <c r="AX50" i="2" s="1"/>
  <c r="AY50" i="2" s="1"/>
  <c r="AZ50" i="2" s="1"/>
  <c r="BA50" i="2" s="1"/>
  <c r="BB50" i="2" s="1"/>
  <c r="BC50" i="2" s="1"/>
  <c r="BD50" i="2" s="1"/>
  <c r="BE50" i="2" s="1"/>
  <c r="BF50" i="2" s="1"/>
  <c r="BG50" i="2" s="1"/>
  <c r="BH50" i="2" s="1"/>
  <c r="BI50" i="2" s="1"/>
  <c r="BJ50" i="2" s="1"/>
  <c r="BK50" i="2" s="1"/>
  <c r="BL50" i="2" s="1"/>
  <c r="BM50" i="2" s="1"/>
  <c r="BN50" i="2" s="1"/>
  <c r="BO50" i="2" s="1"/>
  <c r="BP50" i="2" s="1"/>
  <c r="BQ50" i="2" s="1"/>
  <c r="BR50" i="2" s="1"/>
  <c r="BS50" i="2" s="1"/>
  <c r="BT50" i="2" s="1"/>
  <c r="BU50" i="2" s="1"/>
  <c r="BV50" i="2" s="1"/>
  <c r="BW50" i="2" s="1"/>
  <c r="BX50" i="2" s="1"/>
  <c r="BY50" i="2" s="1"/>
  <c r="BZ50" i="2" s="1"/>
  <c r="CA50" i="2" s="1"/>
  <c r="CB50" i="2" s="1"/>
  <c r="CC50" i="2" s="1"/>
  <c r="CD50" i="2" s="1"/>
  <c r="CE50" i="2" s="1"/>
  <c r="CF50" i="2" s="1"/>
  <c r="CG50" i="2" s="1"/>
  <c r="CH50" i="2" s="1"/>
  <c r="CI50" i="2" s="1"/>
  <c r="CJ50" i="2" s="1"/>
  <c r="CK50" i="2" s="1"/>
  <c r="CL50" i="2" s="1"/>
  <c r="CM50" i="2" s="1"/>
  <c r="CN50" i="2" s="1"/>
  <c r="CO50" i="2" s="1"/>
  <c r="CP50" i="2" s="1"/>
  <c r="CQ50" i="2" s="1"/>
  <c r="CR50" i="2" s="1"/>
  <c r="CS50" i="2" s="1"/>
  <c r="CT50" i="2" s="1"/>
  <c r="CU50" i="2" s="1"/>
  <c r="CV50" i="2" s="1"/>
  <c r="CW50" i="2" s="1"/>
  <c r="CX50" i="2" s="1"/>
  <c r="CY50" i="2" s="1"/>
  <c r="CZ50" i="2" s="1"/>
  <c r="DA50" i="2" s="1"/>
  <c r="DB50" i="2" s="1"/>
  <c r="DC50" i="2" s="1"/>
  <c r="DD50" i="2" s="1"/>
  <c r="DE50" i="2" s="1"/>
  <c r="DF50" i="2" s="1"/>
  <c r="DG50" i="2" s="1"/>
  <c r="DH50" i="2" s="1"/>
  <c r="DI50" i="2" s="1"/>
  <c r="DJ50" i="2" s="1"/>
  <c r="DK50" i="2" s="1"/>
  <c r="DL50" i="2" s="1"/>
  <c r="DM50" i="2" s="1"/>
  <c r="DN50" i="2" s="1"/>
  <c r="DO50" i="2" s="1"/>
  <c r="DP50" i="2" s="1"/>
  <c r="DQ50" i="2" s="1"/>
  <c r="DR50" i="2" s="1"/>
  <c r="DS50" i="2" s="1"/>
  <c r="DT50" i="2" s="1"/>
  <c r="DU50" i="2" s="1"/>
  <c r="DV50" i="2" s="1"/>
  <c r="DW50" i="2" s="1"/>
  <c r="DX50" i="2" s="1"/>
  <c r="DY50" i="2" s="1"/>
  <c r="I50" i="2"/>
  <c r="J50" i="2"/>
  <c r="K50" i="2"/>
  <c r="L50" i="2"/>
  <c r="M50" i="2"/>
  <c r="N50" i="2"/>
  <c r="O50" i="2"/>
  <c r="P50" i="2"/>
  <c r="Q50" i="2"/>
  <c r="H50" i="2"/>
  <c r="T28" i="2"/>
  <c r="L24" i="2"/>
  <c r="M24" i="2"/>
  <c r="N24" i="2"/>
  <c r="O24" i="2"/>
  <c r="P24" i="2"/>
  <c r="Q24" i="2"/>
  <c r="K24" i="2"/>
  <c r="I13" i="2"/>
  <c r="I12" i="2"/>
  <c r="G13" i="2"/>
  <c r="G12" i="2"/>
  <c r="J13" i="2"/>
  <c r="K13" i="2" s="1"/>
  <c r="L13" i="2" s="1"/>
  <c r="M13" i="2" s="1"/>
  <c r="N13" i="2" s="1"/>
  <c r="O13" i="2" s="1"/>
  <c r="P13" i="2" s="1"/>
  <c r="Q13" i="2" s="1"/>
  <c r="H13" i="2"/>
  <c r="J12" i="2"/>
  <c r="K12" i="2"/>
  <c r="L12" i="2"/>
  <c r="M12" i="2"/>
  <c r="N12" i="2"/>
  <c r="O12" i="2"/>
  <c r="P12" i="2"/>
  <c r="Q12" i="2"/>
  <c r="J4" i="2"/>
  <c r="K4" i="2"/>
  <c r="L4" i="2"/>
  <c r="M4" i="2"/>
  <c r="N4" i="2"/>
  <c r="O4" i="2"/>
  <c r="P4" i="2"/>
  <c r="Q4" i="2"/>
  <c r="H12" i="2"/>
  <c r="F49" i="2"/>
  <c r="G49" i="2"/>
  <c r="F21" i="3"/>
  <c r="E21" i="3"/>
  <c r="D21" i="3"/>
  <c r="D5" i="3"/>
  <c r="I4" i="2"/>
  <c r="G4" i="2"/>
  <c r="F22" i="2"/>
  <c r="G22" i="2"/>
  <c r="E22" i="2"/>
  <c r="I37" i="2"/>
  <c r="J37" i="2" s="1"/>
  <c r="K37" i="2" s="1"/>
  <c r="L37" i="2" s="1"/>
  <c r="M37" i="2" s="1"/>
  <c r="N37" i="2" s="1"/>
  <c r="O37" i="2" s="1"/>
  <c r="P37" i="2" s="1"/>
  <c r="Q37" i="2" s="1"/>
  <c r="H36" i="2"/>
  <c r="I36" i="2" s="1"/>
  <c r="J36" i="2" s="1"/>
  <c r="K36" i="2" s="1"/>
  <c r="L36" i="2" s="1"/>
  <c r="M36" i="2" s="1"/>
  <c r="N36" i="2" s="1"/>
  <c r="O36" i="2" s="1"/>
  <c r="P36" i="2" s="1"/>
  <c r="Q36" i="2" s="1"/>
  <c r="I29" i="2"/>
  <c r="J29" i="2" s="1"/>
  <c r="K29" i="2" s="1"/>
  <c r="L29" i="2" s="1"/>
  <c r="M29" i="2" s="1"/>
  <c r="N29" i="2" s="1"/>
  <c r="O29" i="2" s="1"/>
  <c r="P29" i="2" s="1"/>
  <c r="Q29" i="2" s="1"/>
  <c r="H24" i="2"/>
  <c r="H25" i="2" s="1"/>
  <c r="H21" i="2" s="1"/>
  <c r="E21" i="2"/>
  <c r="F21" i="2"/>
  <c r="G21" i="2"/>
  <c r="D21" i="2"/>
  <c r="D26" i="2"/>
  <c r="D35" i="2" s="1"/>
  <c r="D39" i="2" s="1"/>
  <c r="D41" i="2" s="1"/>
  <c r="D44" i="2" s="1"/>
  <c r="E26" i="2"/>
  <c r="E35" i="2" s="1"/>
  <c r="E39" i="2" s="1"/>
  <c r="E41" i="2" s="1"/>
  <c r="E44" i="2" s="1"/>
  <c r="G38" i="2"/>
  <c r="G26" i="2"/>
  <c r="G35" i="2" s="1"/>
  <c r="G43" i="2" s="1"/>
  <c r="F26" i="2"/>
  <c r="F35" i="2" s="1"/>
  <c r="F39" i="2" s="1"/>
  <c r="G2" i="2"/>
  <c r="H2" i="2" s="1"/>
  <c r="I2" i="2" s="1"/>
  <c r="J2" i="2" s="1"/>
  <c r="K2" i="2" s="1"/>
  <c r="L2" i="2" s="1"/>
  <c r="M2" i="2" s="1"/>
  <c r="N2" i="2" s="1"/>
  <c r="O2" i="2" s="1"/>
  <c r="P2" i="2" s="1"/>
  <c r="Q2" i="2" s="1"/>
  <c r="E2" i="2"/>
  <c r="D2" i="2" s="1"/>
  <c r="E14" i="1"/>
  <c r="F14" i="1"/>
  <c r="G14" i="1"/>
  <c r="E15" i="1"/>
  <c r="F15" i="1"/>
  <c r="G15" i="1"/>
  <c r="D15" i="1"/>
  <c r="D14" i="1"/>
  <c r="D8" i="1"/>
  <c r="D10" i="1" s="1"/>
  <c r="D12" i="1" s="1"/>
  <c r="E8" i="1"/>
  <c r="E10" i="1" s="1"/>
  <c r="E12" i="1" s="1"/>
  <c r="D2" i="1"/>
  <c r="E2" i="1"/>
  <c r="G8" i="1"/>
  <c r="G10" i="1" s="1"/>
  <c r="G12" i="1" s="1"/>
  <c r="H8" i="1"/>
  <c r="I8" i="1"/>
  <c r="I10" i="1" s="1"/>
  <c r="I12" i="1" s="1"/>
  <c r="H10" i="1"/>
  <c r="H12" i="1" s="1"/>
  <c r="F8" i="1"/>
  <c r="F10" i="1" s="1"/>
  <c r="F12" i="1" s="1"/>
  <c r="I2" i="1"/>
  <c r="H2" i="1"/>
  <c r="G2" i="1"/>
  <c r="E19" i="2" l="1"/>
  <c r="D19" i="2"/>
  <c r="H22" i="2"/>
  <c r="G19" i="2"/>
  <c r="F19" i="2"/>
  <c r="H31" i="2"/>
  <c r="H30" i="2"/>
  <c r="I24" i="2"/>
  <c r="I22" i="2" s="1"/>
  <c r="H26" i="2"/>
  <c r="H28" i="2" s="1"/>
  <c r="F43" i="2"/>
  <c r="D43" i="2"/>
  <c r="E43" i="2"/>
  <c r="F41" i="2"/>
  <c r="F44" i="2" s="1"/>
  <c r="G39" i="2"/>
  <c r="G41" i="2" s="1"/>
  <c r="G44" i="2" s="1"/>
  <c r="J24" i="2" l="1"/>
  <c r="J22" i="2" s="1"/>
  <c r="H27" i="2"/>
  <c r="H35" i="2" s="1"/>
  <c r="J30" i="2"/>
  <c r="J31" i="2"/>
  <c r="I25" i="2"/>
  <c r="I31" i="2"/>
  <c r="I30" i="2"/>
  <c r="K22" i="2"/>
  <c r="J25" i="2"/>
  <c r="H39" i="2" l="1"/>
  <c r="H43" i="2"/>
  <c r="I26" i="2"/>
  <c r="I28" i="2" s="1"/>
  <c r="I21" i="2"/>
  <c r="K30" i="2"/>
  <c r="K31" i="2"/>
  <c r="J21" i="2"/>
  <c r="J26" i="2"/>
  <c r="J28" i="2" s="1"/>
  <c r="L22" i="2"/>
  <c r="K25" i="2"/>
  <c r="M22" i="2" l="1"/>
  <c r="L25" i="2"/>
  <c r="L21" i="2" s="1"/>
  <c r="L30" i="2"/>
  <c r="L31" i="2"/>
  <c r="M25" i="2"/>
  <c r="M21" i="2" s="1"/>
  <c r="M30" i="2"/>
  <c r="M31" i="2"/>
  <c r="J27" i="2"/>
  <c r="J35" i="2" s="1"/>
  <c r="I27" i="2"/>
  <c r="I35" i="2" s="1"/>
  <c r="H40" i="2"/>
  <c r="H41" i="2" s="1"/>
  <c r="H46" i="2" s="1"/>
  <c r="K21" i="2"/>
  <c r="K26" i="2"/>
  <c r="K28" i="2" s="1"/>
  <c r="N22" i="2"/>
  <c r="L26" i="2" l="1"/>
  <c r="L28" i="2" s="1"/>
  <c r="M26" i="2"/>
  <c r="M28" i="2" s="1"/>
  <c r="H44" i="2"/>
  <c r="N25" i="2"/>
  <c r="N21" i="2" s="1"/>
  <c r="N30" i="2"/>
  <c r="N31" i="2"/>
  <c r="J39" i="2"/>
  <c r="J43" i="2"/>
  <c r="I39" i="2"/>
  <c r="I43" i="2"/>
  <c r="M27" i="2"/>
  <c r="M35" i="2" s="1"/>
  <c r="K27" i="2"/>
  <c r="K35" i="2" s="1"/>
  <c r="L27" i="2"/>
  <c r="L35" i="2" s="1"/>
  <c r="O22" i="2"/>
  <c r="N26" i="2" l="1"/>
  <c r="N28" i="2" s="1"/>
  <c r="M39" i="2"/>
  <c r="M43" i="2"/>
  <c r="L39" i="2"/>
  <c r="L43" i="2"/>
  <c r="O25" i="2"/>
  <c r="O21" i="2" s="1"/>
  <c r="O31" i="2"/>
  <c r="O30" i="2"/>
  <c r="I40" i="2"/>
  <c r="I41" i="2" s="1"/>
  <c r="I46" i="2" s="1"/>
  <c r="J40" i="2"/>
  <c r="J41" i="2" s="1"/>
  <c r="N27" i="2"/>
  <c r="N35" i="2" s="1"/>
  <c r="K39" i="2"/>
  <c r="K43" i="2"/>
  <c r="P22" i="2"/>
  <c r="J44" i="2" l="1"/>
  <c r="J46" i="2"/>
  <c r="O26" i="2"/>
  <c r="O28" i="2" s="1"/>
  <c r="N39" i="2"/>
  <c r="N43" i="2"/>
  <c r="I44" i="2"/>
  <c r="O27" i="2"/>
  <c r="O35" i="2" s="1"/>
  <c r="L40" i="2"/>
  <c r="L41" i="2" s="1"/>
  <c r="L46" i="2" s="1"/>
  <c r="P25" i="2"/>
  <c r="P21" i="2" s="1"/>
  <c r="P31" i="2"/>
  <c r="P30" i="2"/>
  <c r="K40" i="2"/>
  <c r="K41" i="2" s="1"/>
  <c r="M40" i="2"/>
  <c r="M41" i="2" s="1"/>
  <c r="Q22" i="2"/>
  <c r="K44" i="2" l="1"/>
  <c r="K46" i="2"/>
  <c r="M44" i="2"/>
  <c r="M46" i="2"/>
  <c r="L44" i="2"/>
  <c r="O39" i="2"/>
  <c r="O43" i="2"/>
  <c r="Q31" i="2"/>
  <c r="Q30" i="2"/>
  <c r="P26" i="2"/>
  <c r="P28" i="2" s="1"/>
  <c r="N40" i="2"/>
  <c r="N41" i="2" s="1"/>
  <c r="N46" i="2" s="1"/>
  <c r="Q25" i="2"/>
  <c r="N44" i="2" l="1"/>
  <c r="P27" i="2"/>
  <c r="P35" i="2" s="1"/>
  <c r="O40" i="2"/>
  <c r="O41" i="2" s="1"/>
  <c r="O46" i="2" s="1"/>
  <c r="Q26" i="2"/>
  <c r="Q28" i="2" s="1"/>
  <c r="Q21" i="2"/>
  <c r="O44" i="2" l="1"/>
  <c r="P39" i="2"/>
  <c r="P43" i="2"/>
  <c r="Q27" i="2"/>
  <c r="Q35" i="2" s="1"/>
  <c r="Q39" i="2" l="1"/>
  <c r="Q43" i="2"/>
  <c r="P40" i="2"/>
  <c r="P41" i="2" s="1"/>
  <c r="P44" i="2" l="1"/>
  <c r="P46" i="2"/>
  <c r="Q40" i="2"/>
  <c r="Q41" i="2" s="1"/>
  <c r="Q46" i="2" s="1"/>
  <c r="R41" i="2" l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AG41" i="2" s="1"/>
  <c r="AH41" i="2" s="1"/>
  <c r="AI41" i="2" s="1"/>
  <c r="AJ41" i="2" s="1"/>
  <c r="AK41" i="2" s="1"/>
  <c r="AL41" i="2" s="1"/>
  <c r="AM41" i="2" s="1"/>
  <c r="AN41" i="2" s="1"/>
  <c r="AO41" i="2" s="1"/>
  <c r="AP41" i="2" s="1"/>
  <c r="AQ41" i="2" s="1"/>
  <c r="AR41" i="2" s="1"/>
  <c r="AS41" i="2" s="1"/>
  <c r="AT41" i="2" s="1"/>
  <c r="AU41" i="2" s="1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BG41" i="2" s="1"/>
  <c r="BH41" i="2" s="1"/>
  <c r="BI41" i="2" s="1"/>
  <c r="BJ41" i="2" s="1"/>
  <c r="BK41" i="2" s="1"/>
  <c r="BL41" i="2" s="1"/>
  <c r="BM41" i="2" s="1"/>
  <c r="BN41" i="2" s="1"/>
  <c r="BO41" i="2" s="1"/>
  <c r="BP41" i="2" s="1"/>
  <c r="BQ41" i="2" s="1"/>
  <c r="BR41" i="2" s="1"/>
  <c r="BS41" i="2" s="1"/>
  <c r="BT41" i="2" s="1"/>
  <c r="BU41" i="2" s="1"/>
  <c r="BV41" i="2" s="1"/>
  <c r="BW41" i="2" s="1"/>
  <c r="BX41" i="2" s="1"/>
  <c r="BY41" i="2" s="1"/>
  <c r="BZ41" i="2" s="1"/>
  <c r="CA41" i="2" s="1"/>
  <c r="CB41" i="2" s="1"/>
  <c r="CC41" i="2" s="1"/>
  <c r="CD41" i="2" s="1"/>
  <c r="CE41" i="2" s="1"/>
  <c r="CF41" i="2" s="1"/>
  <c r="CG41" i="2" s="1"/>
  <c r="CH41" i="2" s="1"/>
  <c r="CI41" i="2" s="1"/>
  <c r="CJ41" i="2" s="1"/>
  <c r="CK41" i="2" s="1"/>
  <c r="CL41" i="2" s="1"/>
  <c r="CM41" i="2" s="1"/>
  <c r="CN41" i="2" s="1"/>
  <c r="CO41" i="2" s="1"/>
  <c r="CP41" i="2" s="1"/>
  <c r="CQ41" i="2" s="1"/>
  <c r="CR41" i="2" s="1"/>
  <c r="CS41" i="2" s="1"/>
  <c r="CT41" i="2" s="1"/>
  <c r="CU41" i="2" s="1"/>
  <c r="CV41" i="2" s="1"/>
  <c r="CW41" i="2" s="1"/>
  <c r="CX41" i="2" s="1"/>
  <c r="CY41" i="2" s="1"/>
  <c r="CZ41" i="2" s="1"/>
  <c r="DA41" i="2" s="1"/>
  <c r="DB41" i="2" s="1"/>
  <c r="DC41" i="2" s="1"/>
  <c r="DD41" i="2" s="1"/>
  <c r="DE41" i="2" s="1"/>
  <c r="DF41" i="2" s="1"/>
  <c r="DG41" i="2" s="1"/>
  <c r="DH41" i="2" s="1"/>
  <c r="DI41" i="2" s="1"/>
  <c r="DJ41" i="2" s="1"/>
  <c r="DK41" i="2" s="1"/>
  <c r="DL41" i="2" s="1"/>
  <c r="DM41" i="2" s="1"/>
  <c r="DN41" i="2" s="1"/>
  <c r="DO41" i="2" s="1"/>
  <c r="DP41" i="2" s="1"/>
  <c r="DQ41" i="2" s="1"/>
  <c r="DR41" i="2" s="1"/>
  <c r="DS41" i="2" s="1"/>
  <c r="DT41" i="2" s="1"/>
  <c r="DU41" i="2" s="1"/>
  <c r="DV41" i="2" s="1"/>
  <c r="DW41" i="2" s="1"/>
  <c r="DX41" i="2" s="1"/>
  <c r="DY41" i="2" s="1"/>
  <c r="T29" i="2" s="1"/>
  <c r="T31" i="2" s="1"/>
  <c r="T33" i="2" s="1"/>
  <c r="T36" i="2" s="1"/>
  <c r="Q44" i="2"/>
  <c r="T35" i="2" l="1"/>
</calcChain>
</file>

<file path=xl/sharedStrings.xml><?xml version="1.0" encoding="utf-8"?>
<sst xmlns="http://schemas.openxmlformats.org/spreadsheetml/2006/main" count="93" uniqueCount="82">
  <si>
    <t>Revenue</t>
  </si>
  <si>
    <t>Fuel Cosst</t>
  </si>
  <si>
    <t>Operating Expenses</t>
  </si>
  <si>
    <t>Operating Income</t>
  </si>
  <si>
    <t>Finance Expenses</t>
  </si>
  <si>
    <t>Pretax</t>
  </si>
  <si>
    <t>Taxes</t>
  </si>
  <si>
    <t>Net Income</t>
  </si>
  <si>
    <t>Operating Margin</t>
  </si>
  <si>
    <t>Net Margin</t>
  </si>
  <si>
    <t>CFFO</t>
  </si>
  <si>
    <t>CapEx</t>
  </si>
  <si>
    <t>FCF</t>
  </si>
  <si>
    <t>Ticket Revenue</t>
  </si>
  <si>
    <t>Ancillary Revenue</t>
  </si>
  <si>
    <t>Total Revenue</t>
  </si>
  <si>
    <t>Staff costs</t>
  </si>
  <si>
    <t>Fuel costs</t>
  </si>
  <si>
    <t>Marketing</t>
  </si>
  <si>
    <t>Maintenance &amp; repairs</t>
  </si>
  <si>
    <t>Airport charges</t>
  </si>
  <si>
    <t>D&amp;A</t>
  </si>
  <si>
    <t>Other expenses</t>
  </si>
  <si>
    <t>Other income</t>
  </si>
  <si>
    <t>Finance income</t>
  </si>
  <si>
    <t>Finance expenses</t>
  </si>
  <si>
    <t>other, net</t>
  </si>
  <si>
    <t>Ancillary Ratio</t>
  </si>
  <si>
    <t>Discount</t>
  </si>
  <si>
    <t>Terminal</t>
  </si>
  <si>
    <t>NPV</t>
  </si>
  <si>
    <t>Net Cash</t>
  </si>
  <si>
    <t>Shares</t>
  </si>
  <si>
    <t>Value</t>
  </si>
  <si>
    <t>Price</t>
  </si>
  <si>
    <t>Current</t>
  </si>
  <si>
    <t>€</t>
  </si>
  <si>
    <t>Price GBP</t>
  </si>
  <si>
    <t>Diff</t>
  </si>
  <si>
    <t>Avg. Oil Price</t>
  </si>
  <si>
    <t>Cost Ratio</t>
  </si>
  <si>
    <t>Ticker Revenue Y/Y</t>
  </si>
  <si>
    <t>FCFF</t>
  </si>
  <si>
    <t>Aircrafts</t>
  </si>
  <si>
    <t>Avg. Age</t>
  </si>
  <si>
    <t>Romania</t>
  </si>
  <si>
    <t>Poland</t>
  </si>
  <si>
    <t>Hungary</t>
  </si>
  <si>
    <t>Albania</t>
  </si>
  <si>
    <t>Bulgaria</t>
  </si>
  <si>
    <t>North Macedonia</t>
  </si>
  <si>
    <t>Serbia</t>
  </si>
  <si>
    <t>Georgia</t>
  </si>
  <si>
    <t>Lithuania</t>
  </si>
  <si>
    <t>Moldova</t>
  </si>
  <si>
    <t>Bosnia</t>
  </si>
  <si>
    <t>Kosovo</t>
  </si>
  <si>
    <t>Montenegro</t>
  </si>
  <si>
    <t>Armenia</t>
  </si>
  <si>
    <t>CCE</t>
  </si>
  <si>
    <t>Other Europe</t>
  </si>
  <si>
    <t>Italy</t>
  </si>
  <si>
    <t>UK</t>
  </si>
  <si>
    <t>Austria</t>
  </si>
  <si>
    <t>Cyprus</t>
  </si>
  <si>
    <t>GGC</t>
  </si>
  <si>
    <t>UAE</t>
  </si>
  <si>
    <t>Israel</t>
  </si>
  <si>
    <t>Routes</t>
  </si>
  <si>
    <t>Q1 25</t>
  </si>
  <si>
    <t>A320ceo</t>
  </si>
  <si>
    <t>A320neo</t>
  </si>
  <si>
    <t>A321ceo</t>
  </si>
  <si>
    <t>A321neo</t>
  </si>
  <si>
    <t>A321neu XLR</t>
  </si>
  <si>
    <t>M. Share</t>
  </si>
  <si>
    <t>LC MS</t>
  </si>
  <si>
    <t>Passenger</t>
  </si>
  <si>
    <t>Load Factor</t>
  </si>
  <si>
    <t>Aircraft Boughts</t>
  </si>
  <si>
    <t>Total Seats</t>
  </si>
  <si>
    <t>Rev. Per Seat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</si>
</sst>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3" fontId="0" fillId="0" borderId="0" xfId="0" applyNumberFormat="1"/>
    <xf numFmtId="9" fontId="0" fillId="0" borderId="0" xfId="1" applyFont="1"/>
    <xf numFmtId="3" fontId="2" fillId="0" borderId="0" xfId="0" applyNumberFormat="1" applyFont="1"/>
    <xf numFmtId="1" fontId="0" fillId="0" borderId="0" xfId="1" applyNumberFormat="1" applyFont="1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3" fontId="3" fillId="0" borderId="0" xfId="0" applyNumberFormat="1" applyFont="1"/>
    <xf numFmtId="9" fontId="2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17859</xdr:colOff>
      <xdr:row>22</xdr:row>
      <xdr:rowOff>184547</xdr:rowOff>
    </xdr:from>
    <xdr:to>
      <xdr:col>7</xdr:col>
      <xdr:colOff>53578</xdr:colOff>
      <xdr:row>44</xdr:row>
      <xdr:rowOff>125016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4A53D33-C002-A270-8435-A0D8B00DE25A}"/>
            </a:ext>
          </a:extLst>
        </xdr:cNvPr>
        <xdr:cNvCxnSpPr/>
      </xdr:nvCxnSpPr>
      <xdr:spPr>
        <a:xfrm>
          <a:off x="4673203" y="756047"/>
          <a:ext cx="35719" cy="413146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9EE90-6CDA-4CE9-AE79-53CB31930187}">
  <dimension ref="B2:I83"/>
  <sheetViews>
    <sheetView zoomScale="175" zoomScaleNormal="175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F15" sqref="F15"/>
    </sheetView>
  </sheetViews>
  <sheetFormatPr defaultRowHeight="15" x14ac:dyDescent="0.25"/>
  <cols>
    <col min="1" max="1" width="2.85546875" customWidth="1"/>
    <col min="2" max="2" width="18.85546875" bestFit="1" customWidth="1"/>
  </cols>
  <sheetData>
    <row r="2" spans="2:9" x14ac:dyDescent="0.25">
      <c r="D2">
        <f>+E2-1</f>
        <v>2022</v>
      </c>
      <c r="E2">
        <f>+F2-1</f>
        <v>2023</v>
      </c>
      <c r="F2">
        <v>2024</v>
      </c>
      <c r="G2">
        <f>+F2+1</f>
        <v>2025</v>
      </c>
      <c r="H2">
        <f>+G2+1</f>
        <v>2026</v>
      </c>
      <c r="I2">
        <f>+H2+1</f>
        <v>2027</v>
      </c>
    </row>
    <row r="3" spans="2:9" s="1" customFormat="1" x14ac:dyDescent="0.25"/>
    <row r="4" spans="2:9" s="1" customFormat="1" x14ac:dyDescent="0.25"/>
    <row r="5" spans="2:9" s="1" customFormat="1" x14ac:dyDescent="0.25">
      <c r="B5" s="1" t="s">
        <v>0</v>
      </c>
      <c r="D5" s="1">
        <v>1663.4</v>
      </c>
      <c r="E5" s="1">
        <v>3895.7</v>
      </c>
      <c r="F5" s="1">
        <v>5073.1000000000004</v>
      </c>
      <c r="G5" s="1">
        <v>5267.6</v>
      </c>
    </row>
    <row r="6" spans="2:9" s="1" customFormat="1" x14ac:dyDescent="0.25">
      <c r="B6" s="1" t="s">
        <v>1</v>
      </c>
      <c r="D6" s="1">
        <v>649</v>
      </c>
      <c r="E6" s="1">
        <v>1954.4</v>
      </c>
      <c r="F6" s="1">
        <v>1855.7</v>
      </c>
      <c r="G6" s="1">
        <v>1797.6</v>
      </c>
    </row>
    <row r="7" spans="2:9" s="1" customFormat="1" x14ac:dyDescent="0.25">
      <c r="B7" s="1" t="s">
        <v>2</v>
      </c>
      <c r="D7" s="1">
        <v>1479.7</v>
      </c>
      <c r="E7" s="1">
        <v>2408.1</v>
      </c>
      <c r="F7" s="1">
        <v>2779.5</v>
      </c>
      <c r="G7" s="1">
        <v>3302.5</v>
      </c>
    </row>
    <row r="8" spans="2:9" s="1" customFormat="1" x14ac:dyDescent="0.25">
      <c r="B8" s="1" t="s">
        <v>3</v>
      </c>
      <c r="D8" s="1">
        <f t="shared" ref="D8:I8" si="0">+D5-D6-D7</f>
        <v>-465.29999999999995</v>
      </c>
      <c r="E8" s="1">
        <f t="shared" si="0"/>
        <v>-466.80000000000018</v>
      </c>
      <c r="F8" s="1">
        <f>+F5-F6-F7</f>
        <v>437.90000000000055</v>
      </c>
      <c r="G8" s="1">
        <f t="shared" si="0"/>
        <v>167.50000000000045</v>
      </c>
      <c r="H8" s="1">
        <f t="shared" si="0"/>
        <v>0</v>
      </c>
      <c r="I8" s="1">
        <f t="shared" si="0"/>
        <v>0</v>
      </c>
    </row>
    <row r="9" spans="2:9" s="1" customFormat="1" x14ac:dyDescent="0.25">
      <c r="B9" s="1" t="s">
        <v>4</v>
      </c>
      <c r="D9" s="1">
        <v>176.2</v>
      </c>
      <c r="E9" s="1">
        <v>97.9</v>
      </c>
      <c r="F9" s="1">
        <v>96.8</v>
      </c>
      <c r="G9" s="1">
        <v>147.80000000000001</v>
      </c>
    </row>
    <row r="10" spans="2:9" s="1" customFormat="1" x14ac:dyDescent="0.25">
      <c r="B10" s="1" t="s">
        <v>5</v>
      </c>
      <c r="D10" s="1">
        <f t="shared" ref="D10:I10" si="1">+D8-D9</f>
        <v>-641.5</v>
      </c>
      <c r="E10" s="1">
        <f t="shared" si="1"/>
        <v>-564.70000000000016</v>
      </c>
      <c r="F10" s="1">
        <f>+F8-F9</f>
        <v>341.10000000000053</v>
      </c>
      <c r="G10" s="1">
        <f t="shared" si="1"/>
        <v>19.700000000000443</v>
      </c>
      <c r="H10" s="1">
        <f t="shared" si="1"/>
        <v>0</v>
      </c>
      <c r="I10" s="1">
        <f t="shared" si="1"/>
        <v>0</v>
      </c>
    </row>
    <row r="11" spans="2:9" s="1" customFormat="1" x14ac:dyDescent="0.25">
      <c r="B11" s="1" t="s">
        <v>6</v>
      </c>
      <c r="D11" s="1">
        <v>0.9</v>
      </c>
      <c r="E11" s="1">
        <v>-29.5</v>
      </c>
      <c r="F11" s="1">
        <v>-24.8</v>
      </c>
      <c r="G11" s="1">
        <v>-194.2</v>
      </c>
    </row>
    <row r="12" spans="2:9" s="1" customFormat="1" x14ac:dyDescent="0.25">
      <c r="B12" s="1" t="s">
        <v>7</v>
      </c>
      <c r="D12" s="1">
        <f t="shared" ref="D12:I12" si="2">+D10-D11</f>
        <v>-642.4</v>
      </c>
      <c r="E12" s="1">
        <f t="shared" si="2"/>
        <v>-535.20000000000016</v>
      </c>
      <c r="F12" s="1">
        <f>+F10-F11</f>
        <v>365.90000000000055</v>
      </c>
      <c r="G12" s="1">
        <f t="shared" si="2"/>
        <v>213.90000000000043</v>
      </c>
      <c r="H12" s="1">
        <f t="shared" si="2"/>
        <v>0</v>
      </c>
      <c r="I12" s="1">
        <f t="shared" si="2"/>
        <v>0</v>
      </c>
    </row>
    <row r="13" spans="2:9" s="1" customFormat="1" x14ac:dyDescent="0.25"/>
    <row r="14" spans="2:9" s="2" customFormat="1" x14ac:dyDescent="0.25">
      <c r="B14" s="2" t="s">
        <v>8</v>
      </c>
      <c r="D14" s="2">
        <f>+D8/D5</f>
        <v>-0.279728267404112</v>
      </c>
      <c r="E14" s="2">
        <f t="shared" ref="E14:G14" si="3">+E8/E5</f>
        <v>-0.11982442179839316</v>
      </c>
      <c r="F14" s="2">
        <f t="shared" si="3"/>
        <v>8.6318030395616197E-2</v>
      </c>
      <c r="G14" s="2">
        <f t="shared" si="3"/>
        <v>3.1798162350975857E-2</v>
      </c>
    </row>
    <row r="15" spans="2:9" s="2" customFormat="1" x14ac:dyDescent="0.25">
      <c r="B15" s="2" t="s">
        <v>9</v>
      </c>
      <c r="D15" s="2">
        <f>+D12/D5</f>
        <v>-0.38619694601418775</v>
      </c>
      <c r="E15" s="2">
        <f t="shared" ref="E15:G15" si="4">+E12/E5</f>
        <v>-0.13738224195908313</v>
      </c>
      <c r="F15" s="2">
        <f t="shared" si="4"/>
        <v>7.2125524827028942E-2</v>
      </c>
      <c r="G15" s="2">
        <f t="shared" si="4"/>
        <v>4.0606727921634223E-2</v>
      </c>
    </row>
    <row r="16" spans="2:9" s="1" customFormat="1" x14ac:dyDescent="0.25"/>
    <row r="17" spans="2:7" s="1" customFormat="1" x14ac:dyDescent="0.25">
      <c r="B17" s="1" t="s">
        <v>10</v>
      </c>
      <c r="F17" s="1">
        <v>664.5</v>
      </c>
      <c r="G17" s="1">
        <v>1065.5999999999999</v>
      </c>
    </row>
    <row r="18" spans="2:7" s="1" customFormat="1" x14ac:dyDescent="0.25">
      <c r="B18" s="1" t="s">
        <v>11</v>
      </c>
    </row>
    <row r="19" spans="2:7" s="1" customFormat="1" x14ac:dyDescent="0.25">
      <c r="B19" s="1" t="s">
        <v>12</v>
      </c>
    </row>
    <row r="20" spans="2:7" s="1" customFormat="1" x14ac:dyDescent="0.25"/>
    <row r="21" spans="2:7" s="1" customFormat="1" x14ac:dyDescent="0.25"/>
    <row r="22" spans="2:7" s="1" customFormat="1" x14ac:dyDescent="0.25"/>
    <row r="23" spans="2:7" s="1" customFormat="1" x14ac:dyDescent="0.25"/>
    <row r="24" spans="2:7" s="1" customFormat="1" x14ac:dyDescent="0.25"/>
    <row r="25" spans="2:7" s="1" customFormat="1" x14ac:dyDescent="0.25"/>
    <row r="26" spans="2:7" s="1" customFormat="1" x14ac:dyDescent="0.25"/>
    <row r="27" spans="2:7" s="1" customFormat="1" x14ac:dyDescent="0.25"/>
    <row r="28" spans="2:7" s="1" customFormat="1" x14ac:dyDescent="0.25"/>
    <row r="29" spans="2:7" s="1" customFormat="1" x14ac:dyDescent="0.25"/>
    <row r="30" spans="2:7" s="1" customFormat="1" x14ac:dyDescent="0.25"/>
    <row r="31" spans="2:7" s="1" customFormat="1" x14ac:dyDescent="0.25"/>
    <row r="32" spans="2:7" s="1" customFormat="1" x14ac:dyDescent="0.25"/>
    <row r="33" s="1" customFormat="1" x14ac:dyDescent="0.25"/>
    <row r="34" s="1" customFormat="1" x14ac:dyDescent="0.25"/>
    <row r="35" s="1" customFormat="1" x14ac:dyDescent="0.25"/>
    <row r="36" s="1" customFormat="1" x14ac:dyDescent="0.25"/>
    <row r="37" s="1" customFormat="1" x14ac:dyDescent="0.25"/>
    <row r="38" s="1" customFormat="1" x14ac:dyDescent="0.25"/>
    <row r="39" s="1" customFormat="1" x14ac:dyDescent="0.25"/>
    <row r="40" s="1" customFormat="1" x14ac:dyDescent="0.25"/>
    <row r="41" s="1" customFormat="1" x14ac:dyDescent="0.25"/>
    <row r="42" s="1" customFormat="1" x14ac:dyDescent="0.25"/>
    <row r="43" s="1" customFormat="1" x14ac:dyDescent="0.25"/>
    <row r="44" s="1" customFormat="1" x14ac:dyDescent="0.25"/>
    <row r="45" s="1" customFormat="1" x14ac:dyDescent="0.25"/>
    <row r="46" s="1" customFormat="1" x14ac:dyDescent="0.25"/>
    <row r="47" s="1" customFormat="1" x14ac:dyDescent="0.25"/>
    <row r="48" s="1" customFormat="1" x14ac:dyDescent="0.25"/>
    <row r="49" s="1" customFormat="1" x14ac:dyDescent="0.25"/>
    <row r="50" s="1" customFormat="1" x14ac:dyDescent="0.25"/>
    <row r="51" s="1" customFormat="1" x14ac:dyDescent="0.25"/>
    <row r="52" s="1" customFormat="1" x14ac:dyDescent="0.25"/>
    <row r="53" s="1" customFormat="1" x14ac:dyDescent="0.25"/>
    <row r="54" s="1" customFormat="1" x14ac:dyDescent="0.25"/>
    <row r="55" s="1" customFormat="1" x14ac:dyDescent="0.25"/>
    <row r="56" s="1" customFormat="1" x14ac:dyDescent="0.25"/>
    <row r="57" s="1" customFormat="1" x14ac:dyDescent="0.25"/>
    <row r="58" s="1" customFormat="1" x14ac:dyDescent="0.25"/>
    <row r="59" s="1" customFormat="1" x14ac:dyDescent="0.25"/>
    <row r="60" s="1" customFormat="1" x14ac:dyDescent="0.25"/>
    <row r="61" s="1" customFormat="1" x14ac:dyDescent="0.25"/>
    <row r="62" s="1" customFormat="1" x14ac:dyDescent="0.25"/>
    <row r="63" s="1" customFormat="1" x14ac:dyDescent="0.25"/>
    <row r="64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0" s="1" customFormat="1" x14ac:dyDescent="0.25"/>
    <row r="71" s="1" customFormat="1" x14ac:dyDescent="0.25"/>
    <row r="72" s="1" customFormat="1" x14ac:dyDescent="0.25"/>
    <row r="73" s="1" customFormat="1" x14ac:dyDescent="0.25"/>
    <row r="74" s="1" customFormat="1" x14ac:dyDescent="0.25"/>
    <row r="75" s="1" customFormat="1" x14ac:dyDescent="0.25"/>
    <row r="76" s="1" customFormat="1" x14ac:dyDescent="0.25"/>
    <row r="77" s="1" customFormat="1" x14ac:dyDescent="0.25"/>
    <row r="78" s="1" customFormat="1" x14ac:dyDescent="0.25"/>
    <row r="79" s="1" customFormat="1" x14ac:dyDescent="0.25"/>
    <row r="80" s="1" customFormat="1" x14ac:dyDescent="0.25"/>
    <row r="81" s="1" customFormat="1" x14ac:dyDescent="0.25"/>
    <row r="82" s="1" customFormat="1" x14ac:dyDescent="0.25"/>
    <row r="83" s="1" customForma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FF7C-6572-4000-A70D-F7EB4DA4A198}">
  <dimension ref="A1:XFD113"/>
  <sheetViews>
    <sheetView tabSelected="1" zoomScale="160" zoomScaleNormal="160" workbookViewId="0">
      <pane xSplit="2" ySplit="2" topLeftCell="K24" activePane="bottomRight" state="frozen"/>
      <selection pane="topRight" activeCell="C1" sqref="C1"/>
      <selection pane="bottomLeft" activeCell="A3" sqref="A3"/>
      <selection pane="bottomRight" activeCell="T33" sqref="T33"/>
    </sheetView>
  </sheetViews>
  <sheetFormatPr defaultRowHeight="15" x14ac:dyDescent="0.25"/>
  <cols>
    <col min="1" max="1" width="2.85546875" customWidth="1"/>
    <col min="2" max="2" width="21.42578125" bestFit="1" customWidth="1"/>
  </cols>
  <sheetData>
    <row r="1" spans="1:17" x14ac:dyDescent="0.25">
      <c r="A1" t="s">
        <v>36</v>
      </c>
    </row>
    <row r="2" spans="1:17" x14ac:dyDescent="0.25">
      <c r="D2">
        <f>+E2-1</f>
        <v>2022</v>
      </c>
      <c r="E2">
        <f>+F2-1</f>
        <v>2023</v>
      </c>
      <c r="F2">
        <v>2024</v>
      </c>
      <c r="G2">
        <f>+F2+1</f>
        <v>2025</v>
      </c>
      <c r="H2">
        <f>+G2+1</f>
        <v>2026</v>
      </c>
      <c r="I2">
        <f>+H2+1</f>
        <v>2027</v>
      </c>
      <c r="J2">
        <f t="shared" ref="J2:Q2" si="0">+I2+1</f>
        <v>2028</v>
      </c>
      <c r="K2">
        <f t="shared" si="0"/>
        <v>2029</v>
      </c>
      <c r="L2">
        <f t="shared" si="0"/>
        <v>2030</v>
      </c>
      <c r="M2">
        <f t="shared" si="0"/>
        <v>2031</v>
      </c>
      <c r="N2">
        <f t="shared" si="0"/>
        <v>2032</v>
      </c>
      <c r="O2">
        <f t="shared" si="0"/>
        <v>2033</v>
      </c>
      <c r="P2">
        <f t="shared" si="0"/>
        <v>2034</v>
      </c>
      <c r="Q2">
        <f t="shared" si="0"/>
        <v>2035</v>
      </c>
    </row>
    <row r="3" spans="1:17" s="1" customFormat="1" x14ac:dyDescent="0.25"/>
    <row r="4" spans="1:17" s="3" customFormat="1" x14ac:dyDescent="0.25">
      <c r="B4" s="3" t="s">
        <v>43</v>
      </c>
      <c r="F4" s="3">
        <v>208</v>
      </c>
      <c r="G4" s="3">
        <f>+SUM(G5:G9)</f>
        <v>231</v>
      </c>
      <c r="H4" s="3">
        <v>257</v>
      </c>
      <c r="I4" s="3">
        <f>+SUM(I5:I9)</f>
        <v>280</v>
      </c>
      <c r="J4" s="3">
        <f t="shared" ref="J4:Q4" si="1">+SUM(J5:J9)</f>
        <v>273</v>
      </c>
      <c r="K4" s="3">
        <f t="shared" si="1"/>
        <v>299</v>
      </c>
      <c r="L4" s="3">
        <f t="shared" si="1"/>
        <v>334</v>
      </c>
      <c r="M4" s="3">
        <f t="shared" si="1"/>
        <v>361</v>
      </c>
      <c r="N4" s="3">
        <f t="shared" si="1"/>
        <v>384</v>
      </c>
      <c r="O4" s="3">
        <f t="shared" si="1"/>
        <v>382</v>
      </c>
      <c r="P4" s="3">
        <f t="shared" si="1"/>
        <v>384</v>
      </c>
      <c r="Q4" s="3">
        <f t="shared" si="1"/>
        <v>386</v>
      </c>
    </row>
    <row r="5" spans="1:17" s="1" customFormat="1" x14ac:dyDescent="0.25">
      <c r="B5" s="1" t="s">
        <v>70</v>
      </c>
      <c r="G5" s="1">
        <v>37</v>
      </c>
      <c r="H5" s="8">
        <v>20</v>
      </c>
      <c r="I5" s="1">
        <v>12</v>
      </c>
      <c r="J5" s="1">
        <v>2</v>
      </c>
      <c r="K5" s="1">
        <v>2</v>
      </c>
      <c r="L5" s="1">
        <v>2</v>
      </c>
      <c r="M5" s="1">
        <v>2</v>
      </c>
      <c r="N5" s="1">
        <v>2</v>
      </c>
    </row>
    <row r="6" spans="1:17" s="1" customFormat="1" x14ac:dyDescent="0.25">
      <c r="B6" s="1" t="s">
        <v>71</v>
      </c>
      <c r="G6" s="1">
        <v>6</v>
      </c>
      <c r="H6" s="8">
        <v>6</v>
      </c>
      <c r="I6" s="1">
        <v>6</v>
      </c>
      <c r="J6" s="1">
        <v>6</v>
      </c>
      <c r="K6" s="1">
        <v>6</v>
      </c>
      <c r="L6" s="1">
        <v>6</v>
      </c>
      <c r="M6" s="1">
        <v>6</v>
      </c>
      <c r="N6" s="1">
        <v>6</v>
      </c>
      <c r="O6" s="1">
        <v>3</v>
      </c>
      <c r="P6" s="1">
        <v>3</v>
      </c>
      <c r="Q6" s="1">
        <v>3</v>
      </c>
    </row>
    <row r="7" spans="1:17" s="1" customFormat="1" x14ac:dyDescent="0.25">
      <c r="B7" s="1" t="s">
        <v>72</v>
      </c>
      <c r="G7" s="1">
        <v>41</v>
      </c>
      <c r="H7" s="8">
        <v>40</v>
      </c>
      <c r="I7" s="1">
        <v>29</v>
      </c>
      <c r="J7" s="1">
        <v>14</v>
      </c>
    </row>
    <row r="8" spans="1:17" s="1" customFormat="1" x14ac:dyDescent="0.25">
      <c r="B8" s="1" t="s">
        <v>73</v>
      </c>
      <c r="G8" s="1">
        <v>147</v>
      </c>
      <c r="H8" s="8">
        <v>189</v>
      </c>
      <c r="I8" s="1">
        <v>222</v>
      </c>
      <c r="J8" s="1">
        <v>240</v>
      </c>
      <c r="K8" s="1">
        <v>280</v>
      </c>
      <c r="L8" s="1">
        <v>315</v>
      </c>
      <c r="M8" s="1">
        <v>342</v>
      </c>
      <c r="N8" s="1">
        <v>365</v>
      </c>
      <c r="O8" s="1">
        <v>368</v>
      </c>
      <c r="P8" s="1">
        <v>370</v>
      </c>
      <c r="Q8" s="1">
        <v>372</v>
      </c>
    </row>
    <row r="9" spans="1:17" s="1" customFormat="1" x14ac:dyDescent="0.25">
      <c r="B9" s="1" t="s">
        <v>74</v>
      </c>
      <c r="H9" s="8">
        <v>8</v>
      </c>
      <c r="I9" s="1">
        <v>11</v>
      </c>
      <c r="J9" s="1">
        <v>11</v>
      </c>
      <c r="K9" s="1">
        <v>11</v>
      </c>
      <c r="L9" s="1">
        <v>11</v>
      </c>
      <c r="M9" s="1">
        <v>11</v>
      </c>
      <c r="N9" s="1">
        <v>11</v>
      </c>
      <c r="O9" s="1">
        <v>11</v>
      </c>
      <c r="P9" s="1">
        <v>11</v>
      </c>
      <c r="Q9" s="1">
        <v>11</v>
      </c>
    </row>
    <row r="10" spans="1:17" s="5" customFormat="1" x14ac:dyDescent="0.25">
      <c r="B10" s="5" t="s">
        <v>44</v>
      </c>
      <c r="H10" s="5">
        <v>4.5</v>
      </c>
    </row>
    <row r="11" spans="1:17" s="5" customFormat="1" x14ac:dyDescent="0.25"/>
    <row r="12" spans="1:17" s="1" customFormat="1" x14ac:dyDescent="0.25">
      <c r="B12" s="1" t="s">
        <v>80</v>
      </c>
      <c r="G12" s="1">
        <f>+G5*180+G6*230+G7*186+G8*239+G9*239</f>
        <v>50799</v>
      </c>
      <c r="H12" s="1">
        <f t="shared" ref="H12:Q12" si="2">+H5*180+H6*230+H7*186+H8*239+H9*239</f>
        <v>59503</v>
      </c>
      <c r="I12" s="1">
        <f>+I5*180+I6*230+I7*186+I8*239+I9*239</f>
        <v>64621</v>
      </c>
      <c r="J12" s="1">
        <f t="shared" si="2"/>
        <v>64333</v>
      </c>
      <c r="K12" s="1">
        <f t="shared" si="2"/>
        <v>71289</v>
      </c>
      <c r="L12" s="1">
        <f t="shared" si="2"/>
        <v>79654</v>
      </c>
      <c r="M12" s="1">
        <f t="shared" si="2"/>
        <v>86107</v>
      </c>
      <c r="N12" s="1">
        <f t="shared" si="2"/>
        <v>91604</v>
      </c>
      <c r="O12" s="1">
        <f t="shared" si="2"/>
        <v>91271</v>
      </c>
      <c r="P12" s="1">
        <f t="shared" si="2"/>
        <v>91749</v>
      </c>
      <c r="Q12" s="1">
        <f t="shared" si="2"/>
        <v>92227</v>
      </c>
    </row>
    <row r="13" spans="1:17" s="1" customFormat="1" x14ac:dyDescent="0.25">
      <c r="B13" s="1" t="s">
        <v>81</v>
      </c>
      <c r="G13" s="1">
        <f>+G24/G12 *1000</f>
        <v>57.422390204531581</v>
      </c>
      <c r="H13" s="1">
        <f>+H24/H12 *1000</f>
        <v>53.925012184259622</v>
      </c>
      <c r="I13" s="1">
        <f>+I24/I12 *1000</f>
        <v>55.61263366397921</v>
      </c>
      <c r="J13" s="1">
        <f>+J24/J12 *1000</f>
        <v>62.564986554334496</v>
      </c>
      <c r="K13" s="8">
        <f t="shared" ref="J13:Q13" si="3">+J13*1.025</f>
        <v>64.129111218192847</v>
      </c>
      <c r="L13" s="8">
        <f t="shared" si="3"/>
        <v>65.732338998647663</v>
      </c>
      <c r="M13" s="8">
        <f t="shared" si="3"/>
        <v>67.375647473613853</v>
      </c>
      <c r="N13" s="8">
        <f t="shared" si="3"/>
        <v>69.060038660454197</v>
      </c>
      <c r="O13" s="8">
        <f t="shared" si="3"/>
        <v>70.786539626965549</v>
      </c>
      <c r="P13" s="8">
        <f t="shared" si="3"/>
        <v>72.556203117639683</v>
      </c>
      <c r="Q13" s="8">
        <f t="shared" si="3"/>
        <v>74.37010819558067</v>
      </c>
    </row>
    <row r="14" spans="1:17" s="5" customFormat="1" x14ac:dyDescent="0.25"/>
    <row r="15" spans="1:17" s="1" customFormat="1" x14ac:dyDescent="0.25">
      <c r="B15" s="1" t="s">
        <v>77</v>
      </c>
      <c r="F15" s="1">
        <v>62015</v>
      </c>
      <c r="G15" s="1">
        <v>63403</v>
      </c>
    </row>
    <row r="16" spans="1:17" s="2" customFormat="1" x14ac:dyDescent="0.25">
      <c r="B16" s="2" t="s">
        <v>78</v>
      </c>
      <c r="F16" s="2">
        <v>0.90100000000000002</v>
      </c>
      <c r="G16" s="2">
        <v>0.91200000000000003</v>
      </c>
    </row>
    <row r="17" spans="2:20 16384:16384" s="1" customFormat="1" x14ac:dyDescent="0.25"/>
    <row r="18" spans="2:20 16384:16384" s="1" customFormat="1" x14ac:dyDescent="0.25">
      <c r="B18" s="1" t="s">
        <v>39</v>
      </c>
      <c r="D18" s="1">
        <v>98.99</v>
      </c>
      <c r="E18" s="1">
        <v>82.32</v>
      </c>
      <c r="F18" s="1">
        <v>79.91</v>
      </c>
      <c r="G18" s="1">
        <v>68.319999999999993</v>
      </c>
      <c r="H18" s="1">
        <v>80</v>
      </c>
      <c r="I18" s="1">
        <v>75</v>
      </c>
      <c r="J18" s="1">
        <v>70</v>
      </c>
      <c r="K18" s="1">
        <v>70</v>
      </c>
      <c r="L18" s="1">
        <v>70</v>
      </c>
      <c r="M18" s="1">
        <v>70</v>
      </c>
      <c r="N18" s="1">
        <v>70</v>
      </c>
      <c r="O18" s="1">
        <v>70</v>
      </c>
      <c r="P18" s="1">
        <v>70</v>
      </c>
      <c r="Q18" s="1">
        <v>70</v>
      </c>
    </row>
    <row r="19" spans="2:20 16384:16384" s="6" customFormat="1" x14ac:dyDescent="0.25">
      <c r="B19" s="6" t="s">
        <v>40</v>
      </c>
      <c r="D19" s="6">
        <f>+(D28/D26)/D18 *1000</f>
        <v>3.9435896540016575</v>
      </c>
      <c r="E19" s="6">
        <f t="shared" ref="E19:G19" si="4">+(E28/E26)/E18 *1000</f>
        <v>6.0942825676103034</v>
      </c>
      <c r="F19" s="6">
        <f t="shared" si="4"/>
        <v>4.577551235352856</v>
      </c>
      <c r="G19" s="6">
        <f t="shared" si="4"/>
        <v>4.9949645777652174</v>
      </c>
      <c r="H19" s="6">
        <v>5</v>
      </c>
      <c r="I19" s="6">
        <v>5</v>
      </c>
      <c r="J19" s="6">
        <v>5</v>
      </c>
      <c r="K19" s="6">
        <v>5</v>
      </c>
      <c r="L19" s="6">
        <v>5</v>
      </c>
      <c r="M19" s="6">
        <v>5</v>
      </c>
      <c r="N19" s="6">
        <v>5</v>
      </c>
      <c r="O19" s="6">
        <v>5</v>
      </c>
      <c r="P19" s="6">
        <v>5</v>
      </c>
      <c r="Q19" s="6">
        <v>5</v>
      </c>
    </row>
    <row r="20" spans="2:20 16384:16384" s="1" customFormat="1" x14ac:dyDescent="0.25"/>
    <row r="21" spans="2:20 16384:16384" s="1" customFormat="1" x14ac:dyDescent="0.25">
      <c r="B21" s="1" t="s">
        <v>27</v>
      </c>
      <c r="D21" s="2">
        <f>+D25/D24</f>
        <v>1.2739707290384352</v>
      </c>
      <c r="E21" s="2">
        <f t="shared" ref="E21:Q21" si="5">+E25/E24</f>
        <v>0.92389747641858855</v>
      </c>
      <c r="F21" s="2">
        <f t="shared" si="5"/>
        <v>0.80910776692104713</v>
      </c>
      <c r="G21" s="2">
        <f t="shared" si="5"/>
        <v>0.80582790538224203</v>
      </c>
      <c r="H21" s="2">
        <f t="shared" si="5"/>
        <v>0.81</v>
      </c>
      <c r="I21" s="2">
        <f t="shared" si="5"/>
        <v>0.81000000000000016</v>
      </c>
      <c r="J21" s="2">
        <f t="shared" si="5"/>
        <v>0.81</v>
      </c>
      <c r="K21" s="2">
        <f t="shared" si="5"/>
        <v>0.81</v>
      </c>
      <c r="L21" s="2">
        <f t="shared" si="5"/>
        <v>0.81</v>
      </c>
      <c r="M21" s="2">
        <f t="shared" si="5"/>
        <v>0.81</v>
      </c>
      <c r="N21" s="2">
        <f t="shared" si="5"/>
        <v>0.80999999999999994</v>
      </c>
      <c r="O21" s="2">
        <f t="shared" si="5"/>
        <v>0.81</v>
      </c>
      <c r="P21" s="2">
        <f t="shared" si="5"/>
        <v>0.81000000000000016</v>
      </c>
      <c r="Q21" s="2">
        <f t="shared" si="5"/>
        <v>0.81</v>
      </c>
    </row>
    <row r="22" spans="2:20 16384:16384" s="1" customFormat="1" x14ac:dyDescent="0.25">
      <c r="B22" s="1" t="s">
        <v>41</v>
      </c>
      <c r="D22" s="2"/>
      <c r="E22" s="2">
        <f>+E24/D24 -1</f>
        <v>1.7696621529202572</v>
      </c>
      <c r="F22" s="2">
        <f t="shared" ref="F22:Q22" si="6">+F24/E24 -1</f>
        <v>0.38485851153143358</v>
      </c>
      <c r="G22" s="2">
        <f t="shared" si="6"/>
        <v>4.0225376221382225E-2</v>
      </c>
      <c r="H22" s="2">
        <f t="shared" si="6"/>
        <v>0.10000000000000009</v>
      </c>
      <c r="I22" s="2">
        <f t="shared" si="6"/>
        <v>0.12000000000000011</v>
      </c>
      <c r="J22" s="2">
        <f t="shared" si="6"/>
        <v>0.12000000000000011</v>
      </c>
      <c r="K22" s="2">
        <f t="shared" si="6"/>
        <v>0.13582803537842159</v>
      </c>
      <c r="L22" s="2">
        <f t="shared" si="6"/>
        <v>0.1452727629788606</v>
      </c>
      <c r="M22" s="2">
        <f t="shared" si="6"/>
        <v>0.10803820272679343</v>
      </c>
      <c r="N22" s="2">
        <f t="shared" si="6"/>
        <v>9.0435156259072835E-2</v>
      </c>
      <c r="O22" s="2">
        <f t="shared" si="6"/>
        <v>2.1273907252958413E-2</v>
      </c>
      <c r="P22" s="2">
        <f t="shared" si="6"/>
        <v>3.0368079674814474E-2</v>
      </c>
      <c r="Q22" s="2">
        <f t="shared" si="6"/>
        <v>3.0340112698775901E-2</v>
      </c>
    </row>
    <row r="23" spans="2:20 16384:16384" s="1" customFormat="1" x14ac:dyDescent="0.25">
      <c r="D23" s="2"/>
      <c r="E23" s="2"/>
      <c r="F23" s="2"/>
      <c r="G23" s="2"/>
      <c r="XFD23" s="2"/>
    </row>
    <row r="24" spans="2:20 16384:16384" s="1" customFormat="1" x14ac:dyDescent="0.25">
      <c r="B24" s="1" t="s">
        <v>13</v>
      </c>
      <c r="D24" s="1">
        <v>731.1</v>
      </c>
      <c r="E24" s="1">
        <v>2024.9</v>
      </c>
      <c r="F24" s="1">
        <v>2804.2</v>
      </c>
      <c r="G24" s="1">
        <v>2917</v>
      </c>
      <c r="H24" s="1">
        <f>+G24*1.1</f>
        <v>3208.7000000000003</v>
      </c>
      <c r="I24" s="1">
        <f>+H24*1.12</f>
        <v>3593.7440000000006</v>
      </c>
      <c r="J24" s="1">
        <f t="shared" ref="J24:L24" si="7">+I24*1.12</f>
        <v>4024.9932800000011</v>
      </c>
      <c r="K24" s="1">
        <f>+K13*K12/1000</f>
        <v>4571.7002096337501</v>
      </c>
      <c r="L24" s="1">
        <f t="shared" ref="L24:Q24" si="8">+L13*L12/1000</f>
        <v>5235.8437305982816</v>
      </c>
      <c r="M24" s="1">
        <f t="shared" si="8"/>
        <v>5801.5148770104688</v>
      </c>
      <c r="N24" s="1">
        <f t="shared" si="8"/>
        <v>6326.1757814522462</v>
      </c>
      <c r="O24" s="1">
        <f t="shared" si="8"/>
        <v>6460.7582582927726</v>
      </c>
      <c r="P24" s="1">
        <f t="shared" si="8"/>
        <v>6656.9590798403233</v>
      </c>
      <c r="Q24" s="1">
        <f t="shared" si="8"/>
        <v>6858.9319685538185</v>
      </c>
    </row>
    <row r="25" spans="2:20 16384:16384" s="1" customFormat="1" x14ac:dyDescent="0.25">
      <c r="B25" s="1" t="s">
        <v>14</v>
      </c>
      <c r="D25" s="1">
        <v>931.4</v>
      </c>
      <c r="E25" s="1">
        <v>1870.8</v>
      </c>
      <c r="F25" s="1">
        <v>2268.9</v>
      </c>
      <c r="G25" s="1">
        <v>2350.6</v>
      </c>
      <c r="H25" s="1">
        <f>+H24*0.81</f>
        <v>2599.0470000000005</v>
      </c>
      <c r="I25" s="1">
        <f t="shared" ref="I25:Q25" si="9">+I24*0.81</f>
        <v>2910.9326400000009</v>
      </c>
      <c r="J25" s="1">
        <f t="shared" si="9"/>
        <v>3260.2445568000012</v>
      </c>
      <c r="K25" s="1">
        <f t="shared" si="9"/>
        <v>3703.0771698033377</v>
      </c>
      <c r="L25" s="1">
        <f t="shared" si="9"/>
        <v>4241.0334217846084</v>
      </c>
      <c r="M25" s="1">
        <f t="shared" si="9"/>
        <v>4699.2270503784803</v>
      </c>
      <c r="N25" s="1">
        <f t="shared" si="9"/>
        <v>5124.2023829763193</v>
      </c>
      <c r="O25" s="1">
        <f t="shared" si="9"/>
        <v>5233.2141892171458</v>
      </c>
      <c r="P25" s="1">
        <f t="shared" si="9"/>
        <v>5392.1368546706626</v>
      </c>
      <c r="Q25" s="1">
        <f t="shared" si="9"/>
        <v>5555.734894528593</v>
      </c>
      <c r="S25" s="2" t="s">
        <v>28</v>
      </c>
      <c r="T25" s="2">
        <v>0.12</v>
      </c>
    </row>
    <row r="26" spans="2:20 16384:16384" s="3" customFormat="1" x14ac:dyDescent="0.25">
      <c r="B26" s="3" t="s">
        <v>15</v>
      </c>
      <c r="D26" s="3">
        <f t="shared" ref="D26:I26" si="10">+D24+D25</f>
        <v>1662.5</v>
      </c>
      <c r="E26" s="3">
        <f t="shared" si="10"/>
        <v>3895.7</v>
      </c>
      <c r="F26" s="3">
        <f>+F24+F25</f>
        <v>5073.1000000000004</v>
      </c>
      <c r="G26" s="3">
        <f t="shared" si="10"/>
        <v>5267.6</v>
      </c>
      <c r="H26" s="3">
        <f t="shared" si="10"/>
        <v>5807.7470000000012</v>
      </c>
      <c r="I26" s="3">
        <f t="shared" si="10"/>
        <v>6504.6766400000015</v>
      </c>
      <c r="J26" s="3">
        <f t="shared" ref="J26" si="11">+J24+J25</f>
        <v>7285.2378368000027</v>
      </c>
      <c r="K26" s="3">
        <f t="shared" ref="K26" si="12">+K24+K25</f>
        <v>8274.7773794370878</v>
      </c>
      <c r="L26" s="3">
        <f t="shared" ref="L26" si="13">+L24+L25</f>
        <v>9476.8771523828909</v>
      </c>
      <c r="M26" s="3">
        <f t="shared" ref="M26" si="14">+M24+M25</f>
        <v>10500.74192738895</v>
      </c>
      <c r="N26" s="3">
        <f t="shared" ref="N26" si="15">+N24+N25</f>
        <v>11450.378164428566</v>
      </c>
      <c r="O26" s="3">
        <f t="shared" ref="O26" si="16">+O24+O25</f>
        <v>11693.972447509917</v>
      </c>
      <c r="P26" s="3">
        <f t="shared" ref="P26" si="17">+P24+P25</f>
        <v>12049.095934510986</v>
      </c>
      <c r="Q26" s="3">
        <f t="shared" ref="Q26" si="18">+Q24+Q25</f>
        <v>12414.666863082412</v>
      </c>
      <c r="S26" s="2" t="s">
        <v>29</v>
      </c>
      <c r="T26" s="2">
        <v>0.02</v>
      </c>
    </row>
    <row r="27" spans="2:20 16384:16384" s="1" customFormat="1" x14ac:dyDescent="0.25">
      <c r="B27" s="1" t="s">
        <v>16</v>
      </c>
      <c r="D27" s="1">
        <v>220.5</v>
      </c>
      <c r="E27" s="1">
        <v>373.9</v>
      </c>
      <c r="F27" s="1">
        <v>507.8</v>
      </c>
      <c r="G27" s="1">
        <v>564.9</v>
      </c>
      <c r="H27" s="1">
        <f>+H26*0.1</f>
        <v>580.77470000000017</v>
      </c>
      <c r="I27" s="1">
        <f t="shared" ref="I27:Q27" si="19">+I26*0.1</f>
        <v>650.46766400000024</v>
      </c>
      <c r="J27" s="1">
        <f t="shared" si="19"/>
        <v>728.52378368000029</v>
      </c>
      <c r="K27" s="1">
        <f t="shared" si="19"/>
        <v>827.4777379437088</v>
      </c>
      <c r="L27" s="1">
        <f t="shared" si="19"/>
        <v>947.68771523828912</v>
      </c>
      <c r="M27" s="1">
        <f t="shared" si="19"/>
        <v>1050.0741927388951</v>
      </c>
      <c r="N27" s="1">
        <f t="shared" si="19"/>
        <v>1145.0378164428566</v>
      </c>
      <c r="O27" s="1">
        <f t="shared" si="19"/>
        <v>1169.3972447509918</v>
      </c>
      <c r="P27" s="1">
        <f t="shared" si="19"/>
        <v>1204.9095934510985</v>
      </c>
      <c r="Q27" s="1">
        <f t="shared" si="19"/>
        <v>1241.4666863082412</v>
      </c>
      <c r="S27" s="1" t="s">
        <v>30</v>
      </c>
      <c r="T27" s="1">
        <f>NPV(T25,H50:EQ50)</f>
        <v>9071.4840809380112</v>
      </c>
    </row>
    <row r="28" spans="2:20 16384:16384" s="1" customFormat="1" x14ac:dyDescent="0.25">
      <c r="B28" s="1" t="s">
        <v>17</v>
      </c>
      <c r="D28" s="1">
        <v>649</v>
      </c>
      <c r="E28" s="1">
        <v>1954.4</v>
      </c>
      <c r="F28" s="1">
        <v>1855.7</v>
      </c>
      <c r="G28" s="1">
        <v>1797.6</v>
      </c>
      <c r="H28" s="1">
        <f>+H18*H19*H26/1000</f>
        <v>2323.0988000000002</v>
      </c>
      <c r="I28" s="1">
        <f t="shared" ref="I28:Q28" si="20">+I18*I19*I26/1000</f>
        <v>2439.2537400000006</v>
      </c>
      <c r="J28" s="1">
        <f t="shared" si="20"/>
        <v>2549.8332428800009</v>
      </c>
      <c r="K28" s="1">
        <f t="shared" si="20"/>
        <v>2896.1720828029806</v>
      </c>
      <c r="L28" s="1">
        <f t="shared" si="20"/>
        <v>3316.9070033340117</v>
      </c>
      <c r="M28" s="1">
        <f t="shared" si="20"/>
        <v>3675.2596745861329</v>
      </c>
      <c r="N28" s="1">
        <f t="shared" si="20"/>
        <v>4007.6323575499982</v>
      </c>
      <c r="O28" s="1">
        <f t="shared" si="20"/>
        <v>4092.8903566284712</v>
      </c>
      <c r="P28" s="1">
        <f t="shared" si="20"/>
        <v>4217.1835770788457</v>
      </c>
      <c r="Q28" s="1">
        <f t="shared" si="20"/>
        <v>4345.1334020788436</v>
      </c>
      <c r="S28" s="1" t="s">
        <v>31</v>
      </c>
      <c r="T28" s="1">
        <f>597.5+1060.2-5070.6-1517.9</f>
        <v>-4930.8000000000011</v>
      </c>
    </row>
    <row r="29" spans="2:20 16384:16384" s="1" customFormat="1" x14ac:dyDescent="0.25">
      <c r="B29" s="1" t="s">
        <v>18</v>
      </c>
      <c r="D29" s="1">
        <v>43.4</v>
      </c>
      <c r="E29" s="1">
        <v>91.5</v>
      </c>
      <c r="F29" s="1">
        <v>117.1</v>
      </c>
      <c r="G29" s="1">
        <v>117.8</v>
      </c>
      <c r="H29" s="1">
        <v>120</v>
      </c>
      <c r="I29" s="1">
        <f>+H29*1.04</f>
        <v>124.80000000000001</v>
      </c>
      <c r="J29" s="1">
        <f t="shared" ref="J29:Q29" si="21">+I29*1.04</f>
        <v>129.79200000000003</v>
      </c>
      <c r="K29" s="1">
        <f t="shared" si="21"/>
        <v>134.98368000000005</v>
      </c>
      <c r="L29" s="1">
        <f t="shared" si="21"/>
        <v>140.38302720000004</v>
      </c>
      <c r="M29" s="1">
        <f t="shared" si="21"/>
        <v>145.99834828800005</v>
      </c>
      <c r="N29" s="1">
        <f t="shared" si="21"/>
        <v>151.83828221952004</v>
      </c>
      <c r="O29" s="1">
        <f t="shared" si="21"/>
        <v>157.91181350830084</v>
      </c>
      <c r="P29" s="1">
        <f t="shared" si="21"/>
        <v>164.22828604863287</v>
      </c>
      <c r="Q29" s="1">
        <f t="shared" si="21"/>
        <v>170.7974174905782</v>
      </c>
      <c r="S29" s="1" t="s">
        <v>33</v>
      </c>
      <c r="T29" s="1">
        <f>+T27+T28</f>
        <v>4140.6840809380101</v>
      </c>
    </row>
    <row r="30" spans="2:20 16384:16384" s="1" customFormat="1" x14ac:dyDescent="0.25">
      <c r="B30" s="1" t="s">
        <v>19</v>
      </c>
      <c r="D30" s="1">
        <v>170.4</v>
      </c>
      <c r="E30" s="1">
        <v>237</v>
      </c>
      <c r="F30" s="1">
        <v>285</v>
      </c>
      <c r="G30" s="1">
        <v>330.4</v>
      </c>
      <c r="H30" s="1">
        <f>+H24*0.12</f>
        <v>385.04400000000004</v>
      </c>
      <c r="I30" s="1">
        <f t="shared" ref="I30:Q30" si="22">+I24*0.12</f>
        <v>431.24928000000006</v>
      </c>
      <c r="J30" s="1">
        <f t="shared" si="22"/>
        <v>482.99919360000013</v>
      </c>
      <c r="K30" s="1">
        <f t="shared" si="22"/>
        <v>548.60402515604994</v>
      </c>
      <c r="L30" s="1">
        <f t="shared" si="22"/>
        <v>628.30124767179382</v>
      </c>
      <c r="M30" s="1">
        <f t="shared" si="22"/>
        <v>696.18178524125619</v>
      </c>
      <c r="N30" s="1">
        <f t="shared" si="22"/>
        <v>759.14109377426951</v>
      </c>
      <c r="O30" s="1">
        <f t="shared" si="22"/>
        <v>775.29099099513269</v>
      </c>
      <c r="P30" s="1">
        <f t="shared" si="22"/>
        <v>798.83508958083871</v>
      </c>
      <c r="Q30" s="1">
        <f t="shared" si="22"/>
        <v>823.07183622645823</v>
      </c>
      <c r="S30" s="1" t="s">
        <v>32</v>
      </c>
      <c r="T30" s="1">
        <v>103.360705</v>
      </c>
    </row>
    <row r="31" spans="2:20 16384:16384" s="1" customFormat="1" x14ac:dyDescent="0.25">
      <c r="B31" s="1" t="s">
        <v>20</v>
      </c>
      <c r="D31" s="1">
        <v>545.9</v>
      </c>
      <c r="E31" s="1">
        <v>963.2</v>
      </c>
      <c r="F31" s="1">
        <v>1210.0999999999999</v>
      </c>
      <c r="G31" s="1">
        <v>1351.8</v>
      </c>
      <c r="H31" s="1">
        <f>+H24*0.45</f>
        <v>1443.9150000000002</v>
      </c>
      <c r="I31" s="1">
        <f t="shared" ref="I31:Q31" si="23">+I24*0.45</f>
        <v>1617.1848000000002</v>
      </c>
      <c r="J31" s="1">
        <f t="shared" si="23"/>
        <v>1811.2469760000006</v>
      </c>
      <c r="K31" s="1">
        <f t="shared" si="23"/>
        <v>2057.2650943351878</v>
      </c>
      <c r="L31" s="1">
        <f t="shared" si="23"/>
        <v>2356.1296787692268</v>
      </c>
      <c r="M31" s="1">
        <f t="shared" si="23"/>
        <v>2610.681694654711</v>
      </c>
      <c r="N31" s="1">
        <f t="shared" si="23"/>
        <v>2846.7791016535107</v>
      </c>
      <c r="O31" s="1">
        <f t="shared" si="23"/>
        <v>2907.3412162317477</v>
      </c>
      <c r="P31" s="1">
        <f t="shared" si="23"/>
        <v>2995.6315859281453</v>
      </c>
      <c r="Q31" s="1">
        <f t="shared" si="23"/>
        <v>3086.5193858492185</v>
      </c>
      <c r="S31" s="1" t="s">
        <v>34</v>
      </c>
      <c r="T31" s="1">
        <f>+T29/T30</f>
        <v>40.060524751045477</v>
      </c>
    </row>
    <row r="32" spans="2:20 16384:16384" s="1" customFormat="1" x14ac:dyDescent="0.25">
      <c r="B32" s="1" t="s">
        <v>21</v>
      </c>
      <c r="D32" s="1">
        <v>446.3</v>
      </c>
      <c r="E32" s="1">
        <v>601.1</v>
      </c>
      <c r="F32" s="1">
        <v>755.3</v>
      </c>
      <c r="G32" s="1">
        <v>966.8</v>
      </c>
      <c r="H32" s="1">
        <v>1000</v>
      </c>
      <c r="I32" s="1">
        <v>1000</v>
      </c>
      <c r="J32" s="1">
        <v>1000</v>
      </c>
      <c r="K32" s="1">
        <v>1000</v>
      </c>
      <c r="L32" s="1">
        <v>1000</v>
      </c>
      <c r="M32" s="1">
        <v>1000</v>
      </c>
      <c r="N32" s="1">
        <v>1000</v>
      </c>
      <c r="O32" s="1">
        <v>1000</v>
      </c>
      <c r="P32" s="1">
        <v>1000</v>
      </c>
      <c r="Q32" s="1">
        <v>1000</v>
      </c>
    </row>
    <row r="33" spans="2:129" s="1" customFormat="1" x14ac:dyDescent="0.25">
      <c r="B33" s="1" t="s">
        <v>22</v>
      </c>
      <c r="D33" s="1">
        <v>53.2</v>
      </c>
      <c r="E33" s="1">
        <v>141.30000000000001</v>
      </c>
      <c r="F33" s="1">
        <v>370</v>
      </c>
      <c r="G33" s="1">
        <v>466.6</v>
      </c>
      <c r="H33" s="1">
        <v>450</v>
      </c>
      <c r="I33" s="1">
        <v>450</v>
      </c>
      <c r="J33" s="1">
        <v>450</v>
      </c>
      <c r="K33" s="1">
        <v>450</v>
      </c>
      <c r="L33" s="1">
        <v>450</v>
      </c>
      <c r="M33" s="1">
        <v>450</v>
      </c>
      <c r="N33" s="1">
        <v>450</v>
      </c>
      <c r="O33" s="1">
        <v>450</v>
      </c>
      <c r="P33" s="1">
        <v>450</v>
      </c>
      <c r="Q33" s="1">
        <v>450</v>
      </c>
      <c r="S33" s="1" t="s">
        <v>37</v>
      </c>
      <c r="T33" s="4">
        <f>+T31*0.87</f>
        <v>34.852656533409565</v>
      </c>
    </row>
    <row r="34" spans="2:129" s="1" customFormat="1" x14ac:dyDescent="0.25">
      <c r="B34" s="1" t="s">
        <v>23</v>
      </c>
      <c r="F34" s="1">
        <v>465.8</v>
      </c>
      <c r="G34" s="1">
        <v>495.8</v>
      </c>
      <c r="H34" s="1">
        <v>500</v>
      </c>
      <c r="I34" s="1">
        <v>500</v>
      </c>
      <c r="J34" s="1">
        <v>500</v>
      </c>
      <c r="K34" s="1">
        <v>500</v>
      </c>
      <c r="L34" s="1">
        <v>500</v>
      </c>
      <c r="M34" s="1">
        <v>500</v>
      </c>
      <c r="N34" s="1">
        <v>500</v>
      </c>
      <c r="O34" s="1">
        <v>500</v>
      </c>
      <c r="P34" s="1">
        <v>500</v>
      </c>
      <c r="Q34" s="1">
        <v>500</v>
      </c>
      <c r="S34" s="1" t="s">
        <v>35</v>
      </c>
      <c r="T34" s="1">
        <v>9.42</v>
      </c>
    </row>
    <row r="35" spans="2:129" s="3" customFormat="1" x14ac:dyDescent="0.25">
      <c r="B35" s="3" t="s">
        <v>3</v>
      </c>
      <c r="D35" s="3">
        <f t="shared" ref="D35:I35" si="24">+D26-SUM(D27:D33)+D34</f>
        <v>-466.19999999999982</v>
      </c>
      <c r="E35" s="3">
        <f t="shared" si="24"/>
        <v>-466.70000000000073</v>
      </c>
      <c r="F35" s="3">
        <f t="shared" si="24"/>
        <v>437.90000000000038</v>
      </c>
      <c r="G35" s="3">
        <f t="shared" si="24"/>
        <v>167.49999999999983</v>
      </c>
      <c r="H35" s="3">
        <f t="shared" si="24"/>
        <v>4.9145000000007713</v>
      </c>
      <c r="I35" s="3">
        <f t="shared" si="24"/>
        <v>291.72115600000052</v>
      </c>
      <c r="J35" s="3">
        <f t="shared" ref="J35:Q35" si="25">+J26-SUM(J27:J33)+J34</f>
        <v>632.84264064000126</v>
      </c>
      <c r="K35" s="3">
        <f t="shared" si="25"/>
        <v>860.27475919916105</v>
      </c>
      <c r="L35" s="3">
        <f t="shared" si="25"/>
        <v>1137.4684801695694</v>
      </c>
      <c r="M35" s="3">
        <f t="shared" si="25"/>
        <v>1372.5462318799546</v>
      </c>
      <c r="N35" s="3">
        <f t="shared" si="25"/>
        <v>1589.9495127884111</v>
      </c>
      <c r="O35" s="3">
        <f t="shared" si="25"/>
        <v>1641.1408253952741</v>
      </c>
      <c r="P35" s="3">
        <f t="shared" si="25"/>
        <v>1718.3078024234237</v>
      </c>
      <c r="Q35" s="3">
        <f t="shared" si="25"/>
        <v>1797.678135129072</v>
      </c>
      <c r="S35" s="1" t="s">
        <v>38</v>
      </c>
      <c r="T35" s="2">
        <f>+T33/T34 -1</f>
        <v>2.6998573814659834</v>
      </c>
    </row>
    <row r="36" spans="2:129" s="1" customFormat="1" x14ac:dyDescent="0.25">
      <c r="B36" s="1" t="s">
        <v>24</v>
      </c>
      <c r="D36" s="1">
        <v>2.8</v>
      </c>
      <c r="E36" s="1">
        <v>20.8</v>
      </c>
      <c r="F36" s="1">
        <v>80.5</v>
      </c>
      <c r="G36" s="1">
        <v>82.1</v>
      </c>
      <c r="H36" s="1">
        <f>+G36+1</f>
        <v>83.1</v>
      </c>
      <c r="I36" s="1">
        <f t="shared" ref="I36:Q36" si="26">+H36+1</f>
        <v>84.1</v>
      </c>
      <c r="J36" s="1">
        <f t="shared" si="26"/>
        <v>85.1</v>
      </c>
      <c r="K36" s="1">
        <f t="shared" si="26"/>
        <v>86.1</v>
      </c>
      <c r="L36" s="1">
        <f t="shared" si="26"/>
        <v>87.1</v>
      </c>
      <c r="M36" s="1">
        <f t="shared" si="26"/>
        <v>88.1</v>
      </c>
      <c r="N36" s="1">
        <f t="shared" si="26"/>
        <v>89.1</v>
      </c>
      <c r="O36" s="1">
        <f t="shared" si="26"/>
        <v>90.1</v>
      </c>
      <c r="P36" s="1">
        <f t="shared" si="26"/>
        <v>91.1</v>
      </c>
      <c r="Q36" s="1">
        <f t="shared" si="26"/>
        <v>92.1</v>
      </c>
      <c r="T36" s="5">
        <f>+T33/2</f>
        <v>17.426328266704783</v>
      </c>
    </row>
    <row r="37" spans="2:129" s="1" customFormat="1" x14ac:dyDescent="0.25">
      <c r="B37" s="1" t="s">
        <v>25</v>
      </c>
      <c r="D37" s="1">
        <v>89.5</v>
      </c>
      <c r="E37" s="1">
        <v>135.30000000000001</v>
      </c>
      <c r="F37" s="1">
        <v>196.7</v>
      </c>
      <c r="G37" s="1">
        <v>249.5</v>
      </c>
      <c r="H37" s="1">
        <v>300</v>
      </c>
      <c r="I37" s="1">
        <f>+H37*1.04</f>
        <v>312</v>
      </c>
      <c r="J37" s="1">
        <f t="shared" ref="J37:Q37" si="27">+I37*1.04</f>
        <v>324.48</v>
      </c>
      <c r="K37" s="1">
        <f t="shared" si="27"/>
        <v>337.45920000000001</v>
      </c>
      <c r="L37" s="1">
        <f t="shared" si="27"/>
        <v>350.95756800000004</v>
      </c>
      <c r="M37" s="1">
        <f t="shared" si="27"/>
        <v>364.99587072000003</v>
      </c>
      <c r="N37" s="1">
        <f t="shared" si="27"/>
        <v>379.59570554880003</v>
      </c>
      <c r="O37" s="1">
        <f t="shared" si="27"/>
        <v>394.77953377075204</v>
      </c>
      <c r="P37" s="1">
        <f t="shared" si="27"/>
        <v>410.57071512158211</v>
      </c>
      <c r="Q37" s="1">
        <f t="shared" si="27"/>
        <v>426.99354372644541</v>
      </c>
    </row>
    <row r="38" spans="2:129" s="1" customFormat="1" x14ac:dyDescent="0.25">
      <c r="B38" s="1" t="s">
        <v>26</v>
      </c>
      <c r="D38" s="1">
        <v>-89.5</v>
      </c>
      <c r="E38" s="1">
        <v>16.600000000000001</v>
      </c>
      <c r="F38" s="1">
        <v>19.399999999999999</v>
      </c>
      <c r="G38" s="1">
        <f>26-6.4</f>
        <v>19.600000000000001</v>
      </c>
      <c r="H38" s="1">
        <v>20</v>
      </c>
      <c r="I38" s="1">
        <v>20</v>
      </c>
      <c r="J38" s="1">
        <v>20</v>
      </c>
      <c r="K38" s="1">
        <v>20</v>
      </c>
      <c r="L38" s="1">
        <v>20</v>
      </c>
      <c r="M38" s="1">
        <v>20</v>
      </c>
      <c r="N38" s="1">
        <v>20</v>
      </c>
      <c r="O38" s="1">
        <v>20</v>
      </c>
      <c r="P38" s="1">
        <v>20</v>
      </c>
      <c r="Q38" s="1">
        <v>20</v>
      </c>
    </row>
    <row r="39" spans="2:129" s="1" customFormat="1" x14ac:dyDescent="0.25">
      <c r="B39" s="1" t="s">
        <v>5</v>
      </c>
      <c r="D39" s="1">
        <f t="shared" ref="D39:I39" si="28">+D35+D36-D37+D38</f>
        <v>-642.39999999999986</v>
      </c>
      <c r="E39" s="1">
        <f t="shared" si="28"/>
        <v>-564.6000000000007</v>
      </c>
      <c r="F39" s="1">
        <f>+F35+F36-F37+F38</f>
        <v>341.10000000000031</v>
      </c>
      <c r="G39" s="1">
        <f t="shared" si="28"/>
        <v>19.699999999999825</v>
      </c>
      <c r="H39" s="1">
        <f t="shared" si="28"/>
        <v>-191.98549999999923</v>
      </c>
      <c r="I39" s="1">
        <f t="shared" si="28"/>
        <v>83.821156000000542</v>
      </c>
      <c r="J39" s="1">
        <f t="shared" ref="J39" si="29">+J35+J36-J37+J38</f>
        <v>413.46264064000127</v>
      </c>
      <c r="K39" s="1">
        <f t="shared" ref="K39" si="30">+K35+K36-K37+K38</f>
        <v>628.91555919916107</v>
      </c>
      <c r="L39" s="1">
        <f t="shared" ref="L39" si="31">+L35+L36-L37+L38</f>
        <v>893.61091216956925</v>
      </c>
      <c r="M39" s="1">
        <f t="shared" ref="M39" si="32">+M35+M36-M37+M38</f>
        <v>1115.6503611599544</v>
      </c>
      <c r="N39" s="1">
        <f t="shared" ref="N39" si="33">+N35+N36-N37+N38</f>
        <v>1319.453807239611</v>
      </c>
      <c r="O39" s="1">
        <f t="shared" ref="O39" si="34">+O35+O36-O37+O38</f>
        <v>1356.4612916245219</v>
      </c>
      <c r="P39" s="1">
        <f t="shared" ref="P39" si="35">+P35+P36-P37+P38</f>
        <v>1418.8370873018416</v>
      </c>
      <c r="Q39" s="1">
        <f t="shared" ref="Q39" si="36">+Q35+Q36-Q37+Q38</f>
        <v>1482.7845914026266</v>
      </c>
    </row>
    <row r="40" spans="2:129" s="1" customFormat="1" x14ac:dyDescent="0.25">
      <c r="B40" s="1" t="s">
        <v>6</v>
      </c>
      <c r="D40" s="1">
        <v>0.9</v>
      </c>
      <c r="E40" s="1">
        <v>-29.5</v>
      </c>
      <c r="F40" s="1">
        <v>-24.8</v>
      </c>
      <c r="G40" s="1">
        <v>-194.2</v>
      </c>
      <c r="H40" s="1">
        <f>+H39*0.25</f>
        <v>-47.996374999999809</v>
      </c>
      <c r="I40" s="1">
        <f t="shared" ref="I40:Q40" si="37">+I39*0.25</f>
        <v>20.955289000000136</v>
      </c>
      <c r="J40" s="1">
        <f t="shared" si="37"/>
        <v>103.36566016000032</v>
      </c>
      <c r="K40" s="1">
        <f t="shared" si="37"/>
        <v>157.22888979979027</v>
      </c>
      <c r="L40" s="1">
        <f t="shared" si="37"/>
        <v>223.40272804239231</v>
      </c>
      <c r="M40" s="1">
        <f t="shared" si="37"/>
        <v>278.9125902899886</v>
      </c>
      <c r="N40" s="1">
        <f t="shared" si="37"/>
        <v>329.86345180990276</v>
      </c>
      <c r="O40" s="1">
        <f t="shared" si="37"/>
        <v>339.11532290613047</v>
      </c>
      <c r="P40" s="1">
        <f t="shared" si="37"/>
        <v>354.70927182546041</v>
      </c>
      <c r="Q40" s="1">
        <f t="shared" si="37"/>
        <v>370.69614785065664</v>
      </c>
    </row>
    <row r="41" spans="2:129" s="1" customFormat="1" x14ac:dyDescent="0.25">
      <c r="B41" s="1" t="s">
        <v>7</v>
      </c>
      <c r="D41" s="1">
        <f t="shared" ref="D41:I41" si="38">+D39-D40</f>
        <v>-643.29999999999984</v>
      </c>
      <c r="E41" s="1">
        <f t="shared" si="38"/>
        <v>-535.1000000000007</v>
      </c>
      <c r="F41" s="1">
        <f>+F39-F40</f>
        <v>365.90000000000032</v>
      </c>
      <c r="G41" s="1">
        <f t="shared" si="38"/>
        <v>213.89999999999981</v>
      </c>
      <c r="H41" s="1">
        <f t="shared" si="38"/>
        <v>-143.98912499999943</v>
      </c>
      <c r="I41" s="1">
        <f t="shared" si="38"/>
        <v>62.865867000000407</v>
      </c>
      <c r="J41" s="1">
        <f t="shared" ref="J41" si="39">+J39-J40</f>
        <v>310.09698048000098</v>
      </c>
      <c r="K41" s="1">
        <f t="shared" ref="K41" si="40">+K39-K40</f>
        <v>471.68666939937077</v>
      </c>
      <c r="L41" s="1">
        <f t="shared" ref="L41" si="41">+L39-L40</f>
        <v>670.20818412717699</v>
      </c>
      <c r="M41" s="1">
        <f t="shared" ref="M41" si="42">+M39-M40</f>
        <v>836.73777086996574</v>
      </c>
      <c r="N41" s="1">
        <f t="shared" ref="N41" si="43">+N39-N40</f>
        <v>989.59035542970832</v>
      </c>
      <c r="O41" s="1">
        <f t="shared" ref="O41" si="44">+O39-O40</f>
        <v>1017.3459687183914</v>
      </c>
      <c r="P41" s="1">
        <f t="shared" ref="P41" si="45">+P39-P40</f>
        <v>1064.1278154763813</v>
      </c>
      <c r="Q41" s="1">
        <f t="shared" ref="Q41" si="46">+Q39-Q40</f>
        <v>1112.0884435519699</v>
      </c>
      <c r="R41" s="1">
        <f>+Q41*(1+$T26)</f>
        <v>1134.3302124230092</v>
      </c>
      <c r="S41" s="1">
        <f>+R41*(1+$T26)</f>
        <v>1157.0168166714695</v>
      </c>
      <c r="T41" s="1">
        <f>+S41*(1+$T26)</f>
        <v>1180.1571530048989</v>
      </c>
      <c r="U41" s="1">
        <f>+T41*(1+$T26)</f>
        <v>1203.760296064997</v>
      </c>
      <c r="V41" s="1">
        <f>+U41*(1+$T26)</f>
        <v>1227.835501986297</v>
      </c>
      <c r="W41" s="1">
        <f>+V41*(1+$T26)</f>
        <v>1252.3922120260229</v>
      </c>
      <c r="X41" s="1">
        <f>+W41*(1+$T26)</f>
        <v>1277.4400562665435</v>
      </c>
      <c r="Y41" s="1">
        <f>+X41*(1+$T26)</f>
        <v>1302.9888573918743</v>
      </c>
      <c r="Z41" s="1">
        <f>+Y41*(1+$T26)</f>
        <v>1329.0486345397119</v>
      </c>
      <c r="AA41" s="1">
        <f>+Z41*(1+$T26)</f>
        <v>1355.6296072305061</v>
      </c>
      <c r="AB41" s="1">
        <f>+AA41*(1+$T26)</f>
        <v>1382.7421993751161</v>
      </c>
      <c r="AC41" s="1">
        <f>+AB41*(1+$T26)</f>
        <v>1410.3970433626184</v>
      </c>
      <c r="AD41" s="1">
        <f>+AC41*(1+$T26)</f>
        <v>1438.6049842298708</v>
      </c>
      <c r="AE41" s="1">
        <f>+AD41*(1+$T26)</f>
        <v>1467.3770839144681</v>
      </c>
      <c r="AF41" s="1">
        <f>+AE41*(1+$T26)</f>
        <v>1496.7246255927575</v>
      </c>
      <c r="AG41" s="1">
        <f>+AF41*(1+$T26)</f>
        <v>1526.6591181046126</v>
      </c>
      <c r="AH41" s="1">
        <f>+AG41*(1+$T26)</f>
        <v>1557.1923004667049</v>
      </c>
      <c r="AI41" s="1">
        <f>+AH41*(1+$T26)</f>
        <v>1588.3361464760389</v>
      </c>
      <c r="AJ41" s="1">
        <f>+AI41*(1+$T26)</f>
        <v>1620.1028694055597</v>
      </c>
      <c r="AK41" s="1">
        <f>+AJ41*(1+$T26)</f>
        <v>1652.5049267936708</v>
      </c>
      <c r="AL41" s="1">
        <f>+AK41*(1+$T26)</f>
        <v>1685.5550253295444</v>
      </c>
      <c r="AM41" s="1">
        <f>+AL41*(1+$T26)</f>
        <v>1719.2661258361352</v>
      </c>
      <c r="AN41" s="1">
        <f>+AM41*(1+$T26)</f>
        <v>1753.6514483528579</v>
      </c>
      <c r="AO41" s="1">
        <f>+AN41*(1+$T26)</f>
        <v>1788.724477319915</v>
      </c>
      <c r="AP41" s="1">
        <f>+AO41*(1+$T26)</f>
        <v>1824.4989668663134</v>
      </c>
      <c r="AQ41" s="1">
        <f>+AP41*(1+$T26)</f>
        <v>1860.9889462036397</v>
      </c>
      <c r="AR41" s="1">
        <f>+AQ41*(1+$T26)</f>
        <v>1898.2087251277126</v>
      </c>
      <c r="AS41" s="1">
        <f>+AR41*(1+$T26)</f>
        <v>1936.1728996302668</v>
      </c>
      <c r="AT41" s="1">
        <f>+AS41*(1+$T26)</f>
        <v>1974.8963576228721</v>
      </c>
      <c r="AU41" s="1">
        <f>+AT41*(1+$T26)</f>
        <v>2014.3942847753297</v>
      </c>
      <c r="AV41" s="1">
        <f>+AU41*(1+$T26)</f>
        <v>2054.6821704708364</v>
      </c>
      <c r="AW41" s="1">
        <f>+AV41*(1+$T26)</f>
        <v>2095.7758138802533</v>
      </c>
      <c r="AX41" s="1">
        <f>+AW41*(1+$T26)</f>
        <v>2137.6913301578584</v>
      </c>
      <c r="AY41" s="1">
        <f>+AX41*(1+$T26)</f>
        <v>2180.4451567610154</v>
      </c>
      <c r="AZ41" s="1">
        <f>+AY41*(1+$T26)</f>
        <v>2224.0540598962357</v>
      </c>
      <c r="BA41" s="1">
        <f>+AZ41*(1+$T26)</f>
        <v>2268.5351410941603</v>
      </c>
      <c r="BB41" s="1">
        <f>+BA41*(1+$T26)</f>
        <v>2313.9058439160435</v>
      </c>
      <c r="BC41" s="1">
        <f>+BB41*(1+$T26)</f>
        <v>2360.1839607943643</v>
      </c>
      <c r="BD41" s="1">
        <f>+BC41*(1+$T26)</f>
        <v>2407.3876400102517</v>
      </c>
      <c r="BE41" s="1">
        <f>+BD41*(1+$T26)</f>
        <v>2455.5353928104569</v>
      </c>
      <c r="BF41" s="1">
        <f>+BE41*(1+$T26)</f>
        <v>2504.6461006666659</v>
      </c>
      <c r="BG41" s="1">
        <f>+BF41*(1+$T26)</f>
        <v>2554.7390226799994</v>
      </c>
      <c r="BH41" s="1">
        <f>+BG41*(1+$T26)</f>
        <v>2605.8338031335993</v>
      </c>
      <c r="BI41" s="1">
        <f>+BH41*(1+$T26)</f>
        <v>2657.9504791962713</v>
      </c>
      <c r="BJ41" s="1">
        <f>+BI41*(1+$T26)</f>
        <v>2711.1094887801969</v>
      </c>
      <c r="BK41" s="1">
        <f>+BJ41*(1+$T26)</f>
        <v>2765.3316785558009</v>
      </c>
      <c r="BL41" s="1">
        <f>+BK41*(1+$T26)</f>
        <v>2820.6383121269168</v>
      </c>
      <c r="BM41" s="1">
        <f>+BL41*(1+$T26)</f>
        <v>2877.0510783694554</v>
      </c>
      <c r="BN41" s="1">
        <f>+BM41*(1+$T26)</f>
        <v>2934.5920999368445</v>
      </c>
      <c r="BO41" s="1">
        <f>+BN41*(1+$T26)</f>
        <v>2993.2839419355814</v>
      </c>
      <c r="BP41" s="1">
        <f>+BO41*(1+$T26)</f>
        <v>3053.149620774293</v>
      </c>
      <c r="BQ41" s="1">
        <f>+BP41*(1+$T26)</f>
        <v>3114.2126131897789</v>
      </c>
      <c r="BR41" s="1">
        <f>+BQ41*(1+$T26)</f>
        <v>3176.4968654535746</v>
      </c>
      <c r="BS41" s="1">
        <f>+BR41*(1+$T26)</f>
        <v>3240.0268027626462</v>
      </c>
      <c r="BT41" s="1">
        <f>+BS41*(1+$T26)</f>
        <v>3304.8273388178991</v>
      </c>
      <c r="BU41" s="1">
        <f>+BT41*(1+$T26)</f>
        <v>3370.9238855942572</v>
      </c>
      <c r="BV41" s="1">
        <f>+BU41*(1+$T26)</f>
        <v>3438.3423633061425</v>
      </c>
      <c r="BW41" s="1">
        <f>+BV41*(1+$T26)</f>
        <v>3507.1092105722655</v>
      </c>
      <c r="BX41" s="1">
        <f>+BW41*(1+$T26)</f>
        <v>3577.251394783711</v>
      </c>
      <c r="BY41" s="1">
        <f>+BX41*(1+$T26)</f>
        <v>3648.7964226793852</v>
      </c>
      <c r="BZ41" s="1">
        <f>+BY41*(1+$T26)</f>
        <v>3721.7723511329727</v>
      </c>
      <c r="CA41" s="1">
        <f>+BZ41*(1+$T26)</f>
        <v>3796.2077981556322</v>
      </c>
      <c r="CB41" s="1">
        <f>+CA41*(1+$T26)</f>
        <v>3872.1319541187449</v>
      </c>
      <c r="CC41" s="1">
        <f>+CB41*(1+$T26)</f>
        <v>3949.57459320112</v>
      </c>
      <c r="CD41" s="1">
        <f>+CC41*(1+$T26)</f>
        <v>4028.5660850651425</v>
      </c>
      <c r="CE41" s="1">
        <f>+CD41*(1+$T26)</f>
        <v>4109.1374067664456</v>
      </c>
      <c r="CF41" s="1">
        <f>+CE41*(1+$T26)</f>
        <v>4191.3201549017749</v>
      </c>
      <c r="CG41" s="1">
        <f>+CF41*(1+$T26)</f>
        <v>4275.1465579998103</v>
      </c>
      <c r="CH41" s="1">
        <f>+CG41*(1+$T26)</f>
        <v>4360.6494891598068</v>
      </c>
      <c r="CI41" s="1">
        <f>+CH41*(1+$T26)</f>
        <v>4447.8624789430032</v>
      </c>
      <c r="CJ41" s="1">
        <f>+CI41*(1+$T26)</f>
        <v>4536.819728521863</v>
      </c>
      <c r="CK41" s="1">
        <f>+CJ41*(1+$T26)</f>
        <v>4627.5561230923004</v>
      </c>
      <c r="CL41" s="1">
        <f>+CK41*(1+$T26)</f>
        <v>4720.1072455541462</v>
      </c>
      <c r="CM41" s="1">
        <f>+CL41*(1+$T26)</f>
        <v>4814.5093904652294</v>
      </c>
      <c r="CN41" s="1">
        <f>+CM41*(1+$T26)</f>
        <v>4910.7995782745338</v>
      </c>
      <c r="CO41" s="1">
        <f>+CN41*(1+$T26)</f>
        <v>5009.0155698400249</v>
      </c>
      <c r="CP41" s="1">
        <f>+CO41*(1+$T26)</f>
        <v>5109.1958812368257</v>
      </c>
      <c r="CQ41" s="1">
        <f>+CP41*(1+$T26)</f>
        <v>5211.3797988615624</v>
      </c>
      <c r="CR41" s="1">
        <f>+CQ41*(1+$T26)</f>
        <v>5315.6073948387939</v>
      </c>
      <c r="CS41" s="1">
        <f>+CR41*(1+$T26)</f>
        <v>5421.9195427355698</v>
      </c>
      <c r="CT41" s="1">
        <f>+CS41*(1+$T26)</f>
        <v>5530.3579335902814</v>
      </c>
      <c r="CU41" s="1">
        <f>+CT41*(1+$T26)</f>
        <v>5640.9650922620867</v>
      </c>
      <c r="CV41" s="1">
        <f>+CU41*(1+$T26)</f>
        <v>5753.7843941073288</v>
      </c>
      <c r="CW41" s="1">
        <f>+CV41*(1+$T26)</f>
        <v>5868.8600819894755</v>
      </c>
      <c r="CX41" s="1">
        <f>+CW41*(1+$T26)</f>
        <v>5986.2372836292652</v>
      </c>
      <c r="CY41" s="1">
        <f>+CX41*(1+$T26)</f>
        <v>6105.9620293018506</v>
      </c>
      <c r="CZ41" s="1">
        <f>+CY41*(1+$T26)</f>
        <v>6228.0812698878881</v>
      </c>
      <c r="DA41" s="1">
        <f>+CZ41*(1+$T26)</f>
        <v>6352.6428952856459</v>
      </c>
      <c r="DB41" s="1">
        <f>+DA41*(1+$T26)</f>
        <v>6479.6957531913586</v>
      </c>
      <c r="DC41" s="1">
        <f>+DB41*(1+$T26)</f>
        <v>6609.2896682551855</v>
      </c>
      <c r="DD41" s="1">
        <f>+DC41*(1+$T26)</f>
        <v>6741.475461620289</v>
      </c>
      <c r="DE41" s="1">
        <f>+DD41*(1+$T26)</f>
        <v>6876.3049708526951</v>
      </c>
      <c r="DF41" s="1">
        <f>+DE41*(1+$T26)</f>
        <v>7013.831070269749</v>
      </c>
      <c r="DG41" s="1">
        <f>+DF41*(1+$T26)</f>
        <v>7154.1076916751445</v>
      </c>
      <c r="DH41" s="1">
        <f>+DG41*(1+$T26)</f>
        <v>7297.1898455086475</v>
      </c>
      <c r="DI41" s="1">
        <f>+DH41*(1+$T26)</f>
        <v>7443.1336424188203</v>
      </c>
      <c r="DJ41" s="1">
        <f>+DI41*(1+$T26)</f>
        <v>7591.9963152671971</v>
      </c>
      <c r="DK41" s="1">
        <f>+DJ41*(1+$T26)</f>
        <v>7743.8362415725414</v>
      </c>
      <c r="DL41" s="1">
        <f>+DK41*(1+$T26)</f>
        <v>7898.7129664039921</v>
      </c>
      <c r="DM41" s="1">
        <f>+DL41*(1+$T26)</f>
        <v>8056.687225732072</v>
      </c>
      <c r="DN41" s="1">
        <f>+DM41*(1+$T26)</f>
        <v>8217.8209702467138</v>
      </c>
      <c r="DO41" s="1">
        <f>+DN41*(1+$T26)</f>
        <v>8382.1773896516479</v>
      </c>
      <c r="DP41" s="1">
        <f>+DO41*(1+$T26)</f>
        <v>8549.8209374446815</v>
      </c>
      <c r="DQ41" s="1">
        <f>+DP41*(1+$T26)</f>
        <v>8720.8173561935746</v>
      </c>
      <c r="DR41" s="1">
        <f>+DQ41*(1+$T26)</f>
        <v>8895.2337033174463</v>
      </c>
      <c r="DS41" s="1">
        <f>+DR41*(1+$T26)</f>
        <v>9073.1383773837952</v>
      </c>
      <c r="DT41" s="1">
        <f>+DS41*(1+$T26)</f>
        <v>9254.6011449314719</v>
      </c>
      <c r="DU41" s="1">
        <f>+DT41*(1+$T26)</f>
        <v>9439.6931678301007</v>
      </c>
      <c r="DV41" s="1">
        <f>+DU41*(1+$T26)</f>
        <v>9628.4870311867035</v>
      </c>
      <c r="DW41" s="1">
        <f>+DV41*(1+$T26)</f>
        <v>9821.0567718104376</v>
      </c>
      <c r="DX41" s="1">
        <f>+DW41*(1+$T26)</f>
        <v>10017.477907246646</v>
      </c>
      <c r="DY41" s="1">
        <f>+DX41*(1+$T26)</f>
        <v>10217.82746539158</v>
      </c>
    </row>
    <row r="42" spans="2:129" s="1" customFormat="1" x14ac:dyDescent="0.25"/>
    <row r="43" spans="2:129" s="2" customFormat="1" x14ac:dyDescent="0.25">
      <c r="B43" s="2" t="s">
        <v>8</v>
      </c>
      <c r="D43" s="2">
        <f t="shared" ref="D43:E43" si="47">+D35/D26</f>
        <v>-0.28042105263157885</v>
      </c>
      <c r="E43" s="2">
        <f t="shared" si="47"/>
        <v>-0.11979875247067298</v>
      </c>
      <c r="F43" s="2">
        <f>+F35/F26</f>
        <v>8.6318030395616155E-2</v>
      </c>
      <c r="G43" s="2">
        <f>+G35/G26</f>
        <v>3.1798162350975739E-2</v>
      </c>
      <c r="H43" s="2">
        <f>+H35/H26</f>
        <v>8.4619732918819811E-4</v>
      </c>
      <c r="I43" s="2">
        <f t="shared" ref="I43:Q43" si="48">+I35/I26</f>
        <v>4.4847910533489709E-2</v>
      </c>
      <c r="J43" s="2">
        <f t="shared" si="48"/>
        <v>8.6866435223750177E-2</v>
      </c>
      <c r="K43" s="2">
        <f t="shared" si="48"/>
        <v>0.10396349288344037</v>
      </c>
      <c r="L43" s="2">
        <f t="shared" si="48"/>
        <v>0.1200256647711806</v>
      </c>
      <c r="M43" s="2">
        <f t="shared" si="48"/>
        <v>0.13070945285303698</v>
      </c>
      <c r="N43" s="2">
        <f t="shared" si="48"/>
        <v>0.13885563340848472</v>
      </c>
      <c r="O43" s="2">
        <f t="shared" si="48"/>
        <v>0.14034074671902738</v>
      </c>
      <c r="P43" s="2">
        <f t="shared" si="48"/>
        <v>0.14260885727549497</v>
      </c>
      <c r="Q43" s="2">
        <f t="shared" si="48"/>
        <v>0.14480276876980414</v>
      </c>
    </row>
    <row r="44" spans="2:129" s="2" customFormat="1" x14ac:dyDescent="0.25">
      <c r="B44" s="2" t="s">
        <v>9</v>
      </c>
      <c r="D44" s="2">
        <f t="shared" ref="D44:E44" si="49">+D41/D26</f>
        <v>-0.38694736842105254</v>
      </c>
      <c r="E44" s="2">
        <f t="shared" si="49"/>
        <v>-0.13735657263136297</v>
      </c>
      <c r="F44" s="2">
        <f>+F41/F26</f>
        <v>7.21255248270289E-2</v>
      </c>
      <c r="G44" s="2">
        <f>+G41/G26</f>
        <v>4.0606727921634105E-2</v>
      </c>
      <c r="H44" s="2">
        <f>+H41/H26</f>
        <v>-2.4792595992903857E-2</v>
      </c>
      <c r="I44" s="2">
        <f t="shared" ref="I44:Q44" si="50">+I41/I26</f>
        <v>9.6647182449334477E-3</v>
      </c>
      <c r="J44" s="2">
        <f t="shared" si="50"/>
        <v>4.256511419759073E-2</v>
      </c>
      <c r="K44" s="2">
        <f t="shared" si="50"/>
        <v>5.7002943737376827E-2</v>
      </c>
      <c r="L44" s="2">
        <f t="shared" si="50"/>
        <v>7.0720362135184803E-2</v>
      </c>
      <c r="M44" s="2">
        <f t="shared" si="50"/>
        <v>7.9683681082335089E-2</v>
      </c>
      <c r="N44" s="2">
        <f t="shared" si="50"/>
        <v>8.6424250904126712E-2</v>
      </c>
      <c r="O44" s="2">
        <f t="shared" si="50"/>
        <v>8.6997465855584627E-2</v>
      </c>
      <c r="P44" s="2">
        <f t="shared" si="50"/>
        <v>8.8315988291578745E-2</v>
      </c>
      <c r="Q44" s="2">
        <f t="shared" si="50"/>
        <v>8.9578597300826152E-2</v>
      </c>
    </row>
    <row r="45" spans="2:129" s="1" customFormat="1" x14ac:dyDescent="0.25"/>
    <row r="46" spans="2:129" s="1" customFormat="1" x14ac:dyDescent="0.25">
      <c r="B46" s="1" t="s">
        <v>10</v>
      </c>
      <c r="D46" s="1">
        <v>281.2</v>
      </c>
      <c r="E46" s="1">
        <v>421.9</v>
      </c>
      <c r="F46" s="1">
        <v>664.5</v>
      </c>
      <c r="G46" s="1">
        <v>1065.5999999999999</v>
      </c>
      <c r="H46" s="1">
        <f>+H41+H32</f>
        <v>856.01087500000062</v>
      </c>
      <c r="I46" s="1">
        <f t="shared" ref="I46:Q46" si="51">+I41+I32</f>
        <v>1062.8658670000004</v>
      </c>
      <c r="J46" s="1">
        <f t="shared" si="51"/>
        <v>1310.0969804800011</v>
      </c>
      <c r="K46" s="1">
        <f t="shared" si="51"/>
        <v>1471.6866693993707</v>
      </c>
      <c r="L46" s="1">
        <f t="shared" si="51"/>
        <v>1670.208184127177</v>
      </c>
      <c r="M46" s="1">
        <f t="shared" si="51"/>
        <v>1836.7377708699657</v>
      </c>
      <c r="N46" s="1">
        <f t="shared" si="51"/>
        <v>1989.5903554297083</v>
      </c>
      <c r="O46" s="1">
        <f t="shared" si="51"/>
        <v>2017.3459687183913</v>
      </c>
      <c r="P46" s="1">
        <f t="shared" si="51"/>
        <v>2064.1278154763813</v>
      </c>
      <c r="Q46" s="1">
        <f t="shared" si="51"/>
        <v>2112.0884435519702</v>
      </c>
    </row>
    <row r="47" spans="2:129" s="1" customFormat="1" x14ac:dyDescent="0.25">
      <c r="B47" s="1" t="s">
        <v>11</v>
      </c>
      <c r="D47" s="1">
        <v>59.1</v>
      </c>
      <c r="E47" s="1">
        <v>69.7</v>
      </c>
      <c r="F47" s="1">
        <v>107.6</v>
      </c>
      <c r="G47" s="1">
        <v>23.9</v>
      </c>
    </row>
    <row r="48" spans="2:129" s="1" customFormat="1" x14ac:dyDescent="0.25">
      <c r="B48" s="1" t="s">
        <v>79</v>
      </c>
      <c r="F48" s="1">
        <v>370.7</v>
      </c>
      <c r="G48" s="1">
        <v>362.8</v>
      </c>
    </row>
    <row r="49" spans="2:129" s="1" customFormat="1" x14ac:dyDescent="0.25">
      <c r="B49" s="1" t="s">
        <v>12</v>
      </c>
      <c r="F49" s="1">
        <f>+F46-F47-F48</f>
        <v>186.2</v>
      </c>
      <c r="G49" s="1">
        <f>+G46-G47-G48</f>
        <v>678.89999999999986</v>
      </c>
    </row>
    <row r="50" spans="2:129" s="1" customFormat="1" x14ac:dyDescent="0.25">
      <c r="B50" s="1" t="s">
        <v>42</v>
      </c>
      <c r="H50" s="1">
        <f>+H41+H37-H36</f>
        <v>72.910875000000573</v>
      </c>
      <c r="I50" s="1">
        <f t="shared" ref="I50:Q50" si="52">+I41+I37-I36</f>
        <v>290.76586700000041</v>
      </c>
      <c r="J50" s="1">
        <f t="shared" si="52"/>
        <v>549.47698048000098</v>
      </c>
      <c r="K50" s="1">
        <f t="shared" si="52"/>
        <v>723.04586939937076</v>
      </c>
      <c r="L50" s="1">
        <f t="shared" si="52"/>
        <v>934.06575212717701</v>
      </c>
      <c r="M50" s="1">
        <f t="shared" si="52"/>
        <v>1113.6336415899659</v>
      </c>
      <c r="N50" s="1">
        <f t="shared" si="52"/>
        <v>1280.0860609785084</v>
      </c>
      <c r="O50" s="1">
        <f t="shared" si="52"/>
        <v>1322.0255024891435</v>
      </c>
      <c r="P50" s="1">
        <f t="shared" si="52"/>
        <v>1383.5985305979634</v>
      </c>
      <c r="Q50" s="1">
        <f t="shared" si="52"/>
        <v>1446.9819872784155</v>
      </c>
      <c r="R50" s="1">
        <f>+Q50*(1+$T26)</f>
        <v>1475.9216270239838</v>
      </c>
      <c r="S50" s="1">
        <f t="shared" ref="S50:CD50" si="53">+R50*(1+$T26)</f>
        <v>1505.4400595644636</v>
      </c>
      <c r="T50" s="1">
        <f t="shared" si="53"/>
        <v>1535.5488607557529</v>
      </c>
      <c r="U50" s="1">
        <f t="shared" si="53"/>
        <v>1566.2598379708679</v>
      </c>
      <c r="V50" s="1">
        <f t="shared" si="53"/>
        <v>1597.5850347302853</v>
      </c>
      <c r="W50" s="1">
        <f t="shared" si="53"/>
        <v>1629.536735424891</v>
      </c>
      <c r="X50" s="1">
        <f t="shared" si="53"/>
        <v>1662.1274701333889</v>
      </c>
      <c r="Y50" s="1">
        <f t="shared" si="53"/>
        <v>1695.3700195360568</v>
      </c>
      <c r="Z50" s="1">
        <f t="shared" si="53"/>
        <v>1729.2774199267781</v>
      </c>
      <c r="AA50" s="1">
        <f t="shared" si="53"/>
        <v>1763.8629683253137</v>
      </c>
      <c r="AB50" s="1">
        <f t="shared" si="53"/>
        <v>1799.14022769182</v>
      </c>
      <c r="AC50" s="1">
        <f t="shared" si="53"/>
        <v>1835.1230322456563</v>
      </c>
      <c r="AD50" s="1">
        <f t="shared" si="53"/>
        <v>1871.8254928905694</v>
      </c>
      <c r="AE50" s="1">
        <f t="shared" si="53"/>
        <v>1909.2620027483808</v>
      </c>
      <c r="AF50" s="1">
        <f t="shared" si="53"/>
        <v>1947.4472428033484</v>
      </c>
      <c r="AG50" s="1">
        <f t="shared" si="53"/>
        <v>1986.3961876594155</v>
      </c>
      <c r="AH50" s="1">
        <f t="shared" si="53"/>
        <v>2026.124111412604</v>
      </c>
      <c r="AI50" s="1">
        <f t="shared" si="53"/>
        <v>2066.6465936408563</v>
      </c>
      <c r="AJ50" s="1">
        <f t="shared" si="53"/>
        <v>2107.9795255136733</v>
      </c>
      <c r="AK50" s="1">
        <f t="shared" si="53"/>
        <v>2150.1391160239468</v>
      </c>
      <c r="AL50" s="1">
        <f t="shared" si="53"/>
        <v>2193.141898344426</v>
      </c>
      <c r="AM50" s="1">
        <f t="shared" si="53"/>
        <v>2237.0047363113144</v>
      </c>
      <c r="AN50" s="1">
        <f t="shared" si="53"/>
        <v>2281.7448310375407</v>
      </c>
      <c r="AO50" s="1">
        <f t="shared" si="53"/>
        <v>2327.3797276582918</v>
      </c>
      <c r="AP50" s="1">
        <f t="shared" si="53"/>
        <v>2373.9273222114575</v>
      </c>
      <c r="AQ50" s="1">
        <f t="shared" si="53"/>
        <v>2421.4058686556868</v>
      </c>
      <c r="AR50" s="1">
        <f t="shared" si="53"/>
        <v>2469.8339860288006</v>
      </c>
      <c r="AS50" s="1">
        <f t="shared" si="53"/>
        <v>2519.2306657493768</v>
      </c>
      <c r="AT50" s="1">
        <f t="shared" si="53"/>
        <v>2569.6152790643646</v>
      </c>
      <c r="AU50" s="1">
        <f t="shared" si="53"/>
        <v>2621.0075846456521</v>
      </c>
      <c r="AV50" s="1">
        <f t="shared" si="53"/>
        <v>2673.427736338565</v>
      </c>
      <c r="AW50" s="1">
        <f t="shared" si="53"/>
        <v>2726.8962910653363</v>
      </c>
      <c r="AX50" s="1">
        <f t="shared" si="53"/>
        <v>2781.4342168866433</v>
      </c>
      <c r="AY50" s="1">
        <f t="shared" si="53"/>
        <v>2837.0629012243762</v>
      </c>
      <c r="AZ50" s="1">
        <f t="shared" si="53"/>
        <v>2893.8041592488639</v>
      </c>
      <c r="BA50" s="1">
        <f t="shared" si="53"/>
        <v>2951.6802424338412</v>
      </c>
      <c r="BB50" s="1">
        <f t="shared" si="53"/>
        <v>3010.7138472825181</v>
      </c>
      <c r="BC50" s="1">
        <f t="shared" si="53"/>
        <v>3070.9281242281686</v>
      </c>
      <c r="BD50" s="1">
        <f t="shared" si="53"/>
        <v>3132.3466867127322</v>
      </c>
      <c r="BE50" s="1">
        <f t="shared" si="53"/>
        <v>3194.9936204469868</v>
      </c>
      <c r="BF50" s="1">
        <f t="shared" si="53"/>
        <v>3258.8934928559265</v>
      </c>
      <c r="BG50" s="1">
        <f t="shared" si="53"/>
        <v>3324.0713627130449</v>
      </c>
      <c r="BH50" s="1">
        <f t="shared" si="53"/>
        <v>3390.5527899673057</v>
      </c>
      <c r="BI50" s="1">
        <f t="shared" si="53"/>
        <v>3458.363845766652</v>
      </c>
      <c r="BJ50" s="1">
        <f t="shared" si="53"/>
        <v>3527.5311226819849</v>
      </c>
      <c r="BK50" s="1">
        <f t="shared" si="53"/>
        <v>3598.0817451356247</v>
      </c>
      <c r="BL50" s="1">
        <f t="shared" si="53"/>
        <v>3670.0433800383371</v>
      </c>
      <c r="BM50" s="1">
        <f t="shared" si="53"/>
        <v>3743.4442476391041</v>
      </c>
      <c r="BN50" s="1">
        <f t="shared" si="53"/>
        <v>3818.3131325918862</v>
      </c>
      <c r="BO50" s="1">
        <f t="shared" si="53"/>
        <v>3894.6793952437238</v>
      </c>
      <c r="BP50" s="1">
        <f t="shared" si="53"/>
        <v>3972.5729831485983</v>
      </c>
      <c r="BQ50" s="1">
        <f t="shared" si="53"/>
        <v>4052.0244428115702</v>
      </c>
      <c r="BR50" s="1">
        <f t="shared" si="53"/>
        <v>4133.0649316678018</v>
      </c>
      <c r="BS50" s="1">
        <f t="shared" si="53"/>
        <v>4215.7262303011576</v>
      </c>
      <c r="BT50" s="1">
        <f t="shared" si="53"/>
        <v>4300.0407549071806</v>
      </c>
      <c r="BU50" s="1">
        <f t="shared" si="53"/>
        <v>4386.0415700053245</v>
      </c>
      <c r="BV50" s="1">
        <f t="shared" si="53"/>
        <v>4473.7624014054309</v>
      </c>
      <c r="BW50" s="1">
        <f t="shared" si="53"/>
        <v>4563.2376494335394</v>
      </c>
      <c r="BX50" s="1">
        <f t="shared" si="53"/>
        <v>4654.5024024222103</v>
      </c>
      <c r="BY50" s="1">
        <f t="shared" si="53"/>
        <v>4747.5924504706545</v>
      </c>
      <c r="BZ50" s="1">
        <f t="shared" si="53"/>
        <v>4842.5442994800678</v>
      </c>
      <c r="CA50" s="1">
        <f t="shared" si="53"/>
        <v>4939.3951854696688</v>
      </c>
      <c r="CB50" s="1">
        <f t="shared" si="53"/>
        <v>5038.1830891790623</v>
      </c>
      <c r="CC50" s="1">
        <f t="shared" si="53"/>
        <v>5138.9467509626438</v>
      </c>
      <c r="CD50" s="1">
        <f t="shared" si="53"/>
        <v>5241.7256859818972</v>
      </c>
      <c r="CE50" s="1">
        <f t="shared" ref="CE50:DY50" si="54">+CD50*(1+$T26)</f>
        <v>5346.5601997015356</v>
      </c>
      <c r="CF50" s="1">
        <f t="shared" si="54"/>
        <v>5453.4914036955661</v>
      </c>
      <c r="CG50" s="1">
        <f t="shared" si="54"/>
        <v>5562.5612317694777</v>
      </c>
      <c r="CH50" s="1">
        <f t="shared" si="54"/>
        <v>5673.8124564048676</v>
      </c>
      <c r="CI50" s="1">
        <f t="shared" si="54"/>
        <v>5787.2887055329647</v>
      </c>
      <c r="CJ50" s="1">
        <f t="shared" si="54"/>
        <v>5903.0344796436239</v>
      </c>
      <c r="CK50" s="1">
        <f t="shared" si="54"/>
        <v>6021.0951692364961</v>
      </c>
      <c r="CL50" s="1">
        <f t="shared" si="54"/>
        <v>6141.5170726212264</v>
      </c>
      <c r="CM50" s="1">
        <f t="shared" si="54"/>
        <v>6264.3474140736507</v>
      </c>
      <c r="CN50" s="1">
        <f t="shared" si="54"/>
        <v>6389.6343623551238</v>
      </c>
      <c r="CO50" s="1">
        <f t="shared" si="54"/>
        <v>6517.4270496022264</v>
      </c>
      <c r="CP50" s="1">
        <f t="shared" si="54"/>
        <v>6647.7755905942713</v>
      </c>
      <c r="CQ50" s="1">
        <f t="shared" si="54"/>
        <v>6780.7311024061564</v>
      </c>
      <c r="CR50" s="1">
        <f t="shared" si="54"/>
        <v>6916.3457244542797</v>
      </c>
      <c r="CS50" s="1">
        <f t="shared" si="54"/>
        <v>7054.6726389433652</v>
      </c>
      <c r="CT50" s="1">
        <f t="shared" si="54"/>
        <v>7195.7660917222329</v>
      </c>
      <c r="CU50" s="1">
        <f t="shared" si="54"/>
        <v>7339.6814135566774</v>
      </c>
      <c r="CV50" s="1">
        <f t="shared" si="54"/>
        <v>7486.4750418278109</v>
      </c>
      <c r="CW50" s="1">
        <f t="shared" si="54"/>
        <v>7636.2045426643672</v>
      </c>
      <c r="CX50" s="1">
        <f t="shared" si="54"/>
        <v>7788.9286335176548</v>
      </c>
      <c r="CY50" s="1">
        <f t="shared" si="54"/>
        <v>7944.7072061880081</v>
      </c>
      <c r="CZ50" s="1">
        <f t="shared" si="54"/>
        <v>8103.6013503117683</v>
      </c>
      <c r="DA50" s="1">
        <f t="shared" si="54"/>
        <v>8265.673377318004</v>
      </c>
      <c r="DB50" s="1">
        <f t="shared" si="54"/>
        <v>8430.9868448643647</v>
      </c>
      <c r="DC50" s="1">
        <f t="shared" si="54"/>
        <v>8599.6065817616527</v>
      </c>
      <c r="DD50" s="1">
        <f t="shared" si="54"/>
        <v>8771.5987133968865</v>
      </c>
      <c r="DE50" s="1">
        <f t="shared" si="54"/>
        <v>8947.0306876648247</v>
      </c>
      <c r="DF50" s="1">
        <f t="shared" si="54"/>
        <v>9125.9713014181216</v>
      </c>
      <c r="DG50" s="1">
        <f t="shared" si="54"/>
        <v>9308.490727446484</v>
      </c>
      <c r="DH50" s="1">
        <f t="shared" si="54"/>
        <v>9494.660541995414</v>
      </c>
      <c r="DI50" s="1">
        <f t="shared" si="54"/>
        <v>9684.5537528353216</v>
      </c>
      <c r="DJ50" s="1">
        <f t="shared" si="54"/>
        <v>9878.2448278920274</v>
      </c>
      <c r="DK50" s="1">
        <f t="shared" si="54"/>
        <v>10075.809724449868</v>
      </c>
      <c r="DL50" s="1">
        <f t="shared" si="54"/>
        <v>10277.325918938865</v>
      </c>
      <c r="DM50" s="1">
        <f t="shared" si="54"/>
        <v>10482.872437317643</v>
      </c>
      <c r="DN50" s="1">
        <f t="shared" si="54"/>
        <v>10692.529886063996</v>
      </c>
      <c r="DO50" s="1">
        <f t="shared" si="54"/>
        <v>10906.380483785277</v>
      </c>
      <c r="DP50" s="1">
        <f t="shared" si="54"/>
        <v>11124.508093460983</v>
      </c>
      <c r="DQ50" s="1">
        <f t="shared" si="54"/>
        <v>11346.998255330203</v>
      </c>
      <c r="DR50" s="1">
        <f t="shared" si="54"/>
        <v>11573.938220436808</v>
      </c>
      <c r="DS50" s="1">
        <f t="shared" si="54"/>
        <v>11805.416984845544</v>
      </c>
      <c r="DT50" s="1">
        <f t="shared" si="54"/>
        <v>12041.525324542456</v>
      </c>
      <c r="DU50" s="1">
        <f t="shared" si="54"/>
        <v>12282.355831033305</v>
      </c>
      <c r="DV50" s="1">
        <f t="shared" si="54"/>
        <v>12528.002947653971</v>
      </c>
      <c r="DW50" s="1">
        <f t="shared" si="54"/>
        <v>12778.563006607052</v>
      </c>
      <c r="DX50" s="1">
        <f t="shared" si="54"/>
        <v>13034.134266739193</v>
      </c>
      <c r="DY50" s="1">
        <f t="shared" si="54"/>
        <v>13294.816952073978</v>
      </c>
    </row>
    <row r="51" spans="2:129" s="1" customFormat="1" x14ac:dyDescent="0.25"/>
    <row r="52" spans="2:129" s="1" customFormat="1" x14ac:dyDescent="0.25"/>
    <row r="53" spans="2:129" s="1" customFormat="1" x14ac:dyDescent="0.25"/>
    <row r="54" spans="2:129" s="1" customFormat="1" x14ac:dyDescent="0.25"/>
    <row r="55" spans="2:129" s="1" customFormat="1" x14ac:dyDescent="0.25"/>
    <row r="56" spans="2:129" s="1" customFormat="1" x14ac:dyDescent="0.25"/>
    <row r="57" spans="2:129" s="1" customFormat="1" x14ac:dyDescent="0.25"/>
    <row r="58" spans="2:129" s="1" customFormat="1" x14ac:dyDescent="0.25"/>
    <row r="59" spans="2:129" s="1" customFormat="1" x14ac:dyDescent="0.25"/>
    <row r="60" spans="2:129" s="1" customFormat="1" x14ac:dyDescent="0.25"/>
    <row r="61" spans="2:129" s="1" customFormat="1" x14ac:dyDescent="0.25"/>
    <row r="62" spans="2:129" s="1" customFormat="1" x14ac:dyDescent="0.25"/>
    <row r="63" spans="2:129" s="1" customFormat="1" x14ac:dyDescent="0.25"/>
    <row r="64" spans="2:129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0" s="1" customFormat="1" x14ac:dyDescent="0.25"/>
    <row r="71" s="1" customFormat="1" x14ac:dyDescent="0.25"/>
    <row r="72" s="1" customFormat="1" x14ac:dyDescent="0.25"/>
    <row r="73" s="1" customFormat="1" x14ac:dyDescent="0.25"/>
    <row r="74" s="1" customFormat="1" x14ac:dyDescent="0.25"/>
    <row r="75" s="1" customFormat="1" x14ac:dyDescent="0.25"/>
    <row r="76" s="1" customFormat="1" x14ac:dyDescent="0.25"/>
    <row r="77" s="1" customFormat="1" x14ac:dyDescent="0.25"/>
    <row r="78" s="1" customFormat="1" x14ac:dyDescent="0.25"/>
    <row r="79" s="1" customFormat="1" x14ac:dyDescent="0.25"/>
    <row r="80" s="1" customFormat="1" x14ac:dyDescent="0.25"/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4BD31-E642-4360-B630-95AAD2BE8F2A}">
  <dimension ref="B2:F29"/>
  <sheetViews>
    <sheetView topLeftCell="A13" zoomScale="205" zoomScaleNormal="205" workbookViewId="0">
      <selection activeCell="G20" sqref="G20"/>
    </sheetView>
  </sheetViews>
  <sheetFormatPr defaultRowHeight="15" x14ac:dyDescent="0.25"/>
  <cols>
    <col min="2" max="2" width="16.42578125" bestFit="1" customWidth="1"/>
    <col min="3" max="3" width="2.85546875" customWidth="1"/>
    <col min="5" max="6" width="9.140625" style="2"/>
  </cols>
  <sheetData>
    <row r="2" spans="2:6" x14ac:dyDescent="0.25">
      <c r="D2" s="7" t="s">
        <v>68</v>
      </c>
      <c r="E2" s="9" t="s">
        <v>75</v>
      </c>
      <c r="F2" s="9" t="s">
        <v>76</v>
      </c>
    </row>
    <row r="3" spans="2:6" x14ac:dyDescent="0.25">
      <c r="D3" t="s">
        <v>69</v>
      </c>
      <c r="E3" t="s">
        <v>69</v>
      </c>
      <c r="F3" s="2" t="s">
        <v>69</v>
      </c>
    </row>
    <row r="4" spans="2:6" x14ac:dyDescent="0.25">
      <c r="E4"/>
    </row>
    <row r="5" spans="2:6" s="7" customFormat="1" x14ac:dyDescent="0.25">
      <c r="B5" s="7" t="s">
        <v>59</v>
      </c>
      <c r="D5" s="7">
        <f>+SUM(D6:D19)</f>
        <v>595</v>
      </c>
      <c r="E5" s="9">
        <v>0.06</v>
      </c>
      <c r="F5" s="9">
        <v>0.18</v>
      </c>
    </row>
    <row r="6" spans="2:6" x14ac:dyDescent="0.25">
      <c r="B6" t="s">
        <v>45</v>
      </c>
      <c r="D6">
        <v>167</v>
      </c>
      <c r="E6" s="2">
        <v>0.5</v>
      </c>
      <c r="F6" s="2">
        <v>0.75</v>
      </c>
    </row>
    <row r="7" spans="2:6" x14ac:dyDescent="0.25">
      <c r="B7" t="s">
        <v>46</v>
      </c>
      <c r="D7">
        <v>150</v>
      </c>
      <c r="E7" s="2">
        <v>0.23</v>
      </c>
      <c r="F7" s="2">
        <v>0.38</v>
      </c>
    </row>
    <row r="8" spans="2:6" x14ac:dyDescent="0.25">
      <c r="B8" t="s">
        <v>47</v>
      </c>
      <c r="D8">
        <v>79</v>
      </c>
      <c r="E8" s="2">
        <v>0.36</v>
      </c>
      <c r="F8" s="2">
        <v>0.5</v>
      </c>
    </row>
    <row r="9" spans="2:6" x14ac:dyDescent="0.25">
      <c r="B9" t="s">
        <v>48</v>
      </c>
      <c r="D9">
        <v>49</v>
      </c>
      <c r="E9" s="2">
        <v>0.55000000000000004</v>
      </c>
      <c r="F9" s="2">
        <v>0.63</v>
      </c>
    </row>
    <row r="10" spans="2:6" x14ac:dyDescent="0.25">
      <c r="B10" t="s">
        <v>49</v>
      </c>
      <c r="D10">
        <v>43</v>
      </c>
      <c r="E10" s="2">
        <v>0.24</v>
      </c>
      <c r="F10" s="2">
        <v>0.4</v>
      </c>
    </row>
    <row r="11" spans="2:6" x14ac:dyDescent="0.25">
      <c r="B11" t="s">
        <v>50</v>
      </c>
      <c r="D11">
        <v>30</v>
      </c>
    </row>
    <row r="12" spans="2:6" x14ac:dyDescent="0.25">
      <c r="B12" t="s">
        <v>51</v>
      </c>
      <c r="D12">
        <v>24</v>
      </c>
      <c r="E12" s="2">
        <v>0.16</v>
      </c>
      <c r="F12" s="2">
        <v>0.68</v>
      </c>
    </row>
    <row r="13" spans="2:6" x14ac:dyDescent="0.25">
      <c r="B13" t="s">
        <v>52</v>
      </c>
      <c r="D13">
        <v>17</v>
      </c>
      <c r="E13" s="2">
        <v>0.2</v>
      </c>
      <c r="F13" s="2">
        <v>0.46</v>
      </c>
    </row>
    <row r="14" spans="2:6" x14ac:dyDescent="0.25">
      <c r="B14" t="s">
        <v>53</v>
      </c>
      <c r="D14">
        <v>14</v>
      </c>
      <c r="E14" s="2">
        <v>0.11</v>
      </c>
      <c r="F14" s="2">
        <v>0.2</v>
      </c>
    </row>
    <row r="15" spans="2:6" x14ac:dyDescent="0.25">
      <c r="B15" t="s">
        <v>54</v>
      </c>
      <c r="D15">
        <v>9</v>
      </c>
      <c r="E15" s="2">
        <v>0.2</v>
      </c>
      <c r="F15" s="2">
        <v>0.28999999999999998</v>
      </c>
    </row>
    <row r="16" spans="2:6" x14ac:dyDescent="0.25">
      <c r="B16" t="s">
        <v>55</v>
      </c>
      <c r="D16">
        <v>6</v>
      </c>
      <c r="E16" s="2">
        <v>0.12</v>
      </c>
      <c r="F16" s="2">
        <v>0.22</v>
      </c>
    </row>
    <row r="17" spans="2:6" x14ac:dyDescent="0.25">
      <c r="B17" t="s">
        <v>56</v>
      </c>
      <c r="D17">
        <v>3</v>
      </c>
    </row>
    <row r="18" spans="2:6" x14ac:dyDescent="0.25">
      <c r="B18" t="s">
        <v>57</v>
      </c>
      <c r="D18">
        <v>3</v>
      </c>
    </row>
    <row r="19" spans="2:6" x14ac:dyDescent="0.25">
      <c r="B19" t="s">
        <v>58</v>
      </c>
      <c r="D19">
        <v>1</v>
      </c>
    </row>
    <row r="21" spans="2:6" s="7" customFormat="1" x14ac:dyDescent="0.25">
      <c r="B21" s="7" t="s">
        <v>60</v>
      </c>
      <c r="D21" s="7">
        <f>+SUM(D22:D25)</f>
        <v>201</v>
      </c>
      <c r="E21" s="9">
        <f>+AVERAGE(E22:E25)</f>
        <v>7.7499999999999999E-2</v>
      </c>
      <c r="F21" s="9">
        <f>+AVERAGE(F22:F25)</f>
        <v>0.155</v>
      </c>
    </row>
    <row r="22" spans="2:6" x14ac:dyDescent="0.25">
      <c r="B22" t="s">
        <v>61</v>
      </c>
      <c r="D22">
        <v>117</v>
      </c>
      <c r="E22" s="2">
        <v>0.09</v>
      </c>
      <c r="F22" s="2">
        <v>0.15</v>
      </c>
    </row>
    <row r="23" spans="2:6" x14ac:dyDescent="0.25">
      <c r="B23" t="s">
        <v>62</v>
      </c>
      <c r="D23">
        <v>46</v>
      </c>
      <c r="E23" s="2">
        <v>0.04</v>
      </c>
      <c r="F23" s="2">
        <v>7.0000000000000007E-2</v>
      </c>
    </row>
    <row r="24" spans="2:6" x14ac:dyDescent="0.25">
      <c r="B24" t="s">
        <v>63</v>
      </c>
      <c r="D24">
        <v>29</v>
      </c>
      <c r="E24" s="2">
        <v>0.06</v>
      </c>
      <c r="F24" s="2">
        <v>0.18</v>
      </c>
    </row>
    <row r="25" spans="2:6" x14ac:dyDescent="0.25">
      <c r="B25" t="s">
        <v>64</v>
      </c>
      <c r="D25">
        <v>9</v>
      </c>
      <c r="E25" s="2">
        <v>0.12</v>
      </c>
      <c r="F25" s="2">
        <v>0.22</v>
      </c>
    </row>
    <row r="27" spans="2:6" x14ac:dyDescent="0.25">
      <c r="B27" s="7" t="s">
        <v>65</v>
      </c>
    </row>
    <row r="28" spans="2:6" x14ac:dyDescent="0.25">
      <c r="B28" t="s">
        <v>66</v>
      </c>
      <c r="D28">
        <v>36</v>
      </c>
      <c r="E28" s="2">
        <v>0.03</v>
      </c>
      <c r="F28" s="2">
        <v>0.1</v>
      </c>
    </row>
    <row r="29" spans="2:6" x14ac:dyDescent="0.25">
      <c r="B29" t="s">
        <v>67</v>
      </c>
      <c r="D2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Detailed</vt:lpstr>
      <vt:lpstr>Routes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Kutzer Maximilian Claudius</dc:creator>
  <cp:lastModifiedBy>Kutzer Maximilian Claudius</cp:lastModifiedBy>
  <dcterms:created xsi:type="dcterms:W3CDTF">2026-01-20T22:37:09Z</dcterms:created>
  <dcterms:modified xsi:type="dcterms:W3CDTF">2026-03-11T12:26:59Z</dcterms:modified>
</cp:coreProperties>
</file>