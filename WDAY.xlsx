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FC0595E7-B553-408D-8A9D-92592783B48A}" xr6:coauthVersionLast="47" xr6:coauthVersionMax="47" xr10:uidLastSave="{00000000-0000-0000-0000-000000000000}"/>
  <bookViews>
    <workbookView xWindow="-120" yWindow="-120" windowWidth="29040" windowHeight="15840" activeTab="1" xr2:uid="{8B922BAA-3D58-420E-8EFD-A024470CD238}"/>
  </bookViews>
  <sheets>
    <sheet name="Mai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29" i="1" l="1"/>
  <c r="K13" i="1"/>
  <c r="L13" i="1"/>
  <c r="M13" i="1"/>
  <c r="N13" i="1"/>
  <c r="O13" i="1"/>
  <c r="P13" i="1"/>
  <c r="R13" i="1"/>
  <c r="S6" i="1"/>
  <c r="R6" i="1"/>
  <c r="Q6" i="1"/>
  <c r="P6" i="1"/>
  <c r="O6" i="1"/>
  <c r="N6" i="1"/>
  <c r="M6" i="1"/>
  <c r="L6" i="1"/>
  <c r="K6" i="1"/>
  <c r="M11" i="1"/>
  <c r="N11" i="1" s="1"/>
  <c r="O11" i="1" s="1"/>
  <c r="P11" i="1" s="1"/>
  <c r="Q11" i="1" s="1"/>
  <c r="R11" i="1" s="1"/>
  <c r="S11" i="1" s="1"/>
  <c r="V26" i="1"/>
  <c r="I18" i="1"/>
  <c r="I19" i="1" s="1"/>
  <c r="J19" i="1"/>
  <c r="K20" i="1"/>
  <c r="L20" i="1" s="1"/>
  <c r="M20" i="1" s="1"/>
  <c r="N20" i="1" s="1"/>
  <c r="O20" i="1" s="1"/>
  <c r="P20" i="1" s="1"/>
  <c r="Q20" i="1" s="1"/>
  <c r="R20" i="1" s="1"/>
  <c r="S20" i="1" s="1"/>
  <c r="J20" i="1"/>
  <c r="H19" i="1"/>
  <c r="G19" i="1"/>
  <c r="J17" i="1"/>
  <c r="J13" i="1"/>
  <c r="J12" i="1"/>
  <c r="J11" i="1"/>
  <c r="K11" i="1" s="1"/>
  <c r="L11" i="1" s="1"/>
  <c r="J8" i="1"/>
  <c r="J7" i="1"/>
  <c r="J9" i="1" s="1"/>
  <c r="J5" i="1"/>
  <c r="J4" i="1"/>
  <c r="J6" i="1" s="1"/>
  <c r="J25" i="1" l="1"/>
  <c r="J26" i="1"/>
  <c r="G31" i="1" l="1"/>
  <c r="H31" i="1"/>
  <c r="I31" i="1"/>
  <c r="H6" i="1"/>
  <c r="I6" i="1"/>
  <c r="H9" i="1"/>
  <c r="I9" i="1"/>
  <c r="G9" i="1"/>
  <c r="G6" i="1"/>
  <c r="H2" i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C7" i="2"/>
  <c r="C6" i="2"/>
  <c r="C4" i="2"/>
  <c r="C5" i="2" s="1"/>
  <c r="H24" i="1" l="1"/>
  <c r="H27" i="1"/>
  <c r="H25" i="1"/>
  <c r="H26" i="1"/>
  <c r="I26" i="1"/>
  <c r="I27" i="1"/>
  <c r="I25" i="1"/>
  <c r="G25" i="1"/>
  <c r="G26" i="1"/>
  <c r="G27" i="1"/>
  <c r="J27" i="1"/>
  <c r="J24" i="1"/>
  <c r="J10" i="1"/>
  <c r="I24" i="1"/>
  <c r="I10" i="1"/>
  <c r="H10" i="1"/>
  <c r="G10" i="1"/>
  <c r="K25" i="1" l="1"/>
  <c r="H14" i="1"/>
  <c r="H22" i="1"/>
  <c r="J14" i="1"/>
  <c r="J22" i="1"/>
  <c r="K9" i="1"/>
  <c r="K10" i="1" s="1"/>
  <c r="K27" i="1"/>
  <c r="K24" i="1"/>
  <c r="K12" i="1" s="1"/>
  <c r="K26" i="1" s="1"/>
  <c r="G14" i="1"/>
  <c r="G22" i="1"/>
  <c r="I14" i="1"/>
  <c r="I22" i="1"/>
  <c r="L25" i="1" l="1"/>
  <c r="I16" i="1"/>
  <c r="I23" i="1"/>
  <c r="L9" i="1"/>
  <c r="L10" i="1" s="1"/>
  <c r="L27" i="1"/>
  <c r="L24" i="1"/>
  <c r="L12" i="1" s="1"/>
  <c r="K22" i="1"/>
  <c r="K14" i="1"/>
  <c r="G16" i="1"/>
  <c r="G18" i="1" s="1"/>
  <c r="G23" i="1"/>
  <c r="J23" i="1"/>
  <c r="J16" i="1"/>
  <c r="J18" i="1" s="1"/>
  <c r="H16" i="1"/>
  <c r="H18" i="1" s="1"/>
  <c r="H23" i="1"/>
  <c r="L26" i="1" l="1"/>
  <c r="M25" i="1"/>
  <c r="K16" i="1"/>
  <c r="K23" i="1"/>
  <c r="L22" i="1"/>
  <c r="L14" i="1"/>
  <c r="M9" i="1"/>
  <c r="M10" i="1" s="1"/>
  <c r="M27" i="1"/>
  <c r="M24" i="1"/>
  <c r="M12" i="1" s="1"/>
  <c r="M26" i="1" l="1"/>
  <c r="K17" i="1"/>
  <c r="K18" i="1" s="1"/>
  <c r="K19" i="1" s="1"/>
  <c r="N25" i="1"/>
  <c r="N9" i="1"/>
  <c r="N10" i="1" s="1"/>
  <c r="N27" i="1"/>
  <c r="N24" i="1"/>
  <c r="N12" i="1" s="1"/>
  <c r="M22" i="1"/>
  <c r="M14" i="1"/>
  <c r="L23" i="1"/>
  <c r="L16" i="1"/>
  <c r="N26" i="1" l="1"/>
  <c r="L17" i="1"/>
  <c r="L18" i="1" s="1"/>
  <c r="L19" i="1" s="1"/>
  <c r="O25" i="1"/>
  <c r="M16" i="1"/>
  <c r="M23" i="1"/>
  <c r="N22" i="1"/>
  <c r="N14" i="1"/>
  <c r="O9" i="1"/>
  <c r="O10" i="1"/>
  <c r="O27" i="1"/>
  <c r="O24" i="1"/>
  <c r="O12" i="1" s="1"/>
  <c r="O26" i="1" l="1"/>
  <c r="M17" i="1"/>
  <c r="M18" i="1" s="1"/>
  <c r="P25" i="1"/>
  <c r="O22" i="1"/>
  <c r="O14" i="1"/>
  <c r="N23" i="1"/>
  <c r="N16" i="1"/>
  <c r="P9" i="1"/>
  <c r="P10" i="1" s="1"/>
  <c r="P27" i="1"/>
  <c r="P24" i="1"/>
  <c r="P12" i="1" s="1"/>
  <c r="Q13" i="1"/>
  <c r="P26" i="1" l="1"/>
  <c r="M19" i="1"/>
  <c r="N17" i="1"/>
  <c r="N18" i="1" s="1"/>
  <c r="N19" i="1" s="1"/>
  <c r="Q25" i="1"/>
  <c r="P22" i="1"/>
  <c r="P14" i="1"/>
  <c r="Q9" i="1"/>
  <c r="Q10" i="1" s="1"/>
  <c r="Q27" i="1"/>
  <c r="Q24" i="1"/>
  <c r="Q12" i="1" s="1"/>
  <c r="O23" i="1"/>
  <c r="O16" i="1"/>
  <c r="Q26" i="1" l="1"/>
  <c r="O17" i="1"/>
  <c r="O18" i="1" s="1"/>
  <c r="R25" i="1"/>
  <c r="Q22" i="1"/>
  <c r="Q14" i="1"/>
  <c r="R9" i="1"/>
  <c r="R27" i="1"/>
  <c r="R10" i="1"/>
  <c r="S13" i="1"/>
  <c r="R24" i="1"/>
  <c r="R12" i="1" s="1"/>
  <c r="P16" i="1"/>
  <c r="P23" i="1"/>
  <c r="R26" i="1" l="1"/>
  <c r="O19" i="1"/>
  <c r="P17" i="1"/>
  <c r="P18" i="1" s="1"/>
  <c r="P19" i="1" s="1"/>
  <c r="S25" i="1"/>
  <c r="R22" i="1"/>
  <c r="R14" i="1"/>
  <c r="S24" i="1"/>
  <c r="S12" i="1" s="1"/>
  <c r="S26" i="1" s="1"/>
  <c r="S9" i="1"/>
  <c r="S10" i="1" s="1"/>
  <c r="S27" i="1"/>
  <c r="Q23" i="1"/>
  <c r="Q16" i="1"/>
  <c r="Q17" i="1" l="1"/>
  <c r="Q18" i="1" s="1"/>
  <c r="Q19" i="1" s="1"/>
  <c r="S22" i="1"/>
  <c r="S14" i="1"/>
  <c r="R23" i="1"/>
  <c r="R16" i="1"/>
  <c r="R17" i="1" l="1"/>
  <c r="R18" i="1" s="1"/>
  <c r="R19" i="1" s="1"/>
  <c r="S23" i="1"/>
  <c r="S16" i="1"/>
  <c r="S17" i="1" l="1"/>
  <c r="S18" i="1" s="1"/>
  <c r="S19" i="1" l="1"/>
  <c r="T18" i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BG18" i="1" s="1"/>
  <c r="BH18" i="1" s="1"/>
  <c r="BI18" i="1" s="1"/>
  <c r="BJ18" i="1" s="1"/>
  <c r="BK18" i="1" s="1"/>
  <c r="BL18" i="1" s="1"/>
  <c r="BM18" i="1" s="1"/>
  <c r="BN18" i="1" s="1"/>
  <c r="BO18" i="1" s="1"/>
  <c r="BP18" i="1" s="1"/>
  <c r="BQ18" i="1" s="1"/>
  <c r="BR18" i="1" s="1"/>
  <c r="BS18" i="1" s="1"/>
  <c r="BT18" i="1" s="1"/>
  <c r="BU18" i="1" s="1"/>
  <c r="BV18" i="1" s="1"/>
  <c r="BW18" i="1" s="1"/>
  <c r="BX18" i="1" s="1"/>
  <c r="BY18" i="1" s="1"/>
  <c r="BZ18" i="1" s="1"/>
  <c r="CA18" i="1" s="1"/>
  <c r="CB18" i="1" s="1"/>
  <c r="CC18" i="1" s="1"/>
  <c r="CD18" i="1" s="1"/>
  <c r="CE18" i="1" s="1"/>
  <c r="CF18" i="1" s="1"/>
  <c r="CG18" i="1" s="1"/>
  <c r="CH18" i="1" s="1"/>
  <c r="V25" i="1" l="1"/>
  <c r="V27" i="1" s="1"/>
  <c r="V28" i="1" s="1"/>
</calcChain>
</file>

<file path=xl/sharedStrings.xml><?xml version="1.0" encoding="utf-8"?>
<sst xmlns="http://schemas.openxmlformats.org/spreadsheetml/2006/main" count="38" uniqueCount="32">
  <si>
    <t>Price</t>
  </si>
  <si>
    <t>Shares</t>
  </si>
  <si>
    <t>Q3 25</t>
  </si>
  <si>
    <t>MC</t>
  </si>
  <si>
    <t>Net Cash</t>
  </si>
  <si>
    <t>EV</t>
  </si>
  <si>
    <t>Total Revenue</t>
  </si>
  <si>
    <t>Subscription</t>
  </si>
  <si>
    <t>Professionals</t>
  </si>
  <si>
    <t>COGS Subs</t>
  </si>
  <si>
    <t>COGS Prof</t>
  </si>
  <si>
    <t>Gross Profit</t>
  </si>
  <si>
    <t>Total COGS</t>
  </si>
  <si>
    <t>R&amp;D</t>
  </si>
  <si>
    <t>S&amp;M</t>
  </si>
  <si>
    <t>G&amp;A</t>
  </si>
  <si>
    <t>Operating Income</t>
  </si>
  <si>
    <t>Other income</t>
  </si>
  <si>
    <t>Pretax</t>
  </si>
  <si>
    <t>Taxes</t>
  </si>
  <si>
    <t>Net Income</t>
  </si>
  <si>
    <t>Gross Margin</t>
  </si>
  <si>
    <t>Operating Margin</t>
  </si>
  <si>
    <t>Revenue Y/Y</t>
  </si>
  <si>
    <t>CFFO</t>
  </si>
  <si>
    <t>CapEx</t>
  </si>
  <si>
    <t>FCF</t>
  </si>
  <si>
    <t>EPS</t>
  </si>
  <si>
    <t>Discount</t>
  </si>
  <si>
    <t>Terminal</t>
  </si>
  <si>
    <t>NPV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</si>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</sst>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4" fontId="0" fillId="0" borderId="0" xfId="0" applyNumberFormat="1"/>
    <xf numFmtId="2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5013</xdr:colOff>
      <xdr:row>2</xdr:row>
      <xdr:rowOff>185487</xdr:rowOff>
    </xdr:from>
    <xdr:to>
      <xdr:col>9</xdr:col>
      <xdr:colOff>15039</xdr:colOff>
      <xdr:row>31</xdr:row>
      <xdr:rowOff>40105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78DABDA-3F0E-ED0B-DEF8-0A34B4C29945}"/>
            </a:ext>
          </a:extLst>
        </xdr:cNvPr>
        <xdr:cNvCxnSpPr/>
      </xdr:nvCxnSpPr>
      <xdr:spPr>
        <a:xfrm>
          <a:off x="5609724" y="566487"/>
          <a:ext cx="10026" cy="49981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8285-3273-4F34-99E6-78CA82D644BE}">
  <dimension ref="B3:D7"/>
  <sheetViews>
    <sheetView zoomScale="190" zoomScaleNormal="190" workbookViewId="0">
      <selection activeCell="C7" sqref="C7"/>
    </sheetView>
  </sheetViews>
  <sheetFormatPr defaultRowHeight="15" x14ac:dyDescent="0.25"/>
  <sheetData>
    <row r="3" spans="2:4" x14ac:dyDescent="0.25">
      <c r="B3" t="s">
        <v>0</v>
      </c>
      <c r="C3">
        <v>190</v>
      </c>
    </row>
    <row r="4" spans="2:4" x14ac:dyDescent="0.25">
      <c r="B4" t="s">
        <v>1</v>
      </c>
      <c r="C4">
        <f>213+50</f>
        <v>263</v>
      </c>
      <c r="D4" t="s">
        <v>2</v>
      </c>
    </row>
    <row r="5" spans="2:4" x14ac:dyDescent="0.25">
      <c r="B5" t="s">
        <v>3</v>
      </c>
      <c r="C5" s="1">
        <f>+C4*C3</f>
        <v>49970</v>
      </c>
    </row>
    <row r="6" spans="2:4" x14ac:dyDescent="0.25">
      <c r="B6" t="s">
        <v>4</v>
      </c>
      <c r="C6" s="1">
        <f>2609+4234-2986</f>
        <v>3857</v>
      </c>
    </row>
    <row r="7" spans="2:4" x14ac:dyDescent="0.25">
      <c r="B7" t="s">
        <v>5</v>
      </c>
      <c r="C7" s="1">
        <f>+C5-C6</f>
        <v>46113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BAC76-B182-43AA-9DED-18F8E9594744}">
  <dimension ref="B2:CH98"/>
  <sheetViews>
    <sheetView tabSelected="1" zoomScale="190" zoomScaleNormal="190" workbookViewId="0">
      <pane xSplit="2" ySplit="2" topLeftCell="K18" activePane="bottomRight" state="frozen"/>
      <selection pane="topRight" activeCell="C1" sqref="C1"/>
      <selection pane="bottomLeft" activeCell="A3" sqref="A3"/>
      <selection pane="bottomRight" activeCell="V30" sqref="V30"/>
    </sheetView>
  </sheetViews>
  <sheetFormatPr defaultRowHeight="15" x14ac:dyDescent="0.25"/>
  <cols>
    <col min="1" max="1" width="2.85546875" customWidth="1"/>
    <col min="2" max="2" width="17" bestFit="1" customWidth="1"/>
  </cols>
  <sheetData>
    <row r="2" spans="2:19" x14ac:dyDescent="0.25">
      <c r="G2">
        <v>2023</v>
      </c>
      <c r="H2">
        <f>+G2+1</f>
        <v>2024</v>
      </c>
      <c r="I2">
        <f t="shared" ref="I2:S2" si="0">+H2+1</f>
        <v>2025</v>
      </c>
      <c r="J2">
        <f t="shared" si="0"/>
        <v>2026</v>
      </c>
      <c r="K2">
        <f t="shared" si="0"/>
        <v>2027</v>
      </c>
      <c r="L2">
        <f t="shared" si="0"/>
        <v>2028</v>
      </c>
      <c r="M2">
        <f t="shared" si="0"/>
        <v>2029</v>
      </c>
      <c r="N2">
        <f t="shared" si="0"/>
        <v>2030</v>
      </c>
      <c r="O2">
        <f t="shared" si="0"/>
        <v>2031</v>
      </c>
      <c r="P2">
        <f t="shared" si="0"/>
        <v>2032</v>
      </c>
      <c r="Q2">
        <f t="shared" si="0"/>
        <v>2033</v>
      </c>
      <c r="R2">
        <f t="shared" si="0"/>
        <v>2034</v>
      </c>
      <c r="S2">
        <f t="shared" si="0"/>
        <v>2035</v>
      </c>
    </row>
    <row r="3" spans="2:19" s="1" customFormat="1" x14ac:dyDescent="0.25"/>
    <row r="4" spans="2:19" s="1" customFormat="1" x14ac:dyDescent="0.25">
      <c r="B4" s="1" t="s">
        <v>7</v>
      </c>
      <c r="G4" s="1">
        <v>5567</v>
      </c>
      <c r="H4" s="1">
        <v>6603</v>
      </c>
      <c r="I4" s="1">
        <v>7718</v>
      </c>
      <c r="J4" s="1">
        <f>6473*1.33</f>
        <v>8609.09</v>
      </c>
    </row>
    <row r="5" spans="2:19" s="1" customFormat="1" x14ac:dyDescent="0.25">
      <c r="B5" s="1" t="s">
        <v>8</v>
      </c>
      <c r="G5" s="1">
        <v>649</v>
      </c>
      <c r="H5" s="1">
        <v>656</v>
      </c>
      <c r="I5" s="1">
        <v>728</v>
      </c>
      <c r="J5" s="1">
        <f>547*1.33</f>
        <v>727.51</v>
      </c>
    </row>
    <row r="6" spans="2:19" s="2" customFormat="1" x14ac:dyDescent="0.25">
      <c r="B6" s="2" t="s">
        <v>6</v>
      </c>
      <c r="G6" s="2">
        <f>+SUM(G4:G5)</f>
        <v>6216</v>
      </c>
      <c r="H6" s="2">
        <f t="shared" ref="H6:I6" si="1">+SUM(H4:H5)</f>
        <v>7259</v>
      </c>
      <c r="I6" s="2">
        <f t="shared" si="1"/>
        <v>8446</v>
      </c>
      <c r="J6" s="2">
        <f>+J4+J5</f>
        <v>9336.6</v>
      </c>
      <c r="K6" s="2">
        <f>+J6*1.08</f>
        <v>10083.528</v>
      </c>
      <c r="L6" s="2">
        <f>+K6*1.08</f>
        <v>10890.21024</v>
      </c>
      <c r="M6" s="2">
        <f>+L6*1.09</f>
        <v>11870.329161600001</v>
      </c>
      <c r="N6" s="2">
        <f>+M6*1.09</f>
        <v>12938.658786144002</v>
      </c>
      <c r="O6" s="2">
        <f>+N6*1.09</f>
        <v>14103.138076896963</v>
      </c>
      <c r="P6" s="2">
        <f>+O6*1.09</f>
        <v>15372.420503817691</v>
      </c>
      <c r="Q6" s="2">
        <f>+P6*1.12</f>
        <v>17217.110964275817</v>
      </c>
      <c r="R6" s="2">
        <f>+Q6*1.12</f>
        <v>19283.164279988916</v>
      </c>
      <c r="S6" s="2">
        <f>+R6*1.12</f>
        <v>21597.14399358759</v>
      </c>
    </row>
    <row r="7" spans="2:19" s="1" customFormat="1" x14ac:dyDescent="0.25">
      <c r="B7" s="1" t="s">
        <v>9</v>
      </c>
      <c r="G7" s="1">
        <v>1007</v>
      </c>
      <c r="H7" s="1">
        <v>1031</v>
      </c>
      <c r="I7" s="1">
        <v>1266</v>
      </c>
      <c r="J7" s="1">
        <f>1115*1.33</f>
        <v>1482.95</v>
      </c>
    </row>
    <row r="8" spans="2:19" s="1" customFormat="1" x14ac:dyDescent="0.25">
      <c r="B8" s="1" t="s">
        <v>10</v>
      </c>
      <c r="G8" s="1">
        <v>703</v>
      </c>
      <c r="H8" s="1">
        <v>740</v>
      </c>
      <c r="I8" s="1">
        <v>803</v>
      </c>
      <c r="J8" s="1">
        <f>595*1.33</f>
        <v>791.35</v>
      </c>
    </row>
    <row r="9" spans="2:19" s="1" customFormat="1" x14ac:dyDescent="0.25">
      <c r="B9" s="1" t="s">
        <v>12</v>
      </c>
      <c r="G9" s="1">
        <f>+G7+G8</f>
        <v>1710</v>
      </c>
      <c r="H9" s="1">
        <f t="shared" ref="H9:I9" si="2">+H7+H8</f>
        <v>1771</v>
      </c>
      <c r="I9" s="1">
        <f t="shared" si="2"/>
        <v>2069</v>
      </c>
      <c r="J9" s="1">
        <f>+J7+J8</f>
        <v>2274.3000000000002</v>
      </c>
      <c r="K9" s="1">
        <f t="shared" ref="K9:S9" si="3">+K6*0.24</f>
        <v>2420.0467199999998</v>
      </c>
      <c r="L9" s="1">
        <f t="shared" si="3"/>
        <v>2613.6504576000002</v>
      </c>
      <c r="M9" s="1">
        <f t="shared" si="3"/>
        <v>2848.878998784</v>
      </c>
      <c r="N9" s="1">
        <f t="shared" si="3"/>
        <v>3105.2781086745604</v>
      </c>
      <c r="O9" s="1">
        <f t="shared" si="3"/>
        <v>3384.7531384552708</v>
      </c>
      <c r="P9" s="1">
        <f t="shared" si="3"/>
        <v>3689.3809209162459</v>
      </c>
      <c r="Q9" s="1">
        <f t="shared" si="3"/>
        <v>4132.1066314261961</v>
      </c>
      <c r="R9" s="1">
        <f t="shared" si="3"/>
        <v>4627.9594271973392</v>
      </c>
      <c r="S9" s="1">
        <f t="shared" si="3"/>
        <v>5183.3145584610211</v>
      </c>
    </row>
    <row r="10" spans="2:19" s="1" customFormat="1" x14ac:dyDescent="0.25">
      <c r="B10" s="1" t="s">
        <v>11</v>
      </c>
      <c r="G10" s="1">
        <f>+G6-G9</f>
        <v>4506</v>
      </c>
      <c r="H10" s="1">
        <f t="shared" ref="H10:J10" si="4">+H6-H9</f>
        <v>5488</v>
      </c>
      <c r="I10" s="1">
        <f t="shared" si="4"/>
        <v>6377</v>
      </c>
      <c r="J10" s="1">
        <f t="shared" si="4"/>
        <v>7062.3</v>
      </c>
      <c r="K10" s="1">
        <f t="shared" ref="K10" si="5">+K6-K9</f>
        <v>7663.48128</v>
      </c>
      <c r="L10" s="1">
        <f t="shared" ref="L10" si="6">+L6-L9</f>
        <v>8276.5597823999997</v>
      </c>
      <c r="M10" s="1">
        <f t="shared" ref="M10" si="7">+M6-M9</f>
        <v>9021.4501628159996</v>
      </c>
      <c r="N10" s="1">
        <f t="shared" ref="N10" si="8">+N6-N9</f>
        <v>9833.3806774694422</v>
      </c>
      <c r="O10" s="1">
        <f t="shared" ref="O10" si="9">+O6-O9</f>
        <v>10718.384938441692</v>
      </c>
      <c r="P10" s="1">
        <f t="shared" ref="P10" si="10">+P6-P9</f>
        <v>11683.039582901445</v>
      </c>
      <c r="Q10" s="1">
        <f t="shared" ref="Q10" si="11">+Q6-Q9</f>
        <v>13085.004332849621</v>
      </c>
      <c r="R10" s="1">
        <f t="shared" ref="R10" si="12">+R6-R9</f>
        <v>14655.204852791576</v>
      </c>
      <c r="S10" s="1">
        <f t="shared" ref="S10" si="13">+S6-S9</f>
        <v>16413.829435126569</v>
      </c>
    </row>
    <row r="11" spans="2:19" s="1" customFormat="1" x14ac:dyDescent="0.25">
      <c r="B11" s="1" t="s">
        <v>13</v>
      </c>
      <c r="G11" s="1">
        <v>2247</v>
      </c>
      <c r="H11" s="1">
        <v>2464</v>
      </c>
      <c r="I11" s="1">
        <v>2626</v>
      </c>
      <c r="J11" s="1">
        <f>1988*1.33</f>
        <v>2644.04</v>
      </c>
      <c r="K11" s="1">
        <f>+J11*1.05</f>
        <v>2776.2420000000002</v>
      </c>
      <c r="L11" s="1">
        <f t="shared" ref="L11" si="14">+K11*1.05</f>
        <v>2915.0541000000003</v>
      </c>
      <c r="M11" s="1">
        <f t="shared" ref="M11" si="15">+L11*1.05</f>
        <v>3060.8068050000006</v>
      </c>
      <c r="N11" s="1">
        <f t="shared" ref="N11" si="16">+M11*1.05</f>
        <v>3213.8471452500007</v>
      </c>
      <c r="O11" s="1">
        <f t="shared" ref="O11" si="17">+N11*1.05</f>
        <v>3374.5395025125008</v>
      </c>
      <c r="P11" s="1">
        <f t="shared" ref="P11" si="18">+O11*1.05</f>
        <v>3543.2664776381262</v>
      </c>
      <c r="Q11" s="1">
        <f t="shared" ref="Q11" si="19">+P11*1.05</f>
        <v>3720.4298015200325</v>
      </c>
      <c r="R11" s="1">
        <f t="shared" ref="R11" si="20">+Q11*1.05</f>
        <v>3906.4512915960345</v>
      </c>
      <c r="S11" s="1">
        <f t="shared" ref="S11" si="21">+R11*1.05</f>
        <v>4101.773856175836</v>
      </c>
    </row>
    <row r="12" spans="2:19" s="1" customFormat="1" x14ac:dyDescent="0.25">
      <c r="B12" s="1" t="s">
        <v>14</v>
      </c>
      <c r="G12" s="1">
        <v>1842</v>
      </c>
      <c r="H12" s="1">
        <v>2139</v>
      </c>
      <c r="I12" s="1">
        <v>2432</v>
      </c>
      <c r="J12" s="1">
        <f>1941*1.33</f>
        <v>2581.5300000000002</v>
      </c>
      <c r="K12" s="1">
        <f>+J12*(1+K24/2)</f>
        <v>2684.7912000000001</v>
      </c>
      <c r="L12" s="1">
        <f t="shared" ref="L12:S12" si="22">+K12*(1+L24/2)</f>
        <v>2792.1828480000004</v>
      </c>
      <c r="M12" s="1">
        <f t="shared" si="22"/>
        <v>2917.8310761600001</v>
      </c>
      <c r="N12" s="1">
        <f t="shared" si="22"/>
        <v>3049.1334745872</v>
      </c>
      <c r="O12" s="1">
        <f t="shared" si="22"/>
        <v>3186.3444809436237</v>
      </c>
      <c r="P12" s="1">
        <f t="shared" si="22"/>
        <v>3329.7299825860864</v>
      </c>
      <c r="Q12" s="1">
        <f t="shared" si="22"/>
        <v>3529.5137815412518</v>
      </c>
      <c r="R12" s="1">
        <f t="shared" si="22"/>
        <v>3741.284608433727</v>
      </c>
      <c r="S12" s="1">
        <f t="shared" si="22"/>
        <v>3965.7616849397509</v>
      </c>
    </row>
    <row r="13" spans="2:19" s="1" customFormat="1" x14ac:dyDescent="0.25">
      <c r="B13" s="1" t="s">
        <v>15</v>
      </c>
      <c r="G13" s="1">
        <v>599</v>
      </c>
      <c r="H13" s="1">
        <v>702</v>
      </c>
      <c r="I13" s="1">
        <v>820</v>
      </c>
      <c r="J13" s="1">
        <f>662*1.33</f>
        <v>880.46</v>
      </c>
      <c r="K13" s="1">
        <f t="shared" ref="K13:P13" si="23">+K6*0.08</f>
        <v>806.68224000000009</v>
      </c>
      <c r="L13" s="1">
        <f t="shared" si="23"/>
        <v>871.21681920000003</v>
      </c>
      <c r="M13" s="1">
        <f t="shared" si="23"/>
        <v>949.62633292800001</v>
      </c>
      <c r="N13" s="1">
        <f t="shared" si="23"/>
        <v>1035.0927028915203</v>
      </c>
      <c r="O13" s="1">
        <f t="shared" si="23"/>
        <v>1128.251046151757</v>
      </c>
      <c r="P13" s="1">
        <f t="shared" si="23"/>
        <v>1229.7936403054152</v>
      </c>
      <c r="Q13" s="1">
        <f t="shared" ref="O13:S13" si="24">+Q6*0.08</f>
        <v>1377.3688771420655</v>
      </c>
      <c r="R13" s="1">
        <f>+R6*0.08</f>
        <v>1542.6531423991132</v>
      </c>
      <c r="S13" s="1">
        <f t="shared" si="24"/>
        <v>1727.7715194870073</v>
      </c>
    </row>
    <row r="14" spans="2:19" s="2" customFormat="1" x14ac:dyDescent="0.25">
      <c r="B14" s="2" t="s">
        <v>16</v>
      </c>
      <c r="G14" s="2">
        <f>+G10-G11-G12-G13</f>
        <v>-182</v>
      </c>
      <c r="H14" s="2">
        <f t="shared" ref="H14:J14" si="25">+H10-H11-H12-H13</f>
        <v>183</v>
      </c>
      <c r="I14" s="2">
        <f t="shared" si="25"/>
        <v>499</v>
      </c>
      <c r="J14" s="2">
        <f t="shared" si="25"/>
        <v>956.27</v>
      </c>
      <c r="K14" s="2">
        <f t="shared" ref="K14" si="26">+K10-K11-K12-K13</f>
        <v>1395.7658399999996</v>
      </c>
      <c r="L14" s="2">
        <f t="shared" ref="L14" si="27">+L10-L11-L12-L13</f>
        <v>1698.1060151999991</v>
      </c>
      <c r="M14" s="2">
        <f t="shared" ref="M14" si="28">+M10-M11-M12-M13</f>
        <v>2093.1859487279994</v>
      </c>
      <c r="N14" s="2">
        <f t="shared" ref="N14" si="29">+N10-N11-N12-N13</f>
        <v>2535.3073547407212</v>
      </c>
      <c r="O14" s="2">
        <f t="shared" ref="O14" si="30">+O10-O11-O12-O13</f>
        <v>3029.2499088338109</v>
      </c>
      <c r="P14" s="2">
        <f t="shared" ref="P14" si="31">+P10-P11-P12-P13</f>
        <v>3580.2494823718171</v>
      </c>
      <c r="Q14" s="2">
        <f t="shared" ref="Q14" si="32">+Q10-Q11-Q12-Q13</f>
        <v>4457.6918726462709</v>
      </c>
      <c r="R14" s="2">
        <f t="shared" ref="R14" si="33">+R10-R11-R12-R13</f>
        <v>5464.8158103627011</v>
      </c>
      <c r="S14" s="2">
        <f t="shared" ref="S14" si="34">+S10-S11-S12-S13</f>
        <v>6618.5223745239746</v>
      </c>
    </row>
    <row r="15" spans="2:19" s="1" customFormat="1" x14ac:dyDescent="0.25">
      <c r="B15" s="1" t="s">
        <v>17</v>
      </c>
      <c r="G15" s="1">
        <v>-38</v>
      </c>
      <c r="H15" s="1">
        <v>173</v>
      </c>
      <c r="I15" s="1">
        <v>223</v>
      </c>
      <c r="J15" s="1">
        <v>200</v>
      </c>
      <c r="K15" s="1">
        <v>200</v>
      </c>
      <c r="L15" s="1">
        <v>200</v>
      </c>
      <c r="M15" s="1">
        <v>200</v>
      </c>
      <c r="N15" s="1">
        <v>200</v>
      </c>
      <c r="O15" s="1">
        <v>200</v>
      </c>
      <c r="P15" s="1">
        <v>200</v>
      </c>
      <c r="Q15" s="1">
        <v>200</v>
      </c>
      <c r="R15" s="1">
        <v>200</v>
      </c>
      <c r="S15" s="1">
        <v>200</v>
      </c>
    </row>
    <row r="16" spans="2:19" s="1" customFormat="1" x14ac:dyDescent="0.25">
      <c r="B16" s="1" t="s">
        <v>18</v>
      </c>
      <c r="G16" s="1">
        <f>+G14+G15</f>
        <v>-220</v>
      </c>
      <c r="H16" s="1">
        <f t="shared" ref="H16:J16" si="35">+H14+H15</f>
        <v>356</v>
      </c>
      <c r="I16" s="1">
        <f t="shared" si="35"/>
        <v>722</v>
      </c>
      <c r="J16" s="1">
        <f t="shared" si="35"/>
        <v>1156.27</v>
      </c>
      <c r="K16" s="1">
        <f t="shared" ref="K16" si="36">+K14+K15</f>
        <v>1595.7658399999996</v>
      </c>
      <c r="L16" s="1">
        <f t="shared" ref="L16" si="37">+L14+L15</f>
        <v>1898.1060151999991</v>
      </c>
      <c r="M16" s="1">
        <f t="shared" ref="M16" si="38">+M14+M15</f>
        <v>2293.1859487279994</v>
      </c>
      <c r="N16" s="1">
        <f t="shared" ref="N16" si="39">+N14+N15</f>
        <v>2735.3073547407212</v>
      </c>
      <c r="O16" s="1">
        <f t="shared" ref="O16" si="40">+O14+O15</f>
        <v>3229.2499088338109</v>
      </c>
      <c r="P16" s="1">
        <f t="shared" ref="P16" si="41">+P14+P15</f>
        <v>3780.2494823718171</v>
      </c>
      <c r="Q16" s="1">
        <f t="shared" ref="Q16" si="42">+Q14+Q15</f>
        <v>4657.6918726462709</v>
      </c>
      <c r="R16" s="1">
        <f t="shared" ref="R16" si="43">+R14+R15</f>
        <v>5664.8158103627011</v>
      </c>
      <c r="S16" s="1">
        <f t="shared" ref="S16" si="44">+S14+S15</f>
        <v>6818.5223745239746</v>
      </c>
    </row>
    <row r="17" spans="2:86" s="1" customFormat="1" x14ac:dyDescent="0.25">
      <c r="B17" s="1" t="s">
        <v>19</v>
      </c>
      <c r="G17" s="1">
        <v>107</v>
      </c>
      <c r="H17" s="1">
        <v>-1025</v>
      </c>
      <c r="I17" s="1">
        <v>112</v>
      </c>
      <c r="J17" s="1">
        <f>197*1.33</f>
        <v>262.01</v>
      </c>
      <c r="K17" s="1">
        <f>+K16*0.23</f>
        <v>367.02614319999992</v>
      </c>
      <c r="L17" s="1">
        <f t="shared" ref="L17:S17" si="45">+L16*0.23</f>
        <v>436.56438349599983</v>
      </c>
      <c r="M17" s="1">
        <f t="shared" si="45"/>
        <v>527.43276820743984</v>
      </c>
      <c r="N17" s="1">
        <f t="shared" si="45"/>
        <v>629.12069159036594</v>
      </c>
      <c r="O17" s="1">
        <f t="shared" si="45"/>
        <v>742.72747903177651</v>
      </c>
      <c r="P17" s="1">
        <f t="shared" si="45"/>
        <v>869.45738094551791</v>
      </c>
      <c r="Q17" s="1">
        <f t="shared" si="45"/>
        <v>1071.2691307086423</v>
      </c>
      <c r="R17" s="1">
        <f t="shared" si="45"/>
        <v>1302.9076363834213</v>
      </c>
      <c r="S17" s="1">
        <f t="shared" si="45"/>
        <v>1568.2601461405143</v>
      </c>
    </row>
    <row r="18" spans="2:86" s="1" customFormat="1" x14ac:dyDescent="0.25">
      <c r="B18" s="1" t="s">
        <v>20</v>
      </c>
      <c r="G18" s="1">
        <f>+G16-G17</f>
        <v>-327</v>
      </c>
      <c r="H18" s="1">
        <f t="shared" ref="H18:J18" si="46">+H16-H17</f>
        <v>1381</v>
      </c>
      <c r="I18" s="1">
        <f t="shared" si="46"/>
        <v>610</v>
      </c>
      <c r="J18" s="1">
        <f t="shared" si="46"/>
        <v>894.26</v>
      </c>
      <c r="K18" s="1">
        <f t="shared" ref="K18" si="47">+K16-K17</f>
        <v>1228.7396967999996</v>
      </c>
      <c r="L18" s="1">
        <f t="shared" ref="L18" si="48">+L16-L17</f>
        <v>1461.5416317039992</v>
      </c>
      <c r="M18" s="1">
        <f t="shared" ref="M18" si="49">+M16-M17</f>
        <v>1765.7531805205595</v>
      </c>
      <c r="N18" s="1">
        <f t="shared" ref="N18" si="50">+N16-N17</f>
        <v>2106.1866631503553</v>
      </c>
      <c r="O18" s="1">
        <f t="shared" ref="O18" si="51">+O16-O17</f>
        <v>2486.5224298020344</v>
      </c>
      <c r="P18" s="1">
        <f t="shared" ref="P18" si="52">+P16-P17</f>
        <v>2910.7921014262993</v>
      </c>
      <c r="Q18" s="1">
        <f t="shared" ref="Q18" si="53">+Q16-Q17</f>
        <v>3586.4227419376284</v>
      </c>
      <c r="R18" s="1">
        <f t="shared" ref="R18" si="54">+R16-R17</f>
        <v>4361.90817397928</v>
      </c>
      <c r="S18" s="1">
        <f t="shared" ref="S18" si="55">+S16-S17</f>
        <v>5250.2622283834608</v>
      </c>
      <c r="T18" s="1">
        <f>+S18*(1+$V24)</f>
        <v>5407.7700952349651</v>
      </c>
      <c r="U18" s="1">
        <f t="shared" ref="U18:CF18" si="56">+T18*(1+$V24)</f>
        <v>5570.0031980920139</v>
      </c>
      <c r="V18" s="1">
        <f t="shared" si="56"/>
        <v>5737.1032940347741</v>
      </c>
      <c r="W18" s="1">
        <f t="shared" si="56"/>
        <v>5909.2163928558175</v>
      </c>
      <c r="X18" s="1">
        <f t="shared" si="56"/>
        <v>6086.4928846414923</v>
      </c>
      <c r="Y18" s="1">
        <f t="shared" si="56"/>
        <v>6269.0876711807368</v>
      </c>
      <c r="Z18" s="1">
        <f t="shared" si="56"/>
        <v>6457.1603013161593</v>
      </c>
      <c r="AA18" s="1">
        <f t="shared" si="56"/>
        <v>6650.8751103556442</v>
      </c>
      <c r="AB18" s="1">
        <f t="shared" si="56"/>
        <v>6850.401363666314</v>
      </c>
      <c r="AC18" s="1">
        <f t="shared" si="56"/>
        <v>7055.9134045763039</v>
      </c>
      <c r="AD18" s="1">
        <f t="shared" si="56"/>
        <v>7267.5908067135933</v>
      </c>
      <c r="AE18" s="1">
        <f t="shared" si="56"/>
        <v>7485.6185309150014</v>
      </c>
      <c r="AF18" s="1">
        <f t="shared" si="56"/>
        <v>7710.1870868424521</v>
      </c>
      <c r="AG18" s="1">
        <f t="shared" si="56"/>
        <v>7941.4926994477255</v>
      </c>
      <c r="AH18" s="1">
        <f t="shared" si="56"/>
        <v>8179.7374804311576</v>
      </c>
      <c r="AI18" s="1">
        <f t="shared" si="56"/>
        <v>8425.1296048440927</v>
      </c>
      <c r="AJ18" s="1">
        <f t="shared" si="56"/>
        <v>8677.8834929894165</v>
      </c>
      <c r="AK18" s="1">
        <f t="shared" si="56"/>
        <v>8938.2199977790988</v>
      </c>
      <c r="AL18" s="1">
        <f t="shared" si="56"/>
        <v>9206.3665977124729</v>
      </c>
      <c r="AM18" s="1">
        <f t="shared" si="56"/>
        <v>9482.5575956438479</v>
      </c>
      <c r="AN18" s="1">
        <f t="shared" si="56"/>
        <v>9767.0343235131641</v>
      </c>
      <c r="AO18" s="1">
        <f t="shared" si="56"/>
        <v>10060.045353218558</v>
      </c>
      <c r="AP18" s="1">
        <f t="shared" si="56"/>
        <v>10361.846713815115</v>
      </c>
      <c r="AQ18" s="1">
        <f t="shared" si="56"/>
        <v>10672.702115229569</v>
      </c>
      <c r="AR18" s="1">
        <f t="shared" si="56"/>
        <v>10992.883178686456</v>
      </c>
      <c r="AS18" s="1">
        <f t="shared" si="56"/>
        <v>11322.669674047049</v>
      </c>
      <c r="AT18" s="1">
        <f t="shared" si="56"/>
        <v>11662.34976426846</v>
      </c>
      <c r="AU18" s="1">
        <f t="shared" si="56"/>
        <v>12012.220257196514</v>
      </c>
      <c r="AV18" s="1">
        <f t="shared" si="56"/>
        <v>12372.58686491241</v>
      </c>
      <c r="AW18" s="1">
        <f t="shared" si="56"/>
        <v>12743.764470859782</v>
      </c>
      <c r="AX18" s="1">
        <f t="shared" si="56"/>
        <v>13126.077404985575</v>
      </c>
      <c r="AY18" s="1">
        <f t="shared" si="56"/>
        <v>13519.859727135143</v>
      </c>
      <c r="AZ18" s="1">
        <f t="shared" si="56"/>
        <v>13925.455518949197</v>
      </c>
      <c r="BA18" s="1">
        <f t="shared" si="56"/>
        <v>14343.219184517673</v>
      </c>
      <c r="BB18" s="1">
        <f t="shared" si="56"/>
        <v>14773.515760053204</v>
      </c>
      <c r="BC18" s="1">
        <f t="shared" si="56"/>
        <v>15216.721232854801</v>
      </c>
      <c r="BD18" s="1">
        <f t="shared" si="56"/>
        <v>15673.222869840445</v>
      </c>
      <c r="BE18" s="1">
        <f t="shared" si="56"/>
        <v>16143.419555935659</v>
      </c>
      <c r="BF18" s="1">
        <f t="shared" si="56"/>
        <v>16627.722142613729</v>
      </c>
      <c r="BG18" s="1">
        <f t="shared" si="56"/>
        <v>17126.553806892141</v>
      </c>
      <c r="BH18" s="1">
        <f t="shared" si="56"/>
        <v>17640.350421098905</v>
      </c>
      <c r="BI18" s="1">
        <f t="shared" si="56"/>
        <v>18169.560933731871</v>
      </c>
      <c r="BJ18" s="1">
        <f t="shared" si="56"/>
        <v>18714.647761743829</v>
      </c>
      <c r="BK18" s="1">
        <f t="shared" si="56"/>
        <v>19276.087194596144</v>
      </c>
      <c r="BL18" s="1">
        <f t="shared" si="56"/>
        <v>19854.369810434029</v>
      </c>
      <c r="BM18" s="1">
        <f t="shared" si="56"/>
        <v>20450.000904747052</v>
      </c>
      <c r="BN18" s="1">
        <f t="shared" si="56"/>
        <v>21063.500931889463</v>
      </c>
      <c r="BO18" s="1">
        <f t="shared" si="56"/>
        <v>21695.405959846146</v>
      </c>
      <c r="BP18" s="1">
        <f t="shared" si="56"/>
        <v>22346.268138641532</v>
      </c>
      <c r="BQ18" s="1">
        <f t="shared" si="56"/>
        <v>23016.65618280078</v>
      </c>
      <c r="BR18" s="1">
        <f t="shared" si="56"/>
        <v>23707.155868284804</v>
      </c>
      <c r="BS18" s="1">
        <f t="shared" si="56"/>
        <v>24418.370544333349</v>
      </c>
      <c r="BT18" s="1">
        <f t="shared" si="56"/>
        <v>25150.921660663349</v>
      </c>
      <c r="BU18" s="1">
        <f t="shared" si="56"/>
        <v>25905.449310483251</v>
      </c>
      <c r="BV18" s="1">
        <f t="shared" si="56"/>
        <v>26682.612789797749</v>
      </c>
      <c r="BW18" s="1">
        <f t="shared" si="56"/>
        <v>27483.091173491681</v>
      </c>
      <c r="BX18" s="1">
        <f t="shared" si="56"/>
        <v>28307.583908696433</v>
      </c>
      <c r="BY18" s="1">
        <f t="shared" si="56"/>
        <v>29156.811425957327</v>
      </c>
      <c r="BZ18" s="1">
        <f t="shared" si="56"/>
        <v>30031.515768736048</v>
      </c>
      <c r="CA18" s="1">
        <f t="shared" si="56"/>
        <v>30932.46124179813</v>
      </c>
      <c r="CB18" s="1">
        <f t="shared" si="56"/>
        <v>31860.435079052073</v>
      </c>
      <c r="CC18" s="1">
        <f t="shared" si="56"/>
        <v>32816.248131423636</v>
      </c>
      <c r="CD18" s="1">
        <f t="shared" si="56"/>
        <v>33800.735575366343</v>
      </c>
      <c r="CE18" s="1">
        <f t="shared" si="56"/>
        <v>34814.757642627337</v>
      </c>
      <c r="CF18" s="1">
        <f t="shared" si="56"/>
        <v>35859.200371906161</v>
      </c>
      <c r="CG18" s="1">
        <f t="shared" ref="CG18:CH18" si="57">+CF18*(1+$V24)</f>
        <v>36934.976383063346</v>
      </c>
      <c r="CH18" s="1">
        <f t="shared" si="57"/>
        <v>38043.025674555247</v>
      </c>
    </row>
    <row r="19" spans="2:86" s="4" customFormat="1" x14ac:dyDescent="0.25">
      <c r="B19" s="4" t="s">
        <v>27</v>
      </c>
      <c r="G19" s="4">
        <f>+G18/G20</f>
        <v>-1.2832638068589863</v>
      </c>
      <c r="H19" s="4">
        <f>+H18/H20</f>
        <v>5.2057221478786957</v>
      </c>
      <c r="I19" s="4">
        <f>+I18/I20</f>
        <v>2.2659311676974796</v>
      </c>
      <c r="J19" s="4">
        <f>+J18/J20</f>
        <v>3.3218550918445051</v>
      </c>
      <c r="K19" s="4">
        <f t="shared" ref="K19:S19" si="58">+K18/K20</f>
        <v>4.5643271737151974</v>
      </c>
      <c r="L19" s="4">
        <f t="shared" si="58"/>
        <v>5.429102846172988</v>
      </c>
      <c r="M19" s="4">
        <f t="shared" si="58"/>
        <v>6.5591396167253935</v>
      </c>
      <c r="N19" s="4">
        <f t="shared" si="58"/>
        <v>7.823727877083841</v>
      </c>
      <c r="O19" s="4">
        <f t="shared" si="58"/>
        <v>9.2365388079791781</v>
      </c>
      <c r="P19" s="4">
        <f t="shared" si="58"/>
        <v>10.812548434933598</v>
      </c>
      <c r="Q19" s="4">
        <f t="shared" si="58"/>
        <v>13.322273887697586</v>
      </c>
      <c r="R19" s="4">
        <f t="shared" si="58"/>
        <v>16.202924068941069</v>
      </c>
      <c r="S19" s="4">
        <f t="shared" si="58"/>
        <v>19.502840691604767</v>
      </c>
    </row>
    <row r="20" spans="2:86" s="1" customFormat="1" x14ac:dyDescent="0.25">
      <c r="B20" s="1" t="s">
        <v>1</v>
      </c>
      <c r="G20" s="1">
        <v>254.81899999999999</v>
      </c>
      <c r="H20" s="1">
        <v>265.28500000000003</v>
      </c>
      <c r="I20" s="1">
        <v>269.20499999999998</v>
      </c>
      <c r="J20" s="1">
        <f>+I20+0</f>
        <v>269.20499999999998</v>
      </c>
      <c r="K20" s="1">
        <f t="shared" ref="K20:S20" si="59">+J20+0</f>
        <v>269.20499999999998</v>
      </c>
      <c r="L20" s="1">
        <f t="shared" si="59"/>
        <v>269.20499999999998</v>
      </c>
      <c r="M20" s="1">
        <f t="shared" si="59"/>
        <v>269.20499999999998</v>
      </c>
      <c r="N20" s="1">
        <f t="shared" si="59"/>
        <v>269.20499999999998</v>
      </c>
      <c r="O20" s="1">
        <f t="shared" si="59"/>
        <v>269.20499999999998</v>
      </c>
      <c r="P20" s="1">
        <f t="shared" si="59"/>
        <v>269.20499999999998</v>
      </c>
      <c r="Q20" s="1">
        <f t="shared" si="59"/>
        <v>269.20499999999998</v>
      </c>
      <c r="R20" s="1">
        <f t="shared" si="59"/>
        <v>269.20499999999998</v>
      </c>
      <c r="S20" s="1">
        <f t="shared" si="59"/>
        <v>269.20499999999998</v>
      </c>
    </row>
    <row r="21" spans="2:86" s="1" customFormat="1" x14ac:dyDescent="0.25">
      <c r="G21" s="4"/>
      <c r="H21" s="4"/>
      <c r="I21" s="4"/>
      <c r="J21" s="4"/>
    </row>
    <row r="22" spans="2:86" s="3" customFormat="1" x14ac:dyDescent="0.25">
      <c r="B22" s="3" t="s">
        <v>21</v>
      </c>
      <c r="G22" s="3">
        <f>+G10/G6</f>
        <v>0.72490347490347495</v>
      </c>
      <c r="H22" s="3">
        <f>+H10/H6</f>
        <v>0.75602700096432018</v>
      </c>
      <c r="I22" s="3">
        <f>+I10/I6</f>
        <v>0.75503196779540616</v>
      </c>
      <c r="J22" s="3">
        <f t="shared" ref="J22:S22" si="60">+J10/J6</f>
        <v>0.75641025641025639</v>
      </c>
      <c r="K22" s="3">
        <f t="shared" si="60"/>
        <v>0.76</v>
      </c>
      <c r="L22" s="3">
        <f t="shared" si="60"/>
        <v>0.7599999999999999</v>
      </c>
      <c r="M22" s="3">
        <f t="shared" si="60"/>
        <v>0.7599999999999999</v>
      </c>
      <c r="N22" s="3">
        <f t="shared" si="60"/>
        <v>0.76</v>
      </c>
      <c r="O22" s="3">
        <f t="shared" si="60"/>
        <v>0.76</v>
      </c>
      <c r="P22" s="3">
        <f t="shared" si="60"/>
        <v>0.76</v>
      </c>
      <c r="Q22" s="3">
        <f t="shared" si="60"/>
        <v>0.76</v>
      </c>
      <c r="R22" s="3">
        <f t="shared" si="60"/>
        <v>0.76</v>
      </c>
      <c r="S22" s="3">
        <f t="shared" si="60"/>
        <v>0.76</v>
      </c>
    </row>
    <row r="23" spans="2:86" s="3" customFormat="1" x14ac:dyDescent="0.25">
      <c r="B23" s="3" t="s">
        <v>22</v>
      </c>
      <c r="G23" s="3">
        <f>+G14/G6</f>
        <v>-2.9279279279279279E-2</v>
      </c>
      <c r="H23" s="3">
        <f>+H14/H6</f>
        <v>2.5210084033613446E-2</v>
      </c>
      <c r="I23" s="3">
        <f>+I14/I6</f>
        <v>5.9081221880179967E-2</v>
      </c>
      <c r="J23" s="3">
        <f t="shared" ref="J23:S23" si="61">+J14/J6</f>
        <v>0.10242165242165241</v>
      </c>
      <c r="K23" s="3">
        <f t="shared" si="61"/>
        <v>0.13842038619816394</v>
      </c>
      <c r="L23" s="3">
        <f t="shared" si="61"/>
        <v>0.15592958976703825</v>
      </c>
      <c r="M23" s="3">
        <f t="shared" si="61"/>
        <v>0.17633764997009224</v>
      </c>
      <c r="N23" s="3">
        <f t="shared" si="61"/>
        <v>0.19594823517996932</v>
      </c>
      <c r="O23" s="3">
        <f t="shared" si="61"/>
        <v>0.21479261511281469</v>
      </c>
      <c r="P23" s="3">
        <f t="shared" si="61"/>
        <v>0.2329008292144151</v>
      </c>
      <c r="Q23" s="3">
        <f t="shared" si="61"/>
        <v>0.25891056181816097</v>
      </c>
      <c r="R23" s="3">
        <f t="shared" si="61"/>
        <v>0.28339829143258444</v>
      </c>
      <c r="S23" s="3">
        <f t="shared" si="61"/>
        <v>0.30645359296067481</v>
      </c>
      <c r="U23" s="3" t="s">
        <v>28</v>
      </c>
      <c r="V23" s="3">
        <v>0.1</v>
      </c>
    </row>
    <row r="24" spans="2:86" s="3" customFormat="1" x14ac:dyDescent="0.25">
      <c r="B24" s="3" t="s">
        <v>23</v>
      </c>
      <c r="H24" s="3">
        <f>+H6/G6 -1</f>
        <v>0.16779279279279269</v>
      </c>
      <c r="I24" s="3">
        <f>+I6/H6 -1</f>
        <v>0.16352114616338342</v>
      </c>
      <c r="J24" s="3">
        <f t="shared" ref="J24:S24" si="62">+J6/I6 -1</f>
        <v>0.10544636514326311</v>
      </c>
      <c r="K24" s="3">
        <f t="shared" si="62"/>
        <v>8.0000000000000071E-2</v>
      </c>
      <c r="L24" s="3">
        <f t="shared" si="62"/>
        <v>8.0000000000000071E-2</v>
      </c>
      <c r="M24" s="3">
        <f t="shared" si="62"/>
        <v>9.000000000000008E-2</v>
      </c>
      <c r="N24" s="3">
        <f t="shared" si="62"/>
        <v>9.000000000000008E-2</v>
      </c>
      <c r="O24" s="3">
        <f t="shared" si="62"/>
        <v>9.000000000000008E-2</v>
      </c>
      <c r="P24" s="3">
        <f t="shared" si="62"/>
        <v>9.000000000000008E-2</v>
      </c>
      <c r="Q24" s="3">
        <f t="shared" si="62"/>
        <v>0.12000000000000011</v>
      </c>
      <c r="R24" s="3">
        <f t="shared" si="62"/>
        <v>0.12000000000000011</v>
      </c>
      <c r="S24" s="3">
        <f t="shared" si="62"/>
        <v>0.12000000000000011</v>
      </c>
      <c r="U24" s="3" t="s">
        <v>29</v>
      </c>
      <c r="V24" s="3">
        <v>0.03</v>
      </c>
    </row>
    <row r="25" spans="2:86" s="3" customFormat="1" x14ac:dyDescent="0.25">
      <c r="B25" s="1" t="s">
        <v>13</v>
      </c>
      <c r="G25" s="3">
        <f>+G11/G$6</f>
        <v>0.36148648648648651</v>
      </c>
      <c r="H25" s="3">
        <f t="shared" ref="H25:S25" si="63">+H11/H$6</f>
        <v>0.3394406943105111</v>
      </c>
      <c r="I25" s="3">
        <f t="shared" si="63"/>
        <v>0.31091641013497512</v>
      </c>
      <c r="J25" s="3">
        <f t="shared" si="63"/>
        <v>0.2831908831908832</v>
      </c>
      <c r="K25" s="3">
        <f t="shared" si="63"/>
        <v>0.27532446976891423</v>
      </c>
      <c r="L25" s="3">
        <f t="shared" si="63"/>
        <v>0.26767656783088883</v>
      </c>
      <c r="M25" s="3">
        <f t="shared" si="63"/>
        <v>0.25785357451599383</v>
      </c>
      <c r="N25" s="3">
        <f t="shared" si="63"/>
        <v>0.24839105801999406</v>
      </c>
      <c r="O25" s="3">
        <f t="shared" si="63"/>
        <v>0.23927578983577408</v>
      </c>
      <c r="P25" s="3">
        <f t="shared" si="63"/>
        <v>0.23049502690602089</v>
      </c>
      <c r="Q25" s="3">
        <f t="shared" si="63"/>
        <v>0.21608908772439456</v>
      </c>
      <c r="R25" s="3">
        <f t="shared" si="63"/>
        <v>0.20258351974161992</v>
      </c>
      <c r="S25" s="3">
        <f t="shared" si="63"/>
        <v>0.18992204975776864</v>
      </c>
      <c r="U25" s="3" t="s">
        <v>30</v>
      </c>
      <c r="V25" s="5">
        <f>NPV(V23,J18:CM18)</f>
        <v>43305.760946918301</v>
      </c>
    </row>
    <row r="26" spans="2:86" s="3" customFormat="1" x14ac:dyDescent="0.25">
      <c r="B26" s="1" t="s">
        <v>14</v>
      </c>
      <c r="G26" s="3">
        <f t="shared" ref="G26:S27" si="64">+G12/G$6</f>
        <v>0.29633204633204635</v>
      </c>
      <c r="H26" s="3">
        <f t="shared" si="64"/>
        <v>0.29466868714698996</v>
      </c>
      <c r="I26" s="3">
        <f t="shared" si="64"/>
        <v>0.28794695713947432</v>
      </c>
      <c r="J26" s="3">
        <f t="shared" si="64"/>
        <v>0.27649572649572651</v>
      </c>
      <c r="K26" s="3">
        <f t="shared" si="64"/>
        <v>0.26625514403292183</v>
      </c>
      <c r="L26" s="3">
        <f t="shared" si="64"/>
        <v>0.25639384240207286</v>
      </c>
      <c r="M26" s="3">
        <f t="shared" si="64"/>
        <v>0.24580877551391389</v>
      </c>
      <c r="N26" s="3">
        <f t="shared" si="64"/>
        <v>0.23566070680003667</v>
      </c>
      <c r="O26" s="3">
        <f t="shared" si="64"/>
        <v>0.22593159505141128</v>
      </c>
      <c r="P26" s="3">
        <f t="shared" si="64"/>
        <v>0.21660414387956398</v>
      </c>
      <c r="Q26" s="3">
        <f t="shared" si="64"/>
        <v>0.20500035045744444</v>
      </c>
      <c r="R26" s="3">
        <f t="shared" si="64"/>
        <v>0.19401818882579563</v>
      </c>
      <c r="S26" s="3">
        <f t="shared" si="64"/>
        <v>0.18362435728155657</v>
      </c>
      <c r="U26" s="3" t="s">
        <v>4</v>
      </c>
      <c r="V26" s="5">
        <f>+Main!C6</f>
        <v>3857</v>
      </c>
    </row>
    <row r="27" spans="2:86" s="3" customFormat="1" x14ac:dyDescent="0.25">
      <c r="B27" s="1" t="s">
        <v>15</v>
      </c>
      <c r="G27" s="3">
        <f t="shared" si="64"/>
        <v>9.6364221364221361E-2</v>
      </c>
      <c r="H27" s="3">
        <f t="shared" si="64"/>
        <v>9.670753547320568E-2</v>
      </c>
      <c r="I27" s="3">
        <f t="shared" si="64"/>
        <v>9.7087378640776698E-2</v>
      </c>
      <c r="J27" s="3">
        <f t="shared" si="64"/>
        <v>9.4301994301994305E-2</v>
      </c>
      <c r="K27" s="3">
        <f t="shared" si="64"/>
        <v>0.08</v>
      </c>
      <c r="L27" s="3">
        <f t="shared" si="64"/>
        <v>0.08</v>
      </c>
      <c r="M27" s="3">
        <f t="shared" si="64"/>
        <v>0.08</v>
      </c>
      <c r="N27" s="3">
        <f t="shared" si="64"/>
        <v>0.08</v>
      </c>
      <c r="O27" s="3">
        <f t="shared" si="64"/>
        <v>0.08</v>
      </c>
      <c r="P27" s="3">
        <f t="shared" si="64"/>
        <v>7.9999999999999988E-2</v>
      </c>
      <c r="Q27" s="3">
        <f t="shared" si="64"/>
        <v>0.08</v>
      </c>
      <c r="R27" s="3">
        <f t="shared" si="64"/>
        <v>0.08</v>
      </c>
      <c r="S27" s="3">
        <f t="shared" si="64"/>
        <v>0.08</v>
      </c>
      <c r="U27" s="3" t="s">
        <v>31</v>
      </c>
      <c r="V27" s="5">
        <f>+V25+V26</f>
        <v>47162.760946918301</v>
      </c>
    </row>
    <row r="28" spans="2:86" s="1" customFormat="1" x14ac:dyDescent="0.25">
      <c r="U28" s="1" t="s">
        <v>0</v>
      </c>
      <c r="V28" s="6">
        <f>+V27/S20</f>
        <v>175.19273767916013</v>
      </c>
    </row>
    <row r="29" spans="2:86" s="1" customFormat="1" x14ac:dyDescent="0.25">
      <c r="B29" s="1" t="s">
        <v>24</v>
      </c>
      <c r="G29" s="1">
        <v>1657</v>
      </c>
      <c r="H29" s="1">
        <v>2149</v>
      </c>
      <c r="I29" s="1">
        <v>2461</v>
      </c>
      <c r="V29" s="1">
        <f>+V28*0.7</f>
        <v>122.63491637541209</v>
      </c>
    </row>
    <row r="30" spans="2:86" s="1" customFormat="1" x14ac:dyDescent="0.25">
      <c r="B30" s="1" t="s">
        <v>25</v>
      </c>
      <c r="G30" s="1">
        <v>364</v>
      </c>
      <c r="H30" s="1">
        <v>232</v>
      </c>
      <c r="I30" s="1">
        <v>269</v>
      </c>
    </row>
    <row r="31" spans="2:86" s="1" customFormat="1" x14ac:dyDescent="0.25">
      <c r="B31" s="1" t="s">
        <v>26</v>
      </c>
      <c r="G31" s="1">
        <f>+G29-G30</f>
        <v>1293</v>
      </c>
      <c r="H31" s="1">
        <f>+H29-H30</f>
        <v>1917</v>
      </c>
      <c r="I31" s="1">
        <f>+I29-I30</f>
        <v>2192</v>
      </c>
    </row>
    <row r="32" spans="2:86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x14ac:dyDescent="0.25"/>
    <row r="98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2026-01-16T16:53:20Z</dcterms:created>
  <dcterms:modified xsi:type="dcterms:W3CDTF">2026-02-13T19:50:08Z</dcterms:modified>
</cp:coreProperties>
</file>