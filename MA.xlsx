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C4F70CA6-C775-45A4-8F98-FCFDB1FACAD1}" xr6:coauthVersionLast="47" xr6:coauthVersionMax="47" xr10:uidLastSave="{00000000-0000-0000-0000-000000000000}"/>
  <bookViews>
    <workbookView xWindow="-120" yWindow="-120" windowWidth="29040" windowHeight="15840" xr2:uid="{C71C9958-0ECC-4898-8F6A-3173DB1B4E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7" i="1" l="1"/>
  <c r="S36" i="1"/>
  <c r="S35" i="1"/>
  <c r="S34" i="1"/>
  <c r="R44" i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T44" i="1" s="1"/>
  <c r="CU44" i="1" s="1"/>
  <c r="CV44" i="1" s="1"/>
  <c r="CW44" i="1" s="1"/>
  <c r="CX44" i="1" s="1"/>
  <c r="CY44" i="1" s="1"/>
  <c r="CZ44" i="1" s="1"/>
  <c r="DA44" i="1" s="1"/>
  <c r="DB44" i="1" s="1"/>
  <c r="DC44" i="1" s="1"/>
  <c r="DD44" i="1" s="1"/>
  <c r="DE44" i="1" s="1"/>
  <c r="DF44" i="1" s="1"/>
  <c r="DG44" i="1" s="1"/>
  <c r="DH44" i="1" s="1"/>
  <c r="DI44" i="1" s="1"/>
  <c r="DJ44" i="1" s="1"/>
  <c r="DK44" i="1" s="1"/>
  <c r="DL44" i="1" s="1"/>
  <c r="DM44" i="1" s="1"/>
  <c r="DN44" i="1" s="1"/>
  <c r="DO44" i="1" s="1"/>
  <c r="DP44" i="1" s="1"/>
  <c r="DQ44" i="1" s="1"/>
  <c r="DR44" i="1" s="1"/>
  <c r="DS44" i="1" s="1"/>
  <c r="DT44" i="1" s="1"/>
  <c r="DU44" i="1" s="1"/>
  <c r="DV44" i="1" s="1"/>
  <c r="DW44" i="1" s="1"/>
  <c r="DX44" i="1" s="1"/>
  <c r="DY44" i="1" s="1"/>
  <c r="DZ44" i="1" s="1"/>
  <c r="EA44" i="1" s="1"/>
  <c r="EB44" i="1" s="1"/>
  <c r="EC44" i="1" s="1"/>
  <c r="ED44" i="1" s="1"/>
  <c r="EE44" i="1" s="1"/>
  <c r="EF44" i="1" s="1"/>
  <c r="EG44" i="1" s="1"/>
  <c r="EH44" i="1" s="1"/>
  <c r="EI44" i="1" s="1"/>
  <c r="EJ44" i="1" s="1"/>
  <c r="EK44" i="1" s="1"/>
  <c r="EL44" i="1" s="1"/>
  <c r="EM44" i="1" s="1"/>
  <c r="EN44" i="1" s="1"/>
  <c r="EO44" i="1" s="1"/>
  <c r="EP44" i="1" s="1"/>
  <c r="EQ44" i="1" s="1"/>
  <c r="ER44" i="1" s="1"/>
  <c r="ES44" i="1" s="1"/>
  <c r="ET44" i="1" s="1"/>
  <c r="EU44" i="1" s="1"/>
  <c r="EV44" i="1" s="1"/>
  <c r="Q44" i="1"/>
  <c r="H44" i="1"/>
  <c r="I44" i="1"/>
  <c r="J44" i="1"/>
  <c r="K44" i="1"/>
  <c r="L44" i="1"/>
  <c r="M44" i="1"/>
  <c r="N44" i="1"/>
  <c r="O44" i="1"/>
  <c r="P44" i="1"/>
  <c r="G44" i="1"/>
  <c r="H43" i="1"/>
  <c r="I43" i="1"/>
  <c r="J43" i="1"/>
  <c r="K43" i="1"/>
  <c r="L43" i="1"/>
  <c r="M43" i="1"/>
  <c r="N43" i="1"/>
  <c r="O43" i="1"/>
  <c r="P43" i="1"/>
  <c r="G43" i="1"/>
  <c r="H42" i="1"/>
  <c r="I42" i="1" s="1"/>
  <c r="J42" i="1" s="1"/>
  <c r="K42" i="1" s="1"/>
  <c r="L42" i="1" s="1"/>
  <c r="M42" i="1" s="1"/>
  <c r="N42" i="1" s="1"/>
  <c r="O42" i="1" s="1"/>
  <c r="P42" i="1" s="1"/>
  <c r="G42" i="1"/>
  <c r="H41" i="1"/>
  <c r="I41" i="1"/>
  <c r="J41" i="1"/>
  <c r="K41" i="1"/>
  <c r="L41" i="1"/>
  <c r="M41" i="1"/>
  <c r="N41" i="1"/>
  <c r="O41" i="1"/>
  <c r="P41" i="1"/>
  <c r="G41" i="1"/>
  <c r="H39" i="1"/>
  <c r="I39" i="1"/>
  <c r="J39" i="1"/>
  <c r="K39" i="1"/>
  <c r="L39" i="1"/>
  <c r="M39" i="1"/>
  <c r="N39" i="1"/>
  <c r="O39" i="1"/>
  <c r="P39" i="1"/>
  <c r="G39" i="1"/>
  <c r="H38" i="1"/>
  <c r="I38" i="1" s="1"/>
  <c r="J38" i="1" s="1"/>
  <c r="K38" i="1" s="1"/>
  <c r="L38" i="1" s="1"/>
  <c r="M38" i="1" s="1"/>
  <c r="N38" i="1" s="1"/>
  <c r="O38" i="1" s="1"/>
  <c r="P38" i="1" s="1"/>
  <c r="G38" i="1"/>
  <c r="E60" i="1"/>
  <c r="F60" i="1"/>
  <c r="D60" i="1"/>
  <c r="D59" i="1"/>
  <c r="E59" i="1"/>
  <c r="F59" i="1"/>
  <c r="H30" i="1"/>
  <c r="I30" i="1" s="1"/>
  <c r="J30" i="1" s="1"/>
  <c r="K30" i="1" s="1"/>
  <c r="L30" i="1" s="1"/>
  <c r="M30" i="1" s="1"/>
  <c r="N30" i="1" s="1"/>
  <c r="O30" i="1" s="1"/>
  <c r="P30" i="1" s="1"/>
  <c r="G30" i="1"/>
  <c r="H24" i="1"/>
  <c r="I24" i="1"/>
  <c r="J24" i="1" s="1"/>
  <c r="K24" i="1" s="1"/>
  <c r="L24" i="1" s="1"/>
  <c r="M24" i="1" s="1"/>
  <c r="N24" i="1" s="1"/>
  <c r="O24" i="1" s="1"/>
  <c r="P24" i="1" s="1"/>
  <c r="G24" i="1"/>
  <c r="F55" i="1"/>
  <c r="E55" i="1"/>
  <c r="F54" i="1"/>
  <c r="E54" i="1"/>
  <c r="F53" i="1"/>
  <c r="E53" i="1"/>
  <c r="H19" i="1"/>
  <c r="I19" i="1"/>
  <c r="J19" i="1"/>
  <c r="K19" i="1"/>
  <c r="L19" i="1"/>
  <c r="M19" i="1"/>
  <c r="N19" i="1"/>
  <c r="O19" i="1"/>
  <c r="P19" i="1"/>
  <c r="G19" i="1"/>
  <c r="H18" i="1"/>
  <c r="I18" i="1"/>
  <c r="I21" i="1" s="1"/>
  <c r="J18" i="1"/>
  <c r="K18" i="1"/>
  <c r="L18" i="1"/>
  <c r="M18" i="1"/>
  <c r="N18" i="1"/>
  <c r="O18" i="1"/>
  <c r="P18" i="1"/>
  <c r="G18" i="1"/>
  <c r="H17" i="1"/>
  <c r="I17" i="1"/>
  <c r="J17" i="1"/>
  <c r="K17" i="1"/>
  <c r="L17" i="1"/>
  <c r="M17" i="1"/>
  <c r="N17" i="1"/>
  <c r="O17" i="1"/>
  <c r="P17" i="1"/>
  <c r="G17" i="1"/>
  <c r="G21" i="1"/>
  <c r="E46" i="1"/>
  <c r="F46" i="1"/>
  <c r="E47" i="1"/>
  <c r="F47" i="1"/>
  <c r="E48" i="1"/>
  <c r="F48" i="1"/>
  <c r="D47" i="1"/>
  <c r="D48" i="1"/>
  <c r="D46" i="1"/>
  <c r="J15" i="1"/>
  <c r="K15" i="1" s="1"/>
  <c r="H36" i="1"/>
  <c r="I36" i="1"/>
  <c r="J36" i="1"/>
  <c r="G36" i="1"/>
  <c r="H16" i="1"/>
  <c r="I16" i="1"/>
  <c r="J16" i="1"/>
  <c r="G16" i="1"/>
  <c r="I15" i="1"/>
  <c r="I35" i="1" s="1"/>
  <c r="H15" i="1"/>
  <c r="G15" i="1"/>
  <c r="H35" i="1" s="1"/>
  <c r="J35" i="1"/>
  <c r="G35" i="1"/>
  <c r="H34" i="1"/>
  <c r="I34" i="1"/>
  <c r="J34" i="1"/>
  <c r="K34" i="1"/>
  <c r="L34" i="1"/>
  <c r="M34" i="1"/>
  <c r="N34" i="1"/>
  <c r="O34" i="1"/>
  <c r="P34" i="1"/>
  <c r="G34" i="1"/>
  <c r="H14" i="1"/>
  <c r="I14" i="1" s="1"/>
  <c r="J14" i="1" s="1"/>
  <c r="K14" i="1" s="1"/>
  <c r="L14" i="1" s="1"/>
  <c r="M14" i="1" s="1"/>
  <c r="N14" i="1" s="1"/>
  <c r="O14" i="1" s="1"/>
  <c r="P14" i="1" s="1"/>
  <c r="G14" i="1"/>
  <c r="J21" i="1"/>
  <c r="I2" i="1"/>
  <c r="J2" i="1" s="1"/>
  <c r="K2" i="1" s="1"/>
  <c r="L2" i="1" s="1"/>
  <c r="M2" i="1" s="1"/>
  <c r="N2" i="1" s="1"/>
  <c r="O2" i="1" s="1"/>
  <c r="P2" i="1" s="1"/>
  <c r="F36" i="1"/>
  <c r="F35" i="1"/>
  <c r="F34" i="1"/>
  <c r="E36" i="1"/>
  <c r="E35" i="1"/>
  <c r="E34" i="1"/>
  <c r="F42" i="1"/>
  <c r="F43" i="1" s="1"/>
  <c r="F44" i="1" s="1"/>
  <c r="E42" i="1"/>
  <c r="E43" i="1" s="1"/>
  <c r="E44" i="1" s="1"/>
  <c r="D42" i="1"/>
  <c r="D43" i="1" s="1"/>
  <c r="D44" i="1" s="1"/>
  <c r="F39" i="1"/>
  <c r="E39" i="1"/>
  <c r="D39" i="1"/>
  <c r="D38" i="1"/>
  <c r="E38" i="1"/>
  <c r="F38" i="1"/>
  <c r="E21" i="1"/>
  <c r="E26" i="1" s="1"/>
  <c r="E28" i="1" s="1"/>
  <c r="E29" i="1" s="1"/>
  <c r="F21" i="1"/>
  <c r="F26" i="1" s="1"/>
  <c r="F28" i="1" s="1"/>
  <c r="F29" i="1" s="1"/>
  <c r="H21" i="1"/>
  <c r="H26" i="1" s="1"/>
  <c r="H27" i="1" s="1"/>
  <c r="D21" i="1"/>
  <c r="D26" i="1" s="1"/>
  <c r="D28" i="1" s="1"/>
  <c r="D29" i="1" s="1"/>
  <c r="E2" i="1"/>
  <c r="F2" i="1" s="1"/>
  <c r="G2" i="1" s="1"/>
  <c r="H2" i="1" s="1"/>
  <c r="H28" i="1" l="1"/>
  <c r="J26" i="1"/>
  <c r="G26" i="1"/>
  <c r="I26" i="1"/>
  <c r="I32" i="1"/>
  <c r="H32" i="1"/>
  <c r="J32" i="1"/>
  <c r="G32" i="1"/>
  <c r="K16" i="1"/>
  <c r="L15" i="1"/>
  <c r="K35" i="1"/>
  <c r="D33" i="1"/>
  <c r="E32" i="1"/>
  <c r="D32" i="1"/>
  <c r="E33" i="1"/>
  <c r="F32" i="1"/>
  <c r="F33" i="1"/>
  <c r="J27" i="1" l="1"/>
  <c r="J28" i="1" s="1"/>
  <c r="I27" i="1"/>
  <c r="I28" i="1" s="1"/>
  <c r="H33" i="1"/>
  <c r="H29" i="1"/>
  <c r="G27" i="1"/>
  <c r="G28" i="1" s="1"/>
  <c r="M15" i="1"/>
  <c r="L35" i="1"/>
  <c r="L16" i="1"/>
  <c r="K36" i="1"/>
  <c r="K21" i="1"/>
  <c r="I33" i="1" l="1"/>
  <c r="I29" i="1"/>
  <c r="J33" i="1"/>
  <c r="J29" i="1"/>
  <c r="G33" i="1"/>
  <c r="G29" i="1"/>
  <c r="K26" i="1"/>
  <c r="K32" i="1"/>
  <c r="L21" i="1"/>
  <c r="L36" i="1"/>
  <c r="N15" i="1"/>
  <c r="M16" i="1"/>
  <c r="M35" i="1"/>
  <c r="K27" i="1" l="1"/>
  <c r="K28" i="1" s="1"/>
  <c r="L26" i="1"/>
  <c r="L32" i="1"/>
  <c r="M36" i="1"/>
  <c r="M21" i="1"/>
  <c r="N16" i="1"/>
  <c r="O15" i="1"/>
  <c r="N35" i="1"/>
  <c r="K33" i="1" l="1"/>
  <c r="K29" i="1"/>
  <c r="L27" i="1"/>
  <c r="L28" i="1" s="1"/>
  <c r="M26" i="1"/>
  <c r="M32" i="1"/>
  <c r="N36" i="1"/>
  <c r="N21" i="1"/>
  <c r="O16" i="1"/>
  <c r="P15" i="1"/>
  <c r="O35" i="1"/>
  <c r="L33" i="1" l="1"/>
  <c r="L29" i="1"/>
  <c r="M27" i="1"/>
  <c r="M28" i="1" s="1"/>
  <c r="N26" i="1"/>
  <c r="N32" i="1"/>
  <c r="P16" i="1"/>
  <c r="P35" i="1"/>
  <c r="O21" i="1"/>
  <c r="O36" i="1"/>
  <c r="M33" i="1" l="1"/>
  <c r="M29" i="1"/>
  <c r="N27" i="1"/>
  <c r="N28" i="1" s="1"/>
  <c r="O26" i="1"/>
  <c r="O32" i="1"/>
  <c r="P21" i="1"/>
  <c r="P36" i="1"/>
  <c r="N33" i="1" l="1"/>
  <c r="N29" i="1"/>
  <c r="O27" i="1"/>
  <c r="O28" i="1" s="1"/>
  <c r="P26" i="1"/>
  <c r="P32" i="1"/>
  <c r="O33" i="1" l="1"/>
  <c r="O29" i="1"/>
  <c r="P27" i="1"/>
  <c r="P28" i="1" s="1"/>
  <c r="P33" i="1" l="1"/>
  <c r="P29" i="1"/>
</calcChain>
</file>

<file path=xl/sharedStrings.xml><?xml version="1.0" encoding="utf-8"?>
<sst xmlns="http://schemas.openxmlformats.org/spreadsheetml/2006/main" count="61" uniqueCount="49">
  <si>
    <t>Net Revenue</t>
  </si>
  <si>
    <t>G&amp;A</t>
  </si>
  <si>
    <t>S&amp;M</t>
  </si>
  <si>
    <t>D&amp;A</t>
  </si>
  <si>
    <t xml:space="preserve">Litigation </t>
  </si>
  <si>
    <t>Operating Income</t>
  </si>
  <si>
    <t>Investments</t>
  </si>
  <si>
    <t>Equity, net</t>
  </si>
  <si>
    <t>Investments, net</t>
  </si>
  <si>
    <t>Interest expenses</t>
  </si>
  <si>
    <t>Other Income</t>
  </si>
  <si>
    <t>Pretax</t>
  </si>
  <si>
    <t>Taxes</t>
  </si>
  <si>
    <t>Net income</t>
  </si>
  <si>
    <t>EPS</t>
  </si>
  <si>
    <t>Shares</t>
  </si>
  <si>
    <t>Operating Margin</t>
  </si>
  <si>
    <t>Net Margin</t>
  </si>
  <si>
    <t>CFFO</t>
  </si>
  <si>
    <t>CapEx</t>
  </si>
  <si>
    <t>FCF</t>
  </si>
  <si>
    <t>Equity</t>
  </si>
  <si>
    <t>SBC</t>
  </si>
  <si>
    <t>FCFF</t>
  </si>
  <si>
    <t>Payment Network</t>
  </si>
  <si>
    <t>Service &amp; Solution</t>
  </si>
  <si>
    <t>Revenue:</t>
  </si>
  <si>
    <t>revenue is primarily generated from charging fees to our customers based on GDV 
(which includes both domestic and cross-border volume) on the cards that carry our brands and for providing switching and other network-related services</t>
  </si>
  <si>
    <t xml:space="preserve">Value Added Service &amp; Solution
</t>
  </si>
  <si>
    <t>• Security solutions 
• Consumer acquisition and engagement services 
• Business and market insights 
• Digital and authentication solutions 
• Processing and gateway 
• Other solutions (including ACH batch and real-time accountbased payments and solutions, bill payments, cross-border services and open finance)</t>
  </si>
  <si>
    <t>Credit</t>
  </si>
  <si>
    <t>Credit &amp; Prepaid</t>
  </si>
  <si>
    <t>Credit &amp; Debit</t>
  </si>
  <si>
    <t>GDV (bn):</t>
  </si>
  <si>
    <t>Cards (mn):</t>
  </si>
  <si>
    <t>Cash</t>
  </si>
  <si>
    <t>PP&amp;E</t>
  </si>
  <si>
    <t>Debt</t>
  </si>
  <si>
    <t>NAV</t>
  </si>
  <si>
    <t>Net Cash</t>
  </si>
  <si>
    <t>Dividends</t>
  </si>
  <si>
    <t>Stock Bought</t>
  </si>
  <si>
    <t>Total</t>
  </si>
  <si>
    <t>Ratio to FCF</t>
  </si>
  <si>
    <t>Discount</t>
  </si>
  <si>
    <t>Terminal</t>
  </si>
  <si>
    <t>NPV</t>
  </si>
  <si>
    <t>Value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</si>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</sst>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4" fontId="2" fillId="0" borderId="0" xfId="0" applyNumberFormat="1" applyFont="1"/>
    <xf numFmtId="9" fontId="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1" applyNumberFormat="1" applyFont="1"/>
    <xf numFmtId="17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600808</xdr:colOff>
      <xdr:row>2</xdr:row>
      <xdr:rowOff>183173</xdr:rowOff>
    </xdr:from>
    <xdr:to>
      <xdr:col>6</xdr:col>
      <xdr:colOff>0</xdr:colOff>
      <xdr:row>52</xdr:row>
      <xdr:rowOff>131885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11AB7D1-9E98-4834-AEB7-C27B9F54617F}"/>
            </a:ext>
          </a:extLst>
        </xdr:cNvPr>
        <xdr:cNvCxnSpPr/>
      </xdr:nvCxnSpPr>
      <xdr:spPr>
        <a:xfrm flipH="1">
          <a:off x="3751385" y="564173"/>
          <a:ext cx="7327" cy="64257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526E-33EE-4F7B-A31D-049ABF6DD7B8}">
  <dimension ref="B2:EV183"/>
  <sheetViews>
    <sheetView tabSelected="1" zoomScale="130" zoomScaleNormal="130" workbookViewId="0">
      <pane xSplit="2" ySplit="2" topLeftCell="C29" activePane="bottomRight" state="frozen"/>
      <selection pane="topRight" activeCell="C1" sqref="C1"/>
      <selection pane="bottomLeft" activeCell="A3" sqref="A3"/>
      <selection pane="bottomRight" activeCell="O36" sqref="O36"/>
    </sheetView>
  </sheetViews>
  <sheetFormatPr defaultRowHeight="15" x14ac:dyDescent="0.25"/>
  <cols>
    <col min="1" max="1" width="2.85546875" customWidth="1"/>
    <col min="2" max="2" width="17" bestFit="1" customWidth="1"/>
  </cols>
  <sheetData>
    <row r="2" spans="2:16" x14ac:dyDescent="0.25">
      <c r="D2">
        <v>2023</v>
      </c>
      <c r="E2">
        <f>+D2+1</f>
        <v>2024</v>
      </c>
      <c r="F2">
        <f>+E2+1</f>
        <v>2025</v>
      </c>
      <c r="G2">
        <f>+F2+1</f>
        <v>2026</v>
      </c>
      <c r="H2">
        <f>+G2+1</f>
        <v>2027</v>
      </c>
      <c r="I2">
        <f t="shared" ref="I2:Q2" si="0">+H2+1</f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</row>
    <row r="3" spans="2:16" s="1" customFormat="1" x14ac:dyDescent="0.25"/>
    <row r="4" spans="2:16" s="1" customFormat="1" x14ac:dyDescent="0.25">
      <c r="B4" s="2" t="s">
        <v>33</v>
      </c>
    </row>
    <row r="5" spans="2:16" s="1" customFormat="1" x14ac:dyDescent="0.25">
      <c r="B5" s="1" t="s">
        <v>30</v>
      </c>
      <c r="F5" s="1">
        <v>3878</v>
      </c>
    </row>
    <row r="6" spans="2:16" s="1" customFormat="1" x14ac:dyDescent="0.25">
      <c r="B6" s="1" t="s">
        <v>31</v>
      </c>
      <c r="F6" s="1">
        <v>5349</v>
      </c>
    </row>
    <row r="7" spans="2:16" s="1" customFormat="1" x14ac:dyDescent="0.25">
      <c r="B7" s="1" t="s">
        <v>32</v>
      </c>
      <c r="F7" s="1">
        <v>1405</v>
      </c>
    </row>
    <row r="8" spans="2:16" s="1" customFormat="1" x14ac:dyDescent="0.25"/>
    <row r="9" spans="2:16" s="1" customFormat="1" x14ac:dyDescent="0.25">
      <c r="B9" s="2" t="s">
        <v>34</v>
      </c>
    </row>
    <row r="10" spans="2:16" s="1" customFormat="1" x14ac:dyDescent="0.25">
      <c r="B10" s="1" t="s">
        <v>30</v>
      </c>
      <c r="F10" s="1">
        <v>1083</v>
      </c>
    </row>
    <row r="11" spans="2:16" s="1" customFormat="1" x14ac:dyDescent="0.25">
      <c r="B11" s="1" t="s">
        <v>31</v>
      </c>
      <c r="F11" s="1">
        <v>2134</v>
      </c>
    </row>
    <row r="12" spans="2:16" s="1" customFormat="1" x14ac:dyDescent="0.25">
      <c r="B12" s="1" t="s">
        <v>32</v>
      </c>
      <c r="F12" s="1">
        <v>174</v>
      </c>
    </row>
    <row r="13" spans="2:16" s="1" customFormat="1" x14ac:dyDescent="0.25"/>
    <row r="14" spans="2:16" s="1" customFormat="1" x14ac:dyDescent="0.25">
      <c r="B14" s="1" t="s">
        <v>24</v>
      </c>
      <c r="D14" s="1">
        <v>15824</v>
      </c>
      <c r="E14" s="1">
        <v>17335</v>
      </c>
      <c r="F14" s="1">
        <v>19476</v>
      </c>
      <c r="G14" s="1">
        <f>+F14*1.1</f>
        <v>21423.600000000002</v>
      </c>
      <c r="H14" s="1">
        <f t="shared" ref="H14:P14" si="1">+G14*1.1</f>
        <v>23565.960000000003</v>
      </c>
      <c r="I14" s="1">
        <f t="shared" si="1"/>
        <v>25922.556000000004</v>
      </c>
      <c r="J14" s="1">
        <f t="shared" si="1"/>
        <v>28514.811600000008</v>
      </c>
      <c r="K14" s="1">
        <f t="shared" si="1"/>
        <v>31366.292760000011</v>
      </c>
      <c r="L14" s="1">
        <f t="shared" si="1"/>
        <v>34502.922036000018</v>
      </c>
      <c r="M14" s="1">
        <f t="shared" si="1"/>
        <v>37953.21423960002</v>
      </c>
      <c r="N14" s="1">
        <f t="shared" si="1"/>
        <v>41748.535663560026</v>
      </c>
      <c r="O14" s="1">
        <f t="shared" si="1"/>
        <v>45923.389229916029</v>
      </c>
      <c r="P14" s="1">
        <f t="shared" si="1"/>
        <v>50515.728152907635</v>
      </c>
    </row>
    <row r="15" spans="2:16" s="1" customFormat="1" x14ac:dyDescent="0.25">
      <c r="B15" s="1" t="s">
        <v>25</v>
      </c>
      <c r="D15" s="1">
        <v>9274</v>
      </c>
      <c r="E15" s="1">
        <v>10832</v>
      </c>
      <c r="F15" s="1">
        <v>13315</v>
      </c>
      <c r="G15" s="1">
        <f>+F15*1.18</f>
        <v>15711.699999999999</v>
      </c>
      <c r="H15" s="1">
        <f>+G15*1.15</f>
        <v>18068.454999999998</v>
      </c>
      <c r="I15" s="1">
        <f>+H15*1.12</f>
        <v>20236.669600000001</v>
      </c>
      <c r="J15" s="1">
        <f t="shared" ref="J15:P15" si="2">+I15*1.12</f>
        <v>22665.069952000002</v>
      </c>
      <c r="K15" s="1">
        <f t="shared" si="2"/>
        <v>25384.878346240006</v>
      </c>
      <c r="L15" s="1">
        <f t="shared" si="2"/>
        <v>28431.063747788809</v>
      </c>
      <c r="M15" s="1">
        <f t="shared" si="2"/>
        <v>31842.79139752347</v>
      </c>
      <c r="N15" s="1">
        <f t="shared" si="2"/>
        <v>35663.926365226289</v>
      </c>
      <c r="O15" s="1">
        <f t="shared" si="2"/>
        <v>39943.597529053448</v>
      </c>
      <c r="P15" s="1">
        <f t="shared" si="2"/>
        <v>44736.829232539865</v>
      </c>
    </row>
    <row r="16" spans="2:16" s="2" customFormat="1" x14ac:dyDescent="0.25">
      <c r="B16" s="2" t="s">
        <v>0</v>
      </c>
      <c r="D16" s="2">
        <v>25098</v>
      </c>
      <c r="E16" s="2">
        <v>28167</v>
      </c>
      <c r="F16" s="2">
        <v>32791</v>
      </c>
      <c r="G16" s="2">
        <f>+G14+G15</f>
        <v>37135.300000000003</v>
      </c>
      <c r="H16" s="2">
        <f t="shared" ref="H16:P16" si="3">+H14+H15</f>
        <v>41634.415000000001</v>
      </c>
      <c r="I16" s="2">
        <f t="shared" si="3"/>
        <v>46159.225600000005</v>
      </c>
      <c r="J16" s="2">
        <f t="shared" si="3"/>
        <v>51179.881552000006</v>
      </c>
      <c r="K16" s="2">
        <f t="shared" si="3"/>
        <v>56751.171106240014</v>
      </c>
      <c r="L16" s="2">
        <f t="shared" si="3"/>
        <v>62933.985783788827</v>
      </c>
      <c r="M16" s="2">
        <f t="shared" si="3"/>
        <v>69796.005637123482</v>
      </c>
      <c r="N16" s="2">
        <f t="shared" si="3"/>
        <v>77412.462028786307</v>
      </c>
      <c r="O16" s="2">
        <f t="shared" si="3"/>
        <v>85866.986758969477</v>
      </c>
      <c r="P16" s="2">
        <f t="shared" si="3"/>
        <v>95252.557385447493</v>
      </c>
    </row>
    <row r="17" spans="2:19" s="1" customFormat="1" x14ac:dyDescent="0.25">
      <c r="B17" s="1" t="s">
        <v>1</v>
      </c>
      <c r="D17" s="1">
        <v>8927</v>
      </c>
      <c r="E17" s="1">
        <v>10193</v>
      </c>
      <c r="F17" s="1">
        <v>11318</v>
      </c>
      <c r="G17" s="1">
        <f>+G16*0.34</f>
        <v>12626.002000000002</v>
      </c>
      <c r="H17" s="1">
        <f t="shared" ref="H17:P17" si="4">+H16*0.34</f>
        <v>14155.701100000002</v>
      </c>
      <c r="I17" s="1">
        <f t="shared" si="4"/>
        <v>15694.136704000002</v>
      </c>
      <c r="J17" s="1">
        <f t="shared" si="4"/>
        <v>17401.159727680002</v>
      </c>
      <c r="K17" s="1">
        <f t="shared" si="4"/>
        <v>19295.398176121606</v>
      </c>
      <c r="L17" s="1">
        <f t="shared" si="4"/>
        <v>21397.555166488204</v>
      </c>
      <c r="M17" s="1">
        <f t="shared" si="4"/>
        <v>23730.641916621986</v>
      </c>
      <c r="N17" s="1">
        <f t="shared" si="4"/>
        <v>26320.237089787348</v>
      </c>
      <c r="O17" s="1">
        <f t="shared" si="4"/>
        <v>29194.775498049625</v>
      </c>
      <c r="P17" s="1">
        <f t="shared" si="4"/>
        <v>32385.869511052151</v>
      </c>
    </row>
    <row r="18" spans="2:19" s="1" customFormat="1" x14ac:dyDescent="0.25">
      <c r="B18" s="1" t="s">
        <v>2</v>
      </c>
      <c r="D18" s="1">
        <v>825</v>
      </c>
      <c r="E18" s="1">
        <v>815</v>
      </c>
      <c r="F18" s="1">
        <v>929</v>
      </c>
      <c r="G18" s="1">
        <f>+G16*0.028</f>
        <v>1039.7884000000001</v>
      </c>
      <c r="H18" s="1">
        <f t="shared" ref="H18:P18" si="5">+H16*0.028</f>
        <v>1165.7636199999999</v>
      </c>
      <c r="I18" s="1">
        <f t="shared" si="5"/>
        <v>1292.4583168000001</v>
      </c>
      <c r="J18" s="1">
        <f t="shared" si="5"/>
        <v>1433.0366834560002</v>
      </c>
      <c r="K18" s="1">
        <f t="shared" si="5"/>
        <v>1589.0327909747205</v>
      </c>
      <c r="L18" s="1">
        <f t="shared" si="5"/>
        <v>1762.1516019460871</v>
      </c>
      <c r="M18" s="1">
        <f t="shared" si="5"/>
        <v>1954.2881578394577</v>
      </c>
      <c r="N18" s="1">
        <f t="shared" si="5"/>
        <v>2167.5489368060166</v>
      </c>
      <c r="O18" s="1">
        <f t="shared" si="5"/>
        <v>2404.2756292511453</v>
      </c>
      <c r="P18" s="1">
        <f t="shared" si="5"/>
        <v>2667.07160679253</v>
      </c>
    </row>
    <row r="19" spans="2:19" s="1" customFormat="1" x14ac:dyDescent="0.25">
      <c r="B19" s="1" t="s">
        <v>3</v>
      </c>
      <c r="D19" s="1">
        <v>799</v>
      </c>
      <c r="E19" s="1">
        <v>897</v>
      </c>
      <c r="F19" s="1">
        <v>1143</v>
      </c>
      <c r="G19" s="1">
        <f>+G16*0.035</f>
        <v>1299.7355000000002</v>
      </c>
      <c r="H19" s="1">
        <f t="shared" ref="H19:P19" si="6">+H16*0.035</f>
        <v>1457.2045250000001</v>
      </c>
      <c r="I19" s="1">
        <f t="shared" si="6"/>
        <v>1615.5728960000004</v>
      </c>
      <c r="J19" s="1">
        <f t="shared" si="6"/>
        <v>1791.2958543200004</v>
      </c>
      <c r="K19" s="1">
        <f t="shared" si="6"/>
        <v>1986.2909887184007</v>
      </c>
      <c r="L19" s="1">
        <f t="shared" si="6"/>
        <v>2202.6895024326091</v>
      </c>
      <c r="M19" s="1">
        <f t="shared" si="6"/>
        <v>2442.860197299322</v>
      </c>
      <c r="N19" s="1">
        <f t="shared" si="6"/>
        <v>2709.4361710075209</v>
      </c>
      <c r="O19" s="1">
        <f t="shared" si="6"/>
        <v>3005.3445365639318</v>
      </c>
      <c r="P19" s="1">
        <f t="shared" si="6"/>
        <v>3333.8395084906624</v>
      </c>
    </row>
    <row r="20" spans="2:19" s="1" customFormat="1" x14ac:dyDescent="0.25">
      <c r="B20" s="1" t="s">
        <v>4</v>
      </c>
      <c r="D20" s="1">
        <v>539</v>
      </c>
      <c r="E20" s="1">
        <v>680</v>
      </c>
      <c r="F20" s="1">
        <v>504</v>
      </c>
      <c r="G20" s="1">
        <v>500</v>
      </c>
      <c r="H20" s="1">
        <v>500</v>
      </c>
      <c r="I20" s="1">
        <v>500</v>
      </c>
      <c r="J20" s="1">
        <v>500</v>
      </c>
      <c r="K20" s="1">
        <v>500</v>
      </c>
      <c r="L20" s="1">
        <v>500</v>
      </c>
      <c r="M20" s="1">
        <v>500</v>
      </c>
      <c r="N20" s="1">
        <v>500</v>
      </c>
      <c r="O20" s="1">
        <v>500</v>
      </c>
      <c r="P20" s="1">
        <v>500</v>
      </c>
    </row>
    <row r="21" spans="2:19" s="2" customFormat="1" x14ac:dyDescent="0.25">
      <c r="B21" s="2" t="s">
        <v>5</v>
      </c>
      <c r="D21" s="2">
        <f>+D16-D17-D18-D19-D20</f>
        <v>14008</v>
      </c>
      <c r="E21" s="2">
        <f t="shared" ref="E21:H21" si="7">+E16-E17-E18-E19-E20</f>
        <v>15582</v>
      </c>
      <c r="F21" s="2">
        <f t="shared" si="7"/>
        <v>18897</v>
      </c>
      <c r="G21" s="2">
        <f t="shared" si="7"/>
        <v>21669.774100000002</v>
      </c>
      <c r="H21" s="2">
        <f t="shared" si="7"/>
        <v>24355.745754999996</v>
      </c>
      <c r="I21" s="2">
        <f t="shared" ref="I21" si="8">+I16-I17-I18-I19-I20</f>
        <v>27057.057683200001</v>
      </c>
      <c r="J21" s="2">
        <f t="shared" ref="J21" si="9">+J16-J17-J18-J19-J20</f>
        <v>30054.389286544003</v>
      </c>
      <c r="K21" s="2">
        <f t="shared" ref="K21" si="10">+K16-K17-K18-K19-K20</f>
        <v>33380.449150425287</v>
      </c>
      <c r="L21" s="2">
        <f t="shared" ref="L21" si="11">+L16-L17-L18-L19-L20</f>
        <v>37071.589512921921</v>
      </c>
      <c r="M21" s="2">
        <f t="shared" ref="M21" si="12">+M16-M17-M18-M19-M20</f>
        <v>41168.215365362717</v>
      </c>
      <c r="N21" s="2">
        <f t="shared" ref="N21" si="13">+N16-N17-N18-N19-N20</f>
        <v>45715.239831185419</v>
      </c>
      <c r="O21" s="2">
        <f t="shared" ref="O21" si="14">+O16-O17-O18-O19-O20</f>
        <v>50762.59109510477</v>
      </c>
      <c r="P21" s="2">
        <f t="shared" ref="P21" si="15">+P16-P17-P18-P19-P20</f>
        <v>56365.776759112152</v>
      </c>
    </row>
    <row r="22" spans="2:19" s="1" customFormat="1" x14ac:dyDescent="0.25">
      <c r="B22" s="1" t="s">
        <v>8</v>
      </c>
      <c r="D22" s="1">
        <v>274</v>
      </c>
      <c r="E22" s="1">
        <v>327</v>
      </c>
      <c r="F22" s="1">
        <v>325</v>
      </c>
      <c r="G22" s="1">
        <v>325</v>
      </c>
      <c r="H22" s="1">
        <v>325</v>
      </c>
      <c r="I22" s="1">
        <v>325</v>
      </c>
      <c r="J22" s="1">
        <v>325</v>
      </c>
      <c r="K22" s="1">
        <v>325</v>
      </c>
      <c r="L22" s="1">
        <v>325</v>
      </c>
      <c r="M22" s="1">
        <v>325</v>
      </c>
      <c r="N22" s="1">
        <v>325</v>
      </c>
      <c r="O22" s="1">
        <v>325</v>
      </c>
      <c r="P22" s="1">
        <v>325</v>
      </c>
    </row>
    <row r="23" spans="2:19" s="1" customFormat="1" x14ac:dyDescent="0.25">
      <c r="B23" s="1" t="s">
        <v>7</v>
      </c>
      <c r="D23" s="1">
        <v>-61</v>
      </c>
      <c r="E23" s="1">
        <v>-29</v>
      </c>
      <c r="F23" s="1">
        <v>-88</v>
      </c>
      <c r="G23" s="1">
        <v>-50</v>
      </c>
      <c r="H23" s="1">
        <v>-50</v>
      </c>
      <c r="I23" s="1">
        <v>-50</v>
      </c>
      <c r="J23" s="1">
        <v>-50</v>
      </c>
      <c r="K23" s="1">
        <v>-50</v>
      </c>
      <c r="L23" s="1">
        <v>-50</v>
      </c>
      <c r="M23" s="1">
        <v>-50</v>
      </c>
      <c r="N23" s="1">
        <v>-50</v>
      </c>
      <c r="O23" s="1">
        <v>-50</v>
      </c>
      <c r="P23" s="1">
        <v>-50</v>
      </c>
    </row>
    <row r="24" spans="2:19" s="1" customFormat="1" x14ac:dyDescent="0.25">
      <c r="B24" s="1" t="s">
        <v>9</v>
      </c>
      <c r="D24" s="1">
        <v>575</v>
      </c>
      <c r="E24" s="1">
        <v>646</v>
      </c>
      <c r="F24" s="1">
        <v>722</v>
      </c>
      <c r="G24" s="1">
        <f>+F24*0.98</f>
        <v>707.56</v>
      </c>
      <c r="H24" s="1">
        <f t="shared" ref="H24:P24" si="16">+G24*0.98</f>
        <v>693.40879999999993</v>
      </c>
      <c r="I24" s="1">
        <f t="shared" si="16"/>
        <v>679.54062399999987</v>
      </c>
      <c r="J24" s="1">
        <f t="shared" si="16"/>
        <v>665.94981151999991</v>
      </c>
      <c r="K24" s="1">
        <f t="shared" si="16"/>
        <v>652.63081528959992</v>
      </c>
      <c r="L24" s="1">
        <f t="shared" si="16"/>
        <v>639.57819898380797</v>
      </c>
      <c r="M24" s="1">
        <f t="shared" si="16"/>
        <v>626.78663500413177</v>
      </c>
      <c r="N24" s="1">
        <f t="shared" si="16"/>
        <v>614.25090230404908</v>
      </c>
      <c r="O24" s="1">
        <f t="shared" si="16"/>
        <v>601.96588425796813</v>
      </c>
      <c r="P24" s="1">
        <f t="shared" si="16"/>
        <v>589.92656657280872</v>
      </c>
    </row>
    <row r="25" spans="2:19" s="1" customFormat="1" x14ac:dyDescent="0.25">
      <c r="B25" s="1" t="s">
        <v>10</v>
      </c>
      <c r="D25" s="1">
        <v>-7</v>
      </c>
      <c r="E25" s="1">
        <v>20</v>
      </c>
      <c r="F25" s="1">
        <v>166</v>
      </c>
      <c r="G25" s="1">
        <v>50</v>
      </c>
      <c r="H25" s="1">
        <v>50</v>
      </c>
      <c r="I25" s="1">
        <v>50</v>
      </c>
      <c r="J25" s="1">
        <v>50</v>
      </c>
      <c r="K25" s="1">
        <v>50</v>
      </c>
      <c r="L25" s="1">
        <v>50</v>
      </c>
      <c r="M25" s="1">
        <v>50</v>
      </c>
      <c r="N25" s="1">
        <v>50</v>
      </c>
      <c r="O25" s="1">
        <v>50</v>
      </c>
      <c r="P25" s="1">
        <v>50</v>
      </c>
    </row>
    <row r="26" spans="2:19" s="1" customFormat="1" x14ac:dyDescent="0.25">
      <c r="B26" s="1" t="s">
        <v>11</v>
      </c>
      <c r="D26" s="1">
        <f>+D21+D22+D23-D24+D25</f>
        <v>13639</v>
      </c>
      <c r="E26" s="1">
        <f t="shared" ref="E26:H26" si="17">+E21+E22+E23-E24+E25</f>
        <v>15254</v>
      </c>
      <c r="F26" s="1">
        <f t="shared" si="17"/>
        <v>18578</v>
      </c>
      <c r="G26" s="1">
        <f t="shared" si="17"/>
        <v>21287.214100000001</v>
      </c>
      <c r="H26" s="1">
        <f t="shared" si="17"/>
        <v>23987.336954999995</v>
      </c>
      <c r="I26" s="1">
        <f t="shared" ref="I26" si="18">+I21+I22+I23-I24+I25</f>
        <v>26702.517059199999</v>
      </c>
      <c r="J26" s="1">
        <f t="shared" ref="J26" si="19">+J21+J22+J23-J24+J25</f>
        <v>29713.439475024003</v>
      </c>
      <c r="K26" s="1">
        <f t="shared" ref="K26" si="20">+K21+K22+K23-K24+K25</f>
        <v>33052.818335135686</v>
      </c>
      <c r="L26" s="1">
        <f t="shared" ref="L26" si="21">+L21+L22+L23-L24+L25</f>
        <v>36757.011313938114</v>
      </c>
      <c r="M26" s="1">
        <f t="shared" ref="M26" si="22">+M21+M22+M23-M24+M25</f>
        <v>40866.428730358588</v>
      </c>
      <c r="N26" s="1">
        <f t="shared" ref="N26" si="23">+N21+N22+N23-N24+N25</f>
        <v>45425.988928881372</v>
      </c>
      <c r="O26" s="1">
        <f t="shared" ref="O26" si="24">+O21+O22+O23-O24+O25</f>
        <v>50485.625210846803</v>
      </c>
      <c r="P26" s="1">
        <f t="shared" ref="P26" si="25">+P21+P22+P23-P24+P25</f>
        <v>56100.850192539343</v>
      </c>
    </row>
    <row r="27" spans="2:19" s="1" customFormat="1" x14ac:dyDescent="0.25">
      <c r="B27" s="1" t="s">
        <v>12</v>
      </c>
      <c r="D27" s="1">
        <v>2444</v>
      </c>
      <c r="E27" s="1">
        <v>2380</v>
      </c>
      <c r="F27" s="1">
        <v>3610</v>
      </c>
      <c r="G27" s="1">
        <f>+G26*0.2</f>
        <v>4257.4428200000002</v>
      </c>
      <c r="H27" s="1">
        <f t="shared" ref="H27:P27" si="26">+H26*0.2</f>
        <v>4797.4673909999992</v>
      </c>
      <c r="I27" s="1">
        <f t="shared" si="26"/>
        <v>5340.5034118399999</v>
      </c>
      <c r="J27" s="1">
        <f t="shared" si="26"/>
        <v>5942.6878950048012</v>
      </c>
      <c r="K27" s="1">
        <f t="shared" si="26"/>
        <v>6610.5636670271379</v>
      </c>
      <c r="L27" s="1">
        <f t="shared" si="26"/>
        <v>7351.4022627876229</v>
      </c>
      <c r="M27" s="1">
        <f t="shared" si="26"/>
        <v>8173.2857460717178</v>
      </c>
      <c r="N27" s="1">
        <f t="shared" si="26"/>
        <v>9085.197785776274</v>
      </c>
      <c r="O27" s="1">
        <f t="shared" si="26"/>
        <v>10097.125042169362</v>
      </c>
      <c r="P27" s="1">
        <f t="shared" si="26"/>
        <v>11220.170038507869</v>
      </c>
    </row>
    <row r="28" spans="2:19" s="1" customFormat="1" x14ac:dyDescent="0.25">
      <c r="B28" s="1" t="s">
        <v>13</v>
      </c>
      <c r="D28" s="1">
        <f>+D26-D27</f>
        <v>11195</v>
      </c>
      <c r="E28" s="1">
        <f t="shared" ref="E28:H28" si="27">+E26-E27</f>
        <v>12874</v>
      </c>
      <c r="F28" s="1">
        <f t="shared" si="27"/>
        <v>14968</v>
      </c>
      <c r="G28" s="1">
        <f t="shared" si="27"/>
        <v>17029.771280000001</v>
      </c>
      <c r="H28" s="1">
        <f t="shared" si="27"/>
        <v>19189.869563999997</v>
      </c>
      <c r="I28" s="1">
        <f t="shared" ref="I28" si="28">+I26-I27</f>
        <v>21362.01364736</v>
      </c>
      <c r="J28" s="1">
        <f t="shared" ref="J28" si="29">+J26-J27</f>
        <v>23770.751580019201</v>
      </c>
      <c r="K28" s="1">
        <f t="shared" ref="K28" si="30">+K26-K27</f>
        <v>26442.254668108548</v>
      </c>
      <c r="L28" s="1">
        <f t="shared" ref="L28" si="31">+L26-L27</f>
        <v>29405.609051150492</v>
      </c>
      <c r="M28" s="1">
        <f t="shared" ref="M28" si="32">+M26-M27</f>
        <v>32693.142984286871</v>
      </c>
      <c r="N28" s="1">
        <f t="shared" ref="N28" si="33">+N26-N27</f>
        <v>36340.791143105096</v>
      </c>
      <c r="O28" s="1">
        <f t="shared" ref="O28" si="34">+O26-O27</f>
        <v>40388.500168677441</v>
      </c>
      <c r="P28" s="1">
        <f t="shared" ref="P28" si="35">+P26-P27</f>
        <v>44880.680154031477</v>
      </c>
    </row>
    <row r="29" spans="2:19" s="3" customFormat="1" x14ac:dyDescent="0.25">
      <c r="B29" s="3" t="s">
        <v>14</v>
      </c>
      <c r="D29" s="3">
        <f>+D28/D30</f>
        <v>11.834038054968287</v>
      </c>
      <c r="E29" s="3">
        <f>+E28/E30</f>
        <v>13.887810140237324</v>
      </c>
      <c r="F29" s="3">
        <f>+F28/F30</f>
        <v>16.520971302428258</v>
      </c>
      <c r="G29" s="3">
        <f>+G28/G30</f>
        <v>18.796657041942606</v>
      </c>
      <c r="H29" s="3">
        <f t="shared" ref="H29:P29" si="36">+H28/H30</f>
        <v>21.180871483443706</v>
      </c>
      <c r="I29" s="3">
        <f t="shared" si="36"/>
        <v>23.578381509227373</v>
      </c>
      <c r="J29" s="3">
        <f t="shared" si="36"/>
        <v>26.237032649027817</v>
      </c>
      <c r="K29" s="3">
        <f t="shared" si="36"/>
        <v>29.185711554203696</v>
      </c>
      <c r="L29" s="3">
        <f t="shared" si="36"/>
        <v>32.456522131512685</v>
      </c>
      <c r="M29" s="3">
        <f t="shared" si="36"/>
        <v>36.085146781773588</v>
      </c>
      <c r="N29" s="3">
        <f t="shared" si="36"/>
        <v>40.111248502323505</v>
      </c>
      <c r="O29" s="3">
        <f t="shared" si="36"/>
        <v>44.578918508473997</v>
      </c>
      <c r="P29" s="3">
        <f t="shared" si="36"/>
        <v>49.53717456294865</v>
      </c>
    </row>
    <row r="30" spans="2:19" s="1" customFormat="1" x14ac:dyDescent="0.25">
      <c r="B30" s="1" t="s">
        <v>15</v>
      </c>
      <c r="D30" s="1">
        <v>946</v>
      </c>
      <c r="E30" s="1">
        <v>927</v>
      </c>
      <c r="F30" s="1">
        <v>906</v>
      </c>
      <c r="G30" s="1">
        <f>+F30+0</f>
        <v>906</v>
      </c>
      <c r="H30" s="1">
        <f t="shared" ref="H30:P30" si="37">+G30+0</f>
        <v>906</v>
      </c>
      <c r="I30" s="1">
        <f t="shared" si="37"/>
        <v>906</v>
      </c>
      <c r="J30" s="1">
        <f t="shared" si="37"/>
        <v>906</v>
      </c>
      <c r="K30" s="1">
        <f t="shared" si="37"/>
        <v>906</v>
      </c>
      <c r="L30" s="1">
        <f t="shared" si="37"/>
        <v>906</v>
      </c>
      <c r="M30" s="1">
        <f t="shared" si="37"/>
        <v>906</v>
      </c>
      <c r="N30" s="1">
        <f t="shared" si="37"/>
        <v>906</v>
      </c>
      <c r="O30" s="1">
        <f t="shared" si="37"/>
        <v>906</v>
      </c>
      <c r="P30" s="1">
        <f t="shared" si="37"/>
        <v>906</v>
      </c>
    </row>
    <row r="31" spans="2:19" s="1" customFormat="1" x14ac:dyDescent="0.25">
      <c r="D31" s="9"/>
      <c r="E31" s="9"/>
      <c r="F31" s="9"/>
    </row>
    <row r="32" spans="2:19" s="4" customFormat="1" x14ac:dyDescent="0.25">
      <c r="B32" s="4" t="s">
        <v>16</v>
      </c>
      <c r="D32" s="4">
        <f>+D21/D16</f>
        <v>0.55813212208144081</v>
      </c>
      <c r="E32" s="4">
        <f>+E21/E16</f>
        <v>0.55320055383959954</v>
      </c>
      <c r="F32" s="4">
        <f>+F21/F16</f>
        <v>0.57628617608490129</v>
      </c>
      <c r="G32" s="4">
        <f>+G21/G16</f>
        <v>0.58353572207576077</v>
      </c>
      <c r="H32" s="4">
        <f t="shared" ref="H32:P32" si="38">+H21/H16</f>
        <v>0.5849907043247754</v>
      </c>
      <c r="I32" s="4">
        <f t="shared" si="38"/>
        <v>0.58616792919506855</v>
      </c>
      <c r="J32" s="4">
        <f t="shared" si="38"/>
        <v>0.58723053620216004</v>
      </c>
      <c r="K32" s="4">
        <f t="shared" si="38"/>
        <v>0.58818960912605689</v>
      </c>
      <c r="L32" s="4">
        <f t="shared" si="38"/>
        <v>0.58905516711244432</v>
      </c>
      <c r="M32" s="4">
        <f t="shared" si="38"/>
        <v>0.58983626626716212</v>
      </c>
      <c r="N32" s="4">
        <f t="shared" si="38"/>
        <v>0.59054109161630752</v>
      </c>
      <c r="O32" s="4">
        <f t="shared" si="38"/>
        <v>0.59117704034027052</v>
      </c>
      <c r="P32" s="4">
        <f t="shared" si="38"/>
        <v>0.59175079710483036</v>
      </c>
      <c r="R32" s="4" t="s">
        <v>44</v>
      </c>
      <c r="S32" s="4">
        <v>0.1</v>
      </c>
    </row>
    <row r="33" spans="2:152" s="4" customFormat="1" x14ac:dyDescent="0.25">
      <c r="B33" s="4" t="s">
        <v>17</v>
      </c>
      <c r="D33" s="4">
        <f>+D28/D16</f>
        <v>0.44605147820543467</v>
      </c>
      <c r="E33" s="4">
        <f>+E28/E16</f>
        <v>0.45705967976710332</v>
      </c>
      <c r="F33" s="4">
        <f>+F28/F16</f>
        <v>0.45646671342746487</v>
      </c>
      <c r="G33" s="4">
        <f>+G28/G16</f>
        <v>0.45858714700029352</v>
      </c>
      <c r="H33" s="4">
        <f t="shared" ref="H33:P33" si="39">+H28/H16</f>
        <v>0.46091363512613293</v>
      </c>
      <c r="I33" s="4">
        <f t="shared" si="39"/>
        <v>0.46278968872822679</v>
      </c>
      <c r="J33" s="4">
        <f t="shared" si="39"/>
        <v>0.46445499401688806</v>
      </c>
      <c r="K33" s="4">
        <f t="shared" si="39"/>
        <v>0.46593319842876546</v>
      </c>
      <c r="L33" s="4">
        <f t="shared" si="39"/>
        <v>0.46724529973636419</v>
      </c>
      <c r="M33" s="4">
        <f t="shared" si="39"/>
        <v>0.46840994245805184</v>
      </c>
      <c r="N33" s="4">
        <f t="shared" si="39"/>
        <v>0.46944368116843443</v>
      </c>
      <c r="O33" s="4">
        <f t="shared" si="39"/>
        <v>0.4703612143983677</v>
      </c>
      <c r="P33" s="4">
        <f t="shared" si="39"/>
        <v>0.4711755924034462</v>
      </c>
      <c r="R33" s="4" t="s">
        <v>45</v>
      </c>
      <c r="S33" s="4">
        <v>0.03</v>
      </c>
    </row>
    <row r="34" spans="2:152" s="4" customFormat="1" x14ac:dyDescent="0.25">
      <c r="B34" s="4" t="s">
        <v>24</v>
      </c>
      <c r="E34" s="4">
        <f>+E14/D14 -1</f>
        <v>9.5487866531850374E-2</v>
      </c>
      <c r="F34" s="4">
        <f>+F14/E14 -1</f>
        <v>0.12350735506201316</v>
      </c>
      <c r="G34" s="4">
        <f>+G14/F14 -1</f>
        <v>0.10000000000000009</v>
      </c>
      <c r="H34" s="4">
        <f t="shared" ref="H34:P34" si="40">+H14/G14 -1</f>
        <v>0.10000000000000009</v>
      </c>
      <c r="I34" s="4">
        <f t="shared" si="40"/>
        <v>0.10000000000000009</v>
      </c>
      <c r="J34" s="4">
        <f t="shared" si="40"/>
        <v>0.10000000000000009</v>
      </c>
      <c r="K34" s="4">
        <f t="shared" si="40"/>
        <v>0.10000000000000009</v>
      </c>
      <c r="L34" s="4">
        <f t="shared" si="40"/>
        <v>0.10000000000000009</v>
      </c>
      <c r="M34" s="4">
        <f t="shared" si="40"/>
        <v>0.10000000000000009</v>
      </c>
      <c r="N34" s="4">
        <f t="shared" si="40"/>
        <v>0.10000000000000009</v>
      </c>
      <c r="O34" s="4">
        <f t="shared" si="40"/>
        <v>0.10000000000000009</v>
      </c>
      <c r="P34" s="4">
        <f t="shared" si="40"/>
        <v>0.10000000000000009</v>
      </c>
      <c r="R34" s="4" t="s">
        <v>46</v>
      </c>
      <c r="S34" s="1">
        <f>NPV(S32,G44:EY44)</f>
        <v>495355.71787468577</v>
      </c>
    </row>
    <row r="35" spans="2:152" s="4" customFormat="1" x14ac:dyDescent="0.25">
      <c r="B35" s="4" t="s">
        <v>25</v>
      </c>
      <c r="E35" s="4">
        <f>+E15/D15 -1</f>
        <v>0.16799654949320675</v>
      </c>
      <c r="F35" s="4">
        <f>+F15/E15 -1</f>
        <v>0.22922821270310201</v>
      </c>
      <c r="G35" s="4">
        <f>+G15/F15 -1</f>
        <v>0.17999999999999994</v>
      </c>
      <c r="H35" s="4">
        <f t="shared" ref="H35:P35" si="41">+H15/G15 -1</f>
        <v>0.14999999999999991</v>
      </c>
      <c r="I35" s="4">
        <f t="shared" si="41"/>
        <v>0.12000000000000011</v>
      </c>
      <c r="J35" s="4">
        <f t="shared" si="41"/>
        <v>0.12000000000000011</v>
      </c>
      <c r="K35" s="4">
        <f t="shared" si="41"/>
        <v>0.12000000000000011</v>
      </c>
      <c r="L35" s="4">
        <f t="shared" si="41"/>
        <v>0.12000000000000011</v>
      </c>
      <c r="M35" s="4">
        <f t="shared" si="41"/>
        <v>0.12000000000000011</v>
      </c>
      <c r="N35" s="4">
        <f t="shared" si="41"/>
        <v>0.12000000000000011</v>
      </c>
      <c r="O35" s="4">
        <f t="shared" si="41"/>
        <v>0.12000000000000011</v>
      </c>
      <c r="P35" s="4">
        <f t="shared" si="41"/>
        <v>0.12000000000000011</v>
      </c>
      <c r="R35" s="4" t="s">
        <v>39</v>
      </c>
      <c r="S35" s="1">
        <f>+F55</f>
        <v>-8434</v>
      </c>
    </row>
    <row r="36" spans="2:152" s="4" customFormat="1" x14ac:dyDescent="0.25">
      <c r="B36" s="4" t="s">
        <v>0</v>
      </c>
      <c r="E36" s="4">
        <f>+E16/D16 -1</f>
        <v>0.12228065981353087</v>
      </c>
      <c r="F36" s="4">
        <f>+F16/E16 -1</f>
        <v>0.16416373770724602</v>
      </c>
      <c r="G36" s="4">
        <f>+G16/F16 -1</f>
        <v>0.1324845231923395</v>
      </c>
      <c r="H36" s="4">
        <f t="shared" ref="H36:P36" si="42">+H16/G16 -1</f>
        <v>0.12115466954622689</v>
      </c>
      <c r="I36" s="4">
        <f t="shared" si="42"/>
        <v>0.10867957673957962</v>
      </c>
      <c r="J36" s="4">
        <f t="shared" si="42"/>
        <v>0.10876820151852806</v>
      </c>
      <c r="K36" s="4">
        <f t="shared" si="42"/>
        <v>0.10885702321486312</v>
      </c>
      <c r="L36" s="4">
        <f t="shared" si="42"/>
        <v>0.10894602802071485</v>
      </c>
      <c r="M36" s="4">
        <f t="shared" si="42"/>
        <v>0.10903520201166472</v>
      </c>
      <c r="N36" s="4">
        <f t="shared" si="42"/>
        <v>0.10912453115528642</v>
      </c>
      <c r="O36" s="4">
        <f t="shared" si="42"/>
        <v>0.10921400131983017</v>
      </c>
      <c r="P36" s="4">
        <f t="shared" si="42"/>
        <v>0.10930359828304592</v>
      </c>
      <c r="R36" s="4" t="s">
        <v>47</v>
      </c>
      <c r="S36" s="1">
        <f>+S34+S35</f>
        <v>486921.71787468577</v>
      </c>
    </row>
    <row r="37" spans="2:152" s="1" customFormat="1" x14ac:dyDescent="0.25">
      <c r="R37" s="1" t="s">
        <v>48</v>
      </c>
      <c r="S37" s="1">
        <f>+S36/P30</f>
        <v>537.44118970715863</v>
      </c>
    </row>
    <row r="38" spans="2:152" s="1" customFormat="1" x14ac:dyDescent="0.25">
      <c r="B38" s="1" t="s">
        <v>3</v>
      </c>
      <c r="D38" s="1">
        <f>1622+799</f>
        <v>2421</v>
      </c>
      <c r="E38" s="1">
        <f>1830+897</f>
        <v>2727</v>
      </c>
      <c r="F38" s="1">
        <f>2098+1143</f>
        <v>3241</v>
      </c>
      <c r="G38" s="1">
        <f>+F38*(1+(G19/F19 -1))</f>
        <v>3685.4267327209104</v>
      </c>
      <c r="H38" s="1">
        <f t="shared" ref="H38:P38" si="43">+G38*(1+(H19/G19 -1))</f>
        <v>4131.9333906605434</v>
      </c>
      <c r="I38" s="1">
        <f t="shared" si="43"/>
        <v>4580.9901626736673</v>
      </c>
      <c r="J38" s="1">
        <f t="shared" si="43"/>
        <v>5079.2562238417513</v>
      </c>
      <c r="K38" s="1">
        <f t="shared" si="43"/>
        <v>5632.1689365147313</v>
      </c>
      <c r="L38" s="1">
        <f t="shared" si="43"/>
        <v>6245.7713712896648</v>
      </c>
      <c r="M38" s="1">
        <f t="shared" si="43"/>
        <v>6926.7803144769059</v>
      </c>
      <c r="N38" s="1">
        <f t="shared" si="43"/>
        <v>7682.6619687098655</v>
      </c>
      <c r="O38" s="1">
        <f t="shared" si="43"/>
        <v>8521.7162231003531</v>
      </c>
      <c r="P38" s="1">
        <f t="shared" si="43"/>
        <v>9453.1704698322301</v>
      </c>
    </row>
    <row r="39" spans="2:152" s="1" customFormat="1" x14ac:dyDescent="0.25">
      <c r="B39" s="1" t="s">
        <v>21</v>
      </c>
      <c r="D39" s="1">
        <f>-D23</f>
        <v>61</v>
      </c>
      <c r="E39" s="1">
        <f>-E23</f>
        <v>29</v>
      </c>
      <c r="F39" s="1">
        <f>-F23</f>
        <v>88</v>
      </c>
      <c r="G39" s="1">
        <f>-G23</f>
        <v>50</v>
      </c>
      <c r="H39" s="1">
        <f t="shared" ref="H39:P39" si="44">-H23</f>
        <v>50</v>
      </c>
      <c r="I39" s="1">
        <f t="shared" si="44"/>
        <v>50</v>
      </c>
      <c r="J39" s="1">
        <f t="shared" si="44"/>
        <v>50</v>
      </c>
      <c r="K39" s="1">
        <f t="shared" si="44"/>
        <v>50</v>
      </c>
      <c r="L39" s="1">
        <f t="shared" si="44"/>
        <v>50</v>
      </c>
      <c r="M39" s="1">
        <f t="shared" si="44"/>
        <v>50</v>
      </c>
      <c r="N39" s="1">
        <f t="shared" si="44"/>
        <v>50</v>
      </c>
      <c r="O39" s="1">
        <f t="shared" si="44"/>
        <v>50</v>
      </c>
      <c r="P39" s="1">
        <f t="shared" si="44"/>
        <v>50</v>
      </c>
    </row>
    <row r="40" spans="2:152" s="1" customFormat="1" x14ac:dyDescent="0.25">
      <c r="B40" s="1" t="s">
        <v>22</v>
      </c>
      <c r="D40" s="1">
        <v>460</v>
      </c>
      <c r="E40" s="1">
        <v>526</v>
      </c>
      <c r="F40" s="1">
        <v>597</v>
      </c>
    </row>
    <row r="41" spans="2:152" s="2" customFormat="1" x14ac:dyDescent="0.25">
      <c r="B41" s="2" t="s">
        <v>18</v>
      </c>
      <c r="D41" s="2">
        <v>11980</v>
      </c>
      <c r="E41" s="2">
        <v>14780</v>
      </c>
      <c r="F41" s="2">
        <v>17648</v>
      </c>
      <c r="G41" s="2">
        <f>+G28+G38+G39</f>
        <v>20765.19801272091</v>
      </c>
      <c r="H41" s="2">
        <f t="shared" ref="H41:P41" si="45">+H28+H38+H39</f>
        <v>23371.802954660539</v>
      </c>
      <c r="I41" s="2">
        <f t="shared" si="45"/>
        <v>25993.003810033668</v>
      </c>
      <c r="J41" s="2">
        <f t="shared" si="45"/>
        <v>28900.007803860954</v>
      </c>
      <c r="K41" s="2">
        <f t="shared" si="45"/>
        <v>32124.42360462328</v>
      </c>
      <c r="L41" s="2">
        <f t="shared" si="45"/>
        <v>35701.380422440154</v>
      </c>
      <c r="M41" s="2">
        <f t="shared" si="45"/>
        <v>39669.923298763781</v>
      </c>
      <c r="N41" s="2">
        <f t="shared" si="45"/>
        <v>44073.453111814961</v>
      </c>
      <c r="O41" s="2">
        <f t="shared" si="45"/>
        <v>48960.216391777794</v>
      </c>
      <c r="P41" s="2">
        <f t="shared" si="45"/>
        <v>54383.850623863706</v>
      </c>
    </row>
    <row r="42" spans="2:152" s="1" customFormat="1" x14ac:dyDescent="0.25">
      <c r="B42" s="1" t="s">
        <v>19</v>
      </c>
      <c r="D42" s="1">
        <f>371+717</f>
        <v>1088</v>
      </c>
      <c r="E42" s="1">
        <f>474+720</f>
        <v>1194</v>
      </c>
      <c r="F42" s="1">
        <f>489+726</f>
        <v>1215</v>
      </c>
      <c r="G42" s="1">
        <f>+F42*1.05</f>
        <v>1275.75</v>
      </c>
      <c r="H42" s="1">
        <f t="shared" ref="H42:P42" si="46">+G42*1.05</f>
        <v>1339.5375000000001</v>
      </c>
      <c r="I42" s="1">
        <f t="shared" si="46"/>
        <v>1406.5143750000002</v>
      </c>
      <c r="J42" s="1">
        <f t="shared" si="46"/>
        <v>1476.8400937500003</v>
      </c>
      <c r="K42" s="1">
        <f t="shared" si="46"/>
        <v>1550.6820984375004</v>
      </c>
      <c r="L42" s="1">
        <f t="shared" si="46"/>
        <v>1628.2162033593754</v>
      </c>
      <c r="M42" s="1">
        <f t="shared" si="46"/>
        <v>1709.6270135273442</v>
      </c>
      <c r="N42" s="1">
        <f t="shared" si="46"/>
        <v>1795.1083642037115</v>
      </c>
      <c r="O42" s="1">
        <f t="shared" si="46"/>
        <v>1884.8637824138971</v>
      </c>
      <c r="P42" s="1">
        <f t="shared" si="46"/>
        <v>1979.106971534592</v>
      </c>
    </row>
    <row r="43" spans="2:152" s="1" customFormat="1" x14ac:dyDescent="0.25">
      <c r="B43" s="1" t="s">
        <v>20</v>
      </c>
      <c r="D43" s="1">
        <f>+D41-D42</f>
        <v>10892</v>
      </c>
      <c r="E43" s="1">
        <f>+E41-E42</f>
        <v>13586</v>
      </c>
      <c r="F43" s="1">
        <f>+F41-F42</f>
        <v>16433</v>
      </c>
      <c r="G43" s="1">
        <f>+G41-G42</f>
        <v>19489.44801272091</v>
      </c>
      <c r="H43" s="1">
        <f t="shared" ref="H43:P43" si="47">+H41-H42</f>
        <v>22032.265454660541</v>
      </c>
      <c r="I43" s="1">
        <f t="shared" si="47"/>
        <v>24586.489435033669</v>
      </c>
      <c r="J43" s="1">
        <f t="shared" si="47"/>
        <v>27423.167710110953</v>
      </c>
      <c r="K43" s="1">
        <f t="shared" si="47"/>
        <v>30573.741506185779</v>
      </c>
      <c r="L43" s="1">
        <f t="shared" si="47"/>
        <v>34073.164219080776</v>
      </c>
      <c r="M43" s="1">
        <f t="shared" si="47"/>
        <v>37960.296285236436</v>
      </c>
      <c r="N43" s="1">
        <f t="shared" si="47"/>
        <v>42278.344747611249</v>
      </c>
      <c r="O43" s="1">
        <f t="shared" si="47"/>
        <v>47075.352609363894</v>
      </c>
      <c r="P43" s="1">
        <f t="shared" si="47"/>
        <v>52404.743652329111</v>
      </c>
    </row>
    <row r="44" spans="2:152" s="1" customFormat="1" x14ac:dyDescent="0.25">
      <c r="B44" s="1" t="s">
        <v>23</v>
      </c>
      <c r="D44" s="1">
        <f>+D43+D24-D40</f>
        <v>11007</v>
      </c>
      <c r="E44" s="1">
        <f>+E43+E24-E40</f>
        <v>13706</v>
      </c>
      <c r="F44" s="1">
        <f>+F43+F24-F40</f>
        <v>16558</v>
      </c>
      <c r="G44" s="1">
        <f>+G43+G24-G40</f>
        <v>20197.008012720911</v>
      </c>
      <c r="H44" s="1">
        <f t="shared" ref="H44:P44" si="48">+H43+H24-H40</f>
        <v>22725.674254660542</v>
      </c>
      <c r="I44" s="1">
        <f t="shared" si="48"/>
        <v>25266.03005903367</v>
      </c>
      <c r="J44" s="1">
        <f t="shared" si="48"/>
        <v>28089.117521630953</v>
      </c>
      <c r="K44" s="1">
        <f t="shared" si="48"/>
        <v>31226.372321475377</v>
      </c>
      <c r="L44" s="1">
        <f t="shared" si="48"/>
        <v>34712.742418064583</v>
      </c>
      <c r="M44" s="1">
        <f t="shared" si="48"/>
        <v>38587.082920240566</v>
      </c>
      <c r="N44" s="1">
        <f t="shared" si="48"/>
        <v>42892.595649915296</v>
      </c>
      <c r="O44" s="1">
        <f t="shared" si="48"/>
        <v>47677.31849362186</v>
      </c>
      <c r="P44" s="1">
        <f t="shared" si="48"/>
        <v>52994.67021890192</v>
      </c>
      <c r="Q44" s="1">
        <f>+P44*(1+$S33)</f>
        <v>54584.510325468982</v>
      </c>
      <c r="R44" s="1">
        <f t="shared" ref="R44:CC44" si="49">+Q44*(1+$S33)</f>
        <v>56222.045635233051</v>
      </c>
      <c r="S44" s="1">
        <f t="shared" si="49"/>
        <v>57908.707004290045</v>
      </c>
      <c r="T44" s="1">
        <f t="shared" si="49"/>
        <v>59645.968214418746</v>
      </c>
      <c r="U44" s="1">
        <f t="shared" si="49"/>
        <v>61435.347260851311</v>
      </c>
      <c r="V44" s="1">
        <f t="shared" si="49"/>
        <v>63278.407678676849</v>
      </c>
      <c r="W44" s="1">
        <f t="shared" si="49"/>
        <v>65176.759909037159</v>
      </c>
      <c r="X44" s="1">
        <f t="shared" si="49"/>
        <v>67132.062706308279</v>
      </c>
      <c r="Y44" s="1">
        <f t="shared" si="49"/>
        <v>69146.024587497523</v>
      </c>
      <c r="Z44" s="1">
        <f t="shared" si="49"/>
        <v>71220.405325122454</v>
      </c>
      <c r="AA44" s="1">
        <f t="shared" si="49"/>
        <v>73357.017484876123</v>
      </c>
      <c r="AB44" s="1">
        <f t="shared" si="49"/>
        <v>75557.728009422412</v>
      </c>
      <c r="AC44" s="1">
        <f t="shared" si="49"/>
        <v>77824.45984970509</v>
      </c>
      <c r="AD44" s="1">
        <f t="shared" si="49"/>
        <v>80159.193645196239</v>
      </c>
      <c r="AE44" s="1">
        <f t="shared" si="49"/>
        <v>82563.969454552134</v>
      </c>
      <c r="AF44" s="1">
        <f t="shared" si="49"/>
        <v>85040.888538188694</v>
      </c>
      <c r="AG44" s="1">
        <f t="shared" si="49"/>
        <v>87592.115194334358</v>
      </c>
      <c r="AH44" s="1">
        <f t="shared" si="49"/>
        <v>90219.878650164392</v>
      </c>
      <c r="AI44" s="1">
        <f t="shared" si="49"/>
        <v>92926.475009669331</v>
      </c>
      <c r="AJ44" s="1">
        <f t="shared" si="49"/>
        <v>95714.269259959416</v>
      </c>
      <c r="AK44" s="1">
        <f t="shared" si="49"/>
        <v>98585.697337758204</v>
      </c>
      <c r="AL44" s="1">
        <f t="shared" si="49"/>
        <v>101543.26825789096</v>
      </c>
      <c r="AM44" s="1">
        <f t="shared" si="49"/>
        <v>104589.5663056277</v>
      </c>
      <c r="AN44" s="1">
        <f t="shared" si="49"/>
        <v>107727.25329479654</v>
      </c>
      <c r="AO44" s="1">
        <f t="shared" si="49"/>
        <v>110959.07089364044</v>
      </c>
      <c r="AP44" s="1">
        <f t="shared" si="49"/>
        <v>114287.84302044965</v>
      </c>
      <c r="AQ44" s="1">
        <f t="shared" si="49"/>
        <v>117716.47831106315</v>
      </c>
      <c r="AR44" s="1">
        <f t="shared" si="49"/>
        <v>121247.97266039505</v>
      </c>
      <c r="AS44" s="1">
        <f t="shared" si="49"/>
        <v>124885.41184020691</v>
      </c>
      <c r="AT44" s="1">
        <f t="shared" si="49"/>
        <v>128631.97419541313</v>
      </c>
      <c r="AU44" s="1">
        <f t="shared" si="49"/>
        <v>132490.93342127552</v>
      </c>
      <c r="AV44" s="1">
        <f t="shared" si="49"/>
        <v>136465.66142391379</v>
      </c>
      <c r="AW44" s="1">
        <f t="shared" si="49"/>
        <v>140559.63126663122</v>
      </c>
      <c r="AX44" s="1">
        <f t="shared" si="49"/>
        <v>144776.42020463015</v>
      </c>
      <c r="AY44" s="1">
        <f t="shared" si="49"/>
        <v>149119.71281076907</v>
      </c>
      <c r="AZ44" s="1">
        <f t="shared" si="49"/>
        <v>153593.30419509215</v>
      </c>
      <c r="BA44" s="1">
        <f t="shared" si="49"/>
        <v>158201.10332094491</v>
      </c>
      <c r="BB44" s="1">
        <f t="shared" si="49"/>
        <v>162947.13642057325</v>
      </c>
      <c r="BC44" s="1">
        <f t="shared" si="49"/>
        <v>167835.55051319045</v>
      </c>
      <c r="BD44" s="1">
        <f t="shared" si="49"/>
        <v>172870.61702858616</v>
      </c>
      <c r="BE44" s="1">
        <f t="shared" si="49"/>
        <v>178056.73553944376</v>
      </c>
      <c r="BF44" s="1">
        <f t="shared" si="49"/>
        <v>183398.43760562708</v>
      </c>
      <c r="BG44" s="1">
        <f t="shared" si="49"/>
        <v>188900.39073379591</v>
      </c>
      <c r="BH44" s="1">
        <f t="shared" si="49"/>
        <v>194567.40245580979</v>
      </c>
      <c r="BI44" s="1">
        <f t="shared" si="49"/>
        <v>200404.42452948409</v>
      </c>
      <c r="BJ44" s="1">
        <f t="shared" si="49"/>
        <v>206416.55726536861</v>
      </c>
      <c r="BK44" s="1">
        <f t="shared" si="49"/>
        <v>212609.05398332968</v>
      </c>
      <c r="BL44" s="1">
        <f t="shared" si="49"/>
        <v>218987.32560282957</v>
      </c>
      <c r="BM44" s="1">
        <f t="shared" si="49"/>
        <v>225556.94537091447</v>
      </c>
      <c r="BN44" s="1">
        <f t="shared" si="49"/>
        <v>232323.65373204192</v>
      </c>
      <c r="BO44" s="1">
        <f t="shared" si="49"/>
        <v>239293.36334400318</v>
      </c>
      <c r="BP44" s="1">
        <f t="shared" si="49"/>
        <v>246472.1642443233</v>
      </c>
      <c r="BQ44" s="1">
        <f t="shared" si="49"/>
        <v>253866.32917165299</v>
      </c>
      <c r="BR44" s="1">
        <f t="shared" si="49"/>
        <v>261482.31904680259</v>
      </c>
      <c r="BS44" s="1">
        <f t="shared" si="49"/>
        <v>269326.78861820669</v>
      </c>
      <c r="BT44" s="1">
        <f t="shared" si="49"/>
        <v>277406.59227675287</v>
      </c>
      <c r="BU44" s="1">
        <f t="shared" si="49"/>
        <v>285728.79004505544</v>
      </c>
      <c r="BV44" s="1">
        <f t="shared" si="49"/>
        <v>294300.65374640713</v>
      </c>
      <c r="BW44" s="1">
        <f t="shared" si="49"/>
        <v>303129.67335879937</v>
      </c>
      <c r="BX44" s="1">
        <f t="shared" si="49"/>
        <v>312223.56355956336</v>
      </c>
      <c r="BY44" s="1">
        <f t="shared" si="49"/>
        <v>321590.27046635025</v>
      </c>
      <c r="BZ44" s="1">
        <f t="shared" si="49"/>
        <v>331237.97858034074</v>
      </c>
      <c r="CA44" s="1">
        <f t="shared" si="49"/>
        <v>341175.117937751</v>
      </c>
      <c r="CB44" s="1">
        <f t="shared" si="49"/>
        <v>351410.37147588353</v>
      </c>
      <c r="CC44" s="1">
        <f t="shared" si="49"/>
        <v>361952.68262016005</v>
      </c>
      <c r="CD44" s="1">
        <f t="shared" ref="CD44:EO44" si="50">+CC44*(1+$S33)</f>
        <v>372811.26309876487</v>
      </c>
      <c r="CE44" s="1">
        <f t="shared" si="50"/>
        <v>383995.60099172784</v>
      </c>
      <c r="CF44" s="1">
        <f t="shared" si="50"/>
        <v>395515.46902147972</v>
      </c>
      <c r="CG44" s="1">
        <f t="shared" si="50"/>
        <v>407380.93309212412</v>
      </c>
      <c r="CH44" s="1">
        <f t="shared" si="50"/>
        <v>419602.36108488787</v>
      </c>
      <c r="CI44" s="1">
        <f t="shared" si="50"/>
        <v>432190.4319174345</v>
      </c>
      <c r="CJ44" s="1">
        <f t="shared" si="50"/>
        <v>445156.14487495756</v>
      </c>
      <c r="CK44" s="1">
        <f t="shared" si="50"/>
        <v>458510.82922120631</v>
      </c>
      <c r="CL44" s="1">
        <f t="shared" si="50"/>
        <v>472266.15409784252</v>
      </c>
      <c r="CM44" s="1">
        <f t="shared" si="50"/>
        <v>486434.13872077782</v>
      </c>
      <c r="CN44" s="1">
        <f t="shared" si="50"/>
        <v>501027.16288240114</v>
      </c>
      <c r="CO44" s="1">
        <f t="shared" si="50"/>
        <v>516057.97776887321</v>
      </c>
      <c r="CP44" s="1">
        <f t="shared" si="50"/>
        <v>531539.71710193937</v>
      </c>
      <c r="CQ44" s="1">
        <f t="shared" si="50"/>
        <v>547485.90861499752</v>
      </c>
      <c r="CR44" s="1">
        <f t="shared" si="50"/>
        <v>563910.4858734475</v>
      </c>
      <c r="CS44" s="1">
        <f t="shared" si="50"/>
        <v>580827.80044965097</v>
      </c>
      <c r="CT44" s="1">
        <f t="shared" si="50"/>
        <v>598252.63446314051</v>
      </c>
      <c r="CU44" s="1">
        <f t="shared" si="50"/>
        <v>616200.21349703474</v>
      </c>
      <c r="CV44" s="1">
        <f t="shared" si="50"/>
        <v>634686.21990194579</v>
      </c>
      <c r="CW44" s="1">
        <f t="shared" si="50"/>
        <v>653726.80649900413</v>
      </c>
      <c r="CX44" s="1">
        <f t="shared" si="50"/>
        <v>673338.6106939743</v>
      </c>
      <c r="CY44" s="1">
        <f t="shared" si="50"/>
        <v>693538.76901479356</v>
      </c>
      <c r="CZ44" s="1">
        <f t="shared" si="50"/>
        <v>714344.93208523735</v>
      </c>
      <c r="DA44" s="1">
        <f t="shared" si="50"/>
        <v>735775.28004779445</v>
      </c>
      <c r="DB44" s="1">
        <f t="shared" si="50"/>
        <v>757848.53844922828</v>
      </c>
      <c r="DC44" s="1">
        <f t="shared" si="50"/>
        <v>780583.99460270512</v>
      </c>
      <c r="DD44" s="1">
        <f t="shared" si="50"/>
        <v>804001.51444078633</v>
      </c>
      <c r="DE44" s="1">
        <f t="shared" si="50"/>
        <v>828121.55987400992</v>
      </c>
      <c r="DF44" s="1">
        <f t="shared" si="50"/>
        <v>852965.20667023025</v>
      </c>
      <c r="DG44" s="1">
        <f t="shared" si="50"/>
        <v>878554.16287033714</v>
      </c>
      <c r="DH44" s="1">
        <f t="shared" si="50"/>
        <v>904910.78775644733</v>
      </c>
      <c r="DI44" s="1">
        <f t="shared" si="50"/>
        <v>932058.11138914083</v>
      </c>
      <c r="DJ44" s="1">
        <f t="shared" si="50"/>
        <v>960019.85473081504</v>
      </c>
      <c r="DK44" s="1">
        <f t="shared" si="50"/>
        <v>988820.45037273958</v>
      </c>
      <c r="DL44" s="1">
        <f t="shared" si="50"/>
        <v>1018485.0638839218</v>
      </c>
      <c r="DM44" s="1">
        <f t="shared" si="50"/>
        <v>1049039.6158004396</v>
      </c>
      <c r="DN44" s="1">
        <f t="shared" si="50"/>
        <v>1080510.8042744529</v>
      </c>
      <c r="DO44" s="1">
        <f t="shared" si="50"/>
        <v>1112926.1284026864</v>
      </c>
      <c r="DP44" s="1">
        <f t="shared" si="50"/>
        <v>1146313.912254767</v>
      </c>
      <c r="DQ44" s="1">
        <f t="shared" si="50"/>
        <v>1180703.32962241</v>
      </c>
      <c r="DR44" s="1">
        <f t="shared" si="50"/>
        <v>1216124.4295110824</v>
      </c>
      <c r="DS44" s="1">
        <f t="shared" si="50"/>
        <v>1252608.1623964149</v>
      </c>
      <c r="DT44" s="1">
        <f t="shared" si="50"/>
        <v>1290186.4072683074</v>
      </c>
      <c r="DU44" s="1">
        <f t="shared" si="50"/>
        <v>1328891.9994863567</v>
      </c>
      <c r="DV44" s="1">
        <f t="shared" si="50"/>
        <v>1368758.7594709476</v>
      </c>
      <c r="DW44" s="1">
        <f t="shared" si="50"/>
        <v>1409821.5222550761</v>
      </c>
      <c r="DX44" s="1">
        <f t="shared" si="50"/>
        <v>1452116.1679227285</v>
      </c>
      <c r="DY44" s="1">
        <f t="shared" si="50"/>
        <v>1495679.6529604103</v>
      </c>
      <c r="DZ44" s="1">
        <f t="shared" si="50"/>
        <v>1540550.0425492227</v>
      </c>
      <c r="EA44" s="1">
        <f t="shared" si="50"/>
        <v>1586766.5438256995</v>
      </c>
      <c r="EB44" s="1">
        <f t="shared" si="50"/>
        <v>1634369.5401404705</v>
      </c>
      <c r="EC44" s="1">
        <f t="shared" si="50"/>
        <v>1683400.6263446847</v>
      </c>
      <c r="ED44" s="1">
        <f t="shared" si="50"/>
        <v>1733902.6451350253</v>
      </c>
      <c r="EE44" s="1">
        <f t="shared" si="50"/>
        <v>1785919.7244890761</v>
      </c>
      <c r="EF44" s="1">
        <f t="shared" si="50"/>
        <v>1839497.3162237485</v>
      </c>
      <c r="EG44" s="1">
        <f t="shared" si="50"/>
        <v>1894682.2357104609</v>
      </c>
      <c r="EH44" s="1">
        <f t="shared" si="50"/>
        <v>1951522.7027817748</v>
      </c>
      <c r="EI44" s="1">
        <f t="shared" si="50"/>
        <v>2010068.3838652282</v>
      </c>
      <c r="EJ44" s="1">
        <f t="shared" si="50"/>
        <v>2070370.435381185</v>
      </c>
      <c r="EK44" s="1">
        <f t="shared" si="50"/>
        <v>2132481.5484426208</v>
      </c>
      <c r="EL44" s="1">
        <f t="shared" si="50"/>
        <v>2196455.9948958997</v>
      </c>
      <c r="EM44" s="1">
        <f t="shared" si="50"/>
        <v>2262349.6747427769</v>
      </c>
      <c r="EN44" s="1">
        <f t="shared" si="50"/>
        <v>2330220.1649850602</v>
      </c>
      <c r="EO44" s="1">
        <f t="shared" si="50"/>
        <v>2400126.7699346123</v>
      </c>
      <c r="EP44" s="1">
        <f t="shared" ref="EP44:EV44" si="51">+EO44*(1+$S33)</f>
        <v>2472130.5730326506</v>
      </c>
      <c r="EQ44" s="1">
        <f t="shared" si="51"/>
        <v>2546294.4902236303</v>
      </c>
      <c r="ER44" s="1">
        <f t="shared" si="51"/>
        <v>2622683.3249303391</v>
      </c>
      <c r="ES44" s="1">
        <f t="shared" si="51"/>
        <v>2701363.8246782492</v>
      </c>
      <c r="ET44" s="1">
        <f t="shared" si="51"/>
        <v>2782404.739418597</v>
      </c>
      <c r="EU44" s="1">
        <f t="shared" si="51"/>
        <v>2865876.8816011548</v>
      </c>
      <c r="EV44" s="1">
        <f t="shared" si="51"/>
        <v>2951853.1880491897</v>
      </c>
    </row>
    <row r="45" spans="2:152" s="1" customFormat="1" x14ac:dyDescent="0.25"/>
    <row r="46" spans="2:152" s="4" customFormat="1" x14ac:dyDescent="0.25">
      <c r="B46" s="4" t="s">
        <v>1</v>
      </c>
      <c r="D46" s="8">
        <f>+D17/D$16</f>
        <v>0.35568571200892501</v>
      </c>
      <c r="E46" s="8">
        <f t="shared" ref="E46:F46" si="52">+E17/E$16</f>
        <v>0.36187737423225763</v>
      </c>
      <c r="F46" s="8">
        <f t="shared" si="52"/>
        <v>0.34515568296178828</v>
      </c>
    </row>
    <row r="47" spans="2:152" s="4" customFormat="1" x14ac:dyDescent="0.25">
      <c r="B47" s="4" t="s">
        <v>2</v>
      </c>
      <c r="D47" s="8">
        <f t="shared" ref="D47:F48" si="53">+D18/D$16</f>
        <v>3.2871145111164235E-2</v>
      </c>
      <c r="E47" s="8">
        <f t="shared" si="53"/>
        <v>2.893456882167075E-2</v>
      </c>
      <c r="F47" s="8">
        <f t="shared" si="53"/>
        <v>2.8330944466469457E-2</v>
      </c>
    </row>
    <row r="48" spans="2:152" s="4" customFormat="1" x14ac:dyDescent="0.25">
      <c r="B48" s="4" t="s">
        <v>3</v>
      </c>
      <c r="D48" s="8">
        <f t="shared" si="53"/>
        <v>3.1835205992509365E-2</v>
      </c>
      <c r="E48" s="8">
        <f t="shared" si="53"/>
        <v>3.1845776973053574E-2</v>
      </c>
      <c r="F48" s="8">
        <f t="shared" si="53"/>
        <v>3.4857125430758439E-2</v>
      </c>
    </row>
    <row r="49" spans="2:6" s="1" customFormat="1" x14ac:dyDescent="0.25"/>
    <row r="50" spans="2:6" s="1" customFormat="1" x14ac:dyDescent="0.25">
      <c r="B50" s="1" t="s">
        <v>35</v>
      </c>
      <c r="E50" s="1">
        <v>8442</v>
      </c>
      <c r="F50" s="1">
        <v>10566</v>
      </c>
    </row>
    <row r="51" spans="2:6" s="1" customFormat="1" x14ac:dyDescent="0.25">
      <c r="B51" s="1" t="s">
        <v>6</v>
      </c>
      <c r="E51" s="1">
        <v>330</v>
      </c>
      <c r="F51" s="1">
        <v>332</v>
      </c>
    </row>
    <row r="52" spans="2:6" s="1" customFormat="1" x14ac:dyDescent="0.25">
      <c r="B52" s="1" t="s">
        <v>36</v>
      </c>
      <c r="E52" s="1">
        <v>2138</v>
      </c>
      <c r="F52" s="1">
        <v>2303</v>
      </c>
    </row>
    <row r="53" spans="2:6" s="1" customFormat="1" x14ac:dyDescent="0.25">
      <c r="B53" s="1" t="s">
        <v>37</v>
      </c>
      <c r="E53" s="1">
        <f>750+17476</f>
        <v>18226</v>
      </c>
      <c r="F53" s="1">
        <f>749+18251</f>
        <v>19000</v>
      </c>
    </row>
    <row r="54" spans="2:6" s="1" customFormat="1" x14ac:dyDescent="0.25">
      <c r="B54" s="1" t="s">
        <v>38</v>
      </c>
      <c r="E54" s="1">
        <f>+E50+E51+E52-E53</f>
        <v>-7316</v>
      </c>
      <c r="F54" s="1">
        <f>+F50+F51+F52-F53</f>
        <v>-5799</v>
      </c>
    </row>
    <row r="55" spans="2:6" s="1" customFormat="1" x14ac:dyDescent="0.25">
      <c r="B55" s="1" t="s">
        <v>39</v>
      </c>
      <c r="E55" s="1">
        <f>+E50-E53</f>
        <v>-9784</v>
      </c>
      <c r="F55" s="1">
        <f>+F50-F53</f>
        <v>-8434</v>
      </c>
    </row>
    <row r="56" spans="2:6" s="1" customFormat="1" x14ac:dyDescent="0.25"/>
    <row r="57" spans="2:6" s="1" customFormat="1" x14ac:dyDescent="0.25">
      <c r="B57" s="1" t="s">
        <v>40</v>
      </c>
      <c r="D57" s="1">
        <v>2158</v>
      </c>
      <c r="E57" s="1">
        <v>2448</v>
      </c>
      <c r="F57" s="1">
        <v>2756</v>
      </c>
    </row>
    <row r="58" spans="2:6" s="1" customFormat="1" x14ac:dyDescent="0.25">
      <c r="B58" s="1" t="s">
        <v>41</v>
      </c>
      <c r="D58" s="1">
        <v>9032</v>
      </c>
      <c r="E58" s="1">
        <v>10954</v>
      </c>
      <c r="F58" s="1">
        <v>11727</v>
      </c>
    </row>
    <row r="59" spans="2:6" s="1" customFormat="1" x14ac:dyDescent="0.25">
      <c r="B59" s="1" t="s">
        <v>42</v>
      </c>
      <c r="D59" s="1">
        <f>+D57+D58</f>
        <v>11190</v>
      </c>
      <c r="E59" s="1">
        <f>+E57+E58</f>
        <v>13402</v>
      </c>
      <c r="F59" s="1">
        <f>+F57+F58</f>
        <v>14483</v>
      </c>
    </row>
    <row r="60" spans="2:6" s="4" customFormat="1" x14ac:dyDescent="0.25">
      <c r="B60" s="4" t="s">
        <v>43</v>
      </c>
      <c r="D60" s="4">
        <f>+D59/D43</f>
        <v>1.0273595299302241</v>
      </c>
      <c r="E60" s="4">
        <f t="shared" ref="E60:F60" si="54">+E59/E43</f>
        <v>0.98645664654791698</v>
      </c>
      <c r="F60" s="4">
        <f t="shared" si="54"/>
        <v>0.88133633542262524</v>
      </c>
    </row>
    <row r="61" spans="2:6" s="1" customFormat="1" x14ac:dyDescent="0.25"/>
    <row r="62" spans="2:6" s="1" customFormat="1" x14ac:dyDescent="0.25"/>
    <row r="63" spans="2:6" s="1" customFormat="1" x14ac:dyDescent="0.25"/>
    <row r="64" spans="2:6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BEF5-1F8B-4803-AC6C-81C0E8ACC08F}">
  <dimension ref="B3:C5"/>
  <sheetViews>
    <sheetView zoomScaleNormal="100" workbookViewId="0">
      <selection activeCell="A8" sqref="A8"/>
    </sheetView>
  </sheetViews>
  <sheetFormatPr defaultRowHeight="15" x14ac:dyDescent="0.25"/>
  <cols>
    <col min="1" max="1" width="2.85546875" customWidth="1"/>
    <col min="2" max="2" width="17.28515625" bestFit="1" customWidth="1"/>
    <col min="3" max="3" width="69.42578125" customWidth="1"/>
  </cols>
  <sheetData>
    <row r="3" spans="2:3" x14ac:dyDescent="0.25">
      <c r="B3" t="s">
        <v>26</v>
      </c>
    </row>
    <row r="4" spans="2:3" ht="75" x14ac:dyDescent="0.25">
      <c r="B4" s="6" t="s">
        <v>24</v>
      </c>
      <c r="C4" s="5" t="s">
        <v>27</v>
      </c>
    </row>
    <row r="5" spans="2:3" ht="120" x14ac:dyDescent="0.25">
      <c r="B5" s="7" t="s">
        <v>28</v>
      </c>
      <c r="C5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2026-02-14T14:38:43Z</dcterms:created>
  <dcterms:modified xsi:type="dcterms:W3CDTF">2026-02-14T15:12:10Z</dcterms:modified>
</cp:coreProperties>
</file>