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019F001E-76CD-45AA-B9EB-9B95D2EDEFBF}" xr6:coauthVersionLast="47" xr6:coauthVersionMax="47" xr10:uidLastSave="{00000000-0000-0000-0000-000000000000}"/>
  <bookViews>
    <workbookView xWindow="-120" yWindow="-120" windowWidth="29040" windowHeight="15840" activeTab="1" xr2:uid="{C651DF68-2DEC-4457-AC3D-AE77276060AA}"/>
  </bookViews>
  <sheets>
    <sheet name="Main" sheetId="2" r:id="rId1"/>
    <sheet name="Model" sheetId="1" r:id="rId2"/>
  </sheets>
  <definedNames>
    <definedName name="TR">Model!$Y$30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P11" i="1"/>
  <c r="Q11" i="1" s="1"/>
  <c r="R11" i="1" s="1"/>
  <c r="S11" i="1" s="1"/>
  <c r="T11" i="1" s="1"/>
  <c r="U11" i="1" s="1"/>
  <c r="V11" i="1" s="1"/>
  <c r="O11" i="1"/>
  <c r="O10" i="1"/>
  <c r="P10" i="1" s="1"/>
  <c r="Q10" i="1" s="1"/>
  <c r="R10" i="1" s="1"/>
  <c r="S10" i="1" s="1"/>
  <c r="T10" i="1" s="1"/>
  <c r="U10" i="1" s="1"/>
  <c r="V10" i="1" s="1"/>
  <c r="N9" i="1"/>
  <c r="M44" i="1"/>
  <c r="M43" i="1"/>
  <c r="M42" i="1"/>
  <c r="N44" i="1"/>
  <c r="N43" i="1"/>
  <c r="N42" i="1"/>
  <c r="Y32" i="1"/>
  <c r="R25" i="1"/>
  <c r="Q25" i="1"/>
  <c r="P25" i="1"/>
  <c r="O25" i="1"/>
  <c r="P16" i="1"/>
  <c r="Q16" i="1" s="1"/>
  <c r="R16" i="1" s="1"/>
  <c r="S16" i="1" s="1"/>
  <c r="T16" i="1" s="1"/>
  <c r="O16" i="1"/>
  <c r="P12" i="1"/>
  <c r="Q12" i="1" s="1"/>
  <c r="R12" i="1" s="1"/>
  <c r="S12" i="1" s="1"/>
  <c r="T12" i="1" s="1"/>
  <c r="U12" i="1" s="1"/>
  <c r="V12" i="1" s="1"/>
  <c r="O12" i="1"/>
  <c r="V2" i="1"/>
  <c r="U2" i="1"/>
  <c r="T2" i="1"/>
  <c r="S2" i="1"/>
  <c r="R2" i="1"/>
  <c r="Q2" i="1"/>
  <c r="P2" i="1"/>
  <c r="O2" i="1"/>
  <c r="N40" i="1"/>
  <c r="M40" i="1"/>
  <c r="D33" i="1"/>
  <c r="D32" i="1"/>
  <c r="D34" i="1" s="1"/>
  <c r="E34" i="1"/>
  <c r="C34" i="1"/>
  <c r="M34" i="1"/>
  <c r="N34" i="1"/>
  <c r="E30" i="1"/>
  <c r="K30" i="1"/>
  <c r="L30" i="1"/>
  <c r="M30" i="1"/>
  <c r="N30" i="1"/>
  <c r="D23" i="1"/>
  <c r="D22" i="1"/>
  <c r="D21" i="1"/>
  <c r="D20" i="1"/>
  <c r="D19" i="1"/>
  <c r="D17" i="1"/>
  <c r="D16" i="1"/>
  <c r="D14" i="1"/>
  <c r="D13" i="1"/>
  <c r="F15" i="1"/>
  <c r="F18" i="1" s="1"/>
  <c r="F24" i="1" s="1"/>
  <c r="F26" i="1" s="1"/>
  <c r="E15" i="1"/>
  <c r="E28" i="1" s="1"/>
  <c r="C15" i="1"/>
  <c r="C18" i="1" s="1"/>
  <c r="C24" i="1" s="1"/>
  <c r="C26" i="1" s="1"/>
  <c r="C29" i="1" s="1"/>
  <c r="N25" i="1"/>
  <c r="D25" i="1" s="1"/>
  <c r="N15" i="1"/>
  <c r="N18" i="1" s="1"/>
  <c r="N24" i="1" s="1"/>
  <c r="M25" i="1"/>
  <c r="M15" i="1"/>
  <c r="M28" i="1" s="1"/>
  <c r="K2" i="1"/>
  <c r="L2" i="1" s="1"/>
  <c r="M2" i="1" s="1"/>
  <c r="N2" i="1" s="1"/>
  <c r="O13" i="1" l="1"/>
  <c r="O14" i="1" s="1"/>
  <c r="O15" i="1" s="1"/>
  <c r="V13" i="1"/>
  <c r="V14" i="1" s="1"/>
  <c r="V15" i="1" s="1"/>
  <c r="O17" i="1"/>
  <c r="U13" i="1"/>
  <c r="T13" i="1"/>
  <c r="S13" i="1"/>
  <c r="R13" i="1"/>
  <c r="Q13" i="1"/>
  <c r="P13" i="1"/>
  <c r="U16" i="1"/>
  <c r="O18" i="1"/>
  <c r="O24" i="1" s="1"/>
  <c r="O26" i="1" s="1"/>
  <c r="N28" i="1"/>
  <c r="E18" i="1"/>
  <c r="C28" i="1"/>
  <c r="M18" i="1"/>
  <c r="M24" i="1" s="1"/>
  <c r="M26" i="1" s="1"/>
  <c r="M29" i="1" s="1"/>
  <c r="D15" i="1"/>
  <c r="E24" i="1"/>
  <c r="E26" i="1" s="1"/>
  <c r="E29" i="1" s="1"/>
  <c r="N26" i="1"/>
  <c r="N29" i="1" s="1"/>
  <c r="O30" i="1" l="1"/>
  <c r="V17" i="1"/>
  <c r="R14" i="1"/>
  <c r="R17" i="1"/>
  <c r="R30" i="1"/>
  <c r="R15" i="1"/>
  <c r="R18" i="1" s="1"/>
  <c r="R24" i="1" s="1"/>
  <c r="R26" i="1" s="1"/>
  <c r="R29" i="1" s="1"/>
  <c r="P17" i="1"/>
  <c r="P30" i="1"/>
  <c r="P14" i="1"/>
  <c r="P15" i="1" s="1"/>
  <c r="P18" i="1" s="1"/>
  <c r="P24" i="1" s="1"/>
  <c r="P26" i="1" s="1"/>
  <c r="S14" i="1"/>
  <c r="S15" i="1" s="1"/>
  <c r="S18" i="1" s="1"/>
  <c r="S24" i="1" s="1"/>
  <c r="S17" i="1"/>
  <c r="S30" i="1"/>
  <c r="U14" i="1"/>
  <c r="U15" i="1" s="1"/>
  <c r="U18" i="1" s="1"/>
  <c r="U24" i="1" s="1"/>
  <c r="U17" i="1"/>
  <c r="U30" i="1"/>
  <c r="V30" i="1"/>
  <c r="O29" i="1"/>
  <c r="Q17" i="1"/>
  <c r="Q30" i="1"/>
  <c r="Q14" i="1"/>
  <c r="Q15" i="1" s="1"/>
  <c r="Q18" i="1" s="1"/>
  <c r="Q24" i="1" s="1"/>
  <c r="Q26" i="1" s="1"/>
  <c r="Q29" i="1" s="1"/>
  <c r="T14" i="1"/>
  <c r="T15" i="1" s="1"/>
  <c r="T17" i="1"/>
  <c r="T30" i="1"/>
  <c r="V16" i="1"/>
  <c r="V18" i="1" s="1"/>
  <c r="V24" i="1" s="1"/>
  <c r="D18" i="1"/>
  <c r="D24" i="1" s="1"/>
  <c r="D26" i="1" s="1"/>
  <c r="D29" i="1" s="1"/>
  <c r="D28" i="1"/>
  <c r="T18" i="1" l="1"/>
  <c r="T24" i="1" s="1"/>
  <c r="T25" i="1" s="1"/>
  <c r="T26" i="1" s="1"/>
  <c r="T29" i="1" s="1"/>
  <c r="P29" i="1"/>
  <c r="S25" i="1"/>
  <c r="S26" i="1" s="1"/>
  <c r="V25" i="1"/>
  <c r="V26" i="1" s="1"/>
  <c r="U25" i="1"/>
  <c r="U26" i="1" s="1"/>
  <c r="U29" i="1" s="1"/>
  <c r="W26" i="1" l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V29" i="1"/>
  <c r="S29" i="1"/>
  <c r="Y31" i="1" l="1"/>
  <c r="Y33" i="1" s="1"/>
  <c r="Y35" i="1" s="1"/>
</calcChain>
</file>

<file path=xl/sharedStrings.xml><?xml version="1.0" encoding="utf-8"?>
<sst xmlns="http://schemas.openxmlformats.org/spreadsheetml/2006/main" count="51" uniqueCount="51">
  <si>
    <t>Revenue</t>
  </si>
  <si>
    <t>COGS</t>
  </si>
  <si>
    <t>Gross Profit</t>
  </si>
  <si>
    <t>R&amp;D</t>
  </si>
  <si>
    <t>SG&amp;A</t>
  </si>
  <si>
    <t>Operating Income</t>
  </si>
  <si>
    <t>Interest income</t>
  </si>
  <si>
    <t>other income</t>
  </si>
  <si>
    <t>Interest Expense</t>
  </si>
  <si>
    <t>Dividend income</t>
  </si>
  <si>
    <t>Other expenses</t>
  </si>
  <si>
    <t>Pretax</t>
  </si>
  <si>
    <t>Taxes</t>
  </si>
  <si>
    <t>Net Income</t>
  </si>
  <si>
    <t>H2 24</t>
  </si>
  <si>
    <t>H1 24</t>
  </si>
  <si>
    <t>Gross Margin</t>
  </si>
  <si>
    <t>Net Margin</t>
  </si>
  <si>
    <t>Revenue Y/Y</t>
  </si>
  <si>
    <t>CFFO</t>
  </si>
  <si>
    <t>CapEx</t>
  </si>
  <si>
    <t>FCF</t>
  </si>
  <si>
    <t>Cash</t>
  </si>
  <si>
    <t>Investments</t>
  </si>
  <si>
    <t>PP&amp;E</t>
  </si>
  <si>
    <t>Debt</t>
  </si>
  <si>
    <t>NAV</t>
  </si>
  <si>
    <t>Japan</t>
  </si>
  <si>
    <t>Asia ex. Japan</t>
  </si>
  <si>
    <t>North America</t>
  </si>
  <si>
    <t>Europe</t>
  </si>
  <si>
    <t>Other Region</t>
  </si>
  <si>
    <t xml:space="preserve">Measurement </t>
  </si>
  <si>
    <t xml:space="preserve">Industrial </t>
  </si>
  <si>
    <t>Medical</t>
  </si>
  <si>
    <t>H1 25</t>
  </si>
  <si>
    <t>H2 25</t>
  </si>
  <si>
    <t>Discount</t>
  </si>
  <si>
    <t>Terminal</t>
  </si>
  <si>
    <t>NPV</t>
  </si>
  <si>
    <t>Net Cash</t>
  </si>
  <si>
    <t>Value</t>
  </si>
  <si>
    <t>Share</t>
  </si>
  <si>
    <t>Price</t>
  </si>
  <si>
    <t>Cost of Debt</t>
  </si>
  <si>
    <t>Dividend Yield</t>
  </si>
  <si>
    <t>Interest Coupon</t>
  </si>
  <si>
    <r>
      <t>Technological Leadership:</t>
    </r>
    <r>
      <rPr>
        <sz val="11"/>
        <color theme="1"/>
        <rFont val="Calibri"/>
        <family val="2"/>
        <scheme val="minor"/>
      </rPr>
      <t xml:space="preserve"> JEOL is renowned for its advanced scientific instruments, particularly electron microscopes and mass spectrometers. The company's commitment to innovation is evident in its development of high-resolution electron microscopes, such as the JEM-1000, which achieved 1000kV ultrahigh voltage capabilities.</t>
    </r>
  </si>
  <si>
    <r>
      <t>Diverse Product Portfolio:</t>
    </r>
    <r>
      <rPr>
        <sz val="11"/>
        <color theme="1"/>
        <rFont val="Calibri"/>
        <family val="2"/>
        <scheme val="minor"/>
      </rPr>
      <t xml:space="preserve"> The company offers a wide range of products across various sectors, including scientific and metrology instruments, industrial equipment, and medical equipment. This diversification allows JEOL to serve multiple industries and reduce dependency on a single market segment.</t>
    </r>
  </si>
  <si>
    <r>
      <t>Commitment to Research and Development:</t>
    </r>
    <r>
      <rPr>
        <sz val="11"/>
        <color theme="1"/>
        <rFont val="Calibri"/>
        <family val="2"/>
        <scheme val="minor"/>
      </rPr>
      <t xml:space="preserve"> JEOL's substantial investment in R&amp;D has led to continuous product innovation and improvement. The company's focus on developing cutting-edge technologies ensures it remains at the forefront of scientific instrumentation.</t>
    </r>
  </si>
  <si>
    <r>
      <t>Strong Brand Reputation:</t>
    </r>
    <r>
      <rPr>
        <sz val="11"/>
        <color theme="1"/>
        <rFont val="Calibri"/>
        <family val="2"/>
        <scheme val="minor"/>
      </rPr>
      <t xml:space="preserve"> Over its decades-long history, JEOL has built a reputation for quality and reliability. Its instruments are utilized by leading research institutions worldwide, including the University of Cambridge, University of Oxford, and MIT.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</si>
</sst>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165" fontId="0" fillId="0" borderId="0" xfId="0" applyNumberFormat="1"/>
    <xf numFmtId="10" fontId="0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5953</xdr:colOff>
      <xdr:row>2</xdr:row>
      <xdr:rowOff>184547</xdr:rowOff>
    </xdr:from>
    <xdr:to>
      <xdr:col>14</xdr:col>
      <xdr:colOff>11906</xdr:colOff>
      <xdr:row>32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15848DC-E1E7-D12A-F830-D894338FB3A0}"/>
            </a:ext>
          </a:extLst>
        </xdr:cNvPr>
        <xdr:cNvCxnSpPr/>
      </xdr:nvCxnSpPr>
      <xdr:spPr>
        <a:xfrm flipH="1">
          <a:off x="8614172" y="565547"/>
          <a:ext cx="5953" cy="386357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601266</xdr:colOff>
      <xdr:row>2</xdr:row>
      <xdr:rowOff>184547</xdr:rowOff>
    </xdr:from>
    <xdr:to>
      <xdr:col>5</xdr:col>
      <xdr:colOff>0</xdr:colOff>
      <xdr:row>31</xdr:row>
      <xdr:rowOff>119062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B955E7F-F100-FAD5-5311-5756FF8CCECF}"/>
            </a:ext>
          </a:extLst>
        </xdr:cNvPr>
        <xdr:cNvCxnSpPr/>
      </xdr:nvCxnSpPr>
      <xdr:spPr>
        <a:xfrm>
          <a:off x="3137297" y="565547"/>
          <a:ext cx="5953" cy="37445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07D5-4A6A-49EE-9664-6531B455C838}">
  <dimension ref="B3:B6"/>
  <sheetViews>
    <sheetView workbookViewId="0">
      <selection activeCell="D8" sqref="D8"/>
    </sheetView>
  </sheetViews>
  <sheetFormatPr defaultRowHeight="15" x14ac:dyDescent="0.25"/>
  <sheetData>
    <row r="3" spans="2:2" x14ac:dyDescent="0.25">
      <c r="B3" s="7" t="s">
        <v>47</v>
      </c>
    </row>
    <row r="4" spans="2:2" x14ac:dyDescent="0.25">
      <c r="B4" s="7" t="s">
        <v>48</v>
      </c>
    </row>
    <row r="5" spans="2:2" x14ac:dyDescent="0.25">
      <c r="B5" s="7" t="s">
        <v>49</v>
      </c>
    </row>
    <row r="6" spans="2:2" x14ac:dyDescent="0.25">
      <c r="B6" s="7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502E-710F-4D96-BB74-31E2E707AC27}">
  <dimension ref="B2:DD44"/>
  <sheetViews>
    <sheetView tabSelected="1" zoomScale="160" zoomScaleNormal="160" workbookViewId="0">
      <pane xSplit="2" ySplit="2" topLeftCell="K18" activePane="bottomRight" state="frozen"/>
      <selection pane="topRight" activeCell="C1" sqref="C1"/>
      <selection pane="bottomLeft" activeCell="A3" sqref="A3"/>
      <selection pane="bottomRight" activeCell="Q27" sqref="Q27"/>
    </sheetView>
  </sheetViews>
  <sheetFormatPr defaultRowHeight="15" x14ac:dyDescent="0.25"/>
  <cols>
    <col min="1" max="1" width="2.85546875" style="1" customWidth="1"/>
    <col min="2" max="2" width="17" style="1" customWidth="1"/>
    <col min="3" max="16384" width="9.140625" style="1"/>
  </cols>
  <sheetData>
    <row r="2" spans="2:22" customFormat="1" x14ac:dyDescent="0.25">
      <c r="C2" t="s">
        <v>15</v>
      </c>
      <c r="D2" t="s">
        <v>14</v>
      </c>
      <c r="E2" t="s">
        <v>35</v>
      </c>
      <c r="F2" t="s">
        <v>36</v>
      </c>
      <c r="J2">
        <v>2020</v>
      </c>
      <c r="K2">
        <f t="shared" ref="K2:V2" si="0">+J2+1</f>
        <v>2021</v>
      </c>
      <c r="L2">
        <f t="shared" si="0"/>
        <v>2022</v>
      </c>
      <c r="M2">
        <f t="shared" si="0"/>
        <v>2023</v>
      </c>
      <c r="N2">
        <f t="shared" si="0"/>
        <v>2024</v>
      </c>
      <c r="O2">
        <f t="shared" si="0"/>
        <v>2025</v>
      </c>
      <c r="P2">
        <f t="shared" si="0"/>
        <v>2026</v>
      </c>
      <c r="Q2">
        <f t="shared" si="0"/>
        <v>2027</v>
      </c>
      <c r="R2">
        <f t="shared" si="0"/>
        <v>2028</v>
      </c>
      <c r="S2">
        <f t="shared" si="0"/>
        <v>2029</v>
      </c>
      <c r="T2">
        <f t="shared" si="0"/>
        <v>2030</v>
      </c>
      <c r="U2">
        <f t="shared" si="0"/>
        <v>2031</v>
      </c>
      <c r="V2">
        <f t="shared" si="0"/>
        <v>2032</v>
      </c>
    </row>
    <row r="4" spans="2:22" x14ac:dyDescent="0.25">
      <c r="B4" s="1" t="s">
        <v>27</v>
      </c>
      <c r="M4" s="1">
        <v>48000</v>
      </c>
      <c r="N4" s="1">
        <v>49500</v>
      </c>
    </row>
    <row r="5" spans="2:22" x14ac:dyDescent="0.25">
      <c r="B5" s="1" t="s">
        <v>28</v>
      </c>
      <c r="M5" s="1">
        <v>42000</v>
      </c>
      <c r="N5" s="1">
        <v>44000</v>
      </c>
    </row>
    <row r="6" spans="2:22" x14ac:dyDescent="0.25">
      <c r="B6" s="1" t="s">
        <v>29</v>
      </c>
      <c r="M6" s="1">
        <v>38500</v>
      </c>
      <c r="N6" s="1">
        <v>41000</v>
      </c>
    </row>
    <row r="7" spans="2:22" x14ac:dyDescent="0.25">
      <c r="B7" s="1" t="s">
        <v>30</v>
      </c>
      <c r="M7" s="1">
        <v>34500</v>
      </c>
      <c r="N7" s="1">
        <v>37500</v>
      </c>
    </row>
    <row r="8" spans="2:22" x14ac:dyDescent="0.25">
      <c r="B8" s="1" t="s">
        <v>31</v>
      </c>
      <c r="M8" s="1">
        <v>9689</v>
      </c>
      <c r="N8" s="1">
        <v>11336</v>
      </c>
    </row>
    <row r="9" spans="2:22" x14ac:dyDescent="0.25">
      <c r="M9" s="4"/>
      <c r="N9" s="4">
        <f>+N10/M10 -1</f>
        <v>0.10714285714285721</v>
      </c>
      <c r="O9" s="4"/>
      <c r="P9" s="4"/>
      <c r="Q9" s="4"/>
      <c r="R9" s="4"/>
      <c r="S9" s="4"/>
      <c r="T9" s="4"/>
      <c r="U9" s="4"/>
      <c r="V9" s="4"/>
    </row>
    <row r="10" spans="2:22" x14ac:dyDescent="0.25">
      <c r="B10" s="1" t="s">
        <v>32</v>
      </c>
      <c r="M10" s="1">
        <v>98000</v>
      </c>
      <c r="N10" s="1">
        <v>108500</v>
      </c>
      <c r="O10" s="1">
        <f>+N10*1.07</f>
        <v>116095</v>
      </c>
      <c r="P10" s="1">
        <f>+O10*1.07</f>
        <v>124221.65000000001</v>
      </c>
      <c r="Q10" s="1">
        <f t="shared" ref="Q10:V10" si="1">+P10*1.07</f>
        <v>132917.1655</v>
      </c>
      <c r="R10" s="1">
        <f t="shared" si="1"/>
        <v>142221.36708500001</v>
      </c>
      <c r="S10" s="1">
        <f t="shared" si="1"/>
        <v>152176.86278095</v>
      </c>
      <c r="T10" s="1">
        <f t="shared" si="1"/>
        <v>162829.24317561652</v>
      </c>
      <c r="U10" s="1">
        <f t="shared" si="1"/>
        <v>174227.29019790969</v>
      </c>
      <c r="V10" s="1">
        <f t="shared" si="1"/>
        <v>186423.2005117634</v>
      </c>
    </row>
    <row r="11" spans="2:22" x14ac:dyDescent="0.25">
      <c r="B11" s="1" t="s">
        <v>33</v>
      </c>
      <c r="M11" s="1">
        <v>52000</v>
      </c>
      <c r="N11" s="1">
        <v>54500</v>
      </c>
      <c r="O11" s="1">
        <f>+N11*1.06</f>
        <v>57770</v>
      </c>
      <c r="P11" s="1">
        <f t="shared" ref="P11:V11" si="2">+O11*1.06</f>
        <v>61236.200000000004</v>
      </c>
      <c r="Q11" s="1">
        <f t="shared" si="2"/>
        <v>64910.37200000001</v>
      </c>
      <c r="R11" s="1">
        <f t="shared" si="2"/>
        <v>68804.994320000013</v>
      </c>
      <c r="S11" s="1">
        <f t="shared" si="2"/>
        <v>72933.293979200011</v>
      </c>
      <c r="T11" s="1">
        <f t="shared" si="2"/>
        <v>77309.291617952011</v>
      </c>
      <c r="U11" s="1">
        <f t="shared" si="2"/>
        <v>81947.849115029137</v>
      </c>
      <c r="V11" s="1">
        <f t="shared" si="2"/>
        <v>86864.720061930886</v>
      </c>
    </row>
    <row r="12" spans="2:22" x14ac:dyDescent="0.25">
      <c r="B12" s="1" t="s">
        <v>34</v>
      </c>
      <c r="M12" s="1">
        <v>12689</v>
      </c>
      <c r="N12" s="1">
        <v>11336</v>
      </c>
      <c r="O12" s="1">
        <f>+N12*1.05</f>
        <v>11902.800000000001</v>
      </c>
      <c r="P12" s="1">
        <f t="shared" ref="P12:V12" si="3">+O12*1.05</f>
        <v>12497.940000000002</v>
      </c>
      <c r="Q12" s="1">
        <f t="shared" si="3"/>
        <v>13122.837000000003</v>
      </c>
      <c r="R12" s="1">
        <f t="shared" si="3"/>
        <v>13778.978850000003</v>
      </c>
      <c r="S12" s="1">
        <f t="shared" si="3"/>
        <v>14467.927792500004</v>
      </c>
      <c r="T12" s="1">
        <f t="shared" si="3"/>
        <v>15191.324182125005</v>
      </c>
      <c r="U12" s="1">
        <f t="shared" si="3"/>
        <v>15950.890391231256</v>
      </c>
      <c r="V12" s="1">
        <f t="shared" si="3"/>
        <v>16748.434910792821</v>
      </c>
    </row>
    <row r="13" spans="2:22" s="2" customFormat="1" x14ac:dyDescent="0.25">
      <c r="B13" s="2" t="s">
        <v>0</v>
      </c>
      <c r="C13" s="2">
        <v>68718</v>
      </c>
      <c r="D13" s="2">
        <f>+N13-C13</f>
        <v>105618</v>
      </c>
      <c r="E13" s="2">
        <v>87234</v>
      </c>
      <c r="J13" s="2">
        <v>117243</v>
      </c>
      <c r="K13" s="2">
        <v>110439</v>
      </c>
      <c r="L13" s="2">
        <v>138408</v>
      </c>
      <c r="M13" s="2">
        <v>162689</v>
      </c>
      <c r="N13" s="2">
        <v>174336</v>
      </c>
      <c r="O13" s="2">
        <f>+O10+O11+O12</f>
        <v>185767.8</v>
      </c>
      <c r="P13" s="2">
        <f t="shared" ref="P13:V13" si="4">+P10+P11+P12</f>
        <v>197955.79</v>
      </c>
      <c r="Q13" s="2">
        <f t="shared" si="4"/>
        <v>210950.37450000001</v>
      </c>
      <c r="R13" s="2">
        <f t="shared" si="4"/>
        <v>224805.34025500005</v>
      </c>
      <c r="S13" s="2">
        <f t="shared" si="4"/>
        <v>239578.08455265002</v>
      </c>
      <c r="T13" s="2">
        <f t="shared" si="4"/>
        <v>255329.85897569355</v>
      </c>
      <c r="U13" s="2">
        <f t="shared" si="4"/>
        <v>272126.02970417013</v>
      </c>
      <c r="V13" s="2">
        <f t="shared" si="4"/>
        <v>290036.35548448708</v>
      </c>
    </row>
    <row r="14" spans="2:22" x14ac:dyDescent="0.25">
      <c r="B14" s="1" t="s">
        <v>1</v>
      </c>
      <c r="C14" s="1">
        <v>35678</v>
      </c>
      <c r="D14" s="1">
        <f>+N14-C14</f>
        <v>65147</v>
      </c>
      <c r="E14" s="1">
        <v>44137</v>
      </c>
      <c r="M14" s="1">
        <v>92682</v>
      </c>
      <c r="N14" s="1">
        <v>100825</v>
      </c>
      <c r="O14" s="1">
        <f>+O13*(1-O28)</f>
        <v>107745.32400000001</v>
      </c>
      <c r="P14" s="1">
        <f t="shared" ref="P14:V14" si="5">+P13*(1-P28)</f>
        <v>114814.35820000002</v>
      </c>
      <c r="Q14" s="1">
        <f t="shared" si="5"/>
        <v>122351.21721000002</v>
      </c>
      <c r="R14" s="1">
        <f t="shared" si="5"/>
        <v>130387.09734790004</v>
      </c>
      <c r="S14" s="1">
        <f t="shared" si="5"/>
        <v>138955.28904053703</v>
      </c>
      <c r="T14" s="1">
        <f t="shared" si="5"/>
        <v>148091.31820590227</v>
      </c>
      <c r="U14" s="1">
        <f t="shared" si="5"/>
        <v>157833.09722841869</v>
      </c>
      <c r="V14" s="1">
        <f t="shared" si="5"/>
        <v>168221.08618100252</v>
      </c>
    </row>
    <row r="15" spans="2:22" x14ac:dyDescent="0.25">
      <c r="B15" s="1" t="s">
        <v>2</v>
      </c>
      <c r="C15" s="1">
        <f>+C13-C14</f>
        <v>33040</v>
      </c>
      <c r="D15" s="1">
        <f>+D13-D14</f>
        <v>40471</v>
      </c>
      <c r="E15" s="1">
        <f>+E13-E14</f>
        <v>43097</v>
      </c>
      <c r="F15" s="1">
        <f>+F13-F14</f>
        <v>0</v>
      </c>
      <c r="M15" s="1">
        <f>+M13-M14</f>
        <v>70007</v>
      </c>
      <c r="N15" s="1">
        <f>+N13-N14</f>
        <v>73511</v>
      </c>
      <c r="O15" s="1">
        <f>+O13-O14</f>
        <v>78022.475999999981</v>
      </c>
      <c r="P15" s="1">
        <f t="shared" ref="P15:V15" si="6">+P13-P14</f>
        <v>83141.431799999991</v>
      </c>
      <c r="Q15" s="1">
        <f t="shared" si="6"/>
        <v>88599.157289999988</v>
      </c>
      <c r="R15" s="1">
        <f t="shared" si="6"/>
        <v>94418.242907100008</v>
      </c>
      <c r="S15" s="1">
        <f t="shared" si="6"/>
        <v>100622.79551211299</v>
      </c>
      <c r="T15" s="1">
        <f t="shared" si="6"/>
        <v>107238.54076979129</v>
      </c>
      <c r="U15" s="1">
        <f t="shared" si="6"/>
        <v>114292.93247575144</v>
      </c>
      <c r="V15" s="1">
        <f t="shared" si="6"/>
        <v>121815.26930348456</v>
      </c>
    </row>
    <row r="16" spans="2:22" x14ac:dyDescent="0.25">
      <c r="B16" s="1" t="s">
        <v>3</v>
      </c>
      <c r="C16" s="1">
        <v>5260</v>
      </c>
      <c r="D16" s="1">
        <f>+N16-C16</f>
        <v>5619</v>
      </c>
      <c r="E16" s="1">
        <v>6140</v>
      </c>
      <c r="M16" s="1">
        <v>10246</v>
      </c>
      <c r="N16" s="1">
        <v>10879</v>
      </c>
      <c r="O16" s="1">
        <f>+N16*1.03</f>
        <v>11205.37</v>
      </c>
      <c r="P16" s="1">
        <f t="shared" ref="P16:V16" si="7">+O16*1.03</f>
        <v>11541.531100000002</v>
      </c>
      <c r="Q16" s="1">
        <f t="shared" si="7"/>
        <v>11887.777033000002</v>
      </c>
      <c r="R16" s="1">
        <f t="shared" si="7"/>
        <v>12244.410343990003</v>
      </c>
      <c r="S16" s="1">
        <f t="shared" si="7"/>
        <v>12611.742654309703</v>
      </c>
      <c r="T16" s="1">
        <f t="shared" si="7"/>
        <v>12990.094933938994</v>
      </c>
      <c r="U16" s="1">
        <f t="shared" si="7"/>
        <v>13379.797781957164</v>
      </c>
      <c r="V16" s="1">
        <f t="shared" si="7"/>
        <v>13781.19171541588</v>
      </c>
    </row>
    <row r="17" spans="2:108" x14ac:dyDescent="0.25">
      <c r="B17" s="1" t="s">
        <v>4</v>
      </c>
      <c r="C17" s="1">
        <v>19488</v>
      </c>
      <c r="D17" s="1">
        <f>+N17-C17</f>
        <v>15274</v>
      </c>
      <c r="E17" s="1">
        <v>21138</v>
      </c>
      <c r="M17" s="1">
        <v>33300</v>
      </c>
      <c r="N17" s="1">
        <v>34762</v>
      </c>
      <c r="O17" s="1">
        <f>+O13*0.2</f>
        <v>37153.56</v>
      </c>
      <c r="P17" s="1">
        <f t="shared" ref="P17:V17" si="8">+P13*0.2</f>
        <v>39591.158000000003</v>
      </c>
      <c r="Q17" s="1">
        <f t="shared" si="8"/>
        <v>42190.074900000007</v>
      </c>
      <c r="R17" s="1">
        <f t="shared" si="8"/>
        <v>44961.068051000009</v>
      </c>
      <c r="S17" s="1">
        <f t="shared" si="8"/>
        <v>47915.616910530007</v>
      </c>
      <c r="T17" s="1">
        <f t="shared" si="8"/>
        <v>51065.971795138714</v>
      </c>
      <c r="U17" s="1">
        <f t="shared" si="8"/>
        <v>54425.205940834028</v>
      </c>
      <c r="V17" s="1">
        <f t="shared" si="8"/>
        <v>58007.271096897421</v>
      </c>
    </row>
    <row r="18" spans="2:108" x14ac:dyDescent="0.25">
      <c r="B18" s="1" t="s">
        <v>5</v>
      </c>
      <c r="C18" s="1">
        <f>+C15-C16-C17</f>
        <v>8292</v>
      </c>
      <c r="D18" s="1">
        <f>+D15-D16-D17</f>
        <v>19578</v>
      </c>
      <c r="E18" s="1">
        <f>+E15-E16-E17</f>
        <v>15819</v>
      </c>
      <c r="F18" s="1">
        <f>+F15-F16-F17</f>
        <v>0</v>
      </c>
      <c r="J18" s="1">
        <v>7203</v>
      </c>
      <c r="K18" s="1">
        <v>6550</v>
      </c>
      <c r="L18" s="1">
        <v>16313</v>
      </c>
      <c r="M18" s="1">
        <f>+M15-M16-M17</f>
        <v>26461</v>
      </c>
      <c r="N18" s="1">
        <f>+N15-N16-N17</f>
        <v>27870</v>
      </c>
      <c r="O18" s="1">
        <f>+O15-O16-O17</f>
        <v>29663.545999999988</v>
      </c>
      <c r="P18" s="1">
        <f t="shared" ref="P18:V18" si="9">+P15-P16-P17</f>
        <v>32008.742699999981</v>
      </c>
      <c r="Q18" s="1">
        <f t="shared" si="9"/>
        <v>34521.305356999976</v>
      </c>
      <c r="R18" s="1">
        <f t="shared" si="9"/>
        <v>37212.764512109992</v>
      </c>
      <c r="S18" s="1">
        <f t="shared" si="9"/>
        <v>40095.43594727329</v>
      </c>
      <c r="T18" s="1">
        <f t="shared" si="9"/>
        <v>43182.474040713583</v>
      </c>
      <c r="U18" s="1">
        <f t="shared" si="9"/>
        <v>46487.928752960244</v>
      </c>
      <c r="V18" s="1">
        <f t="shared" si="9"/>
        <v>50026.80649117125</v>
      </c>
    </row>
    <row r="19" spans="2:108" x14ac:dyDescent="0.25">
      <c r="B19" s="1" t="s">
        <v>6</v>
      </c>
      <c r="C19" s="1">
        <v>69</v>
      </c>
      <c r="D19" s="1">
        <f>+N19-C19</f>
        <v>149</v>
      </c>
      <c r="E19" s="1">
        <v>91</v>
      </c>
      <c r="M19" s="1">
        <v>182</v>
      </c>
      <c r="N19" s="1">
        <v>218</v>
      </c>
      <c r="O19" s="1">
        <v>250</v>
      </c>
      <c r="P19" s="1">
        <v>250</v>
      </c>
      <c r="Q19" s="1">
        <v>250</v>
      </c>
      <c r="R19" s="1">
        <v>250</v>
      </c>
      <c r="S19" s="1">
        <v>250</v>
      </c>
      <c r="T19" s="1">
        <v>250</v>
      </c>
      <c r="U19" s="1">
        <v>250</v>
      </c>
      <c r="V19" s="1">
        <v>250</v>
      </c>
    </row>
    <row r="20" spans="2:108" x14ac:dyDescent="0.25">
      <c r="B20" s="1" t="s">
        <v>9</v>
      </c>
      <c r="C20" s="1">
        <v>93</v>
      </c>
      <c r="D20" s="1">
        <f>+N20-C20</f>
        <v>64</v>
      </c>
      <c r="E20" s="1">
        <v>117</v>
      </c>
      <c r="M20" s="1">
        <v>145</v>
      </c>
      <c r="N20" s="1">
        <v>157</v>
      </c>
      <c r="O20" s="1">
        <v>160</v>
      </c>
      <c r="P20" s="1">
        <v>160</v>
      </c>
      <c r="Q20" s="1">
        <v>160</v>
      </c>
      <c r="R20" s="1">
        <v>160</v>
      </c>
      <c r="S20" s="1">
        <v>160</v>
      </c>
      <c r="T20" s="1">
        <v>160</v>
      </c>
      <c r="U20" s="1">
        <v>160</v>
      </c>
      <c r="V20" s="1">
        <v>160</v>
      </c>
    </row>
    <row r="21" spans="2:108" x14ac:dyDescent="0.25">
      <c r="B21" s="1" t="s">
        <v>7</v>
      </c>
      <c r="C21" s="1">
        <v>131</v>
      </c>
      <c r="D21" s="1">
        <f>+N21-C21</f>
        <v>519</v>
      </c>
      <c r="E21" s="1">
        <v>163</v>
      </c>
      <c r="M21" s="1">
        <v>472</v>
      </c>
      <c r="N21" s="1">
        <v>650</v>
      </c>
      <c r="O21" s="1">
        <v>500</v>
      </c>
      <c r="P21" s="1">
        <v>500</v>
      </c>
      <c r="Q21" s="1">
        <v>500</v>
      </c>
      <c r="R21" s="1">
        <v>500</v>
      </c>
      <c r="S21" s="1">
        <v>500</v>
      </c>
      <c r="T21" s="1">
        <v>500</v>
      </c>
      <c r="U21" s="1">
        <v>500</v>
      </c>
      <c r="V21" s="1">
        <v>500</v>
      </c>
    </row>
    <row r="22" spans="2:108" x14ac:dyDescent="0.25">
      <c r="B22" s="1" t="s">
        <v>8</v>
      </c>
      <c r="C22" s="1">
        <v>27</v>
      </c>
      <c r="D22" s="1">
        <f>+N22-C22</f>
        <v>157</v>
      </c>
      <c r="E22" s="1">
        <v>58</v>
      </c>
      <c r="M22" s="1">
        <v>161</v>
      </c>
      <c r="N22" s="1">
        <v>184</v>
      </c>
      <c r="O22" s="1">
        <v>230</v>
      </c>
      <c r="P22" s="1">
        <v>230</v>
      </c>
      <c r="Q22" s="1">
        <v>230</v>
      </c>
      <c r="R22" s="1">
        <v>230</v>
      </c>
      <c r="S22" s="1">
        <v>230</v>
      </c>
      <c r="T22" s="1">
        <v>230</v>
      </c>
      <c r="U22" s="1">
        <v>230</v>
      </c>
      <c r="V22" s="1">
        <v>230</v>
      </c>
    </row>
    <row r="23" spans="2:108" x14ac:dyDescent="0.25">
      <c r="B23" s="1" t="s">
        <v>10</v>
      </c>
      <c r="C23" s="1">
        <v>92</v>
      </c>
      <c r="D23" s="1">
        <f>+N23-C23</f>
        <v>420</v>
      </c>
      <c r="E23" s="1">
        <v>2380</v>
      </c>
      <c r="M23" s="1">
        <v>433</v>
      </c>
      <c r="N23" s="1">
        <v>512</v>
      </c>
      <c r="O23" s="1">
        <v>500</v>
      </c>
      <c r="P23" s="1">
        <v>500</v>
      </c>
      <c r="Q23" s="1">
        <v>500</v>
      </c>
      <c r="R23" s="1">
        <v>500</v>
      </c>
      <c r="S23" s="1">
        <v>500</v>
      </c>
      <c r="T23" s="1">
        <v>500</v>
      </c>
      <c r="U23" s="1">
        <v>500</v>
      </c>
      <c r="V23" s="1">
        <v>500</v>
      </c>
    </row>
    <row r="24" spans="2:108" x14ac:dyDescent="0.25">
      <c r="B24" s="1" t="s">
        <v>11</v>
      </c>
      <c r="C24" s="1">
        <f>+C18+C19+C20+C21-C22-C23</f>
        <v>8466</v>
      </c>
      <c r="D24" s="1">
        <f>+D18+D19+D20+D21-D22-D23</f>
        <v>19733</v>
      </c>
      <c r="E24" s="1">
        <f>+E18+E19+E20+E21-E22-E23</f>
        <v>13752</v>
      </c>
      <c r="F24" s="1">
        <f>+F18+F19+F20+F21-F22-F23</f>
        <v>0</v>
      </c>
      <c r="M24" s="1">
        <f>+M18+M19+M20+M21-M22-M23</f>
        <v>26666</v>
      </c>
      <c r="N24" s="1">
        <f>+N18+N19+N20+N21-N22-N23</f>
        <v>28199</v>
      </c>
      <c r="O24" s="1">
        <f>+O18+O19+O20+O21-O22-O23</f>
        <v>29843.545999999988</v>
      </c>
      <c r="P24" s="1">
        <f t="shared" ref="P24:V24" si="10">+P18+P19+P20+P21-P22-P23</f>
        <v>32188.742699999981</v>
      </c>
      <c r="Q24" s="1">
        <f t="shared" si="10"/>
        <v>34701.305356999976</v>
      </c>
      <c r="R24" s="1">
        <f t="shared" si="10"/>
        <v>37392.764512109992</v>
      </c>
      <c r="S24" s="1">
        <f t="shared" si="10"/>
        <v>40275.43594727329</v>
      </c>
      <c r="T24" s="1">
        <f t="shared" si="10"/>
        <v>43362.474040713583</v>
      </c>
      <c r="U24" s="1">
        <f t="shared" si="10"/>
        <v>46667.928752960244</v>
      </c>
      <c r="V24" s="1">
        <f t="shared" si="10"/>
        <v>50206.80649117125</v>
      </c>
    </row>
    <row r="25" spans="2:108" x14ac:dyDescent="0.25">
      <c r="B25" s="1" t="s">
        <v>12</v>
      </c>
      <c r="C25" s="1">
        <v>2726</v>
      </c>
      <c r="D25" s="1">
        <f>+N25-C25</f>
        <v>7827</v>
      </c>
      <c r="E25" s="1">
        <v>3179</v>
      </c>
      <c r="M25" s="1">
        <f>7543+2890</f>
        <v>10433</v>
      </c>
      <c r="N25" s="1">
        <f>7824+2729</f>
        <v>10553</v>
      </c>
      <c r="O25" s="1">
        <f>+N25*1.01</f>
        <v>10658.53</v>
      </c>
      <c r="P25" s="1">
        <f>+O25*1.01</f>
        <v>10765.115300000001</v>
      </c>
      <c r="Q25" s="1">
        <f>+P25*1.01</f>
        <v>10872.766453000002</v>
      </c>
      <c r="R25" s="1">
        <f>+Q25*1.01</f>
        <v>10981.494117530003</v>
      </c>
      <c r="S25" s="1">
        <f>+S24*0.31</f>
        <v>12485.385143654719</v>
      </c>
      <c r="T25" s="1">
        <f t="shared" ref="T25:V25" si="11">+T24*0.31</f>
        <v>13442.366952621211</v>
      </c>
      <c r="U25" s="1">
        <f t="shared" si="11"/>
        <v>14467.057913417675</v>
      </c>
      <c r="V25" s="1">
        <f t="shared" si="11"/>
        <v>15564.110012263087</v>
      </c>
    </row>
    <row r="26" spans="2:108" s="2" customFormat="1" x14ac:dyDescent="0.25">
      <c r="B26" s="2" t="s">
        <v>13</v>
      </c>
      <c r="C26" s="2">
        <f>+C24-C25</f>
        <v>5740</v>
      </c>
      <c r="D26" s="2">
        <f>+D24-D25</f>
        <v>11906</v>
      </c>
      <c r="E26" s="2">
        <f>+E24-E25</f>
        <v>10573</v>
      </c>
      <c r="F26" s="2">
        <f>+F24-F25</f>
        <v>0</v>
      </c>
      <c r="M26" s="2">
        <f>+M24-M25</f>
        <v>16233</v>
      </c>
      <c r="N26" s="2">
        <f>+N24-N25</f>
        <v>17646</v>
      </c>
      <c r="O26" s="2">
        <f>+O24-O25</f>
        <v>19185.015999999989</v>
      </c>
      <c r="P26" s="2">
        <f t="shared" ref="P26:V26" si="12">+P24-P25</f>
        <v>21423.627399999979</v>
      </c>
      <c r="Q26" s="2">
        <f t="shared" si="12"/>
        <v>23828.538903999972</v>
      </c>
      <c r="R26" s="2">
        <f t="shared" si="12"/>
        <v>26411.270394579988</v>
      </c>
      <c r="S26" s="2">
        <f t="shared" si="12"/>
        <v>27790.050803618571</v>
      </c>
      <c r="T26" s="2">
        <f t="shared" si="12"/>
        <v>29920.107088092373</v>
      </c>
      <c r="U26" s="2">
        <f t="shared" si="12"/>
        <v>32200.870839542571</v>
      </c>
      <c r="V26" s="2">
        <f t="shared" si="12"/>
        <v>34642.696478908161</v>
      </c>
      <c r="W26" s="2">
        <f t="shared" ref="W26:BB26" si="13">+V26*(1+TR)</f>
        <v>34296.269514119078</v>
      </c>
      <c r="X26" s="2">
        <f t="shared" si="13"/>
        <v>33953.306818977886</v>
      </c>
      <c r="Y26" s="2">
        <f t="shared" si="13"/>
        <v>33613.77375078811</v>
      </c>
      <c r="Z26" s="2">
        <f t="shared" si="13"/>
        <v>33277.636013280229</v>
      </c>
      <c r="AA26" s="2">
        <f t="shared" si="13"/>
        <v>32944.859653147425</v>
      </c>
      <c r="AB26" s="2">
        <f t="shared" si="13"/>
        <v>32615.411056615951</v>
      </c>
      <c r="AC26" s="2">
        <f t="shared" si="13"/>
        <v>32289.256946049791</v>
      </c>
      <c r="AD26" s="2">
        <f t="shared" si="13"/>
        <v>31966.364376589292</v>
      </c>
      <c r="AE26" s="2">
        <f t="shared" si="13"/>
        <v>31646.700732823399</v>
      </c>
      <c r="AF26" s="2">
        <f t="shared" si="13"/>
        <v>31330.233725495164</v>
      </c>
      <c r="AG26" s="2">
        <f t="shared" si="13"/>
        <v>31016.931388240213</v>
      </c>
      <c r="AH26" s="2">
        <f t="shared" si="13"/>
        <v>30706.762074357812</v>
      </c>
      <c r="AI26" s="2">
        <f t="shared" si="13"/>
        <v>30399.694453614233</v>
      </c>
      <c r="AJ26" s="2">
        <f t="shared" si="13"/>
        <v>30095.697509078091</v>
      </c>
      <c r="AK26" s="2">
        <f t="shared" si="13"/>
        <v>29794.740533987311</v>
      </c>
      <c r="AL26" s="2">
        <f t="shared" si="13"/>
        <v>29496.793128647438</v>
      </c>
      <c r="AM26" s="2">
        <f t="shared" si="13"/>
        <v>29201.825197360962</v>
      </c>
      <c r="AN26" s="2">
        <f t="shared" si="13"/>
        <v>28909.806945387354</v>
      </c>
      <c r="AO26" s="2">
        <f t="shared" si="13"/>
        <v>28620.70887593348</v>
      </c>
      <c r="AP26" s="2">
        <f t="shared" si="13"/>
        <v>28334.501787174144</v>
      </c>
      <c r="AQ26" s="2">
        <f t="shared" si="13"/>
        <v>28051.156769302401</v>
      </c>
      <c r="AR26" s="2">
        <f t="shared" si="13"/>
        <v>27770.645201609375</v>
      </c>
      <c r="AS26" s="2">
        <f t="shared" si="13"/>
        <v>27492.938749593282</v>
      </c>
      <c r="AT26" s="2">
        <f t="shared" si="13"/>
        <v>27218.009362097349</v>
      </c>
      <c r="AU26" s="2">
        <f t="shared" si="13"/>
        <v>26945.829268476376</v>
      </c>
      <c r="AV26" s="2">
        <f t="shared" si="13"/>
        <v>26676.370975791611</v>
      </c>
      <c r="AW26" s="2">
        <f t="shared" si="13"/>
        <v>26409.607266033694</v>
      </c>
      <c r="AX26" s="2">
        <f t="shared" si="13"/>
        <v>26145.511193373357</v>
      </c>
      <c r="AY26" s="2">
        <f t="shared" si="13"/>
        <v>25884.056081439623</v>
      </c>
      <c r="AZ26" s="2">
        <f t="shared" si="13"/>
        <v>25625.215520625228</v>
      </c>
      <c r="BA26" s="2">
        <f t="shared" si="13"/>
        <v>25368.963365418975</v>
      </c>
      <c r="BB26" s="2">
        <f t="shared" si="13"/>
        <v>25115.273731764784</v>
      </c>
      <c r="BC26" s="2">
        <f t="shared" ref="BC26:CH26" si="14">+BB26*(1+TR)</f>
        <v>24864.120994447137</v>
      </c>
      <c r="BD26" s="2">
        <f t="shared" si="14"/>
        <v>24615.479784502666</v>
      </c>
      <c r="BE26" s="2">
        <f t="shared" si="14"/>
        <v>24369.324986657641</v>
      </c>
      <c r="BF26" s="2">
        <f t="shared" si="14"/>
        <v>24125.631736791063</v>
      </c>
      <c r="BG26" s="2">
        <f t="shared" si="14"/>
        <v>23884.375419423151</v>
      </c>
      <c r="BH26" s="2">
        <f t="shared" si="14"/>
        <v>23645.531665228918</v>
      </c>
      <c r="BI26" s="2">
        <f t="shared" si="14"/>
        <v>23409.076348576629</v>
      </c>
      <c r="BJ26" s="2">
        <f t="shared" si="14"/>
        <v>23174.985585090864</v>
      </c>
      <c r="BK26" s="2">
        <f t="shared" si="14"/>
        <v>22943.235729239954</v>
      </c>
      <c r="BL26" s="2">
        <f t="shared" si="14"/>
        <v>22713.803371947553</v>
      </c>
      <c r="BM26" s="2">
        <f t="shared" si="14"/>
        <v>22486.665338228078</v>
      </c>
      <c r="BN26" s="2">
        <f t="shared" si="14"/>
        <v>22261.798684845799</v>
      </c>
      <c r="BO26" s="2">
        <f t="shared" si="14"/>
        <v>22039.180697997341</v>
      </c>
      <c r="BP26" s="2">
        <f t="shared" si="14"/>
        <v>21818.788891017368</v>
      </c>
      <c r="BQ26" s="2">
        <f t="shared" si="14"/>
        <v>21600.601002107192</v>
      </c>
      <c r="BR26" s="2">
        <f t="shared" si="14"/>
        <v>21384.59499208612</v>
      </c>
      <c r="BS26" s="2">
        <f t="shared" si="14"/>
        <v>21170.749042165258</v>
      </c>
      <c r="BT26" s="2">
        <f t="shared" si="14"/>
        <v>20959.041551743605</v>
      </c>
      <c r="BU26" s="2">
        <f t="shared" si="14"/>
        <v>20749.451136226169</v>
      </c>
      <c r="BV26" s="2">
        <f t="shared" si="14"/>
        <v>20541.956624863906</v>
      </c>
      <c r="BW26" s="2">
        <f t="shared" si="14"/>
        <v>20336.537058615268</v>
      </c>
      <c r="BX26" s="2">
        <f t="shared" si="14"/>
        <v>20133.171688029113</v>
      </c>
      <c r="BY26" s="2">
        <f t="shared" si="14"/>
        <v>19931.839971148824</v>
      </c>
      <c r="BZ26" s="2">
        <f t="shared" si="14"/>
        <v>19732.521571437333</v>
      </c>
      <c r="CA26" s="2">
        <f t="shared" si="14"/>
        <v>19535.196355722961</v>
      </c>
      <c r="CB26" s="2">
        <f t="shared" si="14"/>
        <v>19339.844392165731</v>
      </c>
      <c r="CC26" s="2">
        <f t="shared" si="14"/>
        <v>19146.445948244072</v>
      </c>
      <c r="CD26" s="2">
        <f t="shared" si="14"/>
        <v>18954.98148876163</v>
      </c>
      <c r="CE26" s="2">
        <f t="shared" si="14"/>
        <v>18765.431673874013</v>
      </c>
      <c r="CF26" s="2">
        <f t="shared" si="14"/>
        <v>18577.777357135274</v>
      </c>
      <c r="CG26" s="2">
        <f t="shared" si="14"/>
        <v>18391.99958356392</v>
      </c>
      <c r="CH26" s="2">
        <f t="shared" si="14"/>
        <v>18208.07958772828</v>
      </c>
      <c r="CI26" s="2">
        <f t="shared" ref="CI26:DD26" si="15">+CH26*(1+TR)</f>
        <v>18025.998791850998</v>
      </c>
      <c r="CJ26" s="2">
        <f t="shared" si="15"/>
        <v>17845.738803932487</v>
      </c>
      <c r="CK26" s="2">
        <f t="shared" si="15"/>
        <v>17667.281415893161</v>
      </c>
      <c r="CL26" s="2">
        <f t="shared" si="15"/>
        <v>17490.608601734231</v>
      </c>
      <c r="CM26" s="2">
        <f t="shared" si="15"/>
        <v>17315.70251571689</v>
      </c>
      <c r="CN26" s="2">
        <f t="shared" si="15"/>
        <v>17142.545490559722</v>
      </c>
      <c r="CO26" s="2">
        <f t="shared" si="15"/>
        <v>16971.120035654123</v>
      </c>
      <c r="CP26" s="2">
        <f t="shared" si="15"/>
        <v>16801.408835297581</v>
      </c>
      <c r="CQ26" s="2">
        <f t="shared" si="15"/>
        <v>16633.394746944607</v>
      </c>
      <c r="CR26" s="2">
        <f t="shared" si="15"/>
        <v>16467.060799475159</v>
      </c>
      <c r="CS26" s="2">
        <f t="shared" si="15"/>
        <v>16302.390191480406</v>
      </c>
      <c r="CT26" s="2">
        <f t="shared" si="15"/>
        <v>16139.366289565602</v>
      </c>
      <c r="CU26" s="2">
        <f t="shared" si="15"/>
        <v>15977.972626669945</v>
      </c>
      <c r="CV26" s="2">
        <f t="shared" si="15"/>
        <v>15818.192900403246</v>
      </c>
      <c r="CW26" s="2">
        <f t="shared" si="15"/>
        <v>15660.010971399213</v>
      </c>
      <c r="CX26" s="2">
        <f t="shared" si="15"/>
        <v>15503.410861685221</v>
      </c>
      <c r="CY26" s="2">
        <f t="shared" si="15"/>
        <v>15348.376753068369</v>
      </c>
      <c r="CZ26" s="2">
        <f t="shared" si="15"/>
        <v>15194.892985537685</v>
      </c>
      <c r="DA26" s="2">
        <f t="shared" si="15"/>
        <v>15042.944055682308</v>
      </c>
      <c r="DB26" s="2">
        <f t="shared" si="15"/>
        <v>14892.514615125485</v>
      </c>
      <c r="DC26" s="2">
        <f t="shared" si="15"/>
        <v>14743.589468974229</v>
      </c>
      <c r="DD26" s="2">
        <f t="shared" si="15"/>
        <v>14596.153574284486</v>
      </c>
    </row>
    <row r="27" spans="2:108" x14ac:dyDescent="0.25">
      <c r="M27" s="5"/>
      <c r="N27" s="5"/>
      <c r="O27" s="5"/>
      <c r="P27" s="5"/>
      <c r="Q27" s="5"/>
      <c r="R27" s="5"/>
      <c r="S27" s="5"/>
      <c r="T27" s="5"/>
      <c r="U27" s="5"/>
    </row>
    <row r="28" spans="2:108" s="3" customFormat="1" x14ac:dyDescent="0.25">
      <c r="B28" s="3" t="s">
        <v>16</v>
      </c>
      <c r="C28" s="3">
        <f>+C15/C13</f>
        <v>0.480805611339096</v>
      </c>
      <c r="D28" s="3">
        <f>+D15/D13</f>
        <v>0.38318279081217216</v>
      </c>
      <c r="E28" s="3">
        <f>+E15/E13</f>
        <v>0.49403902148244949</v>
      </c>
      <c r="M28" s="4">
        <f>+M15/M13</f>
        <v>0.43031182194247919</v>
      </c>
      <c r="N28" s="4">
        <f>+N15/N13</f>
        <v>0.42166276615271658</v>
      </c>
      <c r="O28" s="4">
        <v>0.42</v>
      </c>
      <c r="P28" s="4">
        <v>0.42</v>
      </c>
      <c r="Q28" s="4">
        <v>0.42</v>
      </c>
      <c r="R28" s="4">
        <v>0.42</v>
      </c>
      <c r="S28" s="4">
        <v>0.42</v>
      </c>
      <c r="T28" s="4">
        <v>0.42</v>
      </c>
      <c r="U28" s="4">
        <v>0.42</v>
      </c>
      <c r="V28" s="4">
        <v>0.42</v>
      </c>
    </row>
    <row r="29" spans="2:108" s="3" customFormat="1" x14ac:dyDescent="0.25">
      <c r="B29" s="3" t="s">
        <v>17</v>
      </c>
      <c r="C29" s="3">
        <f>+C26/C13</f>
        <v>8.3529788410605668E-2</v>
      </c>
      <c r="D29" s="3">
        <f>+D26/D13</f>
        <v>0.11272699729212823</v>
      </c>
      <c r="E29" s="3">
        <f>+E26/E13</f>
        <v>0.12120274205011808</v>
      </c>
      <c r="M29" s="4">
        <f>+M26/M13</f>
        <v>9.9779333575103421E-2</v>
      </c>
      <c r="N29" s="4">
        <f>+N26/N13</f>
        <v>0.10121833700440529</v>
      </c>
      <c r="O29" s="4">
        <f>+O26/O13</f>
        <v>0.10327417345740214</v>
      </c>
      <c r="P29" s="4">
        <f t="shared" ref="P29:V29" si="16">+P26/P13</f>
        <v>0.1082243030123038</v>
      </c>
      <c r="Q29" s="4">
        <f t="shared" si="16"/>
        <v>0.11295803081876003</v>
      </c>
      <c r="R29" s="4">
        <f t="shared" si="16"/>
        <v>0.1174850667009124</v>
      </c>
      <c r="S29" s="4">
        <f t="shared" si="16"/>
        <v>0.11599579675874482</v>
      </c>
      <c r="T29" s="4">
        <f t="shared" si="16"/>
        <v>0.11718217057778837</v>
      </c>
      <c r="U29" s="4">
        <f t="shared" si="16"/>
        <v>0.11833072666568624</v>
      </c>
      <c r="V29" s="4">
        <f t="shared" si="16"/>
        <v>0.11944260029415886</v>
      </c>
      <c r="X29" s="3" t="s">
        <v>37</v>
      </c>
      <c r="Y29" s="3">
        <v>7.4999999999999997E-2</v>
      </c>
    </row>
    <row r="30" spans="2:108" s="3" customFormat="1" x14ac:dyDescent="0.25">
      <c r="B30" s="3" t="s">
        <v>18</v>
      </c>
      <c r="E30" s="3">
        <f>+E13/C13 -1</f>
        <v>0.26944905264996066</v>
      </c>
      <c r="K30" s="3">
        <f>+K13/J13 -1</f>
        <v>-5.8033315421816223E-2</v>
      </c>
      <c r="L30" s="3">
        <f>+L13/K13 -1</f>
        <v>0.25325292695515178</v>
      </c>
      <c r="M30" s="3">
        <f>+M13/L13 -1</f>
        <v>0.17543061094734402</v>
      </c>
      <c r="N30" s="3">
        <f>+N13/M13 -1</f>
        <v>7.1590580801406345E-2</v>
      </c>
      <c r="O30" s="3">
        <f>+O13/N13 -1</f>
        <v>6.5573375550660673E-2</v>
      </c>
      <c r="P30" s="3">
        <f t="shared" ref="P30:V30" si="17">+P13/O13 -1</f>
        <v>6.5608733052768153E-2</v>
      </c>
      <c r="Q30" s="3">
        <f t="shared" si="17"/>
        <v>6.5643871795818542E-2</v>
      </c>
      <c r="R30" s="3">
        <f t="shared" si="17"/>
        <v>6.567879193312387E-2</v>
      </c>
      <c r="S30" s="3">
        <f t="shared" si="17"/>
        <v>6.5713493642513221E-2</v>
      </c>
      <c r="T30" s="3">
        <f t="shared" si="17"/>
        <v>6.5747977125937496E-2</v>
      </c>
      <c r="U30" s="3">
        <f t="shared" si="17"/>
        <v>6.5782242609061736E-2</v>
      </c>
      <c r="V30" s="3">
        <f t="shared" si="17"/>
        <v>6.5816290340866557E-2</v>
      </c>
      <c r="X30" s="3" t="s">
        <v>38</v>
      </c>
      <c r="Y30" s="3">
        <v>-0.01</v>
      </c>
    </row>
    <row r="31" spans="2:108" x14ac:dyDescent="0.25">
      <c r="X31" s="1" t="s">
        <v>39</v>
      </c>
      <c r="Y31" s="1">
        <f>NPV(Y29,O26:DD26)</f>
        <v>378966.38317714015</v>
      </c>
    </row>
    <row r="32" spans="2:108" x14ac:dyDescent="0.25">
      <c r="B32" s="1" t="s">
        <v>19</v>
      </c>
      <c r="C32" s="1">
        <v>1402</v>
      </c>
      <c r="D32" s="1">
        <f>+M32-C32</f>
        <v>13899</v>
      </c>
      <c r="E32" s="1">
        <v>17246</v>
      </c>
      <c r="M32" s="1">
        <v>15301</v>
      </c>
      <c r="N32" s="1">
        <v>17246</v>
      </c>
      <c r="X32" s="1" t="s">
        <v>40</v>
      </c>
      <c r="Y32" s="1">
        <f>+N36-N39</f>
        <v>-1752</v>
      </c>
    </row>
    <row r="33" spans="2:25" x14ac:dyDescent="0.25">
      <c r="B33" s="1" t="s">
        <v>20</v>
      </c>
      <c r="C33" s="1">
        <v>1091</v>
      </c>
      <c r="D33" s="1">
        <f>+M33-C33</f>
        <v>4643</v>
      </c>
      <c r="E33" s="1">
        <v>1562</v>
      </c>
      <c r="M33" s="1">
        <v>5734</v>
      </c>
      <c r="N33" s="1">
        <v>1562</v>
      </c>
      <c r="X33" s="1" t="s">
        <v>41</v>
      </c>
      <c r="Y33" s="1">
        <f>+Y31+Y32</f>
        <v>377214.38317714015</v>
      </c>
    </row>
    <row r="34" spans="2:25" s="2" customFormat="1" x14ac:dyDescent="0.25">
      <c r="B34" s="2" t="s">
        <v>21</v>
      </c>
      <c r="C34" s="2">
        <f>+C32-C33</f>
        <v>311</v>
      </c>
      <c r="D34" s="2">
        <f>+D32-D33</f>
        <v>9256</v>
      </c>
      <c r="E34" s="2">
        <f>+E32-E33</f>
        <v>15684</v>
      </c>
      <c r="M34" s="2">
        <f>+M32-M33</f>
        <v>9567</v>
      </c>
      <c r="N34" s="2">
        <f>+N32-N33</f>
        <v>15684</v>
      </c>
      <c r="X34" s="1" t="s">
        <v>42</v>
      </c>
      <c r="Y34" s="1">
        <v>51.083959</v>
      </c>
    </row>
    <row r="35" spans="2:25" x14ac:dyDescent="0.25">
      <c r="X35" s="1" t="s">
        <v>43</v>
      </c>
      <c r="Y35" s="1">
        <f>+Y33/Y34</f>
        <v>7384.2041721382666</v>
      </c>
    </row>
    <row r="36" spans="2:25" x14ac:dyDescent="0.25">
      <c r="B36" s="1" t="s">
        <v>22</v>
      </c>
      <c r="M36" s="1">
        <v>29807</v>
      </c>
      <c r="N36" s="1">
        <v>37663</v>
      </c>
      <c r="Y36" s="1">
        <f>+Y35*0.7</f>
        <v>5168.9429204967864</v>
      </c>
    </row>
    <row r="37" spans="2:25" x14ac:dyDescent="0.25">
      <c r="B37" s="1" t="s">
        <v>23</v>
      </c>
      <c r="M37" s="1">
        <v>9846</v>
      </c>
      <c r="N37" s="1">
        <v>10112</v>
      </c>
      <c r="Y37" s="3"/>
    </row>
    <row r="38" spans="2:25" x14ac:dyDescent="0.25">
      <c r="B38" s="1" t="s">
        <v>24</v>
      </c>
      <c r="M38" s="1">
        <v>36254</v>
      </c>
      <c r="N38" s="1">
        <v>37902</v>
      </c>
    </row>
    <row r="39" spans="2:25" x14ac:dyDescent="0.25">
      <c r="B39" s="1" t="s">
        <v>25</v>
      </c>
      <c r="M39" s="1">
        <v>40756</v>
      </c>
      <c r="N39" s="1">
        <v>39415</v>
      </c>
    </row>
    <row r="40" spans="2:25" s="2" customFormat="1" x14ac:dyDescent="0.25">
      <c r="B40" s="2" t="s">
        <v>26</v>
      </c>
      <c r="M40" s="2">
        <f>+SUM(M36:M38)-M39</f>
        <v>35151</v>
      </c>
      <c r="N40" s="2">
        <f>+SUM(N36:N38)-N39</f>
        <v>46262</v>
      </c>
    </row>
    <row r="42" spans="2:25" s="6" customFormat="1" x14ac:dyDescent="0.25">
      <c r="B42" s="6" t="s">
        <v>44</v>
      </c>
      <c r="M42" s="6">
        <f>+M22/M39</f>
        <v>3.9503386004514675E-3</v>
      </c>
      <c r="N42" s="6">
        <f>+N22/N39</f>
        <v>4.6682734999365727E-3</v>
      </c>
    </row>
    <row r="43" spans="2:25" s="6" customFormat="1" x14ac:dyDescent="0.25">
      <c r="B43" s="6" t="s">
        <v>46</v>
      </c>
      <c r="M43" s="6">
        <f>+M19/M36</f>
        <v>6.1059482671855601E-3</v>
      </c>
      <c r="N43" s="6">
        <f>+N19/N36</f>
        <v>5.7881740700422169E-3</v>
      </c>
    </row>
    <row r="44" spans="2:25" s="6" customFormat="1" x14ac:dyDescent="0.25">
      <c r="B44" s="6" t="s">
        <v>45</v>
      </c>
      <c r="M44" s="6">
        <f>+M20/M37</f>
        <v>1.4726792606134471E-2</v>
      </c>
      <c r="N44" s="6">
        <f>+N20/N37</f>
        <v>1.5526107594936708E-2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Model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2024-11-25T21:20:11Z</dcterms:created>
  <dcterms:modified xsi:type="dcterms:W3CDTF">2024-12-02T14:38:34Z</dcterms:modified>
</cp:coreProperties>
</file>