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8559C2A-11A1-40BB-BFAE-0D75BF2359A9}" xr6:coauthVersionLast="47" xr6:coauthVersionMax="47" xr10:uidLastSave="{00000000-0000-0000-0000-000000000000}"/>
  <bookViews>
    <workbookView xWindow="28485" yWindow="-16320" windowWidth="29040" windowHeight="15840" activeTab="1" xr2:uid="{04B737C7-D905-4B9C-B833-FC0FB2B9213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7" i="1" l="1"/>
  <c r="G23" i="1"/>
  <c r="H23" i="1"/>
  <c r="I23" i="1"/>
  <c r="J23" i="1"/>
  <c r="K23" i="1"/>
  <c r="L23" i="1"/>
  <c r="M23" i="1"/>
  <c r="N23" i="1"/>
  <c r="O23" i="1"/>
  <c r="P23" i="1"/>
  <c r="F23" i="1"/>
  <c r="E23" i="1"/>
  <c r="S36" i="1"/>
  <c r="S35" i="1"/>
  <c r="S33" i="1"/>
  <c r="H12" i="1"/>
  <c r="I12" i="1"/>
  <c r="J12" i="1"/>
  <c r="K12" i="1"/>
  <c r="L12" i="1"/>
  <c r="M12" i="1"/>
  <c r="N12" i="1"/>
  <c r="O12" i="1"/>
  <c r="P12" i="1"/>
  <c r="G12" i="1"/>
  <c r="G31" i="1" s="1"/>
  <c r="H11" i="1"/>
  <c r="I11" i="1" s="1"/>
  <c r="J11" i="1" s="1"/>
  <c r="K11" i="1" s="1"/>
  <c r="L11" i="1" s="1"/>
  <c r="M11" i="1" s="1"/>
  <c r="N11" i="1" s="1"/>
  <c r="O11" i="1" s="1"/>
  <c r="P11" i="1" s="1"/>
  <c r="G11" i="1"/>
  <c r="G30" i="1" s="1"/>
  <c r="P31" i="1"/>
  <c r="G28" i="1"/>
  <c r="H28" i="1"/>
  <c r="I28" i="1"/>
  <c r="J28" i="1"/>
  <c r="K28" i="1"/>
  <c r="L28" i="1"/>
  <c r="M28" i="1"/>
  <c r="N28" i="1"/>
  <c r="O28" i="1"/>
  <c r="P28" i="1"/>
  <c r="F28" i="1"/>
  <c r="E28" i="1"/>
  <c r="F31" i="1"/>
  <c r="F30" i="1"/>
  <c r="E31" i="1"/>
  <c r="E30" i="1"/>
  <c r="D31" i="1"/>
  <c r="D30" i="1"/>
  <c r="F7" i="1"/>
  <c r="S29" i="1"/>
  <c r="G18" i="1"/>
  <c r="H18" i="1" s="1"/>
  <c r="I18" i="1" s="1"/>
  <c r="J18" i="1" s="1"/>
  <c r="K18" i="1" s="1"/>
  <c r="L18" i="1" s="1"/>
  <c r="M18" i="1" s="1"/>
  <c r="N18" i="1" s="1"/>
  <c r="O18" i="1" s="1"/>
  <c r="P18" i="1" s="1"/>
  <c r="F18" i="1"/>
  <c r="G5" i="1"/>
  <c r="H5" i="1" s="1"/>
  <c r="I5" i="1" s="1"/>
  <c r="J5" i="1" s="1"/>
  <c r="K5" i="1" s="1"/>
  <c r="L5" i="1" s="1"/>
  <c r="M5" i="1" s="1"/>
  <c r="N5" i="1" s="1"/>
  <c r="O5" i="1" s="1"/>
  <c r="P5" i="1" s="1"/>
  <c r="F11" i="1"/>
  <c r="G14" i="1"/>
  <c r="H14" i="1" s="1"/>
  <c r="I14" i="1" s="1"/>
  <c r="J14" i="1" s="1"/>
  <c r="K14" i="1" s="1"/>
  <c r="L14" i="1" s="1"/>
  <c r="M14" i="1" s="1"/>
  <c r="N14" i="1" s="1"/>
  <c r="O14" i="1" s="1"/>
  <c r="P14" i="1" s="1"/>
  <c r="D4" i="1"/>
  <c r="E4" i="1"/>
  <c r="F12" i="1"/>
  <c r="E6" i="1"/>
  <c r="D6" i="1"/>
  <c r="D18" i="1"/>
  <c r="E10" i="1"/>
  <c r="E13" i="1" s="1"/>
  <c r="E15" i="1" s="1"/>
  <c r="E20" i="1" s="1"/>
  <c r="E22" i="1" s="1"/>
  <c r="D10" i="1"/>
  <c r="D13" i="1" s="1"/>
  <c r="D15" i="1" s="1"/>
  <c r="D27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O31" i="1" l="1"/>
  <c r="N31" i="1"/>
  <c r="M31" i="1"/>
  <c r="L31" i="1"/>
  <c r="K31" i="1"/>
  <c r="J31" i="1"/>
  <c r="I31" i="1"/>
  <c r="H31" i="1"/>
  <c r="D26" i="1"/>
  <c r="E26" i="1"/>
  <c r="G7" i="1"/>
  <c r="F9" i="1"/>
  <c r="E27" i="1"/>
  <c r="G9" i="1"/>
  <c r="G10" i="1" s="1"/>
  <c r="F10" i="1"/>
  <c r="F13" i="1" s="1"/>
  <c r="D20" i="1"/>
  <c r="D22" i="1" s="1"/>
  <c r="H30" i="1" l="1"/>
  <c r="F15" i="1"/>
  <c r="F26" i="1"/>
  <c r="G13" i="1"/>
  <c r="G15" i="1" s="1"/>
  <c r="G20" i="1" s="1"/>
  <c r="G26" i="1"/>
  <c r="F20" i="1"/>
  <c r="F27" i="1"/>
  <c r="H7" i="1"/>
  <c r="I30" i="1" l="1"/>
  <c r="G21" i="1"/>
  <c r="G22" i="1" s="1"/>
  <c r="F21" i="1"/>
  <c r="F22" i="1" s="1"/>
  <c r="G27" i="1"/>
  <c r="H9" i="1"/>
  <c r="H10" i="1" s="1"/>
  <c r="I7" i="1"/>
  <c r="J30" i="1" l="1"/>
  <c r="H13" i="1"/>
  <c r="H15" i="1" s="1"/>
  <c r="H20" i="1" s="1"/>
  <c r="H26" i="1"/>
  <c r="I9" i="1"/>
  <c r="I10" i="1" s="1"/>
  <c r="J7" i="1"/>
  <c r="K30" i="1" l="1"/>
  <c r="H21" i="1"/>
  <c r="H22" i="1" s="1"/>
  <c r="I13" i="1"/>
  <c r="I15" i="1" s="1"/>
  <c r="I27" i="1" s="1"/>
  <c r="I26" i="1"/>
  <c r="H27" i="1"/>
  <c r="J9" i="1"/>
  <c r="J10" i="1" s="1"/>
  <c r="K7" i="1"/>
  <c r="I20" i="1" l="1"/>
  <c r="I21" i="1" s="1"/>
  <c r="I22" i="1" s="1"/>
  <c r="L30" i="1"/>
  <c r="J13" i="1"/>
  <c r="J15" i="1" s="1"/>
  <c r="J20" i="1" s="1"/>
  <c r="J26" i="1"/>
  <c r="K9" i="1"/>
  <c r="K10" i="1" s="1"/>
  <c r="L7" i="1"/>
  <c r="J27" i="1" l="1"/>
  <c r="M30" i="1"/>
  <c r="J21" i="1"/>
  <c r="J22" i="1" s="1"/>
  <c r="K13" i="1"/>
  <c r="K15" i="1" s="1"/>
  <c r="K27" i="1" s="1"/>
  <c r="K26" i="1"/>
  <c r="L9" i="1"/>
  <c r="L10" i="1" s="1"/>
  <c r="M7" i="1"/>
  <c r="K20" i="1" l="1"/>
  <c r="K21" i="1" s="1"/>
  <c r="K22" i="1" s="1"/>
  <c r="N30" i="1"/>
  <c r="L13" i="1"/>
  <c r="L15" i="1" s="1"/>
  <c r="L20" i="1" s="1"/>
  <c r="L26" i="1"/>
  <c r="M9" i="1"/>
  <c r="M10" i="1" s="1"/>
  <c r="N7" i="1"/>
  <c r="P30" i="1" l="1"/>
  <c r="O30" i="1"/>
  <c r="L21" i="1"/>
  <c r="L22" i="1" s="1"/>
  <c r="L27" i="1"/>
  <c r="M13" i="1"/>
  <c r="M15" i="1" s="1"/>
  <c r="M20" i="1" s="1"/>
  <c r="M26" i="1"/>
  <c r="N9" i="1"/>
  <c r="N10" i="1" s="1"/>
  <c r="P7" i="1"/>
  <c r="O7" i="1"/>
  <c r="M21" i="1" l="1"/>
  <c r="M22" i="1" s="1"/>
  <c r="N13" i="1"/>
  <c r="N15" i="1" s="1"/>
  <c r="N20" i="1" s="1"/>
  <c r="N26" i="1"/>
  <c r="M27" i="1"/>
  <c r="P9" i="1"/>
  <c r="P10" i="1" s="1"/>
  <c r="O9" i="1"/>
  <c r="O10" i="1" s="1"/>
  <c r="N27" i="1" l="1"/>
  <c r="N21" i="1"/>
  <c r="N22" i="1" s="1"/>
  <c r="O13" i="1"/>
  <c r="O15" i="1" s="1"/>
  <c r="O20" i="1" s="1"/>
  <c r="O26" i="1"/>
  <c r="P13" i="1"/>
  <c r="P15" i="1" s="1"/>
  <c r="P20" i="1" s="1"/>
  <c r="P26" i="1"/>
  <c r="P27" i="1" l="1"/>
  <c r="O27" i="1"/>
  <c r="P21" i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S28" i="1" s="1"/>
  <c r="S30" i="1" s="1"/>
  <c r="S31" i="1" s="1"/>
  <c r="O21" i="1"/>
  <c r="O22" i="1" s="1"/>
</calcChain>
</file>

<file path=xl/sharedStrings.xml><?xml version="1.0" encoding="utf-8"?>
<sst xmlns="http://schemas.openxmlformats.org/spreadsheetml/2006/main" count="36" uniqueCount="33">
  <si>
    <t>Revenue</t>
  </si>
  <si>
    <t>Other Income</t>
  </si>
  <si>
    <t>COGS</t>
  </si>
  <si>
    <t>Gross Profit</t>
  </si>
  <si>
    <t>Personnel expenses</t>
  </si>
  <si>
    <t>Other expenses</t>
  </si>
  <si>
    <t>Operating Income</t>
  </si>
  <si>
    <t>D&amp;A</t>
  </si>
  <si>
    <t>EBIT</t>
  </si>
  <si>
    <t>Investment Income</t>
  </si>
  <si>
    <t>Interest Income</t>
  </si>
  <si>
    <t>Write up</t>
  </si>
  <si>
    <t>EBT</t>
  </si>
  <si>
    <t>Taxes</t>
  </si>
  <si>
    <t>Net Income</t>
  </si>
  <si>
    <t>Kliniken</t>
  </si>
  <si>
    <t>Revenue/Klinik</t>
  </si>
  <si>
    <t>EBIT Marge von 20% schätzung</t>
  </si>
  <si>
    <t>Gross Margin</t>
  </si>
  <si>
    <t>EBIT Margin</t>
  </si>
  <si>
    <t>Discount</t>
  </si>
  <si>
    <t>Terminal</t>
  </si>
  <si>
    <t>NPV</t>
  </si>
  <si>
    <t>Net Cash</t>
  </si>
  <si>
    <t>Value</t>
  </si>
  <si>
    <t>Price</t>
  </si>
  <si>
    <t>Shares</t>
  </si>
  <si>
    <t>EPS</t>
  </si>
  <si>
    <t>Revenue Y/Y</t>
  </si>
  <si>
    <t>Upside</t>
  </si>
  <si>
    <t>MC</t>
  </si>
  <si>
    <t>P/E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</si>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</sst>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3" fontId="0" fillId="0" borderId="0" xfId="1" applyNumberFormat="1" applyFont="1"/>
    <xf numFmtId="165" fontId="0" fillId="0" borderId="0" xfId="1" applyNumberFormat="1" applyFont="1"/>
    <xf numFmtId="4" fontId="2" fillId="0" borderId="0" xfId="0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5</xdr:row>
      <xdr:rowOff>152400</xdr:rowOff>
    </xdr:from>
    <xdr:to>
      <xdr:col>5</xdr:col>
      <xdr:colOff>43543</xdr:colOff>
      <xdr:row>30</xdr:row>
      <xdr:rowOff>70757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67C318-D91D-DDF3-9702-F2384DC9C9CE}"/>
            </a:ext>
          </a:extLst>
        </xdr:cNvPr>
        <xdr:cNvCxnSpPr/>
      </xdr:nvCxnSpPr>
      <xdr:spPr>
        <a:xfrm>
          <a:off x="3488871" y="723900"/>
          <a:ext cx="16329" cy="4299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370-BFFF-4DF0-AC60-65DE8CB93F9E}">
  <dimension ref="C5"/>
  <sheetViews>
    <sheetView zoomScale="130" zoomScaleNormal="130" workbookViewId="0">
      <selection activeCell="C8" sqref="C8"/>
    </sheetView>
  </sheetViews>
  <sheetFormatPr defaultRowHeight="15" x14ac:dyDescent="0.25"/>
  <sheetData>
    <row r="5" spans="3:3" x14ac:dyDescent="0.25">
      <c r="C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3D3A-F408-4886-93E2-46A32EC0ED32}">
  <dimension ref="B2:CG145"/>
  <sheetViews>
    <sheetView tabSelected="1" zoomScale="175" zoomScaleNormal="175" workbookViewId="0">
      <pane xSplit="2" ySplit="2" topLeftCell="J28" activePane="bottomRight" state="frozen"/>
      <selection pane="topRight" activeCell="C1" sqref="C1"/>
      <selection pane="bottomLeft" activeCell="A3" sqref="A3"/>
      <selection pane="bottomRight" activeCell="O35" sqref="O35"/>
    </sheetView>
  </sheetViews>
  <sheetFormatPr defaultRowHeight="15" x14ac:dyDescent="0.25"/>
  <cols>
    <col min="1" max="1" width="2.85546875" customWidth="1"/>
    <col min="2" max="2" width="19.140625" bestFit="1" customWidth="1"/>
    <col min="4" max="4" width="11.5703125" bestFit="1" customWidth="1"/>
    <col min="5" max="6" width="9.42578125" bestFit="1" customWidth="1"/>
    <col min="19" max="19" width="11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 t="shared" ref="G2:P2" si="0">+F2+1</f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>+L2+1</f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D4" s="4">
        <f>+D11/D7</f>
        <v>5.4927959613935207E-2</v>
      </c>
      <c r="E4" s="4">
        <f>+E11/E7</f>
        <v>5.865527266280357E-2</v>
      </c>
    </row>
    <row r="5" spans="2:16" s="1" customFormat="1" x14ac:dyDescent="0.25">
      <c r="B5" s="1" t="s">
        <v>15</v>
      </c>
      <c r="D5" s="1">
        <v>58</v>
      </c>
      <c r="E5" s="1">
        <v>63</v>
      </c>
      <c r="F5" s="1">
        <v>67</v>
      </c>
      <c r="G5" s="1">
        <f>+F5+5</f>
        <v>72</v>
      </c>
      <c r="H5" s="1">
        <f t="shared" ref="H5:P5" si="1">+G5+5</f>
        <v>77</v>
      </c>
      <c r="I5" s="1">
        <f t="shared" si="1"/>
        <v>82</v>
      </c>
      <c r="J5" s="1">
        <f t="shared" si="1"/>
        <v>87</v>
      </c>
      <c r="K5" s="1">
        <f t="shared" si="1"/>
        <v>92</v>
      </c>
      <c r="L5" s="1">
        <f t="shared" si="1"/>
        <v>97</v>
      </c>
      <c r="M5" s="1">
        <f t="shared" si="1"/>
        <v>102</v>
      </c>
      <c r="N5" s="1">
        <f t="shared" si="1"/>
        <v>107</v>
      </c>
      <c r="O5" s="1">
        <f t="shared" si="1"/>
        <v>112</v>
      </c>
      <c r="P5" s="1">
        <f t="shared" si="1"/>
        <v>117</v>
      </c>
    </row>
    <row r="6" spans="2:16" s="1" customFormat="1" x14ac:dyDescent="0.25">
      <c r="B6" s="1" t="s">
        <v>16</v>
      </c>
      <c r="D6" s="1">
        <f>+D7/D5</f>
        <v>5453.7691896551723</v>
      </c>
      <c r="E6" s="1">
        <f>+E7/E5</f>
        <v>5383.8732857142859</v>
      </c>
      <c r="F6" s="1">
        <v>5250</v>
      </c>
      <c r="G6" s="1">
        <v>5150</v>
      </c>
      <c r="H6" s="1">
        <v>5000</v>
      </c>
      <c r="I6" s="1">
        <v>5000</v>
      </c>
      <c r="J6" s="1">
        <v>5000</v>
      </c>
      <c r="K6" s="1">
        <v>5000</v>
      </c>
      <c r="L6" s="1">
        <v>5000</v>
      </c>
      <c r="M6" s="1">
        <v>5000</v>
      </c>
      <c r="N6" s="1">
        <v>5000</v>
      </c>
      <c r="O6" s="1">
        <v>5000</v>
      </c>
      <c r="P6" s="1">
        <v>5000</v>
      </c>
    </row>
    <row r="7" spans="2:16" s="2" customFormat="1" x14ac:dyDescent="0.25">
      <c r="B7" s="2" t="s">
        <v>0</v>
      </c>
      <c r="D7" s="2">
        <v>316318.61300000001</v>
      </c>
      <c r="E7" s="2">
        <v>339184.01699999999</v>
      </c>
      <c r="F7" s="2">
        <f>+F5*F6</f>
        <v>351750</v>
      </c>
      <c r="G7" s="2">
        <f t="shared" ref="G7:P7" si="2">+G5*G6</f>
        <v>370800</v>
      </c>
      <c r="H7" s="2">
        <f t="shared" si="2"/>
        <v>385000</v>
      </c>
      <c r="I7" s="2">
        <f t="shared" si="2"/>
        <v>410000</v>
      </c>
      <c r="J7" s="2">
        <f t="shared" si="2"/>
        <v>435000</v>
      </c>
      <c r="K7" s="2">
        <f t="shared" si="2"/>
        <v>460000</v>
      </c>
      <c r="L7" s="2">
        <f t="shared" si="2"/>
        <v>485000</v>
      </c>
      <c r="M7" s="2">
        <f t="shared" si="2"/>
        <v>510000</v>
      </c>
      <c r="N7" s="2">
        <f t="shared" si="2"/>
        <v>535000</v>
      </c>
      <c r="O7" s="2">
        <f t="shared" si="2"/>
        <v>560000</v>
      </c>
      <c r="P7" s="2">
        <f t="shared" si="2"/>
        <v>585000</v>
      </c>
    </row>
    <row r="8" spans="2:16" s="1" customFormat="1" x14ac:dyDescent="0.25">
      <c r="B8" s="1" t="s">
        <v>1</v>
      </c>
      <c r="D8" s="1">
        <v>1674.982</v>
      </c>
      <c r="E8" s="1">
        <v>1228.4670000000001</v>
      </c>
      <c r="F8" s="1">
        <v>1000</v>
      </c>
      <c r="G8" s="1">
        <v>1000</v>
      </c>
      <c r="H8" s="1">
        <v>1000</v>
      </c>
      <c r="I8" s="1">
        <v>1000</v>
      </c>
      <c r="J8" s="1">
        <v>1000</v>
      </c>
      <c r="K8" s="1">
        <v>1000</v>
      </c>
      <c r="L8" s="1">
        <v>1000</v>
      </c>
      <c r="M8" s="1">
        <v>1000</v>
      </c>
      <c r="N8" s="1">
        <v>1000</v>
      </c>
      <c r="O8" s="1">
        <v>1000</v>
      </c>
      <c r="P8" s="1">
        <v>1000</v>
      </c>
    </row>
    <row r="9" spans="2:16" s="1" customFormat="1" x14ac:dyDescent="0.25">
      <c r="B9" s="1" t="s">
        <v>2</v>
      </c>
      <c r="D9" s="1">
        <v>266075.25</v>
      </c>
      <c r="E9" s="1">
        <v>275580.58399999997</v>
      </c>
      <c r="F9" s="1">
        <f>+F7*0.8</f>
        <v>281400</v>
      </c>
      <c r="G9" s="1">
        <f t="shared" ref="G9:P9" si="3">+G7*0.8</f>
        <v>296640</v>
      </c>
      <c r="H9" s="1">
        <f t="shared" si="3"/>
        <v>308000</v>
      </c>
      <c r="I9" s="1">
        <f t="shared" si="3"/>
        <v>328000</v>
      </c>
      <c r="J9" s="1">
        <f t="shared" si="3"/>
        <v>348000</v>
      </c>
      <c r="K9" s="1">
        <f t="shared" si="3"/>
        <v>368000</v>
      </c>
      <c r="L9" s="1">
        <f t="shared" si="3"/>
        <v>388000</v>
      </c>
      <c r="M9" s="1">
        <f t="shared" si="3"/>
        <v>408000</v>
      </c>
      <c r="N9" s="1">
        <f t="shared" si="3"/>
        <v>428000</v>
      </c>
      <c r="O9" s="1">
        <f t="shared" si="3"/>
        <v>448000</v>
      </c>
      <c r="P9" s="1">
        <f t="shared" si="3"/>
        <v>468000</v>
      </c>
    </row>
    <row r="10" spans="2:16" s="1" customFormat="1" x14ac:dyDescent="0.25">
      <c r="B10" s="1" t="s">
        <v>3</v>
      </c>
      <c r="D10" s="1">
        <f>+D7+D8-D9</f>
        <v>51918.34500000003</v>
      </c>
      <c r="E10" s="1">
        <f t="shared" ref="E10:F10" si="4">+E7+E8-E9</f>
        <v>64831.900000000023</v>
      </c>
      <c r="F10" s="1">
        <f t="shared" si="4"/>
        <v>71350</v>
      </c>
      <c r="G10" s="1">
        <f t="shared" ref="G10" si="5">+G7+G8-G9</f>
        <v>75160</v>
      </c>
      <c r="H10" s="1">
        <f t="shared" ref="H10" si="6">+H7+H8-H9</f>
        <v>78000</v>
      </c>
      <c r="I10" s="1">
        <f t="shared" ref="I10" si="7">+I7+I8-I9</f>
        <v>83000</v>
      </c>
      <c r="J10" s="1">
        <f t="shared" ref="J10" si="8">+J7+J8-J9</f>
        <v>88000</v>
      </c>
      <c r="K10" s="1">
        <f t="shared" ref="K10" si="9">+K7+K8-K9</f>
        <v>93000</v>
      </c>
      <c r="L10" s="1">
        <f t="shared" ref="L10" si="10">+L7+L8-L9</f>
        <v>98000</v>
      </c>
      <c r="M10" s="1">
        <f t="shared" ref="M10" si="11">+M7+M8-M9</f>
        <v>103000</v>
      </c>
      <c r="N10" s="1">
        <f t="shared" ref="N10" si="12">+N7+N8-N9</f>
        <v>108000</v>
      </c>
      <c r="O10" s="1">
        <f t="shared" ref="O10" si="13">+O7+O8-O9</f>
        <v>113000</v>
      </c>
      <c r="P10" s="1">
        <f t="shared" ref="P10" si="14">+P7+P8-P9</f>
        <v>118000</v>
      </c>
    </row>
    <row r="11" spans="2:16" s="1" customFormat="1" x14ac:dyDescent="0.25">
      <c r="B11" s="1" t="s">
        <v>4</v>
      </c>
      <c r="D11" s="1">
        <v>17374.736000000001</v>
      </c>
      <c r="E11" s="1">
        <v>19894.931</v>
      </c>
      <c r="F11" s="1">
        <f>+E11*1.02</f>
        <v>20292.82962</v>
      </c>
      <c r="G11" s="1">
        <f>+F11*(1+G28*0.666666666666667)</f>
        <v>21025.506055462691</v>
      </c>
      <c r="H11" s="1">
        <f t="shared" ref="H11:P11" si="15">+G11*(1+H28*0.666666666666667)</f>
        <v>21562.295314699604</v>
      </c>
      <c r="I11" s="1">
        <f t="shared" si="15"/>
        <v>22495.728012305644</v>
      </c>
      <c r="J11" s="1">
        <f t="shared" si="15"/>
        <v>23410.188500610755</v>
      </c>
      <c r="K11" s="1">
        <f t="shared" si="15"/>
        <v>24307.130588756765</v>
      </c>
      <c r="L11" s="1">
        <f t="shared" si="15"/>
        <v>25187.823726030558</v>
      </c>
      <c r="M11" s="1">
        <f t="shared" si="15"/>
        <v>26053.384678815117</v>
      </c>
      <c r="N11" s="1">
        <f t="shared" si="15"/>
        <v>26904.802478776397</v>
      </c>
      <c r="O11" s="1">
        <f t="shared" si="15"/>
        <v>27742.958319236721</v>
      </c>
      <c r="P11" s="1">
        <f t="shared" si="15"/>
        <v>28568.641602547341</v>
      </c>
    </row>
    <row r="12" spans="2:16" s="1" customFormat="1" x14ac:dyDescent="0.25">
      <c r="B12" s="1" t="s">
        <v>5</v>
      </c>
      <c r="D12" s="1">
        <v>13533.130999999999</v>
      </c>
      <c r="E12" s="1">
        <v>12973.196</v>
      </c>
      <c r="F12" s="1">
        <f>+F7*0.035</f>
        <v>12311.250000000002</v>
      </c>
      <c r="G12" s="1">
        <f>+G7*0.035</f>
        <v>12978.000000000002</v>
      </c>
      <c r="H12" s="1">
        <f t="shared" ref="H12:P12" si="16">+H7*0.035</f>
        <v>13475.000000000002</v>
      </c>
      <c r="I12" s="1">
        <f t="shared" si="16"/>
        <v>14350.000000000002</v>
      </c>
      <c r="J12" s="1">
        <f t="shared" si="16"/>
        <v>15225.000000000002</v>
      </c>
      <c r="K12" s="1">
        <f t="shared" si="16"/>
        <v>16100.000000000002</v>
      </c>
      <c r="L12" s="1">
        <f t="shared" si="16"/>
        <v>16975</v>
      </c>
      <c r="M12" s="1">
        <f t="shared" si="16"/>
        <v>17850</v>
      </c>
      <c r="N12" s="1">
        <f t="shared" si="16"/>
        <v>18725</v>
      </c>
      <c r="O12" s="1">
        <f t="shared" si="16"/>
        <v>19600.000000000004</v>
      </c>
      <c r="P12" s="1">
        <f t="shared" si="16"/>
        <v>20475.000000000004</v>
      </c>
    </row>
    <row r="13" spans="2:16" s="1" customFormat="1" x14ac:dyDescent="0.25">
      <c r="B13" s="1" t="s">
        <v>6</v>
      </c>
      <c r="D13" s="1">
        <f>+D10-D11-D12</f>
        <v>21010.478000000025</v>
      </c>
      <c r="E13" s="1">
        <f t="shared" ref="E13" si="17">+E10-E11-E12</f>
        <v>31963.773000000027</v>
      </c>
      <c r="F13" s="1">
        <f>+F10-F11-F12</f>
        <v>38745.920379999996</v>
      </c>
      <c r="G13" s="1">
        <f t="shared" ref="G13" si="18">+G10-G11-G12</f>
        <v>41156.493944537309</v>
      </c>
      <c r="H13" s="1">
        <f t="shared" ref="H13" si="19">+H10-H11-H12</f>
        <v>42962.704685300399</v>
      </c>
      <c r="I13" s="1">
        <f t="shared" ref="I13" si="20">+I10-I11-I12</f>
        <v>46154.271987694359</v>
      </c>
      <c r="J13" s="1">
        <f t="shared" ref="J13" si="21">+J10-J11-J12</f>
        <v>49364.811499389245</v>
      </c>
      <c r="K13" s="1">
        <f t="shared" ref="K13" si="22">+K10-K11-K12</f>
        <v>52592.869411243242</v>
      </c>
      <c r="L13" s="1">
        <f t="shared" ref="L13" si="23">+L10-L11-L12</f>
        <v>55837.176273969439</v>
      </c>
      <c r="M13" s="1">
        <f t="shared" ref="M13" si="24">+M10-M11-M12</f>
        <v>59096.615321184887</v>
      </c>
      <c r="N13" s="1">
        <f t="shared" ref="N13" si="25">+N10-N11-N12</f>
        <v>62370.197521223599</v>
      </c>
      <c r="O13" s="1">
        <f t="shared" ref="O13" si="26">+O10-O11-O12</f>
        <v>65657.041680763272</v>
      </c>
      <c r="P13" s="1">
        <f t="shared" ref="P13" si="27">+P10-P11-P12</f>
        <v>68956.358397452655</v>
      </c>
    </row>
    <row r="14" spans="2:16" s="1" customFormat="1" x14ac:dyDescent="0.25">
      <c r="B14" s="1" t="s">
        <v>7</v>
      </c>
      <c r="D14" s="1">
        <v>5310.5889999999999</v>
      </c>
      <c r="E14" s="1">
        <v>5209.5069999999996</v>
      </c>
      <c r="F14" s="1">
        <v>5100</v>
      </c>
      <c r="G14" s="1">
        <f>+F14*0.99</f>
        <v>5049</v>
      </c>
      <c r="H14" s="1">
        <f t="shared" ref="H14:P14" si="28">+G14*0.99</f>
        <v>4998.51</v>
      </c>
      <c r="I14" s="1">
        <f t="shared" si="28"/>
        <v>4948.5249000000003</v>
      </c>
      <c r="J14" s="1">
        <f t="shared" si="28"/>
        <v>4899.039651</v>
      </c>
      <c r="K14" s="1">
        <f t="shared" si="28"/>
        <v>4850.0492544899998</v>
      </c>
      <c r="L14" s="1">
        <f t="shared" si="28"/>
        <v>4801.5487619450996</v>
      </c>
      <c r="M14" s="1">
        <f t="shared" si="28"/>
        <v>4753.5332743256486</v>
      </c>
      <c r="N14" s="1">
        <f t="shared" si="28"/>
        <v>4705.9979415823918</v>
      </c>
      <c r="O14" s="1">
        <f t="shared" si="28"/>
        <v>4658.9379621665676</v>
      </c>
      <c r="P14" s="1">
        <f t="shared" si="28"/>
        <v>4612.3485825449015</v>
      </c>
    </row>
    <row r="15" spans="2:16" s="2" customFormat="1" x14ac:dyDescent="0.25">
      <c r="B15" s="2" t="s">
        <v>8</v>
      </c>
      <c r="D15" s="2">
        <f>+D13-D14</f>
        <v>15699.889000000025</v>
      </c>
      <c r="E15" s="2">
        <f t="shared" ref="E15:F15" si="29">+E13-E14</f>
        <v>26754.266000000025</v>
      </c>
      <c r="F15" s="2">
        <f t="shared" si="29"/>
        <v>33645.920379999996</v>
      </c>
      <c r="G15" s="2">
        <f t="shared" ref="G15" si="30">+G13-G14</f>
        <v>36107.493944537309</v>
      </c>
      <c r="H15" s="2">
        <f t="shared" ref="H15" si="31">+H13-H14</f>
        <v>37964.194685300397</v>
      </c>
      <c r="I15" s="2">
        <f t="shared" ref="I15" si="32">+I13-I14</f>
        <v>41205.747087694355</v>
      </c>
      <c r="J15" s="2">
        <f t="shared" ref="J15" si="33">+J13-J14</f>
        <v>44465.771848389246</v>
      </c>
      <c r="K15" s="2">
        <f t="shared" ref="K15" si="34">+K13-K14</f>
        <v>47742.820156753245</v>
      </c>
      <c r="L15" s="2">
        <f t="shared" ref="L15" si="35">+L13-L14</f>
        <v>51035.627512024337</v>
      </c>
      <c r="M15" s="2">
        <f t="shared" ref="M15" si="36">+M13-M14</f>
        <v>54343.082046859236</v>
      </c>
      <c r="N15" s="2">
        <f t="shared" ref="N15" si="37">+N13-N14</f>
        <v>57664.199579641208</v>
      </c>
      <c r="O15" s="2">
        <f t="shared" ref="O15" si="38">+O13-O14</f>
        <v>60998.103718596707</v>
      </c>
      <c r="P15" s="2">
        <f t="shared" ref="P15" si="39">+P13-P14</f>
        <v>64344.009814907753</v>
      </c>
    </row>
    <row r="16" spans="2:16" s="1" customFormat="1" x14ac:dyDescent="0.25">
      <c r="B16" s="1" t="s">
        <v>9</v>
      </c>
      <c r="D16" s="1">
        <v>1310.9639999999999</v>
      </c>
      <c r="E16" s="1">
        <v>128.27000000000001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100</v>
      </c>
      <c r="O16" s="1">
        <v>100</v>
      </c>
      <c r="P16" s="1">
        <v>100</v>
      </c>
    </row>
    <row r="17" spans="2:85" s="1" customFormat="1" x14ac:dyDescent="0.25">
      <c r="B17" s="1" t="s">
        <v>1</v>
      </c>
      <c r="D17" s="1">
        <v>784.21100000000001</v>
      </c>
      <c r="E17" s="1">
        <v>861.42</v>
      </c>
      <c r="F17" s="1">
        <v>900</v>
      </c>
      <c r="G17" s="1">
        <v>900</v>
      </c>
      <c r="H17" s="1">
        <v>900</v>
      </c>
      <c r="I17" s="1">
        <v>900</v>
      </c>
      <c r="J17" s="1">
        <v>900</v>
      </c>
      <c r="K17" s="1">
        <v>900</v>
      </c>
      <c r="L17" s="1">
        <v>900</v>
      </c>
      <c r="M17" s="1">
        <v>900</v>
      </c>
      <c r="N17" s="1">
        <v>900</v>
      </c>
      <c r="O17" s="1">
        <v>900</v>
      </c>
      <c r="P17" s="1">
        <v>900</v>
      </c>
    </row>
    <row r="18" spans="2:85" s="1" customFormat="1" x14ac:dyDescent="0.25">
      <c r="B18" s="1" t="s">
        <v>10</v>
      </c>
      <c r="D18" s="1">
        <f>-1347.091-3.172</f>
        <v>-1350.2629999999999</v>
      </c>
      <c r="E18" s="1">
        <v>-1926.61</v>
      </c>
      <c r="F18" s="1">
        <f>+E18*1.04</f>
        <v>-2003.6743999999999</v>
      </c>
      <c r="G18" s="1">
        <f t="shared" ref="G18:P18" si="40">+F18*1.04</f>
        <v>-2083.8213759999999</v>
      </c>
      <c r="H18" s="1">
        <f t="shared" si="40"/>
        <v>-2167.17423104</v>
      </c>
      <c r="I18" s="1">
        <f t="shared" si="40"/>
        <v>-2253.8612002815998</v>
      </c>
      <c r="J18" s="1">
        <f t="shared" si="40"/>
        <v>-2344.0156482928637</v>
      </c>
      <c r="K18" s="1">
        <f t="shared" si="40"/>
        <v>-2437.7762742245782</v>
      </c>
      <c r="L18" s="1">
        <f t="shared" si="40"/>
        <v>-2535.2873251935612</v>
      </c>
      <c r="M18" s="1">
        <f t="shared" si="40"/>
        <v>-2636.6988182013038</v>
      </c>
      <c r="N18" s="1">
        <f t="shared" si="40"/>
        <v>-2742.1667709293561</v>
      </c>
      <c r="O18" s="1">
        <f t="shared" si="40"/>
        <v>-2851.8534417665305</v>
      </c>
      <c r="P18" s="1">
        <f t="shared" si="40"/>
        <v>-2965.927579437192</v>
      </c>
    </row>
    <row r="19" spans="2:85" s="1" customFormat="1" x14ac:dyDescent="0.25">
      <c r="B19" s="1" t="s">
        <v>11</v>
      </c>
      <c r="D19" s="1">
        <v>-1.9950000000000001</v>
      </c>
      <c r="E19" s="1">
        <v>481.57299999999998</v>
      </c>
    </row>
    <row r="20" spans="2:85" s="1" customFormat="1" x14ac:dyDescent="0.25">
      <c r="B20" s="1" t="s">
        <v>12</v>
      </c>
      <c r="D20" s="1">
        <f>+D15+D16+D17+D18+D19</f>
        <v>16442.806000000026</v>
      </c>
      <c r="E20" s="1">
        <f t="shared" ref="E20:F20" si="41">+E15+E16+E17+E18+E19</f>
        <v>26298.919000000024</v>
      </c>
      <c r="F20" s="1">
        <f t="shared" si="41"/>
        <v>32642.245979999996</v>
      </c>
      <c r="G20" s="1">
        <f t="shared" ref="G20" si="42">+G15+G16+G17+G18+G19</f>
        <v>35023.672568537309</v>
      </c>
      <c r="H20" s="1">
        <f t="shared" ref="H20" si="43">+H15+H16+H17+H18+H19</f>
        <v>36797.020454260397</v>
      </c>
      <c r="I20" s="1">
        <f t="shared" ref="I20" si="44">+I15+I16+I17+I18+I19</f>
        <v>39951.885887412755</v>
      </c>
      <c r="J20" s="1">
        <f t="shared" ref="J20" si="45">+J15+J16+J17+J18+J19</f>
        <v>43121.756200096381</v>
      </c>
      <c r="K20" s="1">
        <f t="shared" ref="K20" si="46">+K15+K16+K17+K18+K19</f>
        <v>46305.043882528669</v>
      </c>
      <c r="L20" s="1">
        <f t="shared" ref="L20" si="47">+L15+L16+L17+L18+L19</f>
        <v>49500.340186830777</v>
      </c>
      <c r="M20" s="1">
        <f t="shared" ref="M20" si="48">+M15+M16+M17+M18+M19</f>
        <v>52706.383228657935</v>
      </c>
      <c r="N20" s="1">
        <f t="shared" ref="N20" si="49">+N15+N16+N17+N18+N19</f>
        <v>55922.032808711854</v>
      </c>
      <c r="O20" s="1">
        <f t="shared" ref="O20" si="50">+O15+O16+O17+O18+O19</f>
        <v>59146.250276830178</v>
      </c>
      <c r="P20" s="1">
        <f t="shared" ref="P20" si="51">+P15+P16+P17+P18+P19</f>
        <v>62378.08223547056</v>
      </c>
    </row>
    <row r="21" spans="2:85" s="1" customFormat="1" x14ac:dyDescent="0.25">
      <c r="B21" s="1" t="s">
        <v>13</v>
      </c>
      <c r="D21" s="1">
        <v>4779.2920000000004</v>
      </c>
      <c r="E21" s="1">
        <v>8506.7659999999996</v>
      </c>
      <c r="F21" s="1">
        <f>+F20*0.3</f>
        <v>9792.6737939999985</v>
      </c>
      <c r="G21" s="1">
        <f t="shared" ref="G21:P21" si="52">+G20*0.3</f>
        <v>10507.101770561192</v>
      </c>
      <c r="H21" s="1">
        <f t="shared" si="52"/>
        <v>11039.106136278118</v>
      </c>
      <c r="I21" s="1">
        <f t="shared" si="52"/>
        <v>11985.565766223826</v>
      </c>
      <c r="J21" s="1">
        <f t="shared" si="52"/>
        <v>12936.526860028915</v>
      </c>
      <c r="K21" s="1">
        <f t="shared" si="52"/>
        <v>13891.5131647586</v>
      </c>
      <c r="L21" s="1">
        <f t="shared" si="52"/>
        <v>14850.102056049232</v>
      </c>
      <c r="M21" s="1">
        <f t="shared" si="52"/>
        <v>15811.914968597379</v>
      </c>
      <c r="N21" s="1">
        <f t="shared" si="52"/>
        <v>16776.609842613554</v>
      </c>
      <c r="O21" s="1">
        <f t="shared" si="52"/>
        <v>17743.875083049054</v>
      </c>
      <c r="P21" s="1">
        <f t="shared" si="52"/>
        <v>18713.424670641169</v>
      </c>
    </row>
    <row r="22" spans="2:85" s="1" customFormat="1" x14ac:dyDescent="0.25">
      <c r="B22" s="1" t="s">
        <v>14</v>
      </c>
      <c r="D22" s="1">
        <f>+D20-D21</f>
        <v>11663.514000000025</v>
      </c>
      <c r="E22" s="1">
        <f>+E20-E21</f>
        <v>17792.153000000024</v>
      </c>
      <c r="F22" s="1">
        <f t="shared" ref="F22" si="53">+F20-F21</f>
        <v>22849.572185999998</v>
      </c>
      <c r="G22" s="1">
        <f t="shared" ref="G22" si="54">+G20-G21</f>
        <v>24516.570797976117</v>
      </c>
      <c r="H22" s="1">
        <f t="shared" ref="H22" si="55">+H20-H21</f>
        <v>25757.914317982279</v>
      </c>
      <c r="I22" s="1">
        <f t="shared" ref="I22" si="56">+I20-I21</f>
        <v>27966.320121188928</v>
      </c>
      <c r="J22" s="1">
        <f t="shared" ref="J22" si="57">+J20-J21</f>
        <v>30185.229340067468</v>
      </c>
      <c r="K22" s="1">
        <f t="shared" ref="K22" si="58">+K20-K21</f>
        <v>32413.530717770067</v>
      </c>
      <c r="L22" s="1">
        <f t="shared" ref="L22" si="59">+L20-L21</f>
        <v>34650.238130781545</v>
      </c>
      <c r="M22" s="1">
        <f t="shared" ref="M22" si="60">+M20-M21</f>
        <v>36894.468260060559</v>
      </c>
      <c r="N22" s="1">
        <f t="shared" ref="N22" si="61">+N20-N21</f>
        <v>39145.422966098296</v>
      </c>
      <c r="O22" s="1">
        <f t="shared" ref="O22" si="62">+O20-O21</f>
        <v>41402.375193781125</v>
      </c>
      <c r="P22" s="1">
        <f t="shared" ref="P22" si="63">+P20-P21</f>
        <v>43664.657564829395</v>
      </c>
      <c r="Q22" s="1">
        <f>+P22*(1+$S27)</f>
        <v>44974.597291774277</v>
      </c>
      <c r="R22" s="1">
        <f t="shared" ref="R22:CC22" si="64">+Q22*(1+$S27)</f>
        <v>46323.835210527504</v>
      </c>
      <c r="S22" s="1">
        <f t="shared" si="64"/>
        <v>47713.550266843333</v>
      </c>
      <c r="T22" s="1">
        <f t="shared" si="64"/>
        <v>49144.956774848637</v>
      </c>
      <c r="U22" s="1">
        <f t="shared" si="64"/>
        <v>50619.305478094095</v>
      </c>
      <c r="V22" s="1">
        <f t="shared" si="64"/>
        <v>52137.884642436919</v>
      </c>
      <c r="W22" s="1">
        <f t="shared" si="64"/>
        <v>53702.021181710028</v>
      </c>
      <c r="X22" s="1">
        <f t="shared" si="64"/>
        <v>55313.081817161328</v>
      </c>
      <c r="Y22" s="1">
        <f t="shared" si="64"/>
        <v>56972.474271676168</v>
      </c>
      <c r="Z22" s="1">
        <f t="shared" si="64"/>
        <v>58681.648499826457</v>
      </c>
      <c r="AA22" s="1">
        <f t="shared" si="64"/>
        <v>60442.097954821249</v>
      </c>
      <c r="AB22" s="1">
        <f t="shared" si="64"/>
        <v>62255.360893465891</v>
      </c>
      <c r="AC22" s="1">
        <f t="shared" si="64"/>
        <v>64123.02172026987</v>
      </c>
      <c r="AD22" s="1">
        <f t="shared" si="64"/>
        <v>66046.712371877962</v>
      </c>
      <c r="AE22" s="1">
        <f t="shared" si="64"/>
        <v>68028.113743034308</v>
      </c>
      <c r="AF22" s="1">
        <f t="shared" si="64"/>
        <v>70068.957155325334</v>
      </c>
      <c r="AG22" s="1">
        <f t="shared" si="64"/>
        <v>72171.025869985097</v>
      </c>
      <c r="AH22" s="1">
        <f t="shared" si="64"/>
        <v>74336.156646084652</v>
      </c>
      <c r="AI22" s="1">
        <f t="shared" si="64"/>
        <v>76566.241345467191</v>
      </c>
      <c r="AJ22" s="1">
        <f t="shared" si="64"/>
        <v>78863.22858583121</v>
      </c>
      <c r="AK22" s="1">
        <f t="shared" si="64"/>
        <v>81229.125443406141</v>
      </c>
      <c r="AL22" s="1">
        <f t="shared" si="64"/>
        <v>83665.999206708322</v>
      </c>
      <c r="AM22" s="1">
        <f t="shared" si="64"/>
        <v>86175.979182909578</v>
      </c>
      <c r="AN22" s="1">
        <f t="shared" si="64"/>
        <v>88761.258558396861</v>
      </c>
      <c r="AO22" s="1">
        <f t="shared" si="64"/>
        <v>91424.096315148767</v>
      </c>
      <c r="AP22" s="1">
        <f t="shared" si="64"/>
        <v>94166.819204603235</v>
      </c>
      <c r="AQ22" s="1">
        <f t="shared" si="64"/>
        <v>96991.823780741339</v>
      </c>
      <c r="AR22" s="1">
        <f t="shared" si="64"/>
        <v>99901.578494163579</v>
      </c>
      <c r="AS22" s="1">
        <f t="shared" si="64"/>
        <v>102898.62584898849</v>
      </c>
      <c r="AT22" s="1">
        <f t="shared" si="64"/>
        <v>105985.58462445815</v>
      </c>
      <c r="AU22" s="1">
        <f t="shared" si="64"/>
        <v>109165.1521631919</v>
      </c>
      <c r="AV22" s="1">
        <f t="shared" si="64"/>
        <v>112440.10672808766</v>
      </c>
      <c r="AW22" s="1">
        <f t="shared" si="64"/>
        <v>115813.3099299303</v>
      </c>
      <c r="AX22" s="1">
        <f t="shared" si="64"/>
        <v>119287.70922782821</v>
      </c>
      <c r="AY22" s="1">
        <f t="shared" si="64"/>
        <v>122866.34050466305</v>
      </c>
      <c r="AZ22" s="1">
        <f t="shared" si="64"/>
        <v>126552.33071980295</v>
      </c>
      <c r="BA22" s="1">
        <f t="shared" si="64"/>
        <v>130348.90064139705</v>
      </c>
      <c r="BB22" s="1">
        <f t="shared" si="64"/>
        <v>134259.36766063896</v>
      </c>
      <c r="BC22" s="1">
        <f t="shared" si="64"/>
        <v>138287.14869045813</v>
      </c>
      <c r="BD22" s="1">
        <f t="shared" si="64"/>
        <v>142435.76315117188</v>
      </c>
      <c r="BE22" s="1">
        <f t="shared" si="64"/>
        <v>146708.83604570705</v>
      </c>
      <c r="BF22" s="1">
        <f t="shared" si="64"/>
        <v>151110.10112707826</v>
      </c>
      <c r="BG22" s="1">
        <f t="shared" si="64"/>
        <v>155643.40416089061</v>
      </c>
      <c r="BH22" s="1">
        <f t="shared" si="64"/>
        <v>160312.70628571734</v>
      </c>
      <c r="BI22" s="1">
        <f t="shared" si="64"/>
        <v>165122.08747428886</v>
      </c>
      <c r="BJ22" s="1">
        <f t="shared" si="64"/>
        <v>170075.75009851751</v>
      </c>
      <c r="BK22" s="1">
        <f t="shared" si="64"/>
        <v>175178.02260147306</v>
      </c>
      <c r="BL22" s="1">
        <f t="shared" si="64"/>
        <v>180433.36327951725</v>
      </c>
      <c r="BM22" s="1">
        <f t="shared" si="64"/>
        <v>185846.36417790275</v>
      </c>
      <c r="BN22" s="1">
        <f t="shared" si="64"/>
        <v>191421.75510323985</v>
      </c>
      <c r="BO22" s="1">
        <f t="shared" si="64"/>
        <v>197164.40775633705</v>
      </c>
      <c r="BP22" s="1">
        <f t="shared" si="64"/>
        <v>203079.33998902718</v>
      </c>
      <c r="BQ22" s="1">
        <f t="shared" si="64"/>
        <v>209171.720188698</v>
      </c>
      <c r="BR22" s="1">
        <f t="shared" si="64"/>
        <v>215446.87179435894</v>
      </c>
      <c r="BS22" s="1">
        <f t="shared" si="64"/>
        <v>221910.27794818973</v>
      </c>
      <c r="BT22" s="1">
        <f t="shared" si="64"/>
        <v>228567.58628663543</v>
      </c>
      <c r="BU22" s="1">
        <f t="shared" si="64"/>
        <v>235424.6138752345</v>
      </c>
      <c r="BV22" s="1">
        <f t="shared" si="64"/>
        <v>242487.35229149155</v>
      </c>
      <c r="BW22" s="1">
        <f t="shared" si="64"/>
        <v>249761.9728602363</v>
      </c>
      <c r="BX22" s="1">
        <f t="shared" si="64"/>
        <v>257254.83204604339</v>
      </c>
      <c r="BY22" s="1">
        <f t="shared" si="64"/>
        <v>264972.47700742469</v>
      </c>
      <c r="BZ22" s="1">
        <f t="shared" si="64"/>
        <v>272921.65131764743</v>
      </c>
      <c r="CA22" s="1">
        <f t="shared" si="64"/>
        <v>281109.30085717683</v>
      </c>
      <c r="CB22" s="1">
        <f t="shared" si="64"/>
        <v>289542.57988289214</v>
      </c>
      <c r="CC22" s="1">
        <f t="shared" si="64"/>
        <v>298228.85727937892</v>
      </c>
      <c r="CD22" s="1">
        <f t="shared" ref="CD22:CG22" si="65">+CC22*(1+$S27)</f>
        <v>307175.72299776028</v>
      </c>
      <c r="CE22" s="1">
        <f t="shared" si="65"/>
        <v>316390.99468769308</v>
      </c>
      <c r="CF22" s="1">
        <f t="shared" si="65"/>
        <v>325882.72452832386</v>
      </c>
      <c r="CG22" s="1">
        <f t="shared" si="65"/>
        <v>335659.20626417361</v>
      </c>
    </row>
    <row r="23" spans="2:85" s="8" customFormat="1" x14ac:dyDescent="0.25">
      <c r="B23" s="8" t="s">
        <v>27</v>
      </c>
      <c r="E23" s="8">
        <f>+E22/E24</f>
        <v>0.93026395228381042</v>
      </c>
      <c r="F23" s="8">
        <f>+F22/F24</f>
        <v>1.1946914648127493</v>
      </c>
      <c r="G23" s="8">
        <f t="shared" ref="G23:P23" si="66">+G22/G24</f>
        <v>1.2818506027331871</v>
      </c>
      <c r="H23" s="8">
        <f t="shared" si="66"/>
        <v>1.3467543346796709</v>
      </c>
      <c r="I23" s="8">
        <f t="shared" si="66"/>
        <v>1.4622209851034571</v>
      </c>
      <c r="J23" s="8">
        <f t="shared" si="66"/>
        <v>1.5782368073433473</v>
      </c>
      <c r="K23" s="8">
        <f t="shared" si="66"/>
        <v>1.6947436992580625</v>
      </c>
      <c r="L23" s="8">
        <f t="shared" si="66"/>
        <v>1.8116901013112907</v>
      </c>
      <c r="M23" s="8">
        <f t="shared" si="66"/>
        <v>1.9290298291057573</v>
      </c>
      <c r="N23" s="8">
        <f t="shared" si="66"/>
        <v>2.0467211518619468</v>
      </c>
      <c r="O23" s="8">
        <f t="shared" si="66"/>
        <v>2.1647260554528711</v>
      </c>
      <c r="P23" s="8">
        <f t="shared" si="66"/>
        <v>2.2830096459589413</v>
      </c>
    </row>
    <row r="24" spans="2:85" s="1" customFormat="1" x14ac:dyDescent="0.25">
      <c r="B24" s="1" t="s">
        <v>26</v>
      </c>
      <c r="E24" s="1">
        <v>19125.919000000002</v>
      </c>
      <c r="F24" s="1">
        <v>19125.919000000002</v>
      </c>
      <c r="G24" s="1">
        <v>19125.919000000002</v>
      </c>
      <c r="H24" s="1">
        <v>19125.919000000002</v>
      </c>
      <c r="I24" s="1">
        <v>19125.919000000002</v>
      </c>
      <c r="J24" s="1">
        <v>19125.919000000002</v>
      </c>
      <c r="K24" s="1">
        <v>19125.919000000002</v>
      </c>
      <c r="L24" s="1">
        <v>19125.919000000002</v>
      </c>
      <c r="M24" s="1">
        <v>19125.919000000002</v>
      </c>
      <c r="N24" s="1">
        <v>19125.919000000002</v>
      </c>
      <c r="O24" s="1">
        <v>19125.919000000002</v>
      </c>
      <c r="P24" s="1">
        <v>19125.919000000002</v>
      </c>
    </row>
    <row r="25" spans="2:85" s="1" customFormat="1" x14ac:dyDescent="0.25">
      <c r="D25" s="5"/>
      <c r="E25" s="5"/>
    </row>
    <row r="26" spans="2:85" s="3" customFormat="1" x14ac:dyDescent="0.25">
      <c r="B26" s="3" t="s">
        <v>18</v>
      </c>
      <c r="D26" s="3">
        <f>+D10/D7</f>
        <v>0.16413306984246301</v>
      </c>
      <c r="E26" s="3">
        <f>+E10/E7</f>
        <v>0.19114078715566371</v>
      </c>
      <c r="F26" s="3">
        <f>+F10/F7</f>
        <v>0.20284292821606253</v>
      </c>
      <c r="G26" s="3">
        <f t="shared" ref="G26:P26" si="67">+G10/G7</f>
        <v>0.20269687162891045</v>
      </c>
      <c r="H26" s="3">
        <f t="shared" si="67"/>
        <v>0.20259740259740261</v>
      </c>
      <c r="I26" s="3">
        <f t="shared" si="67"/>
        <v>0.20243902439024392</v>
      </c>
      <c r="J26" s="3">
        <f t="shared" si="67"/>
        <v>0.20229885057471264</v>
      </c>
      <c r="K26" s="3">
        <f t="shared" si="67"/>
        <v>0.20217391304347826</v>
      </c>
      <c r="L26" s="3">
        <f t="shared" si="67"/>
        <v>0.2020618556701031</v>
      </c>
      <c r="M26" s="3">
        <f t="shared" si="67"/>
        <v>0.20196078431372549</v>
      </c>
      <c r="N26" s="3">
        <f t="shared" si="67"/>
        <v>0.20186915887850468</v>
      </c>
      <c r="O26" s="3">
        <f t="shared" si="67"/>
        <v>0.20178571428571429</v>
      </c>
      <c r="P26" s="3">
        <f t="shared" si="67"/>
        <v>0.20170940170940171</v>
      </c>
      <c r="R26" s="3" t="s">
        <v>20</v>
      </c>
      <c r="S26" s="3">
        <v>0.1</v>
      </c>
    </row>
    <row r="27" spans="2:85" s="3" customFormat="1" x14ac:dyDescent="0.25">
      <c r="B27" s="3" t="s">
        <v>19</v>
      </c>
      <c r="D27" s="3">
        <f t="shared" ref="D27:P27" si="68">+D15/D7</f>
        <v>4.9633149472617419E-2</v>
      </c>
      <c r="E27" s="3">
        <f t="shared" si="68"/>
        <v>7.8878321675163204E-2</v>
      </c>
      <c r="F27" s="3">
        <f t="shared" si="68"/>
        <v>9.5652936403695793E-2</v>
      </c>
      <c r="G27" s="3">
        <f t="shared" si="68"/>
        <v>9.7377276010079047E-2</v>
      </c>
      <c r="H27" s="3">
        <f t="shared" si="68"/>
        <v>9.8608297883897134E-2</v>
      </c>
      <c r="I27" s="3">
        <f t="shared" si="68"/>
        <v>0.10050182216510818</v>
      </c>
      <c r="J27" s="3">
        <f t="shared" si="68"/>
        <v>0.10222016516871091</v>
      </c>
      <c r="K27" s="3">
        <f t="shared" si="68"/>
        <v>0.10378873947120271</v>
      </c>
      <c r="L27" s="3">
        <f t="shared" si="68"/>
        <v>0.10522809796293678</v>
      </c>
      <c r="M27" s="3">
        <f t="shared" si="68"/>
        <v>0.10655506283697889</v>
      </c>
      <c r="N27" s="3">
        <f t="shared" si="68"/>
        <v>0.10778355061615179</v>
      </c>
      <c r="O27" s="3">
        <f t="shared" si="68"/>
        <v>0.10892518521177984</v>
      </c>
      <c r="P27" s="3">
        <f t="shared" si="68"/>
        <v>0.10998976036736369</v>
      </c>
      <c r="R27" s="3" t="s">
        <v>21</v>
      </c>
      <c r="S27" s="3">
        <v>0.03</v>
      </c>
    </row>
    <row r="28" spans="2:85" s="1" customFormat="1" x14ac:dyDescent="0.25">
      <c r="B28" s="1" t="s">
        <v>28</v>
      </c>
      <c r="E28" s="3">
        <f>+E7/D7 -1</f>
        <v>7.2285989696091679E-2</v>
      </c>
      <c r="F28" s="3">
        <f>+F7/E7 -1</f>
        <v>3.7047686123724333E-2</v>
      </c>
      <c r="G28" s="3">
        <f t="shared" ref="G28:P28" si="69">+G7/F7 -1</f>
        <v>5.415778251599157E-2</v>
      </c>
      <c r="H28" s="3">
        <f t="shared" si="69"/>
        <v>3.8295577130528669E-2</v>
      </c>
      <c r="I28" s="3">
        <f t="shared" si="69"/>
        <v>6.4935064935064846E-2</v>
      </c>
      <c r="J28" s="3">
        <f t="shared" si="69"/>
        <v>6.0975609756097615E-2</v>
      </c>
      <c r="K28" s="3">
        <f t="shared" si="69"/>
        <v>5.7471264367816133E-2</v>
      </c>
      <c r="L28" s="3">
        <f t="shared" si="69"/>
        <v>5.4347826086956541E-2</v>
      </c>
      <c r="M28" s="3">
        <f t="shared" si="69"/>
        <v>5.1546391752577359E-2</v>
      </c>
      <c r="N28" s="3">
        <f t="shared" si="69"/>
        <v>4.9019607843137303E-2</v>
      </c>
      <c r="O28" s="3">
        <f t="shared" si="69"/>
        <v>4.6728971962616717E-2</v>
      </c>
      <c r="P28" s="3">
        <f t="shared" si="69"/>
        <v>4.4642857142857206E-2</v>
      </c>
      <c r="R28" s="1" t="s">
        <v>22</v>
      </c>
      <c r="S28" s="1">
        <f>NPV(S26,F22:CG22)</f>
        <v>422166.73654363776</v>
      </c>
    </row>
    <row r="29" spans="2:85" s="1" customFormat="1" x14ac:dyDescent="0.25">
      <c r="R29" s="1" t="s">
        <v>23</v>
      </c>
      <c r="S29" s="1">
        <f>21434.8-21120</f>
        <v>314.79999999999927</v>
      </c>
    </row>
    <row r="30" spans="2:85" s="3" customFormat="1" x14ac:dyDescent="0.25">
      <c r="B30" s="3" t="s">
        <v>4</v>
      </c>
      <c r="D30" s="4">
        <f t="shared" ref="D30:F31" si="70">+D11/D$7</f>
        <v>5.4927959613935207E-2</v>
      </c>
      <c r="E30" s="4">
        <f t="shared" si="70"/>
        <v>5.865527266280357E-2</v>
      </c>
      <c r="F30" s="4">
        <f t="shared" si="70"/>
        <v>5.7691057910447763E-2</v>
      </c>
      <c r="G30" s="4">
        <f t="shared" ref="G30:P30" si="71">+G11/G$7</f>
        <v>5.6703090764462491E-2</v>
      </c>
      <c r="H30" s="4">
        <f t="shared" si="71"/>
        <v>5.6005961856362606E-2</v>
      </c>
      <c r="I30" s="4">
        <f t="shared" si="71"/>
        <v>5.486762929830645E-2</v>
      </c>
      <c r="J30" s="4">
        <f t="shared" si="71"/>
        <v>5.3816525288760353E-2</v>
      </c>
      <c r="K30" s="4">
        <f t="shared" si="71"/>
        <v>5.2841588236427747E-2</v>
      </c>
      <c r="L30" s="4">
        <f t="shared" si="71"/>
        <v>5.1933657167073315E-2</v>
      </c>
      <c r="M30" s="4">
        <f t="shared" si="71"/>
        <v>5.1085067997676703E-2</v>
      </c>
      <c r="N30" s="4">
        <f t="shared" si="71"/>
        <v>5.0289350427619436E-2</v>
      </c>
      <c r="O30" s="4">
        <f t="shared" si="71"/>
        <v>4.9540996998637003E-2</v>
      </c>
      <c r="P30" s="4">
        <f t="shared" si="71"/>
        <v>4.8835284790679216E-2</v>
      </c>
      <c r="R30" s="3" t="s">
        <v>24</v>
      </c>
      <c r="S30" s="6">
        <f>+S28+S29</f>
        <v>422481.53654363775</v>
      </c>
    </row>
    <row r="31" spans="2:85" s="3" customFormat="1" x14ac:dyDescent="0.25">
      <c r="B31" s="3" t="s">
        <v>5</v>
      </c>
      <c r="D31" s="4">
        <f t="shared" si="70"/>
        <v>4.2783226923165593E-2</v>
      </c>
      <c r="E31" s="4">
        <f t="shared" si="70"/>
        <v>3.8248252717639111E-2</v>
      </c>
      <c r="F31" s="4">
        <f t="shared" si="70"/>
        <v>3.5000000000000003E-2</v>
      </c>
      <c r="G31" s="4">
        <f t="shared" ref="G31:P31" si="72">+G12/G$7</f>
        <v>3.5000000000000003E-2</v>
      </c>
      <c r="H31" s="4">
        <f t="shared" si="72"/>
        <v>3.5000000000000003E-2</v>
      </c>
      <c r="I31" s="4">
        <f t="shared" si="72"/>
        <v>3.5000000000000003E-2</v>
      </c>
      <c r="J31" s="4">
        <f t="shared" si="72"/>
        <v>3.5000000000000003E-2</v>
      </c>
      <c r="K31" s="4">
        <f t="shared" si="72"/>
        <v>3.5000000000000003E-2</v>
      </c>
      <c r="L31" s="4">
        <f t="shared" si="72"/>
        <v>3.5000000000000003E-2</v>
      </c>
      <c r="M31" s="4">
        <f t="shared" si="72"/>
        <v>3.5000000000000003E-2</v>
      </c>
      <c r="N31" s="4">
        <f t="shared" si="72"/>
        <v>3.5000000000000003E-2</v>
      </c>
      <c r="O31" s="4">
        <f t="shared" si="72"/>
        <v>3.5000000000000003E-2</v>
      </c>
      <c r="P31" s="4">
        <f t="shared" si="72"/>
        <v>3.5000000000000003E-2</v>
      </c>
      <c r="R31" s="3" t="s">
        <v>25</v>
      </c>
      <c r="S31" s="7">
        <f>+S30/P24</f>
        <v>22.089476408617944</v>
      </c>
    </row>
    <row r="32" spans="2:85" s="1" customFormat="1" x14ac:dyDescent="0.25">
      <c r="S32" s="1">
        <v>16.420000000000002</v>
      </c>
    </row>
    <row r="33" spans="18:19" s="1" customFormat="1" x14ac:dyDescent="0.25">
      <c r="R33" s="1" t="s">
        <v>29</v>
      </c>
      <c r="S33" s="3">
        <f>+S31/S32 -1</f>
        <v>0.34527870941643979</v>
      </c>
    </row>
    <row r="34" spans="18:19" s="1" customFormat="1" x14ac:dyDescent="0.25"/>
    <row r="35" spans="18:19" s="1" customFormat="1" x14ac:dyDescent="0.25">
      <c r="R35" s="1" t="s">
        <v>30</v>
      </c>
      <c r="S35" s="1">
        <f>+S32*P24</f>
        <v>314047.58998000005</v>
      </c>
    </row>
    <row r="36" spans="18:19" s="1" customFormat="1" x14ac:dyDescent="0.25">
      <c r="R36" s="1" t="s">
        <v>31</v>
      </c>
      <c r="S36" s="9">
        <f>+S35/F22</f>
        <v>13.744134350682415</v>
      </c>
    </row>
    <row r="37" spans="18:19" s="1" customFormat="1" x14ac:dyDescent="0.25">
      <c r="R37" s="1" t="s">
        <v>32</v>
      </c>
      <c r="S37" s="4">
        <f>1/S36</f>
        <v>7.2758310889936006E-2</v>
      </c>
    </row>
    <row r="38" spans="18:19" s="1" customFormat="1" x14ac:dyDescent="0.25"/>
    <row r="39" spans="18:19" s="1" customFormat="1" x14ac:dyDescent="0.25"/>
    <row r="40" spans="18:19" s="1" customFormat="1" x14ac:dyDescent="0.25"/>
    <row r="41" spans="18:19" s="1" customFormat="1" x14ac:dyDescent="0.25"/>
    <row r="42" spans="18:19" s="1" customFormat="1" x14ac:dyDescent="0.25"/>
    <row r="43" spans="18:19" s="1" customFormat="1" x14ac:dyDescent="0.25"/>
    <row r="44" spans="18:19" s="1" customFormat="1" x14ac:dyDescent="0.25"/>
    <row r="45" spans="18:19" s="1" customFormat="1" x14ac:dyDescent="0.25"/>
    <row r="46" spans="18:19" s="1" customFormat="1" x14ac:dyDescent="0.25"/>
    <row r="47" spans="18:19" s="1" customFormat="1" x14ac:dyDescent="0.25"/>
    <row r="48" spans="18:19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2025-11-28T16:41:13Z</dcterms:created>
  <dcterms:modified xsi:type="dcterms:W3CDTF">2026-02-17T12:34:31Z</dcterms:modified>
</cp:coreProperties>
</file>