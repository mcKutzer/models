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6103CC02-4876-4D08-A399-2C227D9A374F}" xr6:coauthVersionLast="47" xr6:coauthVersionMax="47" xr10:uidLastSave="{00000000-0000-0000-0000-000000000000}"/>
  <bookViews>
    <workbookView xWindow="-120" yWindow="-120" windowWidth="29040" windowHeight="15840" xr2:uid="{06A4F153-1864-4374-940B-86E970B5EBF6}"/>
  </bookViews>
  <sheets>
    <sheet name="Sheet1" sheetId="1" r:id="rId1"/>
  </sheets>
  <definedNames>
    <definedName name="TR">Sheet1!$S$78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0" i="1" l="1"/>
  <c r="O70" i="1"/>
  <c r="N70" i="1"/>
  <c r="M70" i="1"/>
  <c r="L70" i="1"/>
  <c r="K70" i="1"/>
  <c r="J70" i="1"/>
  <c r="I70" i="1"/>
  <c r="O68" i="1"/>
  <c r="P84" i="1"/>
  <c r="O84" i="1"/>
  <c r="N84" i="1"/>
  <c r="M84" i="1"/>
  <c r="I91" i="1"/>
  <c r="I62" i="1"/>
  <c r="I61" i="1"/>
  <c r="I60" i="1"/>
  <c r="I52" i="1"/>
  <c r="I51" i="1"/>
  <c r="I50" i="1"/>
  <c r="J46" i="1"/>
  <c r="K46" i="1" s="1"/>
  <c r="L46" i="1" s="1"/>
  <c r="M46" i="1" s="1"/>
  <c r="N46" i="1" s="1"/>
  <c r="O46" i="1" s="1"/>
  <c r="P46" i="1" s="1"/>
  <c r="I46" i="1"/>
  <c r="I45" i="1"/>
  <c r="J45" i="1"/>
  <c r="K45" i="1"/>
  <c r="L45" i="1"/>
  <c r="M45" i="1"/>
  <c r="N45" i="1"/>
  <c r="O45" i="1"/>
  <c r="P45" i="1"/>
  <c r="I41" i="1"/>
  <c r="I40" i="1"/>
  <c r="L36" i="1"/>
  <c r="M36" i="1"/>
  <c r="N36" i="1"/>
  <c r="O36" i="1"/>
  <c r="P36" i="1"/>
  <c r="K36" i="1"/>
  <c r="I36" i="1"/>
  <c r="J36" i="1"/>
  <c r="I30" i="1"/>
  <c r="J41" i="1"/>
  <c r="K41" i="1"/>
  <c r="L41" i="1"/>
  <c r="M41" i="1"/>
  <c r="N41" i="1"/>
  <c r="O41" i="1"/>
  <c r="P41" i="1"/>
  <c r="J40" i="1"/>
  <c r="K40" i="1"/>
  <c r="L40" i="1"/>
  <c r="M40" i="1"/>
  <c r="N40" i="1"/>
  <c r="O40" i="1"/>
  <c r="P40" i="1"/>
  <c r="I35" i="1"/>
  <c r="J35" i="1"/>
  <c r="K35" i="1"/>
  <c r="L35" i="1"/>
  <c r="M35" i="1"/>
  <c r="N35" i="1"/>
  <c r="O35" i="1"/>
  <c r="P35" i="1"/>
  <c r="H100" i="1"/>
  <c r="H22" i="1"/>
  <c r="H51" i="1"/>
  <c r="H50" i="1"/>
  <c r="H54" i="1"/>
  <c r="H53" i="1"/>
  <c r="H52" i="1"/>
  <c r="J26" i="1"/>
  <c r="K26" i="1"/>
  <c r="L26" i="1"/>
  <c r="M26" i="1"/>
  <c r="N26" i="1"/>
  <c r="O26" i="1"/>
  <c r="P26" i="1"/>
  <c r="I26" i="1"/>
  <c r="J22" i="1"/>
  <c r="K22" i="1"/>
  <c r="L22" i="1"/>
  <c r="M22" i="1"/>
  <c r="N22" i="1"/>
  <c r="O22" i="1"/>
  <c r="P22" i="1"/>
  <c r="I22" i="1"/>
  <c r="H16" i="1"/>
  <c r="H26" i="1"/>
  <c r="H23" i="1"/>
  <c r="I19" i="1"/>
  <c r="J19" i="1" s="1"/>
  <c r="K19" i="1" s="1"/>
  <c r="L19" i="1" s="1"/>
  <c r="M19" i="1" s="1"/>
  <c r="N19" i="1" s="1"/>
  <c r="O19" i="1" s="1"/>
  <c r="P19" i="1" s="1"/>
  <c r="I17" i="1"/>
  <c r="J17" i="1" s="1"/>
  <c r="K17" i="1" s="1"/>
  <c r="L17" i="1" s="1"/>
  <c r="M17" i="1" s="1"/>
  <c r="N17" i="1" s="1"/>
  <c r="O17" i="1" s="1"/>
  <c r="P17" i="1" s="1"/>
  <c r="I20" i="1"/>
  <c r="J20" i="1" s="1"/>
  <c r="K20" i="1" s="1"/>
  <c r="H10" i="1"/>
  <c r="I14" i="1"/>
  <c r="J14" i="1" s="1"/>
  <c r="K14" i="1" s="1"/>
  <c r="L14" i="1" s="1"/>
  <c r="M14" i="1" s="1"/>
  <c r="N14" i="1" s="1"/>
  <c r="O14" i="1" s="1"/>
  <c r="P14" i="1" s="1"/>
  <c r="I13" i="1"/>
  <c r="J13" i="1" s="1"/>
  <c r="K13" i="1" s="1"/>
  <c r="L13" i="1" s="1"/>
  <c r="M13" i="1" s="1"/>
  <c r="N13" i="1" s="1"/>
  <c r="O13" i="1" s="1"/>
  <c r="P13" i="1" s="1"/>
  <c r="I12" i="1"/>
  <c r="J12" i="1" s="1"/>
  <c r="K12" i="1" s="1"/>
  <c r="I11" i="1"/>
  <c r="J11" i="1" s="1"/>
  <c r="I8" i="1"/>
  <c r="J8" i="1" s="1"/>
  <c r="K8" i="1" s="1"/>
  <c r="L8" i="1" s="1"/>
  <c r="M8" i="1" s="1"/>
  <c r="N8" i="1" s="1"/>
  <c r="O8" i="1" s="1"/>
  <c r="P8" i="1" s="1"/>
  <c r="I7" i="1"/>
  <c r="J7" i="1" s="1"/>
  <c r="K7" i="1" s="1"/>
  <c r="L7" i="1" s="1"/>
  <c r="M7" i="1" s="1"/>
  <c r="N7" i="1" s="1"/>
  <c r="O7" i="1" s="1"/>
  <c r="P7" i="1" s="1"/>
  <c r="H4" i="1"/>
  <c r="I6" i="1"/>
  <c r="J6" i="1" s="1"/>
  <c r="K6" i="1" s="1"/>
  <c r="L6" i="1" s="1"/>
  <c r="M6" i="1" s="1"/>
  <c r="N6" i="1" s="1"/>
  <c r="O6" i="1" s="1"/>
  <c r="P6" i="1" s="1"/>
  <c r="G84" i="1"/>
  <c r="H84" i="1"/>
  <c r="H85" i="1" s="1"/>
  <c r="H91" i="1"/>
  <c r="H92" i="1" s="1"/>
  <c r="I72" i="1"/>
  <c r="J72" i="1" s="1"/>
  <c r="K72" i="1" s="1"/>
  <c r="L72" i="1" s="1"/>
  <c r="M72" i="1" s="1"/>
  <c r="N72" i="1" s="1"/>
  <c r="O72" i="1" s="1"/>
  <c r="P72" i="1" s="1"/>
  <c r="I67" i="1"/>
  <c r="J67" i="1" s="1"/>
  <c r="K67" i="1" s="1"/>
  <c r="L67" i="1" s="1"/>
  <c r="M67" i="1" s="1"/>
  <c r="N67" i="1" s="1"/>
  <c r="O67" i="1" s="1"/>
  <c r="P67" i="1" s="1"/>
  <c r="I32" i="1"/>
  <c r="J32" i="1" s="1"/>
  <c r="K32" i="1" s="1"/>
  <c r="L32" i="1" s="1"/>
  <c r="M32" i="1" s="1"/>
  <c r="N32" i="1" s="1"/>
  <c r="O32" i="1" s="1"/>
  <c r="P32" i="1" s="1"/>
  <c r="I42" i="1"/>
  <c r="J42" i="1" s="1"/>
  <c r="K42" i="1" s="1"/>
  <c r="L42" i="1" s="1"/>
  <c r="M42" i="1" s="1"/>
  <c r="N42" i="1" s="1"/>
  <c r="O42" i="1" s="1"/>
  <c r="P42" i="1" s="1"/>
  <c r="I64" i="1"/>
  <c r="J64" i="1" s="1"/>
  <c r="K64" i="1" s="1"/>
  <c r="L64" i="1" s="1"/>
  <c r="M64" i="1" s="1"/>
  <c r="N64" i="1" s="1"/>
  <c r="O64" i="1" s="1"/>
  <c r="P64" i="1" s="1"/>
  <c r="I63" i="1"/>
  <c r="J63" i="1" s="1"/>
  <c r="K63" i="1" s="1"/>
  <c r="L63" i="1" s="1"/>
  <c r="M63" i="1" s="1"/>
  <c r="N63" i="1" s="1"/>
  <c r="O63" i="1" s="1"/>
  <c r="P63" i="1" s="1"/>
  <c r="I31" i="1"/>
  <c r="J31" i="1" s="1"/>
  <c r="K31" i="1" s="1"/>
  <c r="L31" i="1" s="1"/>
  <c r="M31" i="1" s="1"/>
  <c r="N31" i="1" s="1"/>
  <c r="O31" i="1" s="1"/>
  <c r="P31" i="1" s="1"/>
  <c r="I48" i="1"/>
  <c r="J48" i="1" s="1"/>
  <c r="K48" i="1" s="1"/>
  <c r="L48" i="1" s="1"/>
  <c r="M48" i="1" s="1"/>
  <c r="N48" i="1" s="1"/>
  <c r="O48" i="1" s="1"/>
  <c r="P48" i="1" s="1"/>
  <c r="I43" i="1"/>
  <c r="J43" i="1" s="1"/>
  <c r="K43" i="1" s="1"/>
  <c r="L43" i="1" s="1"/>
  <c r="M43" i="1" s="1"/>
  <c r="N43" i="1" s="1"/>
  <c r="O43" i="1" s="1"/>
  <c r="P43" i="1" s="1"/>
  <c r="I38" i="1"/>
  <c r="J38" i="1" s="1"/>
  <c r="K38" i="1" s="1"/>
  <c r="L38" i="1" s="1"/>
  <c r="M38" i="1" s="1"/>
  <c r="N38" i="1" s="1"/>
  <c r="O38" i="1" s="1"/>
  <c r="P38" i="1" s="1"/>
  <c r="G81" i="1"/>
  <c r="G102" i="1"/>
  <c r="G16" i="1"/>
  <c r="F16" i="1"/>
  <c r="F10" i="1"/>
  <c r="F4" i="1"/>
  <c r="G4" i="1"/>
  <c r="G10" i="1"/>
  <c r="I5" i="1"/>
  <c r="I4" i="1" s="1"/>
  <c r="F25" i="1"/>
  <c r="F24" i="1"/>
  <c r="F23" i="1"/>
  <c r="G25" i="1"/>
  <c r="G24" i="1"/>
  <c r="G23" i="1"/>
  <c r="G51" i="1"/>
  <c r="G52" i="1"/>
  <c r="G53" i="1"/>
  <c r="G54" i="1"/>
  <c r="F54" i="1"/>
  <c r="F53" i="1"/>
  <c r="F52" i="1"/>
  <c r="F51" i="1"/>
  <c r="F100" i="1" s="1"/>
  <c r="G85" i="1"/>
  <c r="F85" i="1"/>
  <c r="F91" i="1"/>
  <c r="F92" i="1" s="1"/>
  <c r="G91" i="1"/>
  <c r="G92" i="1" s="1"/>
  <c r="G59" i="1"/>
  <c r="G66" i="1" s="1"/>
  <c r="G69" i="1" s="1"/>
  <c r="G71" i="1" s="1"/>
  <c r="G73" i="1" s="1"/>
  <c r="G75" i="1" s="1"/>
  <c r="F59" i="1"/>
  <c r="F66" i="1" s="1"/>
  <c r="F69" i="1" s="1"/>
  <c r="F71" i="1" s="1"/>
  <c r="F73" i="1" s="1"/>
  <c r="F75" i="1" s="1"/>
  <c r="G2" i="1"/>
  <c r="H2" i="1" s="1"/>
  <c r="I2" i="1" s="1"/>
  <c r="J2" i="1" s="1"/>
  <c r="K2" i="1" s="1"/>
  <c r="L2" i="1" s="1"/>
  <c r="M2" i="1" s="1"/>
  <c r="N2" i="1" s="1"/>
  <c r="O2" i="1" s="1"/>
  <c r="P2" i="1" s="1"/>
  <c r="I66" i="1" l="1"/>
  <c r="J10" i="1"/>
  <c r="L20" i="1"/>
  <c r="P54" i="1"/>
  <c r="I10" i="1"/>
  <c r="N54" i="1"/>
  <c r="G50" i="1"/>
  <c r="L12" i="1"/>
  <c r="M12" i="1" s="1"/>
  <c r="N12" i="1" s="1"/>
  <c r="O12" i="1" s="1"/>
  <c r="P12" i="1" s="1"/>
  <c r="J4" i="1"/>
  <c r="G100" i="1"/>
  <c r="O54" i="1"/>
  <c r="L54" i="1"/>
  <c r="K54" i="1"/>
  <c r="J54" i="1"/>
  <c r="I54" i="1"/>
  <c r="F50" i="1"/>
  <c r="M54" i="1"/>
  <c r="F22" i="1"/>
  <c r="S80" i="1"/>
  <c r="G22" i="1"/>
  <c r="F97" i="1"/>
  <c r="G97" i="1"/>
  <c r="H24" i="1"/>
  <c r="H25" i="1"/>
  <c r="G78" i="1"/>
  <c r="F79" i="1"/>
  <c r="K11" i="1"/>
  <c r="K10" i="1" s="1"/>
  <c r="G79" i="1"/>
  <c r="F77" i="1"/>
  <c r="G77" i="1"/>
  <c r="F78" i="1"/>
  <c r="I37" i="1"/>
  <c r="I47" i="1"/>
  <c r="J25" i="1"/>
  <c r="J5" i="1"/>
  <c r="I25" i="1"/>
  <c r="I18" i="1"/>
  <c r="I16" i="1" s="1"/>
  <c r="M20" i="1" l="1"/>
  <c r="I53" i="1"/>
  <c r="G103" i="1"/>
  <c r="J37" i="1"/>
  <c r="J47" i="1"/>
  <c r="J53" i="1" s="1"/>
  <c r="J18" i="1"/>
  <c r="J16" i="1" s="1"/>
  <c r="I24" i="1"/>
  <c r="K25" i="1"/>
  <c r="L11" i="1"/>
  <c r="L10" i="1" s="1"/>
  <c r="K5" i="1"/>
  <c r="K4" i="1" s="1"/>
  <c r="I23" i="1"/>
  <c r="N20" i="1" l="1"/>
  <c r="H81" i="1"/>
  <c r="K37" i="1"/>
  <c r="K47" i="1"/>
  <c r="L5" i="1"/>
  <c r="L4" i="1" s="1"/>
  <c r="L25" i="1"/>
  <c r="J23" i="1"/>
  <c r="K18" i="1"/>
  <c r="K16" i="1" s="1"/>
  <c r="J24" i="1"/>
  <c r="M11" i="1"/>
  <c r="M10" i="1" s="1"/>
  <c r="K53" i="1" l="1"/>
  <c r="O20" i="1"/>
  <c r="I57" i="1"/>
  <c r="H102" i="1"/>
  <c r="L37" i="1"/>
  <c r="L47" i="1"/>
  <c r="L53" i="1" s="1"/>
  <c r="L16" i="1"/>
  <c r="K23" i="1"/>
  <c r="N11" i="1"/>
  <c r="N10" i="1" s="1"/>
  <c r="K24" i="1"/>
  <c r="L18" i="1"/>
  <c r="M25" i="1"/>
  <c r="M5" i="1"/>
  <c r="M4" i="1" s="1"/>
  <c r="P20" i="1" l="1"/>
  <c r="I81" i="1"/>
  <c r="I99" i="1" s="1"/>
  <c r="J57" i="1"/>
  <c r="J30" i="1"/>
  <c r="M37" i="1"/>
  <c r="M47" i="1"/>
  <c r="N25" i="1"/>
  <c r="M18" i="1"/>
  <c r="M16" i="1" s="1"/>
  <c r="L24" i="1"/>
  <c r="N5" i="1"/>
  <c r="N4" i="1" s="1"/>
  <c r="O11" i="1"/>
  <c r="O10" i="1" s="1"/>
  <c r="L23" i="1"/>
  <c r="M53" i="1" l="1"/>
  <c r="K57" i="1"/>
  <c r="K30" i="1"/>
  <c r="J81" i="1"/>
  <c r="J99" i="1" s="1"/>
  <c r="I102" i="1"/>
  <c r="N37" i="1"/>
  <c r="N47" i="1"/>
  <c r="N53" i="1" s="1"/>
  <c r="P11" i="1"/>
  <c r="P10" i="1" s="1"/>
  <c r="O5" i="1"/>
  <c r="O4" i="1" s="1"/>
  <c r="M23" i="1"/>
  <c r="N18" i="1"/>
  <c r="N16" i="1" s="1"/>
  <c r="M24" i="1"/>
  <c r="P25" i="1"/>
  <c r="O25" i="1"/>
  <c r="J102" i="1" l="1"/>
  <c r="K81" i="1"/>
  <c r="K99" i="1" s="1"/>
  <c r="L57" i="1"/>
  <c r="L30" i="1"/>
  <c r="O37" i="1"/>
  <c r="O47" i="1"/>
  <c r="O53" i="1" s="1"/>
  <c r="N23" i="1"/>
  <c r="O18" i="1"/>
  <c r="O16" i="1" s="1"/>
  <c r="N24" i="1"/>
  <c r="P5" i="1"/>
  <c r="P4" i="1" s="1"/>
  <c r="M57" i="1" l="1"/>
  <c r="M30" i="1"/>
  <c r="L81" i="1"/>
  <c r="L99" i="1" s="1"/>
  <c r="K102" i="1"/>
  <c r="P37" i="1"/>
  <c r="P47" i="1"/>
  <c r="P53" i="1" s="1"/>
  <c r="P18" i="1"/>
  <c r="P24" i="1" s="1"/>
  <c r="O24" i="1"/>
  <c r="P16" i="1"/>
  <c r="O23" i="1"/>
  <c r="L102" i="1" l="1"/>
  <c r="N57" i="1"/>
  <c r="N30" i="1"/>
  <c r="M81" i="1"/>
  <c r="M99" i="1" s="1"/>
  <c r="P23" i="1"/>
  <c r="P57" i="1" l="1"/>
  <c r="P30" i="1"/>
  <c r="M102" i="1"/>
  <c r="N81" i="1"/>
  <c r="N99" i="1" s="1"/>
  <c r="O57" i="1"/>
  <c r="O30" i="1"/>
  <c r="N102" i="1" l="1"/>
  <c r="P81" i="1"/>
  <c r="O81" i="1"/>
  <c r="O99" i="1" s="1"/>
  <c r="O102" i="1" l="1"/>
  <c r="P99" i="1"/>
  <c r="P102" i="1" l="1"/>
  <c r="H59" i="1" l="1"/>
  <c r="I100" i="1"/>
  <c r="J100" i="1" s="1"/>
  <c r="H103" i="1"/>
  <c r="I103" i="1" l="1"/>
  <c r="H66" i="1"/>
  <c r="H77" i="1"/>
  <c r="K100" i="1"/>
  <c r="J51" i="1"/>
  <c r="J103" i="1"/>
  <c r="I29" i="1"/>
  <c r="H78" i="1" l="1"/>
  <c r="H69" i="1"/>
  <c r="H71" i="1" s="1"/>
  <c r="I58" i="1"/>
  <c r="I59" i="1" s="1"/>
  <c r="J61" i="1"/>
  <c r="J29" i="1"/>
  <c r="J58" i="1" s="1"/>
  <c r="J59" i="1" s="1"/>
  <c r="J62" i="1"/>
  <c r="K51" i="1"/>
  <c r="K103" i="1"/>
  <c r="L100" i="1"/>
  <c r="H79" i="1" l="1"/>
  <c r="H73" i="1"/>
  <c r="H75" i="1" s="1"/>
  <c r="J77" i="1"/>
  <c r="I77" i="1"/>
  <c r="K62" i="1"/>
  <c r="K61" i="1"/>
  <c r="K29" i="1"/>
  <c r="K58" i="1" s="1"/>
  <c r="K59" i="1" s="1"/>
  <c r="M100" i="1"/>
  <c r="L103" i="1"/>
  <c r="L51" i="1"/>
  <c r="J52" i="1" l="1"/>
  <c r="J50" i="1" s="1"/>
  <c r="J60" i="1"/>
  <c r="J66" i="1" s="1"/>
  <c r="J78" i="1" s="1"/>
  <c r="L29" i="1"/>
  <c r="L58" i="1" s="1"/>
  <c r="L59" i="1" s="1"/>
  <c r="L61" i="1"/>
  <c r="L62" i="1"/>
  <c r="K77" i="1"/>
  <c r="K52" i="1"/>
  <c r="K50" i="1" s="1"/>
  <c r="M51" i="1"/>
  <c r="M103" i="1"/>
  <c r="N100" i="1"/>
  <c r="M62" i="1" l="1"/>
  <c r="M29" i="1"/>
  <c r="M58" i="1" s="1"/>
  <c r="M59" i="1" s="1"/>
  <c r="M61" i="1"/>
  <c r="K60" i="1"/>
  <c r="K66" i="1" s="1"/>
  <c r="L52" i="1"/>
  <c r="L50" i="1" s="1"/>
  <c r="L77" i="1"/>
  <c r="I78" i="1"/>
  <c r="O100" i="1"/>
  <c r="N51" i="1"/>
  <c r="N103" i="1"/>
  <c r="L60" i="1" l="1"/>
  <c r="L66" i="1" s="1"/>
  <c r="L78" i="1" s="1"/>
  <c r="O51" i="1"/>
  <c r="P100" i="1"/>
  <c r="O103" i="1"/>
  <c r="K78" i="1"/>
  <c r="M77" i="1"/>
  <c r="N61" i="1"/>
  <c r="N29" i="1"/>
  <c r="N58" i="1" s="1"/>
  <c r="N59" i="1" s="1"/>
  <c r="N62" i="1"/>
  <c r="M52" i="1"/>
  <c r="M50" i="1" s="1"/>
  <c r="O61" i="1" l="1"/>
  <c r="O29" i="1"/>
  <c r="O58" i="1" s="1"/>
  <c r="O59" i="1" s="1"/>
  <c r="O62" i="1"/>
  <c r="P103" i="1"/>
  <c r="P51" i="1"/>
  <c r="N77" i="1"/>
  <c r="N52" i="1"/>
  <c r="N50" i="1" s="1"/>
  <c r="M60" i="1"/>
  <c r="M66" i="1" s="1"/>
  <c r="N60" i="1" l="1"/>
  <c r="N66" i="1" s="1"/>
  <c r="O77" i="1"/>
  <c r="M78" i="1"/>
  <c r="P62" i="1"/>
  <c r="P29" i="1"/>
  <c r="P58" i="1" s="1"/>
  <c r="P59" i="1" s="1"/>
  <c r="P61" i="1"/>
  <c r="O52" i="1"/>
  <c r="O50" i="1" s="1"/>
  <c r="N78" i="1" l="1"/>
  <c r="P52" i="1"/>
  <c r="P50" i="1" s="1"/>
  <c r="P77" i="1"/>
  <c r="O60" i="1"/>
  <c r="O66" i="1" s="1"/>
  <c r="O78" i="1" l="1"/>
  <c r="P60" i="1"/>
  <c r="P66" i="1" s="1"/>
  <c r="P78" i="1" l="1"/>
  <c r="K91" i="1"/>
  <c r="L91" i="1" s="1"/>
  <c r="I71" i="1"/>
  <c r="I83" i="1" s="1"/>
  <c r="I85" i="1" s="1"/>
  <c r="J91" i="1"/>
  <c r="J68" i="1"/>
  <c r="J69" i="1" s="1"/>
  <c r="I68" i="1"/>
  <c r="I69" i="1"/>
  <c r="I79" i="1" l="1"/>
  <c r="I73" i="1"/>
  <c r="J71" i="1"/>
  <c r="J83" i="1" s="1"/>
  <c r="J85" i="1" s="1"/>
  <c r="L68" i="1"/>
  <c r="L69" i="1" s="1"/>
  <c r="M91" i="1"/>
  <c r="K68" i="1"/>
  <c r="K69" i="1" s="1"/>
  <c r="J79" i="1" l="1"/>
  <c r="J73" i="1"/>
  <c r="J75" i="1" s="1"/>
  <c r="N91" i="1"/>
  <c r="M68" i="1"/>
  <c r="M69" i="1" s="1"/>
  <c r="L71" i="1"/>
  <c r="L83" i="1" s="1"/>
  <c r="L85" i="1" s="1"/>
  <c r="I75" i="1"/>
  <c r="K71" i="1"/>
  <c r="K83" i="1" s="1"/>
  <c r="K85" i="1" s="1"/>
  <c r="K79" i="1" l="1"/>
  <c r="K73" i="1"/>
  <c r="L79" i="1"/>
  <c r="L73" i="1"/>
  <c r="L75" i="1" s="1"/>
  <c r="N68" i="1"/>
  <c r="N69" i="1" s="1"/>
  <c r="O91" i="1"/>
  <c r="M71" i="1"/>
  <c r="M83" i="1" s="1"/>
  <c r="M85" i="1" s="1"/>
  <c r="N71" i="1" l="1"/>
  <c r="N83" i="1" s="1"/>
  <c r="N85" i="1" s="1"/>
  <c r="M79" i="1"/>
  <c r="M73" i="1"/>
  <c r="M75" i="1" s="1"/>
  <c r="P91" i="1"/>
  <c r="P68" i="1" s="1"/>
  <c r="P69" i="1" s="1"/>
  <c r="O69" i="1"/>
  <c r="K75" i="1"/>
  <c r="N73" i="1" l="1"/>
  <c r="N79" i="1"/>
  <c r="P71" i="1"/>
  <c r="P83" i="1" s="1"/>
  <c r="P85" i="1" s="1"/>
  <c r="O71" i="1"/>
  <c r="O83" i="1" s="1"/>
  <c r="O85" i="1" s="1"/>
  <c r="O79" i="1" l="1"/>
  <c r="O73" i="1"/>
  <c r="O75" i="1" s="1"/>
  <c r="P73" i="1"/>
  <c r="P79" i="1"/>
  <c r="N75" i="1"/>
  <c r="Q73" i="1" l="1"/>
  <c r="P75" i="1"/>
  <c r="R73" i="1" l="1"/>
  <c r="S73" i="1" s="1"/>
  <c r="T73" i="1" s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AE73" i="1" s="1"/>
  <c r="AF73" i="1" s="1"/>
  <c r="AG73" i="1" s="1"/>
  <c r="AH73" i="1" s="1"/>
  <c r="AI73" i="1" s="1"/>
  <c r="AJ73" i="1" s="1"/>
  <c r="AK73" i="1" s="1"/>
  <c r="AL73" i="1" s="1"/>
  <c r="AM73" i="1" s="1"/>
  <c r="AN73" i="1" s="1"/>
  <c r="AO73" i="1" s="1"/>
  <c r="AP73" i="1" s="1"/>
  <c r="AQ73" i="1" s="1"/>
  <c r="AR73" i="1" s="1"/>
  <c r="AS73" i="1" s="1"/>
  <c r="AT73" i="1" s="1"/>
  <c r="AU73" i="1" s="1"/>
  <c r="AV73" i="1" s="1"/>
  <c r="AW73" i="1" s="1"/>
  <c r="AX73" i="1" s="1"/>
  <c r="AY73" i="1" s="1"/>
  <c r="AZ73" i="1" s="1"/>
  <c r="BA73" i="1" s="1"/>
  <c r="BB73" i="1" s="1"/>
  <c r="BC73" i="1" s="1"/>
  <c r="BD73" i="1" s="1"/>
  <c r="BE73" i="1" s="1"/>
  <c r="BF73" i="1" s="1"/>
  <c r="BG73" i="1" s="1"/>
  <c r="BH73" i="1" s="1"/>
  <c r="BI73" i="1" s="1"/>
  <c r="BJ73" i="1" s="1"/>
  <c r="BK73" i="1" s="1"/>
  <c r="BL73" i="1" s="1"/>
  <c r="BM73" i="1" s="1"/>
  <c r="BN73" i="1" s="1"/>
  <c r="BO73" i="1" s="1"/>
  <c r="BP73" i="1" s="1"/>
  <c r="BQ73" i="1" s="1"/>
  <c r="BR73" i="1" s="1"/>
  <c r="BS73" i="1" s="1"/>
  <c r="BT73" i="1" s="1"/>
  <c r="BU73" i="1" s="1"/>
  <c r="BV73" i="1" s="1"/>
  <c r="BW73" i="1" s="1"/>
  <c r="BX73" i="1" s="1"/>
  <c r="BY73" i="1" s="1"/>
  <c r="BZ73" i="1" s="1"/>
  <c r="CA73" i="1" s="1"/>
  <c r="CB73" i="1" s="1"/>
  <c r="CC73" i="1" s="1"/>
  <c r="CD73" i="1" s="1"/>
  <c r="CE73" i="1" s="1"/>
  <c r="CF73" i="1" s="1"/>
  <c r="CG73" i="1" s="1"/>
  <c r="CH73" i="1" s="1"/>
  <c r="CI73" i="1" s="1"/>
  <c r="CJ73" i="1" s="1"/>
  <c r="CK73" i="1" s="1"/>
  <c r="CL73" i="1" s="1"/>
  <c r="CM73" i="1" s="1"/>
  <c r="S79" i="1" l="1"/>
  <c r="S81" i="1" s="1"/>
  <c r="S82" i="1" s="1"/>
  <c r="S8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B4" authorId="0" shapeId="0" xr:uid="{F6E35EF4-7EEB-4DCA-9578-EAACA34131A3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Europe, Middle East, Africa</t>
        </r>
      </text>
    </comment>
    <comment ref="B16" authorId="0" shapeId="0" xr:uid="{57F5D214-F46C-460A-9A20-CBAFB575BFE3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Asia Pacific</t>
        </r>
      </text>
    </comment>
  </commentList>
</comments>
</file>

<file path=xl/sharedStrings.xml><?xml version="1.0" encoding="utf-8"?>
<sst xmlns="http://schemas.openxmlformats.org/spreadsheetml/2006/main" count="92" uniqueCount="64">
  <si>
    <t>Revenue</t>
  </si>
  <si>
    <t>COGS</t>
  </si>
  <si>
    <t>Gross Profit</t>
  </si>
  <si>
    <t>R&amp;D</t>
  </si>
  <si>
    <t>Selling</t>
  </si>
  <si>
    <t>G&amp;A</t>
  </si>
  <si>
    <t>Other Income</t>
  </si>
  <si>
    <t>Other Expenses</t>
  </si>
  <si>
    <t>Equity Income</t>
  </si>
  <si>
    <t>EBIT</t>
  </si>
  <si>
    <t>Taxes</t>
  </si>
  <si>
    <t>Interest Income</t>
  </si>
  <si>
    <t>Interest Expenses</t>
  </si>
  <si>
    <t>Pretax</t>
  </si>
  <si>
    <t>Net Income</t>
  </si>
  <si>
    <t>Minority Income</t>
  </si>
  <si>
    <t>Company Income</t>
  </si>
  <si>
    <t>Gross Margin</t>
  </si>
  <si>
    <t>EBIT Margin</t>
  </si>
  <si>
    <t>Net Margin</t>
  </si>
  <si>
    <t>CFFO</t>
  </si>
  <si>
    <t>CapEx</t>
  </si>
  <si>
    <t>FCF</t>
  </si>
  <si>
    <t>Cash</t>
  </si>
  <si>
    <t>PP&amp;E</t>
  </si>
  <si>
    <t>Debt</t>
  </si>
  <si>
    <t>NAV</t>
  </si>
  <si>
    <t>Current Assets</t>
  </si>
  <si>
    <t>Current Liabilities</t>
  </si>
  <si>
    <t>Selling:</t>
  </si>
  <si>
    <t>Personalaufwand</t>
  </si>
  <si>
    <t>Materialaufwand</t>
  </si>
  <si>
    <t>D&amp;A</t>
  </si>
  <si>
    <t>Other</t>
  </si>
  <si>
    <t>Total Expenses:</t>
  </si>
  <si>
    <t>COGS:</t>
  </si>
  <si>
    <t>R&amp;D:</t>
  </si>
  <si>
    <t>G&amp;A:</t>
  </si>
  <si>
    <t>Income</t>
  </si>
  <si>
    <t>Auto Gas Spring</t>
  </si>
  <si>
    <t>Powerise</t>
  </si>
  <si>
    <t>Industrial</t>
  </si>
  <si>
    <t>EMEA</t>
  </si>
  <si>
    <t>Group</t>
  </si>
  <si>
    <t>Americas</t>
  </si>
  <si>
    <t>APAC</t>
  </si>
  <si>
    <t>Gehalt pro Arbeiter</t>
  </si>
  <si>
    <t>Arbeiter</t>
  </si>
  <si>
    <t>Revenue Y/Y</t>
  </si>
  <si>
    <t>Arbeiteranstieg</t>
  </si>
  <si>
    <t>Gehaltserhöhung</t>
  </si>
  <si>
    <t>Cost of Debt</t>
  </si>
  <si>
    <t>Discount</t>
  </si>
  <si>
    <t>Terminal</t>
  </si>
  <si>
    <t>NPV</t>
  </si>
  <si>
    <t>net Cash</t>
  </si>
  <si>
    <t>Value</t>
  </si>
  <si>
    <t>Shares</t>
  </si>
  <si>
    <t>EPS</t>
  </si>
  <si>
    <t>Price</t>
  </si>
  <si>
    <t>Current</t>
  </si>
  <si>
    <t>Diff</t>
  </si>
  <si>
    <t>IP</t>
  </si>
  <si>
    <t>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</si>
</sst>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"/>
    <numFmt numFmtId="166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166" fontId="0" fillId="0" borderId="0" xfId="1" applyNumberFormat="1" applyFont="1"/>
    <xf numFmtId="3" fontId="0" fillId="0" borderId="0" xfId="1" applyNumberFormat="1" applyFont="1"/>
    <xf numFmtId="2" fontId="0" fillId="0" borderId="0" xfId="0" applyNumberFormat="1"/>
    <xf numFmtId="3" fontId="5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26276</xdr:colOff>
      <xdr:row>3</xdr:row>
      <xdr:rowOff>6569</xdr:rowOff>
    </xdr:from>
    <xdr:to>
      <xdr:col>8</xdr:col>
      <xdr:colOff>39414</xdr:colOff>
      <xdr:row>98</xdr:row>
      <xdr:rowOff>91966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6EA7E0E-824E-5FC5-C39D-48BD0D70F73F}"/>
            </a:ext>
          </a:extLst>
        </xdr:cNvPr>
        <xdr:cNvCxnSpPr/>
      </xdr:nvCxnSpPr>
      <xdr:spPr>
        <a:xfrm>
          <a:off x="5084379" y="578069"/>
          <a:ext cx="13138" cy="172303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173A-61AC-4CBF-BA2A-53EDD6E1F849}">
  <dimension ref="B2:CM103"/>
  <sheetViews>
    <sheetView tabSelected="1" zoomScale="145" zoomScaleNormal="145" workbookViewId="0">
      <pane xSplit="2" ySplit="2" topLeftCell="C62" activePane="bottomRight" state="frozen"/>
      <selection pane="topRight" activeCell="C1" sqref="C1"/>
      <selection pane="bottomLeft" activeCell="A3" sqref="A3"/>
      <selection pane="bottomRight" activeCell="R70" sqref="R70"/>
    </sheetView>
  </sheetViews>
  <sheetFormatPr defaultRowHeight="15" x14ac:dyDescent="0.25"/>
  <cols>
    <col min="1" max="1" width="2.85546875" customWidth="1"/>
    <col min="2" max="2" width="16.85546875" bestFit="1" customWidth="1"/>
    <col min="6" max="16" width="9.5703125" bestFit="1" customWidth="1"/>
    <col min="19" max="19" width="9.5703125" bestFit="1" customWidth="1"/>
  </cols>
  <sheetData>
    <row r="2" spans="2:16" x14ac:dyDescent="0.25">
      <c r="F2">
        <v>2022</v>
      </c>
      <c r="G2">
        <f>+F2+1</f>
        <v>2023</v>
      </c>
      <c r="H2">
        <f>+G2+1</f>
        <v>2024</v>
      </c>
      <c r="I2">
        <f>+H2+1</f>
        <v>2025</v>
      </c>
      <c r="J2">
        <f t="shared" ref="J2:P2" si="0">+I2+1</f>
        <v>2026</v>
      </c>
      <c r="K2">
        <f t="shared" si="0"/>
        <v>2027</v>
      </c>
      <c r="L2">
        <f t="shared" si="0"/>
        <v>2028</v>
      </c>
      <c r="M2">
        <f t="shared" si="0"/>
        <v>2029</v>
      </c>
      <c r="N2">
        <f t="shared" si="0"/>
        <v>2030</v>
      </c>
      <c r="O2">
        <f>+N2+1</f>
        <v>2031</v>
      </c>
      <c r="P2">
        <f t="shared" si="0"/>
        <v>2032</v>
      </c>
    </row>
    <row r="3" spans="2:16" s="1" customFormat="1" x14ac:dyDescent="0.25">
      <c r="G3" s="4"/>
      <c r="H3" s="4"/>
    </row>
    <row r="4" spans="2:16" s="2" customFormat="1" x14ac:dyDescent="0.25">
      <c r="B4" s="2" t="s">
        <v>42</v>
      </c>
      <c r="F4" s="2">
        <f>+SUM(F5:F7)</f>
        <v>469420</v>
      </c>
      <c r="G4" s="2">
        <f>+SUM(G5:G7)</f>
        <v>496608</v>
      </c>
      <c r="H4" s="2">
        <f>+SUM(H5:H8)</f>
        <v>525464</v>
      </c>
      <c r="I4" s="2">
        <f>+SUM(I5:I8)</f>
        <v>543353.47000000009</v>
      </c>
      <c r="J4" s="2">
        <f t="shared" ref="J4:P4" si="1">+SUM(J5:J8)</f>
        <v>562140.07270000014</v>
      </c>
      <c r="K4" s="2">
        <f t="shared" si="1"/>
        <v>581891.399263</v>
      </c>
      <c r="L4" s="2">
        <f t="shared" si="1"/>
        <v>602681.66410063009</v>
      </c>
      <c r="M4" s="2">
        <f t="shared" si="1"/>
        <v>624592.43760654086</v>
      </c>
      <c r="N4" s="2">
        <f t="shared" si="1"/>
        <v>647713.46402205573</v>
      </c>
      <c r="O4" s="2">
        <f t="shared" si="1"/>
        <v>672143.5745181262</v>
      </c>
      <c r="P4" s="2">
        <f t="shared" si="1"/>
        <v>697991.70678133552</v>
      </c>
    </row>
    <row r="5" spans="2:16" s="1" customFormat="1" x14ac:dyDescent="0.25">
      <c r="B5" s="1" t="s">
        <v>39</v>
      </c>
      <c r="F5" s="1">
        <v>115185</v>
      </c>
      <c r="G5" s="1">
        <v>120234</v>
      </c>
      <c r="H5" s="1">
        <v>124516</v>
      </c>
      <c r="I5" s="1">
        <f>+H5*1.03</f>
        <v>128251.48000000001</v>
      </c>
      <c r="J5" s="1">
        <f t="shared" ref="J5:P5" si="2">+I5*1.03</f>
        <v>132099.02440000002</v>
      </c>
      <c r="K5" s="1">
        <f t="shared" si="2"/>
        <v>136061.99513200004</v>
      </c>
      <c r="L5" s="1">
        <f t="shared" si="2"/>
        <v>140143.85498596003</v>
      </c>
      <c r="M5" s="1">
        <f t="shared" si="2"/>
        <v>144348.17063553885</v>
      </c>
      <c r="N5" s="1">
        <f t="shared" si="2"/>
        <v>148678.61575460501</v>
      </c>
      <c r="O5" s="1">
        <f t="shared" si="2"/>
        <v>153138.97422724316</v>
      </c>
      <c r="P5" s="1">
        <f t="shared" si="2"/>
        <v>157733.14345406045</v>
      </c>
    </row>
    <row r="6" spans="2:16" s="1" customFormat="1" x14ac:dyDescent="0.25">
      <c r="B6" s="1" t="s">
        <v>40</v>
      </c>
      <c r="F6" s="1">
        <v>95818</v>
      </c>
      <c r="G6" s="1">
        <v>113059</v>
      </c>
      <c r="H6" s="1">
        <v>111531</v>
      </c>
      <c r="I6" s="1">
        <f>+H6*1.05</f>
        <v>117107.55</v>
      </c>
      <c r="J6" s="1">
        <f t="shared" ref="J6:P6" si="3">+I6*1.05</f>
        <v>122962.92750000001</v>
      </c>
      <c r="K6" s="1">
        <f t="shared" si="3"/>
        <v>129111.07387500002</v>
      </c>
      <c r="L6" s="1">
        <f t="shared" si="3"/>
        <v>135566.62756875003</v>
      </c>
      <c r="M6" s="1">
        <f t="shared" si="3"/>
        <v>142344.95894718755</v>
      </c>
      <c r="N6" s="1">
        <f t="shared" si="3"/>
        <v>149462.20689454692</v>
      </c>
      <c r="O6" s="1">
        <f t="shared" si="3"/>
        <v>156935.31723927427</v>
      </c>
      <c r="P6" s="1">
        <f t="shared" si="3"/>
        <v>164782.08310123798</v>
      </c>
    </row>
    <row r="7" spans="2:16" s="1" customFormat="1" x14ac:dyDescent="0.25">
      <c r="B7" s="1" t="s">
        <v>41</v>
      </c>
      <c r="F7" s="1">
        <v>258417</v>
      </c>
      <c r="G7" s="1">
        <v>263315</v>
      </c>
      <c r="H7" s="1">
        <v>261526</v>
      </c>
      <c r="I7" s="1">
        <f>+H7*1.02</f>
        <v>266756.52</v>
      </c>
      <c r="J7" s="1">
        <f t="shared" ref="J7:P7" si="4">+I7*1.02</f>
        <v>272091.65040000004</v>
      </c>
      <c r="K7" s="1">
        <f t="shared" si="4"/>
        <v>277533.48340800003</v>
      </c>
      <c r="L7" s="1">
        <f t="shared" si="4"/>
        <v>283084.15307616006</v>
      </c>
      <c r="M7" s="1">
        <f t="shared" si="4"/>
        <v>288745.83613768325</v>
      </c>
      <c r="N7" s="1">
        <f t="shared" si="4"/>
        <v>294520.75286043691</v>
      </c>
      <c r="O7" s="1">
        <f t="shared" si="4"/>
        <v>300411.16791764565</v>
      </c>
      <c r="P7" s="1">
        <f t="shared" si="4"/>
        <v>306419.39127599855</v>
      </c>
    </row>
    <row r="8" spans="2:16" s="1" customFormat="1" x14ac:dyDescent="0.25">
      <c r="B8" s="1" t="s">
        <v>63</v>
      </c>
      <c r="H8" s="1">
        <v>27891</v>
      </c>
      <c r="I8" s="1">
        <f>+H8*1.12</f>
        <v>31237.920000000002</v>
      </c>
      <c r="J8" s="1">
        <f t="shared" ref="J8:P8" si="5">+I8*1.12</f>
        <v>34986.470400000006</v>
      </c>
      <c r="K8" s="1">
        <f t="shared" si="5"/>
        <v>39184.846848000008</v>
      </c>
      <c r="L8" s="1">
        <f t="shared" si="5"/>
        <v>43887.028469760015</v>
      </c>
      <c r="M8" s="1">
        <f t="shared" si="5"/>
        <v>49153.471886131221</v>
      </c>
      <c r="N8" s="1">
        <f t="shared" si="5"/>
        <v>55051.888512466976</v>
      </c>
      <c r="O8" s="1">
        <f t="shared" si="5"/>
        <v>61658.115133963016</v>
      </c>
      <c r="P8" s="1">
        <f t="shared" si="5"/>
        <v>69057.088950038582</v>
      </c>
    </row>
    <row r="9" spans="2:16" s="1" customFormat="1" x14ac:dyDescent="0.25"/>
    <row r="10" spans="2:16" s="2" customFormat="1" x14ac:dyDescent="0.25">
      <c r="B10" s="2" t="s">
        <v>44</v>
      </c>
      <c r="F10" s="2">
        <f>+SUM(F11:F13)</f>
        <v>387479</v>
      </c>
      <c r="G10" s="2">
        <f>+SUM(G11:G13)</f>
        <v>450438</v>
      </c>
      <c r="H10" s="2">
        <f>+SUM(H11:H14)</f>
        <v>469035</v>
      </c>
      <c r="I10" s="2">
        <f>+SUM(I11:I14)</f>
        <v>496175.61</v>
      </c>
      <c r="J10" s="2">
        <f t="shared" ref="J10:P10" si="6">+SUM(J11:J14)</f>
        <v>516372.83670000004</v>
      </c>
      <c r="K10" s="2">
        <f t="shared" si="6"/>
        <v>537813.415209</v>
      </c>
      <c r="L10" s="2">
        <f t="shared" si="6"/>
        <v>560611.13828223012</v>
      </c>
      <c r="M10" s="2">
        <f t="shared" si="6"/>
        <v>584892.39152169216</v>
      </c>
      <c r="N10" s="2">
        <f t="shared" si="6"/>
        <v>610797.63264925755</v>
      </c>
      <c r="O10" s="2">
        <f t="shared" si="6"/>
        <v>638483.04733647977</v>
      </c>
      <c r="P10" s="2">
        <f t="shared" si="6"/>
        <v>668122.40274924785</v>
      </c>
    </row>
    <row r="11" spans="2:16" s="1" customFormat="1" x14ac:dyDescent="0.25">
      <c r="B11" s="1" t="s">
        <v>39</v>
      </c>
      <c r="F11" s="1">
        <v>106539</v>
      </c>
      <c r="G11" s="1">
        <v>119386</v>
      </c>
      <c r="H11" s="1">
        <v>118842</v>
      </c>
      <c r="I11" s="1">
        <f>+H11*1.05</f>
        <v>124784.1</v>
      </c>
      <c r="J11" s="1">
        <f>+I11*1.03</f>
        <v>128527.62300000001</v>
      </c>
      <c r="K11" s="1">
        <f>+J11*1.03</f>
        <v>132383.45169000002</v>
      </c>
      <c r="L11" s="1">
        <f t="shared" ref="L11:P11" si="7">+K11*1.03</f>
        <v>136354.95524070002</v>
      </c>
      <c r="M11" s="1">
        <f t="shared" si="7"/>
        <v>140445.60389792101</v>
      </c>
      <c r="N11" s="1">
        <f t="shared" si="7"/>
        <v>144658.97201485865</v>
      </c>
      <c r="O11" s="1">
        <f t="shared" si="7"/>
        <v>148998.7411753044</v>
      </c>
      <c r="P11" s="1">
        <f t="shared" si="7"/>
        <v>153468.70341056352</v>
      </c>
    </row>
    <row r="12" spans="2:16" s="1" customFormat="1" x14ac:dyDescent="0.25">
      <c r="B12" s="1" t="s">
        <v>40</v>
      </c>
      <c r="F12" s="1">
        <v>146793</v>
      </c>
      <c r="G12" s="1">
        <v>171474</v>
      </c>
      <c r="H12" s="1">
        <v>161065</v>
      </c>
      <c r="I12" s="1">
        <f>+H12*1.05</f>
        <v>169118.25</v>
      </c>
      <c r="J12" s="1">
        <f>+I12*1.03</f>
        <v>174191.79750000002</v>
      </c>
      <c r="K12" s="1">
        <f>+J12*1.03</f>
        <v>179417.55142500001</v>
      </c>
      <c r="L12" s="1">
        <f>+K12*1.03</f>
        <v>184800.07796775002</v>
      </c>
      <c r="M12" s="1">
        <f t="shared" ref="M12:P13" si="8">+L12*1.03</f>
        <v>190344.08030678253</v>
      </c>
      <c r="N12" s="1">
        <f t="shared" si="8"/>
        <v>196054.40271598601</v>
      </c>
      <c r="O12" s="1">
        <f t="shared" si="8"/>
        <v>201936.0347974656</v>
      </c>
      <c r="P12" s="1">
        <f t="shared" si="8"/>
        <v>207994.11584138958</v>
      </c>
    </row>
    <row r="13" spans="2:16" s="1" customFormat="1" x14ac:dyDescent="0.25">
      <c r="B13" s="1" t="s">
        <v>41</v>
      </c>
      <c r="F13" s="1">
        <v>134147</v>
      </c>
      <c r="G13" s="1">
        <v>159578</v>
      </c>
      <c r="H13" s="1">
        <v>136430</v>
      </c>
      <c r="I13" s="1">
        <f>+H13*1.05</f>
        <v>143251.5</v>
      </c>
      <c r="J13" s="1">
        <f>+I13*1.03</f>
        <v>147549.04500000001</v>
      </c>
      <c r="K13" s="1">
        <f>+J13*1.03</f>
        <v>151975.51635000002</v>
      </c>
      <c r="L13" s="1">
        <f>+K13*1.03</f>
        <v>156534.78184050001</v>
      </c>
      <c r="M13" s="1">
        <f t="shared" si="8"/>
        <v>161230.82529571501</v>
      </c>
      <c r="N13" s="1">
        <f t="shared" si="8"/>
        <v>166067.75005458648</v>
      </c>
      <c r="O13" s="1">
        <f t="shared" si="8"/>
        <v>171049.78255622406</v>
      </c>
      <c r="P13" s="1">
        <f t="shared" si="8"/>
        <v>176181.2760329108</v>
      </c>
    </row>
    <row r="14" spans="2:16" s="1" customFormat="1" x14ac:dyDescent="0.25">
      <c r="B14" s="1" t="s">
        <v>63</v>
      </c>
      <c r="H14" s="1">
        <v>52698</v>
      </c>
      <c r="I14" s="1">
        <f>+H14*1.12</f>
        <v>59021.760000000002</v>
      </c>
      <c r="J14" s="1">
        <f t="shared" ref="J14:P14" si="9">+I14*1.12</f>
        <v>66104.371200000009</v>
      </c>
      <c r="K14" s="1">
        <f t="shared" si="9"/>
        <v>74036.895744000023</v>
      </c>
      <c r="L14" s="1">
        <f t="shared" si="9"/>
        <v>82921.32323328004</v>
      </c>
      <c r="M14" s="1">
        <f t="shared" si="9"/>
        <v>92871.882021273646</v>
      </c>
      <c r="N14" s="1">
        <f t="shared" si="9"/>
        <v>104016.5078638265</v>
      </c>
      <c r="O14" s="1">
        <f t="shared" si="9"/>
        <v>116498.48880748569</v>
      </c>
      <c r="P14" s="1">
        <f t="shared" si="9"/>
        <v>130478.30746438398</v>
      </c>
    </row>
    <row r="15" spans="2:16" s="1" customFormat="1" x14ac:dyDescent="0.25"/>
    <row r="16" spans="2:16" s="1" customFormat="1" x14ac:dyDescent="0.25">
      <c r="B16" s="2" t="s">
        <v>45</v>
      </c>
      <c r="F16" s="2">
        <f>+SUM(F17:F19)</f>
        <v>259446</v>
      </c>
      <c r="G16" s="2">
        <f>+SUM(G17:G19)</f>
        <v>268208</v>
      </c>
      <c r="H16" s="2">
        <f>+SUM(H17:H20)</f>
        <v>311427</v>
      </c>
      <c r="I16" s="2">
        <f>+SUM(I17:I20)</f>
        <v>329940.33999999997</v>
      </c>
      <c r="J16" s="2">
        <f t="shared" ref="J16:P16" si="10">+SUM(J17:J20)</f>
        <v>343351.37800000008</v>
      </c>
      <c r="K16" s="2">
        <f t="shared" si="10"/>
        <v>355325.48964400007</v>
      </c>
      <c r="L16" s="2">
        <f t="shared" si="10"/>
        <v>367859.65307380009</v>
      </c>
      <c r="M16" s="2">
        <f t="shared" si="10"/>
        <v>380994.76925535174</v>
      </c>
      <c r="N16" s="2">
        <f t="shared" si="10"/>
        <v>394775.85811307037</v>
      </c>
      <c r="O16" s="2">
        <f t="shared" si="10"/>
        <v>409252.52913012751</v>
      </c>
      <c r="P16" s="2">
        <f t="shared" si="10"/>
        <v>424479.5077105363</v>
      </c>
    </row>
    <row r="17" spans="2:16" s="1" customFormat="1" x14ac:dyDescent="0.25">
      <c r="B17" s="1" t="s">
        <v>39</v>
      </c>
      <c r="F17" s="1">
        <v>104238</v>
      </c>
      <c r="G17" s="1">
        <v>101823</v>
      </c>
      <c r="H17" s="1">
        <v>106172</v>
      </c>
      <c r="I17" s="1">
        <f>+H17*1.05</f>
        <v>111480.6</v>
      </c>
      <c r="J17" s="1">
        <f>+I17*1.03</f>
        <v>114825.01800000001</v>
      </c>
      <c r="K17" s="1">
        <f>+J17*1.03</f>
        <v>118269.76854000002</v>
      </c>
      <c r="L17" s="1">
        <f t="shared" ref="L17" si="11">+K17*1.03</f>
        <v>121817.86159620002</v>
      </c>
      <c r="M17" s="1">
        <f t="shared" ref="M17" si="12">+L17*1.03</f>
        <v>125472.39744408602</v>
      </c>
      <c r="N17" s="1">
        <f t="shared" ref="N17" si="13">+M17*1.03</f>
        <v>129236.56936740861</v>
      </c>
      <c r="O17" s="1">
        <f t="shared" ref="O17" si="14">+N17*1.03</f>
        <v>133113.66644843086</v>
      </c>
      <c r="P17" s="1">
        <f t="shared" ref="P17" si="15">+O17*1.03</f>
        <v>137107.07644188378</v>
      </c>
    </row>
    <row r="18" spans="2:16" s="1" customFormat="1" x14ac:dyDescent="0.25">
      <c r="B18" s="1" t="s">
        <v>40</v>
      </c>
      <c r="F18" s="1">
        <v>131981</v>
      </c>
      <c r="G18" s="1">
        <v>144682</v>
      </c>
      <c r="H18" s="1">
        <v>166177</v>
      </c>
      <c r="I18" s="1">
        <f>+H18*1.06</f>
        <v>176147.62</v>
      </c>
      <c r="J18" s="1">
        <f>+I18*1.04</f>
        <v>183193.52480000001</v>
      </c>
      <c r="K18" s="1">
        <f>+J18*1.03</f>
        <v>188689.33054400003</v>
      </c>
      <c r="L18" s="1">
        <f t="shared" ref="L18:P18" si="16">+K18*1.03</f>
        <v>194350.01046032005</v>
      </c>
      <c r="M18" s="1">
        <f t="shared" si="16"/>
        <v>200180.51077412965</v>
      </c>
      <c r="N18" s="1">
        <f t="shared" si="16"/>
        <v>206185.92609735354</v>
      </c>
      <c r="O18" s="1">
        <f t="shared" si="16"/>
        <v>212371.50388027416</v>
      </c>
      <c r="P18" s="1">
        <f t="shared" si="16"/>
        <v>218742.6489966824</v>
      </c>
    </row>
    <row r="19" spans="2:16" s="1" customFormat="1" x14ac:dyDescent="0.25">
      <c r="B19" s="1" t="s">
        <v>41</v>
      </c>
      <c r="F19" s="1">
        <v>23227</v>
      </c>
      <c r="G19" s="1">
        <v>21703</v>
      </c>
      <c r="H19" s="1">
        <v>24254</v>
      </c>
      <c r="I19" s="1">
        <f>+H19*1.06</f>
        <v>25709.24</v>
      </c>
      <c r="J19" s="1">
        <f>+I19*1.04</f>
        <v>26737.609600000003</v>
      </c>
      <c r="K19" s="1">
        <f>+J19*1.03</f>
        <v>27539.737888000003</v>
      </c>
      <c r="L19" s="1">
        <f t="shared" ref="L19" si="17">+K19*1.03</f>
        <v>28365.930024640005</v>
      </c>
      <c r="M19" s="1">
        <f t="shared" ref="M19" si="18">+L19*1.03</f>
        <v>29216.907925379208</v>
      </c>
      <c r="N19" s="1">
        <f t="shared" ref="N19" si="19">+M19*1.03</f>
        <v>30093.415163140584</v>
      </c>
      <c r="O19" s="1">
        <f t="shared" ref="O19" si="20">+N19*1.03</f>
        <v>30996.217618034803</v>
      </c>
      <c r="P19" s="1">
        <f t="shared" ref="P19" si="21">+O19*1.03</f>
        <v>31926.10414657585</v>
      </c>
    </row>
    <row r="20" spans="2:16" s="1" customFormat="1" x14ac:dyDescent="0.25">
      <c r="B20" s="1" t="s">
        <v>63</v>
      </c>
      <c r="H20" s="1">
        <v>14824</v>
      </c>
      <c r="I20" s="1">
        <f>+H20*1.12</f>
        <v>16602.88</v>
      </c>
      <c r="J20" s="1">
        <f t="shared" ref="J20:P20" si="22">+I20*1.12</f>
        <v>18595.225600000002</v>
      </c>
      <c r="K20" s="1">
        <f t="shared" si="22"/>
        <v>20826.652672000004</v>
      </c>
      <c r="L20" s="1">
        <f t="shared" si="22"/>
        <v>23325.850992640007</v>
      </c>
      <c r="M20" s="1">
        <f t="shared" si="22"/>
        <v>26124.953111756811</v>
      </c>
      <c r="N20" s="1">
        <f t="shared" si="22"/>
        <v>29259.947485167631</v>
      </c>
      <c r="O20" s="1">
        <f t="shared" si="22"/>
        <v>32771.14118338775</v>
      </c>
      <c r="P20" s="1">
        <f t="shared" si="22"/>
        <v>36703.678125394283</v>
      </c>
    </row>
    <row r="21" spans="2:16" s="1" customFormat="1" x14ac:dyDescent="0.25">
      <c r="G21" s="4"/>
    </row>
    <row r="22" spans="2:16" s="1" customFormat="1" x14ac:dyDescent="0.25">
      <c r="B22" s="2" t="s">
        <v>43</v>
      </c>
      <c r="F22" s="2">
        <f>+SUM(F23:F25)</f>
        <v>1116345</v>
      </c>
      <c r="G22" s="2">
        <f>+SUM(G23:G25)</f>
        <v>1215254</v>
      </c>
      <c r="H22" s="2">
        <f>+SUM(H23:H26)</f>
        <v>1305926</v>
      </c>
      <c r="I22" s="2">
        <f>+SUM(I23:I26)</f>
        <v>1369469.4200000002</v>
      </c>
      <c r="J22" s="2">
        <f t="shared" ref="J22:P22" si="23">+SUM(J23:J26)</f>
        <v>1421864.2874</v>
      </c>
      <c r="K22" s="2">
        <f t="shared" si="23"/>
        <v>1475030.304116</v>
      </c>
      <c r="L22" s="2">
        <f t="shared" si="23"/>
        <v>1531152.4554566604</v>
      </c>
      <c r="M22" s="2">
        <f t="shared" si="23"/>
        <v>1590479.5983835848</v>
      </c>
      <c r="N22" s="2">
        <f t="shared" si="23"/>
        <v>1653286.954784384</v>
      </c>
      <c r="O22" s="2">
        <f t="shared" si="23"/>
        <v>1719879.1509847334</v>
      </c>
      <c r="P22" s="2">
        <f t="shared" si="23"/>
        <v>1790593.61724112</v>
      </c>
    </row>
    <row r="23" spans="2:16" s="1" customFormat="1" x14ac:dyDescent="0.25">
      <c r="B23" s="1" t="s">
        <v>39</v>
      </c>
      <c r="F23" s="1">
        <f>+F17+F11+F5</f>
        <v>325962</v>
      </c>
      <c r="G23" s="1">
        <f>+G17+G11+G5</f>
        <v>341443</v>
      </c>
      <c r="H23" s="1">
        <f>+H17+H11+H5</f>
        <v>349530</v>
      </c>
      <c r="I23" s="1">
        <f t="shared" ref="I23:P23" si="24">+I17+I11+I5</f>
        <v>364516.18000000005</v>
      </c>
      <c r="J23" s="1">
        <f t="shared" si="24"/>
        <v>375451.66540000006</v>
      </c>
      <c r="K23" s="1">
        <f t="shared" si="24"/>
        <v>386715.21536200005</v>
      </c>
      <c r="L23" s="1">
        <f t="shared" si="24"/>
        <v>398316.67182286002</v>
      </c>
      <c r="M23" s="1">
        <f t="shared" si="24"/>
        <v>410266.17197754583</v>
      </c>
      <c r="N23" s="1">
        <f t="shared" si="24"/>
        <v>422574.15713687229</v>
      </c>
      <c r="O23" s="1">
        <f t="shared" si="24"/>
        <v>435251.38185097842</v>
      </c>
      <c r="P23" s="1">
        <f t="shared" si="24"/>
        <v>448308.92330650776</v>
      </c>
    </row>
    <row r="24" spans="2:16" s="1" customFormat="1" x14ac:dyDescent="0.25">
      <c r="B24" s="1" t="s">
        <v>40</v>
      </c>
      <c r="F24" s="1">
        <f>+F18+F12+F6</f>
        <v>374592</v>
      </c>
      <c r="G24" s="1">
        <f>+G18+G12+G6</f>
        <v>429215</v>
      </c>
      <c r="H24" s="1">
        <f>+H18+H12+H6</f>
        <v>438773</v>
      </c>
      <c r="I24" s="1">
        <f t="shared" ref="I24:P24" si="25">+I18+I12+I6</f>
        <v>462373.42</v>
      </c>
      <c r="J24" s="1">
        <f t="shared" si="25"/>
        <v>480348.24979999999</v>
      </c>
      <c r="K24" s="1">
        <f t="shared" si="25"/>
        <v>497217.95584400004</v>
      </c>
      <c r="L24" s="1">
        <f t="shared" si="25"/>
        <v>514716.71599682013</v>
      </c>
      <c r="M24" s="1">
        <f t="shared" si="25"/>
        <v>532869.55002809968</v>
      </c>
      <c r="N24" s="1">
        <f t="shared" si="25"/>
        <v>551702.53570788656</v>
      </c>
      <c r="O24" s="1">
        <f t="shared" si="25"/>
        <v>571242.85591701407</v>
      </c>
      <c r="P24" s="1">
        <f t="shared" si="25"/>
        <v>591518.84793931001</v>
      </c>
    </row>
    <row r="25" spans="2:16" s="1" customFormat="1" x14ac:dyDescent="0.25">
      <c r="B25" s="1" t="s">
        <v>41</v>
      </c>
      <c r="F25" s="1">
        <f>+F19+F13+F7</f>
        <v>415791</v>
      </c>
      <c r="G25" s="1">
        <f>+G19+G13+G7</f>
        <v>444596</v>
      </c>
      <c r="H25" s="1">
        <f>+H19+H13+H7</f>
        <v>422210</v>
      </c>
      <c r="I25" s="1">
        <f t="shared" ref="I25:P25" si="26">+I19+I13+I7</f>
        <v>435717.26</v>
      </c>
      <c r="J25" s="1">
        <f t="shared" si="26"/>
        <v>446378.30500000005</v>
      </c>
      <c r="K25" s="1">
        <f t="shared" si="26"/>
        <v>457048.73764600005</v>
      </c>
      <c r="L25" s="1">
        <f t="shared" si="26"/>
        <v>467984.86494130007</v>
      </c>
      <c r="M25" s="1">
        <f t="shared" si="26"/>
        <v>479193.56935877749</v>
      </c>
      <c r="N25" s="1">
        <f t="shared" si="26"/>
        <v>490681.91807816399</v>
      </c>
      <c r="O25" s="1">
        <f t="shared" si="26"/>
        <v>502457.16809190449</v>
      </c>
      <c r="P25" s="1">
        <f t="shared" si="26"/>
        <v>514526.7714554852</v>
      </c>
    </row>
    <row r="26" spans="2:16" s="1" customFormat="1" x14ac:dyDescent="0.25">
      <c r="B26" s="1" t="s">
        <v>63</v>
      </c>
      <c r="H26" s="1">
        <f>+H20+H14+H8</f>
        <v>95413</v>
      </c>
      <c r="I26" s="1">
        <f>+I20+I14+I8</f>
        <v>106862.56</v>
      </c>
      <c r="J26" s="1">
        <f t="shared" ref="J26:P26" si="27">+J20+J14+J8</f>
        <v>119686.06720000002</v>
      </c>
      <c r="K26" s="1">
        <f t="shared" si="27"/>
        <v>134048.39526400005</v>
      </c>
      <c r="L26" s="1">
        <f t="shared" si="27"/>
        <v>150134.20269568008</v>
      </c>
      <c r="M26" s="1">
        <f t="shared" si="27"/>
        <v>168150.30701916167</v>
      </c>
      <c r="N26" s="1">
        <f t="shared" si="27"/>
        <v>188328.34386146109</v>
      </c>
      <c r="O26" s="1">
        <f t="shared" si="27"/>
        <v>210927.74512483645</v>
      </c>
      <c r="P26" s="1">
        <f t="shared" si="27"/>
        <v>236239.07453981682</v>
      </c>
    </row>
    <row r="27" spans="2:16" s="1" customFormat="1" x14ac:dyDescent="0.25"/>
    <row r="28" spans="2:16" s="1" customFormat="1" x14ac:dyDescent="0.25">
      <c r="B28" s="2" t="s">
        <v>35</v>
      </c>
      <c r="F28" s="5"/>
      <c r="G28" s="5"/>
    </row>
    <row r="29" spans="2:16" s="1" customFormat="1" x14ac:dyDescent="0.25">
      <c r="B29" s="1" t="s">
        <v>30</v>
      </c>
      <c r="D29" s="4"/>
      <c r="E29" s="4"/>
      <c r="F29" s="1">
        <v>196395</v>
      </c>
      <c r="G29" s="1">
        <v>211808</v>
      </c>
      <c r="H29" s="1">
        <v>238768</v>
      </c>
      <c r="I29" s="1">
        <f>+I51*0.667</f>
        <v>260072.79883639261</v>
      </c>
      <c r="J29" s="1">
        <f t="shared" ref="I29:P29" si="28">+J51*0.667</f>
        <v>271935.19731914648</v>
      </c>
      <c r="K29" s="1">
        <f t="shared" si="28"/>
        <v>284100.40428200713</v>
      </c>
      <c r="L29" s="1">
        <f t="shared" si="28"/>
        <v>296998.16938536952</v>
      </c>
      <c r="M29" s="1">
        <f t="shared" si="28"/>
        <v>310691.03004587337</v>
      </c>
      <c r="N29" s="1">
        <f t="shared" si="28"/>
        <v>325248.29244721448</v>
      </c>
      <c r="O29" s="1">
        <f t="shared" si="28"/>
        <v>340746.84668269084</v>
      </c>
      <c r="P29" s="1">
        <f t="shared" si="28"/>
        <v>357272.08403384418</v>
      </c>
    </row>
    <row r="30" spans="2:16" s="1" customFormat="1" x14ac:dyDescent="0.25">
      <c r="B30" s="1" t="s">
        <v>31</v>
      </c>
      <c r="C30" s="3"/>
      <c r="D30" s="3"/>
      <c r="E30" s="3"/>
      <c r="F30" s="1">
        <v>541345</v>
      </c>
      <c r="G30" s="1">
        <v>608707</v>
      </c>
      <c r="H30" s="1">
        <v>636675</v>
      </c>
      <c r="I30" s="1">
        <f>+I22*0.5</f>
        <v>684734.71000000008</v>
      </c>
      <c r="J30" s="1">
        <f t="shared" ref="I30:P30" si="29">+J22*0.5</f>
        <v>710932.14370000002</v>
      </c>
      <c r="K30" s="1">
        <f t="shared" si="29"/>
        <v>737515.15205799998</v>
      </c>
      <c r="L30" s="1">
        <f t="shared" si="29"/>
        <v>765576.22772833018</v>
      </c>
      <c r="M30" s="1">
        <f t="shared" si="29"/>
        <v>795239.79919179238</v>
      </c>
      <c r="N30" s="1">
        <f t="shared" si="29"/>
        <v>826643.477392192</v>
      </c>
      <c r="O30" s="1">
        <f t="shared" si="29"/>
        <v>859939.57549236668</v>
      </c>
      <c r="P30" s="1">
        <f t="shared" si="29"/>
        <v>895296.80862055998</v>
      </c>
    </row>
    <row r="31" spans="2:16" s="1" customFormat="1" x14ac:dyDescent="0.25">
      <c r="B31" s="1" t="s">
        <v>32</v>
      </c>
      <c r="D31" s="4"/>
      <c r="E31" s="4"/>
      <c r="F31" s="1">
        <v>49021</v>
      </c>
      <c r="G31" s="1">
        <v>48485</v>
      </c>
      <c r="H31" s="1">
        <v>59960</v>
      </c>
      <c r="I31" s="1">
        <f t="shared" ref="I31:P31" si="30">+H31*0.99</f>
        <v>59360.4</v>
      </c>
      <c r="J31" s="1">
        <f t="shared" si="30"/>
        <v>58766.796000000002</v>
      </c>
      <c r="K31" s="1">
        <f t="shared" si="30"/>
        <v>58179.128040000003</v>
      </c>
      <c r="L31" s="1">
        <f t="shared" si="30"/>
        <v>57597.336759600003</v>
      </c>
      <c r="M31" s="1">
        <f t="shared" si="30"/>
        <v>57021.363392004001</v>
      </c>
      <c r="N31" s="1">
        <f t="shared" si="30"/>
        <v>56451.149758083964</v>
      </c>
      <c r="O31" s="1">
        <f t="shared" si="30"/>
        <v>55886.638260503125</v>
      </c>
      <c r="P31" s="1">
        <f t="shared" si="30"/>
        <v>55327.771877898092</v>
      </c>
    </row>
    <row r="32" spans="2:16" s="1" customFormat="1" x14ac:dyDescent="0.25">
      <c r="B32" s="1" t="s">
        <v>33</v>
      </c>
      <c r="D32" s="4"/>
      <c r="E32" s="4"/>
      <c r="F32" s="1">
        <v>32780</v>
      </c>
      <c r="G32" s="1">
        <v>25061</v>
      </c>
      <c r="H32" s="1">
        <v>28232</v>
      </c>
      <c r="I32" s="1">
        <f>+H32*0.99</f>
        <v>27949.68</v>
      </c>
      <c r="J32" s="1">
        <f t="shared" ref="J32:P32" si="31">+I32*0.99</f>
        <v>27670.183199999999</v>
      </c>
      <c r="K32" s="1">
        <f t="shared" si="31"/>
        <v>27393.481368000001</v>
      </c>
      <c r="L32" s="1">
        <f t="shared" si="31"/>
        <v>27119.546554320001</v>
      </c>
      <c r="M32" s="1">
        <f t="shared" si="31"/>
        <v>26848.351088776799</v>
      </c>
      <c r="N32" s="1">
        <f t="shared" si="31"/>
        <v>26579.867577889032</v>
      </c>
      <c r="O32" s="1">
        <f t="shared" si="31"/>
        <v>26314.068902110143</v>
      </c>
      <c r="P32" s="1">
        <f t="shared" si="31"/>
        <v>26050.928213089042</v>
      </c>
    </row>
    <row r="33" spans="2:16" s="1" customFormat="1" x14ac:dyDescent="0.25">
      <c r="B33" s="2" t="s">
        <v>36</v>
      </c>
      <c r="D33" s="4"/>
      <c r="E33" s="4"/>
    </row>
    <row r="34" spans="2:16" s="1" customFormat="1" x14ac:dyDescent="0.25">
      <c r="B34" s="1" t="s">
        <v>38</v>
      </c>
      <c r="D34" s="4"/>
      <c r="E34" s="4"/>
      <c r="F34" s="1">
        <v>16712</v>
      </c>
      <c r="G34" s="1">
        <v>23882</v>
      </c>
      <c r="H34" s="1">
        <v>28155</v>
      </c>
      <c r="I34" s="1">
        <v>20000</v>
      </c>
      <c r="J34" s="1">
        <v>20000</v>
      </c>
      <c r="K34" s="1">
        <v>20000</v>
      </c>
      <c r="L34" s="1">
        <v>20000</v>
      </c>
      <c r="M34" s="1">
        <v>20000</v>
      </c>
      <c r="N34" s="1">
        <v>20000</v>
      </c>
      <c r="O34" s="1">
        <v>20000</v>
      </c>
      <c r="P34" s="1">
        <v>20000</v>
      </c>
    </row>
    <row r="35" spans="2:16" s="1" customFormat="1" x14ac:dyDescent="0.25">
      <c r="B35" s="1" t="s">
        <v>30</v>
      </c>
      <c r="C35" s="4"/>
      <c r="D35" s="4"/>
      <c r="E35" s="4"/>
      <c r="F35" s="1">
        <v>29742</v>
      </c>
      <c r="G35" s="1">
        <v>31649</v>
      </c>
      <c r="H35" s="1">
        <v>36685</v>
      </c>
      <c r="I35" s="1">
        <f>+I51*0.1</f>
        <v>38991.424113402194</v>
      </c>
      <c r="J35" s="1">
        <f t="shared" ref="J35:P35" si="32">+J51*0.1</f>
        <v>40769.894650546696</v>
      </c>
      <c r="K35" s="1">
        <f t="shared" si="32"/>
        <v>42593.763760420865</v>
      </c>
      <c r="L35" s="1">
        <f t="shared" si="32"/>
        <v>44527.461676966945</v>
      </c>
      <c r="M35" s="1">
        <f t="shared" si="32"/>
        <v>46580.364324718648</v>
      </c>
      <c r="N35" s="1">
        <f t="shared" si="32"/>
        <v>48762.862435864241</v>
      </c>
      <c r="O35" s="1">
        <f t="shared" si="32"/>
        <v>51086.48376052337</v>
      </c>
      <c r="P35" s="1">
        <f t="shared" si="32"/>
        <v>53564.030589781738</v>
      </c>
    </row>
    <row r="36" spans="2:16" s="1" customFormat="1" x14ac:dyDescent="0.25">
      <c r="B36" s="1" t="s">
        <v>31</v>
      </c>
      <c r="D36" s="4"/>
      <c r="E36" s="4"/>
      <c r="F36" s="1">
        <v>9579</v>
      </c>
      <c r="G36" s="1">
        <v>10569</v>
      </c>
      <c r="H36" s="1">
        <v>11950</v>
      </c>
      <c r="I36" s="1">
        <f>+I35*0.33</f>
        <v>12867.169957422724</v>
      </c>
      <c r="J36" s="1">
        <f>+J35*0.33</f>
        <v>13454.065234680411</v>
      </c>
      <c r="K36" s="1">
        <f>+K35*0.33</f>
        <v>14055.942040938886</v>
      </c>
      <c r="L36" s="1">
        <f t="shared" ref="L36:P36" si="33">+L35*0.33</f>
        <v>14694.062353399093</v>
      </c>
      <c r="M36" s="1">
        <f t="shared" si="33"/>
        <v>15371.520227157154</v>
      </c>
      <c r="N36" s="1">
        <f t="shared" si="33"/>
        <v>16091.744603835201</v>
      </c>
      <c r="O36" s="1">
        <f t="shared" si="33"/>
        <v>16858.539640972715</v>
      </c>
      <c r="P36" s="1">
        <f t="shared" si="33"/>
        <v>17676.130094627973</v>
      </c>
    </row>
    <row r="37" spans="2:16" s="1" customFormat="1" x14ac:dyDescent="0.25">
      <c r="B37" s="1" t="s">
        <v>32</v>
      </c>
      <c r="D37" s="4"/>
      <c r="E37" s="4"/>
      <c r="F37" s="1">
        <v>1861</v>
      </c>
      <c r="G37" s="1">
        <v>2514</v>
      </c>
      <c r="H37" s="1">
        <v>2731</v>
      </c>
      <c r="I37" s="1">
        <f t="shared" ref="I37:P37" si="34">+H37*0.99</f>
        <v>2703.69</v>
      </c>
      <c r="J37" s="1">
        <f t="shared" si="34"/>
        <v>2676.6531</v>
      </c>
      <c r="K37" s="1">
        <f t="shared" si="34"/>
        <v>2649.8865689999998</v>
      </c>
      <c r="L37" s="1">
        <f t="shared" si="34"/>
        <v>2623.3877033099998</v>
      </c>
      <c r="M37" s="1">
        <f t="shared" si="34"/>
        <v>2597.1538262769</v>
      </c>
      <c r="N37" s="1">
        <f t="shared" si="34"/>
        <v>2571.1822880141308</v>
      </c>
      <c r="O37" s="1">
        <f t="shared" si="34"/>
        <v>2545.4704651339894</v>
      </c>
      <c r="P37" s="1">
        <f t="shared" si="34"/>
        <v>2520.0157604826495</v>
      </c>
    </row>
    <row r="38" spans="2:16" s="1" customFormat="1" x14ac:dyDescent="0.25">
      <c r="B38" s="1" t="s">
        <v>33</v>
      </c>
      <c r="D38" s="4"/>
      <c r="E38" s="4"/>
      <c r="F38" s="1">
        <v>7313</v>
      </c>
      <c r="G38" s="1">
        <v>10282</v>
      </c>
      <c r="H38" s="1">
        <v>11167</v>
      </c>
      <c r="I38" s="1">
        <f t="shared" ref="I38:P38" si="35">+H38*1.02</f>
        <v>11390.34</v>
      </c>
      <c r="J38" s="1">
        <f t="shared" si="35"/>
        <v>11618.1468</v>
      </c>
      <c r="K38" s="1">
        <f t="shared" si="35"/>
        <v>11850.509736</v>
      </c>
      <c r="L38" s="1">
        <f t="shared" si="35"/>
        <v>12087.51993072</v>
      </c>
      <c r="M38" s="1">
        <f t="shared" si="35"/>
        <v>12329.2703293344</v>
      </c>
      <c r="N38" s="1">
        <f t="shared" si="35"/>
        <v>12575.855735921088</v>
      </c>
      <c r="O38" s="1">
        <f t="shared" si="35"/>
        <v>12827.372850639511</v>
      </c>
      <c r="P38" s="1">
        <f t="shared" si="35"/>
        <v>13083.920307652301</v>
      </c>
    </row>
    <row r="39" spans="2:16" s="1" customFormat="1" x14ac:dyDescent="0.25">
      <c r="B39" s="2" t="s">
        <v>29</v>
      </c>
      <c r="D39" s="4"/>
      <c r="E39" s="4"/>
      <c r="F39" s="4"/>
      <c r="G39" s="4"/>
      <c r="H39" s="4"/>
    </row>
    <row r="40" spans="2:16" s="1" customFormat="1" x14ac:dyDescent="0.25">
      <c r="B40" s="1" t="s">
        <v>30</v>
      </c>
      <c r="C40" s="4"/>
      <c r="D40" s="4"/>
      <c r="E40" s="4"/>
      <c r="F40" s="1">
        <v>33597</v>
      </c>
      <c r="G40" s="1">
        <v>39152</v>
      </c>
      <c r="H40" s="1">
        <v>48177</v>
      </c>
      <c r="I40" s="1">
        <f>+I51*0.13</f>
        <v>50688.851347422846</v>
      </c>
      <c r="J40" s="1">
        <f t="shared" ref="J40:P40" si="36">+J51*0.13</f>
        <v>53000.863045710707</v>
      </c>
      <c r="K40" s="1">
        <f t="shared" si="36"/>
        <v>55371.892888547118</v>
      </c>
      <c r="L40" s="1">
        <f t="shared" si="36"/>
        <v>57885.700180057021</v>
      </c>
      <c r="M40" s="1">
        <f t="shared" si="36"/>
        <v>60554.473622134239</v>
      </c>
      <c r="N40" s="1">
        <f t="shared" si="36"/>
        <v>63391.721166623509</v>
      </c>
      <c r="O40" s="1">
        <f t="shared" si="36"/>
        <v>66412.428888680384</v>
      </c>
      <c r="P40" s="1">
        <f t="shared" si="36"/>
        <v>69633.239766716259</v>
      </c>
    </row>
    <row r="41" spans="2:16" s="1" customFormat="1" x14ac:dyDescent="0.25">
      <c r="B41" s="1" t="s">
        <v>31</v>
      </c>
      <c r="D41" s="4"/>
      <c r="E41" s="4"/>
      <c r="F41" s="1">
        <v>13261</v>
      </c>
      <c r="G41" s="1">
        <v>16543</v>
      </c>
      <c r="H41" s="1">
        <v>17842</v>
      </c>
      <c r="I41" s="1">
        <f>+I57*0.014</f>
        <v>19172.571880000003</v>
      </c>
      <c r="J41" s="1">
        <f t="shared" ref="J41:P41" si="37">+J57*0.014</f>
        <v>19906.1000236</v>
      </c>
      <c r="K41" s="1">
        <f t="shared" si="37"/>
        <v>20650.424257623999</v>
      </c>
      <c r="L41" s="1">
        <f t="shared" si="37"/>
        <v>21436.134376393245</v>
      </c>
      <c r="M41" s="1">
        <f t="shared" si="37"/>
        <v>22266.714377370186</v>
      </c>
      <c r="N41" s="1">
        <f t="shared" si="37"/>
        <v>23146.017366981378</v>
      </c>
      <c r="O41" s="1">
        <f t="shared" si="37"/>
        <v>24078.308113786268</v>
      </c>
      <c r="P41" s="1">
        <f t="shared" si="37"/>
        <v>25068.31064137568</v>
      </c>
    </row>
    <row r="42" spans="2:16" s="1" customFormat="1" x14ac:dyDescent="0.25">
      <c r="B42" s="1" t="s">
        <v>32</v>
      </c>
      <c r="D42" s="4"/>
      <c r="E42" s="4"/>
      <c r="F42" s="1">
        <v>14642</v>
      </c>
      <c r="G42" s="1">
        <v>15966</v>
      </c>
      <c r="H42" s="1">
        <v>24350</v>
      </c>
      <c r="I42" s="1">
        <f t="shared" ref="I42:P42" si="38">+H42*0.99</f>
        <v>24106.5</v>
      </c>
      <c r="J42" s="1">
        <f t="shared" si="38"/>
        <v>23865.435000000001</v>
      </c>
      <c r="K42" s="1">
        <f t="shared" si="38"/>
        <v>23626.780650000001</v>
      </c>
      <c r="L42" s="1">
        <f t="shared" si="38"/>
        <v>23390.512843500001</v>
      </c>
      <c r="M42" s="1">
        <f t="shared" si="38"/>
        <v>23156.607715065002</v>
      </c>
      <c r="N42" s="1">
        <f t="shared" si="38"/>
        <v>22925.04163791435</v>
      </c>
      <c r="O42" s="1">
        <f t="shared" si="38"/>
        <v>22695.791221535204</v>
      </c>
      <c r="P42" s="1">
        <f t="shared" si="38"/>
        <v>22468.833309319853</v>
      </c>
    </row>
    <row r="43" spans="2:16" s="1" customFormat="1" x14ac:dyDescent="0.25">
      <c r="B43" s="1" t="s">
        <v>33</v>
      </c>
      <c r="D43" s="4"/>
      <c r="E43" s="4"/>
      <c r="F43" s="1">
        <v>25535</v>
      </c>
      <c r="G43" s="1">
        <v>32760</v>
      </c>
      <c r="H43" s="1">
        <v>35835</v>
      </c>
      <c r="I43" s="1">
        <f t="shared" ref="I43:P43" si="39">+H43*1.02</f>
        <v>36551.699999999997</v>
      </c>
      <c r="J43" s="1">
        <f t="shared" si="39"/>
        <v>37282.733999999997</v>
      </c>
      <c r="K43" s="1">
        <f t="shared" si="39"/>
        <v>38028.388679999996</v>
      </c>
      <c r="L43" s="1">
        <f t="shared" si="39"/>
        <v>38788.956453599996</v>
      </c>
      <c r="M43" s="1">
        <f t="shared" si="39"/>
        <v>39564.735582671994</v>
      </c>
      <c r="N43" s="1">
        <f t="shared" si="39"/>
        <v>40356.030294325436</v>
      </c>
      <c r="O43" s="1">
        <f t="shared" si="39"/>
        <v>41163.150900211942</v>
      </c>
      <c r="P43" s="1">
        <f t="shared" si="39"/>
        <v>41986.413918216182</v>
      </c>
    </row>
    <row r="44" spans="2:16" s="1" customFormat="1" x14ac:dyDescent="0.25">
      <c r="B44" s="2" t="s">
        <v>37</v>
      </c>
      <c r="D44" s="4"/>
      <c r="E44" s="4"/>
      <c r="F44" s="5"/>
      <c r="G44" s="5"/>
    </row>
    <row r="45" spans="2:16" s="1" customFormat="1" x14ac:dyDescent="0.25">
      <c r="B45" s="1" t="s">
        <v>30</v>
      </c>
      <c r="C45" s="4"/>
      <c r="D45" s="4"/>
      <c r="E45" s="4"/>
      <c r="F45" s="1">
        <v>30285</v>
      </c>
      <c r="G45" s="1">
        <v>34943</v>
      </c>
      <c r="H45" s="1">
        <v>45567</v>
      </c>
      <c r="I45" s="1">
        <f>+I51*0.12</f>
        <v>46789.708936082628</v>
      </c>
      <c r="J45" s="1">
        <f t="shared" ref="J45:P45" si="40">+J51*0.12</f>
        <v>48923.873580656029</v>
      </c>
      <c r="K45" s="1">
        <f t="shared" si="40"/>
        <v>51112.516512505033</v>
      </c>
      <c r="L45" s="1">
        <f t="shared" si="40"/>
        <v>53432.954012360329</v>
      </c>
      <c r="M45" s="1">
        <f t="shared" si="40"/>
        <v>55896.437189662371</v>
      </c>
      <c r="N45" s="1">
        <f t="shared" si="40"/>
        <v>58515.434923037086</v>
      </c>
      <c r="O45" s="1">
        <f t="shared" si="40"/>
        <v>61303.780512628036</v>
      </c>
      <c r="P45" s="1">
        <f t="shared" si="40"/>
        <v>64276.836707738083</v>
      </c>
    </row>
    <row r="46" spans="2:16" s="1" customFormat="1" x14ac:dyDescent="0.25">
      <c r="B46" s="1" t="s">
        <v>31</v>
      </c>
      <c r="F46" s="1">
        <v>8397</v>
      </c>
      <c r="G46" s="1">
        <v>8537</v>
      </c>
      <c r="H46" s="1">
        <v>9140</v>
      </c>
      <c r="I46" s="1">
        <f>+H46*1.02</f>
        <v>9322.7999999999993</v>
      </c>
      <c r="J46" s="1">
        <f t="shared" ref="J46:P46" si="41">+I46*1.02</f>
        <v>9509.2559999999994</v>
      </c>
      <c r="K46" s="1">
        <f t="shared" si="41"/>
        <v>9699.4411199999995</v>
      </c>
      <c r="L46" s="1">
        <f t="shared" si="41"/>
        <v>9893.4299424000001</v>
      </c>
      <c r="M46" s="1">
        <f t="shared" si="41"/>
        <v>10091.298541248001</v>
      </c>
      <c r="N46" s="1">
        <f t="shared" si="41"/>
        <v>10293.124512072962</v>
      </c>
      <c r="O46" s="1">
        <f t="shared" si="41"/>
        <v>10498.987002314421</v>
      </c>
      <c r="P46" s="1">
        <f t="shared" si="41"/>
        <v>10708.96674236071</v>
      </c>
    </row>
    <row r="47" spans="2:16" s="1" customFormat="1" x14ac:dyDescent="0.25">
      <c r="B47" s="1" t="s">
        <v>32</v>
      </c>
      <c r="F47" s="1">
        <v>3476</v>
      </c>
      <c r="G47" s="1">
        <v>4076</v>
      </c>
      <c r="H47" s="1">
        <v>5550</v>
      </c>
      <c r="I47" s="1">
        <f t="shared" ref="I47:P47" si="42">+H47*0.99</f>
        <v>5494.5</v>
      </c>
      <c r="J47" s="1">
        <f t="shared" si="42"/>
        <v>5439.5550000000003</v>
      </c>
      <c r="K47" s="1">
        <f t="shared" si="42"/>
        <v>5385.1594500000001</v>
      </c>
      <c r="L47" s="1">
        <f t="shared" si="42"/>
        <v>5331.3078555000002</v>
      </c>
      <c r="M47" s="1">
        <f t="shared" si="42"/>
        <v>5277.994776945</v>
      </c>
      <c r="N47" s="1">
        <f t="shared" si="42"/>
        <v>5225.2148291755502</v>
      </c>
      <c r="O47" s="1">
        <f t="shared" si="42"/>
        <v>5172.9626808837947</v>
      </c>
      <c r="P47" s="1">
        <f t="shared" si="42"/>
        <v>5121.2330540749572</v>
      </c>
    </row>
    <row r="48" spans="2:16" s="1" customFormat="1" x14ac:dyDescent="0.25">
      <c r="B48" s="1" t="s">
        <v>33</v>
      </c>
      <c r="F48" s="1">
        <v>-2584</v>
      </c>
      <c r="G48" s="1">
        <v>826</v>
      </c>
      <c r="H48" s="1">
        <v>17422</v>
      </c>
      <c r="I48" s="1">
        <f t="shared" ref="I48:P48" si="43">+H48*1.02</f>
        <v>17770.439999999999</v>
      </c>
      <c r="J48" s="1">
        <f t="shared" si="43"/>
        <v>18125.8488</v>
      </c>
      <c r="K48" s="1">
        <f t="shared" si="43"/>
        <v>18488.365775999999</v>
      </c>
      <c r="L48" s="1">
        <f t="shared" si="43"/>
        <v>18858.133091519998</v>
      </c>
      <c r="M48" s="1">
        <f t="shared" si="43"/>
        <v>19235.295753350398</v>
      </c>
      <c r="N48" s="1">
        <f t="shared" si="43"/>
        <v>19620.001668417404</v>
      </c>
      <c r="O48" s="1">
        <f t="shared" si="43"/>
        <v>20012.401701785751</v>
      </c>
      <c r="P48" s="1">
        <f t="shared" si="43"/>
        <v>20412.649735821466</v>
      </c>
    </row>
    <row r="49" spans="2:16" s="1" customFormat="1" x14ac:dyDescent="0.25">
      <c r="F49" s="5"/>
      <c r="G49" s="5"/>
    </row>
    <row r="50" spans="2:16" s="2" customFormat="1" x14ac:dyDescent="0.25">
      <c r="B50" s="2" t="s">
        <v>34</v>
      </c>
      <c r="F50" s="2">
        <f>+SUM(F51:F54)</f>
        <v>994645</v>
      </c>
      <c r="G50" s="2">
        <f t="shared" ref="G50:P50" si="44">+SUM(G51:G54)</f>
        <v>1101878</v>
      </c>
      <c r="H50" s="2">
        <f>+SUM(H51:H54)</f>
        <v>1230051</v>
      </c>
      <c r="I50" s="2">
        <f>+SUM(I51:I54)</f>
        <v>1301338.7429714447</v>
      </c>
      <c r="J50" s="2">
        <f t="shared" si="44"/>
        <v>1346945.8633637475</v>
      </c>
      <c r="K50" s="2">
        <f t="shared" si="44"/>
        <v>1393460.2973497715</v>
      </c>
      <c r="L50" s="2">
        <f t="shared" si="44"/>
        <v>1442671.1723622619</v>
      </c>
      <c r="M50" s="2">
        <f t="shared" si="44"/>
        <v>1494803.7480491786</v>
      </c>
      <c r="N50" s="2">
        <f t="shared" si="44"/>
        <v>1550107.3320234648</v>
      </c>
      <c r="O50" s="2">
        <f t="shared" si="44"/>
        <v>1608858.1048374772</v>
      </c>
      <c r="P50" s="2">
        <f t="shared" si="44"/>
        <v>1671362.2881732963</v>
      </c>
    </row>
    <row r="51" spans="2:16" s="1" customFormat="1" x14ac:dyDescent="0.25">
      <c r="B51" s="1" t="s">
        <v>30</v>
      </c>
      <c r="F51" s="1">
        <f>+F29+F35+F40+F45</f>
        <v>290019</v>
      </c>
      <c r="G51" s="1">
        <f>+G29+G35+G40+G45</f>
        <v>317552</v>
      </c>
      <c r="H51" s="1">
        <f>+H29+H35+H40+H45</f>
        <v>369197</v>
      </c>
      <c r="I51" s="1">
        <f>+I99*I100</f>
        <v>389914.2411340219</v>
      </c>
      <c r="J51" s="1">
        <f t="shared" ref="I51:P51" si="45">+J99*J100</f>
        <v>407698.94650546694</v>
      </c>
      <c r="K51" s="1">
        <f t="shared" si="45"/>
        <v>425937.6376042086</v>
      </c>
      <c r="L51" s="1">
        <f t="shared" si="45"/>
        <v>445274.6167696694</v>
      </c>
      <c r="M51" s="1">
        <f t="shared" si="45"/>
        <v>465803.64324718644</v>
      </c>
      <c r="N51" s="1">
        <f t="shared" si="45"/>
        <v>487628.62435864238</v>
      </c>
      <c r="O51" s="1">
        <f t="shared" si="45"/>
        <v>510864.83760523365</v>
      </c>
      <c r="P51" s="1">
        <f t="shared" si="45"/>
        <v>535640.30589781736</v>
      </c>
    </row>
    <row r="52" spans="2:16" s="1" customFormat="1" x14ac:dyDescent="0.25">
      <c r="B52" s="1" t="s">
        <v>31</v>
      </c>
      <c r="F52" s="1">
        <f t="shared" ref="F52:H54" si="46">+F46+F41+F36+F30</f>
        <v>572582</v>
      </c>
      <c r="G52" s="1">
        <f t="shared" si="46"/>
        <v>644356</v>
      </c>
      <c r="H52" s="1">
        <f t="shared" si="46"/>
        <v>675607</v>
      </c>
      <c r="I52" s="1">
        <f>+I46+I41+I36+I30</f>
        <v>726097.25183742284</v>
      </c>
      <c r="J52" s="1">
        <f t="shared" ref="I52:P52" si="47">+J46+J41+J36+J30</f>
        <v>753801.56495828042</v>
      </c>
      <c r="K52" s="1">
        <f t="shared" si="47"/>
        <v>781920.95947656292</v>
      </c>
      <c r="L52" s="1">
        <f t="shared" si="47"/>
        <v>811599.85440052254</v>
      </c>
      <c r="M52" s="1">
        <f t="shared" si="47"/>
        <v>842969.3323375677</v>
      </c>
      <c r="N52" s="1">
        <f t="shared" si="47"/>
        <v>876174.36387508153</v>
      </c>
      <c r="O52" s="1">
        <f t="shared" si="47"/>
        <v>911375.41024944012</v>
      </c>
      <c r="P52" s="1">
        <f t="shared" si="47"/>
        <v>948750.2160989244</v>
      </c>
    </row>
    <row r="53" spans="2:16" s="1" customFormat="1" x14ac:dyDescent="0.25">
      <c r="B53" s="1" t="s">
        <v>32</v>
      </c>
      <c r="F53" s="1">
        <f t="shared" si="46"/>
        <v>69000</v>
      </c>
      <c r="G53" s="1">
        <f t="shared" si="46"/>
        <v>71041</v>
      </c>
      <c r="H53" s="1">
        <f t="shared" si="46"/>
        <v>92591</v>
      </c>
      <c r="I53" s="1">
        <f t="shared" ref="I53:P53" si="48">+I47+I42+I37+I31</f>
        <v>91665.09</v>
      </c>
      <c r="J53" s="1">
        <f t="shared" si="48"/>
        <v>90748.439100000003</v>
      </c>
      <c r="K53" s="1">
        <f t="shared" si="48"/>
        <v>89840.954708999998</v>
      </c>
      <c r="L53" s="1">
        <f t="shared" si="48"/>
        <v>88942.545161910006</v>
      </c>
      <c r="M53" s="1">
        <f t="shared" si="48"/>
        <v>88053.119710290906</v>
      </c>
      <c r="N53" s="1">
        <f t="shared" si="48"/>
        <v>87172.588513187991</v>
      </c>
      <c r="O53" s="1">
        <f t="shared" si="48"/>
        <v>86300.862628056115</v>
      </c>
      <c r="P53" s="1">
        <f t="shared" si="48"/>
        <v>85437.854001775559</v>
      </c>
    </row>
    <row r="54" spans="2:16" s="1" customFormat="1" x14ac:dyDescent="0.25">
      <c r="B54" s="1" t="s">
        <v>33</v>
      </c>
      <c r="F54" s="1">
        <f t="shared" si="46"/>
        <v>63044</v>
      </c>
      <c r="G54" s="1">
        <f t="shared" si="46"/>
        <v>68929</v>
      </c>
      <c r="H54" s="1">
        <f t="shared" si="46"/>
        <v>92656</v>
      </c>
      <c r="I54" s="1">
        <f t="shared" ref="I54:P54" si="49">+I48+I43+I38+I32</f>
        <v>93662.16</v>
      </c>
      <c r="J54" s="1">
        <f t="shared" si="49"/>
        <v>94696.912799999991</v>
      </c>
      <c r="K54" s="1">
        <f t="shared" si="49"/>
        <v>95760.74556000001</v>
      </c>
      <c r="L54" s="1">
        <f t="shared" si="49"/>
        <v>96854.156030159982</v>
      </c>
      <c r="M54" s="1">
        <f t="shared" si="49"/>
        <v>97977.652754133596</v>
      </c>
      <c r="N54" s="1">
        <f t="shared" si="49"/>
        <v>99131.755276552954</v>
      </c>
      <c r="O54" s="1">
        <f t="shared" si="49"/>
        <v>100316.99435474735</v>
      </c>
      <c r="P54" s="1">
        <f t="shared" si="49"/>
        <v>101533.91217477899</v>
      </c>
    </row>
    <row r="55" spans="2:16" s="1" customFormat="1" x14ac:dyDescent="0.25"/>
    <row r="56" spans="2:16" s="1" customFormat="1" x14ac:dyDescent="0.25"/>
    <row r="57" spans="2:16" s="2" customFormat="1" x14ac:dyDescent="0.25">
      <c r="B57" s="2" t="s">
        <v>0</v>
      </c>
      <c r="F57" s="2">
        <v>1116345</v>
      </c>
      <c r="G57" s="2">
        <v>1215254</v>
      </c>
      <c r="H57" s="2">
        <v>1305926</v>
      </c>
      <c r="I57" s="2">
        <f t="shared" ref="I57:P57" si="50">+I22</f>
        <v>1369469.4200000002</v>
      </c>
      <c r="J57" s="2">
        <f t="shared" si="50"/>
        <v>1421864.2874</v>
      </c>
      <c r="K57" s="2">
        <f t="shared" si="50"/>
        <v>1475030.304116</v>
      </c>
      <c r="L57" s="2">
        <f t="shared" si="50"/>
        <v>1531152.4554566604</v>
      </c>
      <c r="M57" s="2">
        <f t="shared" si="50"/>
        <v>1590479.5983835848</v>
      </c>
      <c r="N57" s="2">
        <f t="shared" si="50"/>
        <v>1653286.954784384</v>
      </c>
      <c r="O57" s="2">
        <f t="shared" si="50"/>
        <v>1719879.1509847334</v>
      </c>
      <c r="P57" s="2">
        <f t="shared" si="50"/>
        <v>1790593.61724112</v>
      </c>
    </row>
    <row r="58" spans="2:16" s="1" customFormat="1" x14ac:dyDescent="0.25">
      <c r="B58" s="1" t="s">
        <v>1</v>
      </c>
      <c r="F58" s="1">
        <v>819541</v>
      </c>
      <c r="G58" s="1">
        <v>894061</v>
      </c>
      <c r="H58" s="1">
        <v>963635</v>
      </c>
      <c r="I58" s="1">
        <f t="shared" ref="I58:P58" si="51">+SUM(I29:I32)</f>
        <v>1032117.5888363927</v>
      </c>
      <c r="J58" s="1">
        <f t="shared" si="51"/>
        <v>1069304.3202191466</v>
      </c>
      <c r="K58" s="1">
        <f t="shared" si="51"/>
        <v>1107188.1657480071</v>
      </c>
      <c r="L58" s="1">
        <f t="shared" si="51"/>
        <v>1147291.2804276198</v>
      </c>
      <c r="M58" s="1">
        <f t="shared" si="51"/>
        <v>1189800.5437184465</v>
      </c>
      <c r="N58" s="1">
        <f t="shared" si="51"/>
        <v>1234922.7871753795</v>
      </c>
      <c r="O58" s="1">
        <f t="shared" si="51"/>
        <v>1282887.1293376707</v>
      </c>
      <c r="P58" s="1">
        <f t="shared" si="51"/>
        <v>1333947.5927453912</v>
      </c>
    </row>
    <row r="59" spans="2:16" s="1" customFormat="1" x14ac:dyDescent="0.25">
      <c r="B59" s="1" t="s">
        <v>2</v>
      </c>
      <c r="F59" s="1">
        <f>+F57-F58</f>
        <v>296804</v>
      </c>
      <c r="G59" s="1">
        <f t="shared" ref="G59:I59" si="52">+G57-G58</f>
        <v>321193</v>
      </c>
      <c r="H59" s="1">
        <f t="shared" si="52"/>
        <v>342291</v>
      </c>
      <c r="I59" s="1">
        <f t="shared" si="52"/>
        <v>337351.83116360742</v>
      </c>
      <c r="J59" s="1">
        <f t="shared" ref="J59" si="53">+J57-J58</f>
        <v>352559.96718085348</v>
      </c>
      <c r="K59" s="1">
        <f t="shared" ref="K59" si="54">+K57-K58</f>
        <v>367842.13836799283</v>
      </c>
      <c r="L59" s="1">
        <f t="shared" ref="L59" si="55">+L57-L58</f>
        <v>383861.17502904055</v>
      </c>
      <c r="M59" s="1">
        <f t="shared" ref="M59" si="56">+M57-M58</f>
        <v>400679.05466513825</v>
      </c>
      <c r="N59" s="1">
        <f t="shared" ref="N59" si="57">+N57-N58</f>
        <v>418364.16760900454</v>
      </c>
      <c r="O59" s="1">
        <f t="shared" ref="O59" si="58">+O57-O58</f>
        <v>436992.02164706262</v>
      </c>
      <c r="P59" s="1">
        <f t="shared" ref="P59" si="59">+P57-P58</f>
        <v>456646.02449572878</v>
      </c>
    </row>
    <row r="60" spans="2:16" s="1" customFormat="1" x14ac:dyDescent="0.25">
      <c r="B60" s="1" t="s">
        <v>3</v>
      </c>
      <c r="F60" s="1">
        <v>31783</v>
      </c>
      <c r="G60" s="1">
        <v>31132</v>
      </c>
      <c r="H60" s="1">
        <v>34378</v>
      </c>
      <c r="I60" s="1">
        <f>+SUM(I35:I38)-I34</f>
        <v>45952.624070824924</v>
      </c>
      <c r="J60" s="1">
        <f t="shared" ref="I60:P60" si="60">+SUM(J35:J38)-J34</f>
        <v>48518.759785227114</v>
      </c>
      <c r="K60" s="1">
        <f t="shared" si="60"/>
        <v>51150.102106359758</v>
      </c>
      <c r="L60" s="1">
        <f t="shared" si="60"/>
        <v>53932.431664396034</v>
      </c>
      <c r="M60" s="1">
        <f t="shared" si="60"/>
        <v>56878.3087074871</v>
      </c>
      <c r="N60" s="1">
        <f t="shared" si="60"/>
        <v>60001.645063634656</v>
      </c>
      <c r="O60" s="1">
        <f t="shared" si="60"/>
        <v>63317.866717269586</v>
      </c>
      <c r="P60" s="1">
        <f t="shared" si="60"/>
        <v>66844.096752544661</v>
      </c>
    </row>
    <row r="61" spans="2:16" s="1" customFormat="1" x14ac:dyDescent="0.25">
      <c r="B61" s="1" t="s">
        <v>4</v>
      </c>
      <c r="F61" s="1">
        <v>87035</v>
      </c>
      <c r="G61" s="1">
        <v>104421</v>
      </c>
      <c r="H61" s="1">
        <v>126204</v>
      </c>
      <c r="I61" s="1">
        <f>+SUM(I40:I43)</f>
        <v>130519.62322742284</v>
      </c>
      <c r="J61" s="1">
        <f t="shared" ref="I61:P61" si="61">+SUM(J40:J43)</f>
        <v>134055.1320693107</v>
      </c>
      <c r="K61" s="1">
        <f t="shared" si="61"/>
        <v>137677.48647617112</v>
      </c>
      <c r="L61" s="1">
        <f t="shared" si="61"/>
        <v>141501.30385355026</v>
      </c>
      <c r="M61" s="1">
        <f t="shared" si="61"/>
        <v>145542.53129724142</v>
      </c>
      <c r="N61" s="1">
        <f t="shared" si="61"/>
        <v>149818.81046584467</v>
      </c>
      <c r="O61" s="1">
        <f t="shared" si="61"/>
        <v>154349.67912421381</v>
      </c>
      <c r="P61" s="1">
        <f t="shared" si="61"/>
        <v>159156.79763562797</v>
      </c>
    </row>
    <row r="62" spans="2:16" s="1" customFormat="1" x14ac:dyDescent="0.25">
      <c r="B62" s="1" t="s">
        <v>5</v>
      </c>
      <c r="F62" s="1">
        <v>39574</v>
      </c>
      <c r="G62" s="1">
        <v>48382</v>
      </c>
      <c r="H62" s="1">
        <v>77679</v>
      </c>
      <c r="I62" s="1">
        <f>+SUM(I45:I48)</f>
        <v>79377.448936082626</v>
      </c>
      <c r="J62" s="1">
        <f t="shared" ref="I62:P62" si="62">+SUM(J45:J48)</f>
        <v>81998.533380656037</v>
      </c>
      <c r="K62" s="1">
        <f t="shared" si="62"/>
        <v>84685.482858505042</v>
      </c>
      <c r="L62" s="1">
        <f t="shared" si="62"/>
        <v>87515.824901780317</v>
      </c>
      <c r="M62" s="1">
        <f t="shared" si="62"/>
        <v>90501.026261205756</v>
      </c>
      <c r="N62" s="1">
        <f t="shared" si="62"/>
        <v>93653.775932702993</v>
      </c>
      <c r="O62" s="1">
        <f t="shared" si="62"/>
        <v>96988.131897612009</v>
      </c>
      <c r="P62" s="1">
        <f t="shared" si="62"/>
        <v>100519.68623999521</v>
      </c>
    </row>
    <row r="63" spans="2:16" s="1" customFormat="1" x14ac:dyDescent="0.25">
      <c r="B63" s="1" t="s">
        <v>6</v>
      </c>
      <c r="F63" s="1">
        <v>4820</v>
      </c>
      <c r="G63" s="1">
        <v>5775</v>
      </c>
      <c r="H63" s="1">
        <v>10550</v>
      </c>
      <c r="I63" s="1">
        <f t="shared" ref="I63:P63" si="63">+H63*1.02</f>
        <v>10761</v>
      </c>
      <c r="J63" s="1">
        <f t="shared" si="63"/>
        <v>10976.22</v>
      </c>
      <c r="K63" s="1">
        <f t="shared" si="63"/>
        <v>11195.7444</v>
      </c>
      <c r="L63" s="1">
        <f t="shared" si="63"/>
        <v>11419.659287999999</v>
      </c>
      <c r="M63" s="1">
        <f t="shared" si="63"/>
        <v>11648.052473759999</v>
      </c>
      <c r="N63" s="1">
        <f t="shared" si="63"/>
        <v>11881.013523235199</v>
      </c>
      <c r="O63" s="1">
        <f t="shared" si="63"/>
        <v>12118.633793699903</v>
      </c>
      <c r="P63" s="1">
        <f t="shared" si="63"/>
        <v>12361.0064695739</v>
      </c>
    </row>
    <row r="64" spans="2:16" s="1" customFormat="1" x14ac:dyDescent="0.25">
      <c r="B64" s="1" t="s">
        <v>7</v>
      </c>
      <c r="F64" s="1">
        <v>1145</v>
      </c>
      <c r="G64" s="1">
        <v>6693</v>
      </c>
      <c r="H64" s="1">
        <v>1250</v>
      </c>
      <c r="I64" s="1">
        <f t="shared" ref="I64:P64" si="64">+H64*1.02</f>
        <v>1275</v>
      </c>
      <c r="J64" s="1">
        <f t="shared" si="64"/>
        <v>1300.5</v>
      </c>
      <c r="K64" s="1">
        <f t="shared" si="64"/>
        <v>1326.51</v>
      </c>
      <c r="L64" s="1">
        <f t="shared" si="64"/>
        <v>1353.0401999999999</v>
      </c>
      <c r="M64" s="1">
        <f t="shared" si="64"/>
        <v>1380.1010039999999</v>
      </c>
      <c r="N64" s="1">
        <f t="shared" si="64"/>
        <v>1407.70302408</v>
      </c>
      <c r="O64" s="1">
        <f t="shared" si="64"/>
        <v>1435.8570845616</v>
      </c>
      <c r="P64" s="1">
        <f t="shared" si="64"/>
        <v>1464.574226252832</v>
      </c>
    </row>
    <row r="65" spans="2:91" s="1" customFormat="1" x14ac:dyDescent="0.25">
      <c r="B65" s="1" t="s">
        <v>8</v>
      </c>
      <c r="F65" s="1">
        <v>129</v>
      </c>
      <c r="G65" s="1">
        <v>797</v>
      </c>
    </row>
    <row r="66" spans="2:91" s="2" customFormat="1" x14ac:dyDescent="0.25">
      <c r="B66" s="2" t="s">
        <v>9</v>
      </c>
      <c r="F66" s="2">
        <f>+F59-F60-F61-F62+F63-F64+F65</f>
        <v>142216</v>
      </c>
      <c r="G66" s="2">
        <f t="shared" ref="G66:I66" si="65">+G59-G60-G61-G62+G63-G64+G65</f>
        <v>137137</v>
      </c>
      <c r="H66" s="2">
        <f t="shared" si="65"/>
        <v>113330</v>
      </c>
      <c r="I66" s="2">
        <f>+I59-I60-I61-I62+I63-I64+I65</f>
        <v>90988.134929277032</v>
      </c>
      <c r="J66" s="2">
        <f t="shared" ref="J66" si="66">+J59-J60-J61-J62+J63-J64+J65</f>
        <v>97663.261945659615</v>
      </c>
      <c r="K66" s="2">
        <f t="shared" ref="K66" si="67">+K59-K60-K61-K62+K63-K64+K65</f>
        <v>104198.30132695688</v>
      </c>
      <c r="L66" s="2">
        <f t="shared" ref="L66" si="68">+L59-L60-L61-L62+L63-L64+L65</f>
        <v>110978.23369731395</v>
      </c>
      <c r="M66" s="2">
        <f t="shared" ref="M66" si="69">+M59-M60-M61-M62+M63-M64+M65</f>
        <v>118025.139868964</v>
      </c>
      <c r="N66" s="2">
        <f t="shared" ref="N66" si="70">+N59-N60-N61-N62+N63-N64+N65</f>
        <v>125363.24664597742</v>
      </c>
      <c r="O66" s="2">
        <f t="shared" ref="O66" si="71">+O59-O60-O61-O62+O63-O64+O65</f>
        <v>133019.12061710551</v>
      </c>
      <c r="P66" s="2">
        <f t="shared" ref="P66" si="72">+P59-P60-P61-P62+P63-P64+P65</f>
        <v>141021.87611088206</v>
      </c>
    </row>
    <row r="67" spans="2:91" s="1" customFormat="1" x14ac:dyDescent="0.25">
      <c r="B67" s="1" t="s">
        <v>11</v>
      </c>
      <c r="F67" s="1">
        <v>15202</v>
      </c>
      <c r="G67" s="1">
        <v>6869</v>
      </c>
      <c r="H67" s="1">
        <v>19675</v>
      </c>
      <c r="I67" s="1">
        <f>+H67*0.8</f>
        <v>15740</v>
      </c>
      <c r="J67" s="1">
        <f>+I67*0.8</f>
        <v>12592</v>
      </c>
      <c r="K67" s="1">
        <f>+J67*1.02</f>
        <v>12843.84</v>
      </c>
      <c r="L67" s="1">
        <f t="shared" ref="L67:P67" si="73">+K67*1.02</f>
        <v>13100.7168</v>
      </c>
      <c r="M67" s="1">
        <f t="shared" si="73"/>
        <v>13362.731136</v>
      </c>
      <c r="N67" s="1">
        <f t="shared" si="73"/>
        <v>13629.98575872</v>
      </c>
      <c r="O67" s="1">
        <f t="shared" si="73"/>
        <v>13902.5854738944</v>
      </c>
      <c r="P67" s="1">
        <f t="shared" si="73"/>
        <v>14180.637183372288</v>
      </c>
    </row>
    <row r="68" spans="2:91" s="1" customFormat="1" x14ac:dyDescent="0.25">
      <c r="B68" s="1" t="s">
        <v>12</v>
      </c>
      <c r="F68" s="1">
        <v>14167</v>
      </c>
      <c r="G68" s="1">
        <v>24681</v>
      </c>
      <c r="H68" s="1">
        <v>32650</v>
      </c>
      <c r="I68" s="1">
        <f>+I91*I97</f>
        <v>61601.126400000001</v>
      </c>
      <c r="J68" s="1">
        <f t="shared" ref="I68:P68" si="74">+J91*J97</f>
        <v>53361.975743999996</v>
      </c>
      <c r="K68" s="1">
        <f t="shared" si="74"/>
        <v>45281.447988479988</v>
      </c>
      <c r="L68" s="1">
        <f t="shared" si="74"/>
        <v>41092.914049545594</v>
      </c>
      <c r="M68" s="1">
        <f t="shared" si="74"/>
        <v>40681.984909050138</v>
      </c>
      <c r="N68" s="1">
        <f t="shared" si="74"/>
        <v>40275.16505995964</v>
      </c>
      <c r="O68" s="1">
        <f>+O91*O97</f>
        <v>39872.413409360044</v>
      </c>
      <c r="P68" s="1">
        <f t="shared" si="74"/>
        <v>39473.689275266443</v>
      </c>
    </row>
    <row r="69" spans="2:91" s="1" customFormat="1" x14ac:dyDescent="0.25">
      <c r="B69" s="1" t="s">
        <v>13</v>
      </c>
      <c r="F69" s="1">
        <f>+F66+F67-F68</f>
        <v>143251</v>
      </c>
      <c r="G69" s="1">
        <f t="shared" ref="G69:I69" si="75">+G66+G67-G68</f>
        <v>119325</v>
      </c>
      <c r="H69" s="1">
        <f t="shared" si="75"/>
        <v>100355</v>
      </c>
      <c r="I69" s="1">
        <f>+I66+I67-I68</f>
        <v>45127.008529277031</v>
      </c>
      <c r="J69" s="1">
        <f t="shared" ref="J69" si="76">+J66+J67-J68</f>
        <v>56893.286201659619</v>
      </c>
      <c r="K69" s="1">
        <f t="shared" ref="K69" si="77">+K66+K67-K68</f>
        <v>71760.693338476878</v>
      </c>
      <c r="L69" s="1">
        <f t="shared" ref="L69" si="78">+L66+L67-L68</f>
        <v>82986.036447768347</v>
      </c>
      <c r="M69" s="1">
        <f t="shared" ref="M69" si="79">+M66+M67-M68</f>
        <v>90705.886095913855</v>
      </c>
      <c r="N69" s="1">
        <f t="shared" ref="N69" si="80">+N66+N67-N68</f>
        <v>98718.067344737792</v>
      </c>
      <c r="O69" s="1">
        <f t="shared" ref="O69" si="81">+O66+O67-O68</f>
        <v>107049.29268163987</v>
      </c>
      <c r="P69" s="1">
        <f t="shared" ref="P69" si="82">+P66+P67-P68</f>
        <v>115728.8240189879</v>
      </c>
    </row>
    <row r="70" spans="2:91" s="1" customFormat="1" x14ac:dyDescent="0.25">
      <c r="B70" s="1" t="s">
        <v>10</v>
      </c>
      <c r="F70" s="1">
        <v>38910</v>
      </c>
      <c r="G70" s="1">
        <v>16012</v>
      </c>
      <c r="H70" s="1">
        <v>28325</v>
      </c>
      <c r="I70" s="1">
        <f>+I69*0.27</f>
        <v>12184.2923029048</v>
      </c>
      <c r="J70" s="1">
        <f>+J69*0.26</f>
        <v>14792.254412431501</v>
      </c>
      <c r="K70" s="1">
        <f>+K69*0.25</f>
        <v>17940.17333461922</v>
      </c>
      <c r="L70" s="1">
        <f>+L69*0.24</f>
        <v>19916.648747464402</v>
      </c>
      <c r="M70" s="1">
        <f>+M69*0.23</f>
        <v>20862.353802060188</v>
      </c>
      <c r="N70" s="1">
        <f>+N69*0.23</f>
        <v>22705.155489289693</v>
      </c>
      <c r="O70" s="1">
        <f>+O69*0.23</f>
        <v>24621.337316777172</v>
      </c>
      <c r="P70" s="1">
        <f>+P69*0.23</f>
        <v>26617.629524367218</v>
      </c>
    </row>
    <row r="71" spans="2:91" s="2" customFormat="1" x14ac:dyDescent="0.25">
      <c r="B71" s="2" t="s">
        <v>14</v>
      </c>
      <c r="F71" s="2">
        <f>+F69-F70</f>
        <v>104341</v>
      </c>
      <c r="G71" s="2">
        <f t="shared" ref="G71:I71" si="83">+G69-G70</f>
        <v>103313</v>
      </c>
      <c r="H71" s="2">
        <f t="shared" si="83"/>
        <v>72030</v>
      </c>
      <c r="I71" s="2">
        <f>+I69-I70</f>
        <v>32942.716226372228</v>
      </c>
      <c r="J71" s="2">
        <f t="shared" ref="J71" si="84">+J69-J70</f>
        <v>42101.031789228116</v>
      </c>
      <c r="K71" s="2">
        <f t="shared" ref="K71" si="85">+K69-K70</f>
        <v>53820.520003857659</v>
      </c>
      <c r="L71" s="2">
        <f t="shared" ref="L71" si="86">+L69-L70</f>
        <v>63069.387700303945</v>
      </c>
      <c r="M71" s="2">
        <f t="shared" ref="M71" si="87">+M69-M70</f>
        <v>69843.53229385367</v>
      </c>
      <c r="N71" s="2">
        <f t="shared" ref="N71" si="88">+N69-N70</f>
        <v>76012.911855448096</v>
      </c>
      <c r="O71" s="2">
        <f t="shared" ref="O71" si="89">+O69-O70</f>
        <v>82427.95536486269</v>
      </c>
      <c r="P71" s="2">
        <f t="shared" ref="P71" si="90">+P69-P70</f>
        <v>89111.194494620679</v>
      </c>
    </row>
    <row r="72" spans="2:91" s="1" customFormat="1" x14ac:dyDescent="0.25">
      <c r="B72" s="1" t="s">
        <v>15</v>
      </c>
      <c r="F72" s="1">
        <v>1380</v>
      </c>
      <c r="G72" s="1">
        <v>1529</v>
      </c>
      <c r="H72" s="1">
        <v>1852</v>
      </c>
      <c r="I72" s="1">
        <f t="shared" ref="I72:P72" si="91">+H72*1.02</f>
        <v>1889.04</v>
      </c>
      <c r="J72" s="1">
        <f t="shared" si="91"/>
        <v>1926.8208</v>
      </c>
      <c r="K72" s="1">
        <f t="shared" si="91"/>
        <v>1965.3572160000001</v>
      </c>
      <c r="L72" s="1">
        <f t="shared" si="91"/>
        <v>2004.6643603200002</v>
      </c>
      <c r="M72" s="1">
        <f t="shared" si="91"/>
        <v>2044.7576475264002</v>
      </c>
      <c r="N72" s="1">
        <f t="shared" si="91"/>
        <v>2085.6528004769284</v>
      </c>
      <c r="O72" s="1">
        <f t="shared" si="91"/>
        <v>2127.3658564864672</v>
      </c>
      <c r="P72" s="1">
        <f t="shared" si="91"/>
        <v>2169.9131736161967</v>
      </c>
    </row>
    <row r="73" spans="2:91" s="1" customFormat="1" x14ac:dyDescent="0.25">
      <c r="B73" s="1" t="s">
        <v>16</v>
      </c>
      <c r="F73" s="1">
        <f>+F71-F72</f>
        <v>102961</v>
      </c>
      <c r="G73" s="1">
        <f>+G71-G72</f>
        <v>101784</v>
      </c>
      <c r="H73" s="1">
        <f>+H71-H72</f>
        <v>70178</v>
      </c>
      <c r="I73" s="1">
        <f t="shared" ref="I73:P73" si="92">+I71-I72</f>
        <v>31053.676226372227</v>
      </c>
      <c r="J73" s="1">
        <f t="shared" si="92"/>
        <v>40174.210989228115</v>
      </c>
      <c r="K73" s="1">
        <f t="shared" si="92"/>
        <v>51855.162787857662</v>
      </c>
      <c r="L73" s="1">
        <f t="shared" si="92"/>
        <v>61064.723339983946</v>
      </c>
      <c r="M73" s="1">
        <f t="shared" si="92"/>
        <v>67798.774646327263</v>
      </c>
      <c r="N73" s="1">
        <f t="shared" si="92"/>
        <v>73927.25905497116</v>
      </c>
      <c r="O73" s="1">
        <f t="shared" si="92"/>
        <v>80300.58950837623</v>
      </c>
      <c r="P73" s="1">
        <f t="shared" si="92"/>
        <v>86941.281321004484</v>
      </c>
      <c r="Q73" s="1">
        <f t="shared" ref="Q73:AV73" si="93">+P73*(1+TR)</f>
        <v>86071.868507794439</v>
      </c>
      <c r="R73" s="1">
        <f t="shared" si="93"/>
        <v>85211.149822716499</v>
      </c>
      <c r="S73" s="1">
        <f t="shared" si="93"/>
        <v>84359.038324489331</v>
      </c>
      <c r="T73" s="1">
        <f t="shared" si="93"/>
        <v>83515.447941244434</v>
      </c>
      <c r="U73" s="1">
        <f t="shared" si="93"/>
        <v>82680.293461831985</v>
      </c>
      <c r="V73" s="1">
        <f t="shared" si="93"/>
        <v>81853.490527213668</v>
      </c>
      <c r="W73" s="1">
        <f t="shared" si="93"/>
        <v>81034.955621941524</v>
      </c>
      <c r="X73" s="1">
        <f t="shared" si="93"/>
        <v>80224.60606572211</v>
      </c>
      <c r="Y73" s="1">
        <f t="shared" si="93"/>
        <v>79422.360005064882</v>
      </c>
      <c r="Z73" s="1">
        <f t="shared" si="93"/>
        <v>78628.136405014229</v>
      </c>
      <c r="AA73" s="1">
        <f t="shared" si="93"/>
        <v>77841.855040964088</v>
      </c>
      <c r="AB73" s="1">
        <f t="shared" si="93"/>
        <v>77063.43649055445</v>
      </c>
      <c r="AC73" s="1">
        <f t="shared" si="93"/>
        <v>76292.802125648901</v>
      </c>
      <c r="AD73" s="1">
        <f t="shared" si="93"/>
        <v>75529.874104392409</v>
      </c>
      <c r="AE73" s="1">
        <f t="shared" si="93"/>
        <v>74774.575363348486</v>
      </c>
      <c r="AF73" s="1">
        <f t="shared" si="93"/>
        <v>74026.829609715001</v>
      </c>
      <c r="AG73" s="1">
        <f t="shared" si="93"/>
        <v>73286.561313617844</v>
      </c>
      <c r="AH73" s="1">
        <f t="shared" si="93"/>
        <v>72553.695700481665</v>
      </c>
      <c r="AI73" s="1">
        <f t="shared" si="93"/>
        <v>71828.158743476844</v>
      </c>
      <c r="AJ73" s="1">
        <f t="shared" si="93"/>
        <v>71109.877156042072</v>
      </c>
      <c r="AK73" s="1">
        <f t="shared" si="93"/>
        <v>70398.778384481644</v>
      </c>
      <c r="AL73" s="1">
        <f t="shared" si="93"/>
        <v>69694.790600636828</v>
      </c>
      <c r="AM73" s="1">
        <f t="shared" si="93"/>
        <v>68997.842694630453</v>
      </c>
      <c r="AN73" s="1">
        <f t="shared" si="93"/>
        <v>68307.864267684155</v>
      </c>
      <c r="AO73" s="1">
        <f t="shared" si="93"/>
        <v>67624.785625007309</v>
      </c>
      <c r="AP73" s="1">
        <f t="shared" si="93"/>
        <v>66948.537768757233</v>
      </c>
      <c r="AQ73" s="1">
        <f t="shared" si="93"/>
        <v>66279.052391069665</v>
      </c>
      <c r="AR73" s="1">
        <f t="shared" si="93"/>
        <v>65616.261867158973</v>
      </c>
      <c r="AS73" s="1">
        <f t="shared" si="93"/>
        <v>64960.099248487386</v>
      </c>
      <c r="AT73" s="1">
        <f t="shared" si="93"/>
        <v>64310.498256002509</v>
      </c>
      <c r="AU73" s="1">
        <f t="shared" si="93"/>
        <v>63667.393273442482</v>
      </c>
      <c r="AV73" s="1">
        <f t="shared" si="93"/>
        <v>63030.719340708056</v>
      </c>
      <c r="AW73" s="1">
        <f t="shared" ref="AW73:CB73" si="94">+AV73*(1+TR)</f>
        <v>62400.412147300973</v>
      </c>
      <c r="AX73" s="1">
        <f t="shared" si="94"/>
        <v>61776.408025827965</v>
      </c>
      <c r="AY73" s="1">
        <f t="shared" si="94"/>
        <v>61158.643945569682</v>
      </c>
      <c r="AZ73" s="1">
        <f t="shared" si="94"/>
        <v>60547.057506113983</v>
      </c>
      <c r="BA73" s="1">
        <f t="shared" si="94"/>
        <v>59941.586931052843</v>
      </c>
      <c r="BB73" s="1">
        <f t="shared" si="94"/>
        <v>59342.171061742316</v>
      </c>
      <c r="BC73" s="1">
        <f t="shared" si="94"/>
        <v>58748.74935112489</v>
      </c>
      <c r="BD73" s="1">
        <f t="shared" si="94"/>
        <v>58161.261857613637</v>
      </c>
      <c r="BE73" s="1">
        <f t="shared" si="94"/>
        <v>57579.649239037499</v>
      </c>
      <c r="BF73" s="1">
        <f t="shared" si="94"/>
        <v>57003.852746647121</v>
      </c>
      <c r="BG73" s="1">
        <f t="shared" si="94"/>
        <v>56433.814219180647</v>
      </c>
      <c r="BH73" s="1">
        <f t="shared" si="94"/>
        <v>55869.476076988838</v>
      </c>
      <c r="BI73" s="1">
        <f t="shared" si="94"/>
        <v>55310.781316218949</v>
      </c>
      <c r="BJ73" s="1">
        <f t="shared" si="94"/>
        <v>54757.673503056758</v>
      </c>
      <c r="BK73" s="1">
        <f t="shared" si="94"/>
        <v>54210.096768026189</v>
      </c>
      <c r="BL73" s="1">
        <f t="shared" si="94"/>
        <v>53667.995800345925</v>
      </c>
      <c r="BM73" s="1">
        <f t="shared" si="94"/>
        <v>53131.315842342468</v>
      </c>
      <c r="BN73" s="1">
        <f t="shared" si="94"/>
        <v>52600.002683919047</v>
      </c>
      <c r="BO73" s="1">
        <f t="shared" si="94"/>
        <v>52074.002657079858</v>
      </c>
      <c r="BP73" s="1">
        <f t="shared" si="94"/>
        <v>51553.26263050906</v>
      </c>
      <c r="BQ73" s="1">
        <f t="shared" si="94"/>
        <v>51037.730004203971</v>
      </c>
      <c r="BR73" s="1">
        <f t="shared" si="94"/>
        <v>50527.352704161931</v>
      </c>
      <c r="BS73" s="1">
        <f t="shared" si="94"/>
        <v>50022.079177120308</v>
      </c>
      <c r="BT73" s="1">
        <f t="shared" si="94"/>
        <v>49521.858385349107</v>
      </c>
      <c r="BU73" s="1">
        <f t="shared" si="94"/>
        <v>49026.639801495614</v>
      </c>
      <c r="BV73" s="1">
        <f t="shared" si="94"/>
        <v>48536.373403480655</v>
      </c>
      <c r="BW73" s="1">
        <f t="shared" si="94"/>
        <v>48051.009669445848</v>
      </c>
      <c r="BX73" s="1">
        <f t="shared" si="94"/>
        <v>47570.499572751389</v>
      </c>
      <c r="BY73" s="1">
        <f t="shared" si="94"/>
        <v>47094.794577023873</v>
      </c>
      <c r="BZ73" s="1">
        <f t="shared" si="94"/>
        <v>46623.846631253633</v>
      </c>
      <c r="CA73" s="1">
        <f t="shared" si="94"/>
        <v>46157.608164941099</v>
      </c>
      <c r="CB73" s="1">
        <f t="shared" si="94"/>
        <v>45696.032083291684</v>
      </c>
      <c r="CC73" s="1">
        <f t="shared" ref="CC73:CM73" si="95">+CB73*(1+TR)</f>
        <v>45239.071762458763</v>
      </c>
      <c r="CD73" s="1">
        <f t="shared" si="95"/>
        <v>44786.681044834178</v>
      </c>
      <c r="CE73" s="1">
        <f t="shared" si="95"/>
        <v>44338.814234385834</v>
      </c>
      <c r="CF73" s="1">
        <f t="shared" si="95"/>
        <v>43895.426092041977</v>
      </c>
      <c r="CG73" s="1">
        <f t="shared" si="95"/>
        <v>43456.471831121555</v>
      </c>
      <c r="CH73" s="1">
        <f t="shared" si="95"/>
        <v>43021.907112810339</v>
      </c>
      <c r="CI73" s="1">
        <f t="shared" si="95"/>
        <v>42591.688041682231</v>
      </c>
      <c r="CJ73" s="1">
        <f t="shared" si="95"/>
        <v>42165.771161265409</v>
      </c>
      <c r="CK73" s="1">
        <f t="shared" si="95"/>
        <v>41744.113449652752</v>
      </c>
      <c r="CL73" s="1">
        <f t="shared" si="95"/>
        <v>41326.672315156226</v>
      </c>
      <c r="CM73" s="1">
        <f t="shared" si="95"/>
        <v>40913.405592004659</v>
      </c>
    </row>
    <row r="74" spans="2:91" s="1" customFormat="1" x14ac:dyDescent="0.25">
      <c r="B74" s="1" t="s">
        <v>57</v>
      </c>
      <c r="F74" s="1">
        <v>24700</v>
      </c>
      <c r="G74" s="1">
        <v>24700</v>
      </c>
      <c r="H74" s="1">
        <v>24700</v>
      </c>
      <c r="I74" s="1">
        <v>24700</v>
      </c>
      <c r="J74" s="1">
        <v>24700</v>
      </c>
      <c r="K74" s="1">
        <v>24700</v>
      </c>
      <c r="L74" s="1">
        <v>24700</v>
      </c>
      <c r="M74" s="1">
        <v>24700</v>
      </c>
      <c r="N74" s="1">
        <v>24700</v>
      </c>
      <c r="O74" s="1">
        <v>24700</v>
      </c>
      <c r="P74" s="1">
        <v>24700</v>
      </c>
    </row>
    <row r="75" spans="2:91" s="3" customFormat="1" x14ac:dyDescent="0.25">
      <c r="B75" s="3" t="s">
        <v>58</v>
      </c>
      <c r="F75" s="3">
        <f>+F73/F74</f>
        <v>4.1684615384615382</v>
      </c>
      <c r="G75" s="3">
        <f>+G73/G74</f>
        <v>4.1208097165991902</v>
      </c>
      <c r="H75" s="3">
        <f>+H73/H74</f>
        <v>2.8412145748987854</v>
      </c>
      <c r="I75" s="3">
        <f t="shared" ref="I75:P75" si="96">+I73/I74</f>
        <v>1.2572338553187137</v>
      </c>
      <c r="J75" s="3">
        <f t="shared" si="96"/>
        <v>1.6264862748675351</v>
      </c>
      <c r="K75" s="3">
        <f t="shared" si="96"/>
        <v>2.0993993031521319</v>
      </c>
      <c r="L75" s="3">
        <f t="shared" si="96"/>
        <v>2.4722560056673664</v>
      </c>
      <c r="M75" s="3">
        <f t="shared" si="96"/>
        <v>2.7448896617946259</v>
      </c>
      <c r="N75" s="3">
        <f t="shared" si="96"/>
        <v>2.9930064394725164</v>
      </c>
      <c r="O75" s="3">
        <f t="shared" si="96"/>
        <v>3.2510360124848674</v>
      </c>
      <c r="P75" s="3">
        <f t="shared" si="96"/>
        <v>3.5198899320244732</v>
      </c>
    </row>
    <row r="76" spans="2:91" s="1" customFormat="1" x14ac:dyDescent="0.25">
      <c r="F76" s="4"/>
      <c r="G76" s="4"/>
    </row>
    <row r="77" spans="2:91" s="6" customFormat="1" x14ac:dyDescent="0.25">
      <c r="B77" s="6" t="s">
        <v>17</v>
      </c>
      <c r="F77" s="7">
        <f>+F59/F57</f>
        <v>0.26587121364811056</v>
      </c>
      <c r="G77" s="7">
        <f t="shared" ref="G77:P77" si="97">+G59/G57</f>
        <v>0.2643011255260217</v>
      </c>
      <c r="H77" s="7">
        <f t="shared" si="97"/>
        <v>0.26210596925093765</v>
      </c>
      <c r="I77" s="7">
        <f t="shared" si="97"/>
        <v>0.24633761531061232</v>
      </c>
      <c r="J77" s="7">
        <f t="shared" si="97"/>
        <v>0.2479561307679648</v>
      </c>
      <c r="K77" s="7">
        <f t="shared" si="97"/>
        <v>0.2493793770484222</v>
      </c>
      <c r="L77" s="7">
        <f t="shared" si="97"/>
        <v>0.25070081928226762</v>
      </c>
      <c r="M77" s="7">
        <f t="shared" si="97"/>
        <v>0.2519234167306208</v>
      </c>
      <c r="N77" s="7">
        <f t="shared" si="97"/>
        <v>0.25304994175289197</v>
      </c>
      <c r="O77" s="7">
        <f t="shared" si="97"/>
        <v>0.25408298100297261</v>
      </c>
      <c r="P77" s="7">
        <f t="shared" si="97"/>
        <v>0.2550249370369766</v>
      </c>
      <c r="R77" s="6" t="s">
        <v>52</v>
      </c>
      <c r="S77" s="6">
        <v>0.09</v>
      </c>
    </row>
    <row r="78" spans="2:91" s="6" customFormat="1" x14ac:dyDescent="0.25">
      <c r="B78" s="6" t="s">
        <v>18</v>
      </c>
      <c r="F78" s="7">
        <f>+F66/F57</f>
        <v>0.12739430910695171</v>
      </c>
      <c r="G78" s="7">
        <f t="shared" ref="G78:P78" si="98">+G66/G57</f>
        <v>0.1128463679197929</v>
      </c>
      <c r="H78" s="7">
        <f t="shared" si="98"/>
        <v>8.6781333704972569E-2</v>
      </c>
      <c r="I78" s="7">
        <f t="shared" si="98"/>
        <v>6.6440428388154171E-2</v>
      </c>
      <c r="J78" s="7">
        <f t="shared" si="98"/>
        <v>6.8686767655051814E-2</v>
      </c>
      <c r="K78" s="7">
        <f t="shared" si="98"/>
        <v>7.0641464813432378E-2</v>
      </c>
      <c r="L78" s="7">
        <f t="shared" si="98"/>
        <v>7.2480198364189091E-2</v>
      </c>
      <c r="M78" s="7">
        <f t="shared" si="98"/>
        <v>7.4207264267277473E-2</v>
      </c>
      <c r="N78" s="7">
        <f t="shared" si="98"/>
        <v>7.5826671397359963E-2</v>
      </c>
      <c r="O78" s="7">
        <f t="shared" si="98"/>
        <v>7.7342132173033276E-2</v>
      </c>
      <c r="P78" s="7">
        <f t="shared" si="98"/>
        <v>7.8757052830425764E-2</v>
      </c>
      <c r="R78" s="6" t="s">
        <v>53</v>
      </c>
      <c r="S78" s="6">
        <v>-0.01</v>
      </c>
    </row>
    <row r="79" spans="2:91" s="7" customFormat="1" x14ac:dyDescent="0.25">
      <c r="B79" s="7" t="s">
        <v>19</v>
      </c>
      <c r="F79" s="7">
        <f>+F71/F57</f>
        <v>9.3466625460767061E-2</v>
      </c>
      <c r="G79" s="7">
        <f t="shared" ref="G79:P79" si="99">+G71/G57</f>
        <v>8.5013503349916975E-2</v>
      </c>
      <c r="H79" s="7">
        <f t="shared" si="99"/>
        <v>5.5156264596922029E-2</v>
      </c>
      <c r="I79" s="7">
        <f t="shared" si="99"/>
        <v>2.4055094436772617E-2</v>
      </c>
      <c r="J79" s="7">
        <f t="shared" si="99"/>
        <v>2.9609739946569329E-2</v>
      </c>
      <c r="K79" s="7">
        <f t="shared" si="99"/>
        <v>3.6487738491659545E-2</v>
      </c>
      <c r="L79" s="7">
        <f t="shared" si="99"/>
        <v>4.1190795518460464E-2</v>
      </c>
      <c r="M79" s="7">
        <f t="shared" si="99"/>
        <v>4.391350405552899E-2</v>
      </c>
      <c r="N79" s="7">
        <f t="shared" si="99"/>
        <v>4.5976841246752255E-2</v>
      </c>
      <c r="O79" s="7">
        <f t="shared" si="99"/>
        <v>4.7926597236595238E-2</v>
      </c>
      <c r="P79" s="7">
        <f t="shared" si="99"/>
        <v>4.9766286239710765E-2</v>
      </c>
      <c r="R79" s="7" t="s">
        <v>54</v>
      </c>
      <c r="S79" s="8">
        <f>NPV(S77,H73:CM73)</f>
        <v>755171.20588342904</v>
      </c>
    </row>
    <row r="80" spans="2:91" s="1" customFormat="1" x14ac:dyDescent="0.25">
      <c r="R80" s="1" t="s">
        <v>55</v>
      </c>
      <c r="S80" s="1">
        <f>+G87-G91</f>
        <v>-64898</v>
      </c>
    </row>
    <row r="81" spans="2:19" s="7" customFormat="1" x14ac:dyDescent="0.25">
      <c r="B81" s="7" t="s">
        <v>48</v>
      </c>
      <c r="G81" s="7">
        <f>+G57/F57 -1</f>
        <v>8.8600746185095058E-2</v>
      </c>
      <c r="H81" s="7">
        <f>+H57/G57 -1</f>
        <v>7.4611562685660715E-2</v>
      </c>
      <c r="I81" s="7">
        <f t="shared" ref="I81:P81" si="100">+I57/H57 -1</f>
        <v>4.8657749367115866E-2</v>
      </c>
      <c r="J81" s="7">
        <f t="shared" si="100"/>
        <v>3.8259245978635947E-2</v>
      </c>
      <c r="K81" s="7">
        <f t="shared" si="100"/>
        <v>3.7391765998440407E-2</v>
      </c>
      <c r="L81" s="7">
        <f t="shared" si="100"/>
        <v>3.8048134458020577E-2</v>
      </c>
      <c r="M81" s="7">
        <f t="shared" si="100"/>
        <v>3.874672487086217E-2</v>
      </c>
      <c r="N81" s="7">
        <f t="shared" si="100"/>
        <v>3.9489570607903923E-2</v>
      </c>
      <c r="O81" s="7">
        <f t="shared" si="100"/>
        <v>4.0278667903137277E-2</v>
      </c>
      <c r="P81" s="7">
        <f t="shared" si="100"/>
        <v>4.111595062705331E-2</v>
      </c>
      <c r="R81" s="7" t="s">
        <v>56</v>
      </c>
      <c r="S81" s="8">
        <f>+S79+S80</f>
        <v>690273.20588342904</v>
      </c>
    </row>
    <row r="82" spans="2:19" s="1" customFormat="1" x14ac:dyDescent="0.25">
      <c r="R82" s="1" t="s">
        <v>59</v>
      </c>
      <c r="S82" s="9">
        <f>+S81/P74</f>
        <v>27.946283639005223</v>
      </c>
    </row>
    <row r="83" spans="2:19" s="1" customFormat="1" x14ac:dyDescent="0.25">
      <c r="B83" s="1" t="s">
        <v>20</v>
      </c>
      <c r="F83" s="1">
        <v>125733</v>
      </c>
      <c r="G83" s="1">
        <v>178103</v>
      </c>
      <c r="H83" s="1">
        <v>196976</v>
      </c>
      <c r="I83" s="1">
        <f>+I71+I53</f>
        <v>124607.80622637222</v>
      </c>
      <c r="J83" s="1">
        <f t="shared" ref="J83:P83" si="101">+J71+J53</f>
        <v>132849.47088922811</v>
      </c>
      <c r="K83" s="1">
        <f t="shared" si="101"/>
        <v>143661.47471285766</v>
      </c>
      <c r="L83" s="1">
        <f t="shared" si="101"/>
        <v>152011.93286221396</v>
      </c>
      <c r="M83" s="1">
        <f t="shared" si="101"/>
        <v>157896.65200414456</v>
      </c>
      <c r="N83" s="1">
        <f t="shared" si="101"/>
        <v>163185.5003686361</v>
      </c>
      <c r="O83" s="1">
        <f t="shared" si="101"/>
        <v>168728.8179929188</v>
      </c>
      <c r="P83" s="1">
        <f t="shared" si="101"/>
        <v>174549.04849639622</v>
      </c>
      <c r="R83" s="1" t="s">
        <v>60</v>
      </c>
      <c r="S83">
        <v>30</v>
      </c>
    </row>
    <row r="84" spans="2:19" s="1" customFormat="1" x14ac:dyDescent="0.25">
      <c r="B84" s="1" t="s">
        <v>21</v>
      </c>
      <c r="F84" s="10">
        <v>26365</v>
      </c>
      <c r="G84" s="1">
        <f>47616+26126</f>
        <v>73742</v>
      </c>
      <c r="H84" s="1">
        <f>53548+29444</f>
        <v>82992</v>
      </c>
      <c r="I84" s="1">
        <v>85660</v>
      </c>
      <c r="J84" s="1">
        <v>85270</v>
      </c>
      <c r="K84" s="1">
        <v>84100</v>
      </c>
      <c r="L84" s="1">
        <v>87050</v>
      </c>
      <c r="M84" s="1">
        <f>+L84+2000</f>
        <v>89050</v>
      </c>
      <c r="N84" s="1">
        <f>+M84+2000</f>
        <v>91050</v>
      </c>
      <c r="O84" s="1">
        <f>+N84+2000</f>
        <v>93050</v>
      </c>
      <c r="P84" s="1">
        <f>+O84+2000</f>
        <v>95050</v>
      </c>
      <c r="R84" s="1" t="s">
        <v>61</v>
      </c>
      <c r="S84" s="6">
        <f>+S82/S83 -1</f>
        <v>-6.8457212033159243E-2</v>
      </c>
    </row>
    <row r="85" spans="2:19" s="1" customFormat="1" x14ac:dyDescent="0.25">
      <c r="B85" s="1" t="s">
        <v>22</v>
      </c>
      <c r="F85" s="1">
        <f>+F83-F84</f>
        <v>99368</v>
      </c>
      <c r="G85" s="1">
        <f>+G83-G84</f>
        <v>104361</v>
      </c>
      <c r="H85" s="1">
        <f>+H83-H84</f>
        <v>113984</v>
      </c>
      <c r="I85" s="1">
        <f>+I83-I84</f>
        <v>38947.806226372224</v>
      </c>
      <c r="J85" s="1">
        <f t="shared" ref="J85:P85" si="102">+J83-J84</f>
        <v>47579.470889228105</v>
      </c>
      <c r="K85" s="1">
        <f t="shared" si="102"/>
        <v>59561.474712857656</v>
      </c>
      <c r="L85" s="1">
        <f t="shared" si="102"/>
        <v>64961.932862213958</v>
      </c>
      <c r="M85" s="1">
        <f t="shared" si="102"/>
        <v>68846.652004144562</v>
      </c>
      <c r="N85" s="1">
        <f t="shared" si="102"/>
        <v>72135.500368636101</v>
      </c>
      <c r="O85" s="1">
        <f t="shared" si="102"/>
        <v>75678.817992918805</v>
      </c>
      <c r="P85" s="1">
        <f t="shared" si="102"/>
        <v>79499.048496396223</v>
      </c>
      <c r="S85"/>
    </row>
    <row r="86" spans="2:19" s="1" customFormat="1" x14ac:dyDescent="0.25"/>
    <row r="87" spans="2:19" s="1" customFormat="1" x14ac:dyDescent="0.25">
      <c r="B87" s="1" t="s">
        <v>23</v>
      </c>
      <c r="F87" s="1">
        <v>168352</v>
      </c>
      <c r="G87" s="1">
        <v>193099</v>
      </c>
      <c r="H87" s="1">
        <v>109426</v>
      </c>
    </row>
    <row r="88" spans="2:19" s="1" customFormat="1" x14ac:dyDescent="0.25">
      <c r="B88" s="1" t="s">
        <v>24</v>
      </c>
      <c r="F88" s="1">
        <v>228879</v>
      </c>
      <c r="G88" s="1">
        <v>247151</v>
      </c>
      <c r="H88" s="1">
        <v>300311</v>
      </c>
    </row>
    <row r="89" spans="2:19" s="1" customFormat="1" x14ac:dyDescent="0.25">
      <c r="B89" s="1" t="s">
        <v>62</v>
      </c>
      <c r="G89" s="1">
        <v>229962</v>
      </c>
      <c r="H89" s="1">
        <v>477903</v>
      </c>
    </row>
    <row r="90" spans="2:19" s="1" customFormat="1" x14ac:dyDescent="0.25"/>
    <row r="91" spans="2:19" s="1" customFormat="1" x14ac:dyDescent="0.25">
      <c r="B91" s="1" t="s">
        <v>25</v>
      </c>
      <c r="F91" s="1">
        <f>255118+1730</f>
        <v>256848</v>
      </c>
      <c r="G91" s="1">
        <f>251077+6920</f>
        <v>257997</v>
      </c>
      <c r="H91" s="1">
        <f>757246+20546</f>
        <v>777792</v>
      </c>
      <c r="I91" s="1">
        <f>+H91*0.99</f>
        <v>770014.08</v>
      </c>
      <c r="J91" s="1">
        <f t="shared" ref="I91:P91" si="103">+I91*0.99</f>
        <v>762313.93919999991</v>
      </c>
      <c r="K91" s="1">
        <f t="shared" si="103"/>
        <v>754690.79980799987</v>
      </c>
      <c r="L91" s="1">
        <f t="shared" si="103"/>
        <v>747143.89180991985</v>
      </c>
      <c r="M91" s="1">
        <f t="shared" si="103"/>
        <v>739672.45289182069</v>
      </c>
      <c r="N91" s="1">
        <f t="shared" si="103"/>
        <v>732275.72836290253</v>
      </c>
      <c r="O91" s="1">
        <f t="shared" si="103"/>
        <v>724952.9710792735</v>
      </c>
      <c r="P91" s="1">
        <f t="shared" si="103"/>
        <v>717703.4413684808</v>
      </c>
    </row>
    <row r="92" spans="2:19" s="1" customFormat="1" x14ac:dyDescent="0.25">
      <c r="B92" s="1" t="s">
        <v>26</v>
      </c>
      <c r="F92" s="1">
        <f>+F87+F88+F89-F91</f>
        <v>140383</v>
      </c>
      <c r="G92" s="1">
        <f>+G87+G88+G89-G91</f>
        <v>412215</v>
      </c>
      <c r="H92" s="1">
        <f>+H87+H88+H89-H91</f>
        <v>109848</v>
      </c>
    </row>
    <row r="93" spans="2:19" s="1" customFormat="1" x14ac:dyDescent="0.25"/>
    <row r="94" spans="2:19" s="1" customFormat="1" x14ac:dyDescent="0.25">
      <c r="B94" s="1" t="s">
        <v>27</v>
      </c>
      <c r="F94" s="1">
        <v>564669</v>
      </c>
      <c r="G94" s="1">
        <v>600050</v>
      </c>
      <c r="H94" s="1">
        <v>571867</v>
      </c>
    </row>
    <row r="95" spans="2:19" s="1" customFormat="1" x14ac:dyDescent="0.25">
      <c r="B95" s="1" t="s">
        <v>28</v>
      </c>
      <c r="F95" s="1">
        <v>221869</v>
      </c>
      <c r="G95" s="1">
        <v>226928</v>
      </c>
      <c r="H95" s="1">
        <v>290691</v>
      </c>
    </row>
    <row r="96" spans="2:19" s="1" customFormat="1" x14ac:dyDescent="0.25"/>
    <row r="97" spans="2:16" s="7" customFormat="1" x14ac:dyDescent="0.25">
      <c r="B97" s="7" t="s">
        <v>51</v>
      </c>
      <c r="F97" s="7">
        <f>+F68/F91</f>
        <v>5.5157135737868311E-2</v>
      </c>
      <c r="G97" s="7">
        <f>+G68/G91</f>
        <v>9.5663903068640338E-2</v>
      </c>
      <c r="H97" s="7">
        <v>0.09</v>
      </c>
      <c r="I97" s="7">
        <v>0.08</v>
      </c>
      <c r="J97" s="7">
        <v>7.0000000000000007E-2</v>
      </c>
      <c r="K97" s="7">
        <v>0.06</v>
      </c>
      <c r="L97" s="7">
        <v>5.5E-2</v>
      </c>
      <c r="M97" s="7">
        <v>5.5E-2</v>
      </c>
      <c r="N97" s="7">
        <v>5.5E-2</v>
      </c>
      <c r="O97" s="7">
        <v>5.5E-2</v>
      </c>
      <c r="P97" s="7">
        <v>5.5E-2</v>
      </c>
    </row>
    <row r="98" spans="2:16" s="1" customFormat="1" x14ac:dyDescent="0.25"/>
    <row r="99" spans="2:16" s="1" customFormat="1" x14ac:dyDescent="0.25">
      <c r="B99" s="1" t="s">
        <v>47</v>
      </c>
      <c r="F99" s="1">
        <v>6840</v>
      </c>
      <c r="G99" s="1">
        <v>7426</v>
      </c>
      <c r="H99" s="1">
        <v>7984</v>
      </c>
      <c r="I99" s="1">
        <f t="shared" ref="I99:P99" si="104">+H99*(1+(I81-0.003))</f>
        <v>8348.5314709470513</v>
      </c>
      <c r="J99" s="1">
        <f t="shared" si="104"/>
        <v>8642.8943956415569</v>
      </c>
      <c r="K99" s="1">
        <f t="shared" si="104"/>
        <v>8940.1387972456941</v>
      </c>
      <c r="L99" s="1">
        <f t="shared" si="104"/>
        <v>9253.4739838849273</v>
      </c>
      <c r="M99" s="1">
        <f t="shared" si="104"/>
        <v>9584.2553724865411</v>
      </c>
      <c r="N99" s="1">
        <f t="shared" si="104"/>
        <v>9933.9807356250731</v>
      </c>
      <c r="O99" s="1">
        <f t="shared" si="104"/>
        <v>10304.306304424605</v>
      </c>
      <c r="P99" s="1">
        <f t="shared" si="104"/>
        <v>10697.064734770089</v>
      </c>
    </row>
    <row r="100" spans="2:16" s="4" customFormat="1" x14ac:dyDescent="0.25">
      <c r="B100" s="4" t="s">
        <v>46</v>
      </c>
      <c r="F100" s="4">
        <f>+F51/F99</f>
        <v>42.400438596491227</v>
      </c>
      <c r="G100" s="4">
        <f>+G51/G99</f>
        <v>42.762186910853757</v>
      </c>
      <c r="H100" s="4">
        <f>+H51/H99</f>
        <v>46.242109218436873</v>
      </c>
      <c r="I100" s="4">
        <f t="shared" ref="I100:P100" si="105">+H100*1.01</f>
        <v>46.704530310621244</v>
      </c>
      <c r="J100" s="4">
        <f t="shared" si="105"/>
        <v>47.171575613727455</v>
      </c>
      <c r="K100" s="4">
        <f t="shared" si="105"/>
        <v>47.643291369864727</v>
      </c>
      <c r="L100" s="4">
        <f t="shared" si="105"/>
        <v>48.119724283563372</v>
      </c>
      <c r="M100" s="4">
        <f t="shared" si="105"/>
        <v>48.600921526399006</v>
      </c>
      <c r="N100" s="4">
        <f t="shared" si="105"/>
        <v>49.086930741662997</v>
      </c>
      <c r="O100" s="4">
        <f t="shared" si="105"/>
        <v>49.577800049079627</v>
      </c>
      <c r="P100" s="4">
        <f t="shared" si="105"/>
        <v>50.073578049570422</v>
      </c>
    </row>
    <row r="101" spans="2:16" s="1" customFormat="1" x14ac:dyDescent="0.25"/>
    <row r="102" spans="2:16" s="1" customFormat="1" x14ac:dyDescent="0.25">
      <c r="B102" s="1" t="s">
        <v>49</v>
      </c>
      <c r="G102" s="7">
        <f>+G99/F99 -1</f>
        <v>8.5672514619883122E-2</v>
      </c>
      <c r="H102" s="7">
        <f t="shared" ref="H102:P102" si="106">+H99/G99 -1</f>
        <v>7.514139509830331E-2</v>
      </c>
      <c r="I102" s="7">
        <f t="shared" si="106"/>
        <v>4.565774936711553E-2</v>
      </c>
      <c r="J102" s="7">
        <f t="shared" si="106"/>
        <v>3.5259245978636056E-2</v>
      </c>
      <c r="K102" s="7">
        <f t="shared" si="106"/>
        <v>3.4391765998440516E-2</v>
      </c>
      <c r="L102" s="7">
        <f t="shared" si="106"/>
        <v>3.5048134458020463E-2</v>
      </c>
      <c r="M102" s="7">
        <f t="shared" si="106"/>
        <v>3.5746724870862057E-2</v>
      </c>
      <c r="N102" s="7">
        <f t="shared" si="106"/>
        <v>3.6489570607904032E-2</v>
      </c>
      <c r="O102" s="7">
        <f t="shared" si="106"/>
        <v>3.7278667903137386E-2</v>
      </c>
      <c r="P102" s="7">
        <f t="shared" si="106"/>
        <v>3.8115950627053419E-2</v>
      </c>
    </row>
    <row r="103" spans="2:16" s="1" customFormat="1" x14ac:dyDescent="0.25">
      <c r="B103" s="1" t="s">
        <v>50</v>
      </c>
      <c r="G103" s="7">
        <f>+G100/F100 -1</f>
        <v>8.5317116128242887E-3</v>
      </c>
      <c r="H103" s="7">
        <f t="shared" ref="H103:P103" si="107">+H100/G100 -1</f>
        <v>8.1378492518114243E-2</v>
      </c>
      <c r="I103" s="7">
        <f t="shared" si="107"/>
        <v>1.0000000000000009E-2</v>
      </c>
      <c r="J103" s="7">
        <f t="shared" si="107"/>
        <v>1.0000000000000009E-2</v>
      </c>
      <c r="K103" s="7">
        <f t="shared" si="107"/>
        <v>1.0000000000000009E-2</v>
      </c>
      <c r="L103" s="7">
        <f t="shared" si="107"/>
        <v>1.0000000000000009E-2</v>
      </c>
      <c r="M103" s="7">
        <f t="shared" si="107"/>
        <v>1.0000000000000009E-2</v>
      </c>
      <c r="N103" s="7">
        <f t="shared" si="107"/>
        <v>1.0000000000000009E-2</v>
      </c>
      <c r="O103" s="7">
        <f t="shared" si="107"/>
        <v>1.0000000000000009E-2</v>
      </c>
      <c r="P103" s="7">
        <f t="shared" si="107"/>
        <v>1.0000000000000009E-2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2024-06-25T18:13:03Z</dcterms:created>
  <dcterms:modified xsi:type="dcterms:W3CDTF">2025-04-10T15:34:39Z</dcterms:modified>
</cp:coreProperties>
</file>