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28CB2882-8E00-4710-B5AD-4BD0E44DD706}" xr6:coauthVersionLast="47" xr6:coauthVersionMax="47" xr10:uidLastSave="{00000000-0000-0000-0000-000000000000}"/>
  <bookViews>
    <workbookView xWindow="-120" yWindow="-120" windowWidth="29040" windowHeight="15840" xr2:uid="{11093A9F-64A3-4E4F-A8DF-38AF108D6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J28" i="1" s="1"/>
  <c r="K28" i="1" s="1"/>
  <c r="L28" i="1" s="1"/>
  <c r="M28" i="1" s="1"/>
  <c r="N28" i="1" s="1"/>
  <c r="O28" i="1" s="1"/>
  <c r="P28" i="1" s="1"/>
  <c r="Q28" i="1" s="1"/>
  <c r="H28" i="1"/>
  <c r="T46" i="1"/>
  <c r="G67" i="1"/>
  <c r="F67" i="1"/>
  <c r="G66" i="1"/>
  <c r="F66" i="1"/>
  <c r="G62" i="1"/>
  <c r="G61" i="1"/>
  <c r="F61" i="1"/>
  <c r="G54" i="1"/>
  <c r="G55" i="1"/>
  <c r="G56" i="1"/>
  <c r="G57" i="1"/>
  <c r="F55" i="1"/>
  <c r="F56" i="1"/>
  <c r="F57" i="1"/>
  <c r="F54" i="1"/>
  <c r="L2" i="1"/>
  <c r="M2" i="1" s="1"/>
  <c r="N2" i="1" s="1"/>
  <c r="O2" i="1" s="1"/>
  <c r="P2" i="1" s="1"/>
  <c r="Q2" i="1" s="1"/>
  <c r="H32" i="1"/>
  <c r="G46" i="1"/>
  <c r="G20" i="1"/>
  <c r="F20" i="1"/>
  <c r="G19" i="1"/>
  <c r="F19" i="1"/>
  <c r="G18" i="1"/>
  <c r="F18" i="1"/>
  <c r="G17" i="1"/>
  <c r="G16" i="1" s="1"/>
  <c r="F17" i="1"/>
  <c r="F16" i="1" s="1"/>
  <c r="H51" i="1"/>
  <c r="H52" i="1" s="1"/>
  <c r="F50" i="1"/>
  <c r="F51" i="1" s="1"/>
  <c r="F52" i="1" s="1"/>
  <c r="G50" i="1"/>
  <c r="G51" i="1" s="1"/>
  <c r="G52" i="1" s="1"/>
  <c r="G34" i="1"/>
  <c r="H34" i="1" s="1"/>
  <c r="F34" i="1"/>
  <c r="E30" i="1"/>
  <c r="E35" i="1" s="1"/>
  <c r="E39" i="1" s="1"/>
  <c r="E41" i="1" s="1"/>
  <c r="F30" i="1"/>
  <c r="F43" i="1" s="1"/>
  <c r="G30" i="1"/>
  <c r="G43" i="1" s="1"/>
  <c r="D30" i="1"/>
  <c r="D35" i="1" s="1"/>
  <c r="D39" i="1" s="1"/>
  <c r="D41" i="1" s="1"/>
  <c r="E2" i="1"/>
  <c r="F2" i="1" s="1"/>
  <c r="G2" i="1" s="1"/>
  <c r="H2" i="1" s="1"/>
  <c r="I2" i="1" s="1"/>
  <c r="J2" i="1" s="1"/>
  <c r="K2" i="1" s="1"/>
  <c r="H31" i="1" l="1"/>
  <c r="H54" i="1" s="1"/>
  <c r="H29" i="1"/>
  <c r="H57" i="1"/>
  <c r="I34" i="1"/>
  <c r="H55" i="1"/>
  <c r="I32" i="1"/>
  <c r="I31" i="1"/>
  <c r="I54" i="1" s="1"/>
  <c r="I33" i="1"/>
  <c r="I56" i="1" s="1"/>
  <c r="I29" i="1"/>
  <c r="I30" i="1" s="1"/>
  <c r="H33" i="1"/>
  <c r="H56" i="1" s="1"/>
  <c r="H30" i="1"/>
  <c r="G35" i="1"/>
  <c r="F35" i="1"/>
  <c r="J29" i="1" l="1"/>
  <c r="J33" i="1"/>
  <c r="J56" i="1" s="1"/>
  <c r="J31" i="1"/>
  <c r="J54" i="1" s="1"/>
  <c r="J32" i="1"/>
  <c r="I55" i="1"/>
  <c r="H35" i="1"/>
  <c r="H39" i="1" s="1"/>
  <c r="H43" i="1"/>
  <c r="J34" i="1"/>
  <c r="I57" i="1"/>
  <c r="J30" i="1"/>
  <c r="J43" i="1" s="1"/>
  <c r="I35" i="1"/>
  <c r="I43" i="1"/>
  <c r="F39" i="1"/>
  <c r="F41" i="1" s="1"/>
  <c r="F45" i="1" s="1"/>
  <c r="F44" i="1"/>
  <c r="G39" i="1"/>
  <c r="G41" i="1" s="1"/>
  <c r="G45" i="1" s="1"/>
  <c r="G44" i="1"/>
  <c r="H40" i="1" l="1"/>
  <c r="H41" i="1" s="1"/>
  <c r="H45" i="1" s="1"/>
  <c r="J35" i="1"/>
  <c r="J39" i="1" s="1"/>
  <c r="J57" i="1"/>
  <c r="J55" i="1"/>
  <c r="H44" i="1"/>
  <c r="K32" i="1"/>
  <c r="K29" i="1"/>
  <c r="K30" i="1" s="1"/>
  <c r="K33" i="1"/>
  <c r="K56" i="1" s="1"/>
  <c r="K31" i="1"/>
  <c r="K54" i="1" s="1"/>
  <c r="I39" i="1"/>
  <c r="I44" i="1"/>
  <c r="J44" i="1" l="1"/>
  <c r="J40" i="1"/>
  <c r="J41" i="1" s="1"/>
  <c r="J45" i="1" s="1"/>
  <c r="I40" i="1"/>
  <c r="I41" i="1" s="1"/>
  <c r="K55" i="1"/>
  <c r="K43" i="1"/>
  <c r="L32" i="1"/>
  <c r="L29" i="1"/>
  <c r="L30" i="1" s="1"/>
  <c r="L33" i="1"/>
  <c r="L56" i="1" s="1"/>
  <c r="L31" i="1"/>
  <c r="L54" i="1" s="1"/>
  <c r="K34" i="1"/>
  <c r="I45" i="1" l="1"/>
  <c r="L55" i="1"/>
  <c r="K57" i="1"/>
  <c r="L34" i="1"/>
  <c r="M32" i="1"/>
  <c r="M29" i="1"/>
  <c r="M33" i="1"/>
  <c r="M56" i="1" s="1"/>
  <c r="M31" i="1"/>
  <c r="M54" i="1" s="1"/>
  <c r="M30" i="1"/>
  <c r="L43" i="1"/>
  <c r="K35" i="1"/>
  <c r="M55" i="1" l="1"/>
  <c r="M43" i="1"/>
  <c r="N31" i="1"/>
  <c r="N54" i="1" s="1"/>
  <c r="N32" i="1"/>
  <c r="N29" i="1"/>
  <c r="N30" i="1" s="1"/>
  <c r="N33" i="1"/>
  <c r="N56" i="1" s="1"/>
  <c r="M34" i="1"/>
  <c r="L57" i="1"/>
  <c r="K39" i="1"/>
  <c r="K44" i="1"/>
  <c r="L35" i="1"/>
  <c r="K40" i="1" l="1"/>
  <c r="K41" i="1" s="1"/>
  <c r="N55" i="1"/>
  <c r="N43" i="1"/>
  <c r="N34" i="1"/>
  <c r="M57" i="1"/>
  <c r="M35" i="1"/>
  <c r="L44" i="1"/>
  <c r="L39" i="1"/>
  <c r="O31" i="1"/>
  <c r="O54" i="1" s="1"/>
  <c r="O32" i="1"/>
  <c r="O29" i="1"/>
  <c r="O30" i="1" s="1"/>
  <c r="O33" i="1"/>
  <c r="O56" i="1" s="1"/>
  <c r="K45" i="1" l="1"/>
  <c r="L40" i="1"/>
  <c r="L41" i="1" s="1"/>
  <c r="O55" i="1"/>
  <c r="P31" i="1"/>
  <c r="P54" i="1" s="1"/>
  <c r="P29" i="1"/>
  <c r="P30" i="1" s="1"/>
  <c r="P32" i="1"/>
  <c r="P33" i="1"/>
  <c r="P56" i="1" s="1"/>
  <c r="M44" i="1"/>
  <c r="M39" i="1"/>
  <c r="N57" i="1"/>
  <c r="O34" i="1"/>
  <c r="N35" i="1"/>
  <c r="O43" i="1"/>
  <c r="L45" i="1" l="1"/>
  <c r="M40" i="1"/>
  <c r="M41" i="1" s="1"/>
  <c r="P55" i="1"/>
  <c r="P43" i="1"/>
  <c r="Q33" i="1"/>
  <c r="Q56" i="1" s="1"/>
  <c r="Q31" i="1"/>
  <c r="Q54" i="1" s="1"/>
  <c r="Q32" i="1"/>
  <c r="Q55" i="1" s="1"/>
  <c r="Q29" i="1"/>
  <c r="Q30" i="1" s="1"/>
  <c r="O57" i="1"/>
  <c r="P34" i="1"/>
  <c r="N39" i="1"/>
  <c r="N44" i="1"/>
  <c r="O35" i="1"/>
  <c r="M45" i="1" l="1"/>
  <c r="N40" i="1"/>
  <c r="N41" i="1" s="1"/>
  <c r="N45" i="1" s="1"/>
  <c r="Q43" i="1"/>
  <c r="Q34" i="1"/>
  <c r="Q57" i="1" s="1"/>
  <c r="P57" i="1"/>
  <c r="P35" i="1"/>
  <c r="O44" i="1"/>
  <c r="O39" i="1"/>
  <c r="O40" i="1" l="1"/>
  <c r="O41" i="1" s="1"/>
  <c r="P39" i="1"/>
  <c r="P44" i="1"/>
  <c r="Q35" i="1"/>
  <c r="O45" i="1" l="1"/>
  <c r="P40" i="1"/>
  <c r="P41" i="1" s="1"/>
  <c r="P45" i="1" s="1"/>
  <c r="Q44" i="1"/>
  <c r="Q39" i="1"/>
  <c r="Q40" i="1" l="1"/>
  <c r="Q41" i="1" s="1"/>
  <c r="Q45" i="1" l="1"/>
  <c r="R41" i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DC41" i="1" s="1"/>
  <c r="DD41" i="1" s="1"/>
  <c r="DE41" i="1" s="1"/>
  <c r="DF41" i="1" s="1"/>
  <c r="DG41" i="1" s="1"/>
  <c r="DH41" i="1" s="1"/>
  <c r="DI41" i="1" s="1"/>
  <c r="DJ41" i="1" s="1"/>
  <c r="DK41" i="1" s="1"/>
  <c r="DL41" i="1" s="1"/>
  <c r="DM41" i="1" s="1"/>
  <c r="DN41" i="1" s="1"/>
  <c r="DO41" i="1" s="1"/>
  <c r="DP41" i="1" s="1"/>
  <c r="DQ41" i="1" s="1"/>
  <c r="DR41" i="1" s="1"/>
  <c r="DS41" i="1" s="1"/>
  <c r="DT41" i="1" s="1"/>
  <c r="DU41" i="1" s="1"/>
  <c r="DV41" i="1" s="1"/>
  <c r="DW41" i="1" s="1"/>
  <c r="DX41" i="1" s="1"/>
  <c r="DY41" i="1" s="1"/>
  <c r="DZ41" i="1" s="1"/>
  <c r="EA41" i="1" s="1"/>
  <c r="EB41" i="1" s="1"/>
  <c r="EC41" i="1" s="1"/>
  <c r="ED41" i="1" s="1"/>
  <c r="EE41" i="1" s="1"/>
  <c r="EF41" i="1" s="1"/>
  <c r="EG41" i="1" s="1"/>
  <c r="EH41" i="1" s="1"/>
  <c r="EI41" i="1" s="1"/>
  <c r="EJ41" i="1" s="1"/>
  <c r="EK41" i="1" s="1"/>
  <c r="EL41" i="1" s="1"/>
  <c r="EM41" i="1" s="1"/>
  <c r="EN41" i="1" s="1"/>
  <c r="EO41" i="1" s="1"/>
  <c r="EP41" i="1" s="1"/>
  <c r="EQ41" i="1" s="1"/>
  <c r="ER41" i="1" s="1"/>
  <c r="ES41" i="1" s="1"/>
  <c r="ET41" i="1" s="1"/>
  <c r="EU41" i="1" s="1"/>
  <c r="EV41" i="1" s="1"/>
  <c r="EW41" i="1" s="1"/>
  <c r="EX41" i="1" s="1"/>
  <c r="EY41" i="1" s="1"/>
  <c r="EZ41" i="1" s="1"/>
  <c r="FA41" i="1" s="1"/>
  <c r="T45" i="1" s="1"/>
  <c r="T47" i="1" s="1"/>
  <c r="T49" i="1" s="1"/>
</calcChain>
</file>

<file path=xl/sharedStrings.xml><?xml version="1.0" encoding="utf-8"?>
<sst xmlns="http://schemas.openxmlformats.org/spreadsheetml/2006/main" count="61" uniqueCount="45">
  <si>
    <t>Revenue</t>
  </si>
  <si>
    <t>COGS</t>
  </si>
  <si>
    <t>Profit</t>
  </si>
  <si>
    <t>S&amp;M</t>
  </si>
  <si>
    <t>R&amp;D</t>
  </si>
  <si>
    <t>G&amp;A</t>
  </si>
  <si>
    <t>D&amp;A</t>
  </si>
  <si>
    <t>Operating Income</t>
  </si>
  <si>
    <t>Interest Income</t>
  </si>
  <si>
    <t>Interest Expense</t>
  </si>
  <si>
    <t>Other expenses</t>
  </si>
  <si>
    <t>Pretax</t>
  </si>
  <si>
    <t>Taxes</t>
  </si>
  <si>
    <t>Net Income</t>
  </si>
  <si>
    <t>Gross Margin</t>
  </si>
  <si>
    <t>Operating Margin</t>
  </si>
  <si>
    <t>Net Margin</t>
  </si>
  <si>
    <t>CFFO</t>
  </si>
  <si>
    <t>CapEx</t>
  </si>
  <si>
    <t>FCF</t>
  </si>
  <si>
    <t>FCFF</t>
  </si>
  <si>
    <t>SBC</t>
  </si>
  <si>
    <t>Index</t>
  </si>
  <si>
    <t>Analytics</t>
  </si>
  <si>
    <t>ESG</t>
  </si>
  <si>
    <t>Private Asset</t>
  </si>
  <si>
    <t>New Subs</t>
  </si>
  <si>
    <t>Cancel</t>
  </si>
  <si>
    <t>Net</t>
  </si>
  <si>
    <t>Retention</t>
  </si>
  <si>
    <t>Revenue Y/Y</t>
  </si>
  <si>
    <t>Cash</t>
  </si>
  <si>
    <t>Debt</t>
  </si>
  <si>
    <t>net Debt</t>
  </si>
  <si>
    <t>Stock Purchase</t>
  </si>
  <si>
    <t>Delta</t>
  </si>
  <si>
    <t>Dividend</t>
  </si>
  <si>
    <t>Value Created</t>
  </si>
  <si>
    <t>Ratio to FCF</t>
  </si>
  <si>
    <t>Discount</t>
  </si>
  <si>
    <t>Terminal</t>
  </si>
  <si>
    <t>NPV</t>
  </si>
  <si>
    <t>Net cash</t>
  </si>
  <si>
    <t>Value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</si>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</sst>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4" fontId="0" fillId="0" borderId="0" xfId="0" applyNumberFormat="1"/>
    <xf numFmtId="3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631031</xdr:colOff>
      <xdr:row>2</xdr:row>
      <xdr:rowOff>160734</xdr:rowOff>
    </xdr:from>
    <xdr:to>
      <xdr:col>7</xdr:col>
      <xdr:colOff>17859</xdr:colOff>
      <xdr:row>52</xdr:row>
      <xdr:rowOff>65484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86B2D9-D110-1478-DF3C-0D2822D5D89D}"/>
            </a:ext>
          </a:extLst>
        </xdr:cNvPr>
        <xdr:cNvCxnSpPr/>
      </xdr:nvCxnSpPr>
      <xdr:spPr>
        <a:xfrm>
          <a:off x="4500562" y="541734"/>
          <a:ext cx="23813" cy="771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E86E-A094-4FD3-A070-C14D0C0DA41E}">
  <dimension ref="B2:FA107"/>
  <sheetViews>
    <sheetView tabSelected="1" zoomScale="160" zoomScaleNormal="160" workbookViewId="0">
      <pane xSplit="2" ySplit="2" topLeftCell="H34" activePane="bottomRight" state="frozen"/>
      <selection pane="topRight" activeCell="C1" sqref="C1"/>
      <selection pane="bottomLeft" activeCell="A3" sqref="A3"/>
      <selection pane="bottomRight" activeCell="R50" sqref="R50"/>
    </sheetView>
  </sheetViews>
  <sheetFormatPr defaultRowHeight="15" x14ac:dyDescent="0.25"/>
  <cols>
    <col min="1" max="1" width="2.85546875" customWidth="1"/>
    <col min="2" max="2" width="17" bestFit="1" customWidth="1"/>
    <col min="3" max="13" width="9.5703125" customWidth="1"/>
    <col min="20" max="20" width="10.28515625" bestFit="1" customWidth="1"/>
  </cols>
  <sheetData>
    <row r="2" spans="2:17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  <c r="H2">
        <f t="shared" ref="H2:Q2" si="0">+G2+1</f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/>
    <row r="4" spans="2:17" s="1" customFormat="1" x14ac:dyDescent="0.25">
      <c r="B4" s="2" t="s">
        <v>26</v>
      </c>
    </row>
    <row r="5" spans="2:17" s="1" customFormat="1" x14ac:dyDescent="0.25">
      <c r="B5" s="1" t="s">
        <v>22</v>
      </c>
      <c r="F5" s="1">
        <v>118191</v>
      </c>
      <c r="G5" s="1">
        <v>126698</v>
      </c>
    </row>
    <row r="6" spans="2:17" s="1" customFormat="1" x14ac:dyDescent="0.25">
      <c r="B6" s="1" t="s">
        <v>23</v>
      </c>
      <c r="F6" s="1">
        <v>82419</v>
      </c>
      <c r="G6" s="1">
        <v>88651</v>
      </c>
    </row>
    <row r="7" spans="2:17" s="1" customFormat="1" x14ac:dyDescent="0.25">
      <c r="B7" s="1" t="s">
        <v>24</v>
      </c>
      <c r="F7" s="1">
        <v>55397</v>
      </c>
      <c r="G7" s="1">
        <v>40186</v>
      </c>
    </row>
    <row r="8" spans="2:17" s="1" customFormat="1" x14ac:dyDescent="0.25">
      <c r="B8" s="1" t="s">
        <v>25</v>
      </c>
      <c r="F8" s="1">
        <v>40758</v>
      </c>
      <c r="G8" s="1">
        <v>42772</v>
      </c>
    </row>
    <row r="9" spans="2:17" s="1" customFormat="1" x14ac:dyDescent="0.25"/>
    <row r="10" spans="2:17" s="1" customFormat="1" x14ac:dyDescent="0.25">
      <c r="B10" s="2" t="s">
        <v>27</v>
      </c>
    </row>
    <row r="11" spans="2:17" s="1" customFormat="1" x14ac:dyDescent="0.25">
      <c r="B11" s="1" t="s">
        <v>22</v>
      </c>
      <c r="F11" s="1">
        <v>45730</v>
      </c>
      <c r="G11" s="1">
        <v>38279</v>
      </c>
    </row>
    <row r="12" spans="2:17" s="1" customFormat="1" x14ac:dyDescent="0.25">
      <c r="B12" s="1" t="s">
        <v>23</v>
      </c>
      <c r="F12" s="1">
        <v>39106</v>
      </c>
      <c r="G12" s="1">
        <v>39787</v>
      </c>
    </row>
    <row r="13" spans="2:17" s="1" customFormat="1" x14ac:dyDescent="0.25">
      <c r="B13" s="1" t="s">
        <v>24</v>
      </c>
      <c r="F13" s="1">
        <v>22989</v>
      </c>
      <c r="G13" s="1">
        <v>23301</v>
      </c>
    </row>
    <row r="14" spans="2:17" s="1" customFormat="1" x14ac:dyDescent="0.25">
      <c r="B14" s="1" t="s">
        <v>25</v>
      </c>
      <c r="F14" s="1">
        <v>23685</v>
      </c>
      <c r="G14" s="1">
        <v>23141</v>
      </c>
    </row>
    <row r="15" spans="2:17" s="1" customFormat="1" x14ac:dyDescent="0.25"/>
    <row r="16" spans="2:17" s="2" customFormat="1" x14ac:dyDescent="0.25">
      <c r="B16" s="2" t="s">
        <v>28</v>
      </c>
      <c r="F16" s="2">
        <f>+SUM(F17:F20)</f>
        <v>165255</v>
      </c>
      <c r="G16" s="2">
        <f>+SUM(G17:G20)</f>
        <v>173799</v>
      </c>
    </row>
    <row r="17" spans="2:17" s="1" customFormat="1" x14ac:dyDescent="0.25">
      <c r="B17" s="1" t="s">
        <v>22</v>
      </c>
      <c r="F17" s="1">
        <f t="shared" ref="F17:G20" si="1">+F5-F11</f>
        <v>72461</v>
      </c>
      <c r="G17" s="1">
        <f t="shared" si="1"/>
        <v>88419</v>
      </c>
    </row>
    <row r="18" spans="2:17" s="1" customFormat="1" x14ac:dyDescent="0.25">
      <c r="B18" s="1" t="s">
        <v>23</v>
      </c>
      <c r="F18" s="1">
        <f t="shared" si="1"/>
        <v>43313</v>
      </c>
      <c r="G18" s="1">
        <f t="shared" si="1"/>
        <v>48864</v>
      </c>
    </row>
    <row r="19" spans="2:17" s="1" customFormat="1" x14ac:dyDescent="0.25">
      <c r="B19" s="1" t="s">
        <v>24</v>
      </c>
      <c r="F19" s="1">
        <f t="shared" si="1"/>
        <v>32408</v>
      </c>
      <c r="G19" s="1">
        <f t="shared" si="1"/>
        <v>16885</v>
      </c>
    </row>
    <row r="20" spans="2:17" s="1" customFormat="1" x14ac:dyDescent="0.25">
      <c r="B20" s="1" t="s">
        <v>25</v>
      </c>
      <c r="F20" s="1">
        <f t="shared" si="1"/>
        <v>17073</v>
      </c>
      <c r="G20" s="1">
        <f t="shared" si="1"/>
        <v>19631</v>
      </c>
    </row>
    <row r="21" spans="2:17" s="1" customFormat="1" x14ac:dyDescent="0.25"/>
    <row r="22" spans="2:17" s="1" customFormat="1" x14ac:dyDescent="0.25">
      <c r="B22" s="2" t="s">
        <v>29</v>
      </c>
    </row>
    <row r="23" spans="2:17" s="4" customFormat="1" x14ac:dyDescent="0.25">
      <c r="B23" s="4" t="s">
        <v>22</v>
      </c>
      <c r="F23" s="4">
        <v>0.94699999999999995</v>
      </c>
      <c r="G23" s="4">
        <v>0.95899999999999996</v>
      </c>
    </row>
    <row r="24" spans="2:17" s="4" customFormat="1" x14ac:dyDescent="0.25">
      <c r="B24" s="4" t="s">
        <v>23</v>
      </c>
      <c r="F24" s="4">
        <v>0.94099999999999995</v>
      </c>
      <c r="G24" s="4">
        <v>0.94299999999999995</v>
      </c>
    </row>
    <row r="25" spans="2:17" s="4" customFormat="1" x14ac:dyDescent="0.25">
      <c r="B25" s="4" t="s">
        <v>24</v>
      </c>
      <c r="F25" s="4">
        <v>0.92800000000000005</v>
      </c>
      <c r="G25" s="4">
        <v>0.93200000000000005</v>
      </c>
    </row>
    <row r="26" spans="2:17" s="4" customFormat="1" x14ac:dyDescent="0.25">
      <c r="B26" s="4" t="s">
        <v>25</v>
      </c>
      <c r="F26" s="4">
        <v>0.90600000000000003</v>
      </c>
      <c r="G26" s="4">
        <v>0.91300000000000003</v>
      </c>
    </row>
    <row r="27" spans="2:17" s="1" customFormat="1" x14ac:dyDescent="0.25"/>
    <row r="28" spans="2:17" s="2" customFormat="1" x14ac:dyDescent="0.25">
      <c r="B28" s="2" t="s">
        <v>0</v>
      </c>
      <c r="F28" s="2">
        <v>2856128</v>
      </c>
      <c r="G28" s="2">
        <v>3134459</v>
      </c>
      <c r="H28" s="2">
        <f>+G28*(1+H46)</f>
        <v>3447904.9000000004</v>
      </c>
      <c r="I28" s="2">
        <f t="shared" ref="I28:Q28" si="2">+H28*(1+I46)</f>
        <v>3792695.3900000006</v>
      </c>
      <c r="J28" s="2">
        <f t="shared" si="2"/>
        <v>4171964.9290000009</v>
      </c>
      <c r="K28" s="2">
        <f t="shared" si="2"/>
        <v>4589161.4219000014</v>
      </c>
      <c r="L28" s="2">
        <f t="shared" si="2"/>
        <v>5048077.5640900023</v>
      </c>
      <c r="M28" s="2">
        <f t="shared" si="2"/>
        <v>5552885.3204990029</v>
      </c>
      <c r="N28" s="2">
        <f t="shared" si="2"/>
        <v>6108173.8525489038</v>
      </c>
      <c r="O28" s="2">
        <f t="shared" si="2"/>
        <v>6718991.2378037944</v>
      </c>
      <c r="P28" s="2">
        <f t="shared" si="2"/>
        <v>7390890.3615841744</v>
      </c>
      <c r="Q28" s="2">
        <f t="shared" si="2"/>
        <v>8129979.3977425927</v>
      </c>
    </row>
    <row r="29" spans="2:17" s="1" customFormat="1" x14ac:dyDescent="0.25">
      <c r="B29" s="1" t="s">
        <v>1</v>
      </c>
      <c r="F29" s="1">
        <v>514382</v>
      </c>
      <c r="G29" s="1">
        <v>550366</v>
      </c>
      <c r="H29" s="1">
        <f>+H28*0.18</f>
        <v>620622.8820000001</v>
      </c>
      <c r="I29" s="1">
        <f t="shared" ref="I29:Q29" si="3">+I28*0.18</f>
        <v>682685.17020000005</v>
      </c>
      <c r="J29" s="1">
        <f t="shared" si="3"/>
        <v>750953.6872200002</v>
      </c>
      <c r="K29" s="1">
        <f t="shared" si="3"/>
        <v>826049.05594200024</v>
      </c>
      <c r="L29" s="1">
        <f t="shared" si="3"/>
        <v>908653.96153620037</v>
      </c>
      <c r="M29" s="1">
        <f t="shared" si="3"/>
        <v>999519.35768982046</v>
      </c>
      <c r="N29" s="1">
        <f t="shared" si="3"/>
        <v>1099471.2934588026</v>
      </c>
      <c r="O29" s="1">
        <f t="shared" si="3"/>
        <v>1209418.422804683</v>
      </c>
      <c r="P29" s="1">
        <f t="shared" si="3"/>
        <v>1330360.2650851514</v>
      </c>
      <c r="Q29" s="1">
        <f t="shared" si="3"/>
        <v>1463396.2915936667</v>
      </c>
    </row>
    <row r="30" spans="2:17" s="1" customFormat="1" x14ac:dyDescent="0.25">
      <c r="B30" s="1" t="s">
        <v>2</v>
      </c>
      <c r="D30" s="1">
        <f>+D28-D29</f>
        <v>0</v>
      </c>
      <c r="E30" s="1">
        <f t="shared" ref="E30:K30" si="4">+E28-E29</f>
        <v>0</v>
      </c>
      <c r="F30" s="1">
        <f t="shared" si="4"/>
        <v>2341746</v>
      </c>
      <c r="G30" s="1">
        <f t="shared" si="4"/>
        <v>2584093</v>
      </c>
      <c r="H30" s="1">
        <f t="shared" si="4"/>
        <v>2827282.0180000002</v>
      </c>
      <c r="I30" s="1">
        <f t="shared" si="4"/>
        <v>3110010.2198000005</v>
      </c>
      <c r="J30" s="1">
        <f t="shared" si="4"/>
        <v>3421011.2417800007</v>
      </c>
      <c r="K30" s="1">
        <f t="shared" si="4"/>
        <v>3763112.365958001</v>
      </c>
      <c r="L30" s="1">
        <f t="shared" ref="L30" si="5">+L28-L29</f>
        <v>4139423.6025538021</v>
      </c>
      <c r="M30" s="1">
        <f t="shared" ref="M30" si="6">+M28-M29</f>
        <v>4553365.9628091827</v>
      </c>
      <c r="N30" s="1">
        <f t="shared" ref="N30" si="7">+N28-N29</f>
        <v>5008702.5590901012</v>
      </c>
      <c r="O30" s="1">
        <f t="shared" ref="O30" si="8">+O28-O29</f>
        <v>5509572.814999111</v>
      </c>
      <c r="P30" s="1">
        <f t="shared" ref="P30" si="9">+P28-P29</f>
        <v>6060530.096499023</v>
      </c>
      <c r="Q30" s="1">
        <f t="shared" ref="Q30" si="10">+Q28-Q29</f>
        <v>6666583.1061489265</v>
      </c>
    </row>
    <row r="31" spans="2:17" s="1" customFormat="1" x14ac:dyDescent="0.25">
      <c r="B31" s="1" t="s">
        <v>3</v>
      </c>
      <c r="F31" s="1">
        <v>291220</v>
      </c>
      <c r="G31" s="1">
        <v>319829</v>
      </c>
      <c r="H31" s="1">
        <f>+H28*0.102</f>
        <v>351686.29980000004</v>
      </c>
      <c r="I31" s="1">
        <f t="shared" ref="I31:Q31" si="11">+I28*0.102</f>
        <v>386854.92978000006</v>
      </c>
      <c r="J31" s="1">
        <f t="shared" si="11"/>
        <v>425540.42275800009</v>
      </c>
      <c r="K31" s="1">
        <f t="shared" si="11"/>
        <v>468094.46503380011</v>
      </c>
      <c r="L31" s="1">
        <f t="shared" si="11"/>
        <v>514903.91153718019</v>
      </c>
      <c r="M31" s="1">
        <f t="shared" si="11"/>
        <v>566394.3026908983</v>
      </c>
      <c r="N31" s="1">
        <f t="shared" si="11"/>
        <v>623033.73295998818</v>
      </c>
      <c r="O31" s="1">
        <f t="shared" si="11"/>
        <v>685337.10625598696</v>
      </c>
      <c r="P31" s="1">
        <f t="shared" si="11"/>
        <v>753870.81688158575</v>
      </c>
      <c r="Q31" s="1">
        <f t="shared" si="11"/>
        <v>829257.89856974443</v>
      </c>
    </row>
    <row r="32" spans="2:17" s="1" customFormat="1" x14ac:dyDescent="0.25">
      <c r="B32" s="1" t="s">
        <v>4</v>
      </c>
      <c r="F32" s="1">
        <v>158653</v>
      </c>
      <c r="G32" s="1">
        <v>177596</v>
      </c>
      <c r="H32" s="1">
        <f>+G32*(1+H46*1.1)</f>
        <v>197131.56000000003</v>
      </c>
      <c r="I32" s="1">
        <f t="shared" ref="I32:Q32" si="12">+H32*(1+I46*1.1)</f>
        <v>218816.03160000005</v>
      </c>
      <c r="J32" s="1">
        <f t="shared" si="12"/>
        <v>242885.79507600007</v>
      </c>
      <c r="K32" s="1">
        <f t="shared" si="12"/>
        <v>269603.23253436008</v>
      </c>
      <c r="L32" s="1">
        <f t="shared" si="12"/>
        <v>299259.58811313973</v>
      </c>
      <c r="M32" s="1">
        <f t="shared" si="12"/>
        <v>332178.14280558511</v>
      </c>
      <c r="N32" s="1">
        <f t="shared" si="12"/>
        <v>368717.7385141995</v>
      </c>
      <c r="O32" s="1">
        <f t="shared" si="12"/>
        <v>409276.68975076149</v>
      </c>
      <c r="P32" s="1">
        <f t="shared" si="12"/>
        <v>454297.12562334532</v>
      </c>
      <c r="Q32" s="1">
        <f t="shared" si="12"/>
        <v>504269.80944191333</v>
      </c>
    </row>
    <row r="33" spans="2:157" s="1" customFormat="1" x14ac:dyDescent="0.25">
      <c r="B33" s="1" t="s">
        <v>5</v>
      </c>
      <c r="F33" s="1">
        <v>182340</v>
      </c>
      <c r="G33" s="1">
        <v>180216</v>
      </c>
      <c r="H33" s="1">
        <f>+H28*0.055</f>
        <v>189634.76950000002</v>
      </c>
      <c r="I33" s="1">
        <f t="shared" ref="I33:Q33" si="13">+I28*0.055</f>
        <v>208598.24645000004</v>
      </c>
      <c r="J33" s="1">
        <f t="shared" si="13"/>
        <v>229458.07109500005</v>
      </c>
      <c r="K33" s="1">
        <f t="shared" si="13"/>
        <v>252403.87820450007</v>
      </c>
      <c r="L33" s="1">
        <f t="shared" si="13"/>
        <v>277644.26602495014</v>
      </c>
      <c r="M33" s="1">
        <f t="shared" si="13"/>
        <v>305408.69262744515</v>
      </c>
      <c r="N33" s="1">
        <f t="shared" si="13"/>
        <v>335949.56189018971</v>
      </c>
      <c r="O33" s="1">
        <f t="shared" si="13"/>
        <v>369544.51807920868</v>
      </c>
      <c r="P33" s="1">
        <f t="shared" si="13"/>
        <v>406498.96988712961</v>
      </c>
      <c r="Q33" s="1">
        <f t="shared" si="13"/>
        <v>447148.86687584262</v>
      </c>
    </row>
    <row r="34" spans="2:157" s="1" customFormat="1" x14ac:dyDescent="0.25">
      <c r="B34" s="1" t="s">
        <v>6</v>
      </c>
      <c r="F34" s="1">
        <f>164037+16978</f>
        <v>181015</v>
      </c>
      <c r="G34" s="1">
        <f>169480+23405</f>
        <v>192885</v>
      </c>
      <c r="H34" s="1">
        <f>+G34*(1+H46*0.9)</f>
        <v>210244.65000000002</v>
      </c>
      <c r="I34" s="1">
        <f t="shared" ref="I34:Q34" si="14">+H34*(1+I46*0.9)</f>
        <v>229166.66850000003</v>
      </c>
      <c r="J34" s="1">
        <f t="shared" si="14"/>
        <v>249791.66866500006</v>
      </c>
      <c r="K34" s="1">
        <f t="shared" si="14"/>
        <v>272272.91884485009</v>
      </c>
      <c r="L34" s="1">
        <f t="shared" si="14"/>
        <v>296777.48154088663</v>
      </c>
      <c r="M34" s="1">
        <f t="shared" si="14"/>
        <v>323487.45487956645</v>
      </c>
      <c r="N34" s="1">
        <f t="shared" si="14"/>
        <v>352601.32581872743</v>
      </c>
      <c r="O34" s="1">
        <f t="shared" si="14"/>
        <v>384335.44514241291</v>
      </c>
      <c r="P34" s="1">
        <f t="shared" si="14"/>
        <v>418925.63520523009</v>
      </c>
      <c r="Q34" s="1">
        <f t="shared" si="14"/>
        <v>456628.94237370085</v>
      </c>
    </row>
    <row r="35" spans="2:157" s="2" customFormat="1" x14ac:dyDescent="0.25">
      <c r="B35" s="2" t="s">
        <v>7</v>
      </c>
      <c r="D35" s="2">
        <f>+D30-SUM(D31:D34)</f>
        <v>0</v>
      </c>
      <c r="E35" s="2">
        <f t="shared" ref="E35:K35" si="15">+E30-SUM(E31:E34)</f>
        <v>0</v>
      </c>
      <c r="F35" s="2">
        <f t="shared" si="15"/>
        <v>1528518</v>
      </c>
      <c r="G35" s="2">
        <f t="shared" si="15"/>
        <v>1713567</v>
      </c>
      <c r="H35" s="2">
        <f t="shared" si="15"/>
        <v>1878584.7387000001</v>
      </c>
      <c r="I35" s="2">
        <f t="shared" si="15"/>
        <v>2066574.3434700002</v>
      </c>
      <c r="J35" s="2">
        <f t="shared" si="15"/>
        <v>2273335.2841860005</v>
      </c>
      <c r="K35" s="2">
        <f t="shared" si="15"/>
        <v>2500737.8713404909</v>
      </c>
      <c r="L35" s="2">
        <f t="shared" ref="L35" si="16">+L30-SUM(L31:L34)</f>
        <v>2750838.3553376454</v>
      </c>
      <c r="M35" s="2">
        <f t="shared" ref="M35" si="17">+M30-SUM(M31:M34)</f>
        <v>3025897.3698056876</v>
      </c>
      <c r="N35" s="2">
        <f t="shared" ref="N35" si="18">+N30-SUM(N31:N34)</f>
        <v>3328400.1999069965</v>
      </c>
      <c r="O35" s="2">
        <f t="shared" ref="O35" si="19">+O30-SUM(O31:O34)</f>
        <v>3661079.0557707408</v>
      </c>
      <c r="P35" s="2">
        <f t="shared" ref="P35" si="20">+P30-SUM(P31:P34)</f>
        <v>4026937.5489017321</v>
      </c>
      <c r="Q35" s="2">
        <f t="shared" ref="Q35" si="21">+Q30-SUM(Q31:Q34)</f>
        <v>4429277.588887725</v>
      </c>
    </row>
    <row r="36" spans="2:157" s="1" customFormat="1" x14ac:dyDescent="0.25">
      <c r="B36" s="1" t="s">
        <v>8</v>
      </c>
      <c r="F36" s="1">
        <v>21277</v>
      </c>
      <c r="G36" s="1">
        <v>16012</v>
      </c>
    </row>
    <row r="37" spans="2:157" s="1" customFormat="1" x14ac:dyDescent="0.25">
      <c r="B37" s="1" t="s">
        <v>9</v>
      </c>
      <c r="F37" s="1">
        <v>185500</v>
      </c>
      <c r="G37" s="1">
        <v>209889</v>
      </c>
    </row>
    <row r="38" spans="2:157" s="1" customFormat="1" x14ac:dyDescent="0.25">
      <c r="B38" s="1" t="s">
        <v>10</v>
      </c>
      <c r="F38" s="1">
        <v>8127</v>
      </c>
      <c r="G38" s="1">
        <v>25434</v>
      </c>
      <c r="H38" s="1">
        <v>20000</v>
      </c>
      <c r="I38" s="1">
        <v>20000</v>
      </c>
      <c r="J38" s="1">
        <v>20000</v>
      </c>
      <c r="K38" s="1">
        <v>20000</v>
      </c>
      <c r="L38" s="1">
        <v>20000</v>
      </c>
      <c r="M38" s="1">
        <v>20000</v>
      </c>
      <c r="N38" s="1">
        <v>20000</v>
      </c>
      <c r="O38" s="1">
        <v>20000</v>
      </c>
      <c r="P38" s="1">
        <v>20000</v>
      </c>
      <c r="Q38" s="1">
        <v>20000</v>
      </c>
    </row>
    <row r="39" spans="2:157" s="1" customFormat="1" x14ac:dyDescent="0.25">
      <c r="B39" s="1" t="s">
        <v>11</v>
      </c>
      <c r="D39" s="1">
        <f>+D35+D36-D37-D38</f>
        <v>0</v>
      </c>
      <c r="E39" s="1">
        <f t="shared" ref="E39:K39" si="22">+E35+E36-E37-E38</f>
        <v>0</v>
      </c>
      <c r="F39" s="1">
        <f t="shared" si="22"/>
        <v>1356168</v>
      </c>
      <c r="G39" s="1">
        <f t="shared" si="22"/>
        <v>1494256</v>
      </c>
      <c r="H39" s="1">
        <f t="shared" si="22"/>
        <v>1858584.7387000001</v>
      </c>
      <c r="I39" s="1">
        <f t="shared" si="22"/>
        <v>2046574.3434700002</v>
      </c>
      <c r="J39" s="1">
        <f t="shared" si="22"/>
        <v>2253335.2841860005</v>
      </c>
      <c r="K39" s="1">
        <f t="shared" si="22"/>
        <v>2480737.8713404909</v>
      </c>
      <c r="L39" s="1">
        <f t="shared" ref="L39" si="23">+L35+L36-L37-L38</f>
        <v>2730838.3553376454</v>
      </c>
      <c r="M39" s="1">
        <f t="shared" ref="M39" si="24">+M35+M36-M37-M38</f>
        <v>3005897.3698056876</v>
      </c>
      <c r="N39" s="1">
        <f t="shared" ref="N39" si="25">+N35+N36-N37-N38</f>
        <v>3308400.1999069965</v>
      </c>
      <c r="O39" s="1">
        <f t="shared" ref="O39" si="26">+O35+O36-O37-O38</f>
        <v>3641079.0557707408</v>
      </c>
      <c r="P39" s="1">
        <f t="shared" ref="P39" si="27">+P35+P36-P37-P38</f>
        <v>4006937.5489017321</v>
      </c>
      <c r="Q39" s="1">
        <f t="shared" ref="Q39" si="28">+Q35+Q36-Q37-Q38</f>
        <v>4409277.588887725</v>
      </c>
    </row>
    <row r="40" spans="2:157" s="1" customFormat="1" x14ac:dyDescent="0.25">
      <c r="B40" s="1" t="s">
        <v>12</v>
      </c>
      <c r="F40" s="1">
        <v>247040</v>
      </c>
      <c r="G40" s="1">
        <v>291951</v>
      </c>
      <c r="H40" s="1">
        <f>+H39*0.2</f>
        <v>371716.94774000003</v>
      </c>
      <c r="I40" s="1">
        <f t="shared" ref="I40:Q40" si="29">+I39*0.2</f>
        <v>409314.86869400006</v>
      </c>
      <c r="J40" s="1">
        <f t="shared" si="29"/>
        <v>450667.05683720013</v>
      </c>
      <c r="K40" s="1">
        <f t="shared" si="29"/>
        <v>496147.57426809822</v>
      </c>
      <c r="L40" s="1">
        <f t="shared" si="29"/>
        <v>546167.67106752913</v>
      </c>
      <c r="M40" s="1">
        <f t="shared" si="29"/>
        <v>601179.47396113758</v>
      </c>
      <c r="N40" s="1">
        <f t="shared" si="29"/>
        <v>661680.03998139931</v>
      </c>
      <c r="O40" s="1">
        <f t="shared" si="29"/>
        <v>728215.81115414819</v>
      </c>
      <c r="P40" s="1">
        <f t="shared" si="29"/>
        <v>801387.50978034642</v>
      </c>
      <c r="Q40" s="1">
        <f t="shared" si="29"/>
        <v>881855.51777754503</v>
      </c>
    </row>
    <row r="41" spans="2:157" s="1" customFormat="1" x14ac:dyDescent="0.25">
      <c r="B41" s="1" t="s">
        <v>13</v>
      </c>
      <c r="D41" s="1">
        <f>+D39-D40</f>
        <v>0</v>
      </c>
      <c r="E41" s="1">
        <f t="shared" ref="E41:K41" si="30">+E39-E40</f>
        <v>0</v>
      </c>
      <c r="F41" s="1">
        <f t="shared" si="30"/>
        <v>1109128</v>
      </c>
      <c r="G41" s="1">
        <f t="shared" si="30"/>
        <v>1202305</v>
      </c>
      <c r="H41" s="1">
        <f t="shared" si="30"/>
        <v>1486867.7909600001</v>
      </c>
      <c r="I41" s="1">
        <f t="shared" si="30"/>
        <v>1637259.4747760003</v>
      </c>
      <c r="J41" s="1">
        <f t="shared" si="30"/>
        <v>1802668.2273488003</v>
      </c>
      <c r="K41" s="1">
        <f t="shared" si="30"/>
        <v>1984590.2970723927</v>
      </c>
      <c r="L41" s="1">
        <f t="shared" ref="L41" si="31">+L39-L40</f>
        <v>2184670.6842701165</v>
      </c>
      <c r="M41" s="1">
        <f t="shared" ref="M41" si="32">+M39-M40</f>
        <v>2404717.8958445499</v>
      </c>
      <c r="N41" s="1">
        <f t="shared" ref="N41" si="33">+N39-N40</f>
        <v>2646720.1599255973</v>
      </c>
      <c r="O41" s="1">
        <f t="shared" ref="O41" si="34">+O39-O40</f>
        <v>2912863.2446165928</v>
      </c>
      <c r="P41" s="1">
        <f t="shared" ref="P41" si="35">+P39-P40</f>
        <v>3205550.0391213857</v>
      </c>
      <c r="Q41" s="1">
        <f t="shared" ref="Q41" si="36">+Q39-Q40</f>
        <v>3527422.0711101801</v>
      </c>
      <c r="R41" s="1">
        <f>+Q41*(1+$T$44)</f>
        <v>3633244.7332434854</v>
      </c>
      <c r="S41" s="1">
        <f t="shared" ref="S41:CD41" si="37">+R41*(1+$T$44)</f>
        <v>3742242.0752407899</v>
      </c>
      <c r="T41" s="1">
        <f t="shared" si="37"/>
        <v>3854509.3374980139</v>
      </c>
      <c r="U41" s="1">
        <f t="shared" si="37"/>
        <v>3970144.6176229543</v>
      </c>
      <c r="V41" s="1">
        <f t="shared" si="37"/>
        <v>4089248.9561516428</v>
      </c>
      <c r="W41" s="1">
        <f t="shared" si="37"/>
        <v>4211926.4248361923</v>
      </c>
      <c r="X41" s="1">
        <f t="shared" si="37"/>
        <v>4338284.2175812777</v>
      </c>
      <c r="Y41" s="1">
        <f t="shared" si="37"/>
        <v>4468432.744108716</v>
      </c>
      <c r="Z41" s="1">
        <f t="shared" si="37"/>
        <v>4602485.7264319779</v>
      </c>
      <c r="AA41" s="1">
        <f t="shared" si="37"/>
        <v>4740560.2982249372</v>
      </c>
      <c r="AB41" s="1">
        <f t="shared" si="37"/>
        <v>4882777.1071716854</v>
      </c>
      <c r="AC41" s="1">
        <f t="shared" si="37"/>
        <v>5029260.4203868359</v>
      </c>
      <c r="AD41" s="1">
        <f t="shared" si="37"/>
        <v>5180138.232998441</v>
      </c>
      <c r="AE41" s="1">
        <f t="shared" si="37"/>
        <v>5335542.3799883947</v>
      </c>
      <c r="AF41" s="1">
        <f t="shared" si="37"/>
        <v>5495608.6513880463</v>
      </c>
      <c r="AG41" s="1">
        <f t="shared" si="37"/>
        <v>5660476.9109296883</v>
      </c>
      <c r="AH41" s="1">
        <f t="shared" si="37"/>
        <v>5830291.218257579</v>
      </c>
      <c r="AI41" s="1">
        <f t="shared" si="37"/>
        <v>6005199.9548053062</v>
      </c>
      <c r="AJ41" s="1">
        <f t="shared" si="37"/>
        <v>6185355.9534494653</v>
      </c>
      <c r="AK41" s="1">
        <f t="shared" si="37"/>
        <v>6370916.6320529496</v>
      </c>
      <c r="AL41" s="1">
        <f t="shared" si="37"/>
        <v>6562044.131014538</v>
      </c>
      <c r="AM41" s="1">
        <f t="shared" si="37"/>
        <v>6758905.4549449747</v>
      </c>
      <c r="AN41" s="1">
        <f t="shared" si="37"/>
        <v>6961672.618593324</v>
      </c>
      <c r="AO41" s="1">
        <f t="shared" si="37"/>
        <v>7170522.7971511241</v>
      </c>
      <c r="AP41" s="1">
        <f t="shared" si="37"/>
        <v>7385638.4810656579</v>
      </c>
      <c r="AQ41" s="1">
        <f t="shared" si="37"/>
        <v>7607207.6354976278</v>
      </c>
      <c r="AR41" s="1">
        <f t="shared" si="37"/>
        <v>7835423.8645625571</v>
      </c>
      <c r="AS41" s="1">
        <f t="shared" si="37"/>
        <v>8070486.5804994339</v>
      </c>
      <c r="AT41" s="1">
        <f t="shared" si="37"/>
        <v>8312601.1779144173</v>
      </c>
      <c r="AU41" s="1">
        <f t="shared" si="37"/>
        <v>8561979.2132518496</v>
      </c>
      <c r="AV41" s="1">
        <f t="shared" si="37"/>
        <v>8818838.5896494053</v>
      </c>
      <c r="AW41" s="1">
        <f t="shared" si="37"/>
        <v>9083403.7473388873</v>
      </c>
      <c r="AX41" s="1">
        <f t="shared" si="37"/>
        <v>9355905.8597590551</v>
      </c>
      <c r="AY41" s="1">
        <f t="shared" si="37"/>
        <v>9636583.0355518274</v>
      </c>
      <c r="AZ41" s="1">
        <f t="shared" si="37"/>
        <v>9925680.526618382</v>
      </c>
      <c r="BA41" s="1">
        <f t="shared" si="37"/>
        <v>10223450.942416934</v>
      </c>
      <c r="BB41" s="1">
        <f t="shared" si="37"/>
        <v>10530154.470689442</v>
      </c>
      <c r="BC41" s="1">
        <f t="shared" si="37"/>
        <v>10846059.104810126</v>
      </c>
      <c r="BD41" s="1">
        <f t="shared" si="37"/>
        <v>11171440.877954431</v>
      </c>
      <c r="BE41" s="1">
        <f t="shared" si="37"/>
        <v>11506584.104293063</v>
      </c>
      <c r="BF41" s="1">
        <f t="shared" si="37"/>
        <v>11851781.627421856</v>
      </c>
      <c r="BG41" s="1">
        <f t="shared" si="37"/>
        <v>12207335.076244513</v>
      </c>
      <c r="BH41" s="1">
        <f t="shared" si="37"/>
        <v>12573555.128531849</v>
      </c>
      <c r="BI41" s="1">
        <f t="shared" si="37"/>
        <v>12950761.782387804</v>
      </c>
      <c r="BJ41" s="1">
        <f t="shared" si="37"/>
        <v>13339284.635859439</v>
      </c>
      <c r="BK41" s="1">
        <f t="shared" si="37"/>
        <v>13739463.174935224</v>
      </c>
      <c r="BL41" s="1">
        <f t="shared" si="37"/>
        <v>14151647.070183281</v>
      </c>
      <c r="BM41" s="1">
        <f t="shared" si="37"/>
        <v>14576196.48228878</v>
      </c>
      <c r="BN41" s="1">
        <f t="shared" si="37"/>
        <v>15013482.376757443</v>
      </c>
      <c r="BO41" s="1">
        <f t="shared" si="37"/>
        <v>15463886.848060166</v>
      </c>
      <c r="BP41" s="1">
        <f t="shared" si="37"/>
        <v>15927803.453501971</v>
      </c>
      <c r="BQ41" s="1">
        <f t="shared" si="37"/>
        <v>16405637.557107031</v>
      </c>
      <c r="BR41" s="1">
        <f t="shared" si="37"/>
        <v>16897806.683820244</v>
      </c>
      <c r="BS41" s="1">
        <f t="shared" si="37"/>
        <v>17404740.884334851</v>
      </c>
      <c r="BT41" s="1">
        <f t="shared" si="37"/>
        <v>17926883.110864896</v>
      </c>
      <c r="BU41" s="1">
        <f t="shared" si="37"/>
        <v>18464689.604190845</v>
      </c>
      <c r="BV41" s="1">
        <f t="shared" si="37"/>
        <v>19018630.292316571</v>
      </c>
      <c r="BW41" s="1">
        <f t="shared" si="37"/>
        <v>19589189.201086067</v>
      </c>
      <c r="BX41" s="1">
        <f t="shared" si="37"/>
        <v>20176864.877118651</v>
      </c>
      <c r="BY41" s="1">
        <f t="shared" si="37"/>
        <v>20782170.823432211</v>
      </c>
      <c r="BZ41" s="1">
        <f t="shared" si="37"/>
        <v>21405635.948135179</v>
      </c>
      <c r="CA41" s="1">
        <f t="shared" si="37"/>
        <v>22047805.026579235</v>
      </c>
      <c r="CB41" s="1">
        <f t="shared" si="37"/>
        <v>22709239.177376613</v>
      </c>
      <c r="CC41" s="1">
        <f t="shared" si="37"/>
        <v>23390516.352697913</v>
      </c>
      <c r="CD41" s="1">
        <f t="shared" si="37"/>
        <v>24092231.843278851</v>
      </c>
      <c r="CE41" s="1">
        <f t="shared" ref="CE41:EP41" si="38">+CD41*(1+$T$44)</f>
        <v>24814998.798577219</v>
      </c>
      <c r="CF41" s="1">
        <f t="shared" si="38"/>
        <v>25559448.762534536</v>
      </c>
      <c r="CG41" s="1">
        <f t="shared" si="38"/>
        <v>26326232.225410573</v>
      </c>
      <c r="CH41" s="1">
        <f t="shared" si="38"/>
        <v>27116019.192172892</v>
      </c>
      <c r="CI41" s="1">
        <f t="shared" si="38"/>
        <v>27929499.767938081</v>
      </c>
      <c r="CJ41" s="1">
        <f t="shared" si="38"/>
        <v>28767384.760976225</v>
      </c>
      <c r="CK41" s="1">
        <f t="shared" si="38"/>
        <v>29630406.303805511</v>
      </c>
      <c r="CL41" s="1">
        <f t="shared" si="38"/>
        <v>30519318.492919676</v>
      </c>
      <c r="CM41" s="1">
        <f t="shared" si="38"/>
        <v>31434898.047707267</v>
      </c>
      <c r="CN41" s="1">
        <f t="shared" si="38"/>
        <v>32377944.989138488</v>
      </c>
      <c r="CO41" s="1">
        <f t="shared" si="38"/>
        <v>33349283.338812642</v>
      </c>
      <c r="CP41" s="1">
        <f t="shared" si="38"/>
        <v>34349761.838977024</v>
      </c>
      <c r="CQ41" s="1">
        <f t="shared" si="38"/>
        <v>35380254.694146335</v>
      </c>
      <c r="CR41" s="1">
        <f t="shared" si="38"/>
        <v>36441662.334970728</v>
      </c>
      <c r="CS41" s="1">
        <f t="shared" si="38"/>
        <v>37534912.205019854</v>
      </c>
      <c r="CT41" s="1">
        <f t="shared" si="38"/>
        <v>38660959.571170449</v>
      </c>
      <c r="CU41" s="1">
        <f t="shared" si="38"/>
        <v>39820788.358305566</v>
      </c>
      <c r="CV41" s="1">
        <f t="shared" si="38"/>
        <v>41015412.009054735</v>
      </c>
      <c r="CW41" s="1">
        <f t="shared" si="38"/>
        <v>42245874.369326375</v>
      </c>
      <c r="CX41" s="1">
        <f t="shared" si="38"/>
        <v>43513250.60040617</v>
      </c>
      <c r="CY41" s="1">
        <f t="shared" si="38"/>
        <v>44818648.118418358</v>
      </c>
      <c r="CZ41" s="1">
        <f t="shared" si="38"/>
        <v>46163207.561970912</v>
      </c>
      <c r="DA41" s="1">
        <f t="shared" si="38"/>
        <v>47548103.788830042</v>
      </c>
      <c r="DB41" s="1">
        <f t="shared" si="38"/>
        <v>48974546.902494945</v>
      </c>
      <c r="DC41" s="1">
        <f t="shared" si="38"/>
        <v>50443783.309569791</v>
      </c>
      <c r="DD41" s="1">
        <f t="shared" si="38"/>
        <v>51957096.80885689</v>
      </c>
      <c r="DE41" s="1">
        <f t="shared" si="38"/>
        <v>53515809.713122599</v>
      </c>
      <c r="DF41" s="1">
        <f t="shared" si="38"/>
        <v>55121284.004516281</v>
      </c>
      <c r="DG41" s="1">
        <f t="shared" si="38"/>
        <v>56774922.524651773</v>
      </c>
      <c r="DH41" s="1">
        <f t="shared" si="38"/>
        <v>58478170.20039133</v>
      </c>
      <c r="DI41" s="1">
        <f t="shared" si="38"/>
        <v>60232515.306403071</v>
      </c>
      <c r="DJ41" s="1">
        <f t="shared" si="38"/>
        <v>62039490.765595168</v>
      </c>
      <c r="DK41" s="1">
        <f t="shared" si="38"/>
        <v>63900675.488563024</v>
      </c>
      <c r="DL41" s="1">
        <f t="shared" si="38"/>
        <v>65817695.753219917</v>
      </c>
      <c r="DM41" s="1">
        <f t="shared" si="38"/>
        <v>67792226.625816524</v>
      </c>
      <c r="DN41" s="1">
        <f t="shared" si="38"/>
        <v>69825993.42459102</v>
      </c>
      <c r="DO41" s="1">
        <f t="shared" si="38"/>
        <v>71920773.227328748</v>
      </c>
      <c r="DP41" s="1">
        <f t="shared" si="38"/>
        <v>74078396.424148619</v>
      </c>
      <c r="DQ41" s="1">
        <f t="shared" si="38"/>
        <v>76300748.316873074</v>
      </c>
      <c r="DR41" s="1">
        <f t="shared" si="38"/>
        <v>78589770.766379267</v>
      </c>
      <c r="DS41" s="1">
        <f t="shared" si="38"/>
        <v>80947463.88937065</v>
      </c>
      <c r="DT41" s="1">
        <f t="shared" si="38"/>
        <v>83375887.806051776</v>
      </c>
      <c r="DU41" s="1">
        <f t="shared" si="38"/>
        <v>85877164.440233335</v>
      </c>
      <c r="DV41" s="1">
        <f t="shared" si="38"/>
        <v>88453479.37344034</v>
      </c>
      <c r="DW41" s="1">
        <f t="shared" si="38"/>
        <v>91107083.754643559</v>
      </c>
      <c r="DX41" s="1">
        <f t="shared" si="38"/>
        <v>93840296.267282873</v>
      </c>
      <c r="DY41" s="1">
        <f t="shared" si="38"/>
        <v>96655505.155301362</v>
      </c>
      <c r="DZ41" s="1">
        <f t="shared" si="38"/>
        <v>99555170.30996041</v>
      </c>
      <c r="EA41" s="1">
        <f t="shared" si="38"/>
        <v>102541825.41925922</v>
      </c>
      <c r="EB41" s="1">
        <f t="shared" si="38"/>
        <v>105618080.18183699</v>
      </c>
      <c r="EC41" s="1">
        <f t="shared" si="38"/>
        <v>108786622.5872921</v>
      </c>
      <c r="ED41" s="1">
        <f t="shared" si="38"/>
        <v>112050221.26491088</v>
      </c>
      <c r="EE41" s="1">
        <f t="shared" si="38"/>
        <v>115411727.90285821</v>
      </c>
      <c r="EF41" s="1">
        <f t="shared" si="38"/>
        <v>118874079.73994397</v>
      </c>
      <c r="EG41" s="1">
        <f t="shared" si="38"/>
        <v>122440302.13214229</v>
      </c>
      <c r="EH41" s="1">
        <f t="shared" si="38"/>
        <v>126113511.19610657</v>
      </c>
      <c r="EI41" s="1">
        <f t="shared" si="38"/>
        <v>129896916.53198977</v>
      </c>
      <c r="EJ41" s="1">
        <f t="shared" si="38"/>
        <v>133793824.02794947</v>
      </c>
      <c r="EK41" s="1">
        <f t="shared" si="38"/>
        <v>137807638.74878797</v>
      </c>
      <c r="EL41" s="1">
        <f t="shared" si="38"/>
        <v>141941867.9112516</v>
      </c>
      <c r="EM41" s="1">
        <f t="shared" si="38"/>
        <v>146200123.94858915</v>
      </c>
      <c r="EN41" s="1">
        <f t="shared" si="38"/>
        <v>150586127.66704682</v>
      </c>
      <c r="EO41" s="1">
        <f t="shared" si="38"/>
        <v>155103711.49705821</v>
      </c>
      <c r="EP41" s="1">
        <f t="shared" si="38"/>
        <v>159756822.84196997</v>
      </c>
      <c r="EQ41" s="1">
        <f t="shared" ref="EQ41:FA41" si="39">+EP41*(1+$T$44)</f>
        <v>164549527.52722907</v>
      </c>
      <c r="ER41" s="1">
        <f t="shared" si="39"/>
        <v>169486013.35304594</v>
      </c>
      <c r="ES41" s="1">
        <f t="shared" si="39"/>
        <v>174570593.75363731</v>
      </c>
      <c r="ET41" s="1">
        <f t="shared" si="39"/>
        <v>179807711.56624645</v>
      </c>
      <c r="EU41" s="1">
        <f t="shared" si="39"/>
        <v>185201942.91323385</v>
      </c>
      <c r="EV41" s="1">
        <f t="shared" si="39"/>
        <v>190758001.20063087</v>
      </c>
      <c r="EW41" s="1">
        <f t="shared" si="39"/>
        <v>196480741.23664981</v>
      </c>
      <c r="EX41" s="1">
        <f t="shared" si="39"/>
        <v>202375163.47374931</v>
      </c>
      <c r="EY41" s="1">
        <f t="shared" si="39"/>
        <v>208446418.37796178</v>
      </c>
      <c r="EZ41" s="1">
        <f t="shared" si="39"/>
        <v>214699810.92930064</v>
      </c>
      <c r="FA41" s="1">
        <f t="shared" si="39"/>
        <v>221140805.25717965</v>
      </c>
    </row>
    <row r="42" spans="2:157" s="1" customFormat="1" x14ac:dyDescent="0.25">
      <c r="F42" s="5"/>
      <c r="G42" s="5"/>
    </row>
    <row r="43" spans="2:157" s="3" customFormat="1" x14ac:dyDescent="0.25">
      <c r="B43" s="3" t="s">
        <v>14</v>
      </c>
      <c r="F43" s="3">
        <f>+F30/F28</f>
        <v>0.81990232930736995</v>
      </c>
      <c r="G43" s="3">
        <f>+G30/G28</f>
        <v>0.82441435667207641</v>
      </c>
      <c r="H43" s="3">
        <f>+H30/H28</f>
        <v>0.82</v>
      </c>
      <c r="I43" s="3">
        <f t="shared" ref="I43:Q43" si="40">+I30/I28</f>
        <v>0.82000000000000006</v>
      </c>
      <c r="J43" s="3">
        <f t="shared" si="40"/>
        <v>0.82</v>
      </c>
      <c r="K43" s="3">
        <f t="shared" si="40"/>
        <v>0.82</v>
      </c>
      <c r="L43" s="3">
        <f t="shared" si="40"/>
        <v>0.82000000000000006</v>
      </c>
      <c r="M43" s="3">
        <f t="shared" si="40"/>
        <v>0.82000000000000006</v>
      </c>
      <c r="N43" s="3">
        <f t="shared" si="40"/>
        <v>0.82000000000000006</v>
      </c>
      <c r="O43" s="3">
        <f t="shared" si="40"/>
        <v>0.82</v>
      </c>
      <c r="P43" s="3">
        <f t="shared" si="40"/>
        <v>0.82</v>
      </c>
      <c r="Q43" s="3">
        <f t="shared" si="40"/>
        <v>0.82000000000000006</v>
      </c>
      <c r="S43" s="3" t="s">
        <v>39</v>
      </c>
      <c r="T43" s="3">
        <v>0.1</v>
      </c>
    </row>
    <row r="44" spans="2:157" s="3" customFormat="1" x14ac:dyDescent="0.25">
      <c r="B44" s="3" t="s">
        <v>15</v>
      </c>
      <c r="F44" s="3">
        <f>+F35/F28</f>
        <v>0.53517139287875048</v>
      </c>
      <c r="G44" s="3">
        <f>+G35/G28</f>
        <v>0.54668668500688633</v>
      </c>
      <c r="H44" s="3">
        <f>+H35/H28</f>
        <v>0.54484818844626481</v>
      </c>
      <c r="I44" s="3">
        <f t="shared" ref="I44:Q44" si="41">+I35/I28</f>
        <v>0.54488276303940131</v>
      </c>
      <c r="J44" s="3">
        <f t="shared" si="41"/>
        <v>0.5449075730200128</v>
      </c>
      <c r="K44" s="3">
        <f t="shared" si="41"/>
        <v>0.5449226212455035</v>
      </c>
      <c r="L44" s="3">
        <f t="shared" si="41"/>
        <v>0.54492790976628513</v>
      </c>
      <c r="M44" s="3">
        <f t="shared" si="41"/>
        <v>0.54492343982601266</v>
      </c>
      <c r="N44" s="3">
        <f t="shared" si="41"/>
        <v>0.54490921186175401</v>
      </c>
      <c r="O44" s="3">
        <f t="shared" si="41"/>
        <v>0.54488522550409235</v>
      </c>
      <c r="P44" s="3">
        <f t="shared" si="41"/>
        <v>0.54485147957716318</v>
      </c>
      <c r="Q44" s="3">
        <f t="shared" si="41"/>
        <v>0.54480797209862286</v>
      </c>
      <c r="S44" s="3" t="s">
        <v>40</v>
      </c>
      <c r="T44" s="3">
        <v>0.03</v>
      </c>
    </row>
    <row r="45" spans="2:157" s="3" customFormat="1" x14ac:dyDescent="0.25">
      <c r="B45" s="3" t="s">
        <v>16</v>
      </c>
      <c r="F45" s="3">
        <f>+F41/F28</f>
        <v>0.38833273578775179</v>
      </c>
      <c r="G45" s="3">
        <f>+G41/G28</f>
        <v>0.38357655978272487</v>
      </c>
      <c r="H45" s="3">
        <f>+H41/H28</f>
        <v>0.43123805153674627</v>
      </c>
      <c r="I45" s="3">
        <f t="shared" ref="I45:Q45" si="42">+I41/I28</f>
        <v>0.4316875747767342</v>
      </c>
      <c r="J45" s="3">
        <f t="shared" si="42"/>
        <v>0.43209093509347662</v>
      </c>
      <c r="K45" s="3">
        <f t="shared" si="42"/>
        <v>0.432451621248645</v>
      </c>
      <c r="L45" s="3">
        <f t="shared" si="42"/>
        <v>0.43277280440597565</v>
      </c>
      <c r="M45" s="3">
        <f t="shared" si="42"/>
        <v>0.43305736694530783</v>
      </c>
      <c r="N45" s="3">
        <f t="shared" si="42"/>
        <v>0.43330792865712836</v>
      </c>
      <c r="O45" s="3">
        <f t="shared" si="42"/>
        <v>0.43352687055575129</v>
      </c>
      <c r="P45" s="3">
        <f t="shared" si="42"/>
        <v>0.43371635652761914</v>
      </c>
      <c r="Q45" s="3">
        <f t="shared" si="42"/>
        <v>0.43387835301152428</v>
      </c>
      <c r="S45" s="3" t="s">
        <v>41</v>
      </c>
      <c r="T45" s="6">
        <f>NPV(T43,H41:FE41)</f>
        <v>33574118.770915851</v>
      </c>
    </row>
    <row r="46" spans="2:157" s="3" customFormat="1" x14ac:dyDescent="0.25">
      <c r="B46" s="3" t="s">
        <v>30</v>
      </c>
      <c r="G46" s="3">
        <f>+G28/F28 -1</f>
        <v>9.7450464404956749E-2</v>
      </c>
      <c r="H46" s="3">
        <v>0.1</v>
      </c>
      <c r="I46" s="3">
        <v>0.1</v>
      </c>
      <c r="J46" s="3">
        <v>0.1</v>
      </c>
      <c r="K46" s="3">
        <v>0.1</v>
      </c>
      <c r="L46" s="3">
        <v>0.1</v>
      </c>
      <c r="M46" s="3">
        <v>0.1</v>
      </c>
      <c r="N46" s="3">
        <v>0.1</v>
      </c>
      <c r="O46" s="3">
        <v>0.1</v>
      </c>
      <c r="P46" s="3">
        <v>0.1</v>
      </c>
      <c r="Q46" s="3">
        <v>0.1</v>
      </c>
      <c r="S46" s="3" t="s">
        <v>42</v>
      </c>
      <c r="T46" s="6">
        <f>-G61</f>
        <v>-5686954</v>
      </c>
    </row>
    <row r="47" spans="2:157" s="1" customFormat="1" x14ac:dyDescent="0.25">
      <c r="S47" s="1" t="s">
        <v>43</v>
      </c>
      <c r="T47" s="1">
        <f>+T45+T46</f>
        <v>27887164.770915851</v>
      </c>
    </row>
    <row r="48" spans="2:157" s="1" customFormat="1" x14ac:dyDescent="0.25">
      <c r="B48" s="1" t="s">
        <v>21</v>
      </c>
      <c r="F48" s="1">
        <v>95204</v>
      </c>
      <c r="G48" s="1">
        <v>111343</v>
      </c>
      <c r="H48" s="1">
        <v>120000</v>
      </c>
      <c r="S48" s="1" t="s">
        <v>44</v>
      </c>
      <c r="T48" s="1">
        <v>73600</v>
      </c>
    </row>
    <row r="49" spans="2:20" s="1" customFormat="1" x14ac:dyDescent="0.25">
      <c r="B49" s="1" t="s">
        <v>17</v>
      </c>
      <c r="F49" s="1">
        <v>1501627</v>
      </c>
      <c r="G49" s="1">
        <v>1588446</v>
      </c>
      <c r="H49" s="1">
        <v>1650000</v>
      </c>
      <c r="T49" s="1">
        <f>+T47/T48</f>
        <v>378.90169525700884</v>
      </c>
    </row>
    <row r="50" spans="2:20" s="1" customFormat="1" x14ac:dyDescent="0.25">
      <c r="B50" s="1" t="s">
        <v>18</v>
      </c>
      <c r="F50" s="1">
        <f>81356+33762</f>
        <v>115118</v>
      </c>
      <c r="G50" s="1">
        <f>90542+39319</f>
        <v>129861</v>
      </c>
      <c r="H50" s="1">
        <v>165000</v>
      </c>
    </row>
    <row r="51" spans="2:20" s="2" customFormat="1" x14ac:dyDescent="0.25">
      <c r="B51" s="2" t="s">
        <v>19</v>
      </c>
      <c r="F51" s="2">
        <f>+F49-F50-F48</f>
        <v>1291305</v>
      </c>
      <c r="G51" s="2">
        <f>+G49-G50-G48</f>
        <v>1347242</v>
      </c>
      <c r="H51" s="2">
        <f>+H49-H50-H48</f>
        <v>1365000</v>
      </c>
    </row>
    <row r="52" spans="2:20" s="1" customFormat="1" x14ac:dyDescent="0.25">
      <c r="B52" s="1" t="s">
        <v>20</v>
      </c>
      <c r="F52" s="1">
        <f>+F51+F37-F36</f>
        <v>1455528</v>
      </c>
      <c r="G52" s="1">
        <f>+G51+G37-G36</f>
        <v>1541119</v>
      </c>
      <c r="H52" s="1">
        <f>+H51+H37-H36</f>
        <v>1365000</v>
      </c>
    </row>
    <row r="53" spans="2:20" s="1" customFormat="1" x14ac:dyDescent="0.25"/>
    <row r="54" spans="2:20" s="4" customFormat="1" x14ac:dyDescent="0.25">
      <c r="B54" s="4" t="s">
        <v>3</v>
      </c>
      <c r="F54" s="4">
        <f>+F31/F$28</f>
        <v>0.10196321733479732</v>
      </c>
      <c r="G54" s="4">
        <f>+G31/G$28</f>
        <v>0.10203642797688532</v>
      </c>
      <c r="H54" s="4">
        <f t="shared" ref="H54:Q54" si="43">+H31/H$28</f>
        <v>0.10199999999999999</v>
      </c>
      <c r="I54" s="4">
        <f t="shared" si="43"/>
        <v>0.10200000000000001</v>
      </c>
      <c r="J54" s="4">
        <f t="shared" si="43"/>
        <v>0.10199999999999999</v>
      </c>
      <c r="K54" s="4">
        <f t="shared" si="43"/>
        <v>0.10199999999999999</v>
      </c>
      <c r="L54" s="4">
        <f t="shared" si="43"/>
        <v>0.10199999999999999</v>
      </c>
      <c r="M54" s="4">
        <f t="shared" si="43"/>
        <v>0.10199999999999999</v>
      </c>
      <c r="N54" s="4">
        <f t="shared" si="43"/>
        <v>0.10199999999999999</v>
      </c>
      <c r="O54" s="4">
        <f t="shared" si="43"/>
        <v>0.10199999999999999</v>
      </c>
      <c r="P54" s="4">
        <f t="shared" si="43"/>
        <v>0.10199999999999999</v>
      </c>
      <c r="Q54" s="4">
        <f t="shared" si="43"/>
        <v>0.10199999999999999</v>
      </c>
    </row>
    <row r="55" spans="2:20" s="4" customFormat="1" x14ac:dyDescent="0.25">
      <c r="B55" s="4" t="s">
        <v>4</v>
      </c>
      <c r="F55" s="4">
        <f t="shared" ref="F55:G57" si="44">+F32/F$28</f>
        <v>5.5548280749322158E-2</v>
      </c>
      <c r="G55" s="4">
        <f t="shared" si="44"/>
        <v>5.6659219342157612E-2</v>
      </c>
      <c r="H55" s="4">
        <f t="shared" ref="H55:Q55" si="45">+H32/H$28</f>
        <v>5.7174303154359042E-2</v>
      </c>
      <c r="I55" s="4">
        <f t="shared" si="45"/>
        <v>5.7694069546671403E-2</v>
      </c>
      <c r="J55" s="4">
        <f t="shared" si="45"/>
        <v>5.8218561088004779E-2</v>
      </c>
      <c r="K55" s="4">
        <f t="shared" si="45"/>
        <v>5.8747820734259361E-2</v>
      </c>
      <c r="L55" s="4">
        <f t="shared" si="45"/>
        <v>5.9281891831843535E-2</v>
      </c>
      <c r="M55" s="4">
        <f t="shared" si="45"/>
        <v>5.9820818121223931E-2</v>
      </c>
      <c r="N55" s="4">
        <f t="shared" si="45"/>
        <v>6.0364643740507783E-2</v>
      </c>
      <c r="O55" s="4">
        <f t="shared" si="45"/>
        <v>6.0913413229057863E-2</v>
      </c>
      <c r="P55" s="4">
        <f t="shared" si="45"/>
        <v>6.1467171531140209E-2</v>
      </c>
      <c r="Q55" s="4">
        <f t="shared" si="45"/>
        <v>6.2025963999605117E-2</v>
      </c>
    </row>
    <row r="56" spans="2:20" s="4" customFormat="1" x14ac:dyDescent="0.25">
      <c r="B56" s="4" t="s">
        <v>5</v>
      </c>
      <c r="F56" s="4">
        <f t="shared" si="44"/>
        <v>6.3841676563515359E-2</v>
      </c>
      <c r="G56" s="4">
        <f t="shared" si="44"/>
        <v>5.7495089264207953E-2</v>
      </c>
      <c r="H56" s="4">
        <f t="shared" ref="H56:Q56" si="46">+H33/H$28</f>
        <v>5.5E-2</v>
      </c>
      <c r="I56" s="4">
        <f t="shared" si="46"/>
        <v>5.5E-2</v>
      </c>
      <c r="J56" s="4">
        <f t="shared" si="46"/>
        <v>5.5E-2</v>
      </c>
      <c r="K56" s="4">
        <f t="shared" si="46"/>
        <v>5.5E-2</v>
      </c>
      <c r="L56" s="4">
        <f t="shared" si="46"/>
        <v>5.5E-2</v>
      </c>
      <c r="M56" s="4">
        <f t="shared" si="46"/>
        <v>5.5E-2</v>
      </c>
      <c r="N56" s="4">
        <f t="shared" si="46"/>
        <v>5.5E-2</v>
      </c>
      <c r="O56" s="4">
        <f t="shared" si="46"/>
        <v>5.5E-2</v>
      </c>
      <c r="P56" s="4">
        <f t="shared" si="46"/>
        <v>5.5E-2</v>
      </c>
      <c r="Q56" s="4">
        <f t="shared" si="46"/>
        <v>5.5E-2</v>
      </c>
    </row>
    <row r="57" spans="2:20" s="4" customFormat="1" x14ac:dyDescent="0.25">
      <c r="B57" s="4" t="s">
        <v>6</v>
      </c>
      <c r="F57" s="4">
        <f t="shared" si="44"/>
        <v>6.3377761780984601E-2</v>
      </c>
      <c r="G57" s="4">
        <f t="shared" si="44"/>
        <v>6.1536935081939179E-2</v>
      </c>
      <c r="H57" s="4">
        <f t="shared" ref="H57:Q57" si="47">+H34/H$28</f>
        <v>6.0977508399376094E-2</v>
      </c>
      <c r="I57" s="4">
        <f t="shared" si="47"/>
        <v>6.0423167413927219E-2</v>
      </c>
      <c r="J57" s="4">
        <f t="shared" si="47"/>
        <v>5.9873865891982431E-2</v>
      </c>
      <c r="K57" s="4">
        <f t="shared" si="47"/>
        <v>5.9329558020237136E-2</v>
      </c>
      <c r="L57" s="4">
        <f t="shared" si="47"/>
        <v>5.8790198401871344E-2</v>
      </c>
      <c r="M57" s="4">
        <f t="shared" si="47"/>
        <v>5.8255742052763418E-2</v>
      </c>
      <c r="N57" s="4">
        <f t="shared" si="47"/>
        <v>5.7726144397738294E-2</v>
      </c>
      <c r="O57" s="4">
        <f t="shared" si="47"/>
        <v>5.7201361266849764E-2</v>
      </c>
      <c r="P57" s="4">
        <f t="shared" si="47"/>
        <v>5.6681348891696584E-2</v>
      </c>
      <c r="Q57" s="4">
        <f t="shared" si="47"/>
        <v>5.6166063901772069E-2</v>
      </c>
    </row>
    <row r="58" spans="2:20" s="1" customFormat="1" x14ac:dyDescent="0.25"/>
    <row r="59" spans="2:20" s="1" customFormat="1" x14ac:dyDescent="0.25">
      <c r="B59" s="1" t="s">
        <v>31</v>
      </c>
      <c r="F59" s="1">
        <v>409351</v>
      </c>
      <c r="G59" s="1">
        <v>515332</v>
      </c>
    </row>
    <row r="60" spans="2:20" s="1" customFormat="1" x14ac:dyDescent="0.25">
      <c r="B60" s="1" t="s">
        <v>32</v>
      </c>
      <c r="F60" s="1">
        <v>4510816</v>
      </c>
      <c r="G60" s="1">
        <v>6202286</v>
      </c>
    </row>
    <row r="61" spans="2:20" s="1" customFormat="1" x14ac:dyDescent="0.25">
      <c r="B61" s="1" t="s">
        <v>33</v>
      </c>
      <c r="F61" s="1">
        <f>+F60-F59</f>
        <v>4101465</v>
      </c>
      <c r="G61" s="1">
        <f>+G60-G59</f>
        <v>5686954</v>
      </c>
    </row>
    <row r="62" spans="2:20" s="1" customFormat="1" x14ac:dyDescent="0.25">
      <c r="B62" s="1" t="s">
        <v>35</v>
      </c>
      <c r="G62" s="1">
        <f>+G61-F61</f>
        <v>1585489</v>
      </c>
    </row>
    <row r="63" spans="2:20" s="1" customFormat="1" x14ac:dyDescent="0.25"/>
    <row r="64" spans="2:20" s="1" customFormat="1" x14ac:dyDescent="0.25">
      <c r="B64" s="1" t="s">
        <v>34</v>
      </c>
      <c r="F64" s="1">
        <v>885266</v>
      </c>
      <c r="G64" s="1">
        <v>2484305</v>
      </c>
    </row>
    <row r="65" spans="2:7" s="1" customFormat="1" x14ac:dyDescent="0.25">
      <c r="B65" s="1" t="s">
        <v>36</v>
      </c>
      <c r="F65" s="1">
        <v>509109</v>
      </c>
      <c r="G65" s="1">
        <v>556521</v>
      </c>
    </row>
    <row r="66" spans="2:7" s="1" customFormat="1" x14ac:dyDescent="0.25">
      <c r="B66" s="1" t="s">
        <v>37</v>
      </c>
      <c r="F66" s="1">
        <f>+F64+F65</f>
        <v>1394375</v>
      </c>
      <c r="G66" s="1">
        <f>+G64+G65</f>
        <v>3040826</v>
      </c>
    </row>
    <row r="67" spans="2:7" s="3" customFormat="1" x14ac:dyDescent="0.25">
      <c r="B67" s="3" t="s">
        <v>38</v>
      </c>
      <c r="F67" s="3">
        <f>+F66/F51</f>
        <v>1.0798184782061557</v>
      </c>
      <c r="G67" s="3">
        <f>+G66/G51</f>
        <v>2.2570748239737179</v>
      </c>
    </row>
    <row r="68" spans="2:7" s="1" customFormat="1" x14ac:dyDescent="0.25"/>
    <row r="69" spans="2:7" s="1" customFormat="1" x14ac:dyDescent="0.25"/>
    <row r="70" spans="2:7" s="1" customFormat="1" x14ac:dyDescent="0.25"/>
    <row r="71" spans="2:7" s="1" customFormat="1" x14ac:dyDescent="0.25"/>
    <row r="72" spans="2:7" s="1" customFormat="1" x14ac:dyDescent="0.25"/>
    <row r="73" spans="2:7" s="1" customFormat="1" x14ac:dyDescent="0.25"/>
    <row r="74" spans="2:7" s="1" customFormat="1" x14ac:dyDescent="0.25"/>
    <row r="75" spans="2:7" s="1" customFormat="1" x14ac:dyDescent="0.25"/>
    <row r="76" spans="2:7" s="1" customFormat="1" x14ac:dyDescent="0.25"/>
    <row r="77" spans="2:7" s="1" customFormat="1" x14ac:dyDescent="0.25"/>
    <row r="78" spans="2:7" s="1" customFormat="1" x14ac:dyDescent="0.25"/>
    <row r="79" spans="2:7" s="1" customFormat="1" x14ac:dyDescent="0.25"/>
    <row r="80" spans="2:7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2026-02-11T13:07:36Z</dcterms:created>
  <dcterms:modified xsi:type="dcterms:W3CDTF">2026-02-11T14:23:10Z</dcterms:modified>
</cp:coreProperties>
</file>