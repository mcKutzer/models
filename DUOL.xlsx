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03F7A356-FCB8-4A9F-97C2-9E644C432DBD}" xr6:coauthVersionLast="47" xr6:coauthVersionMax="47" xr10:uidLastSave="{00000000-0000-0000-0000-000000000000}"/>
  <bookViews>
    <workbookView xWindow="-120" yWindow="-120" windowWidth="29040" windowHeight="15840" activeTab="1" xr2:uid="{E0013DF8-5D89-4025-815F-5516AD6187E3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3" i="1" l="1"/>
  <c r="J48" i="1"/>
  <c r="J30" i="1"/>
  <c r="E63" i="1"/>
  <c r="F63" i="1"/>
  <c r="G63" i="1"/>
  <c r="H53" i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C5" i="2"/>
  <c r="C4" i="2"/>
  <c r="H70" i="1"/>
  <c r="H72" i="1" s="1"/>
  <c r="F65" i="1"/>
  <c r="G65" i="1"/>
  <c r="F66" i="1"/>
  <c r="G66" i="1"/>
  <c r="F67" i="1"/>
  <c r="G67" i="1"/>
  <c r="E66" i="1"/>
  <c r="E67" i="1"/>
  <c r="E65" i="1"/>
  <c r="E33" i="1"/>
  <c r="F33" i="1"/>
  <c r="G33" i="1"/>
  <c r="H33" i="1"/>
  <c r="I9" i="1"/>
  <c r="J9" i="1" s="1"/>
  <c r="K9" i="1" s="1"/>
  <c r="L9" i="1" s="1"/>
  <c r="M9" i="1" s="1"/>
  <c r="N9" i="1" s="1"/>
  <c r="O9" i="1" s="1"/>
  <c r="P9" i="1" s="1"/>
  <c r="Q9" i="1" s="1"/>
  <c r="R9" i="1" s="1"/>
  <c r="I8" i="1"/>
  <c r="J8" i="1" s="1"/>
  <c r="K8" i="1" s="1"/>
  <c r="L8" i="1" s="1"/>
  <c r="M8" i="1" s="1"/>
  <c r="N8" i="1" s="1"/>
  <c r="O8" i="1" s="1"/>
  <c r="P8" i="1" s="1"/>
  <c r="Q8" i="1" s="1"/>
  <c r="R8" i="1" s="1"/>
  <c r="I7" i="1"/>
  <c r="J7" i="1" s="1"/>
  <c r="K7" i="1" s="1"/>
  <c r="L7" i="1" s="1"/>
  <c r="M7" i="1" s="1"/>
  <c r="N7" i="1" s="1"/>
  <c r="O7" i="1" s="1"/>
  <c r="P7" i="1" s="1"/>
  <c r="Q7" i="1" s="1"/>
  <c r="R7" i="1" s="1"/>
  <c r="R14" i="1" s="1"/>
  <c r="I6" i="1"/>
  <c r="J6" i="1" s="1"/>
  <c r="K6" i="1" s="1"/>
  <c r="L6" i="1" s="1"/>
  <c r="M6" i="1" s="1"/>
  <c r="N6" i="1" s="1"/>
  <c r="O6" i="1" s="1"/>
  <c r="P6" i="1" s="1"/>
  <c r="Q6" i="1" s="1"/>
  <c r="R6" i="1" s="1"/>
  <c r="I5" i="1"/>
  <c r="H19" i="1"/>
  <c r="I19" i="1" s="1"/>
  <c r="H20" i="1"/>
  <c r="H21" i="1"/>
  <c r="I21" i="1" s="1"/>
  <c r="H22" i="1"/>
  <c r="I22" i="1" s="1"/>
  <c r="H18" i="1"/>
  <c r="I18" i="1" s="1"/>
  <c r="E10" i="1"/>
  <c r="F10" i="1"/>
  <c r="G10" i="1"/>
  <c r="H10" i="1"/>
  <c r="H23" i="1" s="1"/>
  <c r="H25" i="1" s="1"/>
  <c r="D32" i="1"/>
  <c r="E32" i="1"/>
  <c r="F32" i="1"/>
  <c r="G32" i="1"/>
  <c r="H32" i="1"/>
  <c r="D31" i="1"/>
  <c r="E31" i="1"/>
  <c r="F31" i="1"/>
  <c r="G31" i="1"/>
  <c r="H31" i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H60" i="1"/>
  <c r="H59" i="1"/>
  <c r="H48" i="1"/>
  <c r="H43" i="1"/>
  <c r="H67" i="1" s="1"/>
  <c r="H42" i="1"/>
  <c r="H66" i="1" s="1"/>
  <c r="H41" i="1"/>
  <c r="H39" i="1"/>
  <c r="H38" i="1"/>
  <c r="H35" i="1" s="1"/>
  <c r="E35" i="1"/>
  <c r="F35" i="1"/>
  <c r="G35" i="1"/>
  <c r="D35" i="1"/>
  <c r="G57" i="1"/>
  <c r="F57" i="1"/>
  <c r="G60" i="1"/>
  <c r="G61" i="1" s="1"/>
  <c r="F60" i="1"/>
  <c r="F61" i="1" s="1"/>
  <c r="E60" i="1"/>
  <c r="E61" i="1" s="1"/>
  <c r="F40" i="1"/>
  <c r="F44" i="1" s="1"/>
  <c r="F47" i="1" s="1"/>
  <c r="F49" i="1" s="1"/>
  <c r="F51" i="1" s="1"/>
  <c r="G40" i="1"/>
  <c r="G44" i="1" s="1"/>
  <c r="G47" i="1" s="1"/>
  <c r="G49" i="1" s="1"/>
  <c r="G51" i="1" s="1"/>
  <c r="E40" i="1"/>
  <c r="E44" i="1" s="1"/>
  <c r="E47" i="1" s="1"/>
  <c r="E49" i="1" s="1"/>
  <c r="E51" i="1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C6" i="2" l="1"/>
  <c r="C7" i="2" s="1"/>
  <c r="I43" i="1"/>
  <c r="H65" i="1"/>
  <c r="H24" i="1"/>
  <c r="H26" i="1" s="1"/>
  <c r="I14" i="1"/>
  <c r="O14" i="1"/>
  <c r="Q14" i="1"/>
  <c r="P14" i="1"/>
  <c r="I12" i="1"/>
  <c r="J18" i="1"/>
  <c r="I15" i="1"/>
  <c r="J21" i="1"/>
  <c r="I16" i="1"/>
  <c r="J22" i="1"/>
  <c r="K22" i="1" s="1"/>
  <c r="L22" i="1" s="1"/>
  <c r="L16" i="1" s="1"/>
  <c r="J19" i="1"/>
  <c r="I13" i="1"/>
  <c r="N14" i="1"/>
  <c r="M14" i="1"/>
  <c r="L14" i="1"/>
  <c r="I10" i="1"/>
  <c r="K14" i="1"/>
  <c r="J14" i="1"/>
  <c r="J5" i="1"/>
  <c r="H61" i="1"/>
  <c r="H57" i="1"/>
  <c r="H40" i="1"/>
  <c r="E55" i="1"/>
  <c r="G56" i="1"/>
  <c r="F56" i="1"/>
  <c r="G55" i="1"/>
  <c r="F55" i="1"/>
  <c r="E56" i="1"/>
  <c r="J43" i="1" l="1"/>
  <c r="I29" i="1"/>
  <c r="I28" i="1" s="1"/>
  <c r="I24" i="1" s="1"/>
  <c r="I26" i="1" s="1"/>
  <c r="K19" i="1"/>
  <c r="J13" i="1"/>
  <c r="K16" i="1"/>
  <c r="J16" i="1"/>
  <c r="K21" i="1"/>
  <c r="J15" i="1"/>
  <c r="M22" i="1"/>
  <c r="M16" i="1" s="1"/>
  <c r="K18" i="1"/>
  <c r="J12" i="1"/>
  <c r="K5" i="1"/>
  <c r="J10" i="1"/>
  <c r="H44" i="1"/>
  <c r="H55" i="1"/>
  <c r="I33" i="1" l="1"/>
  <c r="I23" i="1"/>
  <c r="I25" i="1" s="1"/>
  <c r="I30" i="1"/>
  <c r="I38" i="1" s="1"/>
  <c r="K43" i="1"/>
  <c r="L18" i="1"/>
  <c r="K12" i="1"/>
  <c r="K13" i="1"/>
  <c r="L19" i="1"/>
  <c r="N22" i="1"/>
  <c r="N16" i="1" s="1"/>
  <c r="L21" i="1"/>
  <c r="K15" i="1"/>
  <c r="J29" i="1"/>
  <c r="J28" i="1" s="1"/>
  <c r="J24" i="1" s="1"/>
  <c r="J26" i="1" s="1"/>
  <c r="L5" i="1"/>
  <c r="K10" i="1"/>
  <c r="H47" i="1"/>
  <c r="H49" i="1" s="1"/>
  <c r="H51" i="1" s="1"/>
  <c r="H52" i="1" s="1"/>
  <c r="H56" i="1"/>
  <c r="O22" i="1" l="1"/>
  <c r="L43" i="1"/>
  <c r="I39" i="1"/>
  <c r="I42" i="1"/>
  <c r="I66" i="1" s="1"/>
  <c r="I40" i="1"/>
  <c r="I57" i="1"/>
  <c r="I41" i="1" s="1"/>
  <c r="I67" i="1"/>
  <c r="J23" i="1"/>
  <c r="J25" i="1" s="1"/>
  <c r="J38" i="1"/>
  <c r="J33" i="1"/>
  <c r="M21" i="1"/>
  <c r="L15" i="1"/>
  <c r="M19" i="1"/>
  <c r="L13" i="1"/>
  <c r="K29" i="1"/>
  <c r="K28" i="1" s="1"/>
  <c r="K24" i="1" s="1"/>
  <c r="K26" i="1" s="1"/>
  <c r="M18" i="1"/>
  <c r="L12" i="1"/>
  <c r="P22" i="1"/>
  <c r="O16" i="1"/>
  <c r="M5" i="1"/>
  <c r="L10" i="1"/>
  <c r="J39" i="1" l="1"/>
  <c r="J40" i="1"/>
  <c r="J42" i="1"/>
  <c r="J66" i="1" s="1"/>
  <c r="J57" i="1"/>
  <c r="J67" i="1"/>
  <c r="I55" i="1"/>
  <c r="I44" i="1"/>
  <c r="J41" i="1"/>
  <c r="I65" i="1"/>
  <c r="M43" i="1"/>
  <c r="N18" i="1"/>
  <c r="M12" i="1"/>
  <c r="L29" i="1"/>
  <c r="L28" i="1" s="1"/>
  <c r="L24" i="1" s="1"/>
  <c r="L26" i="1" s="1"/>
  <c r="M13" i="1"/>
  <c r="N19" i="1"/>
  <c r="N21" i="1"/>
  <c r="M15" i="1"/>
  <c r="K30" i="1"/>
  <c r="K38" i="1" s="1"/>
  <c r="K33" i="1"/>
  <c r="K23" i="1"/>
  <c r="K25" i="1" s="1"/>
  <c r="Q22" i="1"/>
  <c r="P16" i="1"/>
  <c r="N5" i="1"/>
  <c r="M10" i="1"/>
  <c r="I47" i="1" l="1"/>
  <c r="I49" i="1" s="1"/>
  <c r="I56" i="1"/>
  <c r="K39" i="1"/>
  <c r="K40" i="1"/>
  <c r="K42" i="1"/>
  <c r="K66" i="1" s="1"/>
  <c r="K57" i="1"/>
  <c r="K67" i="1"/>
  <c r="N43" i="1"/>
  <c r="K41" i="1"/>
  <c r="J65" i="1"/>
  <c r="J55" i="1"/>
  <c r="J44" i="1"/>
  <c r="M29" i="1"/>
  <c r="M28" i="1" s="1"/>
  <c r="M24" i="1" s="1"/>
  <c r="M26" i="1" s="1"/>
  <c r="O21" i="1"/>
  <c r="N15" i="1"/>
  <c r="L30" i="1"/>
  <c r="L38" i="1" s="1"/>
  <c r="L33" i="1"/>
  <c r="L23" i="1"/>
  <c r="L25" i="1" s="1"/>
  <c r="O19" i="1"/>
  <c r="N13" i="1"/>
  <c r="O18" i="1"/>
  <c r="N12" i="1"/>
  <c r="R22" i="1"/>
  <c r="R16" i="1" s="1"/>
  <c r="Q16" i="1"/>
  <c r="O5" i="1"/>
  <c r="N10" i="1"/>
  <c r="O43" i="1" l="1"/>
  <c r="K55" i="1"/>
  <c r="K44" i="1"/>
  <c r="L39" i="1"/>
  <c r="L57" i="1"/>
  <c r="L40" i="1"/>
  <c r="L42" i="1"/>
  <c r="L66" i="1" s="1"/>
  <c r="L67" i="1"/>
  <c r="L41" i="1"/>
  <c r="K65" i="1"/>
  <c r="J47" i="1"/>
  <c r="J56" i="1"/>
  <c r="I50" i="1"/>
  <c r="I51" i="1"/>
  <c r="I52" i="1" s="1"/>
  <c r="P18" i="1"/>
  <c r="O12" i="1"/>
  <c r="N29" i="1"/>
  <c r="N28" i="1" s="1"/>
  <c r="N24" i="1" s="1"/>
  <c r="N26" i="1" s="1"/>
  <c r="P21" i="1"/>
  <c r="O15" i="1"/>
  <c r="O13" i="1"/>
  <c r="P19" i="1"/>
  <c r="M30" i="1"/>
  <c r="M38" i="1" s="1"/>
  <c r="M23" i="1"/>
  <c r="M25" i="1" s="1"/>
  <c r="M33" i="1"/>
  <c r="P5" i="1"/>
  <c r="O10" i="1"/>
  <c r="K47" i="1" l="1"/>
  <c r="K56" i="1"/>
  <c r="I72" i="1"/>
  <c r="M57" i="1"/>
  <c r="M41" i="1" s="1"/>
  <c r="M39" i="1"/>
  <c r="M42" i="1"/>
  <c r="M66" i="1" s="1"/>
  <c r="M40" i="1"/>
  <c r="M67" i="1"/>
  <c r="L55" i="1"/>
  <c r="L44" i="1"/>
  <c r="L65" i="1"/>
  <c r="P43" i="1"/>
  <c r="O29" i="1"/>
  <c r="O28" i="1" s="1"/>
  <c r="O24" i="1" s="1"/>
  <c r="O26" i="1" s="1"/>
  <c r="N30" i="1"/>
  <c r="N38" i="1" s="1"/>
  <c r="N23" i="1"/>
  <c r="N25" i="1" s="1"/>
  <c r="N33" i="1"/>
  <c r="Q21" i="1"/>
  <c r="P15" i="1"/>
  <c r="P13" i="1"/>
  <c r="Q19" i="1"/>
  <c r="Q18" i="1"/>
  <c r="P12" i="1"/>
  <c r="Q5" i="1"/>
  <c r="P10" i="1"/>
  <c r="M65" i="1" l="1"/>
  <c r="L56" i="1"/>
  <c r="L47" i="1"/>
  <c r="O33" i="1"/>
  <c r="Q43" i="1"/>
  <c r="J49" i="1"/>
  <c r="J50" i="1" s="1"/>
  <c r="J51" i="1" s="1"/>
  <c r="O23" i="1"/>
  <c r="O25" i="1" s="1"/>
  <c r="O30" i="1"/>
  <c r="O38" i="1" s="1"/>
  <c r="M55" i="1"/>
  <c r="M44" i="1"/>
  <c r="N42" i="1"/>
  <c r="N66" i="1" s="1"/>
  <c r="N57" i="1"/>
  <c r="N41" i="1" s="1"/>
  <c r="N39" i="1"/>
  <c r="N40" i="1" s="1"/>
  <c r="N67" i="1"/>
  <c r="R18" i="1"/>
  <c r="Q12" i="1"/>
  <c r="Q13" i="1"/>
  <c r="R19" i="1"/>
  <c r="R13" i="1" s="1"/>
  <c r="R21" i="1"/>
  <c r="R15" i="1" s="1"/>
  <c r="Q15" i="1"/>
  <c r="P29" i="1"/>
  <c r="P28" i="1" s="1"/>
  <c r="P24" i="1" s="1"/>
  <c r="P26" i="1" s="1"/>
  <c r="R5" i="1"/>
  <c r="R10" i="1" s="1"/>
  <c r="Q10" i="1"/>
  <c r="J72" i="1" l="1"/>
  <c r="K48" i="1" s="1"/>
  <c r="K49" i="1" s="1"/>
  <c r="K50" i="1" s="1"/>
  <c r="K51" i="1" s="1"/>
  <c r="J52" i="1"/>
  <c r="N65" i="1"/>
  <c r="N55" i="1"/>
  <c r="N44" i="1"/>
  <c r="R43" i="1"/>
  <c r="O42" i="1"/>
  <c r="O66" i="1" s="1"/>
  <c r="O57" i="1"/>
  <c r="O41" i="1" s="1"/>
  <c r="O39" i="1"/>
  <c r="O40" i="1" s="1"/>
  <c r="O67" i="1"/>
  <c r="M47" i="1"/>
  <c r="M56" i="1"/>
  <c r="P30" i="1"/>
  <c r="P38" i="1" s="1"/>
  <c r="P33" i="1"/>
  <c r="P23" i="1"/>
  <c r="P25" i="1" s="1"/>
  <c r="Q29" i="1"/>
  <c r="Q28" i="1" s="1"/>
  <c r="Q24" i="1" s="1"/>
  <c r="Q26" i="1" s="1"/>
  <c r="R12" i="1"/>
  <c r="R29" i="1" s="1"/>
  <c r="R28" i="1" s="1"/>
  <c r="R24" i="1" s="1"/>
  <c r="R26" i="1" s="1"/>
  <c r="K72" i="1" l="1"/>
  <c r="K52" i="1"/>
  <c r="O65" i="1"/>
  <c r="N56" i="1"/>
  <c r="N47" i="1"/>
  <c r="O55" i="1"/>
  <c r="O44" i="1"/>
  <c r="P42" i="1"/>
  <c r="P66" i="1" s="1"/>
  <c r="P57" i="1"/>
  <c r="P41" i="1" s="1"/>
  <c r="P39" i="1"/>
  <c r="P40" i="1" s="1"/>
  <c r="P67" i="1"/>
  <c r="R30" i="1"/>
  <c r="R38" i="1" s="1"/>
  <c r="R67" i="1" s="1"/>
  <c r="R33" i="1"/>
  <c r="R23" i="1"/>
  <c r="R25" i="1" s="1"/>
  <c r="Q30" i="1"/>
  <c r="Q38" i="1" s="1"/>
  <c r="Q33" i="1"/>
  <c r="Q23" i="1"/>
  <c r="Q25" i="1" s="1"/>
  <c r="L48" i="1" l="1"/>
  <c r="L49" i="1" s="1"/>
  <c r="L50" i="1" s="1"/>
  <c r="L51" i="1" s="1"/>
  <c r="L52" i="1" s="1"/>
  <c r="P55" i="1"/>
  <c r="P44" i="1"/>
  <c r="P65" i="1"/>
  <c r="O47" i="1"/>
  <c r="O56" i="1"/>
  <c r="Q39" i="1"/>
  <c r="Q40" i="1"/>
  <c r="Q42" i="1"/>
  <c r="Q66" i="1" s="1"/>
  <c r="Q57" i="1"/>
  <c r="Q41" i="1" s="1"/>
  <c r="Q67" i="1"/>
  <c r="R39" i="1"/>
  <c r="R40" i="1" s="1"/>
  <c r="R42" i="1"/>
  <c r="R66" i="1" s="1"/>
  <c r="R57" i="1"/>
  <c r="L72" i="1" l="1"/>
  <c r="M48" i="1" s="1"/>
  <c r="M49" i="1" s="1"/>
  <c r="M50" i="1" s="1"/>
  <c r="M51" i="1" s="1"/>
  <c r="R41" i="1"/>
  <c r="R65" i="1" s="1"/>
  <c r="Q65" i="1"/>
  <c r="Q55" i="1"/>
  <c r="Q44" i="1"/>
  <c r="P56" i="1"/>
  <c r="P47" i="1"/>
  <c r="R55" i="1"/>
  <c r="R44" i="1"/>
  <c r="M72" i="1" l="1"/>
  <c r="M52" i="1"/>
  <c r="R47" i="1"/>
  <c r="R56" i="1"/>
  <c r="Q47" i="1"/>
  <c r="Q56" i="1"/>
  <c r="N48" i="1" l="1"/>
  <c r="N49" i="1" s="1"/>
  <c r="N50" i="1" s="1"/>
  <c r="N51" i="1" s="1"/>
  <c r="N52" i="1" s="1"/>
  <c r="N72" i="1" l="1"/>
  <c r="O48" i="1" s="1"/>
  <c r="O49" i="1" s="1"/>
  <c r="O50" i="1" s="1"/>
  <c r="O51" i="1" s="1"/>
  <c r="O72" i="1" l="1"/>
  <c r="O52" i="1"/>
  <c r="P48" i="1" l="1"/>
  <c r="P49" i="1" s="1"/>
  <c r="P50" i="1" s="1"/>
  <c r="P51" i="1" s="1"/>
  <c r="P52" i="1" s="1"/>
  <c r="P72" i="1" l="1"/>
  <c r="Q48" i="1" s="1"/>
  <c r="Q49" i="1" s="1"/>
  <c r="Q50" i="1" s="1"/>
  <c r="Q51" i="1" s="1"/>
  <c r="Q72" i="1" l="1"/>
  <c r="Q52" i="1"/>
  <c r="R48" i="1" l="1"/>
  <c r="R49" i="1" s="1"/>
  <c r="R50" i="1" s="1"/>
  <c r="R51" i="1" s="1"/>
  <c r="R72" i="1" s="1"/>
  <c r="R52" i="1" l="1"/>
  <c r="S51" i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DG51" i="1" s="1"/>
  <c r="DH51" i="1" s="1"/>
  <c r="DI51" i="1" s="1"/>
  <c r="DJ51" i="1" s="1"/>
  <c r="DK51" i="1" s="1"/>
  <c r="DL51" i="1" s="1"/>
  <c r="DM51" i="1" s="1"/>
  <c r="DN51" i="1" s="1"/>
  <c r="DO51" i="1" s="1"/>
  <c r="DP51" i="1" s="1"/>
  <c r="DQ51" i="1" s="1"/>
  <c r="DR51" i="1" s="1"/>
  <c r="DS51" i="1" s="1"/>
  <c r="DT51" i="1" s="1"/>
  <c r="DU51" i="1" s="1"/>
  <c r="DV51" i="1" s="1"/>
  <c r="DW51" i="1" s="1"/>
  <c r="DX51" i="1" s="1"/>
  <c r="DY51" i="1" s="1"/>
  <c r="DZ51" i="1" s="1"/>
  <c r="EA51" i="1" s="1"/>
  <c r="EB51" i="1" s="1"/>
  <c r="EC51" i="1" s="1"/>
  <c r="ED51" i="1" s="1"/>
  <c r="EE51" i="1" s="1"/>
  <c r="EF51" i="1" s="1"/>
  <c r="EG51" i="1" s="1"/>
  <c r="EH51" i="1" s="1"/>
  <c r="EI51" i="1" s="1"/>
  <c r="EJ51" i="1" s="1"/>
  <c r="EK51" i="1" s="1"/>
  <c r="EL51" i="1" s="1"/>
  <c r="EM51" i="1" s="1"/>
  <c r="EN51" i="1" s="1"/>
  <c r="EO51" i="1" s="1"/>
  <c r="EP51" i="1" s="1"/>
  <c r="EQ51" i="1" s="1"/>
  <c r="ER51" i="1" s="1"/>
  <c r="ES51" i="1" s="1"/>
  <c r="ET51" i="1" s="1"/>
  <c r="EU51" i="1" s="1"/>
  <c r="EV51" i="1" s="1"/>
  <c r="EW51" i="1" s="1"/>
  <c r="EX51" i="1" s="1"/>
  <c r="EY51" i="1" s="1"/>
  <c r="U57" i="1" s="1"/>
  <c r="U58" i="1" s="1"/>
</calcChain>
</file>

<file path=xl/sharedStrings.xml><?xml version="1.0" encoding="utf-8"?>
<sst xmlns="http://schemas.openxmlformats.org/spreadsheetml/2006/main" count="78" uniqueCount="62">
  <si>
    <t>Revenue</t>
  </si>
  <si>
    <t>COGS</t>
  </si>
  <si>
    <t>Gross Profit</t>
  </si>
  <si>
    <t>R&amp;D</t>
  </si>
  <si>
    <t>S&amp;M</t>
  </si>
  <si>
    <t>G&amp;A</t>
  </si>
  <si>
    <t>Operating Income</t>
  </si>
  <si>
    <t>Other Income</t>
  </si>
  <si>
    <t>Other Expenses</t>
  </si>
  <si>
    <t>EBIT</t>
  </si>
  <si>
    <t>Interest, net</t>
  </si>
  <si>
    <t>EBT</t>
  </si>
  <si>
    <t>Taxes</t>
  </si>
  <si>
    <t>Net Income</t>
  </si>
  <si>
    <t>Gross Margin</t>
  </si>
  <si>
    <t>Operating Margin</t>
  </si>
  <si>
    <t>Revenue Y/Y</t>
  </si>
  <si>
    <t>CFFO</t>
  </si>
  <si>
    <t>CapEx</t>
  </si>
  <si>
    <t>FCF</t>
  </si>
  <si>
    <t>MAU</t>
  </si>
  <si>
    <t>DAU</t>
  </si>
  <si>
    <t>Paid Subs</t>
  </si>
  <si>
    <t>Revenue/Sub</t>
  </si>
  <si>
    <t>Price</t>
  </si>
  <si>
    <t>Shares</t>
  </si>
  <si>
    <t>MC</t>
  </si>
  <si>
    <t>Net Cash</t>
  </si>
  <si>
    <t>EV</t>
  </si>
  <si>
    <t>Super</t>
  </si>
  <si>
    <t>per month</t>
  </si>
  <si>
    <t>per year</t>
  </si>
  <si>
    <t>Q3</t>
  </si>
  <si>
    <t>DAU/MAU</t>
  </si>
  <si>
    <t>Subs/DAU</t>
  </si>
  <si>
    <t>TAU</t>
  </si>
  <si>
    <t>North America</t>
  </si>
  <si>
    <t>Europe</t>
  </si>
  <si>
    <t>Asia</t>
  </si>
  <si>
    <t>Latin America</t>
  </si>
  <si>
    <t>Africa+East</t>
  </si>
  <si>
    <t>About Asia</t>
  </si>
  <si>
    <t>India has a very large user base. Do not sub. &lt;1%</t>
  </si>
  <si>
    <t>Population:</t>
  </si>
  <si>
    <t>DAU:</t>
  </si>
  <si>
    <t>Market Share:</t>
  </si>
  <si>
    <t>DAU Y/Y</t>
  </si>
  <si>
    <t>MAU Share</t>
  </si>
  <si>
    <t>DAU Share</t>
  </si>
  <si>
    <t>One in uses Daily</t>
  </si>
  <si>
    <t>One in has app</t>
  </si>
  <si>
    <t>Cash</t>
  </si>
  <si>
    <t>PP&amp;E</t>
  </si>
  <si>
    <t>Investments</t>
  </si>
  <si>
    <t>Cash+Inv.</t>
  </si>
  <si>
    <t>Yield</t>
  </si>
  <si>
    <t>Discount</t>
  </si>
  <si>
    <t>Terminal</t>
  </si>
  <si>
    <t>NPV</t>
  </si>
  <si>
    <t>EPS</t>
  </si>
  <si>
    <t>SBC</t>
  </si>
  <si>
    <t>Adj.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</si>
</sst>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%"/>
    <numFmt numFmtId="166" formatCode="#,##0.000"/>
    <numFmt numFmtId="167" formatCode="#,##0_ ;[Red]\-#,##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  <xf numFmtId="3" fontId="3" fillId="0" borderId="0" xfId="0" applyNumberFormat="1" applyFont="1"/>
    <xf numFmtId="3" fontId="4" fillId="0" borderId="0" xfId="0" applyNumberFormat="1" applyFont="1"/>
    <xf numFmtId="165" fontId="0" fillId="0" borderId="0" xfId="1" applyNumberFormat="1" applyFont="1"/>
    <xf numFmtId="166" fontId="0" fillId="0" borderId="0" xfId="0" applyNumberFormat="1"/>
    <xf numFmtId="165" fontId="2" fillId="0" borderId="0" xfId="1" applyNumberFormat="1" applyFont="1"/>
    <xf numFmtId="3" fontId="1" fillId="0" borderId="0" xfId="1" applyNumberFormat="1" applyFont="1"/>
    <xf numFmtId="167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606592</xdr:colOff>
      <xdr:row>2</xdr:row>
      <xdr:rowOff>170447</xdr:rowOff>
    </xdr:from>
    <xdr:to>
      <xdr:col>7</xdr:col>
      <xdr:colOff>5013</xdr:colOff>
      <xdr:row>66</xdr:row>
      <xdr:rowOff>100263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A92E3A-A5E3-29DC-A1DA-61A4B93CFF6C}"/>
            </a:ext>
          </a:extLst>
        </xdr:cNvPr>
        <xdr:cNvCxnSpPr/>
      </xdr:nvCxnSpPr>
      <xdr:spPr>
        <a:xfrm>
          <a:off x="4346408" y="551447"/>
          <a:ext cx="10026" cy="62163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E25E-F981-446F-910E-4C45CF32FD91}">
  <dimension ref="B3:I11"/>
  <sheetViews>
    <sheetView zoomScale="160" zoomScaleNormal="160" workbookViewId="0">
      <selection activeCell="B13" sqref="B13:B14"/>
    </sheetView>
  </sheetViews>
  <sheetFormatPr defaultRowHeight="15" x14ac:dyDescent="0.25"/>
  <cols>
    <col min="4" max="4" width="10.28515625" bestFit="1" customWidth="1"/>
    <col min="9" max="9" width="14" bestFit="1" customWidth="1"/>
    <col min="10" max="10" width="12.42578125" bestFit="1" customWidth="1"/>
  </cols>
  <sheetData>
    <row r="3" spans="2:9" x14ac:dyDescent="0.25">
      <c r="B3" t="s">
        <v>24</v>
      </c>
      <c r="C3" s="1">
        <v>116.9</v>
      </c>
      <c r="I3" s="1" t="s">
        <v>41</v>
      </c>
    </row>
    <row r="4" spans="2:9" x14ac:dyDescent="0.25">
      <c r="B4" t="s">
        <v>25</v>
      </c>
      <c r="C4" s="1">
        <f>40013.533+6213.824</f>
        <v>46227.357000000004</v>
      </c>
      <c r="I4" s="1" t="s">
        <v>42</v>
      </c>
    </row>
    <row r="5" spans="2:9" x14ac:dyDescent="0.25">
      <c r="B5" t="s">
        <v>26</v>
      </c>
      <c r="C5" s="1">
        <f>+C3*C4</f>
        <v>5403978.0333000002</v>
      </c>
      <c r="I5" s="1"/>
    </row>
    <row r="6" spans="2:9" x14ac:dyDescent="0.25">
      <c r="B6" t="s">
        <v>27</v>
      </c>
      <c r="C6" s="1">
        <f>+Model!H72</f>
        <v>1220189</v>
      </c>
      <c r="I6" s="1"/>
    </row>
    <row r="7" spans="2:9" x14ac:dyDescent="0.25">
      <c r="B7" t="s">
        <v>28</v>
      </c>
      <c r="C7" s="1">
        <f>+C5-C6</f>
        <v>4183789.0333000002</v>
      </c>
      <c r="I7" s="1"/>
    </row>
    <row r="8" spans="2:9" x14ac:dyDescent="0.25">
      <c r="C8" s="1"/>
      <c r="I8" s="1"/>
    </row>
    <row r="9" spans="2:9" x14ac:dyDescent="0.25">
      <c r="C9" s="1"/>
      <c r="I9" s="1"/>
    </row>
    <row r="10" spans="2:9" x14ac:dyDescent="0.25">
      <c r="B10" t="s">
        <v>29</v>
      </c>
      <c r="C10">
        <v>12.99</v>
      </c>
      <c r="D10" t="s">
        <v>30</v>
      </c>
    </row>
    <row r="11" spans="2:9" x14ac:dyDescent="0.25">
      <c r="B11" t="s">
        <v>29</v>
      </c>
      <c r="C11">
        <v>84</v>
      </c>
      <c r="D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7B09-4033-4B34-99BE-E025ED1A220E}">
  <dimension ref="B1:EY162"/>
  <sheetViews>
    <sheetView tabSelected="1" zoomScale="175" zoomScaleNormal="175" workbookViewId="0">
      <pane xSplit="2" ySplit="2" topLeftCell="I46" activePane="bottomRight" state="frozen"/>
      <selection pane="topRight" activeCell="C1" sqref="C1"/>
      <selection pane="bottomLeft" activeCell="A3" sqref="A3"/>
      <selection pane="bottomRight" activeCell="U58" sqref="U58"/>
    </sheetView>
  </sheetViews>
  <sheetFormatPr defaultRowHeight="15" x14ac:dyDescent="0.25"/>
  <cols>
    <col min="1" max="1" width="2.7109375" customWidth="1"/>
    <col min="2" max="2" width="17" bestFit="1" customWidth="1"/>
    <col min="3" max="4" width="9" customWidth="1"/>
    <col min="21" max="21" width="9.85546875" bestFit="1" customWidth="1"/>
  </cols>
  <sheetData>
    <row r="1" spans="2:18" x14ac:dyDescent="0.25">
      <c r="H1" s="4" t="s">
        <v>32</v>
      </c>
    </row>
    <row r="2" spans="2:18" x14ac:dyDescent="0.25">
      <c r="D2">
        <v>2021</v>
      </c>
      <c r="E2">
        <v>2022</v>
      </c>
      <c r="F2">
        <f>+E2+1</f>
        <v>2023</v>
      </c>
      <c r="G2">
        <f t="shared" ref="G2:R2" si="0">+F2+1</f>
        <v>2024</v>
      </c>
      <c r="H2">
        <f t="shared" si="0"/>
        <v>2025</v>
      </c>
      <c r="I2">
        <f t="shared" si="0"/>
        <v>2026</v>
      </c>
      <c r="J2">
        <f t="shared" si="0"/>
        <v>2027</v>
      </c>
      <c r="K2">
        <f t="shared" si="0"/>
        <v>2028</v>
      </c>
      <c r="L2">
        <f t="shared" si="0"/>
        <v>2029</v>
      </c>
      <c r="M2">
        <f t="shared" si="0"/>
        <v>2030</v>
      </c>
      <c r="N2">
        <f t="shared" si="0"/>
        <v>2031</v>
      </c>
      <c r="O2">
        <f t="shared" si="0"/>
        <v>2032</v>
      </c>
      <c r="P2">
        <f t="shared" si="0"/>
        <v>2033</v>
      </c>
      <c r="Q2">
        <f t="shared" si="0"/>
        <v>2034</v>
      </c>
      <c r="R2">
        <f t="shared" si="0"/>
        <v>2035</v>
      </c>
    </row>
    <row r="3" spans="2:18" s="1" customFormat="1" x14ac:dyDescent="0.25"/>
    <row r="4" spans="2:18" s="1" customFormat="1" x14ac:dyDescent="0.25">
      <c r="B4" s="8" t="s">
        <v>43</v>
      </c>
      <c r="F4" s="10"/>
      <c r="G4" s="10"/>
      <c r="H4" s="10"/>
    </row>
    <row r="5" spans="2:18" s="1" customFormat="1" x14ac:dyDescent="0.25">
      <c r="B5" s="1" t="s">
        <v>36</v>
      </c>
      <c r="E5" s="1">
        <v>380481.77500000002</v>
      </c>
      <c r="F5" s="1">
        <v>382902.74200000003</v>
      </c>
      <c r="G5" s="1">
        <v>385295.10499999998</v>
      </c>
      <c r="H5" s="1">
        <v>387528.40299999999</v>
      </c>
      <c r="I5" s="1">
        <f>+H5*1.002</f>
        <v>388303.459806</v>
      </c>
      <c r="J5" s="1">
        <f t="shared" ref="J5:R5" si="1">+I5*1.002</f>
        <v>389080.06672561198</v>
      </c>
      <c r="K5" s="1">
        <f t="shared" si="1"/>
        <v>389858.2268590632</v>
      </c>
      <c r="L5" s="1">
        <f t="shared" si="1"/>
        <v>390637.94331278134</v>
      </c>
      <c r="M5" s="1">
        <f t="shared" si="1"/>
        <v>391419.21919940691</v>
      </c>
      <c r="N5" s="1">
        <f t="shared" si="1"/>
        <v>392202.0576378057</v>
      </c>
      <c r="O5" s="1">
        <f t="shared" si="1"/>
        <v>392986.4617530813</v>
      </c>
      <c r="P5" s="1">
        <f t="shared" si="1"/>
        <v>393772.43467658747</v>
      </c>
      <c r="Q5" s="1">
        <f t="shared" si="1"/>
        <v>394559.97954594065</v>
      </c>
      <c r="R5" s="1">
        <f t="shared" si="1"/>
        <v>395349.09950503253</v>
      </c>
    </row>
    <row r="6" spans="2:18" s="1" customFormat="1" x14ac:dyDescent="0.25">
      <c r="B6" s="1" t="s">
        <v>37</v>
      </c>
      <c r="E6" s="1">
        <v>746964.59299999999</v>
      </c>
      <c r="F6" s="1">
        <v>745602.875</v>
      </c>
      <c r="G6" s="1">
        <v>745083.82400000002</v>
      </c>
      <c r="H6" s="1">
        <v>744398.83200000005</v>
      </c>
      <c r="I6" s="1">
        <f>+H6*0.9993</f>
        <v>743877.75281760003</v>
      </c>
      <c r="J6" s="1">
        <f t="shared" ref="J6:R6" si="2">+I6*0.9993</f>
        <v>743357.03839062771</v>
      </c>
      <c r="K6" s="1">
        <f t="shared" si="2"/>
        <v>742836.68846375425</v>
      </c>
      <c r="L6" s="1">
        <f t="shared" si="2"/>
        <v>742316.70278182963</v>
      </c>
      <c r="M6" s="1">
        <f t="shared" si="2"/>
        <v>741797.0810898823</v>
      </c>
      <c r="N6" s="1">
        <f t="shared" si="2"/>
        <v>741277.82313311938</v>
      </c>
      <c r="O6" s="1">
        <f t="shared" si="2"/>
        <v>740758.92865692615</v>
      </c>
      <c r="P6" s="1">
        <f t="shared" si="2"/>
        <v>740240.39740686631</v>
      </c>
      <c r="Q6" s="1">
        <f t="shared" si="2"/>
        <v>739722.22912868147</v>
      </c>
      <c r="R6" s="1">
        <f t="shared" si="2"/>
        <v>739204.42356829136</v>
      </c>
    </row>
    <row r="7" spans="2:18" s="1" customFormat="1" x14ac:dyDescent="0.25">
      <c r="B7" s="1" t="s">
        <v>38</v>
      </c>
      <c r="E7" s="1">
        <v>4747661.0329999998</v>
      </c>
      <c r="F7" s="1">
        <v>4778004.4859999996</v>
      </c>
      <c r="G7" s="1">
        <v>4806898.0070000002</v>
      </c>
      <c r="H7" s="1">
        <v>4835320</v>
      </c>
      <c r="I7" s="1">
        <f>+H7*1.006</f>
        <v>4864331.92</v>
      </c>
      <c r="J7" s="1">
        <f t="shared" ref="J7:R7" si="3">+I7*1.006</f>
        <v>4893517.9115199996</v>
      </c>
      <c r="K7" s="1">
        <f t="shared" si="3"/>
        <v>4922879.0189891197</v>
      </c>
      <c r="L7" s="1">
        <f t="shared" si="3"/>
        <v>4952416.2931030542</v>
      </c>
      <c r="M7" s="1">
        <f t="shared" si="3"/>
        <v>4982130.7908616727</v>
      </c>
      <c r="N7" s="1">
        <f t="shared" si="3"/>
        <v>5012023.5756068425</v>
      </c>
      <c r="O7" s="1">
        <f t="shared" si="3"/>
        <v>5042095.717060484</v>
      </c>
      <c r="P7" s="1">
        <f t="shared" si="3"/>
        <v>5072348.2913628472</v>
      </c>
      <c r="Q7" s="1">
        <f t="shared" si="3"/>
        <v>5102782.3811110239</v>
      </c>
      <c r="R7" s="1">
        <f t="shared" si="3"/>
        <v>5133399.0753976898</v>
      </c>
    </row>
    <row r="8" spans="2:18" s="1" customFormat="1" x14ac:dyDescent="0.25">
      <c r="B8" s="1" t="s">
        <v>39</v>
      </c>
      <c r="E8" s="1">
        <v>654366.79</v>
      </c>
      <c r="F8" s="1">
        <v>658891.51699999999</v>
      </c>
      <c r="G8" s="1">
        <v>663466.07200000004</v>
      </c>
      <c r="H8" s="1">
        <v>670470.31999999995</v>
      </c>
      <c r="I8" s="1">
        <f>+H8*1.007</f>
        <v>675163.61223999993</v>
      </c>
      <c r="J8" s="1">
        <f t="shared" ref="J8:R8" si="4">+I8*1.007</f>
        <v>679889.75752567989</v>
      </c>
      <c r="K8" s="1">
        <f t="shared" si="4"/>
        <v>684648.98582835961</v>
      </c>
      <c r="L8" s="1">
        <f t="shared" si="4"/>
        <v>689441.5287291581</v>
      </c>
      <c r="M8" s="1">
        <f t="shared" si="4"/>
        <v>694267.61943026213</v>
      </c>
      <c r="N8" s="1">
        <f t="shared" si="4"/>
        <v>699127.49276627391</v>
      </c>
      <c r="O8" s="1">
        <f t="shared" si="4"/>
        <v>704021.38521563774</v>
      </c>
      <c r="P8" s="1">
        <f t="shared" si="4"/>
        <v>708949.53491214709</v>
      </c>
      <c r="Q8" s="1">
        <f t="shared" si="4"/>
        <v>713912.18165653211</v>
      </c>
      <c r="R8" s="1">
        <f t="shared" si="4"/>
        <v>718909.56692812778</v>
      </c>
    </row>
    <row r="9" spans="2:18" s="1" customFormat="1" x14ac:dyDescent="0.25">
      <c r="B9" s="1" t="s">
        <v>40</v>
      </c>
      <c r="E9" s="1">
        <v>1446883</v>
      </c>
      <c r="F9" s="1">
        <v>1480770</v>
      </c>
      <c r="G9" s="1">
        <v>1515140</v>
      </c>
      <c r="H9" s="1">
        <v>1549867</v>
      </c>
      <c r="I9" s="1">
        <f>+H9*1.023</f>
        <v>1585513.9409999999</v>
      </c>
      <c r="J9" s="1">
        <f t="shared" ref="J9:R9" si="5">+I9*1.023</f>
        <v>1621980.7616429997</v>
      </c>
      <c r="K9" s="1">
        <f t="shared" si="5"/>
        <v>1659286.3191607886</v>
      </c>
      <c r="L9" s="1">
        <f t="shared" si="5"/>
        <v>1697449.9045014866</v>
      </c>
      <c r="M9" s="1">
        <f t="shared" si="5"/>
        <v>1736491.2523050206</v>
      </c>
      <c r="N9" s="1">
        <f t="shared" si="5"/>
        <v>1776430.551108036</v>
      </c>
      <c r="O9" s="1">
        <f t="shared" si="5"/>
        <v>1817288.4537835207</v>
      </c>
      <c r="P9" s="1">
        <f t="shared" si="5"/>
        <v>1859086.0882205416</v>
      </c>
      <c r="Q9" s="1">
        <f t="shared" si="5"/>
        <v>1901845.068249614</v>
      </c>
      <c r="R9" s="1">
        <f t="shared" si="5"/>
        <v>1945587.504819355</v>
      </c>
    </row>
    <row r="10" spans="2:18" s="2" customFormat="1" x14ac:dyDescent="0.25">
      <c r="B10" s="2" t="s">
        <v>35</v>
      </c>
      <c r="E10" s="2">
        <f>+SUM(E5:E9)</f>
        <v>7976357.1909999996</v>
      </c>
      <c r="F10" s="2">
        <f>+SUM(F5:F9)</f>
        <v>8046171.6200000001</v>
      </c>
      <c r="G10" s="2">
        <f>+SUM(G5:G9)</f>
        <v>8115883.0080000004</v>
      </c>
      <c r="H10" s="2">
        <f>+SUM(H5:H9)</f>
        <v>8187584.5550000006</v>
      </c>
      <c r="I10" s="2">
        <f t="shared" ref="I10:R10" si="6">+SUM(I5:I9)</f>
        <v>8257190.6858635992</v>
      </c>
      <c r="J10" s="2">
        <f t="shared" si="6"/>
        <v>8327825.535804919</v>
      </c>
      <c r="K10" s="2">
        <f t="shared" si="6"/>
        <v>8399509.2393010855</v>
      </c>
      <c r="L10" s="2">
        <f t="shared" si="6"/>
        <v>8472262.3724283092</v>
      </c>
      <c r="M10" s="2">
        <f t="shared" si="6"/>
        <v>8546105.9628862441</v>
      </c>
      <c r="N10" s="2">
        <f t="shared" si="6"/>
        <v>8621061.5002520774</v>
      </c>
      <c r="O10" s="2">
        <f t="shared" si="6"/>
        <v>8697150.9464696515</v>
      </c>
      <c r="P10" s="2">
        <f t="shared" si="6"/>
        <v>8774396.7465789896</v>
      </c>
      <c r="Q10" s="2">
        <f t="shared" si="6"/>
        <v>8852821.8396917917</v>
      </c>
      <c r="R10" s="2">
        <f t="shared" si="6"/>
        <v>8932449.6702184975</v>
      </c>
    </row>
    <row r="11" spans="2:18" s="2" customFormat="1" x14ac:dyDescent="0.25">
      <c r="B11" s="8" t="s">
        <v>44</v>
      </c>
    </row>
    <row r="12" spans="2:18" s="1" customFormat="1" x14ac:dyDescent="0.25">
      <c r="B12" s="1" t="s">
        <v>36</v>
      </c>
      <c r="H12" s="1">
        <v>17300</v>
      </c>
      <c r="I12" s="1">
        <f>+I18*I5</f>
        <v>18111.206919611999</v>
      </c>
      <c r="J12" s="1">
        <f t="shared" ref="J12:R12" si="7">+J18*J5</f>
        <v>18925.589466902449</v>
      </c>
      <c r="K12" s="1">
        <f t="shared" si="7"/>
        <v>19743.157099554381</v>
      </c>
      <c r="L12" s="1">
        <f t="shared" si="7"/>
        <v>20563.919300379053</v>
      </c>
      <c r="M12" s="1">
        <f t="shared" si="7"/>
        <v>21387.885577378627</v>
      </c>
      <c r="N12" s="1">
        <f t="shared" si="7"/>
        <v>22215.065463808995</v>
      </c>
      <c r="O12" s="1">
        <f t="shared" si="7"/>
        <v>23045.468518242775</v>
      </c>
      <c r="P12" s="1">
        <f t="shared" si="7"/>
        <v>23879.104324632437</v>
      </c>
      <c r="Q12" s="1">
        <f t="shared" si="7"/>
        <v>24715.98249237358</v>
      </c>
      <c r="R12" s="1">
        <f t="shared" si="7"/>
        <v>25556.112656368394</v>
      </c>
    </row>
    <row r="13" spans="2:18" s="1" customFormat="1" x14ac:dyDescent="0.25">
      <c r="B13" s="1" t="s">
        <v>37</v>
      </c>
      <c r="H13" s="1">
        <v>12600</v>
      </c>
      <c r="I13" s="1">
        <f t="shared" ref="I13:R16" si="8">+I19*I6</f>
        <v>14078.9355056352</v>
      </c>
      <c r="J13" s="1">
        <f t="shared" si="8"/>
        <v>15555.794327562511</v>
      </c>
      <c r="K13" s="1">
        <f t="shared" si="8"/>
        <v>17030.578648460727</v>
      </c>
      <c r="L13" s="1">
        <f t="shared" si="8"/>
        <v>18503.290648970466</v>
      </c>
      <c r="M13" s="1">
        <f t="shared" si="8"/>
        <v>19973.93250769595</v>
      </c>
      <c r="N13" s="1">
        <f t="shared" si="8"/>
        <v>21442.506401206803</v>
      </c>
      <c r="O13" s="1">
        <f t="shared" si="8"/>
        <v>22909.014504039809</v>
      </c>
      <c r="P13" s="1">
        <f t="shared" si="8"/>
        <v>24373.458988700717</v>
      </c>
      <c r="Q13" s="1">
        <f t="shared" si="8"/>
        <v>25835.842025665988</v>
      </c>
      <c r="R13" s="1">
        <f t="shared" si="8"/>
        <v>27296.165783384607</v>
      </c>
    </row>
    <row r="14" spans="2:18" s="1" customFormat="1" x14ac:dyDescent="0.25">
      <c r="B14" s="1" t="s">
        <v>38</v>
      </c>
      <c r="H14" s="1">
        <v>11200</v>
      </c>
      <c r="I14" s="1">
        <f t="shared" si="8"/>
        <v>12160.8298</v>
      </c>
      <c r="J14" s="1">
        <f t="shared" si="8"/>
        <v>13212.498361103999</v>
      </c>
      <c r="K14" s="1">
        <f t="shared" si="8"/>
        <v>14768.63705696736</v>
      </c>
      <c r="L14" s="1">
        <f t="shared" si="8"/>
        <v>15847.732137929774</v>
      </c>
      <c r="M14" s="1">
        <f t="shared" si="8"/>
        <v>17437.457768015855</v>
      </c>
      <c r="N14" s="1">
        <f t="shared" si="8"/>
        <v>18544.487229745318</v>
      </c>
      <c r="O14" s="1">
        <f t="shared" si="8"/>
        <v>20168.382868241937</v>
      </c>
      <c r="P14" s="1">
        <f t="shared" si="8"/>
        <v>21303.862823723957</v>
      </c>
      <c r="Q14" s="1">
        <f t="shared" si="8"/>
        <v>22962.520714999606</v>
      </c>
      <c r="R14" s="1">
        <f t="shared" si="8"/>
        <v>24126.975654369144</v>
      </c>
    </row>
    <row r="15" spans="2:18" s="1" customFormat="1" x14ac:dyDescent="0.25">
      <c r="B15" s="1" t="s">
        <v>39</v>
      </c>
      <c r="H15" s="1">
        <v>7400</v>
      </c>
      <c r="I15" s="1">
        <f t="shared" si="8"/>
        <v>8802.1272244800002</v>
      </c>
      <c r="J15" s="1">
        <f t="shared" si="8"/>
        <v>10223.521630102719</v>
      </c>
      <c r="K15" s="1">
        <f t="shared" si="8"/>
        <v>11664.384253170158</v>
      </c>
      <c r="L15" s="1">
        <f t="shared" si="8"/>
        <v>13124.918000400667</v>
      </c>
      <c r="M15" s="1">
        <f t="shared" si="8"/>
        <v>14605.327665263994</v>
      </c>
      <c r="N15" s="1">
        <f t="shared" si="8"/>
        <v>16105.819944453389</v>
      </c>
      <c r="O15" s="1">
        <f t="shared" si="8"/>
        <v>17626.603454495838</v>
      </c>
      <c r="P15" s="1">
        <f t="shared" si="8"/>
        <v>19167.888748501602</v>
      </c>
      <c r="Q15" s="1">
        <f t="shared" si="8"/>
        <v>20729.888333054179</v>
      </c>
      <c r="R15" s="1">
        <f t="shared" si="8"/>
        <v>22312.816685241814</v>
      </c>
    </row>
    <row r="16" spans="2:18" s="1" customFormat="1" x14ac:dyDescent="0.25">
      <c r="B16" s="1" t="s">
        <v>40</v>
      </c>
      <c r="H16" s="1">
        <v>4200</v>
      </c>
      <c r="I16" s="1">
        <f t="shared" si="8"/>
        <v>6516.3195173999993</v>
      </c>
      <c r="J16" s="1">
        <f t="shared" si="8"/>
        <v>8936.9679326003989</v>
      </c>
      <c r="K16" s="1">
        <f t="shared" si="8"/>
        <v>11465.519041875312</v>
      </c>
      <c r="L16" s="1">
        <f t="shared" si="8"/>
        <v>14105.655846140524</v>
      </c>
      <c r="M16" s="1">
        <f t="shared" si="8"/>
        <v>16861.173683828783</v>
      </c>
      <c r="N16" s="1">
        <f t="shared" si="8"/>
        <v>19735.983450108095</v>
      </c>
      <c r="O16" s="1">
        <f t="shared" si="8"/>
        <v>22734.114904757509</v>
      </c>
      <c r="P16" s="1">
        <f t="shared" si="8"/>
        <v>25859.720071075692</v>
      </c>
      <c r="Q16" s="1">
        <f t="shared" si="8"/>
        <v>29117.07672825989</v>
      </c>
      <c r="R16" s="1">
        <f t="shared" si="8"/>
        <v>32510.591999756962</v>
      </c>
    </row>
    <row r="17" spans="2:18" s="1" customFormat="1" x14ac:dyDescent="0.25">
      <c r="B17" s="8" t="s">
        <v>45</v>
      </c>
    </row>
    <row r="18" spans="2:18" s="9" customFormat="1" x14ac:dyDescent="0.25">
      <c r="B18" s="9" t="s">
        <v>36</v>
      </c>
      <c r="H18" s="9">
        <f>+H12/H5</f>
        <v>4.4641889126253283E-2</v>
      </c>
      <c r="I18" s="9">
        <f>+H18+0.002</f>
        <v>4.6641889126253284E-2</v>
      </c>
      <c r="J18" s="9">
        <f t="shared" ref="J18:R18" si="9">+I18+0.002</f>
        <v>4.8641889126253286E-2</v>
      </c>
      <c r="K18" s="9">
        <f t="shared" si="9"/>
        <v>5.0641889126253288E-2</v>
      </c>
      <c r="L18" s="9">
        <f t="shared" si="9"/>
        <v>5.264188912625329E-2</v>
      </c>
      <c r="M18" s="9">
        <f t="shared" si="9"/>
        <v>5.4641889126253292E-2</v>
      </c>
      <c r="N18" s="9">
        <f t="shared" si="9"/>
        <v>5.6641889126253293E-2</v>
      </c>
      <c r="O18" s="9">
        <f t="shared" si="9"/>
        <v>5.8641889126253295E-2</v>
      </c>
      <c r="P18" s="9">
        <f t="shared" si="9"/>
        <v>6.0641889126253297E-2</v>
      </c>
      <c r="Q18" s="9">
        <f t="shared" si="9"/>
        <v>6.2641889126253292E-2</v>
      </c>
      <c r="R18" s="9">
        <f t="shared" si="9"/>
        <v>6.4641889126253294E-2</v>
      </c>
    </row>
    <row r="19" spans="2:18" s="9" customFormat="1" x14ac:dyDescent="0.25">
      <c r="B19" s="9" t="s">
        <v>37</v>
      </c>
      <c r="H19" s="9">
        <f t="shared" ref="H19:H22" si="10">+H13/H6</f>
        <v>1.6926410223061714E-2</v>
      </c>
      <c r="I19" s="9">
        <f>+H19+0.002</f>
        <v>1.8926410223061713E-2</v>
      </c>
      <c r="J19" s="9">
        <f t="shared" ref="J19:R19" si="11">+I19+0.002</f>
        <v>2.0926410223061714E-2</v>
      </c>
      <c r="K19" s="9">
        <f t="shared" si="11"/>
        <v>2.2926410223061716E-2</v>
      </c>
      <c r="L19" s="9">
        <f t="shared" si="11"/>
        <v>2.4926410223061718E-2</v>
      </c>
      <c r="M19" s="9">
        <f t="shared" si="11"/>
        <v>2.692641022306172E-2</v>
      </c>
      <c r="N19" s="9">
        <f t="shared" si="11"/>
        <v>2.8926410223061721E-2</v>
      </c>
      <c r="O19" s="9">
        <f t="shared" si="11"/>
        <v>3.0926410223061723E-2</v>
      </c>
      <c r="P19" s="9">
        <f t="shared" si="11"/>
        <v>3.2926410223061725E-2</v>
      </c>
      <c r="Q19" s="9">
        <f t="shared" si="11"/>
        <v>3.4926410223061727E-2</v>
      </c>
      <c r="R19" s="9">
        <f t="shared" si="11"/>
        <v>3.6926410223061729E-2</v>
      </c>
    </row>
    <row r="20" spans="2:18" s="9" customFormat="1" x14ac:dyDescent="0.25">
      <c r="B20" s="9" t="s">
        <v>38</v>
      </c>
      <c r="H20" s="9">
        <f t="shared" si="10"/>
        <v>2.3162893045341362E-3</v>
      </c>
      <c r="I20" s="9">
        <v>2.5000000000000001E-3</v>
      </c>
      <c r="J20" s="9">
        <v>2.7000000000000001E-3</v>
      </c>
      <c r="K20" s="9">
        <v>3.0000000000000001E-3</v>
      </c>
      <c r="L20" s="9">
        <v>3.2000000000000002E-3</v>
      </c>
      <c r="M20" s="9">
        <v>3.5000000000000001E-3</v>
      </c>
      <c r="N20" s="9">
        <v>3.7000000000000002E-3</v>
      </c>
      <c r="O20" s="9">
        <v>4.0000000000000001E-3</v>
      </c>
      <c r="P20" s="9">
        <v>4.1999999999999997E-3</v>
      </c>
      <c r="Q20" s="9">
        <v>4.4999999999999997E-3</v>
      </c>
      <c r="R20" s="9">
        <v>4.7000000000000002E-3</v>
      </c>
    </row>
    <row r="21" spans="2:18" s="9" customFormat="1" x14ac:dyDescent="0.25">
      <c r="B21" s="9" t="s">
        <v>39</v>
      </c>
      <c r="H21" s="9">
        <f t="shared" si="10"/>
        <v>1.1037028454891188E-2</v>
      </c>
      <c r="I21" s="9">
        <f>+H21+0.002</f>
        <v>1.3037028454891188E-2</v>
      </c>
      <c r="J21" s="9">
        <f t="shared" ref="J21:R21" si="12">+I21+0.002</f>
        <v>1.5037028454891188E-2</v>
      </c>
      <c r="K21" s="9">
        <f t="shared" si="12"/>
        <v>1.703702845489119E-2</v>
      </c>
      <c r="L21" s="9">
        <f t="shared" si="12"/>
        <v>1.9037028454891192E-2</v>
      </c>
      <c r="M21" s="9">
        <f t="shared" si="12"/>
        <v>2.1037028454891193E-2</v>
      </c>
      <c r="N21" s="9">
        <f t="shared" si="12"/>
        <v>2.3037028454891195E-2</v>
      </c>
      <c r="O21" s="9">
        <f t="shared" si="12"/>
        <v>2.5037028454891197E-2</v>
      </c>
      <c r="P21" s="9">
        <f t="shared" si="12"/>
        <v>2.7037028454891199E-2</v>
      </c>
      <c r="Q21" s="9">
        <f t="shared" si="12"/>
        <v>2.9037028454891201E-2</v>
      </c>
      <c r="R21" s="9">
        <f t="shared" si="12"/>
        <v>3.1037028454891202E-2</v>
      </c>
    </row>
    <row r="22" spans="2:18" s="9" customFormat="1" x14ac:dyDescent="0.25">
      <c r="B22" s="9" t="s">
        <v>40</v>
      </c>
      <c r="H22" s="9">
        <f t="shared" si="10"/>
        <v>2.7099099471115909E-3</v>
      </c>
      <c r="I22" s="9">
        <f>+H22+0.0014</f>
        <v>4.1099099471115907E-3</v>
      </c>
      <c r="J22" s="9">
        <f t="shared" ref="J22:R22" si="13">+I22+0.0014</f>
        <v>5.5099099471115909E-3</v>
      </c>
      <c r="K22" s="9">
        <f t="shared" si="13"/>
        <v>6.9099099471115911E-3</v>
      </c>
      <c r="L22" s="9">
        <f t="shared" si="13"/>
        <v>8.3099099471115913E-3</v>
      </c>
      <c r="M22" s="9">
        <f t="shared" si="13"/>
        <v>9.7099099471115915E-3</v>
      </c>
      <c r="N22" s="9">
        <f t="shared" si="13"/>
        <v>1.1109909947111592E-2</v>
      </c>
      <c r="O22" s="9">
        <f t="shared" si="13"/>
        <v>1.2509909947111592E-2</v>
      </c>
      <c r="P22" s="9">
        <f t="shared" si="13"/>
        <v>1.3909909947111592E-2</v>
      </c>
      <c r="Q22" s="9">
        <f t="shared" si="13"/>
        <v>1.5309909947111592E-2</v>
      </c>
      <c r="R22" s="9">
        <f t="shared" si="13"/>
        <v>1.6709909947111592E-2</v>
      </c>
    </row>
    <row r="23" spans="2:18" s="11" customFormat="1" x14ac:dyDescent="0.25">
      <c r="B23" s="11" t="s">
        <v>48</v>
      </c>
      <c r="H23" s="11">
        <f t="shared" ref="H23:R23" si="14">+H29/H10</f>
        <v>6.4365747487538458E-3</v>
      </c>
      <c r="I23" s="11">
        <f t="shared" si="14"/>
        <v>7.2263583629335213E-3</v>
      </c>
      <c r="J23" s="11">
        <f t="shared" si="14"/>
        <v>8.0278304859817545E-3</v>
      </c>
      <c r="K23" s="11">
        <f t="shared" si="14"/>
        <v>8.8900760714254942E-3</v>
      </c>
      <c r="L23" s="11">
        <f t="shared" si="14"/>
        <v>9.6958182269178284E-3</v>
      </c>
      <c r="M23" s="11">
        <f t="shared" si="14"/>
        <v>1.0562211326911524E-2</v>
      </c>
      <c r="N23" s="11">
        <f t="shared" si="14"/>
        <v>1.1372597502808189E-2</v>
      </c>
      <c r="O23" s="11">
        <f t="shared" si="14"/>
        <v>1.2243501912888116E-2</v>
      </c>
      <c r="P23" s="11">
        <f t="shared" si="14"/>
        <v>1.3058907440139296E-2</v>
      </c>
      <c r="Q23" s="11">
        <f t="shared" si="14"/>
        <v>1.3934688004367205E-2</v>
      </c>
      <c r="R23" s="11">
        <f t="shared" si="14"/>
        <v>1.4755488991845268E-2</v>
      </c>
    </row>
    <row r="24" spans="2:18" s="11" customFormat="1" x14ac:dyDescent="0.25">
      <c r="B24" s="11" t="s">
        <v>47</v>
      </c>
      <c r="H24" s="11">
        <f t="shared" ref="H24:R24" si="15">+H28/H10</f>
        <v>1.6525020180387009E-2</v>
      </c>
      <c r="I24" s="11">
        <f t="shared" si="15"/>
        <v>1.8065895907333804E-2</v>
      </c>
      <c r="J24" s="11">
        <f t="shared" si="15"/>
        <v>2.0069576214954386E-2</v>
      </c>
      <c r="K24" s="11">
        <f t="shared" si="15"/>
        <v>2.2225190178563736E-2</v>
      </c>
      <c r="L24" s="11">
        <f t="shared" si="15"/>
        <v>2.423954556729457E-2</v>
      </c>
      <c r="M24" s="11">
        <f t="shared" si="15"/>
        <v>2.6405528317278812E-2</v>
      </c>
      <c r="N24" s="11">
        <f t="shared" si="15"/>
        <v>2.8431493757020469E-2</v>
      </c>
      <c r="O24" s="11">
        <f t="shared" si="15"/>
        <v>3.0608754782220287E-2</v>
      </c>
      <c r="P24" s="11">
        <f t="shared" si="15"/>
        <v>3.2647268600348237E-2</v>
      </c>
      <c r="Q24" s="11">
        <f t="shared" si="15"/>
        <v>3.4836720010918011E-2</v>
      </c>
      <c r="R24" s="11">
        <f t="shared" si="15"/>
        <v>3.6888722479613167E-2</v>
      </c>
    </row>
    <row r="25" spans="2:18" s="12" customFormat="1" x14ac:dyDescent="0.25">
      <c r="B25" s="12" t="s">
        <v>49</v>
      </c>
      <c r="H25" s="12">
        <f>1/H23</f>
        <v>155.36213576850096</v>
      </c>
      <c r="I25" s="12">
        <f t="shared" ref="I25:R25" si="16">1/I23</f>
        <v>138.38228742285244</v>
      </c>
      <c r="J25" s="12">
        <f t="shared" si="16"/>
        <v>124.56665617768162</v>
      </c>
      <c r="K25" s="12">
        <f t="shared" si="16"/>
        <v>112.48497672749986</v>
      </c>
      <c r="L25" s="12">
        <f t="shared" si="16"/>
        <v>103.13724706840824</v>
      </c>
      <c r="M25" s="12">
        <f t="shared" si="16"/>
        <v>94.67714373902875</v>
      </c>
      <c r="N25" s="12">
        <f t="shared" si="16"/>
        <v>87.930659618708404</v>
      </c>
      <c r="O25" s="12">
        <f t="shared" si="16"/>
        <v>81.675978581532334</v>
      </c>
      <c r="P25" s="12">
        <f t="shared" si="16"/>
        <v>76.5760845295748</v>
      </c>
      <c r="Q25" s="12">
        <f t="shared" si="16"/>
        <v>71.763357721866086</v>
      </c>
      <c r="R25" s="12">
        <f t="shared" si="16"/>
        <v>67.771390060516296</v>
      </c>
    </row>
    <row r="26" spans="2:18" s="12" customFormat="1" x14ac:dyDescent="0.25">
      <c r="B26" s="12" t="s">
        <v>50</v>
      </c>
      <c r="H26" s="12">
        <f>1/H24</f>
        <v>60.514298263119002</v>
      </c>
      <c r="I26" s="12">
        <f t="shared" ref="I26:R26" si="17">1/I24</f>
        <v>55.352914969140976</v>
      </c>
      <c r="J26" s="12">
        <f t="shared" si="17"/>
        <v>49.826662471072652</v>
      </c>
      <c r="K26" s="12">
        <f t="shared" si="17"/>
        <v>44.993990690999937</v>
      </c>
      <c r="L26" s="12">
        <f t="shared" si="17"/>
        <v>41.254898827363299</v>
      </c>
      <c r="M26" s="12">
        <f t="shared" si="17"/>
        <v>37.870857495611503</v>
      </c>
      <c r="N26" s="12">
        <f t="shared" si="17"/>
        <v>35.172263847483364</v>
      </c>
      <c r="O26" s="12">
        <f t="shared" si="17"/>
        <v>32.670391432612938</v>
      </c>
      <c r="P26" s="12">
        <f t="shared" si="17"/>
        <v>30.630433811829924</v>
      </c>
      <c r="Q26" s="12">
        <f t="shared" si="17"/>
        <v>28.705343088746435</v>
      </c>
      <c r="R26" s="12">
        <f t="shared" si="17"/>
        <v>27.108556024206521</v>
      </c>
    </row>
    <row r="27" spans="2:18" s="2" customFormat="1" x14ac:dyDescent="0.25">
      <c r="B27" s="1"/>
    </row>
    <row r="28" spans="2:18" s="1" customFormat="1" x14ac:dyDescent="0.25">
      <c r="B28" s="1" t="s">
        <v>20</v>
      </c>
      <c r="D28" s="1">
        <v>42400</v>
      </c>
      <c r="E28" s="1">
        <v>60700</v>
      </c>
      <c r="F28" s="1">
        <v>88400</v>
      </c>
      <c r="G28" s="1">
        <v>116700</v>
      </c>
      <c r="H28" s="7">
        <v>135300</v>
      </c>
      <c r="I28" s="1">
        <f>+I29/I32</f>
        <v>149173.54741781799</v>
      </c>
      <c r="J28" s="1">
        <f t="shared" ref="J28:R28" si="18">+J29/J32</f>
        <v>167135.92929568017</v>
      </c>
      <c r="K28" s="1">
        <f t="shared" si="18"/>
        <v>186680.69025006983</v>
      </c>
      <c r="L28" s="1">
        <f t="shared" si="18"/>
        <v>205363.78983455119</v>
      </c>
      <c r="M28" s="1">
        <f t="shared" si="18"/>
        <v>225664.44300545802</v>
      </c>
      <c r="N28" s="1">
        <f t="shared" si="18"/>
        <v>245109.65622330646</v>
      </c>
      <c r="O28" s="1">
        <f t="shared" si="18"/>
        <v>266208.96062444465</v>
      </c>
      <c r="P28" s="1">
        <f t="shared" si="18"/>
        <v>286460.08739158598</v>
      </c>
      <c r="Q28" s="1">
        <f t="shared" si="18"/>
        <v>308403.27573588304</v>
      </c>
      <c r="R28" s="1">
        <f t="shared" si="18"/>
        <v>329506.65694780229</v>
      </c>
    </row>
    <row r="29" spans="2:18" s="2" customFormat="1" x14ac:dyDescent="0.25">
      <c r="B29" s="2" t="s">
        <v>21</v>
      </c>
      <c r="D29" s="2">
        <v>10100</v>
      </c>
      <c r="E29" s="2">
        <v>16300</v>
      </c>
      <c r="F29" s="2">
        <v>26900</v>
      </c>
      <c r="G29" s="2">
        <v>40500</v>
      </c>
      <c r="H29" s="2">
        <v>52700</v>
      </c>
      <c r="I29" s="2">
        <f t="shared" ref="I29:R29" si="19">+SUM(I12:I16)</f>
        <v>59669.418967127196</v>
      </c>
      <c r="J29" s="2">
        <f t="shared" si="19"/>
        <v>66854.371718272072</v>
      </c>
      <c r="K29" s="2">
        <f t="shared" si="19"/>
        <v>74672.276100027942</v>
      </c>
      <c r="L29" s="2">
        <f t="shared" si="19"/>
        <v>82145.515933820483</v>
      </c>
      <c r="M29" s="2">
        <f t="shared" si="19"/>
        <v>90265.777202183206</v>
      </c>
      <c r="N29" s="2">
        <f t="shared" si="19"/>
        <v>98043.862489322593</v>
      </c>
      <c r="O29" s="2">
        <f t="shared" si="19"/>
        <v>106483.58424977786</v>
      </c>
      <c r="P29" s="2">
        <f t="shared" si="19"/>
        <v>114584.03495663441</v>
      </c>
      <c r="Q29" s="2">
        <f t="shared" si="19"/>
        <v>123361.31029435323</v>
      </c>
      <c r="R29" s="2">
        <f t="shared" si="19"/>
        <v>131802.66277912093</v>
      </c>
    </row>
    <row r="30" spans="2:18" s="1" customFormat="1" x14ac:dyDescent="0.25">
      <c r="B30" s="1" t="s">
        <v>22</v>
      </c>
      <c r="D30" s="1">
        <v>2500</v>
      </c>
      <c r="E30" s="1">
        <v>4200</v>
      </c>
      <c r="F30" s="1">
        <v>6600</v>
      </c>
      <c r="G30" s="1">
        <v>9500</v>
      </c>
      <c r="H30" s="1">
        <v>12500</v>
      </c>
      <c r="I30" s="1">
        <f>+I29*I31</f>
        <v>14272.426828239566</v>
      </c>
      <c r="J30" s="1">
        <f>+J29*J31</f>
        <v>16124.716281529652</v>
      </c>
      <c r="K30" s="1">
        <f t="shared" ref="J30:R30" si="20">+K29*K31</f>
        <v>18159.674097783267</v>
      </c>
      <c r="L30" s="1">
        <f t="shared" si="20"/>
        <v>20141.394662057966</v>
      </c>
      <c r="M30" s="1">
        <f t="shared" si="20"/>
        <v>22312.946482217088</v>
      </c>
      <c r="N30" s="1">
        <f t="shared" si="20"/>
        <v>24431.711949806071</v>
      </c>
      <c r="O30" s="1">
        <f t="shared" si="20"/>
        <v>26747.787316540976</v>
      </c>
      <c r="P30" s="1">
        <f t="shared" si="20"/>
        <v>29011.7209721701</v>
      </c>
      <c r="Q30" s="1">
        <f t="shared" si="20"/>
        <v>31480.77642551497</v>
      </c>
      <c r="R30" s="1">
        <f t="shared" si="20"/>
        <v>33898.544427100671</v>
      </c>
    </row>
    <row r="31" spans="2:18" s="3" customFormat="1" x14ac:dyDescent="0.25">
      <c r="B31" s="3" t="s">
        <v>34</v>
      </c>
      <c r="D31" s="3">
        <f t="shared" ref="D31:G31" si="21">+D30/D29</f>
        <v>0.24752475247524752</v>
      </c>
      <c r="E31" s="3">
        <f t="shared" si="21"/>
        <v>0.25766871165644173</v>
      </c>
      <c r="F31" s="3">
        <f t="shared" si="21"/>
        <v>0.24535315985130113</v>
      </c>
      <c r="G31" s="9">
        <f t="shared" si="21"/>
        <v>0.23456790123456789</v>
      </c>
      <c r="H31" s="9">
        <f>+H30/H29</f>
        <v>0.23719165085388993</v>
      </c>
      <c r="I31" s="9">
        <f>+H31+0.002</f>
        <v>0.23919165085388994</v>
      </c>
      <c r="J31" s="9">
        <f t="shared" ref="J31:R31" si="22">+I31+0.002</f>
        <v>0.24119165085388994</v>
      </c>
      <c r="K31" s="9">
        <f t="shared" si="22"/>
        <v>0.24319165085388994</v>
      </c>
      <c r="L31" s="9">
        <f t="shared" si="22"/>
        <v>0.24519165085388994</v>
      </c>
      <c r="M31" s="9">
        <f t="shared" si="22"/>
        <v>0.24719165085388994</v>
      </c>
      <c r="N31" s="9">
        <f t="shared" si="22"/>
        <v>0.24919165085388995</v>
      </c>
      <c r="O31" s="9">
        <f t="shared" si="22"/>
        <v>0.25119165085388995</v>
      </c>
      <c r="P31" s="9">
        <f t="shared" si="22"/>
        <v>0.25319165085388995</v>
      </c>
      <c r="Q31" s="9">
        <f t="shared" si="22"/>
        <v>0.25519165085388995</v>
      </c>
      <c r="R31" s="9">
        <f t="shared" si="22"/>
        <v>0.25719165085388995</v>
      </c>
    </row>
    <row r="32" spans="2:18" s="3" customFormat="1" x14ac:dyDescent="0.25">
      <c r="B32" s="3" t="s">
        <v>33</v>
      </c>
      <c r="D32" s="3">
        <f>+D29/D28</f>
        <v>0.23820754716981132</v>
      </c>
      <c r="E32" s="3">
        <f>+E29/E28</f>
        <v>0.26853377265238881</v>
      </c>
      <c r="F32" s="3">
        <f>+F29/F28</f>
        <v>0.30429864253393663</v>
      </c>
      <c r="G32" s="3">
        <f>+G29/G28</f>
        <v>0.34704370179948585</v>
      </c>
      <c r="H32" s="3">
        <f>+H29/H28</f>
        <v>0.3895048041389505</v>
      </c>
      <c r="I32" s="3">
        <v>0.4</v>
      </c>
      <c r="J32" s="3">
        <v>0.4</v>
      </c>
      <c r="K32" s="3">
        <v>0.4</v>
      </c>
      <c r="L32" s="3">
        <v>0.4</v>
      </c>
      <c r="M32" s="3">
        <v>0.4</v>
      </c>
      <c r="N32" s="3">
        <v>0.4</v>
      </c>
      <c r="O32" s="3">
        <v>0.4</v>
      </c>
      <c r="P32" s="3">
        <v>0.4</v>
      </c>
      <c r="Q32" s="3">
        <v>0.4</v>
      </c>
      <c r="R32" s="3">
        <v>0.4</v>
      </c>
    </row>
    <row r="33" spans="2:18" s="3" customFormat="1" x14ac:dyDescent="0.25">
      <c r="B33" s="3" t="s">
        <v>46</v>
      </c>
      <c r="E33" s="3">
        <f>+E29/D29 -1</f>
        <v>0.61386138613861396</v>
      </c>
      <c r="F33" s="3">
        <f>+F29/E29 -1</f>
        <v>0.65030674846625769</v>
      </c>
      <c r="G33" s="3">
        <f>+G29/F29 -1</f>
        <v>0.50557620817843874</v>
      </c>
      <c r="H33" s="3">
        <f>+H29/G29 -1</f>
        <v>0.30123456790123448</v>
      </c>
      <c r="I33" s="3">
        <f t="shared" ref="I33:R33" si="23">+I29/H29 -1</f>
        <v>0.13224703922442504</v>
      </c>
      <c r="J33" s="3">
        <f t="shared" si="23"/>
        <v>0.12041264814566355</v>
      </c>
      <c r="K33" s="3">
        <f t="shared" si="23"/>
        <v>0.11693931422616521</v>
      </c>
      <c r="L33" s="3">
        <f t="shared" si="23"/>
        <v>0.10008051480554436</v>
      </c>
      <c r="M33" s="3">
        <f t="shared" si="23"/>
        <v>9.8852154935696213E-2</v>
      </c>
      <c r="N33" s="3">
        <f t="shared" si="23"/>
        <v>8.616870677042443E-2</v>
      </c>
      <c r="O33" s="3">
        <f t="shared" si="23"/>
        <v>8.608108193793762E-2</v>
      </c>
      <c r="P33" s="3">
        <f t="shared" si="23"/>
        <v>7.6072295686961278E-2</v>
      </c>
      <c r="Q33" s="3">
        <f t="shared" si="23"/>
        <v>7.6601206625693363E-2</v>
      </c>
      <c r="R33" s="3">
        <f t="shared" si="23"/>
        <v>6.8427876330315662E-2</v>
      </c>
    </row>
    <row r="34" spans="2:18" s="1" customFormat="1" x14ac:dyDescent="0.25"/>
    <row r="35" spans="2:18" s="1" customFormat="1" x14ac:dyDescent="0.25">
      <c r="B35" s="1" t="s">
        <v>23</v>
      </c>
      <c r="D35" s="1">
        <f>+D38/D30</f>
        <v>100.30880000000001</v>
      </c>
      <c r="E35" s="1">
        <f>+E38/E30</f>
        <v>87.974999999999994</v>
      </c>
      <c r="F35" s="1">
        <f>+F38/F30</f>
        <v>80.471060606060604</v>
      </c>
      <c r="G35" s="1">
        <f>+G38/G30</f>
        <v>78.739368421052632</v>
      </c>
      <c r="H35" s="1">
        <f>+H38/H30</f>
        <v>80.3023144</v>
      </c>
      <c r="I35" s="1">
        <v>80</v>
      </c>
      <c r="J35" s="1">
        <v>81</v>
      </c>
      <c r="K35" s="1">
        <v>82</v>
      </c>
      <c r="L35" s="1">
        <v>83</v>
      </c>
      <c r="M35" s="1">
        <v>84</v>
      </c>
      <c r="N35" s="1">
        <v>84</v>
      </c>
      <c r="O35" s="1">
        <v>84</v>
      </c>
      <c r="P35" s="1">
        <v>84</v>
      </c>
      <c r="Q35" s="1">
        <v>84</v>
      </c>
      <c r="R35" s="1">
        <v>84</v>
      </c>
    </row>
    <row r="36" spans="2:18" s="1" customFormat="1" x14ac:dyDescent="0.25"/>
    <row r="37" spans="2:18" s="1" customFormat="1" x14ac:dyDescent="0.25"/>
    <row r="38" spans="2:18" s="2" customFormat="1" x14ac:dyDescent="0.25">
      <c r="B38" s="2" t="s">
        <v>0</v>
      </c>
      <c r="D38" s="2">
        <v>250772</v>
      </c>
      <c r="E38" s="2">
        <v>369495</v>
      </c>
      <c r="F38" s="2">
        <v>531109</v>
      </c>
      <c r="G38" s="2">
        <v>748024</v>
      </c>
      <c r="H38" s="2">
        <f>754721*1.33</f>
        <v>1003778.93</v>
      </c>
      <c r="I38" s="2">
        <f>+I35*I30</f>
        <v>1141794.1462591654</v>
      </c>
      <c r="J38" s="2">
        <f t="shared" ref="J38:R38" si="24">+J35*J30</f>
        <v>1306102.0188039017</v>
      </c>
      <c r="K38" s="2">
        <f t="shared" si="24"/>
        <v>1489093.2760182279</v>
      </c>
      <c r="L38" s="2">
        <f t="shared" si="24"/>
        <v>1671735.7569508113</v>
      </c>
      <c r="M38" s="2">
        <f t="shared" si="24"/>
        <v>1874287.5045062355</v>
      </c>
      <c r="N38" s="2">
        <f t="shared" si="24"/>
        <v>2052263.8037837099</v>
      </c>
      <c r="O38" s="2">
        <f t="shared" si="24"/>
        <v>2246814.1345894421</v>
      </c>
      <c r="P38" s="2">
        <f t="shared" si="24"/>
        <v>2436984.5616622884</v>
      </c>
      <c r="Q38" s="2">
        <f t="shared" si="24"/>
        <v>2644385.2197432574</v>
      </c>
      <c r="R38" s="2">
        <f t="shared" si="24"/>
        <v>2847477.7318764562</v>
      </c>
    </row>
    <row r="39" spans="2:18" s="1" customFormat="1" x14ac:dyDescent="0.25">
      <c r="B39" s="1" t="s">
        <v>1</v>
      </c>
      <c r="E39" s="1">
        <v>99431</v>
      </c>
      <c r="F39" s="1">
        <v>142105</v>
      </c>
      <c r="G39" s="1">
        <v>203645</v>
      </c>
      <c r="H39" s="1">
        <f>211133*1.33</f>
        <v>280806.89</v>
      </c>
      <c r="I39" s="1">
        <f>+I38*0.28</f>
        <v>319702.36095256632</v>
      </c>
      <c r="J39" s="1">
        <f t="shared" ref="J39:R39" si="25">+J38*0.28</f>
        <v>365708.56526509253</v>
      </c>
      <c r="K39" s="1">
        <f t="shared" si="25"/>
        <v>416946.11728510383</v>
      </c>
      <c r="L39" s="1">
        <f t="shared" si="25"/>
        <v>468086.01194622717</v>
      </c>
      <c r="M39" s="1">
        <f t="shared" si="25"/>
        <v>524800.50126174593</v>
      </c>
      <c r="N39" s="1">
        <f t="shared" si="25"/>
        <v>574633.86505943886</v>
      </c>
      <c r="O39" s="1">
        <f t="shared" si="25"/>
        <v>629107.9576850438</v>
      </c>
      <c r="P39" s="1">
        <f t="shared" si="25"/>
        <v>682355.67726544081</v>
      </c>
      <c r="Q39" s="1">
        <f t="shared" si="25"/>
        <v>740427.86152811209</v>
      </c>
      <c r="R39" s="1">
        <f t="shared" si="25"/>
        <v>797293.76492540783</v>
      </c>
    </row>
    <row r="40" spans="2:18" s="1" customFormat="1" x14ac:dyDescent="0.25">
      <c r="B40" s="1" t="s">
        <v>2</v>
      </c>
      <c r="E40" s="1">
        <f>+E38-E39</f>
        <v>270064</v>
      </c>
      <c r="F40" s="1">
        <f t="shared" ref="F40:H40" si="26">+F38-F39</f>
        <v>389004</v>
      </c>
      <c r="G40" s="1">
        <f t="shared" si="26"/>
        <v>544379</v>
      </c>
      <c r="H40" s="1">
        <f t="shared" si="26"/>
        <v>722972.04</v>
      </c>
      <c r="I40" s="1">
        <f t="shared" ref="I40" si="27">+I38-I39</f>
        <v>822091.78530659899</v>
      </c>
      <c r="J40" s="1">
        <f t="shared" ref="J40" si="28">+J38-J39</f>
        <v>940393.4535388092</v>
      </c>
      <c r="K40" s="1">
        <f t="shared" ref="K40" si="29">+K38-K39</f>
        <v>1072147.1587331241</v>
      </c>
      <c r="L40" s="1">
        <f t="shared" ref="L40" si="30">+L38-L39</f>
        <v>1203649.7450045841</v>
      </c>
      <c r="M40" s="1">
        <f t="shared" ref="M40" si="31">+M38-M39</f>
        <v>1349487.0032444894</v>
      </c>
      <c r="N40" s="1">
        <f t="shared" ref="N40" si="32">+N38-N39</f>
        <v>1477629.938724271</v>
      </c>
      <c r="O40" s="1">
        <f t="shared" ref="O40" si="33">+O38-O39</f>
        <v>1617706.1769043982</v>
      </c>
      <c r="P40" s="1">
        <f t="shared" ref="P40" si="34">+P38-P39</f>
        <v>1754628.8843968476</v>
      </c>
      <c r="Q40" s="1">
        <f t="shared" ref="Q40" si="35">+Q38-Q39</f>
        <v>1903957.3582151453</v>
      </c>
      <c r="R40" s="1">
        <f t="shared" ref="R40" si="36">+R38-R39</f>
        <v>2050183.9669510485</v>
      </c>
    </row>
    <row r="41" spans="2:18" s="1" customFormat="1" x14ac:dyDescent="0.25">
      <c r="B41" s="1" t="s">
        <v>3</v>
      </c>
      <c r="E41" s="1">
        <v>150444</v>
      </c>
      <c r="F41" s="1">
        <v>194352</v>
      </c>
      <c r="G41" s="1">
        <v>235298</v>
      </c>
      <c r="H41" s="1">
        <f>226767*1.33</f>
        <v>301600.11000000004</v>
      </c>
      <c r="I41" s="1">
        <f>+H41*(1+I57*0.666666666666667)</f>
        <v>329245.90806793259</v>
      </c>
      <c r="J41" s="1">
        <f t="shared" ref="J41:R41" si="37">+I41*(1+J57*0.666666666666667)</f>
        <v>360832.27581845393</v>
      </c>
      <c r="K41" s="1">
        <f t="shared" si="37"/>
        <v>394535.18255667511</v>
      </c>
      <c r="L41" s="1">
        <f t="shared" si="37"/>
        <v>426795.92615496431</v>
      </c>
      <c r="M41" s="1">
        <f t="shared" si="37"/>
        <v>461270.37796661601</v>
      </c>
      <c r="N41" s="1">
        <f t="shared" si="37"/>
        <v>490470.87669460149</v>
      </c>
      <c r="O41" s="1">
        <f t="shared" si="37"/>
        <v>521467.95453472005</v>
      </c>
      <c r="P41" s="1">
        <f t="shared" si="37"/>
        <v>550892.66516298091</v>
      </c>
      <c r="Q41" s="1">
        <f t="shared" si="37"/>
        <v>582148.64248408086</v>
      </c>
      <c r="R41" s="1">
        <f t="shared" si="37"/>
        <v>611955.20000434562</v>
      </c>
    </row>
    <row r="42" spans="2:18" s="1" customFormat="1" x14ac:dyDescent="0.25">
      <c r="B42" s="1" t="s">
        <v>4</v>
      </c>
      <c r="E42" s="1">
        <v>66967</v>
      </c>
      <c r="F42" s="1">
        <v>75788</v>
      </c>
      <c r="G42" s="1">
        <v>90494</v>
      </c>
      <c r="H42" s="1">
        <f>91306*1.33</f>
        <v>121436.98000000001</v>
      </c>
      <c r="I42" s="1">
        <f>+I38*0.12</f>
        <v>137015.29755109985</v>
      </c>
      <c r="J42" s="1">
        <f t="shared" ref="J42:R42" si="38">+J38*0.12</f>
        <v>156732.24225646819</v>
      </c>
      <c r="K42" s="1">
        <f t="shared" si="38"/>
        <v>178691.19312218734</v>
      </c>
      <c r="L42" s="1">
        <f t="shared" si="38"/>
        <v>200608.29083409734</v>
      </c>
      <c r="M42" s="1">
        <f t="shared" si="38"/>
        <v>224914.50054074824</v>
      </c>
      <c r="N42" s="1">
        <f t="shared" si="38"/>
        <v>246271.65645404518</v>
      </c>
      <c r="O42" s="1">
        <f t="shared" si="38"/>
        <v>269617.69615073304</v>
      </c>
      <c r="P42" s="1">
        <f t="shared" si="38"/>
        <v>292438.14739947458</v>
      </c>
      <c r="Q42" s="1">
        <f t="shared" si="38"/>
        <v>317326.2263691909</v>
      </c>
      <c r="R42" s="1">
        <f t="shared" si="38"/>
        <v>341697.32782517473</v>
      </c>
    </row>
    <row r="43" spans="2:18" s="1" customFormat="1" x14ac:dyDescent="0.25">
      <c r="B43" s="1" t="s">
        <v>5</v>
      </c>
      <c r="E43" s="1">
        <v>117848</v>
      </c>
      <c r="F43" s="1">
        <v>132123</v>
      </c>
      <c r="G43" s="1">
        <v>155992</v>
      </c>
      <c r="H43" s="1">
        <f>133399*1.33</f>
        <v>177420.67</v>
      </c>
      <c r="I43" s="1">
        <f>+H43*1.05</f>
        <v>186291.70350000003</v>
      </c>
      <c r="J43" s="1">
        <f t="shared" ref="J43:R43" si="39">+I43*1.05</f>
        <v>195606.28867500005</v>
      </c>
      <c r="K43" s="1">
        <f t="shared" si="39"/>
        <v>205386.60310875005</v>
      </c>
      <c r="L43" s="1">
        <f t="shared" si="39"/>
        <v>215655.93326418757</v>
      </c>
      <c r="M43" s="1">
        <f t="shared" si="39"/>
        <v>226438.72992739695</v>
      </c>
      <c r="N43" s="1">
        <f t="shared" si="39"/>
        <v>237760.66642376682</v>
      </c>
      <c r="O43" s="1">
        <f t="shared" si="39"/>
        <v>249648.69974495517</v>
      </c>
      <c r="P43" s="1">
        <f t="shared" si="39"/>
        <v>262131.13473220295</v>
      </c>
      <c r="Q43" s="1">
        <f t="shared" si="39"/>
        <v>275237.69146881311</v>
      </c>
      <c r="R43" s="1">
        <f t="shared" si="39"/>
        <v>288999.57604225376</v>
      </c>
    </row>
    <row r="44" spans="2:18" s="1" customFormat="1" x14ac:dyDescent="0.25">
      <c r="B44" s="1" t="s">
        <v>6</v>
      </c>
      <c r="E44" s="1">
        <f>+E40-E41-E42-E43</f>
        <v>-65195</v>
      </c>
      <c r="F44" s="1">
        <f t="shared" ref="F44:H44" si="40">+F40-F41-F42-F43</f>
        <v>-13259</v>
      </c>
      <c r="G44" s="1">
        <f t="shared" si="40"/>
        <v>62595</v>
      </c>
      <c r="H44" s="1">
        <f t="shared" si="40"/>
        <v>122514.27999999994</v>
      </c>
      <c r="I44" s="1">
        <f t="shared" ref="I44" si="41">+I40-I41-I42-I43</f>
        <v>169538.87618756652</v>
      </c>
      <c r="J44" s="1">
        <f t="shared" ref="J44" si="42">+J40-J41-J42-J43</f>
        <v>227222.64678888713</v>
      </c>
      <c r="K44" s="1">
        <f t="shared" ref="K44" si="43">+K40-K41-K42-K43</f>
        <v>293534.17994551174</v>
      </c>
      <c r="L44" s="1">
        <f t="shared" ref="L44" si="44">+L40-L41-L42-L43</f>
        <v>360589.59475133487</v>
      </c>
      <c r="M44" s="1">
        <f t="shared" ref="M44" si="45">+M40-M41-M42-M43</f>
        <v>436863.39480972814</v>
      </c>
      <c r="N44" s="1">
        <f t="shared" ref="N44" si="46">+N40-N41-N42-N43</f>
        <v>503126.7391518575</v>
      </c>
      <c r="O44" s="1">
        <f t="shared" ref="O44" si="47">+O40-O41-O42-O43</f>
        <v>576971.82647399011</v>
      </c>
      <c r="P44" s="1">
        <f t="shared" ref="P44" si="48">+P40-P41-P42-P43</f>
        <v>649166.93710218917</v>
      </c>
      <c r="Q44" s="1">
        <f t="shared" ref="Q44" si="49">+Q40-Q41-Q42-Q43</f>
        <v>729244.79789306025</v>
      </c>
      <c r="R44" s="1">
        <f t="shared" ref="R44" si="50">+R40-R41-R42-R43</f>
        <v>807531.86307927431</v>
      </c>
    </row>
    <row r="45" spans="2:18" s="1" customFormat="1" x14ac:dyDescent="0.25">
      <c r="B45" s="1" t="s">
        <v>7</v>
      </c>
      <c r="E45" s="1">
        <v>131</v>
      </c>
      <c r="F45" s="1">
        <v>590</v>
      </c>
      <c r="G45" s="1">
        <v>1267</v>
      </c>
      <c r="H45" s="1">
        <v>2158</v>
      </c>
      <c r="I45" s="1">
        <v>1000</v>
      </c>
      <c r="J45" s="1">
        <v>1000</v>
      </c>
      <c r="K45" s="1">
        <v>1000</v>
      </c>
      <c r="L45" s="1">
        <v>1000</v>
      </c>
      <c r="M45" s="1">
        <v>1000</v>
      </c>
      <c r="N45" s="1">
        <v>1000</v>
      </c>
      <c r="O45" s="1">
        <v>1000</v>
      </c>
      <c r="P45" s="1">
        <v>1000</v>
      </c>
      <c r="Q45" s="1">
        <v>1000</v>
      </c>
      <c r="R45" s="1">
        <v>1000</v>
      </c>
    </row>
    <row r="46" spans="2:18" s="1" customFormat="1" x14ac:dyDescent="0.25">
      <c r="B46" s="1" t="s">
        <v>8</v>
      </c>
      <c r="E46" s="1">
        <v>807</v>
      </c>
      <c r="F46" s="1">
        <v>645</v>
      </c>
      <c r="G46" s="1">
        <v>4253</v>
      </c>
    </row>
    <row r="47" spans="2:18" s="2" customFormat="1" x14ac:dyDescent="0.25">
      <c r="B47" s="2" t="s">
        <v>9</v>
      </c>
      <c r="E47" s="2">
        <f>+E44+E45-E46</f>
        <v>-65871</v>
      </c>
      <c r="F47" s="2">
        <f t="shared" ref="F47:H47" si="51">+F44+F45-F46</f>
        <v>-13314</v>
      </c>
      <c r="G47" s="2">
        <f t="shared" si="51"/>
        <v>59609</v>
      </c>
      <c r="H47" s="2">
        <f t="shared" si="51"/>
        <v>124672.27999999994</v>
      </c>
      <c r="I47" s="2">
        <f t="shared" ref="I47" si="52">+I44+I45-I46</f>
        <v>170538.87618756652</v>
      </c>
      <c r="J47" s="2">
        <f t="shared" ref="J47" si="53">+J44+J45-J46</f>
        <v>228222.64678888713</v>
      </c>
      <c r="K47" s="2">
        <f t="shared" ref="K47" si="54">+K44+K45-K46</f>
        <v>294534.17994551174</v>
      </c>
      <c r="L47" s="2">
        <f t="shared" ref="L47" si="55">+L44+L45-L46</f>
        <v>361589.59475133487</v>
      </c>
      <c r="M47" s="2">
        <f t="shared" ref="M47" si="56">+M44+M45-M46</f>
        <v>437863.39480972814</v>
      </c>
      <c r="N47" s="2">
        <f t="shared" ref="N47" si="57">+N44+N45-N46</f>
        <v>504126.7391518575</v>
      </c>
      <c r="O47" s="2">
        <f t="shared" ref="O47" si="58">+O44+O45-O46</f>
        <v>577971.82647399011</v>
      </c>
      <c r="P47" s="2">
        <f t="shared" ref="P47" si="59">+P44+P45-P46</f>
        <v>650166.93710218917</v>
      </c>
      <c r="Q47" s="2">
        <f t="shared" ref="Q47" si="60">+Q44+Q45-Q46</f>
        <v>730244.79789306025</v>
      </c>
      <c r="R47" s="2">
        <f t="shared" ref="R47" si="61">+R44+R45-R46</f>
        <v>808531.86307927431</v>
      </c>
    </row>
    <row r="48" spans="2:18" s="1" customFormat="1" x14ac:dyDescent="0.25">
      <c r="B48" s="1" t="s">
        <v>10</v>
      </c>
      <c r="E48" s="1">
        <v>7235</v>
      </c>
      <c r="F48" s="1">
        <v>31091</v>
      </c>
      <c r="G48" s="1">
        <v>42697</v>
      </c>
      <c r="H48" s="1">
        <f>33635*1.33</f>
        <v>44734.55</v>
      </c>
      <c r="I48" s="1">
        <v>46000</v>
      </c>
      <c r="J48" s="1">
        <f>+I72*I73</f>
        <v>48769.703533251864</v>
      </c>
      <c r="K48" s="1">
        <f t="shared" ref="J48:R48" si="62">+J72*J73</f>
        <v>51680.447398648466</v>
      </c>
      <c r="L48" s="1">
        <f t="shared" si="62"/>
        <v>56759.570492492785</v>
      </c>
      <c r="M48" s="1">
        <f t="shared" si="62"/>
        <v>66799.950458344654</v>
      </c>
      <c r="N48" s="1">
        <f t="shared" si="62"/>
        <v>78911.870744778396</v>
      </c>
      <c r="O48" s="1">
        <f t="shared" si="62"/>
        <v>92904.797382297664</v>
      </c>
      <c r="P48" s="1">
        <f t="shared" si="62"/>
        <v>109005.83635484856</v>
      </c>
      <c r="Q48" s="1">
        <f t="shared" si="62"/>
        <v>127225.98291781747</v>
      </c>
      <c r="R48" s="1">
        <f t="shared" si="62"/>
        <v>147805.28165727854</v>
      </c>
    </row>
    <row r="49" spans="2:155" s="1" customFormat="1" x14ac:dyDescent="0.25">
      <c r="B49" s="1" t="s">
        <v>11</v>
      </c>
      <c r="E49" s="1">
        <f>+E47+E48</f>
        <v>-58636</v>
      </c>
      <c r="F49" s="1">
        <f t="shared" ref="F49:H49" si="63">+F47+F48</f>
        <v>17777</v>
      </c>
      <c r="G49" s="1">
        <f t="shared" si="63"/>
        <v>102306</v>
      </c>
      <c r="H49" s="1">
        <f t="shared" si="63"/>
        <v>169406.82999999996</v>
      </c>
      <c r="I49" s="1">
        <f t="shared" ref="I49" si="64">+I47+I48</f>
        <v>216538.87618756652</v>
      </c>
      <c r="J49" s="1">
        <f t="shared" ref="J49" si="65">+J47+J48</f>
        <v>276992.35032213898</v>
      </c>
      <c r="K49" s="1">
        <f t="shared" ref="K49" si="66">+K47+K48</f>
        <v>346214.62734416022</v>
      </c>
      <c r="L49" s="1">
        <f t="shared" ref="L49" si="67">+L47+L48</f>
        <v>418349.16524382762</v>
      </c>
      <c r="M49" s="1">
        <f t="shared" ref="M49" si="68">+M47+M48</f>
        <v>504663.34526807279</v>
      </c>
      <c r="N49" s="1">
        <f t="shared" ref="N49" si="69">+N47+N48</f>
        <v>583038.60989663587</v>
      </c>
      <c r="O49" s="1">
        <f t="shared" ref="O49" si="70">+O47+O48</f>
        <v>670876.6238562878</v>
      </c>
      <c r="P49" s="1">
        <f t="shared" ref="P49" si="71">+P47+P48</f>
        <v>759172.77345703775</v>
      </c>
      <c r="Q49" s="1">
        <f t="shared" ref="Q49" si="72">+Q47+Q48</f>
        <v>857470.78081087768</v>
      </c>
      <c r="R49" s="1">
        <f t="shared" ref="R49" si="73">+R47+R48</f>
        <v>956337.14473655284</v>
      </c>
    </row>
    <row r="50" spans="2:155" s="1" customFormat="1" x14ac:dyDescent="0.25">
      <c r="B50" s="1" t="s">
        <v>12</v>
      </c>
      <c r="E50" s="1">
        <v>938</v>
      </c>
      <c r="F50" s="1">
        <v>1710</v>
      </c>
      <c r="G50" s="1">
        <v>13732</v>
      </c>
      <c r="H50" s="1">
        <v>-244202</v>
      </c>
      <c r="I50" s="1">
        <f>+I49*0.2</f>
        <v>43307.775237513306</v>
      </c>
      <c r="J50" s="1">
        <f t="shared" ref="J50:R50" si="74">+J49*0.2</f>
        <v>55398.470064427798</v>
      </c>
      <c r="K50" s="1">
        <f t="shared" si="74"/>
        <v>69242.925468832051</v>
      </c>
      <c r="L50" s="1">
        <f t="shared" si="74"/>
        <v>83669.833048765533</v>
      </c>
      <c r="M50" s="1">
        <f t="shared" si="74"/>
        <v>100932.66905361456</v>
      </c>
      <c r="N50" s="1">
        <f t="shared" si="74"/>
        <v>116607.72197932718</v>
      </c>
      <c r="O50" s="1">
        <f t="shared" si="74"/>
        <v>134175.32477125755</v>
      </c>
      <c r="P50" s="1">
        <f t="shared" si="74"/>
        <v>151834.55469140757</v>
      </c>
      <c r="Q50" s="1">
        <f t="shared" si="74"/>
        <v>171494.15616217555</v>
      </c>
      <c r="R50" s="1">
        <f t="shared" si="74"/>
        <v>191267.42894731057</v>
      </c>
    </row>
    <row r="51" spans="2:155" s="1" customFormat="1" x14ac:dyDescent="0.25">
      <c r="B51" s="1" t="s">
        <v>13</v>
      </c>
      <c r="E51" s="1">
        <f>+E49-E50</f>
        <v>-59574</v>
      </c>
      <c r="F51" s="1">
        <f t="shared" ref="F51:H51" si="75">+F49-F50</f>
        <v>16067</v>
      </c>
      <c r="G51" s="1">
        <f t="shared" si="75"/>
        <v>88574</v>
      </c>
      <c r="H51" s="1">
        <f t="shared" si="75"/>
        <v>413608.82999999996</v>
      </c>
      <c r="I51" s="1">
        <f t="shared" ref="I51" si="76">+I49-I50</f>
        <v>173231.10095005322</v>
      </c>
      <c r="J51" s="1">
        <f t="shared" ref="J51" si="77">+J49-J50</f>
        <v>221593.88025771119</v>
      </c>
      <c r="K51" s="1">
        <f t="shared" ref="K51" si="78">+K49-K50</f>
        <v>276971.7018753282</v>
      </c>
      <c r="L51" s="1">
        <f t="shared" ref="L51" si="79">+L49-L50</f>
        <v>334679.33219506207</v>
      </c>
      <c r="M51" s="1">
        <f t="shared" ref="M51" si="80">+M49-M50</f>
        <v>403730.67621445825</v>
      </c>
      <c r="N51" s="1">
        <f t="shared" ref="N51" si="81">+N49-N50</f>
        <v>466430.88791730872</v>
      </c>
      <c r="O51" s="1">
        <f t="shared" ref="O51" si="82">+O49-O50</f>
        <v>536701.29908503022</v>
      </c>
      <c r="P51" s="1">
        <f t="shared" ref="P51" si="83">+P49-P50</f>
        <v>607338.21876563015</v>
      </c>
      <c r="Q51" s="1">
        <f t="shared" ref="Q51" si="84">+Q49-Q50</f>
        <v>685976.6246487021</v>
      </c>
      <c r="R51" s="1">
        <f t="shared" ref="R51" si="85">+R49-R50</f>
        <v>765069.7157892423</v>
      </c>
      <c r="S51" s="1">
        <f>+R51*(1+$U$56)</f>
        <v>788021.80726291961</v>
      </c>
      <c r="T51" s="1">
        <f t="shared" ref="T51:CE51" si="86">+S51*(1+$U$56)</f>
        <v>811662.46148080716</v>
      </c>
      <c r="U51" s="1">
        <f t="shared" si="86"/>
        <v>836012.33532523143</v>
      </c>
      <c r="V51" s="1">
        <f t="shared" si="86"/>
        <v>861092.70538498834</v>
      </c>
      <c r="W51" s="1">
        <f t="shared" si="86"/>
        <v>886925.48654653796</v>
      </c>
      <c r="X51" s="1">
        <f t="shared" si="86"/>
        <v>913533.25114293408</v>
      </c>
      <c r="Y51" s="1">
        <f t="shared" si="86"/>
        <v>940939.24867722217</v>
      </c>
      <c r="Z51" s="1">
        <f t="shared" si="86"/>
        <v>969167.42613753886</v>
      </c>
      <c r="AA51" s="1">
        <f t="shared" si="86"/>
        <v>998242.44892166508</v>
      </c>
      <c r="AB51" s="1">
        <f t="shared" si="86"/>
        <v>1028189.722389315</v>
      </c>
      <c r="AC51" s="1">
        <f t="shared" si="86"/>
        <v>1059035.4140609945</v>
      </c>
      <c r="AD51" s="1">
        <f t="shared" si="86"/>
        <v>1090806.4764828244</v>
      </c>
      <c r="AE51" s="1">
        <f t="shared" si="86"/>
        <v>1123530.6707773092</v>
      </c>
      <c r="AF51" s="1">
        <f t="shared" si="86"/>
        <v>1157236.5909006286</v>
      </c>
      <c r="AG51" s="1">
        <f t="shared" si="86"/>
        <v>1191953.6886276475</v>
      </c>
      <c r="AH51" s="1">
        <f t="shared" si="86"/>
        <v>1227712.299286477</v>
      </c>
      <c r="AI51" s="1">
        <f t="shared" si="86"/>
        <v>1264543.6682650715</v>
      </c>
      <c r="AJ51" s="1">
        <f t="shared" si="86"/>
        <v>1302479.9783130237</v>
      </c>
      <c r="AK51" s="1">
        <f t="shared" si="86"/>
        <v>1341554.3776624145</v>
      </c>
      <c r="AL51" s="1">
        <f t="shared" si="86"/>
        <v>1381801.0089922869</v>
      </c>
      <c r="AM51" s="1">
        <f t="shared" si="86"/>
        <v>1423255.0392620554</v>
      </c>
      <c r="AN51" s="1">
        <f t="shared" si="86"/>
        <v>1465952.6904399171</v>
      </c>
      <c r="AO51" s="1">
        <f t="shared" si="86"/>
        <v>1509931.2711531147</v>
      </c>
      <c r="AP51" s="1">
        <f t="shared" si="86"/>
        <v>1555229.2092877082</v>
      </c>
      <c r="AQ51" s="1">
        <f t="shared" si="86"/>
        <v>1601886.0855663395</v>
      </c>
      <c r="AR51" s="1">
        <f t="shared" si="86"/>
        <v>1649942.6681333298</v>
      </c>
      <c r="AS51" s="1">
        <f t="shared" si="86"/>
        <v>1699440.9481773297</v>
      </c>
      <c r="AT51" s="1">
        <f t="shared" si="86"/>
        <v>1750424.1766226497</v>
      </c>
      <c r="AU51" s="1">
        <f t="shared" si="86"/>
        <v>1802936.9019213291</v>
      </c>
      <c r="AV51" s="1">
        <f t="shared" si="86"/>
        <v>1857025.008978969</v>
      </c>
      <c r="AW51" s="1">
        <f t="shared" si="86"/>
        <v>1912735.7592483382</v>
      </c>
      <c r="AX51" s="1">
        <f t="shared" si="86"/>
        <v>1970117.8320257883</v>
      </c>
      <c r="AY51" s="1">
        <f t="shared" si="86"/>
        <v>2029221.366986562</v>
      </c>
      <c r="AZ51" s="1">
        <f t="shared" si="86"/>
        <v>2090098.0079961589</v>
      </c>
      <c r="BA51" s="1">
        <f t="shared" si="86"/>
        <v>2152800.9482360436</v>
      </c>
      <c r="BB51" s="1">
        <f t="shared" si="86"/>
        <v>2217384.9766831249</v>
      </c>
      <c r="BC51" s="1">
        <f t="shared" si="86"/>
        <v>2283906.5259836186</v>
      </c>
      <c r="BD51" s="1">
        <f t="shared" si="86"/>
        <v>2352423.721763127</v>
      </c>
      <c r="BE51" s="1">
        <f t="shared" si="86"/>
        <v>2422996.4334160211</v>
      </c>
      <c r="BF51" s="1">
        <f t="shared" si="86"/>
        <v>2495686.3264185018</v>
      </c>
      <c r="BG51" s="1">
        <f t="shared" si="86"/>
        <v>2570556.916211057</v>
      </c>
      <c r="BH51" s="1">
        <f t="shared" si="86"/>
        <v>2647673.6236973889</v>
      </c>
      <c r="BI51" s="1">
        <f t="shared" si="86"/>
        <v>2727103.8324083108</v>
      </c>
      <c r="BJ51" s="1">
        <f t="shared" si="86"/>
        <v>2808916.9473805605</v>
      </c>
      <c r="BK51" s="1">
        <f t="shared" si="86"/>
        <v>2893184.4558019773</v>
      </c>
      <c r="BL51" s="1">
        <f t="shared" si="86"/>
        <v>2979979.9894760367</v>
      </c>
      <c r="BM51" s="1">
        <f t="shared" si="86"/>
        <v>3069379.3891603178</v>
      </c>
      <c r="BN51" s="1">
        <f t="shared" si="86"/>
        <v>3161460.7708351277</v>
      </c>
      <c r="BO51" s="1">
        <f t="shared" si="86"/>
        <v>3256304.5939601818</v>
      </c>
      <c r="BP51" s="1">
        <f t="shared" si="86"/>
        <v>3353993.7317789872</v>
      </c>
      <c r="BQ51" s="1">
        <f t="shared" si="86"/>
        <v>3454613.5437323567</v>
      </c>
      <c r="BR51" s="1">
        <f t="shared" si="86"/>
        <v>3558251.9500443274</v>
      </c>
      <c r="BS51" s="1">
        <f t="shared" si="86"/>
        <v>3664999.5085456572</v>
      </c>
      <c r="BT51" s="1">
        <f t="shared" si="86"/>
        <v>3774949.4938020268</v>
      </c>
      <c r="BU51" s="1">
        <f t="shared" si="86"/>
        <v>3888197.9786160877</v>
      </c>
      <c r="BV51" s="1">
        <f t="shared" si="86"/>
        <v>4004843.9179745703</v>
      </c>
      <c r="BW51" s="1">
        <f t="shared" si="86"/>
        <v>4124989.2355138077</v>
      </c>
      <c r="BX51" s="1">
        <f t="shared" si="86"/>
        <v>4248738.9125792217</v>
      </c>
      <c r="BY51" s="1">
        <f t="shared" si="86"/>
        <v>4376201.0799565986</v>
      </c>
      <c r="BZ51" s="1">
        <f t="shared" si="86"/>
        <v>4507487.1123552965</v>
      </c>
      <c r="CA51" s="1">
        <f t="shared" si="86"/>
        <v>4642711.7257259553</v>
      </c>
      <c r="CB51" s="1">
        <f t="shared" si="86"/>
        <v>4781993.0774977338</v>
      </c>
      <c r="CC51" s="1">
        <f t="shared" si="86"/>
        <v>4925452.869822666</v>
      </c>
      <c r="CD51" s="1">
        <f t="shared" si="86"/>
        <v>5073216.4559173463</v>
      </c>
      <c r="CE51" s="1">
        <f t="shared" si="86"/>
        <v>5225412.9495948665</v>
      </c>
      <c r="CF51" s="1">
        <f t="shared" ref="CF51:EQ51" si="87">+CE51*(1+$U$56)</f>
        <v>5382175.3380827131</v>
      </c>
      <c r="CG51" s="1">
        <f t="shared" si="87"/>
        <v>5543640.598225195</v>
      </c>
      <c r="CH51" s="1">
        <f t="shared" si="87"/>
        <v>5709949.8161719507</v>
      </c>
      <c r="CI51" s="1">
        <f t="shared" si="87"/>
        <v>5881248.3106571091</v>
      </c>
      <c r="CJ51" s="1">
        <f t="shared" si="87"/>
        <v>6057685.7599768229</v>
      </c>
      <c r="CK51" s="1">
        <f t="shared" si="87"/>
        <v>6239416.3327761274</v>
      </c>
      <c r="CL51" s="1">
        <f t="shared" si="87"/>
        <v>6426598.8227594113</v>
      </c>
      <c r="CM51" s="1">
        <f t="shared" si="87"/>
        <v>6619396.7874421934</v>
      </c>
      <c r="CN51" s="1">
        <f t="shared" si="87"/>
        <v>6817978.6910654595</v>
      </c>
      <c r="CO51" s="1">
        <f t="shared" si="87"/>
        <v>7022518.0517974235</v>
      </c>
      <c r="CP51" s="1">
        <f t="shared" si="87"/>
        <v>7233193.5933513464</v>
      </c>
      <c r="CQ51" s="1">
        <f t="shared" si="87"/>
        <v>7450189.4011518871</v>
      </c>
      <c r="CR51" s="1">
        <f t="shared" si="87"/>
        <v>7673695.0831864439</v>
      </c>
      <c r="CS51" s="1">
        <f t="shared" si="87"/>
        <v>7903905.9356820378</v>
      </c>
      <c r="CT51" s="1">
        <f t="shared" si="87"/>
        <v>8141023.1137524992</v>
      </c>
      <c r="CU51" s="1">
        <f t="shared" si="87"/>
        <v>8385253.8071650742</v>
      </c>
      <c r="CV51" s="1">
        <f t="shared" si="87"/>
        <v>8636811.4213800263</v>
      </c>
      <c r="CW51" s="1">
        <f t="shared" si="87"/>
        <v>8895915.7640214264</v>
      </c>
      <c r="CX51" s="1">
        <f t="shared" si="87"/>
        <v>9162793.2369420696</v>
      </c>
      <c r="CY51" s="1">
        <f t="shared" si="87"/>
        <v>9437677.0340503324</v>
      </c>
      <c r="CZ51" s="1">
        <f t="shared" si="87"/>
        <v>9720807.3450718429</v>
      </c>
      <c r="DA51" s="1">
        <f t="shared" si="87"/>
        <v>10012431.565423999</v>
      </c>
      <c r="DB51" s="1">
        <f t="shared" si="87"/>
        <v>10312804.512386719</v>
      </c>
      <c r="DC51" s="1">
        <f t="shared" si="87"/>
        <v>10622188.64775832</v>
      </c>
      <c r="DD51" s="1">
        <f t="shared" si="87"/>
        <v>10940854.30719107</v>
      </c>
      <c r="DE51" s="1">
        <f t="shared" si="87"/>
        <v>11269079.936406802</v>
      </c>
      <c r="DF51" s="1">
        <f t="shared" si="87"/>
        <v>11607152.334499007</v>
      </c>
      <c r="DG51" s="1">
        <f t="shared" si="87"/>
        <v>11955366.904533977</v>
      </c>
      <c r="DH51" s="1">
        <f t="shared" si="87"/>
        <v>12314027.911669996</v>
      </c>
      <c r="DI51" s="1">
        <f t="shared" si="87"/>
        <v>12683448.749020096</v>
      </c>
      <c r="DJ51" s="1">
        <f t="shared" si="87"/>
        <v>13063952.2114907</v>
      </c>
      <c r="DK51" s="1">
        <f t="shared" si="87"/>
        <v>13455870.777835421</v>
      </c>
      <c r="DL51" s="1">
        <f t="shared" si="87"/>
        <v>13859546.901170485</v>
      </c>
      <c r="DM51" s="1">
        <f t="shared" si="87"/>
        <v>14275333.308205599</v>
      </c>
      <c r="DN51" s="1">
        <f t="shared" si="87"/>
        <v>14703593.307451768</v>
      </c>
      <c r="DO51" s="1">
        <f t="shared" si="87"/>
        <v>15144701.106675321</v>
      </c>
      <c r="DP51" s="1">
        <f t="shared" si="87"/>
        <v>15599042.139875581</v>
      </c>
      <c r="DQ51" s="1">
        <f t="shared" si="87"/>
        <v>16067013.404071849</v>
      </c>
      <c r="DR51" s="1">
        <f t="shared" si="87"/>
        <v>16549023.806194006</v>
      </c>
      <c r="DS51" s="1">
        <f t="shared" si="87"/>
        <v>17045494.520379826</v>
      </c>
      <c r="DT51" s="1">
        <f t="shared" si="87"/>
        <v>17556859.355991222</v>
      </c>
      <c r="DU51" s="1">
        <f t="shared" si="87"/>
        <v>18083565.136670958</v>
      </c>
      <c r="DV51" s="1">
        <f t="shared" si="87"/>
        <v>18626072.090771087</v>
      </c>
      <c r="DW51" s="1">
        <f t="shared" si="87"/>
        <v>19184854.253494218</v>
      </c>
      <c r="DX51" s="1">
        <f t="shared" si="87"/>
        <v>19760399.881099045</v>
      </c>
      <c r="DY51" s="1">
        <f t="shared" si="87"/>
        <v>20353211.877532016</v>
      </c>
      <c r="DZ51" s="1">
        <f t="shared" si="87"/>
        <v>20963808.233857978</v>
      </c>
      <c r="EA51" s="1">
        <f t="shared" si="87"/>
        <v>21592722.480873719</v>
      </c>
      <c r="EB51" s="1">
        <f t="shared" si="87"/>
        <v>22240504.155299932</v>
      </c>
      <c r="EC51" s="1">
        <f t="shared" si="87"/>
        <v>22907719.27995893</v>
      </c>
      <c r="ED51" s="1">
        <f t="shared" si="87"/>
        <v>23594950.858357698</v>
      </c>
      <c r="EE51" s="1">
        <f t="shared" si="87"/>
        <v>24302799.384108428</v>
      </c>
      <c r="EF51" s="1">
        <f t="shared" si="87"/>
        <v>25031883.365631681</v>
      </c>
      <c r="EG51" s="1">
        <f t="shared" si="87"/>
        <v>25782839.866600633</v>
      </c>
      <c r="EH51" s="1">
        <f t="shared" si="87"/>
        <v>26556325.062598653</v>
      </c>
      <c r="EI51" s="1">
        <f t="shared" si="87"/>
        <v>27353014.814476613</v>
      </c>
      <c r="EJ51" s="1">
        <f t="shared" si="87"/>
        <v>28173605.258910913</v>
      </c>
      <c r="EK51" s="1">
        <f t="shared" si="87"/>
        <v>29018813.416678242</v>
      </c>
      <c r="EL51" s="1">
        <f t="shared" si="87"/>
        <v>29889377.819178589</v>
      </c>
      <c r="EM51" s="1">
        <f t="shared" si="87"/>
        <v>30786059.153753947</v>
      </c>
      <c r="EN51" s="1">
        <f t="shared" si="87"/>
        <v>31709640.928366568</v>
      </c>
      <c r="EO51" s="1">
        <f t="shared" si="87"/>
        <v>32660930.156217568</v>
      </c>
      <c r="EP51" s="1">
        <f t="shared" si="87"/>
        <v>33640758.060904093</v>
      </c>
      <c r="EQ51" s="1">
        <f t="shared" si="87"/>
        <v>34649980.802731216</v>
      </c>
      <c r="ER51" s="1">
        <f t="shared" ref="ER51:EY51" si="88">+EQ51*(1+$U$56)</f>
        <v>35689480.226813152</v>
      </c>
      <c r="ES51" s="1">
        <f t="shared" si="88"/>
        <v>36760164.63361755</v>
      </c>
      <c r="ET51" s="1">
        <f t="shared" si="88"/>
        <v>37862969.572626077</v>
      </c>
      <c r="EU51" s="1">
        <f t="shared" si="88"/>
        <v>38998858.659804858</v>
      </c>
      <c r="EV51" s="1">
        <f t="shared" si="88"/>
        <v>40168824.419599004</v>
      </c>
      <c r="EW51" s="1">
        <f t="shared" si="88"/>
        <v>41373889.152186975</v>
      </c>
      <c r="EX51" s="1">
        <f t="shared" si="88"/>
        <v>42615105.826752588</v>
      </c>
      <c r="EY51" s="1">
        <f t="shared" si="88"/>
        <v>43893559.001555167</v>
      </c>
    </row>
    <row r="52" spans="2:155" s="5" customFormat="1" x14ac:dyDescent="0.25">
      <c r="B52" s="5" t="s">
        <v>59</v>
      </c>
      <c r="H52" s="5">
        <f>+H51/H53</f>
        <v>8.9472740135240674</v>
      </c>
      <c r="I52" s="5">
        <f t="shared" ref="I52:R52" si="89">+I51/I53</f>
        <v>3.7473719501215093</v>
      </c>
      <c r="J52" s="5">
        <f t="shared" si="89"/>
        <v>4.7935658587989609</v>
      </c>
      <c r="K52" s="5">
        <f t="shared" si="89"/>
        <v>5.9915106519139343</v>
      </c>
      <c r="L52" s="5">
        <f t="shared" si="89"/>
        <v>7.2398543614566169</v>
      </c>
      <c r="M52" s="5">
        <f t="shared" si="89"/>
        <v>8.7335876938510282</v>
      </c>
      <c r="N52" s="5">
        <f t="shared" si="89"/>
        <v>10.089931983723591</v>
      </c>
      <c r="O52" s="5">
        <f t="shared" si="89"/>
        <v>11.610036435460287</v>
      </c>
      <c r="P52" s="5">
        <f t="shared" si="89"/>
        <v>13.138069277151841</v>
      </c>
      <c r="Q52" s="5">
        <f t="shared" si="89"/>
        <v>14.839191966971031</v>
      </c>
      <c r="R52" s="5">
        <f t="shared" si="89"/>
        <v>16.550150504802648</v>
      </c>
    </row>
    <row r="53" spans="2:155" s="1" customFormat="1" x14ac:dyDescent="0.25">
      <c r="B53" s="1" t="s">
        <v>25</v>
      </c>
      <c r="H53" s="1">
        <f>+Main!C4</f>
        <v>46227.357000000004</v>
      </c>
      <c r="I53" s="1">
        <f>+H53+0</f>
        <v>46227.357000000004</v>
      </c>
      <c r="J53" s="1">
        <f t="shared" ref="J53:R53" si="90">+I53+0</f>
        <v>46227.357000000004</v>
      </c>
      <c r="K53" s="1">
        <f t="shared" si="90"/>
        <v>46227.357000000004</v>
      </c>
      <c r="L53" s="1">
        <f t="shared" si="90"/>
        <v>46227.357000000004</v>
      </c>
      <c r="M53" s="1">
        <f t="shared" si="90"/>
        <v>46227.357000000004</v>
      </c>
      <c r="N53" s="1">
        <f t="shared" si="90"/>
        <v>46227.357000000004</v>
      </c>
      <c r="O53" s="1">
        <f t="shared" si="90"/>
        <v>46227.357000000004</v>
      </c>
      <c r="P53" s="1">
        <f t="shared" si="90"/>
        <v>46227.357000000004</v>
      </c>
      <c r="Q53" s="1">
        <f t="shared" si="90"/>
        <v>46227.357000000004</v>
      </c>
      <c r="R53" s="1">
        <f t="shared" si="90"/>
        <v>46227.357000000004</v>
      </c>
    </row>
    <row r="54" spans="2:155" s="1" customFormat="1" x14ac:dyDescent="0.25"/>
    <row r="55" spans="2:155" s="3" customFormat="1" x14ac:dyDescent="0.25">
      <c r="B55" s="3" t="s">
        <v>14</v>
      </c>
      <c r="E55" s="3">
        <f>+E40/E38</f>
        <v>0.73090028281844144</v>
      </c>
      <c r="F55" s="3">
        <f t="shared" ref="F55:G55" si="91">+F40/F38</f>
        <v>0.7324372209847696</v>
      </c>
      <c r="G55" s="3">
        <f t="shared" si="91"/>
        <v>0.72775606130284587</v>
      </c>
      <c r="H55" s="3">
        <f t="shared" ref="H55:R55" si="92">+H40/H38</f>
        <v>0.72025026466734066</v>
      </c>
      <c r="I55" s="3">
        <f t="shared" si="92"/>
        <v>0.72</v>
      </c>
      <c r="J55" s="3">
        <f t="shared" si="92"/>
        <v>0.72</v>
      </c>
      <c r="K55" s="3">
        <f t="shared" si="92"/>
        <v>0.72000000000000008</v>
      </c>
      <c r="L55" s="3">
        <f t="shared" si="92"/>
        <v>0.72</v>
      </c>
      <c r="M55" s="3">
        <f t="shared" si="92"/>
        <v>0.72</v>
      </c>
      <c r="N55" s="3">
        <f t="shared" si="92"/>
        <v>0.72</v>
      </c>
      <c r="O55" s="3">
        <f t="shared" si="92"/>
        <v>0.72</v>
      </c>
      <c r="P55" s="3">
        <f t="shared" si="92"/>
        <v>0.72</v>
      </c>
      <c r="Q55" s="3">
        <f t="shared" si="92"/>
        <v>0.72</v>
      </c>
      <c r="R55" s="3">
        <f t="shared" si="92"/>
        <v>0.72</v>
      </c>
      <c r="T55" s="3" t="s">
        <v>56</v>
      </c>
      <c r="U55" s="3">
        <v>0.1</v>
      </c>
    </row>
    <row r="56" spans="2:155" s="3" customFormat="1" x14ac:dyDescent="0.25">
      <c r="B56" s="3" t="s">
        <v>15</v>
      </c>
      <c r="E56" s="3">
        <f>+E44/E38</f>
        <v>-0.17644352426961121</v>
      </c>
      <c r="F56" s="3">
        <f t="shared" ref="F56:G56" si="93">+F44/F38</f>
        <v>-2.4964743583708805E-2</v>
      </c>
      <c r="G56" s="3">
        <f t="shared" si="93"/>
        <v>8.3680470145342925E-2</v>
      </c>
      <c r="H56" s="3">
        <f t="shared" ref="H56:R56" si="94">+H44/H38</f>
        <v>0.12205305006750833</v>
      </c>
      <c r="I56" s="3">
        <f t="shared" si="94"/>
        <v>0.14848462548439484</v>
      </c>
      <c r="J56" s="3">
        <f t="shared" si="94"/>
        <v>0.17397006016189487</v>
      </c>
      <c r="K56" s="3">
        <f t="shared" si="94"/>
        <v>0.1971227623365607</v>
      </c>
      <c r="L56" s="3">
        <f t="shared" si="94"/>
        <v>0.21569772211431185</v>
      </c>
      <c r="M56" s="3">
        <f t="shared" si="94"/>
        <v>0.23308238130991327</v>
      </c>
      <c r="N56" s="3">
        <f t="shared" si="94"/>
        <v>0.24515695215413083</v>
      </c>
      <c r="O56" s="3">
        <f t="shared" si="94"/>
        <v>0.25679552998691613</v>
      </c>
      <c r="P56" s="3">
        <f t="shared" si="94"/>
        <v>0.26638122674826742</v>
      </c>
      <c r="Q56" s="3">
        <f t="shared" si="94"/>
        <v>0.27577101567821594</v>
      </c>
      <c r="R56" s="3">
        <f t="shared" si="94"/>
        <v>0.28359549717957577</v>
      </c>
      <c r="T56" s="3" t="s">
        <v>57</v>
      </c>
      <c r="U56" s="3">
        <v>0.03</v>
      </c>
    </row>
    <row r="57" spans="2:155" s="3" customFormat="1" x14ac:dyDescent="0.25">
      <c r="B57" s="3" t="s">
        <v>16</v>
      </c>
      <c r="F57" s="3">
        <f>+F38/E38 -1</f>
        <v>0.43739157498748282</v>
      </c>
      <c r="G57" s="3">
        <f>+G38/F38 -1</f>
        <v>0.4084189874394899</v>
      </c>
      <c r="H57" s="3">
        <f>+H38/G38 -1</f>
        <v>0.34190738532453513</v>
      </c>
      <c r="I57" s="3">
        <f t="shared" ref="I57:R57" si="95">+I38/H38 -1</f>
        <v>0.13749562989847308</v>
      </c>
      <c r="J57" s="3">
        <f t="shared" si="95"/>
        <v>0.14390323604570443</v>
      </c>
      <c r="K57" s="3">
        <f t="shared" si="95"/>
        <v>0.14010487280458039</v>
      </c>
      <c r="L57" s="3">
        <f t="shared" si="95"/>
        <v>0.12265348576481494</v>
      </c>
      <c r="M57" s="3">
        <f t="shared" si="95"/>
        <v>0.12116253822606016</v>
      </c>
      <c r="N57" s="3">
        <f t="shared" si="95"/>
        <v>9.4956776294766287E-2</v>
      </c>
      <c r="O57" s="3">
        <f t="shared" si="95"/>
        <v>9.4797915573545888E-2</v>
      </c>
      <c r="P57" s="3">
        <f t="shared" si="95"/>
        <v>8.464003503680817E-2</v>
      </c>
      <c r="Q57" s="3">
        <f t="shared" si="95"/>
        <v>8.5105446026912501E-2</v>
      </c>
      <c r="R57" s="3">
        <f t="shared" si="95"/>
        <v>7.6801409498468143E-2</v>
      </c>
      <c r="T57" s="3" t="s">
        <v>58</v>
      </c>
      <c r="U57" s="13">
        <f>NPV(U55,I51:FD51)</f>
        <v>6775608.2867643218</v>
      </c>
    </row>
    <row r="58" spans="2:155" s="1" customFormat="1" x14ac:dyDescent="0.25">
      <c r="F58" s="6"/>
      <c r="G58" s="6"/>
      <c r="H58" s="6"/>
      <c r="T58" s="1" t="s">
        <v>24</v>
      </c>
      <c r="U58" s="1">
        <f>+U57/R53</f>
        <v>146.57139681951364</v>
      </c>
    </row>
    <row r="59" spans="2:155" s="1" customFormat="1" x14ac:dyDescent="0.25">
      <c r="B59" s="1" t="s">
        <v>17</v>
      </c>
      <c r="E59" s="1">
        <v>53656</v>
      </c>
      <c r="F59" s="1">
        <v>163614</v>
      </c>
      <c r="G59" s="1">
        <v>285513</v>
      </c>
      <c r="H59" s="1">
        <f>280545*1.33</f>
        <v>373124.85000000003</v>
      </c>
      <c r="U59" s="3"/>
    </row>
    <row r="60" spans="2:155" s="1" customFormat="1" x14ac:dyDescent="0.25">
      <c r="B60" s="1" t="s">
        <v>18</v>
      </c>
      <c r="E60" s="1">
        <f>4562+5562</f>
        <v>10124</v>
      </c>
      <c r="F60" s="1">
        <f>10493+3191</f>
        <v>13684</v>
      </c>
      <c r="G60" s="1">
        <f>9024+12116</f>
        <v>21140</v>
      </c>
      <c r="H60" s="1">
        <f>6484*1.33+7369*1.33</f>
        <v>18424.490000000002</v>
      </c>
    </row>
    <row r="61" spans="2:155" s="1" customFormat="1" x14ac:dyDescent="0.25">
      <c r="B61" s="1" t="s">
        <v>19</v>
      </c>
      <c r="E61" s="1">
        <f>+E59-E60</f>
        <v>43532</v>
      </c>
      <c r="F61" s="1">
        <f>+F59-F60</f>
        <v>149930</v>
      </c>
      <c r="G61" s="1">
        <f>+G59-G60</f>
        <v>264373</v>
      </c>
      <c r="H61" s="1">
        <f>+H59-H60</f>
        <v>354700.36000000004</v>
      </c>
    </row>
    <row r="62" spans="2:155" s="1" customFormat="1" x14ac:dyDescent="0.25">
      <c r="B62" s="1" t="s">
        <v>60</v>
      </c>
      <c r="E62" s="1">
        <v>73820</v>
      </c>
      <c r="F62" s="1">
        <v>95221</v>
      </c>
      <c r="G62" s="1">
        <v>110477</v>
      </c>
      <c r="U62" s="3"/>
    </row>
    <row r="63" spans="2:155" s="1" customFormat="1" x14ac:dyDescent="0.25">
      <c r="B63" s="1" t="s">
        <v>61</v>
      </c>
      <c r="E63" s="1">
        <f>+E61-E62</f>
        <v>-30288</v>
      </c>
      <c r="F63" s="1">
        <f>+F61-F62</f>
        <v>54709</v>
      </c>
      <c r="G63" s="1">
        <f>+G61-G62</f>
        <v>153896</v>
      </c>
      <c r="U63" s="3"/>
    </row>
    <row r="64" spans="2:155" s="1" customFormat="1" x14ac:dyDescent="0.25"/>
    <row r="65" spans="2:18" s="3" customFormat="1" x14ac:dyDescent="0.25">
      <c r="B65" s="3" t="s">
        <v>3</v>
      </c>
      <c r="E65" s="3">
        <f>+E41/E$38</f>
        <v>0.40716112531969312</v>
      </c>
      <c r="F65" s="3">
        <f t="shared" ref="F65:H65" si="96">+F41/F$38</f>
        <v>0.36593618259152078</v>
      </c>
      <c r="G65" s="3">
        <f t="shared" si="96"/>
        <v>0.31455942590077324</v>
      </c>
      <c r="H65" s="3">
        <f t="shared" si="96"/>
        <v>0.30046467502560553</v>
      </c>
      <c r="I65" s="3">
        <f t="shared" ref="I65:R65" si="97">+I41/I$38</f>
        <v>0.28835837803743658</v>
      </c>
      <c r="J65" s="3">
        <f t="shared" si="97"/>
        <v>0.27626653249406646</v>
      </c>
      <c r="K65" s="3">
        <f t="shared" si="97"/>
        <v>0.26494994565528185</v>
      </c>
      <c r="L65" s="3">
        <f t="shared" si="97"/>
        <v>0.25530106919135681</v>
      </c>
      <c r="M65" s="3">
        <f t="shared" si="97"/>
        <v>0.24610438732457623</v>
      </c>
      <c r="N65" s="3">
        <f t="shared" si="97"/>
        <v>0.23899017065463612</v>
      </c>
      <c r="O65" s="3">
        <f t="shared" si="97"/>
        <v>0.23209216396976573</v>
      </c>
      <c r="P65" s="3">
        <f t="shared" si="97"/>
        <v>0.22605504927253714</v>
      </c>
      <c r="Q65" s="3">
        <f t="shared" si="97"/>
        <v>0.22014517330444069</v>
      </c>
      <c r="R65" s="3">
        <f t="shared" si="97"/>
        <v>0.21491132069400731</v>
      </c>
    </row>
    <row r="66" spans="2:18" s="3" customFormat="1" x14ac:dyDescent="0.25">
      <c r="B66" s="3" t="s">
        <v>4</v>
      </c>
      <c r="E66" s="3">
        <f>+E42/E$38</f>
        <v>0.18123925898861959</v>
      </c>
      <c r="F66" s="3">
        <f t="shared" ref="F66:H67" si="98">+F42/F$38</f>
        <v>0.14269763833789298</v>
      </c>
      <c r="G66" s="3">
        <f t="shared" si="98"/>
        <v>0.12097740179459483</v>
      </c>
      <c r="H66" s="3">
        <f t="shared" si="98"/>
        <v>0.12097980578253421</v>
      </c>
      <c r="I66" s="3">
        <f t="shared" ref="I66:R66" si="99">+I42/I$38</f>
        <v>0.12000000000000001</v>
      </c>
      <c r="J66" s="3">
        <f t="shared" si="99"/>
        <v>0.11999999999999998</v>
      </c>
      <c r="K66" s="3">
        <f t="shared" si="99"/>
        <v>0.12</v>
      </c>
      <c r="L66" s="3">
        <f t="shared" si="99"/>
        <v>0.12</v>
      </c>
      <c r="M66" s="3">
        <f t="shared" si="99"/>
        <v>0.12</v>
      </c>
      <c r="N66" s="3">
        <f t="shared" si="99"/>
        <v>0.12</v>
      </c>
      <c r="O66" s="3">
        <f t="shared" si="99"/>
        <v>0.12</v>
      </c>
      <c r="P66" s="3">
        <f t="shared" si="99"/>
        <v>0.11999999999999998</v>
      </c>
      <c r="Q66" s="3">
        <f t="shared" si="99"/>
        <v>0.12000000000000001</v>
      </c>
      <c r="R66" s="3">
        <f t="shared" si="99"/>
        <v>0.12</v>
      </c>
    </row>
    <row r="67" spans="2:18" s="3" customFormat="1" x14ac:dyDescent="0.25">
      <c r="B67" s="3" t="s">
        <v>5</v>
      </c>
      <c r="E67" s="3">
        <f>+E43/E$38</f>
        <v>0.31894342277973992</v>
      </c>
      <c r="F67" s="3">
        <f t="shared" si="98"/>
        <v>0.24876814363906469</v>
      </c>
      <c r="G67" s="3">
        <f t="shared" si="98"/>
        <v>0.2085387634621349</v>
      </c>
      <c r="H67" s="3">
        <f t="shared" si="98"/>
        <v>0.17675273379169257</v>
      </c>
      <c r="I67" s="3">
        <f t="shared" ref="I67:R67" si="100">+I43/I$38</f>
        <v>0.16315699647816848</v>
      </c>
      <c r="J67" s="3">
        <f t="shared" si="100"/>
        <v>0.1497634073440387</v>
      </c>
      <c r="K67" s="3">
        <f t="shared" si="100"/>
        <v>0.13792729200815754</v>
      </c>
      <c r="L67" s="3">
        <f t="shared" si="100"/>
        <v>0.12900120869433132</v>
      </c>
      <c r="M67" s="3">
        <f t="shared" si="100"/>
        <v>0.12081323136551041</v>
      </c>
      <c r="N67" s="3">
        <f t="shared" si="100"/>
        <v>0.11585287719123299</v>
      </c>
      <c r="O67" s="3">
        <f t="shared" si="100"/>
        <v>0.11111230604331818</v>
      </c>
      <c r="P67" s="3">
        <f t="shared" si="100"/>
        <v>0.10756372397919543</v>
      </c>
      <c r="Q67" s="3">
        <f t="shared" si="100"/>
        <v>0.10408381101734333</v>
      </c>
      <c r="R67" s="3">
        <f t="shared" si="100"/>
        <v>0.10149318212641693</v>
      </c>
    </row>
    <row r="68" spans="2:18" s="1" customFormat="1" x14ac:dyDescent="0.25"/>
    <row r="69" spans="2:18" s="1" customFormat="1" x14ac:dyDescent="0.25">
      <c r="B69" s="1" t="s">
        <v>51</v>
      </c>
      <c r="H69" s="1">
        <v>1011542</v>
      </c>
    </row>
    <row r="70" spans="2:18" s="1" customFormat="1" x14ac:dyDescent="0.25">
      <c r="B70" s="1" t="s">
        <v>53</v>
      </c>
      <c r="H70" s="1">
        <f>109912+98735</f>
        <v>208647</v>
      </c>
    </row>
    <row r="71" spans="2:18" s="1" customFormat="1" x14ac:dyDescent="0.25">
      <c r="B71" s="1" t="s">
        <v>52</v>
      </c>
      <c r="H71" s="1">
        <v>24626</v>
      </c>
    </row>
    <row r="72" spans="2:18" s="1" customFormat="1" x14ac:dyDescent="0.25">
      <c r="B72" s="1" t="s">
        <v>54</v>
      </c>
      <c r="H72" s="1">
        <f>+H69+H70</f>
        <v>1220189</v>
      </c>
      <c r="I72" s="1">
        <f>+H72+I51</f>
        <v>1393420.1009500532</v>
      </c>
      <c r="J72" s="1">
        <f t="shared" ref="J72:R72" si="101">+I72+J51</f>
        <v>1615013.9812077645</v>
      </c>
      <c r="K72" s="1">
        <f t="shared" si="101"/>
        <v>1891985.6830830928</v>
      </c>
      <c r="L72" s="1">
        <f t="shared" si="101"/>
        <v>2226665.015278155</v>
      </c>
      <c r="M72" s="1">
        <f t="shared" si="101"/>
        <v>2630395.6914926134</v>
      </c>
      <c r="N72" s="1">
        <f t="shared" si="101"/>
        <v>3096826.579409922</v>
      </c>
      <c r="O72" s="1">
        <f t="shared" si="101"/>
        <v>3633527.8784949523</v>
      </c>
      <c r="P72" s="1">
        <f t="shared" si="101"/>
        <v>4240866.0972605823</v>
      </c>
      <c r="Q72" s="1">
        <f t="shared" si="101"/>
        <v>4926842.7219092846</v>
      </c>
      <c r="R72" s="1">
        <f t="shared" si="101"/>
        <v>5691912.4376985272</v>
      </c>
    </row>
    <row r="73" spans="2:18" s="9" customFormat="1" x14ac:dyDescent="0.25">
      <c r="B73" s="9" t="s">
        <v>55</v>
      </c>
      <c r="H73" s="9">
        <f>+H48/H72</f>
        <v>3.6661984331935467E-2</v>
      </c>
      <c r="I73" s="9">
        <v>3.5000000000000003E-2</v>
      </c>
      <c r="J73" s="9">
        <v>3.2000000000000001E-2</v>
      </c>
      <c r="K73" s="9">
        <v>0.03</v>
      </c>
      <c r="L73" s="9">
        <v>0.03</v>
      </c>
      <c r="M73" s="9">
        <v>0.03</v>
      </c>
      <c r="N73" s="9">
        <v>0.03</v>
      </c>
      <c r="O73" s="9">
        <v>0.03</v>
      </c>
      <c r="P73" s="9">
        <v>0.03</v>
      </c>
      <c r="Q73" s="9">
        <v>0.03</v>
      </c>
      <c r="R73" s="9">
        <v>0.03</v>
      </c>
    </row>
    <row r="74" spans="2:18" s="1" customFormat="1" x14ac:dyDescent="0.25"/>
    <row r="75" spans="2:18" s="1" customFormat="1" x14ac:dyDescent="0.25"/>
    <row r="76" spans="2:18" s="1" customFormat="1" x14ac:dyDescent="0.25"/>
    <row r="77" spans="2:18" s="1" customFormat="1" x14ac:dyDescent="0.25"/>
    <row r="78" spans="2:18" s="1" customFormat="1" x14ac:dyDescent="0.25"/>
    <row r="79" spans="2:18" s="1" customFormat="1" x14ac:dyDescent="0.25"/>
    <row r="80" spans="2:18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2026-02-04T21:06:07Z</dcterms:created>
  <dcterms:modified xsi:type="dcterms:W3CDTF">2026-02-27T15:25:07Z</dcterms:modified>
</cp:coreProperties>
</file>