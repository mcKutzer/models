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9CE85198-A325-416A-9200-4CAD6A4A5E94}" xr6:coauthVersionLast="47" xr6:coauthVersionMax="47" xr10:uidLastSave="{00000000-0000-0000-0000-000000000000}"/>
  <bookViews>
    <workbookView xWindow="-120" yWindow="-120" windowWidth="29040" windowHeight="15840" xr2:uid="{D2443BB5-FD47-4309-89ED-4DD957879E7E}"/>
  </bookViews>
  <sheets>
    <sheet name="Main" sheetId="2" r:id="rId1"/>
    <sheet name="Model" sheetId="1" r:id="rId2"/>
  </sheets>
  <definedNames>
    <definedName name="TR">Model!$AC$41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2" l="1"/>
  <c r="D11" i="2"/>
  <c r="D9" i="2"/>
  <c r="D6" i="2"/>
  <c r="AC42" i="1"/>
  <c r="R53" i="1"/>
  <c r="S53" i="1"/>
  <c r="T53" i="1"/>
  <c r="U53" i="1"/>
  <c r="V53" i="1"/>
  <c r="W53" i="1"/>
  <c r="X53" i="1"/>
  <c r="Y53" i="1"/>
  <c r="Z53" i="1"/>
  <c r="Q53" i="1"/>
  <c r="R51" i="1"/>
  <c r="S51" i="1"/>
  <c r="T51" i="1"/>
  <c r="U51" i="1"/>
  <c r="V51" i="1"/>
  <c r="W51" i="1"/>
  <c r="X51" i="1"/>
  <c r="Y51" i="1"/>
  <c r="Z51" i="1"/>
  <c r="Q51" i="1"/>
  <c r="R37" i="1"/>
  <c r="S37" i="1"/>
  <c r="T37" i="1"/>
  <c r="U37" i="1"/>
  <c r="V37" i="1"/>
  <c r="W37" i="1"/>
  <c r="X37" i="1"/>
  <c r="Y37" i="1"/>
  <c r="Z37" i="1"/>
  <c r="Q37" i="1"/>
  <c r="N43" i="1"/>
  <c r="O43" i="1"/>
  <c r="P43" i="1"/>
  <c r="R48" i="1"/>
  <c r="S48" i="1" s="1"/>
  <c r="R31" i="1"/>
  <c r="Q31" i="1"/>
  <c r="AC43" i="1"/>
  <c r="P57" i="1"/>
  <c r="P62" i="1"/>
  <c r="P63" i="1"/>
  <c r="P52" i="1"/>
  <c r="M52" i="1"/>
  <c r="N52" i="1"/>
  <c r="O52" i="1"/>
  <c r="P53" i="1"/>
  <c r="N53" i="1"/>
  <c r="O53" i="1"/>
  <c r="P21" i="1"/>
  <c r="P22" i="1" s="1"/>
  <c r="P23" i="1" s="1"/>
  <c r="T48" i="1" l="1"/>
  <c r="T31" i="1"/>
  <c r="S31" i="1"/>
  <c r="N63" i="1"/>
  <c r="O63" i="1"/>
  <c r="P68" i="1"/>
  <c r="P67" i="1"/>
  <c r="Q26" i="1"/>
  <c r="R26" i="1" s="1"/>
  <c r="S26" i="1" s="1"/>
  <c r="T26" i="1" s="1"/>
  <c r="U26" i="1" s="1"/>
  <c r="V26" i="1" s="1"/>
  <c r="W26" i="1" s="1"/>
  <c r="X26" i="1" s="1"/>
  <c r="Y26" i="1" s="1"/>
  <c r="O57" i="1"/>
  <c r="O65" i="1" s="1"/>
  <c r="O10" i="1"/>
  <c r="O17" i="1"/>
  <c r="O4" i="1"/>
  <c r="Q42" i="1"/>
  <c r="R42" i="1" s="1"/>
  <c r="S42" i="1" s="1"/>
  <c r="T42" i="1" s="1"/>
  <c r="U42" i="1" s="1"/>
  <c r="V42" i="1" s="1"/>
  <c r="W42" i="1" s="1"/>
  <c r="X42" i="1" s="1"/>
  <c r="E57" i="1"/>
  <c r="N57" i="1"/>
  <c r="N58" i="1" s="1"/>
  <c r="D37" i="1"/>
  <c r="D35" i="1"/>
  <c r="D33" i="1"/>
  <c r="D32" i="1"/>
  <c r="D31" i="1"/>
  <c r="D30" i="1"/>
  <c r="D28" i="1"/>
  <c r="D26" i="1"/>
  <c r="D25" i="1"/>
  <c r="D24" i="1"/>
  <c r="L4" i="1"/>
  <c r="L10" i="1"/>
  <c r="L9" i="1" s="1"/>
  <c r="L17" i="1"/>
  <c r="M4" i="1"/>
  <c r="M10" i="1"/>
  <c r="M9" i="1" s="1"/>
  <c r="M17" i="1"/>
  <c r="N10" i="1"/>
  <c r="N9" i="1" s="1"/>
  <c r="N17" i="1"/>
  <c r="N4" i="1"/>
  <c r="M2" i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N27" i="1"/>
  <c r="N29" i="1" s="1"/>
  <c r="N34" i="1" s="1"/>
  <c r="N36" i="1" s="1"/>
  <c r="N38" i="1" s="1"/>
  <c r="N45" i="1" s="1"/>
  <c r="M27" i="1"/>
  <c r="M29" i="1" s="1"/>
  <c r="M44" i="1" s="1"/>
  <c r="L27" i="1"/>
  <c r="L29" i="1" s="1"/>
  <c r="L34" i="1" s="1"/>
  <c r="L36" i="1" s="1"/>
  <c r="L38" i="1" s="1"/>
  <c r="L45" i="1" s="1"/>
  <c r="F27" i="1"/>
  <c r="F29" i="1" s="1"/>
  <c r="F34" i="1" s="1"/>
  <c r="F36" i="1" s="1"/>
  <c r="F38" i="1" s="1"/>
  <c r="E27" i="1"/>
  <c r="E29" i="1" s="1"/>
  <c r="E34" i="1" s="1"/>
  <c r="E36" i="1" s="1"/>
  <c r="E38" i="1" s="1"/>
  <c r="E45" i="1" s="1"/>
  <c r="C27" i="1"/>
  <c r="C29" i="1" s="1"/>
  <c r="C34" i="1" s="1"/>
  <c r="C36" i="1" s="1"/>
  <c r="C38" i="1" s="1"/>
  <c r="C45" i="1" s="1"/>
  <c r="U48" i="1" l="1"/>
  <c r="U31" i="1"/>
  <c r="Q10" i="1"/>
  <c r="R10" i="1" s="1"/>
  <c r="S10" i="1" s="1"/>
  <c r="T10" i="1" s="1"/>
  <c r="U10" i="1" s="1"/>
  <c r="V10" i="1" s="1"/>
  <c r="W10" i="1" s="1"/>
  <c r="X10" i="1" s="1"/>
  <c r="Y10" i="1" s="1"/>
  <c r="O9" i="1"/>
  <c r="N65" i="1"/>
  <c r="D4" i="2"/>
  <c r="D5" i="2" s="1"/>
  <c r="P65" i="1"/>
  <c r="Q4" i="1"/>
  <c r="R4" i="1" s="1"/>
  <c r="S4" i="1" s="1"/>
  <c r="T4" i="1" s="1"/>
  <c r="U4" i="1" s="1"/>
  <c r="V4" i="1" s="1"/>
  <c r="W4" i="1" s="1"/>
  <c r="X4" i="1" s="1"/>
  <c r="Y4" i="1" s="1"/>
  <c r="Z4" i="1" s="1"/>
  <c r="N40" i="1"/>
  <c r="P58" i="1"/>
  <c r="O58" i="1"/>
  <c r="Y42" i="1"/>
  <c r="Z26" i="1"/>
  <c r="Z10" i="1"/>
  <c r="N41" i="1"/>
  <c r="N62" i="1"/>
  <c r="O21" i="1"/>
  <c r="O22" i="1" s="1"/>
  <c r="O23" i="1" s="1"/>
  <c r="D27" i="1"/>
  <c r="D29" i="1" s="1"/>
  <c r="D44" i="1" s="1"/>
  <c r="M21" i="1"/>
  <c r="M22" i="1" s="1"/>
  <c r="M23" i="1" s="1"/>
  <c r="E58" i="1"/>
  <c r="N44" i="1"/>
  <c r="L21" i="1"/>
  <c r="L22" i="1" s="1"/>
  <c r="L23" i="1" s="1"/>
  <c r="N21" i="1"/>
  <c r="N22" i="1" s="1"/>
  <c r="N23" i="1" s="1"/>
  <c r="L44" i="1"/>
  <c r="E44" i="1"/>
  <c r="C44" i="1"/>
  <c r="M34" i="1"/>
  <c r="M36" i="1" s="1"/>
  <c r="M38" i="1" s="1"/>
  <c r="V48" i="1" l="1"/>
  <c r="V31" i="1"/>
  <c r="Z42" i="1"/>
  <c r="D34" i="1"/>
  <c r="D36" i="1" s="1"/>
  <c r="D38" i="1" s="1"/>
  <c r="D45" i="1" s="1"/>
  <c r="M45" i="1"/>
  <c r="M62" i="1"/>
  <c r="Q17" i="1"/>
  <c r="O27" i="1"/>
  <c r="W48" i="1" l="1"/>
  <c r="X31" i="1"/>
  <c r="W31" i="1"/>
  <c r="O29" i="1"/>
  <c r="R17" i="1"/>
  <c r="Q21" i="1"/>
  <c r="X48" i="1" l="1"/>
  <c r="Y31" i="1"/>
  <c r="P27" i="1"/>
  <c r="O44" i="1"/>
  <c r="O34" i="1"/>
  <c r="O36" i="1" s="1"/>
  <c r="S17" i="1"/>
  <c r="R21" i="1"/>
  <c r="Q22" i="1"/>
  <c r="Q24" i="1" s="1"/>
  <c r="Q25" i="1" s="1"/>
  <c r="Q27" i="1" s="1"/>
  <c r="Q30" i="1" s="1"/>
  <c r="Y48" i="1" l="1"/>
  <c r="Z48" i="1" s="1"/>
  <c r="Z31" i="1"/>
  <c r="P29" i="1"/>
  <c r="P44" i="1" s="1"/>
  <c r="O38" i="1"/>
  <c r="O40" i="1" s="1"/>
  <c r="T17" i="1"/>
  <c r="S21" i="1"/>
  <c r="R22" i="1"/>
  <c r="R24" i="1" s="1"/>
  <c r="R25" i="1" s="1"/>
  <c r="R27" i="1" s="1"/>
  <c r="R30" i="1" s="1"/>
  <c r="Q28" i="1"/>
  <c r="Q29" i="1" s="1"/>
  <c r="P34" i="1" l="1"/>
  <c r="P36" i="1" s="1"/>
  <c r="P38" i="1" s="1"/>
  <c r="O41" i="1"/>
  <c r="O62" i="1"/>
  <c r="Q34" i="1"/>
  <c r="Q36" i="1" s="1"/>
  <c r="Q38" i="1" s="1"/>
  <c r="Q47" i="1" s="1"/>
  <c r="Q52" i="1" s="1"/>
  <c r="Q44" i="1"/>
  <c r="R28" i="1"/>
  <c r="R29" i="1" s="1"/>
  <c r="O45" i="1"/>
  <c r="S22" i="1"/>
  <c r="S24" i="1" s="1"/>
  <c r="S25" i="1" s="1"/>
  <c r="S27" i="1" s="1"/>
  <c r="S30" i="1" s="1"/>
  <c r="U17" i="1"/>
  <c r="T21" i="1"/>
  <c r="P45" i="1" l="1"/>
  <c r="P40" i="1"/>
  <c r="P41" i="1"/>
  <c r="Q41" i="1"/>
  <c r="Q40" i="1"/>
  <c r="S28" i="1"/>
  <c r="S29" i="1" s="1"/>
  <c r="Q45" i="1"/>
  <c r="R34" i="1"/>
  <c r="R36" i="1" s="1"/>
  <c r="R44" i="1"/>
  <c r="T22" i="1"/>
  <c r="T24" i="1" s="1"/>
  <c r="T25" i="1" s="1"/>
  <c r="T27" i="1" s="1"/>
  <c r="V17" i="1"/>
  <c r="U21" i="1"/>
  <c r="T28" i="1" l="1"/>
  <c r="T29" i="1" s="1"/>
  <c r="T30" i="1"/>
  <c r="R38" i="1"/>
  <c r="W17" i="1"/>
  <c r="V21" i="1"/>
  <c r="U22" i="1"/>
  <c r="U24" i="1" s="1"/>
  <c r="U25" i="1" s="1"/>
  <c r="U27" i="1" s="1"/>
  <c r="U30" i="1" s="1"/>
  <c r="S34" i="1"/>
  <c r="S36" i="1" s="1"/>
  <c r="S38" i="1" s="1"/>
  <c r="S44" i="1"/>
  <c r="T34" i="1" l="1"/>
  <c r="T36" i="1" s="1"/>
  <c r="T38" i="1" s="1"/>
  <c r="T47" i="1" s="1"/>
  <c r="T52" i="1" s="1"/>
  <c r="T44" i="1"/>
  <c r="W21" i="1"/>
  <c r="X17" i="1"/>
  <c r="S41" i="1"/>
  <c r="S40" i="1"/>
  <c r="R41" i="1"/>
  <c r="R40" i="1"/>
  <c r="S47" i="1"/>
  <c r="S52" i="1" s="1"/>
  <c r="S45" i="1"/>
  <c r="T45" i="1"/>
  <c r="U28" i="1"/>
  <c r="U29" i="1" s="1"/>
  <c r="V22" i="1"/>
  <c r="V24" i="1" s="1"/>
  <c r="V25" i="1" s="1"/>
  <c r="V27" i="1" s="1"/>
  <c r="R47" i="1"/>
  <c r="R52" i="1" s="1"/>
  <c r="R45" i="1"/>
  <c r="W22" i="1"/>
  <c r="W24" i="1" s="1"/>
  <c r="W25" i="1" s="1"/>
  <c r="W27" i="1" s="1"/>
  <c r="T40" i="1" l="1"/>
  <c r="T41" i="1"/>
  <c r="Y17" i="1"/>
  <c r="X21" i="1"/>
  <c r="X22" i="1" s="1"/>
  <c r="X24" i="1" s="1"/>
  <c r="X25" i="1" s="1"/>
  <c r="X27" i="1" s="1"/>
  <c r="W28" i="1"/>
  <c r="W29" i="1" s="1"/>
  <c r="W30" i="1"/>
  <c r="V28" i="1"/>
  <c r="V29" i="1" s="1"/>
  <c r="V44" i="1" s="1"/>
  <c r="V30" i="1"/>
  <c r="W44" i="1"/>
  <c r="U34" i="1"/>
  <c r="U36" i="1" s="1"/>
  <c r="U38" i="1" s="1"/>
  <c r="U44" i="1"/>
  <c r="W34" i="1" l="1"/>
  <c r="W36" i="1" s="1"/>
  <c r="W38" i="1" s="1"/>
  <c r="W47" i="1" s="1"/>
  <c r="W52" i="1" s="1"/>
  <c r="V34" i="1"/>
  <c r="V36" i="1" s="1"/>
  <c r="V38" i="1" s="1"/>
  <c r="V47" i="1" s="1"/>
  <c r="V52" i="1" s="1"/>
  <c r="X30" i="1"/>
  <c r="X28" i="1"/>
  <c r="X29" i="1" s="1"/>
  <c r="Z17" i="1"/>
  <c r="Z21" i="1" s="1"/>
  <c r="Z22" i="1" s="1"/>
  <c r="Z24" i="1" s="1"/>
  <c r="Z25" i="1" s="1"/>
  <c r="Z27" i="1" s="1"/>
  <c r="Y21" i="1"/>
  <c r="Y22" i="1" s="1"/>
  <c r="Y24" i="1" s="1"/>
  <c r="Y25" i="1" s="1"/>
  <c r="Y27" i="1" s="1"/>
  <c r="U41" i="1"/>
  <c r="U40" i="1"/>
  <c r="W41" i="1"/>
  <c r="W40" i="1"/>
  <c r="U47" i="1"/>
  <c r="U52" i="1" s="1"/>
  <c r="U45" i="1"/>
  <c r="W45" i="1"/>
  <c r="V41" i="1" l="1"/>
  <c r="V40" i="1"/>
  <c r="V45" i="1"/>
  <c r="X44" i="1"/>
  <c r="X34" i="1"/>
  <c r="X36" i="1" s="1"/>
  <c r="Y28" i="1"/>
  <c r="Y29" i="1" s="1"/>
  <c r="Y30" i="1"/>
  <c r="Z30" i="1"/>
  <c r="Z28" i="1"/>
  <c r="Z29" i="1" s="1"/>
  <c r="Y44" i="1" l="1"/>
  <c r="Y34" i="1"/>
  <c r="Y36" i="1" s="1"/>
  <c r="Z44" i="1"/>
  <c r="Z34" i="1"/>
  <c r="Z36" i="1" s="1"/>
  <c r="X38" i="1"/>
  <c r="X40" i="1" l="1"/>
  <c r="X45" i="1"/>
  <c r="X47" i="1"/>
  <c r="X52" i="1" s="1"/>
  <c r="X41" i="1"/>
  <c r="Z38" i="1"/>
  <c r="Y38" i="1"/>
  <c r="Y40" i="1" l="1"/>
  <c r="Y45" i="1"/>
  <c r="Y47" i="1"/>
  <c r="Y52" i="1" s="1"/>
  <c r="Y41" i="1"/>
  <c r="Z40" i="1"/>
  <c r="Z45" i="1"/>
  <c r="Z47" i="1"/>
  <c r="Z52" i="1" s="1"/>
  <c r="Z41" i="1"/>
  <c r="AA38" i="1"/>
  <c r="AB38" i="1" s="1"/>
  <c r="AC38" i="1" s="1"/>
  <c r="AD38" i="1" s="1"/>
  <c r="AE38" i="1" s="1"/>
  <c r="AF38" i="1" s="1"/>
  <c r="AG38" i="1" s="1"/>
  <c r="AH38" i="1" s="1"/>
  <c r="AI38" i="1" s="1"/>
  <c r="AJ38" i="1" s="1"/>
  <c r="AK38" i="1" s="1"/>
  <c r="AL38" i="1" s="1"/>
  <c r="AM38" i="1" s="1"/>
  <c r="AN38" i="1" s="1"/>
  <c r="AO38" i="1" s="1"/>
  <c r="AP38" i="1" s="1"/>
  <c r="AQ38" i="1" s="1"/>
  <c r="AR38" i="1" s="1"/>
  <c r="AS38" i="1" s="1"/>
  <c r="AT38" i="1" s="1"/>
  <c r="AU38" i="1" s="1"/>
  <c r="AV38" i="1" s="1"/>
  <c r="AW38" i="1" s="1"/>
  <c r="AX38" i="1" s="1"/>
  <c r="AY38" i="1" s="1"/>
  <c r="AZ38" i="1" s="1"/>
  <c r="BA38" i="1" s="1"/>
  <c r="BB38" i="1" s="1"/>
  <c r="BC38" i="1" s="1"/>
  <c r="BD38" i="1" s="1"/>
  <c r="BE38" i="1" s="1"/>
  <c r="BF38" i="1" s="1"/>
  <c r="BG38" i="1" s="1"/>
  <c r="BH38" i="1" s="1"/>
  <c r="BI38" i="1" s="1"/>
  <c r="BJ38" i="1" s="1"/>
  <c r="BK38" i="1" s="1"/>
  <c r="BL38" i="1" s="1"/>
  <c r="BM38" i="1" s="1"/>
  <c r="BN38" i="1" s="1"/>
  <c r="BO38" i="1" s="1"/>
  <c r="BP38" i="1" s="1"/>
  <c r="BQ38" i="1" s="1"/>
  <c r="BR38" i="1" s="1"/>
  <c r="BS38" i="1" s="1"/>
  <c r="BT38" i="1" s="1"/>
  <c r="BU38" i="1" s="1"/>
  <c r="BV38" i="1" s="1"/>
  <c r="BW38" i="1" s="1"/>
  <c r="BX38" i="1" s="1"/>
  <c r="BY38" i="1" s="1"/>
  <c r="BZ38" i="1" s="1"/>
  <c r="CA38" i="1" s="1"/>
  <c r="CB38" i="1" s="1"/>
  <c r="CC38" i="1" s="1"/>
  <c r="CD38" i="1" s="1"/>
  <c r="CE38" i="1" s="1"/>
  <c r="CF38" i="1" s="1"/>
  <c r="CG38" i="1" s="1"/>
  <c r="CH38" i="1" s="1"/>
  <c r="CI38" i="1" s="1"/>
  <c r="CJ38" i="1" s="1"/>
  <c r="CK38" i="1" s="1"/>
  <c r="CL38" i="1" s="1"/>
  <c r="CM38" i="1" s="1"/>
  <c r="CN38" i="1" s="1"/>
  <c r="CO38" i="1" s="1"/>
  <c r="CP38" i="1" s="1"/>
  <c r="CQ38" i="1" s="1"/>
  <c r="CR38" i="1" s="1"/>
  <c r="CS38" i="1" s="1"/>
  <c r="CT38" i="1" s="1"/>
  <c r="CU38" i="1" s="1"/>
  <c r="CV38" i="1" s="1"/>
  <c r="CW38" i="1" s="1"/>
  <c r="CX38" i="1" s="1"/>
  <c r="CY38" i="1" s="1"/>
  <c r="CZ38" i="1" s="1"/>
  <c r="DA38" i="1" s="1"/>
  <c r="DB38" i="1" s="1"/>
  <c r="DC38" i="1" s="1"/>
  <c r="DD38" i="1" s="1"/>
  <c r="DE38" i="1" s="1"/>
  <c r="DF38" i="1" s="1"/>
  <c r="DG38" i="1" s="1"/>
  <c r="DH38" i="1" s="1"/>
  <c r="DI38" i="1" s="1"/>
  <c r="DJ38" i="1" s="1"/>
  <c r="AA53" i="1" l="1"/>
  <c r="AB53" i="1" s="1"/>
  <c r="AC53" i="1" s="1"/>
  <c r="AD53" i="1" s="1"/>
  <c r="AE53" i="1" s="1"/>
  <c r="AF53" i="1" s="1"/>
  <c r="AG53" i="1" s="1"/>
  <c r="AH53" i="1" s="1"/>
  <c r="AI53" i="1" s="1"/>
  <c r="AJ53" i="1" s="1"/>
  <c r="AK53" i="1" s="1"/>
  <c r="AL53" i="1" s="1"/>
  <c r="AM53" i="1" s="1"/>
  <c r="AN53" i="1" s="1"/>
  <c r="AO53" i="1" s="1"/>
  <c r="AP53" i="1" s="1"/>
  <c r="AQ53" i="1" s="1"/>
  <c r="AR53" i="1" s="1"/>
  <c r="AS53" i="1" s="1"/>
  <c r="AT53" i="1" s="1"/>
  <c r="AU53" i="1" s="1"/>
  <c r="AV53" i="1" s="1"/>
  <c r="AW53" i="1" s="1"/>
  <c r="AX53" i="1" s="1"/>
  <c r="AY53" i="1" s="1"/>
  <c r="AZ53" i="1" s="1"/>
  <c r="BA53" i="1" s="1"/>
  <c r="BB53" i="1" s="1"/>
  <c r="BC53" i="1" s="1"/>
  <c r="BD53" i="1" s="1"/>
  <c r="BE53" i="1" s="1"/>
  <c r="BF53" i="1" s="1"/>
  <c r="BG53" i="1" s="1"/>
  <c r="BH53" i="1" s="1"/>
  <c r="BI53" i="1" s="1"/>
  <c r="BJ53" i="1" s="1"/>
  <c r="BK53" i="1" s="1"/>
  <c r="BL53" i="1" s="1"/>
  <c r="BM53" i="1" s="1"/>
  <c r="BN53" i="1" s="1"/>
  <c r="BO53" i="1" s="1"/>
  <c r="BP53" i="1" s="1"/>
  <c r="BQ53" i="1" s="1"/>
  <c r="BR53" i="1" s="1"/>
  <c r="BS53" i="1" s="1"/>
  <c r="BT53" i="1" s="1"/>
  <c r="BU53" i="1" s="1"/>
  <c r="BV53" i="1" s="1"/>
  <c r="BW53" i="1" s="1"/>
  <c r="BX53" i="1" s="1"/>
  <c r="BY53" i="1" s="1"/>
  <c r="BZ53" i="1" s="1"/>
  <c r="CA53" i="1" s="1"/>
  <c r="CB53" i="1" s="1"/>
  <c r="CC53" i="1" s="1"/>
  <c r="CD53" i="1" s="1"/>
  <c r="CE53" i="1" s="1"/>
  <c r="CF53" i="1" s="1"/>
  <c r="CG53" i="1" s="1"/>
  <c r="CH53" i="1" s="1"/>
  <c r="CI53" i="1" s="1"/>
  <c r="CJ53" i="1" s="1"/>
  <c r="CK53" i="1" s="1"/>
  <c r="CL53" i="1" s="1"/>
  <c r="CM53" i="1" s="1"/>
  <c r="CN53" i="1" s="1"/>
  <c r="CO53" i="1" s="1"/>
  <c r="CP53" i="1" s="1"/>
  <c r="CQ53" i="1" s="1"/>
  <c r="CR53" i="1" s="1"/>
  <c r="CS53" i="1" s="1"/>
  <c r="CT53" i="1" s="1"/>
  <c r="CU53" i="1" s="1"/>
  <c r="CV53" i="1" s="1"/>
  <c r="CW53" i="1" s="1"/>
  <c r="CX53" i="1" s="1"/>
  <c r="CY53" i="1" s="1"/>
  <c r="CZ53" i="1" s="1"/>
  <c r="DA53" i="1" s="1"/>
  <c r="DB53" i="1" s="1"/>
  <c r="DC53" i="1" s="1"/>
  <c r="DD53" i="1" s="1"/>
  <c r="DE53" i="1" s="1"/>
  <c r="DF53" i="1" s="1"/>
  <c r="DG53" i="1" s="1"/>
  <c r="DH53" i="1" s="1"/>
  <c r="DI53" i="1" s="1"/>
  <c r="DJ53" i="1" s="1"/>
  <c r="AC44" i="1" s="1"/>
  <c r="AC45" i="1" s="1"/>
  <c r="D7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Maximilian Kutzer</author>
  </authors>
  <commentList>
    <comment ref="B24" authorId="0" shapeId="0" xr:uid="{D71B8223-38AB-4A17-8D26-55CB3B52AEBA}">
      <text>
        <r>
          <rPr>
            <b/>
            <sz val="9"/>
            <color indexed="81"/>
            <rFont val="Tahoma"/>
            <family val="2"/>
          </rPr>
          <t>Maximilian Kutzer:</t>
        </r>
        <r>
          <rPr>
            <sz val="9"/>
            <color indexed="81"/>
            <rFont val="Tahoma"/>
            <family val="2"/>
          </rPr>
          <t xml:space="preserve">
Bevor including royalty programs expenses
</t>
        </r>
      </text>
    </comment>
  </commentList>
</comments>
</file>

<file path=xl/sharedStrings.xml><?xml version="1.0" encoding="utf-8"?>
<sst xmlns="http://schemas.openxmlformats.org/spreadsheetml/2006/main" count="74" uniqueCount="70">
  <si>
    <t>Revenue</t>
  </si>
  <si>
    <t>Other</t>
  </si>
  <si>
    <t>Sales</t>
  </si>
  <si>
    <t>GOGS</t>
  </si>
  <si>
    <t>SG&amp;A</t>
  </si>
  <si>
    <t>D&amp;A</t>
  </si>
  <si>
    <t>Operating Income</t>
  </si>
  <si>
    <t>joint Venture</t>
  </si>
  <si>
    <t>Finance, net</t>
  </si>
  <si>
    <t>Pretax</t>
  </si>
  <si>
    <t>Taxes</t>
  </si>
  <si>
    <t>Net Income</t>
  </si>
  <si>
    <t>Profit</t>
  </si>
  <si>
    <t>H1</t>
  </si>
  <si>
    <t>H2</t>
  </si>
  <si>
    <t>Nom. Sales</t>
  </si>
  <si>
    <t>Gross Margin</t>
  </si>
  <si>
    <t>Net Margin</t>
  </si>
  <si>
    <t>Other expenses</t>
  </si>
  <si>
    <t>France</t>
  </si>
  <si>
    <t>Hypermarkets</t>
  </si>
  <si>
    <t>Supermarkets</t>
  </si>
  <si>
    <t>Convenience</t>
  </si>
  <si>
    <t>Spain</t>
  </si>
  <si>
    <t>Italy</t>
  </si>
  <si>
    <t>Belgium</t>
  </si>
  <si>
    <t>Romania</t>
  </si>
  <si>
    <t>Poland</t>
  </si>
  <si>
    <t>Other Europe</t>
  </si>
  <si>
    <t>Latin America</t>
  </si>
  <si>
    <t>Brazil</t>
  </si>
  <si>
    <t>Argentina</t>
  </si>
  <si>
    <t>Sales inc. VAT</t>
  </si>
  <si>
    <t>CFFO</t>
  </si>
  <si>
    <t>CapEx</t>
  </si>
  <si>
    <t>FCF</t>
  </si>
  <si>
    <t>PP&amp;E</t>
  </si>
  <si>
    <t>Cash</t>
  </si>
  <si>
    <t>Debt</t>
  </si>
  <si>
    <t>NAV</t>
  </si>
  <si>
    <t>VAT</t>
  </si>
  <si>
    <t>VAT %</t>
  </si>
  <si>
    <t>Discount</t>
  </si>
  <si>
    <t>Terminal</t>
  </si>
  <si>
    <t>Net Cash</t>
  </si>
  <si>
    <t>Value</t>
  </si>
  <si>
    <t>Price</t>
  </si>
  <si>
    <t>Current</t>
  </si>
  <si>
    <t>EPS</t>
  </si>
  <si>
    <t>Shares</t>
  </si>
  <si>
    <t>Dividends Paid</t>
  </si>
  <si>
    <t>Dividend Ratio</t>
  </si>
  <si>
    <t xml:space="preserve">Minority </t>
  </si>
  <si>
    <t>Group Income</t>
  </si>
  <si>
    <t>MC</t>
  </si>
  <si>
    <t>EV</t>
  </si>
  <si>
    <t>EV/FCF</t>
  </si>
  <si>
    <t>FCF Yield</t>
  </si>
  <si>
    <t>Cost of Debt</t>
  </si>
  <si>
    <t>Finance Cost</t>
  </si>
  <si>
    <t>Lease Interest</t>
  </si>
  <si>
    <t>Payments related to leases</t>
  </si>
  <si>
    <t>Debt Cost</t>
  </si>
  <si>
    <t>Share Buybacks</t>
  </si>
  <si>
    <t>SV Created</t>
  </si>
  <si>
    <t>SV Yield</t>
  </si>
  <si>
    <t>FCFF</t>
  </si>
  <si>
    <t>NPV</t>
  </si>
  <si>
    <t>Other Ex Italy</t>
  </si>
  <si>
    <t>Asset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</si>
</sst>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#,##0.0"/>
    <numFmt numFmtId="166" formatCode="#,##0.000"/>
    <numFmt numFmtId="167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3" fontId="0" fillId="0" borderId="0" xfId="0" applyNumberFormat="1"/>
    <xf numFmtId="3" fontId="2" fillId="0" borderId="0" xfId="0" applyNumberFormat="1" applyFont="1" applyAlignment="1">
      <alignment horizontal="left"/>
    </xf>
    <xf numFmtId="3" fontId="0" fillId="0" borderId="0" xfId="0" applyNumberFormat="1" applyAlignment="1">
      <alignment horizontal="left"/>
    </xf>
    <xf numFmtId="3" fontId="2" fillId="0" borderId="0" xfId="0" applyNumberFormat="1" applyFont="1"/>
    <xf numFmtId="9" fontId="0" fillId="0" borderId="0" xfId="1" applyFont="1"/>
    <xf numFmtId="164" fontId="0" fillId="0" borderId="0" xfId="1" applyNumberFormat="1" applyFont="1"/>
    <xf numFmtId="0" fontId="0" fillId="0" borderId="0" xfId="0" applyAlignment="1">
      <alignment horizontal="left"/>
    </xf>
    <xf numFmtId="165" fontId="0" fillId="0" borderId="0" xfId="0" applyNumberFormat="1"/>
    <xf numFmtId="4" fontId="0" fillId="0" borderId="0" xfId="0" applyNumberFormat="1"/>
    <xf numFmtId="166" fontId="0" fillId="0" borderId="0" xfId="0" applyNumberFormat="1"/>
    <xf numFmtId="3" fontId="0" fillId="0" borderId="0" xfId="1" applyNumberFormat="1" applyFont="1"/>
    <xf numFmtId="165" fontId="2" fillId="0" borderId="0" xfId="0" applyNumberFormat="1" applyFont="1"/>
    <xf numFmtId="167" fontId="0" fillId="0" borderId="0" xfId="0" applyNumberFormat="1"/>
    <xf numFmtId="3" fontId="0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5953</xdr:colOff>
      <xdr:row>2</xdr:row>
      <xdr:rowOff>202405</xdr:rowOff>
    </xdr:from>
    <xdr:to>
      <xdr:col>16</xdr:col>
      <xdr:colOff>5953</xdr:colOff>
      <xdr:row>62</xdr:row>
      <xdr:rowOff>119061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8898243-A220-B7B0-0F74-FCE86B601A86}"/>
            </a:ext>
          </a:extLst>
        </xdr:cNvPr>
        <xdr:cNvCxnSpPr/>
      </xdr:nvCxnSpPr>
      <xdr:spPr>
        <a:xfrm>
          <a:off x="9828609" y="583405"/>
          <a:ext cx="0" cy="1184671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61545-00B6-4E34-8A66-68F1BD0FA7BB}">
  <dimension ref="C3:D16"/>
  <sheetViews>
    <sheetView tabSelected="1" zoomScale="145" zoomScaleNormal="145" workbookViewId="0">
      <selection activeCell="H5" sqref="H5"/>
    </sheetView>
  </sheetViews>
  <sheetFormatPr defaultRowHeight="15" x14ac:dyDescent="0.25"/>
  <cols>
    <col min="3" max="3" width="9.7109375" bestFit="1" customWidth="1"/>
  </cols>
  <sheetData>
    <row r="3" spans="3:4" x14ac:dyDescent="0.25">
      <c r="C3" t="s">
        <v>47</v>
      </c>
      <c r="D3">
        <v>14.85</v>
      </c>
    </row>
    <row r="4" spans="3:4" x14ac:dyDescent="0.25">
      <c r="C4" t="s">
        <v>49</v>
      </c>
      <c r="D4" s="1">
        <f>+Model!W42</f>
        <v>683</v>
      </c>
    </row>
    <row r="5" spans="3:4" x14ac:dyDescent="0.25">
      <c r="C5" t="s">
        <v>54</v>
      </c>
      <c r="D5">
        <f>+D3*D4</f>
        <v>10142.549999999999</v>
      </c>
    </row>
    <row r="6" spans="3:4" x14ac:dyDescent="0.25">
      <c r="C6" t="s">
        <v>44</v>
      </c>
      <c r="D6" s="1">
        <f>+Model!AC43</f>
        <v>-4154</v>
      </c>
    </row>
    <row r="7" spans="3:4" x14ac:dyDescent="0.25">
      <c r="C7" t="s">
        <v>55</v>
      </c>
      <c r="D7" s="1">
        <f>+D5-D6</f>
        <v>14296.55</v>
      </c>
    </row>
    <row r="9" spans="3:4" x14ac:dyDescent="0.25">
      <c r="C9" t="s">
        <v>56</v>
      </c>
      <c r="D9" s="13">
        <f>+D7/Model!Q52</f>
        <v>12.413911166490914</v>
      </c>
    </row>
    <row r="10" spans="3:4" x14ac:dyDescent="0.25">
      <c r="D10" s="6"/>
    </row>
    <row r="11" spans="3:4" x14ac:dyDescent="0.25">
      <c r="C11" t="s">
        <v>57</v>
      </c>
      <c r="D11" s="6">
        <f>1/D9</f>
        <v>8.0554789428437135E-2</v>
      </c>
    </row>
    <row r="12" spans="3:4" x14ac:dyDescent="0.25">
      <c r="C12" t="s">
        <v>65</v>
      </c>
      <c r="D12" s="6">
        <f>+Model!P63/Main!D7</f>
        <v>6.099373625105358E-2</v>
      </c>
    </row>
    <row r="13" spans="3:4" x14ac:dyDescent="0.25">
      <c r="D13" s="5"/>
    </row>
    <row r="15" spans="3:4" x14ac:dyDescent="0.25">
      <c r="D15" s="13"/>
    </row>
    <row r="16" spans="3:4" x14ac:dyDescent="0.25">
      <c r="D16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D3900-3308-4FDF-BC1C-47C6387E8516}">
  <dimension ref="B1:DJ68"/>
  <sheetViews>
    <sheetView zoomScale="160" zoomScaleNormal="160" workbookViewId="0">
      <pane xSplit="2" ySplit="2" topLeftCell="O50" activePane="bottomRight" state="frozen"/>
      <selection pane="topRight" activeCell="C1" sqref="C1"/>
      <selection pane="bottomLeft" activeCell="A3" sqref="A3"/>
      <selection pane="bottomRight" activeCell="AC43" sqref="AC43"/>
    </sheetView>
  </sheetViews>
  <sheetFormatPr defaultRowHeight="15" x14ac:dyDescent="0.25"/>
  <cols>
    <col min="1" max="1" width="2.85546875" style="1" customWidth="1"/>
    <col min="2" max="2" width="17" style="1" bestFit="1" customWidth="1"/>
    <col min="3" max="16384" width="9.140625" style="1"/>
  </cols>
  <sheetData>
    <row r="1" spans="2:26" x14ac:dyDescent="0.25">
      <c r="C1" s="2">
        <v>23</v>
      </c>
      <c r="D1" s="2"/>
      <c r="E1" s="2">
        <v>24</v>
      </c>
      <c r="F1" s="3"/>
    </row>
    <row r="2" spans="2:26" customFormat="1" x14ac:dyDescent="0.25">
      <c r="C2" s="7" t="s">
        <v>13</v>
      </c>
      <c r="D2" s="7" t="s">
        <v>14</v>
      </c>
      <c r="E2" s="7" t="s">
        <v>13</v>
      </c>
      <c r="F2" s="7" t="s">
        <v>14</v>
      </c>
      <c r="L2">
        <v>2021</v>
      </c>
      <c r="M2">
        <f>+L2+1</f>
        <v>2022</v>
      </c>
      <c r="N2">
        <f>+M2+1</f>
        <v>2023</v>
      </c>
      <c r="O2">
        <f t="shared" ref="O2:W2" si="0">+N2+1</f>
        <v>2024</v>
      </c>
      <c r="P2">
        <f t="shared" si="0"/>
        <v>2025</v>
      </c>
      <c r="Q2">
        <f t="shared" si="0"/>
        <v>2026</v>
      </c>
      <c r="R2">
        <f t="shared" si="0"/>
        <v>2027</v>
      </c>
      <c r="S2">
        <f t="shared" si="0"/>
        <v>2028</v>
      </c>
      <c r="T2">
        <f t="shared" si="0"/>
        <v>2029</v>
      </c>
      <c r="U2">
        <f t="shared" si="0"/>
        <v>2030</v>
      </c>
      <c r="V2">
        <f t="shared" si="0"/>
        <v>2031</v>
      </c>
      <c r="W2">
        <f t="shared" si="0"/>
        <v>2032</v>
      </c>
      <c r="X2">
        <f t="shared" ref="X2" si="1">+W2+1</f>
        <v>2033</v>
      </c>
      <c r="Y2">
        <f t="shared" ref="Y2:Z2" si="2">+X2+1</f>
        <v>2034</v>
      </c>
      <c r="Z2">
        <f t="shared" si="2"/>
        <v>2035</v>
      </c>
    </row>
    <row r="3" spans="2:26" ht="16.5" x14ac:dyDescent="0.25">
      <c r="M3" s="10"/>
      <c r="N3" s="10"/>
    </row>
    <row r="4" spans="2:26" s="4" customFormat="1" x14ac:dyDescent="0.25">
      <c r="B4" s="4" t="s">
        <v>19</v>
      </c>
      <c r="L4" s="4">
        <f>+L5+L6+L7</f>
        <v>39341</v>
      </c>
      <c r="M4" s="4">
        <f>+M5+M6+M7</f>
        <v>42010</v>
      </c>
      <c r="N4" s="4">
        <f>+N5+N6+N7</f>
        <v>42518</v>
      </c>
      <c r="O4" s="4">
        <f>+O5+O6+O7</f>
        <v>43960</v>
      </c>
      <c r="P4" s="4">
        <v>46301</v>
      </c>
      <c r="Q4" s="4">
        <f t="shared" ref="Q4:W4" si="3">+P4*1.015</f>
        <v>46995.514999999992</v>
      </c>
      <c r="R4" s="4">
        <f t="shared" si="3"/>
        <v>47700.447724999991</v>
      </c>
      <c r="S4" s="4">
        <f t="shared" si="3"/>
        <v>48415.954440874986</v>
      </c>
      <c r="T4" s="4">
        <f t="shared" si="3"/>
        <v>49142.193757488109</v>
      </c>
      <c r="U4" s="4">
        <f t="shared" si="3"/>
        <v>49879.326663850428</v>
      </c>
      <c r="V4" s="4">
        <f t="shared" si="3"/>
        <v>50627.516563808182</v>
      </c>
      <c r="W4" s="4">
        <f t="shared" si="3"/>
        <v>51386.929312265296</v>
      </c>
      <c r="X4" s="4">
        <f t="shared" ref="X4" si="4">+W4*1.015</f>
        <v>52157.73325194927</v>
      </c>
      <c r="Y4" s="4">
        <f t="shared" ref="Y4" si="5">+X4*1.015</f>
        <v>52940.099250728505</v>
      </c>
      <c r="Z4" s="4">
        <f t="shared" ref="Z4" si="6">+Y4*1.015</f>
        <v>53734.200739489424</v>
      </c>
    </row>
    <row r="5" spans="2:26" ht="16.5" x14ac:dyDescent="0.25">
      <c r="B5" s="1" t="s">
        <v>20</v>
      </c>
      <c r="L5" s="1">
        <v>19648</v>
      </c>
      <c r="M5" s="1">
        <v>20728</v>
      </c>
      <c r="N5" s="1">
        <v>20702</v>
      </c>
      <c r="O5" s="1">
        <v>21560</v>
      </c>
      <c r="P5" s="1">
        <v>22998</v>
      </c>
    </row>
    <row r="6" spans="2:26" ht="16.5" x14ac:dyDescent="0.25">
      <c r="B6" s="1" t="s">
        <v>21</v>
      </c>
      <c r="L6" s="1">
        <v>13224</v>
      </c>
      <c r="M6" s="1">
        <v>13880</v>
      </c>
      <c r="N6" s="1">
        <v>14097</v>
      </c>
      <c r="O6" s="1">
        <v>14603</v>
      </c>
      <c r="P6" s="1">
        <v>15123</v>
      </c>
    </row>
    <row r="7" spans="2:26" ht="16.5" x14ac:dyDescent="0.25">
      <c r="B7" s="1" t="s">
        <v>22</v>
      </c>
      <c r="L7" s="1">
        <v>6469</v>
      </c>
      <c r="M7" s="1">
        <v>7402</v>
      </c>
      <c r="N7" s="1">
        <v>7719</v>
      </c>
      <c r="O7" s="1">
        <v>7797</v>
      </c>
      <c r="P7" s="1">
        <v>8180</v>
      </c>
    </row>
    <row r="8" spans="2:26" ht="16.5" x14ac:dyDescent="0.25">
      <c r="M8" s="10"/>
      <c r="N8" s="10"/>
    </row>
    <row r="9" spans="2:26" x14ac:dyDescent="0.25">
      <c r="B9" s="1" t="s">
        <v>68</v>
      </c>
      <c r="L9" s="1">
        <f>+L10-L12</f>
        <v>19246</v>
      </c>
      <c r="M9" s="1">
        <f t="shared" ref="M9:O9" si="7">+M10-M12</f>
        <v>20668</v>
      </c>
      <c r="N9" s="1">
        <f t="shared" si="7"/>
        <v>21630</v>
      </c>
      <c r="O9" s="1">
        <f t="shared" si="7"/>
        <v>21854</v>
      </c>
    </row>
    <row r="10" spans="2:26" s="4" customFormat="1" x14ac:dyDescent="0.25">
      <c r="B10" s="4" t="s">
        <v>28</v>
      </c>
      <c r="L10" s="4">
        <f>+SUM(L11:L15)</f>
        <v>23662</v>
      </c>
      <c r="M10" s="4">
        <f>+SUM(M11:M15)</f>
        <v>25068</v>
      </c>
      <c r="N10" s="4">
        <f>+SUM(N11:N15)</f>
        <v>26028</v>
      </c>
      <c r="O10" s="4">
        <f>+SUM(O11:O15)</f>
        <v>26042</v>
      </c>
      <c r="P10" s="4">
        <v>21889</v>
      </c>
      <c r="Q10" s="4">
        <f t="shared" ref="Q10:Z10" si="8">+P10*1.005</f>
        <v>21998.444999999996</v>
      </c>
      <c r="R10" s="4">
        <f t="shared" si="8"/>
        <v>22108.437224999994</v>
      </c>
      <c r="S10" s="4">
        <f t="shared" si="8"/>
        <v>22218.97941112499</v>
      </c>
      <c r="T10" s="4">
        <f t="shared" si="8"/>
        <v>22330.074308180614</v>
      </c>
      <c r="U10" s="4">
        <f t="shared" si="8"/>
        <v>22441.724679721516</v>
      </c>
      <c r="V10" s="4">
        <f t="shared" si="8"/>
        <v>22553.93330312012</v>
      </c>
      <c r="W10" s="4">
        <f t="shared" si="8"/>
        <v>22666.70296963572</v>
      </c>
      <c r="X10" s="4">
        <f t="shared" si="8"/>
        <v>22780.036484483895</v>
      </c>
      <c r="Y10" s="4">
        <f t="shared" si="8"/>
        <v>22893.936666906313</v>
      </c>
      <c r="Z10" s="4">
        <f t="shared" si="8"/>
        <v>23008.406350240843</v>
      </c>
    </row>
    <row r="11" spans="2:26" ht="16.5" x14ac:dyDescent="0.25">
      <c r="B11" s="1" t="s">
        <v>23</v>
      </c>
      <c r="L11" s="1">
        <v>10471</v>
      </c>
      <c r="M11" s="1">
        <v>11498</v>
      </c>
      <c r="N11" s="1">
        <v>11821</v>
      </c>
      <c r="O11" s="1">
        <v>11728</v>
      </c>
      <c r="P11" s="1">
        <v>11903</v>
      </c>
    </row>
    <row r="12" spans="2:26" ht="16.5" x14ac:dyDescent="0.25">
      <c r="B12" s="1" t="s">
        <v>24</v>
      </c>
      <c r="L12" s="1">
        <v>4416</v>
      </c>
      <c r="M12" s="1">
        <v>4400</v>
      </c>
      <c r="N12" s="1">
        <v>4398</v>
      </c>
      <c r="O12" s="1">
        <v>4188</v>
      </c>
    </row>
    <row r="13" spans="2:26" ht="16.5" x14ac:dyDescent="0.25">
      <c r="B13" s="1" t="s">
        <v>25</v>
      </c>
      <c r="L13" s="1">
        <v>4307</v>
      </c>
      <c r="M13" s="1">
        <v>4261</v>
      </c>
      <c r="N13" s="1">
        <v>4584</v>
      </c>
      <c r="O13" s="1">
        <v>4532</v>
      </c>
      <c r="P13" s="1">
        <v>4427</v>
      </c>
    </row>
    <row r="14" spans="2:26" ht="16.5" x14ac:dyDescent="0.25">
      <c r="B14" s="1" t="s">
        <v>26</v>
      </c>
      <c r="L14" s="1">
        <v>2110</v>
      </c>
      <c r="M14" s="1">
        <v>2290</v>
      </c>
      <c r="N14" s="1">
        <v>2900</v>
      </c>
      <c r="O14" s="1">
        <v>3190</v>
      </c>
      <c r="P14" s="1">
        <v>3175</v>
      </c>
    </row>
    <row r="15" spans="2:26" ht="16.5" x14ac:dyDescent="0.25">
      <c r="B15" s="1" t="s">
        <v>27</v>
      </c>
      <c r="L15" s="1">
        <v>2358</v>
      </c>
      <c r="M15" s="1">
        <v>2619</v>
      </c>
      <c r="N15" s="1">
        <v>2325</v>
      </c>
      <c r="O15" s="1">
        <v>2404</v>
      </c>
      <c r="P15" s="1">
        <v>2384</v>
      </c>
    </row>
    <row r="16" spans="2:26" x14ac:dyDescent="0.25">
      <c r="M16" s="10"/>
      <c r="N16" s="10"/>
    </row>
    <row r="17" spans="2:26" s="4" customFormat="1" x14ac:dyDescent="0.25">
      <c r="B17" s="4" t="s">
        <v>29</v>
      </c>
      <c r="L17" s="4">
        <f>+L18+L19</f>
        <v>15292</v>
      </c>
      <c r="M17" s="4">
        <f>+M18+M19</f>
        <v>23842</v>
      </c>
      <c r="N17" s="4">
        <f>+N18+N19</f>
        <v>25586</v>
      </c>
      <c r="O17" s="4">
        <f>+O18+O19</f>
        <v>24549</v>
      </c>
      <c r="P17" s="4">
        <v>23293</v>
      </c>
      <c r="Q17" s="4">
        <f>+P17*1.03</f>
        <v>23991.79</v>
      </c>
      <c r="R17" s="4">
        <f t="shared" ref="R17:W17" si="9">+Q17*1.03</f>
        <v>24711.543700000002</v>
      </c>
      <c r="S17" s="4">
        <f t="shared" si="9"/>
        <v>25452.890011000003</v>
      </c>
      <c r="T17" s="4">
        <f t="shared" si="9"/>
        <v>26216.476711330004</v>
      </c>
      <c r="U17" s="4">
        <f t="shared" si="9"/>
        <v>27002.971012669906</v>
      </c>
      <c r="V17" s="4">
        <f t="shared" si="9"/>
        <v>27813.060143050003</v>
      </c>
      <c r="W17" s="4">
        <f t="shared" si="9"/>
        <v>28647.451947341502</v>
      </c>
      <c r="X17" s="4">
        <f t="shared" ref="X17" si="10">+W17*1.03</f>
        <v>29506.875505761749</v>
      </c>
      <c r="Y17" s="4">
        <f t="shared" ref="Y17" si="11">+X17*1.03</f>
        <v>30392.081770934601</v>
      </c>
      <c r="Z17" s="4">
        <f t="shared" ref="Z17" si="12">+Y17*1.03</f>
        <v>31303.844224062639</v>
      </c>
    </row>
    <row r="18" spans="2:26" ht="16.5" x14ac:dyDescent="0.25">
      <c r="B18" s="1" t="s">
        <v>30</v>
      </c>
      <c r="L18" s="1">
        <v>12754</v>
      </c>
      <c r="M18" s="1">
        <v>20021</v>
      </c>
      <c r="N18" s="1">
        <v>21393</v>
      </c>
      <c r="O18" s="1">
        <v>20717</v>
      </c>
      <c r="P18" s="1">
        <v>19585</v>
      </c>
    </row>
    <row r="19" spans="2:26" ht="16.5" x14ac:dyDescent="0.25">
      <c r="B19" s="1" t="s">
        <v>31</v>
      </c>
      <c r="L19" s="1">
        <v>2538</v>
      </c>
      <c r="M19" s="1">
        <v>3821</v>
      </c>
      <c r="N19" s="1">
        <v>4193</v>
      </c>
      <c r="O19" s="1">
        <v>3832</v>
      </c>
      <c r="P19" s="1">
        <v>3708</v>
      </c>
    </row>
    <row r="21" spans="2:26" ht="16.5" x14ac:dyDescent="0.25">
      <c r="B21" s="1" t="s">
        <v>32</v>
      </c>
      <c r="L21" s="1">
        <f>+L17+L10+L4</f>
        <v>78295</v>
      </c>
      <c r="M21" s="1">
        <f>+M17+M10+M4</f>
        <v>90920</v>
      </c>
      <c r="N21" s="1">
        <f>+N17+N10+N4</f>
        <v>94132</v>
      </c>
      <c r="O21" s="1">
        <f>+O17+O10+O4</f>
        <v>94551</v>
      </c>
      <c r="P21" s="1">
        <f>+P17+P10+P4</f>
        <v>91483</v>
      </c>
      <c r="Q21" s="1">
        <f>+Q17+Q10+Q4</f>
        <v>92985.75</v>
      </c>
      <c r="R21" s="1">
        <f>+R17+R10+R4</f>
        <v>94520.428649999987</v>
      </c>
      <c r="S21" s="1">
        <f>+S17+S10+S4</f>
        <v>96087.823862999969</v>
      </c>
      <c r="T21" s="1">
        <f>+T17+T10+T4</f>
        <v>97688.744776998734</v>
      </c>
      <c r="U21" s="1">
        <f>+U17+U10+U4</f>
        <v>99324.022356241854</v>
      </c>
      <c r="V21" s="1">
        <f>+V17+V10+V4</f>
        <v>100994.5100099783</v>
      </c>
      <c r="W21" s="1">
        <f>+W17+W10+W4</f>
        <v>102701.08422924252</v>
      </c>
      <c r="X21" s="1">
        <f>+X17+X10+X4</f>
        <v>104444.64524219491</v>
      </c>
      <c r="Y21" s="1">
        <f>+Y17+Y10+Y4</f>
        <v>106226.11768856941</v>
      </c>
      <c r="Z21" s="1">
        <f>+Z17+Z10+Z4</f>
        <v>108046.4513137929</v>
      </c>
    </row>
    <row r="22" spans="2:26" x14ac:dyDescent="0.25">
      <c r="B22" s="1" t="s">
        <v>40</v>
      </c>
      <c r="L22" s="1">
        <f>+L21-L24</f>
        <v>5337</v>
      </c>
      <c r="M22" s="1">
        <f>+M21-M24</f>
        <v>9535</v>
      </c>
      <c r="N22" s="1">
        <f>+N21-N24</f>
        <v>10862</v>
      </c>
      <c r="O22" s="1">
        <f>+O21-O24</f>
        <v>9106</v>
      </c>
      <c r="P22" s="1">
        <f>+P21-P24</f>
        <v>9381</v>
      </c>
      <c r="Q22" s="1">
        <f t="shared" ref="Q22:W22" si="13">+Q23*Q21</f>
        <v>9298.5750000000007</v>
      </c>
      <c r="R22" s="1">
        <f t="shared" si="13"/>
        <v>9452.0428649999994</v>
      </c>
      <c r="S22" s="1">
        <f t="shared" si="13"/>
        <v>9608.7823862999976</v>
      </c>
      <c r="T22" s="1">
        <f t="shared" si="13"/>
        <v>9768.8744776998738</v>
      </c>
      <c r="U22" s="1">
        <f t="shared" si="13"/>
        <v>9932.4022356241858</v>
      </c>
      <c r="V22" s="1">
        <f t="shared" si="13"/>
        <v>10099.451000997831</v>
      </c>
      <c r="W22" s="1">
        <f t="shared" si="13"/>
        <v>10270.108422924253</v>
      </c>
      <c r="X22" s="1">
        <f t="shared" ref="X22:Z22" si="14">+X23*X21</f>
        <v>10444.464524219491</v>
      </c>
      <c r="Y22" s="1">
        <f t="shared" si="14"/>
        <v>10622.611768856943</v>
      </c>
      <c r="Z22" s="1">
        <f t="shared" si="14"/>
        <v>10804.645131379291</v>
      </c>
    </row>
    <row r="23" spans="2:26" x14ac:dyDescent="0.25">
      <c r="B23" s="1" t="s">
        <v>41</v>
      </c>
      <c r="L23" s="5">
        <f>+L22/L21</f>
        <v>6.8165272367328694E-2</v>
      </c>
      <c r="M23" s="5">
        <f>+M22/M21</f>
        <v>0.10487241531016278</v>
      </c>
      <c r="N23" s="5">
        <f>+N22/N21</f>
        <v>0.11539115284919049</v>
      </c>
      <c r="O23" s="5">
        <f>+O22/O21</f>
        <v>9.6307812714831145E-2</v>
      </c>
      <c r="P23" s="5">
        <f>+P22/P21</f>
        <v>0.10254364198812894</v>
      </c>
      <c r="Q23" s="5">
        <v>0.1</v>
      </c>
      <c r="R23" s="5">
        <v>0.1</v>
      </c>
      <c r="S23" s="5">
        <v>0.1</v>
      </c>
      <c r="T23" s="5">
        <v>0.1</v>
      </c>
      <c r="U23" s="5">
        <v>0.1</v>
      </c>
      <c r="V23" s="5">
        <v>0.1</v>
      </c>
      <c r="W23" s="5">
        <v>0.1</v>
      </c>
      <c r="X23" s="5">
        <v>0.1</v>
      </c>
      <c r="Y23" s="5">
        <v>0.1</v>
      </c>
      <c r="Z23" s="5">
        <v>0.1</v>
      </c>
    </row>
    <row r="24" spans="2:26" ht="16.5" x14ac:dyDescent="0.25">
      <c r="B24" s="1" t="s">
        <v>15</v>
      </c>
      <c r="C24" s="1">
        <v>40743</v>
      </c>
      <c r="D24" s="1">
        <f>+N24-C24</f>
        <v>42527</v>
      </c>
      <c r="E24" s="1">
        <v>40619</v>
      </c>
      <c r="L24" s="1">
        <v>72958</v>
      </c>
      <c r="M24" s="1">
        <v>81385</v>
      </c>
      <c r="N24" s="1">
        <v>83270</v>
      </c>
      <c r="O24" s="1">
        <v>85445</v>
      </c>
      <c r="P24" s="1">
        <v>82102</v>
      </c>
      <c r="Q24" s="1">
        <f t="shared" ref="Q24:W24" si="15">+Q21-Q22</f>
        <v>83687.175000000003</v>
      </c>
      <c r="R24" s="1">
        <f t="shared" si="15"/>
        <v>85068.385784999991</v>
      </c>
      <c r="S24" s="1">
        <f t="shared" si="15"/>
        <v>86479.041476699975</v>
      </c>
      <c r="T24" s="1">
        <f t="shared" si="15"/>
        <v>87919.870299298855</v>
      </c>
      <c r="U24" s="1">
        <f t="shared" si="15"/>
        <v>89391.620120617663</v>
      </c>
      <c r="V24" s="1">
        <f t="shared" si="15"/>
        <v>90895.059008980475</v>
      </c>
      <c r="W24" s="1">
        <f t="shared" si="15"/>
        <v>92430.975806318267</v>
      </c>
      <c r="X24" s="1">
        <f t="shared" ref="X24:Z24" si="16">+X21-X22</f>
        <v>94000.180717975411</v>
      </c>
      <c r="Y24" s="1">
        <f t="shared" si="16"/>
        <v>95603.505919712479</v>
      </c>
      <c r="Z24" s="1">
        <f t="shared" si="16"/>
        <v>97241.806182413609</v>
      </c>
    </row>
    <row r="25" spans="2:26" x14ac:dyDescent="0.25">
      <c r="B25" s="1" t="s">
        <v>2</v>
      </c>
      <c r="C25" s="1">
        <v>40302</v>
      </c>
      <c r="D25" s="1">
        <f>+N25-C25</f>
        <v>41974</v>
      </c>
      <c r="E25" s="1">
        <v>40159</v>
      </c>
      <c r="L25" s="1">
        <v>72105</v>
      </c>
      <c r="M25" s="1">
        <v>80543</v>
      </c>
      <c r="N25" s="1">
        <v>82276</v>
      </c>
      <c r="O25" s="1">
        <v>84526</v>
      </c>
      <c r="P25" s="1">
        <v>81149</v>
      </c>
      <c r="Q25" s="1">
        <f t="shared" ref="Q25:W25" si="17">+Q24*0.985</f>
        <v>82431.867375000002</v>
      </c>
      <c r="R25" s="1">
        <f t="shared" si="17"/>
        <v>83792.359998224987</v>
      </c>
      <c r="S25" s="1">
        <f t="shared" si="17"/>
        <v>85181.855854549474</v>
      </c>
      <c r="T25" s="1">
        <f t="shared" si="17"/>
        <v>86601.072244809373</v>
      </c>
      <c r="U25" s="1">
        <f t="shared" si="17"/>
        <v>88050.745818808398</v>
      </c>
      <c r="V25" s="1">
        <f t="shared" si="17"/>
        <v>89531.633123845764</v>
      </c>
      <c r="W25" s="1">
        <f t="shared" si="17"/>
        <v>91044.511169223493</v>
      </c>
      <c r="X25" s="1">
        <f t="shared" ref="X25:Z25" si="18">+X24*0.985</f>
        <v>92590.178007205774</v>
      </c>
      <c r="Y25" s="1">
        <f t="shared" si="18"/>
        <v>94169.453330916789</v>
      </c>
      <c r="Z25" s="1">
        <f t="shared" si="18"/>
        <v>95783.179089677404</v>
      </c>
    </row>
    <row r="26" spans="2:26" ht="16.5" x14ac:dyDescent="0.25">
      <c r="B26" s="1" t="s">
        <v>1</v>
      </c>
      <c r="C26" s="1">
        <v>1287</v>
      </c>
      <c r="D26" s="1">
        <f>+N26-C26</f>
        <v>1345</v>
      </c>
      <c r="E26" s="1">
        <v>1343</v>
      </c>
      <c r="L26" s="1">
        <v>2181</v>
      </c>
      <c r="M26" s="1">
        <v>2546</v>
      </c>
      <c r="N26" s="1">
        <v>2632</v>
      </c>
      <c r="O26" s="1">
        <v>2744</v>
      </c>
      <c r="P26" s="1">
        <v>2876</v>
      </c>
      <c r="Q26" s="1">
        <f t="shared" ref="Q26:W26" si="19">+P26*1.02</f>
        <v>2933.52</v>
      </c>
      <c r="R26" s="1">
        <f t="shared" si="19"/>
        <v>2992.1904</v>
      </c>
      <c r="S26" s="1">
        <f t="shared" si="19"/>
        <v>3052.034208</v>
      </c>
      <c r="T26" s="1">
        <f t="shared" si="19"/>
        <v>3113.0748921600002</v>
      </c>
      <c r="U26" s="1">
        <f t="shared" si="19"/>
        <v>3175.3363900032004</v>
      </c>
      <c r="V26" s="1">
        <f t="shared" si="19"/>
        <v>3238.8431178032647</v>
      </c>
      <c r="W26" s="1">
        <f t="shared" si="19"/>
        <v>3303.6199801593302</v>
      </c>
      <c r="X26" s="1">
        <f t="shared" ref="X26" si="20">+W26*1.02</f>
        <v>3369.6923797625168</v>
      </c>
      <c r="Y26" s="1">
        <f t="shared" ref="Y26" si="21">+X26*1.02</f>
        <v>3437.0862273577673</v>
      </c>
      <c r="Z26" s="1">
        <f t="shared" ref="Z26" si="22">+Y26*1.02</f>
        <v>3505.8279519049229</v>
      </c>
    </row>
    <row r="27" spans="2:26" s="4" customFormat="1" x14ac:dyDescent="0.25">
      <c r="B27" s="4" t="s">
        <v>0</v>
      </c>
      <c r="C27" s="4">
        <f>+C25+C26</f>
        <v>41589</v>
      </c>
      <c r="D27" s="4">
        <f>+D25+D26</f>
        <v>43319</v>
      </c>
      <c r="E27" s="4">
        <f>+E25+E26</f>
        <v>41502</v>
      </c>
      <c r="F27" s="4">
        <f>+F25+F26</f>
        <v>0</v>
      </c>
      <c r="L27" s="4">
        <f>+L25+L26</f>
        <v>74286</v>
      </c>
      <c r="M27" s="4">
        <f>+M25+M26</f>
        <v>83089</v>
      </c>
      <c r="N27" s="4">
        <f>+N25+N26</f>
        <v>84908</v>
      </c>
      <c r="O27" s="4">
        <f>+O25+O26</f>
        <v>87270</v>
      </c>
      <c r="P27" s="4">
        <f t="shared" ref="P27:W27" si="23">+P25+P26</f>
        <v>84025</v>
      </c>
      <c r="Q27" s="4">
        <f t="shared" si="23"/>
        <v>85365.387375000006</v>
      </c>
      <c r="R27" s="4">
        <f t="shared" si="23"/>
        <v>86784.550398224994</v>
      </c>
      <c r="S27" s="4">
        <f t="shared" si="23"/>
        <v>88233.890062549472</v>
      </c>
      <c r="T27" s="4">
        <f t="shared" si="23"/>
        <v>89714.147136969375</v>
      </c>
      <c r="U27" s="4">
        <f t="shared" si="23"/>
        <v>91226.082208811597</v>
      </c>
      <c r="V27" s="4">
        <f t="shared" si="23"/>
        <v>92770.476241649027</v>
      </c>
      <c r="W27" s="4">
        <f t="shared" si="23"/>
        <v>94348.131149382825</v>
      </c>
      <c r="X27" s="4">
        <f t="shared" ref="X27:Z27" si="24">+X25+X26</f>
        <v>95959.870386968294</v>
      </c>
      <c r="Y27" s="4">
        <f t="shared" si="24"/>
        <v>97606.539558274555</v>
      </c>
      <c r="Z27" s="4">
        <f t="shared" si="24"/>
        <v>99289.007041582328</v>
      </c>
    </row>
    <row r="28" spans="2:26" ht="16.5" x14ac:dyDescent="0.25">
      <c r="B28" s="1" t="s">
        <v>3</v>
      </c>
      <c r="C28" s="1">
        <v>33515</v>
      </c>
      <c r="D28" s="1">
        <f>+N28-C28</f>
        <v>34763</v>
      </c>
      <c r="E28" s="1">
        <v>33604</v>
      </c>
      <c r="L28" s="1">
        <v>58766</v>
      </c>
      <c r="M28" s="1">
        <v>66776</v>
      </c>
      <c r="N28" s="1">
        <v>68278</v>
      </c>
      <c r="O28" s="1">
        <v>70302</v>
      </c>
      <c r="P28" s="1">
        <v>68001</v>
      </c>
      <c r="Q28" s="1">
        <f t="shared" ref="Q28:Z28" si="25">+Q27*0.8</f>
        <v>68292.309900000007</v>
      </c>
      <c r="R28" s="1">
        <f t="shared" si="25"/>
        <v>69427.640318580001</v>
      </c>
      <c r="S28" s="1">
        <f t="shared" si="25"/>
        <v>70587.112050039577</v>
      </c>
      <c r="T28" s="1">
        <f t="shared" si="25"/>
        <v>71771.317709575509</v>
      </c>
      <c r="U28" s="1">
        <f t="shared" si="25"/>
        <v>72980.865767049283</v>
      </c>
      <c r="V28" s="1">
        <f t="shared" si="25"/>
        <v>74216.380993319224</v>
      </c>
      <c r="W28" s="1">
        <f t="shared" si="25"/>
        <v>75478.50491950626</v>
      </c>
      <c r="X28" s="1">
        <f t="shared" si="25"/>
        <v>76767.896309574644</v>
      </c>
      <c r="Y28" s="1">
        <f t="shared" si="25"/>
        <v>78085.23164661965</v>
      </c>
      <c r="Z28" s="1">
        <f t="shared" si="25"/>
        <v>79431.205633265869</v>
      </c>
    </row>
    <row r="29" spans="2:26" ht="16.5" x14ac:dyDescent="0.25">
      <c r="B29" s="1" t="s">
        <v>12</v>
      </c>
      <c r="C29" s="1">
        <f>+C27-C28</f>
        <v>8074</v>
      </c>
      <c r="D29" s="1">
        <f>+D27-D28</f>
        <v>8556</v>
      </c>
      <c r="E29" s="1">
        <f>+E27-E28</f>
        <v>7898</v>
      </c>
      <c r="F29" s="1">
        <f>+F27-F28</f>
        <v>0</v>
      </c>
      <c r="L29" s="1">
        <f>+L27-L28</f>
        <v>15520</v>
      </c>
      <c r="M29" s="1">
        <f>+M27-M28</f>
        <v>16313</v>
      </c>
      <c r="N29" s="1">
        <f>+N27-N28</f>
        <v>16630</v>
      </c>
      <c r="O29" s="1">
        <f>+O27-O28</f>
        <v>16968</v>
      </c>
      <c r="P29" s="1">
        <f t="shared" ref="P29:Z29" si="26">+P27-P28</f>
        <v>16024</v>
      </c>
      <c r="Q29" s="1">
        <f t="shared" si="26"/>
        <v>17073.077474999998</v>
      </c>
      <c r="R29" s="1">
        <f t="shared" si="26"/>
        <v>17356.910079644993</v>
      </c>
      <c r="S29" s="1">
        <f t="shared" si="26"/>
        <v>17646.778012509894</v>
      </c>
      <c r="T29" s="1">
        <f t="shared" si="26"/>
        <v>17942.829427393866</v>
      </c>
      <c r="U29" s="1">
        <f t="shared" si="26"/>
        <v>18245.216441762313</v>
      </c>
      <c r="V29" s="1">
        <f t="shared" si="26"/>
        <v>18554.095248329802</v>
      </c>
      <c r="W29" s="1">
        <f t="shared" si="26"/>
        <v>18869.626229876565</v>
      </c>
      <c r="X29" s="1">
        <f t="shared" si="26"/>
        <v>19191.97407739365</v>
      </c>
      <c r="Y29" s="1">
        <f t="shared" si="26"/>
        <v>19521.307911654905</v>
      </c>
      <c r="Z29" s="1">
        <f t="shared" si="26"/>
        <v>19857.80140831646</v>
      </c>
    </row>
    <row r="30" spans="2:26" ht="16.5" x14ac:dyDescent="0.25">
      <c r="B30" s="1" t="s">
        <v>4</v>
      </c>
      <c r="C30" s="1">
        <v>6356</v>
      </c>
      <c r="D30" s="1">
        <f>+N30-C30</f>
        <v>5979</v>
      </c>
      <c r="E30" s="1">
        <v>6122</v>
      </c>
      <c r="L30" s="1">
        <v>11229</v>
      </c>
      <c r="M30" s="1">
        <v>11958</v>
      </c>
      <c r="N30" s="1">
        <v>12335</v>
      </c>
      <c r="O30" s="1">
        <v>12614</v>
      </c>
      <c r="P30" s="1">
        <v>11800</v>
      </c>
      <c r="Q30" s="1">
        <f t="shared" ref="Q30:Z30" si="27">+Q27*0.153</f>
        <v>13060.904268375001</v>
      </c>
      <c r="R30" s="1">
        <f t="shared" si="27"/>
        <v>13278.036210928423</v>
      </c>
      <c r="S30" s="1">
        <f t="shared" si="27"/>
        <v>13499.785179570068</v>
      </c>
      <c r="T30" s="1">
        <f t="shared" si="27"/>
        <v>13726.264511956315</v>
      </c>
      <c r="U30" s="1">
        <f t="shared" si="27"/>
        <v>13957.590577948175</v>
      </c>
      <c r="V30" s="1">
        <f t="shared" si="27"/>
        <v>14193.8828649723</v>
      </c>
      <c r="W30" s="1">
        <f t="shared" si="27"/>
        <v>14435.264065855572</v>
      </c>
      <c r="X30" s="1">
        <f t="shared" si="27"/>
        <v>14681.860169206149</v>
      </c>
      <c r="Y30" s="1">
        <f t="shared" si="27"/>
        <v>14933.800552416007</v>
      </c>
      <c r="Z30" s="1">
        <f t="shared" si="27"/>
        <v>15191.218077362097</v>
      </c>
    </row>
    <row r="31" spans="2:26" ht="16.5" x14ac:dyDescent="0.25">
      <c r="B31" s="1" t="s">
        <v>5</v>
      </c>
      <c r="C31" s="1">
        <v>1018</v>
      </c>
      <c r="D31" s="1">
        <f>+N31-C31</f>
        <v>1013</v>
      </c>
      <c r="E31" s="1">
        <v>1032</v>
      </c>
      <c r="L31" s="1">
        <v>2018</v>
      </c>
      <c r="M31" s="1">
        <v>1978</v>
      </c>
      <c r="N31" s="1">
        <v>2031</v>
      </c>
      <c r="O31" s="1">
        <v>2140</v>
      </c>
      <c r="P31" s="1">
        <v>2067</v>
      </c>
      <c r="Q31" s="1">
        <f>+SUM(L48:P48)/5</f>
        <v>1801.2</v>
      </c>
      <c r="R31" s="1">
        <f t="shared" ref="R31:Z31" si="28">+SUM(M48:Q48)/5</f>
        <v>1721.2</v>
      </c>
      <c r="S31" s="1">
        <f t="shared" si="28"/>
        <v>1675.4</v>
      </c>
      <c r="T31" s="1">
        <f t="shared" si="28"/>
        <v>1638.328</v>
      </c>
      <c r="U31" s="1">
        <f t="shared" si="28"/>
        <v>1623.5145600000001</v>
      </c>
      <c r="V31" s="1">
        <f t="shared" si="28"/>
        <v>1665.2928511999999</v>
      </c>
      <c r="W31" s="1">
        <f t="shared" si="28"/>
        <v>1698.5987082240001</v>
      </c>
      <c r="X31" s="1">
        <f t="shared" si="28"/>
        <v>1732.57068238848</v>
      </c>
      <c r="Y31" s="1">
        <f t="shared" si="28"/>
        <v>1767.2220960362495</v>
      </c>
      <c r="Z31" s="1">
        <f t="shared" si="28"/>
        <v>1802.5665379569746</v>
      </c>
    </row>
    <row r="32" spans="2:26" ht="16.5" x14ac:dyDescent="0.25">
      <c r="B32" s="1" t="s">
        <v>7</v>
      </c>
      <c r="C32" s="1">
        <v>24</v>
      </c>
      <c r="D32" s="1">
        <f>+N32-C32</f>
        <v>20</v>
      </c>
      <c r="E32" s="1">
        <v>14</v>
      </c>
      <c r="L32" s="1">
        <v>12</v>
      </c>
      <c r="M32" s="1">
        <v>50</v>
      </c>
      <c r="N32" s="1">
        <v>44</v>
      </c>
      <c r="O32" s="1">
        <v>63</v>
      </c>
      <c r="P32" s="1">
        <v>42</v>
      </c>
      <c r="Q32" s="1">
        <v>50</v>
      </c>
      <c r="R32" s="1">
        <v>50</v>
      </c>
      <c r="S32" s="1">
        <v>50</v>
      </c>
      <c r="T32" s="1">
        <v>50</v>
      </c>
      <c r="U32" s="1">
        <v>50</v>
      </c>
      <c r="V32" s="1">
        <v>50</v>
      </c>
      <c r="W32" s="1">
        <v>50</v>
      </c>
      <c r="X32" s="1">
        <v>50</v>
      </c>
      <c r="Y32" s="1">
        <v>50</v>
      </c>
      <c r="Z32" s="1">
        <v>50</v>
      </c>
    </row>
    <row r="33" spans="2:114" ht="16.5" x14ac:dyDescent="0.25">
      <c r="B33" s="1" t="s">
        <v>18</v>
      </c>
      <c r="C33" s="1">
        <v>186</v>
      </c>
      <c r="D33" s="1">
        <f>+N33-C33</f>
        <v>372</v>
      </c>
      <c r="E33" s="1">
        <v>126</v>
      </c>
      <c r="L33" s="1">
        <v>374</v>
      </c>
      <c r="M33" s="1">
        <v>-36</v>
      </c>
      <c r="N33" s="1">
        <v>558</v>
      </c>
      <c r="O33" s="1">
        <v>424</v>
      </c>
      <c r="P33" s="1">
        <v>26</v>
      </c>
      <c r="Q33" s="1">
        <v>400</v>
      </c>
      <c r="R33" s="1">
        <v>400</v>
      </c>
      <c r="S33" s="1">
        <v>400</v>
      </c>
      <c r="T33" s="1">
        <v>400</v>
      </c>
      <c r="U33" s="1">
        <v>400</v>
      </c>
      <c r="V33" s="1">
        <v>400</v>
      </c>
      <c r="W33" s="1">
        <v>400</v>
      </c>
      <c r="X33" s="1">
        <v>400</v>
      </c>
      <c r="Y33" s="1">
        <v>400</v>
      </c>
      <c r="Z33" s="1">
        <v>400</v>
      </c>
    </row>
    <row r="34" spans="2:114" ht="16.5" x14ac:dyDescent="0.25">
      <c r="B34" s="1" t="s">
        <v>6</v>
      </c>
      <c r="C34" s="1">
        <f>+C29-C30-C31+C32-C33</f>
        <v>538</v>
      </c>
      <c r="D34" s="1">
        <f>+D29-D30-D31+D32-D33</f>
        <v>1212</v>
      </c>
      <c r="E34" s="1">
        <f>+E29-E30-E31+E32-E33</f>
        <v>632</v>
      </c>
      <c r="F34" s="1">
        <f>+F29-F30-F31+F32-F33</f>
        <v>0</v>
      </c>
      <c r="L34" s="1">
        <f>+L29-L30-L31+L32-L33</f>
        <v>1911</v>
      </c>
      <c r="M34" s="1">
        <f>+M29-M30-M31+M32-M33</f>
        <v>2463</v>
      </c>
      <c r="N34" s="1">
        <f>+N29-N30-N31+N32-N33</f>
        <v>1750</v>
      </c>
      <c r="O34" s="1">
        <f>+O29-O30-O31+O32-O33</f>
        <v>1853</v>
      </c>
      <c r="P34" s="1">
        <f t="shared" ref="P34:Z34" si="29">+P29-P30-P31+P32-P33</f>
        <v>2173</v>
      </c>
      <c r="Q34" s="1">
        <f t="shared" si="29"/>
        <v>1860.9732066249971</v>
      </c>
      <c r="R34" s="1">
        <f t="shared" si="29"/>
        <v>2007.6738687165698</v>
      </c>
      <c r="S34" s="1">
        <f t="shared" si="29"/>
        <v>2121.5928329398262</v>
      </c>
      <c r="T34" s="1">
        <f t="shared" si="29"/>
        <v>2228.2369154375515</v>
      </c>
      <c r="U34" s="1">
        <f t="shared" si="29"/>
        <v>2314.1113038141389</v>
      </c>
      <c r="V34" s="1">
        <f t="shared" si="29"/>
        <v>2344.9195321575025</v>
      </c>
      <c r="W34" s="1">
        <f t="shared" si="29"/>
        <v>2385.7634557969932</v>
      </c>
      <c r="X34" s="1">
        <f t="shared" si="29"/>
        <v>2427.5432257990205</v>
      </c>
      <c r="Y34" s="1">
        <f t="shared" si="29"/>
        <v>2470.2852632026488</v>
      </c>
      <c r="Z34" s="1">
        <f t="shared" si="29"/>
        <v>2514.0167929973886</v>
      </c>
    </row>
    <row r="35" spans="2:114" ht="16.5" x14ac:dyDescent="0.25">
      <c r="B35" s="1" t="s">
        <v>8</v>
      </c>
      <c r="C35" s="1">
        <v>-276</v>
      </c>
      <c r="D35" s="1">
        <f>+N35-C35</f>
        <v>-134</v>
      </c>
      <c r="E35" s="1">
        <v>-430</v>
      </c>
      <c r="L35" s="1">
        <v>-279</v>
      </c>
      <c r="M35" s="1">
        <v>-490</v>
      </c>
      <c r="N35" s="1">
        <v>-410</v>
      </c>
      <c r="O35" s="1">
        <v>-759</v>
      </c>
      <c r="P35" s="1">
        <v>-578</v>
      </c>
      <c r="Q35" s="1">
        <v>-550</v>
      </c>
      <c r="R35" s="1">
        <v>-550</v>
      </c>
      <c r="S35" s="1">
        <v>-550</v>
      </c>
      <c r="T35" s="1">
        <v>-550</v>
      </c>
      <c r="U35" s="1">
        <v>-550</v>
      </c>
      <c r="V35" s="1">
        <v>-550</v>
      </c>
      <c r="W35" s="1">
        <v>-550</v>
      </c>
      <c r="X35" s="1">
        <v>-550</v>
      </c>
      <c r="Y35" s="1">
        <v>-550</v>
      </c>
      <c r="Z35" s="1">
        <v>-550</v>
      </c>
    </row>
    <row r="36" spans="2:114" ht="16.5" x14ac:dyDescent="0.25">
      <c r="B36" s="1" t="s">
        <v>9</v>
      </c>
      <c r="C36" s="1">
        <f>+C34+C35</f>
        <v>262</v>
      </c>
      <c r="D36" s="1">
        <f>+D34+D35</f>
        <v>1078</v>
      </c>
      <c r="E36" s="1">
        <f>+E34+E35</f>
        <v>202</v>
      </c>
      <c r="F36" s="1">
        <f>+F34+F35</f>
        <v>0</v>
      </c>
      <c r="L36" s="1">
        <f>+L34+L35</f>
        <v>1632</v>
      </c>
      <c r="M36" s="1">
        <f>+M34+M35</f>
        <v>1973</v>
      </c>
      <c r="N36" s="1">
        <f>+N34+N35</f>
        <v>1340</v>
      </c>
      <c r="O36" s="1">
        <f>+O34+O35</f>
        <v>1094</v>
      </c>
      <c r="P36" s="1">
        <f t="shared" ref="P36:Z36" si="30">+P34+P35</f>
        <v>1595</v>
      </c>
      <c r="Q36" s="1">
        <f t="shared" si="30"/>
        <v>1310.9732066249971</v>
      </c>
      <c r="R36" s="1">
        <f t="shared" si="30"/>
        <v>1457.6738687165698</v>
      </c>
      <c r="S36" s="1">
        <f t="shared" si="30"/>
        <v>1571.5928329398262</v>
      </c>
      <c r="T36" s="1">
        <f t="shared" si="30"/>
        <v>1678.2369154375515</v>
      </c>
      <c r="U36" s="1">
        <f t="shared" si="30"/>
        <v>1764.1113038141389</v>
      </c>
      <c r="V36" s="1">
        <f t="shared" si="30"/>
        <v>1794.9195321575025</v>
      </c>
      <c r="W36" s="1">
        <f t="shared" si="30"/>
        <v>1835.7634557969932</v>
      </c>
      <c r="X36" s="1">
        <f t="shared" si="30"/>
        <v>1877.5432257990205</v>
      </c>
      <c r="Y36" s="1">
        <f t="shared" si="30"/>
        <v>1920.2852632026488</v>
      </c>
      <c r="Z36" s="1">
        <f t="shared" si="30"/>
        <v>1964.0167929973886</v>
      </c>
    </row>
    <row r="37" spans="2:114" ht="16.5" x14ac:dyDescent="0.25">
      <c r="B37" s="1" t="s">
        <v>10</v>
      </c>
      <c r="C37" s="1">
        <v>153</v>
      </c>
      <c r="D37" s="1">
        <f>+N37-C37</f>
        <v>286</v>
      </c>
      <c r="E37" s="1">
        <v>164</v>
      </c>
      <c r="L37" s="1">
        <v>372</v>
      </c>
      <c r="M37" s="1">
        <v>408</v>
      </c>
      <c r="N37" s="1">
        <v>439</v>
      </c>
      <c r="O37" s="1">
        <v>303</v>
      </c>
      <c r="P37" s="1">
        <v>516</v>
      </c>
      <c r="Q37" s="1">
        <f>+Q36*0.275</f>
        <v>360.51763182187426</v>
      </c>
      <c r="R37" s="1">
        <f t="shared" ref="R37:Z37" si="31">+R36*0.275</f>
        <v>400.86031389705676</v>
      </c>
      <c r="S37" s="1">
        <f t="shared" si="31"/>
        <v>432.18802905845223</v>
      </c>
      <c r="T37" s="1">
        <f t="shared" si="31"/>
        <v>461.5151517453267</v>
      </c>
      <c r="U37" s="1">
        <f t="shared" si="31"/>
        <v>485.13060854888823</v>
      </c>
      <c r="V37" s="1">
        <f t="shared" si="31"/>
        <v>493.60287134331327</v>
      </c>
      <c r="W37" s="1">
        <f t="shared" si="31"/>
        <v>504.83495034417319</v>
      </c>
      <c r="X37" s="1">
        <f t="shared" si="31"/>
        <v>516.3243870947307</v>
      </c>
      <c r="Y37" s="1">
        <f t="shared" si="31"/>
        <v>528.07844738072845</v>
      </c>
      <c r="Z37" s="1">
        <f t="shared" si="31"/>
        <v>540.10461807428192</v>
      </c>
    </row>
    <row r="38" spans="2:114" s="4" customFormat="1" x14ac:dyDescent="0.25">
      <c r="B38" s="4" t="s">
        <v>11</v>
      </c>
      <c r="C38" s="4">
        <f>+C36-C37</f>
        <v>109</v>
      </c>
      <c r="D38" s="4">
        <f>+D36-D37</f>
        <v>792</v>
      </c>
      <c r="E38" s="4">
        <f>+E36-E37</f>
        <v>38</v>
      </c>
      <c r="F38" s="4">
        <f>+F36-F37</f>
        <v>0</v>
      </c>
      <c r="L38" s="4">
        <f>+L36-L37</f>
        <v>1260</v>
      </c>
      <c r="M38" s="4">
        <f>+M36-M37</f>
        <v>1565</v>
      </c>
      <c r="N38" s="4">
        <f>+N36-N37</f>
        <v>901</v>
      </c>
      <c r="O38" s="4">
        <f>+O36-O37</f>
        <v>791</v>
      </c>
      <c r="P38" s="4">
        <f t="shared" ref="P38:Z38" si="32">+P36-P37</f>
        <v>1079</v>
      </c>
      <c r="Q38" s="4">
        <f t="shared" si="32"/>
        <v>950.45557480312289</v>
      </c>
      <c r="R38" s="4">
        <f t="shared" si="32"/>
        <v>1056.813554819513</v>
      </c>
      <c r="S38" s="4">
        <f t="shared" si="32"/>
        <v>1139.4048038813739</v>
      </c>
      <c r="T38" s="4">
        <f t="shared" si="32"/>
        <v>1216.7217636922248</v>
      </c>
      <c r="U38" s="4">
        <f t="shared" si="32"/>
        <v>1278.9806952652507</v>
      </c>
      <c r="V38" s="4">
        <f t="shared" si="32"/>
        <v>1301.3166608141892</v>
      </c>
      <c r="W38" s="4">
        <f t="shared" si="32"/>
        <v>1330.92850545282</v>
      </c>
      <c r="X38" s="4">
        <f t="shared" si="32"/>
        <v>1361.2188387042897</v>
      </c>
      <c r="Y38" s="4">
        <f t="shared" si="32"/>
        <v>1392.2068158219204</v>
      </c>
      <c r="Z38" s="4">
        <f t="shared" si="32"/>
        <v>1423.9121749231067</v>
      </c>
      <c r="AA38" s="4">
        <f t="shared" ref="AA38:BC38" si="33">+Z38*(1+TR)</f>
        <v>1445.2708575469533</v>
      </c>
      <c r="AB38" s="4">
        <f t="shared" si="33"/>
        <v>1466.9499204101573</v>
      </c>
      <c r="AC38" s="4">
        <f t="shared" si="33"/>
        <v>1488.9541692163095</v>
      </c>
      <c r="AD38" s="4">
        <f t="shared" si="33"/>
        <v>1511.2884817545541</v>
      </c>
      <c r="AE38" s="4">
        <f t="shared" si="33"/>
        <v>1533.9578089808724</v>
      </c>
      <c r="AF38" s="4">
        <f t="shared" si="33"/>
        <v>1556.9671761155853</v>
      </c>
      <c r="AG38" s="4">
        <f t="shared" si="33"/>
        <v>1580.3216837573189</v>
      </c>
      <c r="AH38" s="4">
        <f t="shared" si="33"/>
        <v>1604.0265090136784</v>
      </c>
      <c r="AI38" s="4">
        <f t="shared" si="33"/>
        <v>1628.0869066488833</v>
      </c>
      <c r="AJ38" s="4">
        <f t="shared" si="33"/>
        <v>1652.5082102486165</v>
      </c>
      <c r="AK38" s="4">
        <f t="shared" si="33"/>
        <v>1677.2958334023456</v>
      </c>
      <c r="AL38" s="4">
        <f t="shared" si="33"/>
        <v>1702.4552709033806</v>
      </c>
      <c r="AM38" s="4">
        <f t="shared" si="33"/>
        <v>1727.9920999669312</v>
      </c>
      <c r="AN38" s="4">
        <f t="shared" si="33"/>
        <v>1753.911981466435</v>
      </c>
      <c r="AO38" s="4">
        <f t="shared" si="33"/>
        <v>1780.2206611884314</v>
      </c>
      <c r="AP38" s="4">
        <f t="shared" si="33"/>
        <v>1806.9239711062578</v>
      </c>
      <c r="AQ38" s="4">
        <f t="shared" si="33"/>
        <v>1834.0278306728515</v>
      </c>
      <c r="AR38" s="4">
        <f t="shared" si="33"/>
        <v>1861.5382481329441</v>
      </c>
      <c r="AS38" s="4">
        <f t="shared" si="33"/>
        <v>1889.461321854938</v>
      </c>
      <c r="AT38" s="4">
        <f t="shared" si="33"/>
        <v>1917.8032416827618</v>
      </c>
      <c r="AU38" s="4">
        <f t="shared" si="33"/>
        <v>1946.570290308003</v>
      </c>
      <c r="AV38" s="4">
        <f t="shared" si="33"/>
        <v>1975.7688446626228</v>
      </c>
      <c r="AW38" s="4">
        <f t="shared" si="33"/>
        <v>2005.405377332562</v>
      </c>
      <c r="AX38" s="4">
        <f t="shared" si="33"/>
        <v>2035.4864579925502</v>
      </c>
      <c r="AY38" s="4">
        <f t="shared" si="33"/>
        <v>2066.0187548624381</v>
      </c>
      <c r="AZ38" s="4">
        <f t="shared" si="33"/>
        <v>2097.0090361853745</v>
      </c>
      <c r="BA38" s="4">
        <f t="shared" si="33"/>
        <v>2128.4641717281547</v>
      </c>
      <c r="BB38" s="4">
        <f t="shared" si="33"/>
        <v>2160.3911343040768</v>
      </c>
      <c r="BC38" s="4">
        <f t="shared" si="33"/>
        <v>2192.7970013186377</v>
      </c>
      <c r="BD38" s="4">
        <f t="shared" ref="BD38:CI38" si="34">+BC38*(1+TR)</f>
        <v>2225.688956338417</v>
      </c>
      <c r="BE38" s="4">
        <f t="shared" si="34"/>
        <v>2259.074290683493</v>
      </c>
      <c r="BF38" s="4">
        <f t="shared" si="34"/>
        <v>2292.9604050437451</v>
      </c>
      <c r="BG38" s="4">
        <f t="shared" si="34"/>
        <v>2327.3548111194009</v>
      </c>
      <c r="BH38" s="4">
        <f t="shared" si="34"/>
        <v>2362.2651332861915</v>
      </c>
      <c r="BI38" s="4">
        <f t="shared" si="34"/>
        <v>2397.699110285484</v>
      </c>
      <c r="BJ38" s="4">
        <f t="shared" si="34"/>
        <v>2433.6645969397659</v>
      </c>
      <c r="BK38" s="4">
        <f t="shared" si="34"/>
        <v>2470.169565893862</v>
      </c>
      <c r="BL38" s="4">
        <f t="shared" si="34"/>
        <v>2507.2221093822695</v>
      </c>
      <c r="BM38" s="4">
        <f t="shared" si="34"/>
        <v>2544.8304410230035</v>
      </c>
      <c r="BN38" s="4">
        <f t="shared" si="34"/>
        <v>2583.0028976383483</v>
      </c>
      <c r="BO38" s="4">
        <f t="shared" si="34"/>
        <v>2621.7479411029231</v>
      </c>
      <c r="BP38" s="4">
        <f t="shared" si="34"/>
        <v>2661.0741602194666</v>
      </c>
      <c r="BQ38" s="4">
        <f t="shared" si="34"/>
        <v>2700.9902726227583</v>
      </c>
      <c r="BR38" s="4">
        <f t="shared" si="34"/>
        <v>2741.5051267120994</v>
      </c>
      <c r="BS38" s="4">
        <f t="shared" si="34"/>
        <v>2782.6277036127804</v>
      </c>
      <c r="BT38" s="4">
        <f t="shared" si="34"/>
        <v>2824.3671191669719</v>
      </c>
      <c r="BU38" s="4">
        <f t="shared" si="34"/>
        <v>2866.7326259544761</v>
      </c>
      <c r="BV38" s="4">
        <f t="shared" si="34"/>
        <v>2909.7336153437932</v>
      </c>
      <c r="BW38" s="4">
        <f t="shared" si="34"/>
        <v>2953.3796195739496</v>
      </c>
      <c r="BX38" s="4">
        <f t="shared" si="34"/>
        <v>2997.6803138675587</v>
      </c>
      <c r="BY38" s="4">
        <f t="shared" si="34"/>
        <v>3042.6455185755717</v>
      </c>
      <c r="BZ38" s="4">
        <f t="shared" si="34"/>
        <v>3088.2852013542051</v>
      </c>
      <c r="CA38" s="4">
        <f t="shared" si="34"/>
        <v>3134.6094793745178</v>
      </c>
      <c r="CB38" s="4">
        <f t="shared" si="34"/>
        <v>3181.6286215651353</v>
      </c>
      <c r="CC38" s="4">
        <f t="shared" si="34"/>
        <v>3229.353050888612</v>
      </c>
      <c r="CD38" s="4">
        <f t="shared" si="34"/>
        <v>3277.7933466519407</v>
      </c>
      <c r="CE38" s="4">
        <f t="shared" si="34"/>
        <v>3326.9602468517196</v>
      </c>
      <c r="CF38" s="4">
        <f t="shared" si="34"/>
        <v>3376.8646505544953</v>
      </c>
      <c r="CG38" s="4">
        <f t="shared" si="34"/>
        <v>3427.5176203128121</v>
      </c>
      <c r="CH38" s="4">
        <f t="shared" si="34"/>
        <v>3478.9303846175039</v>
      </c>
      <c r="CI38" s="4">
        <f t="shared" si="34"/>
        <v>3531.1143403867663</v>
      </c>
      <c r="CJ38" s="4">
        <f t="shared" ref="CJ38:DJ38" si="35">+CI38*(1+TR)</f>
        <v>3584.0810554925674</v>
      </c>
      <c r="CK38" s="4">
        <f t="shared" si="35"/>
        <v>3637.8422713249556</v>
      </c>
      <c r="CL38" s="4">
        <f t="shared" si="35"/>
        <v>3692.4099053948298</v>
      </c>
      <c r="CM38" s="4">
        <f t="shared" si="35"/>
        <v>3747.7960539757519</v>
      </c>
      <c r="CN38" s="4">
        <f t="shared" si="35"/>
        <v>3804.0129947853879</v>
      </c>
      <c r="CO38" s="4">
        <f t="shared" si="35"/>
        <v>3861.0731897071682</v>
      </c>
      <c r="CP38" s="4">
        <f t="shared" si="35"/>
        <v>3918.9892875527753</v>
      </c>
      <c r="CQ38" s="4">
        <f t="shared" si="35"/>
        <v>3977.7741268660666</v>
      </c>
      <c r="CR38" s="4">
        <f t="shared" si="35"/>
        <v>4037.4407387690571</v>
      </c>
      <c r="CS38" s="4">
        <f t="shared" si="35"/>
        <v>4098.0023498505925</v>
      </c>
      <c r="CT38" s="4">
        <f t="shared" si="35"/>
        <v>4159.472385098351</v>
      </c>
      <c r="CU38" s="4">
        <f t="shared" si="35"/>
        <v>4221.8644708748261</v>
      </c>
      <c r="CV38" s="4">
        <f t="shared" si="35"/>
        <v>4285.1924379379479</v>
      </c>
      <c r="CW38" s="4">
        <f t="shared" si="35"/>
        <v>4349.4703245070168</v>
      </c>
      <c r="CX38" s="4">
        <f t="shared" si="35"/>
        <v>4414.7123793746214</v>
      </c>
      <c r="CY38" s="4">
        <f t="shared" si="35"/>
        <v>4480.93306506524</v>
      </c>
      <c r="CZ38" s="4">
        <f t="shared" si="35"/>
        <v>4548.147061041218</v>
      </c>
      <c r="DA38" s="4">
        <f t="shared" si="35"/>
        <v>4616.3692669568354</v>
      </c>
      <c r="DB38" s="4">
        <f t="shared" si="35"/>
        <v>4685.6148059611878</v>
      </c>
      <c r="DC38" s="4">
        <f t="shared" si="35"/>
        <v>4755.899028050605</v>
      </c>
      <c r="DD38" s="4">
        <f t="shared" si="35"/>
        <v>4827.2375134713639</v>
      </c>
      <c r="DE38" s="4">
        <f t="shared" si="35"/>
        <v>4899.6460761734343</v>
      </c>
      <c r="DF38" s="4">
        <f t="shared" si="35"/>
        <v>4973.1407673160356</v>
      </c>
      <c r="DG38" s="4">
        <f t="shared" si="35"/>
        <v>5047.7378788257756</v>
      </c>
      <c r="DH38" s="4">
        <f t="shared" si="35"/>
        <v>5123.4539470081618</v>
      </c>
      <c r="DI38" s="4">
        <f t="shared" si="35"/>
        <v>5200.3057562132835</v>
      </c>
      <c r="DJ38" s="4">
        <f t="shared" si="35"/>
        <v>5278.3103425564823</v>
      </c>
    </row>
    <row r="39" spans="2:114" x14ac:dyDescent="0.25">
      <c r="B39" s="1" t="s">
        <v>52</v>
      </c>
      <c r="N39" s="1">
        <v>-17</v>
      </c>
      <c r="O39" s="1">
        <v>66</v>
      </c>
      <c r="P39" s="1">
        <v>66</v>
      </c>
      <c r="Q39" s="1">
        <v>66</v>
      </c>
      <c r="R39" s="1">
        <v>66</v>
      </c>
      <c r="S39" s="1">
        <v>66</v>
      </c>
      <c r="T39" s="1">
        <v>66</v>
      </c>
      <c r="U39" s="1">
        <v>66</v>
      </c>
      <c r="V39" s="1">
        <v>66</v>
      </c>
      <c r="W39" s="1">
        <v>66</v>
      </c>
      <c r="X39" s="1">
        <v>66</v>
      </c>
      <c r="Y39" s="1">
        <v>66</v>
      </c>
      <c r="Z39" s="1">
        <v>66</v>
      </c>
    </row>
    <row r="40" spans="2:114" x14ac:dyDescent="0.25">
      <c r="B40" s="1" t="s">
        <v>53</v>
      </c>
      <c r="N40" s="1">
        <f>+N38-N39</f>
        <v>918</v>
      </c>
      <c r="O40" s="1">
        <f>+O38-O39</f>
        <v>725</v>
      </c>
      <c r="P40" s="1">
        <f t="shared" ref="P40:Z40" si="36">+P38-P39</f>
        <v>1013</v>
      </c>
      <c r="Q40" s="1">
        <f t="shared" si="36"/>
        <v>884.45557480312289</v>
      </c>
      <c r="R40" s="1">
        <f t="shared" si="36"/>
        <v>990.813554819513</v>
      </c>
      <c r="S40" s="1">
        <f t="shared" si="36"/>
        <v>1073.4048038813739</v>
      </c>
      <c r="T40" s="1">
        <f t="shared" si="36"/>
        <v>1150.7217636922248</v>
      </c>
      <c r="U40" s="1">
        <f t="shared" si="36"/>
        <v>1212.9806952652507</v>
      </c>
      <c r="V40" s="1">
        <f t="shared" si="36"/>
        <v>1235.3166608141892</v>
      </c>
      <c r="W40" s="1">
        <f t="shared" si="36"/>
        <v>1264.92850545282</v>
      </c>
      <c r="X40" s="1">
        <f t="shared" si="36"/>
        <v>1295.2188387042897</v>
      </c>
      <c r="Y40" s="1">
        <f t="shared" si="36"/>
        <v>1326.2068158219204</v>
      </c>
      <c r="Z40" s="1">
        <f t="shared" si="36"/>
        <v>1357.9121749231067</v>
      </c>
      <c r="AB40" s="5" t="s">
        <v>42</v>
      </c>
      <c r="AC40" s="5">
        <v>0.1</v>
      </c>
    </row>
    <row r="41" spans="2:114" x14ac:dyDescent="0.25">
      <c r="B41" s="1" t="s">
        <v>48</v>
      </c>
      <c r="N41" s="9">
        <f>+N38/N42</f>
        <v>1.2619047619047619</v>
      </c>
      <c r="O41" s="9">
        <f>+O38/O42</f>
        <v>1.1805970149253731</v>
      </c>
      <c r="P41" s="9">
        <f t="shared" ref="P41:W41" si="37">+P38/P42</f>
        <v>1.5797950219619326</v>
      </c>
      <c r="Q41" s="9">
        <f t="shared" si="37"/>
        <v>1.3915894213808535</v>
      </c>
      <c r="R41" s="9">
        <f t="shared" si="37"/>
        <v>1.5473112076420394</v>
      </c>
      <c r="S41" s="9">
        <f t="shared" si="37"/>
        <v>1.6682354376008404</v>
      </c>
      <c r="T41" s="9">
        <f t="shared" si="37"/>
        <v>1.7814374285391286</v>
      </c>
      <c r="U41" s="9">
        <f t="shared" si="37"/>
        <v>1.872592526010616</v>
      </c>
      <c r="V41" s="9">
        <f t="shared" si="37"/>
        <v>1.9052952574146254</v>
      </c>
      <c r="W41" s="9">
        <f t="shared" si="37"/>
        <v>1.9486508132544949</v>
      </c>
      <c r="X41" s="9">
        <f t="shared" ref="X41:Z41" si="38">+X38/X42</f>
        <v>1.9929997638422983</v>
      </c>
      <c r="Y41" s="9">
        <f t="shared" si="38"/>
        <v>2.038370154936926</v>
      </c>
      <c r="Z41" s="9">
        <f t="shared" si="38"/>
        <v>2.0847908856853685</v>
      </c>
      <c r="AB41" s="5" t="s">
        <v>43</v>
      </c>
      <c r="AC41" s="6">
        <v>1.4999999999999999E-2</v>
      </c>
    </row>
    <row r="42" spans="2:114" x14ac:dyDescent="0.25">
      <c r="B42" s="1" t="s">
        <v>49</v>
      </c>
      <c r="N42" s="1">
        <v>714</v>
      </c>
      <c r="O42" s="1">
        <v>670</v>
      </c>
      <c r="P42" s="1">
        <v>683</v>
      </c>
      <c r="Q42" s="1">
        <f t="shared" ref="Q42:W42" si="39">+P42+0</f>
        <v>683</v>
      </c>
      <c r="R42" s="1">
        <f t="shared" si="39"/>
        <v>683</v>
      </c>
      <c r="S42" s="1">
        <f t="shared" si="39"/>
        <v>683</v>
      </c>
      <c r="T42" s="1">
        <f t="shared" si="39"/>
        <v>683</v>
      </c>
      <c r="U42" s="1">
        <f t="shared" si="39"/>
        <v>683</v>
      </c>
      <c r="V42" s="1">
        <f t="shared" si="39"/>
        <v>683</v>
      </c>
      <c r="W42" s="1">
        <f t="shared" si="39"/>
        <v>683</v>
      </c>
      <c r="X42" s="1">
        <f t="shared" ref="X42" si="40">+W42+0</f>
        <v>683</v>
      </c>
      <c r="Y42" s="1">
        <f t="shared" ref="Y42" si="41">+X42+0</f>
        <v>683</v>
      </c>
      <c r="Z42" s="1">
        <f t="shared" ref="Z42" si="42">+Y42+0</f>
        <v>683</v>
      </c>
      <c r="AB42" s="1" t="s">
        <v>67</v>
      </c>
      <c r="AC42" s="1">
        <f>NPV(AC40,Q53:DL53)</f>
        <v>17502.779476963715</v>
      </c>
    </row>
    <row r="43" spans="2:114" x14ac:dyDescent="0.25">
      <c r="L43" s="9"/>
      <c r="M43" s="9"/>
      <c r="N43" s="10">
        <f>+N37/N36</f>
        <v>0.32761194029850749</v>
      </c>
      <c r="O43" s="10">
        <f>+O37/O36</f>
        <v>0.27696526508226693</v>
      </c>
      <c r="P43" s="10">
        <f>+P37/P36</f>
        <v>0.32351097178683386</v>
      </c>
      <c r="AB43" s="1" t="s">
        <v>44</v>
      </c>
      <c r="AC43" s="1">
        <f>+P56-P57</f>
        <v>-4154</v>
      </c>
    </row>
    <row r="44" spans="2:114" s="5" customFormat="1" x14ac:dyDescent="0.25">
      <c r="B44" s="5" t="s">
        <v>16</v>
      </c>
      <c r="C44" s="5">
        <f>+C29/C27</f>
        <v>0.19413787299526317</v>
      </c>
      <c r="D44" s="5">
        <f>+D29/D27</f>
        <v>0.19751148456797249</v>
      </c>
      <c r="E44" s="5">
        <f>+E29/E27</f>
        <v>0.19030408173100091</v>
      </c>
      <c r="L44" s="5">
        <f>+L29/L27</f>
        <v>0.20892227337587163</v>
      </c>
      <c r="M44" s="5">
        <f>+M29/M27</f>
        <v>0.19633164438132605</v>
      </c>
      <c r="N44" s="5">
        <f>+N29/N27</f>
        <v>0.19585904743958166</v>
      </c>
      <c r="O44" s="5">
        <f>+O29/O27</f>
        <v>0.19443107597112411</v>
      </c>
      <c r="P44" s="5">
        <f t="shared" ref="P44:W44" si="43">+P29/P27</f>
        <v>0.19070514727759597</v>
      </c>
      <c r="Q44" s="5">
        <f t="shared" si="43"/>
        <v>0.19999999999999996</v>
      </c>
      <c r="R44" s="5">
        <f t="shared" si="43"/>
        <v>0.19999999999999993</v>
      </c>
      <c r="S44" s="5">
        <f t="shared" si="43"/>
        <v>0.2</v>
      </c>
      <c r="T44" s="5">
        <f t="shared" si="43"/>
        <v>0.1999999999999999</v>
      </c>
      <c r="U44" s="5">
        <f t="shared" si="43"/>
        <v>0.19999999999999993</v>
      </c>
      <c r="V44" s="5">
        <f t="shared" si="43"/>
        <v>0.19999999999999996</v>
      </c>
      <c r="W44" s="5">
        <f t="shared" si="43"/>
        <v>0.2</v>
      </c>
      <c r="X44" s="5">
        <f t="shared" ref="X44:Z44" si="44">+X29/X27</f>
        <v>0.1999999999999999</v>
      </c>
      <c r="Y44" s="5">
        <f t="shared" si="44"/>
        <v>0.19999999999999993</v>
      </c>
      <c r="Z44" s="5">
        <f t="shared" si="44"/>
        <v>0.19999999999999993</v>
      </c>
      <c r="AB44" s="1" t="s">
        <v>45</v>
      </c>
      <c r="AC44" s="1">
        <f>+AC42+AC43</f>
        <v>13348.779476963715</v>
      </c>
    </row>
    <row r="45" spans="2:114" s="5" customFormat="1" x14ac:dyDescent="0.25">
      <c r="B45" s="5" t="s">
        <v>17</v>
      </c>
      <c r="C45" s="6">
        <f>+C38/C27</f>
        <v>2.6208853302555966E-3</v>
      </c>
      <c r="D45" s="6">
        <f>+D38/D27</f>
        <v>1.8282970521018491E-2</v>
      </c>
      <c r="E45" s="6">
        <f>+E38/E27</f>
        <v>9.1561852440846228E-4</v>
      </c>
      <c r="L45" s="6">
        <f>+L38/L27</f>
        <v>1.6961473225102979E-2</v>
      </c>
      <c r="M45" s="6">
        <f>+M38/M27</f>
        <v>1.8835224879346243E-2</v>
      </c>
      <c r="N45" s="6">
        <f>+N38/N27</f>
        <v>1.0611485372403072E-2</v>
      </c>
      <c r="O45" s="6">
        <f>+O38/O27</f>
        <v>9.0638249111951417E-3</v>
      </c>
      <c r="P45" s="6">
        <f t="shared" ref="P45:W45" si="45">+P38/P27</f>
        <v>1.2841416245165129E-2</v>
      </c>
      <c r="Q45" s="6">
        <f t="shared" si="45"/>
        <v>1.1133968977706203E-2</v>
      </c>
      <c r="R45" s="6">
        <f t="shared" si="45"/>
        <v>1.2177438841016661E-2</v>
      </c>
      <c r="S45" s="6">
        <f t="shared" si="45"/>
        <v>1.2913459931026999E-2</v>
      </c>
      <c r="T45" s="6">
        <f t="shared" si="45"/>
        <v>1.3562206212969042E-2</v>
      </c>
      <c r="U45" s="6">
        <f t="shared" si="45"/>
        <v>1.4019901592811282E-2</v>
      </c>
      <c r="V45" s="6">
        <f t="shared" si="45"/>
        <v>1.4027271536523243E-2</v>
      </c>
      <c r="W45" s="6">
        <f t="shared" si="45"/>
        <v>1.4106569883674121E-2</v>
      </c>
      <c r="X45" s="6">
        <f t="shared" ref="X45:Z45" si="46">+X38/X27</f>
        <v>1.4185292593821055E-2</v>
      </c>
      <c r="Y45" s="6">
        <f t="shared" si="46"/>
        <v>1.4263458392464817E-2</v>
      </c>
      <c r="Z45" s="6">
        <f t="shared" si="46"/>
        <v>1.434108585985527E-2</v>
      </c>
      <c r="AB45" s="4" t="s">
        <v>46</v>
      </c>
      <c r="AC45" s="12">
        <f>+AC44/Z42</f>
        <v>19.54433305558377</v>
      </c>
    </row>
    <row r="47" spans="2:114" x14ac:dyDescent="0.25">
      <c r="B47" s="1" t="s">
        <v>33</v>
      </c>
      <c r="M47" s="1">
        <v>4219</v>
      </c>
      <c r="N47" s="1">
        <v>4650</v>
      </c>
      <c r="O47" s="1">
        <v>4294</v>
      </c>
      <c r="P47" s="1">
        <v>3948</v>
      </c>
      <c r="Q47" s="1">
        <f>+Q38+Q31</f>
        <v>2751.6555748031228</v>
      </c>
      <c r="R47" s="1">
        <f t="shared" ref="Q47:W47" si="47">+R38+R31</f>
        <v>2778.013554819513</v>
      </c>
      <c r="S47" s="1">
        <f t="shared" si="47"/>
        <v>2814.804803881374</v>
      </c>
      <c r="T47" s="1">
        <f t="shared" si="47"/>
        <v>2855.0497636922246</v>
      </c>
      <c r="U47" s="1">
        <f t="shared" si="47"/>
        <v>2902.4952552652508</v>
      </c>
      <c r="V47" s="1">
        <f t="shared" si="47"/>
        <v>2966.609512014189</v>
      </c>
      <c r="W47" s="1">
        <f t="shared" si="47"/>
        <v>3029.5272136768199</v>
      </c>
      <c r="X47" s="1">
        <f t="shared" ref="X47:Z47" si="48">+X38+X31</f>
        <v>3093.78952109277</v>
      </c>
      <c r="Y47" s="1">
        <f t="shared" si="48"/>
        <v>3159.4289118581701</v>
      </c>
      <c r="Z47" s="1">
        <f t="shared" si="48"/>
        <v>3226.4787128800813</v>
      </c>
    </row>
    <row r="48" spans="2:114" x14ac:dyDescent="0.25">
      <c r="B48" s="1" t="s">
        <v>34</v>
      </c>
      <c r="L48" s="1">
        <v>2000</v>
      </c>
      <c r="M48" s="1">
        <v>1861</v>
      </c>
      <c r="N48" s="1">
        <v>1850</v>
      </c>
      <c r="O48" s="1">
        <v>1772</v>
      </c>
      <c r="P48" s="1">
        <v>1523</v>
      </c>
      <c r="Q48" s="1">
        <v>1600</v>
      </c>
      <c r="R48" s="1">
        <f t="shared" ref="R48:Z48" si="49">+Q48*1.02</f>
        <v>1632</v>
      </c>
      <c r="S48" s="1">
        <f t="shared" si="49"/>
        <v>1664.64</v>
      </c>
      <c r="T48" s="1">
        <f t="shared" si="49"/>
        <v>1697.9328</v>
      </c>
      <c r="U48" s="1">
        <f t="shared" si="49"/>
        <v>1731.8914560000001</v>
      </c>
      <c r="V48" s="1">
        <f t="shared" si="49"/>
        <v>1766.5292851200002</v>
      </c>
      <c r="W48" s="1">
        <f t="shared" si="49"/>
        <v>1801.8598708224001</v>
      </c>
      <c r="X48" s="1">
        <f t="shared" si="49"/>
        <v>1837.8970682388481</v>
      </c>
      <c r="Y48" s="1">
        <f t="shared" si="49"/>
        <v>1874.6550096036251</v>
      </c>
      <c r="Z48" s="1">
        <f t="shared" si="49"/>
        <v>1912.1481097956976</v>
      </c>
    </row>
    <row r="49" spans="2:114" x14ac:dyDescent="0.25">
      <c r="B49" s="1" t="s">
        <v>69</v>
      </c>
      <c r="O49" s="1">
        <v>599</v>
      </c>
      <c r="P49" s="1">
        <v>640</v>
      </c>
    </row>
    <row r="50" spans="2:114" x14ac:dyDescent="0.25">
      <c r="B50" s="1" t="s">
        <v>61</v>
      </c>
      <c r="N50" s="1">
        <v>1161</v>
      </c>
      <c r="O50" s="1">
        <v>1241</v>
      </c>
      <c r="P50" s="1">
        <v>1177</v>
      </c>
    </row>
    <row r="51" spans="2:114" x14ac:dyDescent="0.25">
      <c r="B51" s="1" t="s">
        <v>62</v>
      </c>
      <c r="N51" s="1">
        <v>310</v>
      </c>
      <c r="O51" s="1">
        <v>399</v>
      </c>
      <c r="P51" s="1">
        <v>396</v>
      </c>
      <c r="Q51" s="1">
        <f>-Q35*0.7</f>
        <v>385</v>
      </c>
      <c r="R51" s="1">
        <f t="shared" ref="R51:Z51" si="50">-R35*0.7</f>
        <v>385</v>
      </c>
      <c r="S51" s="1">
        <f t="shared" si="50"/>
        <v>385</v>
      </c>
      <c r="T51" s="1">
        <f t="shared" si="50"/>
        <v>385</v>
      </c>
      <c r="U51" s="1">
        <f t="shared" si="50"/>
        <v>385</v>
      </c>
      <c r="V51" s="1">
        <f t="shared" si="50"/>
        <v>385</v>
      </c>
      <c r="W51" s="1">
        <f t="shared" si="50"/>
        <v>385</v>
      </c>
      <c r="X51" s="1">
        <f t="shared" si="50"/>
        <v>385</v>
      </c>
      <c r="Y51" s="1">
        <f t="shared" si="50"/>
        <v>385</v>
      </c>
      <c r="Z51" s="1">
        <f t="shared" si="50"/>
        <v>385</v>
      </c>
    </row>
    <row r="52" spans="2:114" s="4" customFormat="1" x14ac:dyDescent="0.25">
      <c r="B52" s="4" t="s">
        <v>35</v>
      </c>
      <c r="M52" s="4">
        <f>+M47-M48+M49</f>
        <v>2358</v>
      </c>
      <c r="N52" s="4">
        <f>+N47-N48+N49</f>
        <v>2800</v>
      </c>
      <c r="O52" s="4">
        <f>+O47-O48+O49</f>
        <v>3121</v>
      </c>
      <c r="P52" s="4">
        <f>+P47-P48+P49</f>
        <v>3065</v>
      </c>
      <c r="Q52" s="4">
        <f>+Q47-Q48</f>
        <v>1151.6555748031228</v>
      </c>
      <c r="R52" s="4">
        <f t="shared" ref="P52:Z52" si="51">+R47-R48</f>
        <v>1146.013554819513</v>
      </c>
      <c r="S52" s="4">
        <f t="shared" si="51"/>
        <v>1150.1648038813739</v>
      </c>
      <c r="T52" s="4">
        <f t="shared" si="51"/>
        <v>1157.1169636922245</v>
      </c>
      <c r="U52" s="4">
        <f t="shared" si="51"/>
        <v>1170.6037992652507</v>
      </c>
      <c r="V52" s="4">
        <f t="shared" si="51"/>
        <v>1200.0802268941889</v>
      </c>
      <c r="W52" s="4">
        <f t="shared" si="51"/>
        <v>1227.6673428544198</v>
      </c>
      <c r="X52" s="4">
        <f t="shared" si="51"/>
        <v>1255.8924528539219</v>
      </c>
      <c r="Y52" s="4">
        <f t="shared" si="51"/>
        <v>1284.773902254545</v>
      </c>
      <c r="Z52" s="4">
        <f t="shared" si="51"/>
        <v>1314.3306030843837</v>
      </c>
    </row>
    <row r="53" spans="2:114" s="14" customFormat="1" x14ac:dyDescent="0.25">
      <c r="B53" s="14" t="s">
        <v>66</v>
      </c>
      <c r="N53" s="14">
        <f>+N47-N48+N50+N51</f>
        <v>4271</v>
      </c>
      <c r="O53" s="14">
        <f>+O47-O48+O50+O51</f>
        <v>4162</v>
      </c>
      <c r="P53" s="14">
        <f>+P47-P48+P50+P51</f>
        <v>3998</v>
      </c>
      <c r="Q53" s="14">
        <f>+Q52+Q51</f>
        <v>1536.6555748031228</v>
      </c>
      <c r="R53" s="14">
        <f t="shared" ref="R53:Z53" si="52">+R52+R51</f>
        <v>1531.013554819513</v>
      </c>
      <c r="S53" s="14">
        <f t="shared" si="52"/>
        <v>1535.1648038813739</v>
      </c>
      <c r="T53" s="14">
        <f t="shared" si="52"/>
        <v>1542.1169636922245</v>
      </c>
      <c r="U53" s="14">
        <f t="shared" si="52"/>
        <v>1555.6037992652507</v>
      </c>
      <c r="V53" s="14">
        <f t="shared" si="52"/>
        <v>1585.0802268941889</v>
      </c>
      <c r="W53" s="14">
        <f t="shared" si="52"/>
        <v>1612.6673428544198</v>
      </c>
      <c r="X53" s="14">
        <f t="shared" si="52"/>
        <v>1640.8924528539219</v>
      </c>
      <c r="Y53" s="14">
        <f t="shared" si="52"/>
        <v>1669.773902254545</v>
      </c>
      <c r="Z53" s="14">
        <f t="shared" si="52"/>
        <v>1699.3306030843837</v>
      </c>
      <c r="AA53" s="14">
        <f t="shared" ref="AA53:BF53" si="53">+Z53*(1+TR)</f>
        <v>1724.8205621306493</v>
      </c>
      <c r="AB53" s="14">
        <f t="shared" si="53"/>
        <v>1750.6928705626087</v>
      </c>
      <c r="AC53" s="14">
        <f t="shared" si="53"/>
        <v>1776.9532636210477</v>
      </c>
      <c r="AD53" s="14">
        <f t="shared" si="53"/>
        <v>1803.6075625753631</v>
      </c>
      <c r="AE53" s="14">
        <f t="shared" si="53"/>
        <v>1830.6616760139934</v>
      </c>
      <c r="AF53" s="14">
        <f t="shared" si="53"/>
        <v>1858.1216011542031</v>
      </c>
      <c r="AG53" s="14">
        <f t="shared" si="53"/>
        <v>1885.993425171516</v>
      </c>
      <c r="AH53" s="14">
        <f t="shared" si="53"/>
        <v>1914.2833265490885</v>
      </c>
      <c r="AI53" s="14">
        <f t="shared" si="53"/>
        <v>1942.9975764473247</v>
      </c>
      <c r="AJ53" s="14">
        <f t="shared" si="53"/>
        <v>1972.1425400940343</v>
      </c>
      <c r="AK53" s="14">
        <f t="shared" si="53"/>
        <v>2001.7246781954445</v>
      </c>
      <c r="AL53" s="14">
        <f t="shared" si="53"/>
        <v>2031.750548368376</v>
      </c>
      <c r="AM53" s="14">
        <f t="shared" si="53"/>
        <v>2062.2268065939015</v>
      </c>
      <c r="AN53" s="14">
        <f t="shared" si="53"/>
        <v>2093.1602086928096</v>
      </c>
      <c r="AO53" s="14">
        <f t="shared" si="53"/>
        <v>2124.5576118232016</v>
      </c>
      <c r="AP53" s="14">
        <f t="shared" si="53"/>
        <v>2156.4259760005493</v>
      </c>
      <c r="AQ53" s="14">
        <f t="shared" si="53"/>
        <v>2188.7723656405574</v>
      </c>
      <c r="AR53" s="14">
        <f t="shared" si="53"/>
        <v>2221.6039511251656</v>
      </c>
      <c r="AS53" s="14">
        <f t="shared" si="53"/>
        <v>2254.9280103920428</v>
      </c>
      <c r="AT53" s="14">
        <f t="shared" si="53"/>
        <v>2288.7519305479232</v>
      </c>
      <c r="AU53" s="14">
        <f t="shared" si="53"/>
        <v>2323.0832095061419</v>
      </c>
      <c r="AV53" s="14">
        <f t="shared" si="53"/>
        <v>2357.9294576487337</v>
      </c>
      <c r="AW53" s="14">
        <f t="shared" si="53"/>
        <v>2393.2983995134646</v>
      </c>
      <c r="AX53" s="14">
        <f t="shared" si="53"/>
        <v>2429.1978755061664</v>
      </c>
      <c r="AY53" s="14">
        <f t="shared" si="53"/>
        <v>2465.6358436387586</v>
      </c>
      <c r="AZ53" s="14">
        <f t="shared" si="53"/>
        <v>2502.62038129334</v>
      </c>
      <c r="BA53" s="14">
        <f t="shared" si="53"/>
        <v>2540.1596870127396</v>
      </c>
      <c r="BB53" s="14">
        <f t="shared" si="53"/>
        <v>2578.2620823179304</v>
      </c>
      <c r="BC53" s="14">
        <f t="shared" si="53"/>
        <v>2616.936013552699</v>
      </c>
      <c r="BD53" s="14">
        <f t="shared" si="53"/>
        <v>2656.1900537559891</v>
      </c>
      <c r="BE53" s="14">
        <f t="shared" si="53"/>
        <v>2696.0329045623284</v>
      </c>
      <c r="BF53" s="14">
        <f t="shared" si="53"/>
        <v>2736.4733981307631</v>
      </c>
      <c r="BG53" s="14">
        <f t="shared" ref="BG53:CL53" si="54">+BF53*(1+TR)</f>
        <v>2777.5204991027244</v>
      </c>
      <c r="BH53" s="14">
        <f t="shared" si="54"/>
        <v>2819.1833065892652</v>
      </c>
      <c r="BI53" s="14">
        <f t="shared" si="54"/>
        <v>2861.4710561881038</v>
      </c>
      <c r="BJ53" s="14">
        <f t="shared" si="54"/>
        <v>2904.393122030925</v>
      </c>
      <c r="BK53" s="14">
        <f t="shared" si="54"/>
        <v>2947.9590188613888</v>
      </c>
      <c r="BL53" s="14">
        <f t="shared" si="54"/>
        <v>2992.1784041443093</v>
      </c>
      <c r="BM53" s="14">
        <f t="shared" si="54"/>
        <v>3037.0610802064734</v>
      </c>
      <c r="BN53" s="14">
        <f t="shared" si="54"/>
        <v>3082.6169964095702</v>
      </c>
      <c r="BO53" s="14">
        <f t="shared" si="54"/>
        <v>3128.8562513557135</v>
      </c>
      <c r="BP53" s="14">
        <f t="shared" si="54"/>
        <v>3175.7890951260488</v>
      </c>
      <c r="BQ53" s="14">
        <f t="shared" si="54"/>
        <v>3223.4259315529393</v>
      </c>
      <c r="BR53" s="14">
        <f t="shared" si="54"/>
        <v>3271.7773205262333</v>
      </c>
      <c r="BS53" s="14">
        <f t="shared" si="54"/>
        <v>3320.8539803341264</v>
      </c>
      <c r="BT53" s="14">
        <f t="shared" si="54"/>
        <v>3370.666790039138</v>
      </c>
      <c r="BU53" s="14">
        <f t="shared" si="54"/>
        <v>3421.2267918897246</v>
      </c>
      <c r="BV53" s="14">
        <f t="shared" si="54"/>
        <v>3472.54519376807</v>
      </c>
      <c r="BW53" s="14">
        <f t="shared" si="54"/>
        <v>3524.6333716745908</v>
      </c>
      <c r="BX53" s="14">
        <f t="shared" si="54"/>
        <v>3577.5028722497091</v>
      </c>
      <c r="BY53" s="14">
        <f t="shared" si="54"/>
        <v>3631.1654153334543</v>
      </c>
      <c r="BZ53" s="14">
        <f t="shared" si="54"/>
        <v>3685.6328965634557</v>
      </c>
      <c r="CA53" s="14">
        <f t="shared" si="54"/>
        <v>3740.9173900119072</v>
      </c>
      <c r="CB53" s="14">
        <f t="shared" si="54"/>
        <v>3797.0311508620853</v>
      </c>
      <c r="CC53" s="14">
        <f t="shared" si="54"/>
        <v>3853.9866181250163</v>
      </c>
      <c r="CD53" s="14">
        <f t="shared" si="54"/>
        <v>3911.7964173968912</v>
      </c>
      <c r="CE53" s="14">
        <f t="shared" si="54"/>
        <v>3970.4733636578444</v>
      </c>
      <c r="CF53" s="14">
        <f t="shared" si="54"/>
        <v>4030.0304641127118</v>
      </c>
      <c r="CG53" s="14">
        <f t="shared" si="54"/>
        <v>4090.480921074402</v>
      </c>
      <c r="CH53" s="14">
        <f t="shared" si="54"/>
        <v>4151.8381348905177</v>
      </c>
      <c r="CI53" s="14">
        <f t="shared" si="54"/>
        <v>4214.1157069138753</v>
      </c>
      <c r="CJ53" s="14">
        <f t="shared" si="54"/>
        <v>4277.3274425175832</v>
      </c>
      <c r="CK53" s="14">
        <f t="shared" si="54"/>
        <v>4341.4873541553461</v>
      </c>
      <c r="CL53" s="14">
        <f t="shared" si="54"/>
        <v>4406.6096644676754</v>
      </c>
      <c r="CM53" s="14">
        <f t="shared" ref="CM53:DJ53" si="55">+CL53*(1+TR)</f>
        <v>4472.70880943469</v>
      </c>
      <c r="CN53" s="14">
        <f t="shared" si="55"/>
        <v>4539.7994415762096</v>
      </c>
      <c r="CO53" s="14">
        <f t="shared" si="55"/>
        <v>4607.8964331998523</v>
      </c>
      <c r="CP53" s="14">
        <f t="shared" si="55"/>
        <v>4677.0148796978492</v>
      </c>
      <c r="CQ53" s="14">
        <f t="shared" si="55"/>
        <v>4747.1701028933167</v>
      </c>
      <c r="CR53" s="14">
        <f t="shared" si="55"/>
        <v>4818.3776544367156</v>
      </c>
      <c r="CS53" s="14">
        <f t="shared" si="55"/>
        <v>4890.6533192532661</v>
      </c>
      <c r="CT53" s="14">
        <f t="shared" si="55"/>
        <v>4964.0131190420643</v>
      </c>
      <c r="CU53" s="14">
        <f t="shared" si="55"/>
        <v>5038.4733158276949</v>
      </c>
      <c r="CV53" s="14">
        <f t="shared" si="55"/>
        <v>5114.0504155651097</v>
      </c>
      <c r="CW53" s="14">
        <f t="shared" si="55"/>
        <v>5190.7611717985856</v>
      </c>
      <c r="CX53" s="14">
        <f t="shared" si="55"/>
        <v>5268.6225893755636</v>
      </c>
      <c r="CY53" s="14">
        <f t="shared" si="55"/>
        <v>5347.6519282161962</v>
      </c>
      <c r="CZ53" s="14">
        <f t="shared" si="55"/>
        <v>5427.8667071394384</v>
      </c>
      <c r="DA53" s="14">
        <f t="shared" si="55"/>
        <v>5509.2847077465294</v>
      </c>
      <c r="DB53" s="14">
        <f t="shared" si="55"/>
        <v>5591.9239783627272</v>
      </c>
      <c r="DC53" s="14">
        <f t="shared" si="55"/>
        <v>5675.8028380381675</v>
      </c>
      <c r="DD53" s="14">
        <f t="shared" si="55"/>
        <v>5760.9398806087393</v>
      </c>
      <c r="DE53" s="14">
        <f t="shared" si="55"/>
        <v>5847.3539788178696</v>
      </c>
      <c r="DF53" s="14">
        <f t="shared" si="55"/>
        <v>5935.0642885001371</v>
      </c>
      <c r="DG53" s="14">
        <f t="shared" si="55"/>
        <v>6024.0902528276383</v>
      </c>
      <c r="DH53" s="14">
        <f t="shared" si="55"/>
        <v>6114.4516066200522</v>
      </c>
      <c r="DI53" s="14">
        <f t="shared" si="55"/>
        <v>6206.1683807193522</v>
      </c>
      <c r="DJ53" s="14">
        <f t="shared" si="55"/>
        <v>6299.2609064301414</v>
      </c>
    </row>
    <row r="54" spans="2:114" x14ac:dyDescent="0.25">
      <c r="N54" s="10"/>
      <c r="O54" s="10"/>
      <c r="P54" s="10"/>
    </row>
    <row r="55" spans="2:114" x14ac:dyDescent="0.25">
      <c r="B55" s="1" t="s">
        <v>36</v>
      </c>
      <c r="E55" s="1">
        <v>12018</v>
      </c>
      <c r="N55" s="1">
        <v>12360</v>
      </c>
      <c r="O55" s="1">
        <v>13011</v>
      </c>
      <c r="P55" s="1">
        <v>12168</v>
      </c>
    </row>
    <row r="56" spans="2:114" ht="16.5" x14ac:dyDescent="0.25">
      <c r="B56" s="1" t="s">
        <v>37</v>
      </c>
      <c r="E56" s="1">
        <v>4734</v>
      </c>
      <c r="N56" s="1">
        <v>6290</v>
      </c>
      <c r="O56" s="1">
        <v>6564</v>
      </c>
      <c r="P56" s="1">
        <v>6179</v>
      </c>
      <c r="Z56" s="8"/>
    </row>
    <row r="57" spans="2:114" ht="16.5" x14ac:dyDescent="0.25">
      <c r="B57" s="1" t="s">
        <v>38</v>
      </c>
      <c r="E57" s="1">
        <f>3986+6609</f>
        <v>10595</v>
      </c>
      <c r="N57" s="1">
        <f>2224+7264</f>
        <v>9488</v>
      </c>
      <c r="O57" s="1">
        <f>7589+3229</f>
        <v>10818</v>
      </c>
      <c r="P57" s="1">
        <f>7044+3289</f>
        <v>10333</v>
      </c>
    </row>
    <row r="58" spans="2:114" ht="16.5" x14ac:dyDescent="0.25">
      <c r="B58" s="1" t="s">
        <v>39</v>
      </c>
      <c r="E58" s="1">
        <f>+E55+E56-E57</f>
        <v>6157</v>
      </c>
      <c r="N58" s="1">
        <f>+N55+N56-N57</f>
        <v>9162</v>
      </c>
      <c r="O58" s="1">
        <f>+O55+O56-O57</f>
        <v>8757</v>
      </c>
      <c r="P58" s="1">
        <f>+P55+P56-P57</f>
        <v>8014</v>
      </c>
    </row>
    <row r="60" spans="2:114" x14ac:dyDescent="0.25">
      <c r="B60" s="1" t="s">
        <v>63</v>
      </c>
      <c r="N60" s="1">
        <v>728</v>
      </c>
      <c r="O60" s="1">
        <v>705</v>
      </c>
      <c r="P60" s="1">
        <v>59</v>
      </c>
    </row>
    <row r="61" spans="2:114" x14ac:dyDescent="0.25">
      <c r="B61" s="1" t="s">
        <v>50</v>
      </c>
      <c r="M61" s="1">
        <v>481</v>
      </c>
      <c r="N61" s="11">
        <v>481</v>
      </c>
      <c r="O61" s="1">
        <v>626</v>
      </c>
      <c r="P61" s="1">
        <v>813</v>
      </c>
    </row>
    <row r="62" spans="2:114" s="5" customFormat="1" x14ac:dyDescent="0.25">
      <c r="B62" s="5" t="s">
        <v>51</v>
      </c>
      <c r="M62" s="5">
        <f>+M61/M38</f>
        <v>0.30734824281150158</v>
      </c>
      <c r="N62" s="5">
        <f t="shared" ref="N62:P62" si="56">+N61/N38</f>
        <v>0.53385127635960039</v>
      </c>
      <c r="O62" s="5">
        <f t="shared" si="56"/>
        <v>0.79140328697850826</v>
      </c>
      <c r="P62" s="5">
        <f t="shared" si="56"/>
        <v>0.75347544022242818</v>
      </c>
    </row>
    <row r="63" spans="2:114" s="11" customFormat="1" x14ac:dyDescent="0.25">
      <c r="B63" s="11" t="s">
        <v>64</v>
      </c>
      <c r="N63" s="11">
        <f>+N60+N61</f>
        <v>1209</v>
      </c>
      <c r="O63" s="11">
        <f>+O60+O61</f>
        <v>1331</v>
      </c>
      <c r="P63" s="11">
        <f>+P60+P61</f>
        <v>872</v>
      </c>
    </row>
    <row r="65" spans="2:16" x14ac:dyDescent="0.25">
      <c r="B65" s="1" t="s">
        <v>58</v>
      </c>
      <c r="N65" s="6">
        <f t="shared" ref="N65:O65" si="57">+N67/N57</f>
        <v>2.7192242833052275E-2</v>
      </c>
      <c r="O65" s="6">
        <f t="shared" si="57"/>
        <v>3.6882972823072659E-2</v>
      </c>
      <c r="P65" s="6">
        <f>+P67/P57</f>
        <v>4.0646472466853767E-2</v>
      </c>
    </row>
    <row r="67" spans="2:16" x14ac:dyDescent="0.25">
      <c r="B67" s="1" t="s">
        <v>59</v>
      </c>
      <c r="N67" s="1">
        <v>258</v>
      </c>
      <c r="O67" s="1">
        <v>399</v>
      </c>
      <c r="P67" s="1">
        <f>210*2</f>
        <v>420</v>
      </c>
    </row>
    <row r="68" spans="2:16" x14ac:dyDescent="0.25">
      <c r="B68" s="1" t="s">
        <v>60</v>
      </c>
      <c r="N68" s="1">
        <v>208</v>
      </c>
      <c r="O68" s="1">
        <v>222</v>
      </c>
      <c r="P68" s="1">
        <f>119*2</f>
        <v>238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Model</vt:lpstr>
      <vt:lpstr>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2025-01-28T20:14:32Z</dcterms:created>
  <dcterms:modified xsi:type="dcterms:W3CDTF">2026-02-18T12:48:50Z</dcterms:modified>
</cp:coreProperties>
</file>