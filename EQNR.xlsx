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74079BF9-5ED1-4173-8CA5-3EB32D89BF53}" xr6:coauthVersionLast="47" xr6:coauthVersionMax="47" xr10:uidLastSave="{00000000-0000-0000-0000-000000000000}"/>
  <bookViews>
    <workbookView xWindow="-120" yWindow="-120" windowWidth="29040" windowHeight="15840" tabRatio="1000" activeTab="1" xr2:uid="{ACFD8C18-DE68-4D3F-A1E3-10D8030D09BF}"/>
  </bookViews>
  <sheets>
    <sheet name="Main" sheetId="1" r:id="rId1"/>
    <sheet name="Model" sheetId="2" r:id="rId2"/>
  </sheets>
  <definedNames>
    <definedName name="MV">Model!$AA$38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3" i="2" l="1"/>
  <c r="T33" i="2" s="1"/>
  <c r="U33" i="2" s="1"/>
  <c r="V33" i="2" s="1"/>
  <c r="W33" i="2" s="1"/>
  <c r="X33" i="2" s="1"/>
  <c r="R13" i="2"/>
  <c r="S13" i="2" s="1"/>
  <c r="T13" i="2" s="1"/>
  <c r="R12" i="2"/>
  <c r="S12" i="2" s="1"/>
  <c r="T12" i="2" s="1"/>
  <c r="U12" i="2" s="1"/>
  <c r="V12" i="2" s="1"/>
  <c r="W12" i="2" s="1"/>
  <c r="X12" i="2" s="1"/>
  <c r="R33" i="2"/>
  <c r="Q33" i="2"/>
  <c r="O35" i="2"/>
  <c r="P35" i="2"/>
  <c r="K81" i="1"/>
  <c r="P10" i="2"/>
  <c r="R10" i="2"/>
  <c r="S10" i="2" s="1"/>
  <c r="T10" i="2" s="1"/>
  <c r="U10" i="2" s="1"/>
  <c r="V10" i="2" s="1"/>
  <c r="W10" i="2" s="1"/>
  <c r="X10" i="2" s="1"/>
  <c r="R11" i="2"/>
  <c r="S11" i="2"/>
  <c r="T11" i="2" s="1"/>
  <c r="U11" i="2" s="1"/>
  <c r="V11" i="2" s="1"/>
  <c r="W11" i="2" s="1"/>
  <c r="X11" i="2" s="1"/>
  <c r="Q9" i="2"/>
  <c r="Q3" i="2" s="1"/>
  <c r="Q8" i="2"/>
  <c r="Q28" i="2"/>
  <c r="R28" i="2" s="1"/>
  <c r="S28" i="2" s="1"/>
  <c r="T28" i="2" s="1"/>
  <c r="U28" i="2" s="1"/>
  <c r="V28" i="2" s="1"/>
  <c r="W28" i="2" s="1"/>
  <c r="X28" i="2" s="1"/>
  <c r="S6" i="2"/>
  <c r="S19" i="2" s="1"/>
  <c r="G37" i="2"/>
  <c r="I39" i="2"/>
  <c r="J39" i="2"/>
  <c r="Q26" i="2"/>
  <c r="R26" i="2" s="1"/>
  <c r="S26" i="2" s="1"/>
  <c r="T26" i="2" s="1"/>
  <c r="U26" i="2" s="1"/>
  <c r="V26" i="2" s="1"/>
  <c r="W26" i="2" s="1"/>
  <c r="X26" i="2" s="1"/>
  <c r="R25" i="2"/>
  <c r="S25" i="2" s="1"/>
  <c r="T25" i="2" s="1"/>
  <c r="U25" i="2" s="1"/>
  <c r="V25" i="2" s="1"/>
  <c r="W25" i="2" s="1"/>
  <c r="X25" i="2" s="1"/>
  <c r="Q25" i="2"/>
  <c r="Q24" i="2"/>
  <c r="R24" i="2" s="1"/>
  <c r="S24" i="2" s="1"/>
  <c r="T24" i="2" s="1"/>
  <c r="U24" i="2" s="1"/>
  <c r="V24" i="2" s="1"/>
  <c r="W24" i="2" s="1"/>
  <c r="X24" i="2" s="1"/>
  <c r="R23" i="2"/>
  <c r="S23" i="2" s="1"/>
  <c r="T23" i="2" s="1"/>
  <c r="U23" i="2" s="1"/>
  <c r="V23" i="2" s="1"/>
  <c r="W23" i="2" s="1"/>
  <c r="X23" i="2" s="1"/>
  <c r="Q23" i="2"/>
  <c r="N84" i="1"/>
  <c r="R4" i="2"/>
  <c r="S4" i="2" s="1"/>
  <c r="T4" i="2" s="1"/>
  <c r="Q4" i="2"/>
  <c r="Q6" i="2" s="1"/>
  <c r="Q19" i="2" s="1"/>
  <c r="R15" i="2"/>
  <c r="Q16" i="2"/>
  <c r="Q15" i="2"/>
  <c r="F60" i="1"/>
  <c r="P15" i="2"/>
  <c r="P16" i="2"/>
  <c r="P11" i="2" s="1"/>
  <c r="P17" i="2"/>
  <c r="Q17" i="2" s="1"/>
  <c r="R17" i="2" s="1"/>
  <c r="S17" i="2" s="1"/>
  <c r="T17" i="2" s="1"/>
  <c r="U17" i="2" s="1"/>
  <c r="V17" i="2" s="1"/>
  <c r="W17" i="2" s="1"/>
  <c r="X17" i="2" s="1"/>
  <c r="P18" i="2"/>
  <c r="Q18" i="2" s="1"/>
  <c r="R18" i="2" s="1"/>
  <c r="S18" i="2" s="1"/>
  <c r="T18" i="2" s="1"/>
  <c r="U18" i="2" s="1"/>
  <c r="V18" i="2" s="1"/>
  <c r="W18" i="2" s="1"/>
  <c r="X18" i="2" s="1"/>
  <c r="O16" i="2"/>
  <c r="O11" i="2" s="1"/>
  <c r="O17" i="2"/>
  <c r="O18" i="2"/>
  <c r="O19" i="2" s="1"/>
  <c r="O15" i="2"/>
  <c r="O10" i="2" s="1"/>
  <c r="D37" i="1"/>
  <c r="Q66" i="1"/>
  <c r="N53" i="2"/>
  <c r="O53" i="2"/>
  <c r="P53" i="2"/>
  <c r="M53" i="2"/>
  <c r="P48" i="2"/>
  <c r="P49" i="2" s="1"/>
  <c r="E9" i="1"/>
  <c r="P3" i="2"/>
  <c r="N81" i="1"/>
  <c r="K82" i="1"/>
  <c r="N82" i="1" s="1"/>
  <c r="K83" i="1"/>
  <c r="N83" i="1" s="1"/>
  <c r="M78" i="1"/>
  <c r="K12" i="1"/>
  <c r="K11" i="1"/>
  <c r="J5" i="1"/>
  <c r="D60" i="1"/>
  <c r="E60" i="1" s="1"/>
  <c r="H57" i="1"/>
  <c r="H56" i="1"/>
  <c r="H55" i="1"/>
  <c r="H54" i="1"/>
  <c r="H53" i="1"/>
  <c r="H47" i="1"/>
  <c r="H48" i="1"/>
  <c r="H49" i="1"/>
  <c r="H50" i="1"/>
  <c r="H46" i="1"/>
  <c r="D15" i="1"/>
  <c r="C15" i="1"/>
  <c r="C22" i="2"/>
  <c r="C27" i="2" s="1"/>
  <c r="C30" i="2" s="1"/>
  <c r="C32" i="2" s="1"/>
  <c r="C38" i="2" s="1"/>
  <c r="D22" i="2"/>
  <c r="D27" i="2" s="1"/>
  <c r="D30" i="2" s="1"/>
  <c r="D32" i="2" s="1"/>
  <c r="D38" i="2" s="1"/>
  <c r="E22" i="2"/>
  <c r="E27" i="2" s="1"/>
  <c r="E30" i="2" s="1"/>
  <c r="E32" i="2" s="1"/>
  <c r="E38" i="2" s="1"/>
  <c r="F22" i="2"/>
  <c r="F27" i="2" s="1"/>
  <c r="F30" i="2" s="1"/>
  <c r="F32" i="2" s="1"/>
  <c r="F38" i="2" s="1"/>
  <c r="G22" i="2"/>
  <c r="G27" i="2" s="1"/>
  <c r="G30" i="2" s="1"/>
  <c r="G32" i="2" s="1"/>
  <c r="G38" i="2" s="1"/>
  <c r="H22" i="2"/>
  <c r="H27" i="2" s="1"/>
  <c r="H30" i="2" s="1"/>
  <c r="H32" i="2" s="1"/>
  <c r="H38" i="2" s="1"/>
  <c r="I22" i="2"/>
  <c r="I27" i="2" s="1"/>
  <c r="I30" i="2" s="1"/>
  <c r="I32" i="2" s="1"/>
  <c r="I38" i="2" s="1"/>
  <c r="J22" i="2"/>
  <c r="J27" i="2" s="1"/>
  <c r="J30" i="2" s="1"/>
  <c r="J32" i="2" s="1"/>
  <c r="J38" i="2" s="1"/>
  <c r="M6" i="1"/>
  <c r="P41" i="2"/>
  <c r="O48" i="2"/>
  <c r="O49" i="2" s="1"/>
  <c r="M48" i="2"/>
  <c r="M49" i="2" s="1"/>
  <c r="N48" i="2"/>
  <c r="N49" i="2" s="1"/>
  <c r="O41" i="2"/>
  <c r="N41" i="2"/>
  <c r="N22" i="2"/>
  <c r="N27" i="2" s="1"/>
  <c r="N30" i="2" s="1"/>
  <c r="N32" i="2" s="1"/>
  <c r="N38" i="2" s="1"/>
  <c r="O22" i="2"/>
  <c r="M22" i="2"/>
  <c r="M27" i="2" s="1"/>
  <c r="M30" i="2" s="1"/>
  <c r="M32" i="2" s="1"/>
  <c r="M38" i="2" s="1"/>
  <c r="U13" i="2" l="1"/>
  <c r="V13" i="2" s="1"/>
  <c r="W13" i="2" s="1"/>
  <c r="X13" i="2" s="1"/>
  <c r="T6" i="2"/>
  <c r="T19" i="2" s="1"/>
  <c r="U4" i="2"/>
  <c r="V4" i="2" s="1"/>
  <c r="F37" i="2"/>
  <c r="C39" i="2"/>
  <c r="F39" i="2"/>
  <c r="H39" i="2"/>
  <c r="E37" i="2"/>
  <c r="G39" i="2"/>
  <c r="D37" i="2"/>
  <c r="C37" i="2"/>
  <c r="J37" i="2"/>
  <c r="H37" i="2"/>
  <c r="I37" i="2"/>
  <c r="E39" i="2"/>
  <c r="R6" i="2"/>
  <c r="R19" i="2" s="1"/>
  <c r="D39" i="2"/>
  <c r="Q20" i="2"/>
  <c r="U16" i="2"/>
  <c r="R16" i="2"/>
  <c r="R20" i="2" s="1"/>
  <c r="U6" i="2"/>
  <c r="U19" i="2" s="1"/>
  <c r="X16" i="2"/>
  <c r="U15" i="2"/>
  <c r="X15" i="2"/>
  <c r="V16" i="2"/>
  <c r="W16" i="2"/>
  <c r="T16" i="2"/>
  <c r="T15" i="2"/>
  <c r="S16" i="2"/>
  <c r="S15" i="2"/>
  <c r="P19" i="2"/>
  <c r="P47" i="2"/>
  <c r="M34" i="2"/>
  <c r="N34" i="2"/>
  <c r="M7" i="1"/>
  <c r="M8" i="1" s="1"/>
  <c r="M9" i="1" s="1"/>
  <c r="O47" i="2"/>
  <c r="N56" i="2"/>
  <c r="N37" i="2"/>
  <c r="O27" i="2"/>
  <c r="O30" i="2" s="1"/>
  <c r="O37" i="2"/>
  <c r="M37" i="2"/>
  <c r="M56" i="2"/>
  <c r="M39" i="2"/>
  <c r="P22" i="2"/>
  <c r="P37" i="2" s="1"/>
  <c r="N39" i="2"/>
  <c r="S20" i="2" l="1"/>
  <c r="S21" i="2" s="1"/>
  <c r="S22" i="2" s="1"/>
  <c r="S27" i="2" s="1"/>
  <c r="S30" i="2" s="1"/>
  <c r="S31" i="2" s="1"/>
  <c r="W4" i="2"/>
  <c r="V6" i="2"/>
  <c r="V19" i="2" s="1"/>
  <c r="U20" i="2"/>
  <c r="U21" i="2" s="1"/>
  <c r="U22" i="2" s="1"/>
  <c r="U27" i="2" s="1"/>
  <c r="U30" i="2" s="1"/>
  <c r="U31" i="2" s="1"/>
  <c r="V15" i="2"/>
  <c r="V20" i="2" s="1"/>
  <c r="V21" i="2" s="1"/>
  <c r="V22" i="2" s="1"/>
  <c r="V27" i="2" s="1"/>
  <c r="V30" i="2" s="1"/>
  <c r="V31" i="2" s="1"/>
  <c r="W15" i="2"/>
  <c r="T20" i="2"/>
  <c r="T21" i="2" s="1"/>
  <c r="T22" i="2" s="1"/>
  <c r="T27" i="2" s="1"/>
  <c r="T30" i="2" s="1"/>
  <c r="T31" i="2" s="1"/>
  <c r="Q21" i="2"/>
  <c r="Q22" i="2" s="1"/>
  <c r="Q27" i="2" s="1"/>
  <c r="Q30" i="2" s="1"/>
  <c r="Q31" i="2" s="1"/>
  <c r="R21" i="2"/>
  <c r="R22" i="2" s="1"/>
  <c r="R27" i="2" s="1"/>
  <c r="R30" i="2" s="1"/>
  <c r="R31" i="2" s="1"/>
  <c r="O32" i="2"/>
  <c r="O34" i="2" s="1"/>
  <c r="O39" i="2"/>
  <c r="P27" i="2"/>
  <c r="P30" i="2" s="1"/>
  <c r="R41" i="2"/>
  <c r="Q41" i="2"/>
  <c r="W6" i="2" l="1"/>
  <c r="W19" i="2" s="1"/>
  <c r="W20" i="2" s="1"/>
  <c r="W21" i="2" s="1"/>
  <c r="W22" i="2" s="1"/>
  <c r="W27" i="2" s="1"/>
  <c r="W30" i="2" s="1"/>
  <c r="W31" i="2" s="1"/>
  <c r="X4" i="2"/>
  <c r="X6" i="2" s="1"/>
  <c r="X19" i="2" s="1"/>
  <c r="X20" i="2" s="1"/>
  <c r="X21" i="2" s="1"/>
  <c r="X22" i="2" s="1"/>
  <c r="X27" i="2" s="1"/>
  <c r="X30" i="2" s="1"/>
  <c r="X31" i="2" s="1"/>
  <c r="O56" i="2"/>
  <c r="O38" i="2"/>
  <c r="O42" i="2"/>
  <c r="P32" i="2"/>
  <c r="P39" i="2"/>
  <c r="S41" i="2"/>
  <c r="Q37" i="2"/>
  <c r="R37" i="2"/>
  <c r="P42" i="2" l="1"/>
  <c r="P34" i="2"/>
  <c r="P56" i="2"/>
  <c r="P38" i="2"/>
  <c r="T41" i="2"/>
  <c r="Q39" i="2"/>
  <c r="S37" i="2"/>
  <c r="R39" i="2"/>
  <c r="T37" i="2" l="1"/>
  <c r="R32" i="2"/>
  <c r="R34" i="2" s="1"/>
  <c r="U41" i="2"/>
  <c r="S39" i="2"/>
  <c r="Q32" i="2"/>
  <c r="Q51" i="2" s="1"/>
  <c r="R51" i="2" l="1"/>
  <c r="Q34" i="2"/>
  <c r="Q35" i="2" s="1"/>
  <c r="R35" i="2"/>
  <c r="Q42" i="2"/>
  <c r="Q53" i="2"/>
  <c r="R53" i="2"/>
  <c r="R42" i="2"/>
  <c r="Q38" i="2"/>
  <c r="U37" i="2"/>
  <c r="S32" i="2"/>
  <c r="S51" i="2" s="1"/>
  <c r="V41" i="2"/>
  <c r="R38" i="2"/>
  <c r="T39" i="2"/>
  <c r="S34" i="2" l="1"/>
  <c r="S35" i="2" s="1"/>
  <c r="S42" i="2"/>
  <c r="S53" i="2"/>
  <c r="V37" i="2"/>
  <c r="U39" i="2"/>
  <c r="T32" i="2"/>
  <c r="T51" i="2" s="1"/>
  <c r="S38" i="2"/>
  <c r="W41" i="2"/>
  <c r="T34" i="2" l="1"/>
  <c r="T35" i="2" s="1"/>
  <c r="T53" i="2"/>
  <c r="T38" i="2"/>
  <c r="T42" i="2"/>
  <c r="X41" i="2"/>
  <c r="W37" i="2"/>
  <c r="U32" i="2"/>
  <c r="V39" i="2"/>
  <c r="U42" i="2" l="1"/>
  <c r="U34" i="2"/>
  <c r="U35" i="2" s="1"/>
  <c r="X37" i="2"/>
  <c r="U38" i="2"/>
  <c r="V32" i="2"/>
  <c r="V34" i="2" s="1"/>
  <c r="V35" i="2" s="1"/>
  <c r="W39" i="2"/>
  <c r="V38" i="2" l="1"/>
  <c r="V42" i="2"/>
  <c r="W32" i="2"/>
  <c r="X39" i="2"/>
  <c r="W42" i="2" l="1"/>
  <c r="W34" i="2"/>
  <c r="W35" i="2" s="1"/>
  <c r="X32" i="2"/>
  <c r="X34" i="2" s="1"/>
  <c r="X35" i="2" s="1"/>
  <c r="W38" i="2"/>
  <c r="X42" i="2" l="1"/>
  <c r="Y32" i="2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X38" i="2"/>
  <c r="AA39" i="2" l="1"/>
  <c r="AA41" i="2" s="1"/>
  <c r="AA42" i="2" s="1"/>
  <c r="AA4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8" authorId="0" shapeId="0" xr:uid="{7469EAE6-307F-4649-8694-876810A5F052}">
      <text>
        <r>
          <rPr>
            <b/>
            <sz val="9"/>
            <color indexed="81"/>
            <rFont val="Tahoma"/>
            <family val="2"/>
          </rPr>
          <t xml:space="preserve">Maximilian Kutzer:
</t>
        </r>
        <r>
          <rPr>
            <sz val="9"/>
            <color indexed="81"/>
            <rFont val="Tahoma"/>
            <family val="2"/>
          </rPr>
          <t>thousand boe per day
kboe p.d.</t>
        </r>
      </text>
    </comment>
    <comment ref="B10" authorId="0" shapeId="0" xr:uid="{3A7A730F-6D81-46AD-903C-398095904B2D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Million Barrels
</t>
        </r>
      </text>
    </comment>
  </commentList>
</comments>
</file>

<file path=xl/sharedStrings.xml><?xml version="1.0" encoding="utf-8"?>
<sst xmlns="http://schemas.openxmlformats.org/spreadsheetml/2006/main" count="306" uniqueCount="207">
  <si>
    <t>Revenue</t>
  </si>
  <si>
    <t>COGS</t>
  </si>
  <si>
    <t>Gross Profit</t>
  </si>
  <si>
    <t>Operating Expense</t>
  </si>
  <si>
    <t>SG&amp;A</t>
  </si>
  <si>
    <t>D&amp;A</t>
  </si>
  <si>
    <t>R&amp;D</t>
  </si>
  <si>
    <t>Operating Income</t>
  </si>
  <si>
    <t>Interest</t>
  </si>
  <si>
    <t>Finance</t>
  </si>
  <si>
    <t>Pretax Income</t>
  </si>
  <si>
    <t>Taxes</t>
  </si>
  <si>
    <t>Net Income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</si>
  <si>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</si>
  <si>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</si>
  <si>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</si>
  <si>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</si>
  <si>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</si>
  <si>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</si>
  <si>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</si>
  <si>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</si>
  <si>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</si>
  <si>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</si>
  <si>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</si>
  <si>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</si>
  <si>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Gross Margin</t>
  </si>
  <si>
    <t>Net Margin</t>
  </si>
  <si>
    <t>PP&amp;E</t>
  </si>
  <si>
    <t>Revenue Y/Y</t>
  </si>
  <si>
    <t>Inventory</t>
  </si>
  <si>
    <t>Cash</t>
  </si>
  <si>
    <t>Debt</t>
  </si>
  <si>
    <t>NAV</t>
  </si>
  <si>
    <t>Capex</t>
  </si>
  <si>
    <t>Free Cashflow</t>
  </si>
  <si>
    <t>Dividends</t>
  </si>
  <si>
    <t>Ratio</t>
  </si>
  <si>
    <t>Discount</t>
  </si>
  <si>
    <t>Maturity</t>
  </si>
  <si>
    <t>NPV</t>
  </si>
  <si>
    <t>Net Cash</t>
  </si>
  <si>
    <t>Value</t>
  </si>
  <si>
    <t>Price</t>
  </si>
  <si>
    <t>Income Y/Y</t>
  </si>
  <si>
    <t>Shares</t>
  </si>
  <si>
    <t>Cap</t>
  </si>
  <si>
    <t>EV</t>
  </si>
  <si>
    <t>Upside</t>
  </si>
  <si>
    <t>Q121</t>
  </si>
  <si>
    <t>Q221</t>
  </si>
  <si>
    <t>Q321</t>
  </si>
  <si>
    <t>Q421</t>
  </si>
  <si>
    <t>Q122</t>
  </si>
  <si>
    <t>Q222</t>
  </si>
  <si>
    <t>Q322</t>
  </si>
  <si>
    <t>Q422</t>
  </si>
  <si>
    <t>Cost of Debt</t>
  </si>
  <si>
    <t xml:space="preserve"> </t>
  </si>
  <si>
    <t>Production per Day</t>
  </si>
  <si>
    <t>Porjects</t>
  </si>
  <si>
    <t>138 Wind turbines for 2 GW</t>
  </si>
  <si>
    <t>7 complete 2021</t>
  </si>
  <si>
    <t>20 completions</t>
  </si>
  <si>
    <t>Exploration &amp; Production Norway</t>
  </si>
  <si>
    <t>Assets involved</t>
  </si>
  <si>
    <t>Exploration &amp; Production International</t>
  </si>
  <si>
    <t>Exploration &amp; Production USA</t>
  </si>
  <si>
    <t>Marketing, Midstream &amp; Processing</t>
  </si>
  <si>
    <t>Other</t>
  </si>
  <si>
    <t>Renewables</t>
  </si>
  <si>
    <t>Norway</t>
  </si>
  <si>
    <t>US</t>
  </si>
  <si>
    <t>Denmark</t>
  </si>
  <si>
    <t>Brazil</t>
  </si>
  <si>
    <t>Crude Oil</t>
  </si>
  <si>
    <t>Nat Gas</t>
  </si>
  <si>
    <t>Refined</t>
  </si>
  <si>
    <t>Total</t>
  </si>
  <si>
    <t>Revenue by Seg.</t>
  </si>
  <si>
    <t>NGL</t>
  </si>
  <si>
    <t>Oil</t>
  </si>
  <si>
    <t>Sell Price Norway</t>
  </si>
  <si>
    <t>17B $ in 2023</t>
  </si>
  <si>
    <t>Yield</t>
  </si>
  <si>
    <t>Johan Sverdrup</t>
  </si>
  <si>
    <t>Troll Phase 1</t>
  </si>
  <si>
    <t>Oseberg</t>
  </si>
  <si>
    <t>Gullfaks</t>
  </si>
  <si>
    <t>Aasta Hansteen</t>
  </si>
  <si>
    <t>Visund</t>
  </si>
  <si>
    <t>Asgard</t>
  </si>
  <si>
    <t>Tyrihans</t>
  </si>
  <si>
    <t>Snorre</t>
  </si>
  <si>
    <t>Kvutebjorn</t>
  </si>
  <si>
    <t>Grane</t>
  </si>
  <si>
    <t>Martin Linge</t>
  </si>
  <si>
    <t>Statfjord Unit</t>
  </si>
  <si>
    <t>Troll Phase 2</t>
  </si>
  <si>
    <t>Sleipner West</t>
  </si>
  <si>
    <t>Fram</t>
  </si>
  <si>
    <t>Gina Krog</t>
  </si>
  <si>
    <t>Gudrun</t>
  </si>
  <si>
    <t>Mikkel</t>
  </si>
  <si>
    <t>Heidrun</t>
  </si>
  <si>
    <t>Kristin</t>
  </si>
  <si>
    <t>Vigdis area</t>
  </si>
  <si>
    <t>Trestakk</t>
  </si>
  <si>
    <t>Norne</t>
  </si>
  <si>
    <t>Tordis area</t>
  </si>
  <si>
    <t>The North Sea</t>
  </si>
  <si>
    <t>60% increase</t>
  </si>
  <si>
    <t>FCF over 4 years</t>
  </si>
  <si>
    <t xml:space="preserve">25 Billion </t>
  </si>
  <si>
    <t>35 exploration plants</t>
  </si>
  <si>
    <t>3% production increase</t>
  </si>
  <si>
    <t>Location</t>
  </si>
  <si>
    <t>Exp. Date</t>
  </si>
  <si>
    <t>The Norwegian Sea</t>
  </si>
  <si>
    <t>Production</t>
  </si>
  <si>
    <t>Valemon</t>
  </si>
  <si>
    <t>Morvin</t>
  </si>
  <si>
    <t>Utgard</t>
  </si>
  <si>
    <t>Roncador</t>
  </si>
  <si>
    <t>Hebron</t>
  </si>
  <si>
    <t>Hibernia</t>
  </si>
  <si>
    <t>Canada</t>
  </si>
  <si>
    <t>Block 17</t>
  </si>
  <si>
    <t>In Salah</t>
  </si>
  <si>
    <t>Agbami</t>
  </si>
  <si>
    <t>Block 15</t>
  </si>
  <si>
    <t>In Amenas</t>
  </si>
  <si>
    <t>Murzuq</t>
  </si>
  <si>
    <t>Block 31</t>
  </si>
  <si>
    <t>Angola</t>
  </si>
  <si>
    <t>Algeria</t>
  </si>
  <si>
    <t>Nigeria</t>
  </si>
  <si>
    <t>Libya</t>
  </si>
  <si>
    <t>ACG</t>
  </si>
  <si>
    <t>Mariner</t>
  </si>
  <si>
    <t>Corrib</t>
  </si>
  <si>
    <t>Barnacle</t>
  </si>
  <si>
    <t>Azerbaijan</t>
  </si>
  <si>
    <t>UK</t>
  </si>
  <si>
    <t>Ireland</t>
  </si>
  <si>
    <t>Bandurria Sur</t>
  </si>
  <si>
    <t>Argentina</t>
  </si>
  <si>
    <t>-</t>
  </si>
  <si>
    <t>Appalachian</t>
  </si>
  <si>
    <t>Caesar Tonga</t>
  </si>
  <si>
    <t>Tahiti</t>
  </si>
  <si>
    <t>Bakken</t>
  </si>
  <si>
    <t>Julia</t>
  </si>
  <si>
    <t>St. Malo</t>
  </si>
  <si>
    <t>Jack</t>
  </si>
  <si>
    <t>Big Foot</t>
  </si>
  <si>
    <t>Stampede</t>
  </si>
  <si>
    <t>Titan</t>
  </si>
  <si>
    <t>Heidelberg</t>
  </si>
  <si>
    <t>Plant:</t>
  </si>
  <si>
    <t>Cashflow of 20B per year</t>
  </si>
  <si>
    <t>for the next Decade</t>
  </si>
  <si>
    <t>Renewables:</t>
  </si>
  <si>
    <t>Oil&amp;Gas:</t>
  </si>
  <si>
    <t xml:space="preserve">Dividend of </t>
  </si>
  <si>
    <t xml:space="preserve">Dividend yield </t>
  </si>
  <si>
    <t>unprofitable under 50$ curde oil</t>
  </si>
  <si>
    <t>Sheringham Shoal</t>
  </si>
  <si>
    <t>Tubines</t>
  </si>
  <si>
    <t>Arkona</t>
  </si>
  <si>
    <t>Capacity (MW)</t>
  </si>
  <si>
    <t>Dudgeon</t>
  </si>
  <si>
    <t>Coast of Norfolk</t>
  </si>
  <si>
    <t>English east coast</t>
  </si>
  <si>
    <t>Baltic Sea (DE)</t>
  </si>
  <si>
    <t>Equity stake</t>
  </si>
  <si>
    <t>Production (GWh)</t>
  </si>
  <si>
    <t>Hywind Scotland</t>
  </si>
  <si>
    <t>Scotish east coast</t>
  </si>
  <si>
    <t>In construction</t>
  </si>
  <si>
    <t>Dogger Bank A</t>
  </si>
  <si>
    <t>Dogger Bank B</t>
  </si>
  <si>
    <t>Dogger Bank C</t>
  </si>
  <si>
    <t>Coast of Yorkshire</t>
  </si>
  <si>
    <t>Finished</t>
  </si>
  <si>
    <t>Empire Wind</t>
  </si>
  <si>
    <t>Bałtyk</t>
  </si>
  <si>
    <t>Poland</t>
  </si>
  <si>
    <t>Wind:</t>
  </si>
  <si>
    <t>approx. 0,9M$ per GWh</t>
  </si>
  <si>
    <t>2026 Supply come in (Qatar&amp;Russia)</t>
  </si>
  <si>
    <t>REN</t>
  </si>
  <si>
    <t>Oil Production pd</t>
  </si>
  <si>
    <t>Gas Production pd</t>
  </si>
  <si>
    <r>
      <t xml:space="preserve">Power Prod pa </t>
    </r>
    <r>
      <rPr>
        <sz val="8"/>
        <color theme="1"/>
        <rFont val="Calibri"/>
        <family val="2"/>
        <scheme val="minor"/>
      </rPr>
      <t>GWh</t>
    </r>
  </si>
  <si>
    <t>Gas Price</t>
  </si>
  <si>
    <t>Tot</t>
  </si>
  <si>
    <t>CFFO</t>
  </si>
  <si>
    <t>Share Buyback</t>
  </si>
  <si>
    <t>EPS</t>
  </si>
  <si>
    <t>Natural Gas</t>
  </si>
  <si>
    <t>Crude Sold</t>
  </si>
  <si>
    <t>Gas Sold</t>
  </si>
  <si>
    <t>Crude Price</t>
  </si>
  <si>
    <t>Power Revenue</t>
  </si>
  <si>
    <t>plus 17 oil&amp;gas plants</t>
  </si>
  <si>
    <t>Reserves</t>
  </si>
  <si>
    <t>EV/E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</si>
</sst>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\-&quot;€&quot;\ #,##0.00"/>
    <numFmt numFmtId="164" formatCode="#,##0.0"/>
    <numFmt numFmtId="165" formatCode="0.0%"/>
    <numFmt numFmtId="166" formatCode="#,##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9" fontId="0" fillId="0" borderId="0" xfId="1" applyFont="1"/>
    <xf numFmtId="3" fontId="0" fillId="0" borderId="0" xfId="1" applyNumberFormat="1" applyFont="1"/>
    <xf numFmtId="8" fontId="0" fillId="0" borderId="0" xfId="1" applyNumberFormat="1" applyFont="1"/>
    <xf numFmtId="2" fontId="0" fillId="0" borderId="0" xfId="1" applyNumberFormat="1" applyFont="1"/>
    <xf numFmtId="10" fontId="0" fillId="0" borderId="0" xfId="1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4" fontId="0" fillId="0" borderId="0" xfId="0" applyNumberFormat="1"/>
    <xf numFmtId="4" fontId="0" fillId="0" borderId="0" xfId="0" applyNumberFormat="1"/>
    <xf numFmtId="165" fontId="0" fillId="0" borderId="0" xfId="1" applyNumberFormat="1" applyFont="1"/>
    <xf numFmtId="0" fontId="0" fillId="0" borderId="0" xfId="0" applyAlignment="1">
      <alignment horizontal="right"/>
    </xf>
    <xf numFmtId="3" fontId="4" fillId="0" borderId="0" xfId="0" applyNumberFormat="1" applyFont="1"/>
    <xf numFmtId="166" fontId="0" fillId="0" borderId="0" xfId="0" applyNumberFormat="1"/>
    <xf numFmtId="3" fontId="1" fillId="0" borderId="0" xfId="1" applyNumberFormat="1" applyFont="1"/>
    <xf numFmtId="3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1</xdr:row>
      <xdr:rowOff>180975</xdr:rowOff>
    </xdr:from>
    <xdr:to>
      <xdr:col>16</xdr:col>
      <xdr:colOff>9525</xdr:colOff>
      <xdr:row>53</xdr:row>
      <xdr:rowOff>38100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C49C6D-8CDD-6136-E697-00A24FE556EB}"/>
            </a:ext>
          </a:extLst>
        </xdr:cNvPr>
        <xdr:cNvCxnSpPr/>
      </xdr:nvCxnSpPr>
      <xdr:spPr>
        <a:xfrm>
          <a:off x="9991725" y="371475"/>
          <a:ext cx="0" cy="6715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FC42-DEBE-4E93-A8FF-055E145872E0}">
  <dimension ref="B3:Q133"/>
  <sheetViews>
    <sheetView workbookViewId="0">
      <selection activeCell="J14" sqref="J14"/>
    </sheetView>
  </sheetViews>
  <sheetFormatPr defaultRowHeight="15" x14ac:dyDescent="0.25"/>
  <cols>
    <col min="2" max="2" width="17.28515625" customWidth="1"/>
    <col min="10" max="10" width="17.5703125" customWidth="1"/>
    <col min="12" max="12" width="11.7109375" bestFit="1" customWidth="1"/>
    <col min="13" max="13" width="14" bestFit="1" customWidth="1"/>
    <col min="14" max="14" width="16.5703125" bestFit="1" customWidth="1"/>
    <col min="15" max="15" width="18.28515625" bestFit="1" customWidth="1"/>
    <col min="16" max="16" width="9.28515625" bestFit="1" customWidth="1"/>
    <col min="17" max="18" width="10.7109375" bestFit="1" customWidth="1"/>
  </cols>
  <sheetData>
    <row r="3" spans="2:17" x14ac:dyDescent="0.25">
      <c r="B3" t="s">
        <v>59</v>
      </c>
      <c r="C3" t="s">
        <v>204</v>
      </c>
    </row>
    <row r="4" spans="2:17" x14ac:dyDescent="0.25">
      <c r="C4" t="s">
        <v>60</v>
      </c>
      <c r="J4" t="s">
        <v>82</v>
      </c>
      <c r="L4" s="12" t="s">
        <v>42</v>
      </c>
      <c r="M4">
        <v>31</v>
      </c>
    </row>
    <row r="5" spans="2:17" x14ac:dyDescent="0.25">
      <c r="J5" s="2">
        <f>17000/M6</f>
        <v>0.16852707337867043</v>
      </c>
      <c r="K5" t="s">
        <v>83</v>
      </c>
      <c r="L5" s="12" t="s">
        <v>44</v>
      </c>
      <c r="M5">
        <v>3254</v>
      </c>
    </row>
    <row r="6" spans="2:17" x14ac:dyDescent="0.25">
      <c r="C6" t="s">
        <v>61</v>
      </c>
      <c r="L6" s="12" t="s">
        <v>45</v>
      </c>
      <c r="M6">
        <f>+M4*M5</f>
        <v>100874</v>
      </c>
    </row>
    <row r="7" spans="2:17" x14ac:dyDescent="0.25">
      <c r="C7" t="s">
        <v>62</v>
      </c>
      <c r="J7" t="s">
        <v>189</v>
      </c>
      <c r="L7" s="12" t="s">
        <v>40</v>
      </c>
      <c r="M7" s="1">
        <f>+Model!AA40</f>
        <v>0</v>
      </c>
    </row>
    <row r="8" spans="2:17" x14ac:dyDescent="0.25">
      <c r="J8" t="s">
        <v>159</v>
      </c>
      <c r="L8" s="12" t="s">
        <v>46</v>
      </c>
      <c r="M8" s="1">
        <f>+M6-M7</f>
        <v>100874</v>
      </c>
    </row>
    <row r="9" spans="2:17" x14ac:dyDescent="0.25">
      <c r="C9">
        <v>2020</v>
      </c>
      <c r="D9">
        <v>2021</v>
      </c>
      <c r="E9">
        <f>+D9+1</f>
        <v>2022</v>
      </c>
      <c r="G9" t="s">
        <v>113</v>
      </c>
      <c r="J9" t="s">
        <v>160</v>
      </c>
      <c r="M9">
        <f>+M8/M5</f>
        <v>31</v>
      </c>
    </row>
    <row r="10" spans="2:17" x14ac:dyDescent="0.25">
      <c r="G10" t="s">
        <v>114</v>
      </c>
      <c r="N10" t="s">
        <v>162</v>
      </c>
      <c r="Q10">
        <v>2021</v>
      </c>
    </row>
    <row r="11" spans="2:17" x14ac:dyDescent="0.25">
      <c r="B11" t="s">
        <v>63</v>
      </c>
      <c r="J11" t="s">
        <v>163</v>
      </c>
      <c r="K11">
        <f>0.9*3+0.2</f>
        <v>2.9000000000000004</v>
      </c>
      <c r="N11" t="s">
        <v>158</v>
      </c>
      <c r="O11" t="s">
        <v>115</v>
      </c>
      <c r="P11" t="s">
        <v>116</v>
      </c>
      <c r="Q11" t="s">
        <v>118</v>
      </c>
    </row>
    <row r="12" spans="2:17" s="1" customFormat="1" x14ac:dyDescent="0.25">
      <c r="B12" s="1" t="s">
        <v>0</v>
      </c>
      <c r="C12" s="1">
        <v>11895</v>
      </c>
      <c r="D12" s="1">
        <v>39241</v>
      </c>
      <c r="E12" s="1">
        <v>75930</v>
      </c>
      <c r="J12" s="1" t="s">
        <v>164</v>
      </c>
      <c r="K12" s="11">
        <f>+K11/M4</f>
        <v>9.354838709677421E-2</v>
      </c>
      <c r="N12" s="1" t="s">
        <v>84</v>
      </c>
      <c r="O12" t="s">
        <v>109</v>
      </c>
      <c r="P12">
        <v>37</v>
      </c>
      <c r="Q12" s="1">
        <v>231</v>
      </c>
    </row>
    <row r="13" spans="2:17" s="1" customFormat="1" x14ac:dyDescent="0.25">
      <c r="B13" s="1" t="s">
        <v>7</v>
      </c>
      <c r="C13" s="1">
        <v>3097</v>
      </c>
      <c r="D13" s="1">
        <v>30471</v>
      </c>
      <c r="E13" s="1">
        <v>67614</v>
      </c>
      <c r="N13" s="1" t="s">
        <v>85</v>
      </c>
      <c r="O13" t="s">
        <v>109</v>
      </c>
      <c r="P13">
        <v>30</v>
      </c>
      <c r="Q13" s="1">
        <v>198</v>
      </c>
    </row>
    <row r="14" spans="2:17" s="1" customFormat="1" x14ac:dyDescent="0.25">
      <c r="B14" s="1" t="s">
        <v>64</v>
      </c>
      <c r="C14" s="1">
        <v>35301</v>
      </c>
      <c r="D14" s="1">
        <v>37733</v>
      </c>
      <c r="J14" s="1" t="s">
        <v>165</v>
      </c>
      <c r="N14" s="1" t="s">
        <v>86</v>
      </c>
      <c r="O14" t="s">
        <v>109</v>
      </c>
      <c r="P14">
        <v>31</v>
      </c>
      <c r="Q14" s="1">
        <v>126</v>
      </c>
    </row>
    <row r="15" spans="2:17" s="1" customFormat="1" x14ac:dyDescent="0.25">
      <c r="B15" s="1" t="s">
        <v>3</v>
      </c>
      <c r="C15" s="1">
        <f>+C12-C13</f>
        <v>8798</v>
      </c>
      <c r="D15" s="1">
        <f>+D12-D13</f>
        <v>8770</v>
      </c>
      <c r="N15" s="1" t="s">
        <v>87</v>
      </c>
      <c r="O15" t="s">
        <v>109</v>
      </c>
      <c r="P15">
        <v>36</v>
      </c>
      <c r="Q15" s="1">
        <v>88</v>
      </c>
    </row>
    <row r="16" spans="2:17" s="1" customFormat="1" x14ac:dyDescent="0.25">
      <c r="N16" s="1" t="s">
        <v>88</v>
      </c>
      <c r="O16" t="s">
        <v>117</v>
      </c>
      <c r="P16">
        <v>41</v>
      </c>
      <c r="Q16" s="1">
        <v>76</v>
      </c>
    </row>
    <row r="17" spans="2:17" s="1" customFormat="1" x14ac:dyDescent="0.25">
      <c r="B17" s="1" t="s">
        <v>65</v>
      </c>
      <c r="N17" s="1" t="s">
        <v>89</v>
      </c>
      <c r="O17" t="s">
        <v>109</v>
      </c>
      <c r="P17">
        <v>34</v>
      </c>
      <c r="Q17" s="1">
        <v>68</v>
      </c>
    </row>
    <row r="18" spans="2:17" s="1" customFormat="1" x14ac:dyDescent="0.25">
      <c r="B18" s="1" t="s">
        <v>0</v>
      </c>
      <c r="C18" s="1">
        <v>3489</v>
      </c>
      <c r="D18" s="1">
        <v>5558</v>
      </c>
      <c r="E18" s="1">
        <v>7431</v>
      </c>
      <c r="N18" s="1" t="s">
        <v>90</v>
      </c>
      <c r="O18" t="s">
        <v>117</v>
      </c>
      <c r="P18">
        <v>27</v>
      </c>
      <c r="Q18" s="1">
        <v>49</v>
      </c>
    </row>
    <row r="19" spans="2:17" s="1" customFormat="1" x14ac:dyDescent="0.25">
      <c r="B19" s="1" t="s">
        <v>7</v>
      </c>
      <c r="C19" s="1">
        <v>-3565</v>
      </c>
      <c r="D19" s="1">
        <v>326</v>
      </c>
      <c r="E19" s="1">
        <v>3806</v>
      </c>
      <c r="N19" s="1" t="s">
        <v>91</v>
      </c>
      <c r="O19" t="s">
        <v>117</v>
      </c>
      <c r="P19">
        <v>29</v>
      </c>
      <c r="Q19" s="1">
        <v>39</v>
      </c>
    </row>
    <row r="20" spans="2:17" s="1" customFormat="1" x14ac:dyDescent="0.25">
      <c r="B20" s="1" t="s">
        <v>64</v>
      </c>
      <c r="C20" s="1">
        <v>17835</v>
      </c>
      <c r="D20" s="1">
        <v>15358</v>
      </c>
      <c r="N20" s="1" t="s">
        <v>92</v>
      </c>
      <c r="O20" t="s">
        <v>109</v>
      </c>
      <c r="P20">
        <v>40</v>
      </c>
      <c r="Q20" s="1">
        <v>34</v>
      </c>
    </row>
    <row r="21" spans="2:17" s="1" customFormat="1" x14ac:dyDescent="0.25">
      <c r="N21" s="1" t="s">
        <v>93</v>
      </c>
      <c r="O21" t="s">
        <v>109</v>
      </c>
      <c r="P21">
        <v>31</v>
      </c>
      <c r="Q21" s="1">
        <v>30</v>
      </c>
    </row>
    <row r="22" spans="2:17" s="1" customFormat="1" x14ac:dyDescent="0.25">
      <c r="B22" s="1" t="s">
        <v>66</v>
      </c>
      <c r="N22" s="1" t="s">
        <v>94</v>
      </c>
      <c r="O22" t="s">
        <v>109</v>
      </c>
      <c r="P22">
        <v>30</v>
      </c>
      <c r="Q22" s="1">
        <v>23</v>
      </c>
    </row>
    <row r="23" spans="2:17" s="1" customFormat="1" x14ac:dyDescent="0.25">
      <c r="B23" s="1" t="s">
        <v>0</v>
      </c>
      <c r="C23" s="1">
        <v>2615</v>
      </c>
      <c r="D23" s="1">
        <v>4149</v>
      </c>
      <c r="E23" s="1">
        <v>5523</v>
      </c>
      <c r="N23" s="1" t="s">
        <v>95</v>
      </c>
      <c r="O23" t="s">
        <v>109</v>
      </c>
      <c r="P23">
        <v>27</v>
      </c>
      <c r="Q23" s="1">
        <v>23</v>
      </c>
    </row>
    <row r="24" spans="2:17" s="1" customFormat="1" x14ac:dyDescent="0.25">
      <c r="B24" s="1" t="s">
        <v>7</v>
      </c>
      <c r="C24" s="1">
        <v>-3512</v>
      </c>
      <c r="D24" s="1">
        <v>1150</v>
      </c>
      <c r="E24" s="1">
        <v>4022</v>
      </c>
      <c r="N24" t="s">
        <v>96</v>
      </c>
      <c r="O24" t="s">
        <v>109</v>
      </c>
      <c r="P24">
        <v>26</v>
      </c>
      <c r="Q24" s="1">
        <v>22</v>
      </c>
    </row>
    <row r="25" spans="2:17" s="1" customFormat="1" x14ac:dyDescent="0.25">
      <c r="B25" s="1" t="s">
        <v>64</v>
      </c>
      <c r="C25" s="1">
        <v>12586</v>
      </c>
      <c r="D25" s="1">
        <v>11406</v>
      </c>
      <c r="N25" t="s">
        <v>97</v>
      </c>
      <c r="O25" t="s">
        <v>109</v>
      </c>
      <c r="P25">
        <v>30</v>
      </c>
      <c r="Q25" s="1">
        <v>22</v>
      </c>
    </row>
    <row r="26" spans="2:17" s="1" customFormat="1" x14ac:dyDescent="0.25">
      <c r="N26" t="s">
        <v>98</v>
      </c>
      <c r="O26" t="s">
        <v>109</v>
      </c>
      <c r="P26">
        <v>28</v>
      </c>
      <c r="Q26" s="1">
        <v>21</v>
      </c>
    </row>
    <row r="27" spans="2:17" s="1" customFormat="1" x14ac:dyDescent="0.25">
      <c r="B27" s="1" t="s">
        <v>67</v>
      </c>
      <c r="H27" s="1" t="s">
        <v>110</v>
      </c>
      <c r="N27" t="s">
        <v>99</v>
      </c>
      <c r="O27" t="s">
        <v>109</v>
      </c>
      <c r="P27">
        <v>24</v>
      </c>
      <c r="Q27" s="1">
        <v>20</v>
      </c>
    </row>
    <row r="28" spans="2:17" s="1" customFormat="1" x14ac:dyDescent="0.25">
      <c r="B28" s="1" t="s">
        <v>0</v>
      </c>
      <c r="C28" s="1">
        <v>44945</v>
      </c>
      <c r="D28" s="1">
        <v>87368</v>
      </c>
      <c r="E28" s="1">
        <v>148105</v>
      </c>
      <c r="H28" s="1" t="s">
        <v>111</v>
      </c>
      <c r="N28" t="s">
        <v>100</v>
      </c>
      <c r="O28" t="s">
        <v>109</v>
      </c>
      <c r="P28">
        <v>32</v>
      </c>
      <c r="Q28" s="1">
        <v>18</v>
      </c>
    </row>
    <row r="29" spans="2:17" s="1" customFormat="1" x14ac:dyDescent="0.25">
      <c r="B29" s="1" t="s">
        <v>7</v>
      </c>
      <c r="C29" s="1">
        <v>359</v>
      </c>
      <c r="D29" s="1">
        <v>1141</v>
      </c>
      <c r="E29" s="1">
        <v>3612</v>
      </c>
      <c r="H29" s="1" t="s">
        <v>112</v>
      </c>
      <c r="N29" t="s">
        <v>101</v>
      </c>
      <c r="O29" t="s">
        <v>109</v>
      </c>
      <c r="P29">
        <v>32</v>
      </c>
      <c r="Q29" s="1">
        <v>16</v>
      </c>
    </row>
    <row r="30" spans="2:17" s="1" customFormat="1" x14ac:dyDescent="0.25">
      <c r="B30" s="1" t="s">
        <v>64</v>
      </c>
      <c r="C30" s="1">
        <v>4368</v>
      </c>
      <c r="D30" s="1">
        <v>3019</v>
      </c>
      <c r="N30" t="s">
        <v>102</v>
      </c>
      <c r="O30" t="s">
        <v>117</v>
      </c>
      <c r="P30">
        <v>28</v>
      </c>
      <c r="Q30" s="1">
        <v>15</v>
      </c>
    </row>
    <row r="31" spans="2:17" s="1" customFormat="1" x14ac:dyDescent="0.25">
      <c r="N31" t="s">
        <v>103</v>
      </c>
      <c r="O31" t="s">
        <v>117</v>
      </c>
      <c r="P31">
        <v>25</v>
      </c>
      <c r="Q31" s="1">
        <v>11</v>
      </c>
    </row>
    <row r="32" spans="2:17" s="1" customFormat="1" x14ac:dyDescent="0.25">
      <c r="B32" s="1" t="s">
        <v>69</v>
      </c>
      <c r="N32" t="s">
        <v>104</v>
      </c>
      <c r="O32" t="s">
        <v>117</v>
      </c>
      <c r="P32">
        <v>33</v>
      </c>
      <c r="Q32" s="1">
        <v>10</v>
      </c>
    </row>
    <row r="33" spans="2:17" s="1" customFormat="1" x14ac:dyDescent="0.25">
      <c r="B33" s="1" t="s">
        <v>0</v>
      </c>
      <c r="C33" s="1">
        <v>181</v>
      </c>
      <c r="D33" s="1">
        <v>1411</v>
      </c>
      <c r="E33" s="1">
        <v>185</v>
      </c>
      <c r="N33" t="s">
        <v>105</v>
      </c>
      <c r="O33" t="s">
        <v>109</v>
      </c>
      <c r="P33">
        <v>40</v>
      </c>
      <c r="Q33" s="1">
        <v>10</v>
      </c>
    </row>
    <row r="34" spans="2:17" s="1" customFormat="1" x14ac:dyDescent="0.25">
      <c r="B34" s="1" t="s">
        <v>7</v>
      </c>
      <c r="C34" s="1">
        <v>-35</v>
      </c>
      <c r="D34" s="1">
        <v>1245</v>
      </c>
      <c r="E34" s="1">
        <v>-184</v>
      </c>
      <c r="N34" t="s">
        <v>106</v>
      </c>
      <c r="O34" t="s">
        <v>117</v>
      </c>
      <c r="P34">
        <v>29</v>
      </c>
      <c r="Q34" s="1">
        <v>10</v>
      </c>
    </row>
    <row r="35" spans="2:17" s="1" customFormat="1" x14ac:dyDescent="0.25">
      <c r="B35" s="1" t="s">
        <v>64</v>
      </c>
      <c r="C35" s="1">
        <v>0</v>
      </c>
      <c r="D35" s="1">
        <v>-45</v>
      </c>
      <c r="N35" t="s">
        <v>107</v>
      </c>
      <c r="O35" t="s">
        <v>117</v>
      </c>
      <c r="P35">
        <v>26</v>
      </c>
      <c r="Q35" s="1">
        <v>10</v>
      </c>
    </row>
    <row r="36" spans="2:17" s="1" customFormat="1" x14ac:dyDescent="0.25">
      <c r="N36" t="s">
        <v>108</v>
      </c>
      <c r="O36" t="s">
        <v>109</v>
      </c>
      <c r="P36">
        <v>40</v>
      </c>
      <c r="Q36" s="1">
        <v>9</v>
      </c>
    </row>
    <row r="37" spans="2:17" s="1" customFormat="1" x14ac:dyDescent="0.25">
      <c r="B37" s="1" t="s">
        <v>205</v>
      </c>
      <c r="C37">
        <v>2021</v>
      </c>
      <c r="D37">
        <f>+C37+1</f>
        <v>2022</v>
      </c>
      <c r="E37"/>
      <c r="F37"/>
      <c r="G37"/>
      <c r="H37"/>
      <c r="N37" t="s">
        <v>119</v>
      </c>
      <c r="O37" t="s">
        <v>109</v>
      </c>
      <c r="P37">
        <v>31</v>
      </c>
      <c r="Q37" s="1">
        <v>8</v>
      </c>
    </row>
    <row r="38" spans="2:17" s="1" customFormat="1" x14ac:dyDescent="0.25">
      <c r="B38" s="1" t="s">
        <v>74</v>
      </c>
      <c r="C38" s="1">
        <v>38307</v>
      </c>
      <c r="D38" s="1">
        <v>58524</v>
      </c>
      <c r="N38" t="s">
        <v>120</v>
      </c>
      <c r="O38" t="s">
        <v>117</v>
      </c>
      <c r="P38">
        <v>27</v>
      </c>
      <c r="Q38" s="1">
        <v>6</v>
      </c>
    </row>
    <row r="39" spans="2:17" s="1" customFormat="1" x14ac:dyDescent="0.25">
      <c r="B39" s="7" t="s">
        <v>199</v>
      </c>
      <c r="C39" s="1">
        <v>28050</v>
      </c>
      <c r="D39" s="1">
        <v>65232</v>
      </c>
      <c r="N39" t="s">
        <v>122</v>
      </c>
      <c r="O39" t="s">
        <v>73</v>
      </c>
      <c r="P39" s="1">
        <v>52</v>
      </c>
      <c r="Q39">
        <v>37</v>
      </c>
    </row>
    <row r="40" spans="2:17" s="1" customFormat="1" x14ac:dyDescent="0.25">
      <c r="B40" s="1" t="s">
        <v>76</v>
      </c>
      <c r="C40" s="1">
        <v>11473</v>
      </c>
      <c r="D40" s="1">
        <v>11093</v>
      </c>
      <c r="N40" t="s">
        <v>123</v>
      </c>
      <c r="O40" t="s">
        <v>125</v>
      </c>
      <c r="P40" s="8" t="s">
        <v>146</v>
      </c>
      <c r="Q40">
        <v>12</v>
      </c>
    </row>
    <row r="41" spans="2:17" s="1" customFormat="1" x14ac:dyDescent="0.25">
      <c r="B41" s="1" t="s">
        <v>79</v>
      </c>
      <c r="C41" s="1">
        <v>8490</v>
      </c>
      <c r="D41" s="1">
        <v>9240</v>
      </c>
      <c r="N41" t="s">
        <v>124</v>
      </c>
      <c r="O41" t="s">
        <v>125</v>
      </c>
      <c r="P41" s="8" t="s">
        <v>146</v>
      </c>
      <c r="Q41">
        <v>7</v>
      </c>
    </row>
    <row r="42" spans="2:17" s="1" customFormat="1" x14ac:dyDescent="0.25">
      <c r="N42" t="s">
        <v>126</v>
      </c>
      <c r="O42" t="s">
        <v>133</v>
      </c>
      <c r="P42" s="1">
        <v>45</v>
      </c>
      <c r="Q42">
        <v>81</v>
      </c>
    </row>
    <row r="43" spans="2:17" s="1" customFormat="1" x14ac:dyDescent="0.25">
      <c r="N43" t="s">
        <v>127</v>
      </c>
      <c r="O43" t="s">
        <v>134</v>
      </c>
      <c r="P43" s="1">
        <v>27</v>
      </c>
      <c r="Q43">
        <v>32</v>
      </c>
    </row>
    <row r="44" spans="2:17" s="1" customFormat="1" x14ac:dyDescent="0.25">
      <c r="B44" s="1" t="s">
        <v>78</v>
      </c>
      <c r="C44" s="1" t="s">
        <v>74</v>
      </c>
      <c r="D44" s="1" t="s">
        <v>75</v>
      </c>
      <c r="E44" s="1" t="s">
        <v>79</v>
      </c>
      <c r="F44" s="1" t="s">
        <v>76</v>
      </c>
      <c r="G44" s="1" t="s">
        <v>68</v>
      </c>
      <c r="H44" s="1" t="s">
        <v>77</v>
      </c>
      <c r="N44" t="s">
        <v>128</v>
      </c>
      <c r="O44" t="s">
        <v>135</v>
      </c>
      <c r="P44" s="1">
        <v>24</v>
      </c>
      <c r="Q44">
        <v>25</v>
      </c>
    </row>
    <row r="45" spans="2:17" s="1" customFormat="1" x14ac:dyDescent="0.25">
      <c r="B45" s="7">
        <v>2021</v>
      </c>
      <c r="N45" t="s">
        <v>129</v>
      </c>
      <c r="O45" t="s">
        <v>133</v>
      </c>
      <c r="P45" s="1">
        <v>32</v>
      </c>
      <c r="Q45">
        <v>18</v>
      </c>
    </row>
    <row r="46" spans="2:17" s="1" customFormat="1" x14ac:dyDescent="0.25">
      <c r="B46" s="1" t="s">
        <v>70</v>
      </c>
      <c r="C46" s="1">
        <v>30731</v>
      </c>
      <c r="D46" s="1">
        <v>25419</v>
      </c>
      <c r="E46" s="1">
        <v>7250</v>
      </c>
      <c r="F46" s="1">
        <v>7075</v>
      </c>
      <c r="G46" s="1">
        <v>1652</v>
      </c>
      <c r="H46" s="1">
        <f>+SUM(C46:G46)</f>
        <v>72127</v>
      </c>
      <c r="N46" t="s">
        <v>130</v>
      </c>
      <c r="O46" t="s">
        <v>134</v>
      </c>
      <c r="P46" s="1">
        <v>27</v>
      </c>
      <c r="Q46">
        <v>15</v>
      </c>
    </row>
    <row r="47" spans="2:17" s="1" customFormat="1" x14ac:dyDescent="0.25">
      <c r="B47" s="1" t="s">
        <v>71</v>
      </c>
      <c r="C47" s="1">
        <v>7370</v>
      </c>
      <c r="D47" s="1">
        <v>1786</v>
      </c>
      <c r="E47" s="1">
        <v>1240</v>
      </c>
      <c r="F47" s="1">
        <v>1133</v>
      </c>
      <c r="G47" s="1">
        <v>1191</v>
      </c>
      <c r="H47" s="1">
        <f t="shared" ref="H47:H50" si="0">+SUM(C47:G47)</f>
        <v>12720</v>
      </c>
      <c r="N47" t="s">
        <v>131</v>
      </c>
      <c r="O47" t="s">
        <v>136</v>
      </c>
      <c r="P47" s="1">
        <v>37</v>
      </c>
      <c r="Q47">
        <v>9</v>
      </c>
    </row>
    <row r="48" spans="2:17" s="1" customFormat="1" x14ac:dyDescent="0.25">
      <c r="B48" s="1" t="s">
        <v>72</v>
      </c>
      <c r="C48" s="1">
        <v>0</v>
      </c>
      <c r="D48" s="1">
        <v>259</v>
      </c>
      <c r="E48" s="1">
        <v>0</v>
      </c>
      <c r="F48" s="1">
        <v>3264</v>
      </c>
      <c r="G48" s="1">
        <v>852</v>
      </c>
      <c r="H48" s="1">
        <f t="shared" si="0"/>
        <v>4375</v>
      </c>
      <c r="N48" t="s">
        <v>132</v>
      </c>
      <c r="O48" t="s">
        <v>133</v>
      </c>
      <c r="P48" s="1">
        <v>31</v>
      </c>
      <c r="Q48">
        <v>7</v>
      </c>
    </row>
    <row r="49" spans="2:17" s="1" customFormat="1" x14ac:dyDescent="0.25">
      <c r="B49" s="1" t="s">
        <v>73</v>
      </c>
      <c r="C49" s="1">
        <v>0</v>
      </c>
      <c r="D49" s="1">
        <v>15</v>
      </c>
      <c r="E49" s="1">
        <v>0</v>
      </c>
      <c r="F49" s="1">
        <v>0</v>
      </c>
      <c r="G49" s="1">
        <v>9</v>
      </c>
      <c r="H49" s="1">
        <f t="shared" si="0"/>
        <v>24</v>
      </c>
      <c r="N49" t="s">
        <v>137</v>
      </c>
      <c r="O49" t="s">
        <v>141</v>
      </c>
      <c r="P49" s="1">
        <v>49</v>
      </c>
      <c r="Q49">
        <v>33</v>
      </c>
    </row>
    <row r="50" spans="2:17" s="1" customFormat="1" x14ac:dyDescent="0.25">
      <c r="B50" s="1" t="s">
        <v>68</v>
      </c>
      <c r="C50" s="1">
        <v>206</v>
      </c>
      <c r="D50" s="1">
        <v>572</v>
      </c>
      <c r="E50" s="1">
        <v>0</v>
      </c>
      <c r="F50" s="1">
        <v>0</v>
      </c>
      <c r="G50" s="1">
        <v>641</v>
      </c>
      <c r="H50" s="1">
        <f t="shared" si="0"/>
        <v>1419</v>
      </c>
      <c r="N50" t="s">
        <v>138</v>
      </c>
      <c r="O50" t="s">
        <v>142</v>
      </c>
      <c r="P50" s="8" t="s">
        <v>146</v>
      </c>
      <c r="Q50">
        <v>19</v>
      </c>
    </row>
    <row r="51" spans="2:17" s="1" customFormat="1" x14ac:dyDescent="0.25">
      <c r="N51" t="s">
        <v>139</v>
      </c>
      <c r="O51" t="s">
        <v>143</v>
      </c>
      <c r="P51" s="1">
        <v>31</v>
      </c>
      <c r="Q51">
        <v>10</v>
      </c>
    </row>
    <row r="52" spans="2:17" s="1" customFormat="1" x14ac:dyDescent="0.25">
      <c r="B52" s="7">
        <v>2020</v>
      </c>
      <c r="N52" t="s">
        <v>121</v>
      </c>
      <c r="O52" t="s">
        <v>142</v>
      </c>
      <c r="P52" s="8" t="s">
        <v>146</v>
      </c>
      <c r="Q52">
        <v>5</v>
      </c>
    </row>
    <row r="53" spans="2:17" s="1" customFormat="1" x14ac:dyDescent="0.25">
      <c r="B53" s="1" t="s">
        <v>70</v>
      </c>
      <c r="C53" s="1">
        <v>30684</v>
      </c>
      <c r="D53" s="1">
        <v>5871</v>
      </c>
      <c r="E53" s="1">
        <v>4341</v>
      </c>
      <c r="F53" s="1">
        <v>4293</v>
      </c>
      <c r="G53" s="1">
        <v>1465</v>
      </c>
      <c r="H53" s="1">
        <f>+SUM(C53:G53)</f>
        <v>46654</v>
      </c>
      <c r="N53" t="s">
        <v>140</v>
      </c>
      <c r="O53" t="s">
        <v>142</v>
      </c>
      <c r="P53" s="8" t="s">
        <v>146</v>
      </c>
      <c r="Q53">
        <v>1</v>
      </c>
    </row>
    <row r="54" spans="2:17" s="1" customFormat="1" x14ac:dyDescent="0.25">
      <c r="B54" s="1" t="s">
        <v>71</v>
      </c>
      <c r="C54" s="1">
        <v>3636</v>
      </c>
      <c r="D54" s="1">
        <v>1013</v>
      </c>
      <c r="E54" s="1">
        <v>728</v>
      </c>
      <c r="F54" s="1">
        <v>613</v>
      </c>
      <c r="G54" s="1">
        <v>474</v>
      </c>
      <c r="H54" s="1">
        <f t="shared" ref="H54:H57" si="1">+SUM(C54:G54)</f>
        <v>6464</v>
      </c>
      <c r="N54" t="s">
        <v>144</v>
      </c>
      <c r="O54" t="s">
        <v>145</v>
      </c>
      <c r="P54">
        <v>50</v>
      </c>
      <c r="Q54">
        <v>6</v>
      </c>
    </row>
    <row r="55" spans="2:17" s="1" customFormat="1" x14ac:dyDescent="0.25">
      <c r="B55" s="1" t="s">
        <v>72</v>
      </c>
      <c r="C55" s="1">
        <v>0</v>
      </c>
      <c r="D55" s="1">
        <v>66</v>
      </c>
      <c r="E55" s="1">
        <v>0</v>
      </c>
      <c r="F55" s="1">
        <v>1628</v>
      </c>
      <c r="G55" s="1">
        <v>382</v>
      </c>
      <c r="H55" s="1">
        <f t="shared" si="1"/>
        <v>2076</v>
      </c>
      <c r="N55" t="s">
        <v>147</v>
      </c>
      <c r="O55" s="1" t="s">
        <v>71</v>
      </c>
      <c r="P55" s="8" t="s">
        <v>146</v>
      </c>
      <c r="Q55" s="1">
        <v>245</v>
      </c>
    </row>
    <row r="56" spans="2:17" s="1" customFormat="1" x14ac:dyDescent="0.25">
      <c r="B56" s="1" t="s">
        <v>73</v>
      </c>
      <c r="C56" s="1">
        <v>76</v>
      </c>
      <c r="D56" s="1">
        <v>11</v>
      </c>
      <c r="E56" s="1">
        <v>0</v>
      </c>
      <c r="F56" s="1">
        <v>0</v>
      </c>
      <c r="G56" s="1">
        <v>7</v>
      </c>
      <c r="H56" s="1">
        <f t="shared" si="1"/>
        <v>94</v>
      </c>
      <c r="N56" t="s">
        <v>148</v>
      </c>
      <c r="O56" s="1" t="s">
        <v>71</v>
      </c>
      <c r="P56" s="8" t="s">
        <v>146</v>
      </c>
      <c r="Q56" s="1">
        <v>27</v>
      </c>
    </row>
    <row r="57" spans="2:17" s="1" customFormat="1" x14ac:dyDescent="0.25">
      <c r="B57" s="1" t="s">
        <v>68</v>
      </c>
      <c r="C57" s="1">
        <v>112</v>
      </c>
      <c r="D57" s="1">
        <v>251</v>
      </c>
      <c r="E57" s="1">
        <v>0</v>
      </c>
      <c r="F57" s="1">
        <v>0</v>
      </c>
      <c r="G57" s="1">
        <v>112</v>
      </c>
      <c r="H57" s="1">
        <f t="shared" si="1"/>
        <v>475</v>
      </c>
      <c r="N57" t="s">
        <v>149</v>
      </c>
      <c r="O57" s="1" t="s">
        <v>71</v>
      </c>
      <c r="P57" s="8" t="s">
        <v>146</v>
      </c>
      <c r="Q57" s="1">
        <v>22</v>
      </c>
    </row>
    <row r="58" spans="2:17" s="1" customFormat="1" x14ac:dyDescent="0.25">
      <c r="N58" t="s">
        <v>150</v>
      </c>
      <c r="O58" s="1" t="s">
        <v>71</v>
      </c>
      <c r="P58" s="8" t="s">
        <v>146</v>
      </c>
      <c r="Q58" s="1">
        <v>17</v>
      </c>
    </row>
    <row r="59" spans="2:17" s="1" customFormat="1" x14ac:dyDescent="0.25">
      <c r="N59" t="s">
        <v>151</v>
      </c>
      <c r="O59" s="1" t="s">
        <v>71</v>
      </c>
      <c r="P59" s="8" t="s">
        <v>146</v>
      </c>
      <c r="Q59" s="1">
        <v>17</v>
      </c>
    </row>
    <row r="60" spans="2:17" s="1" customFormat="1" x14ac:dyDescent="0.25">
      <c r="B60" s="1" t="s">
        <v>81</v>
      </c>
      <c r="C60">
        <v>2019</v>
      </c>
      <c r="D60">
        <f>+C60+1</f>
        <v>2020</v>
      </c>
      <c r="E60">
        <f>+D60+1</f>
        <v>2021</v>
      </c>
      <c r="F60">
        <f>+E60+1</f>
        <v>2022</v>
      </c>
      <c r="N60" t="s">
        <v>152</v>
      </c>
      <c r="O60" s="1" t="s">
        <v>71</v>
      </c>
      <c r="P60" s="8" t="s">
        <v>146</v>
      </c>
      <c r="Q60" s="1">
        <v>16</v>
      </c>
    </row>
    <row r="61" spans="2:17" s="1" customFormat="1" x14ac:dyDescent="0.25">
      <c r="B61" s="1" t="s">
        <v>75</v>
      </c>
      <c r="C61" s="1">
        <v>5.8</v>
      </c>
      <c r="D61" s="1">
        <v>3.6</v>
      </c>
      <c r="E61" s="1">
        <v>14.6</v>
      </c>
      <c r="F61" s="1">
        <v>31</v>
      </c>
      <c r="N61" t="s">
        <v>153</v>
      </c>
      <c r="O61" s="1" t="s">
        <v>71</v>
      </c>
      <c r="P61" s="8" t="s">
        <v>146</v>
      </c>
      <c r="Q61" s="1">
        <v>10</v>
      </c>
    </row>
    <row r="62" spans="2:17" s="1" customFormat="1" x14ac:dyDescent="0.25">
      <c r="B62" s="1" t="s">
        <v>80</v>
      </c>
      <c r="C62" s="1">
        <v>64</v>
      </c>
      <c r="D62" s="1">
        <v>39.700000000000003</v>
      </c>
      <c r="E62" s="1">
        <v>70</v>
      </c>
      <c r="F62" s="1">
        <v>94</v>
      </c>
      <c r="N62" t="s">
        <v>154</v>
      </c>
      <c r="O62" s="1" t="s">
        <v>71</v>
      </c>
      <c r="P62" s="8" t="s">
        <v>146</v>
      </c>
      <c r="Q62" s="1">
        <v>9</v>
      </c>
    </row>
    <row r="63" spans="2:17" s="1" customFormat="1" x14ac:dyDescent="0.25">
      <c r="B63" s="1" t="s">
        <v>79</v>
      </c>
      <c r="C63" s="1">
        <v>33</v>
      </c>
      <c r="D63" s="1">
        <v>25.6</v>
      </c>
      <c r="E63" s="1">
        <v>52.5</v>
      </c>
      <c r="N63" t="s">
        <v>155</v>
      </c>
      <c r="O63" s="1" t="s">
        <v>71</v>
      </c>
      <c r="P63" s="8" t="s">
        <v>146</v>
      </c>
      <c r="Q63" s="1">
        <v>8</v>
      </c>
    </row>
    <row r="64" spans="2:17" s="1" customFormat="1" x14ac:dyDescent="0.25">
      <c r="N64" t="s">
        <v>156</v>
      </c>
      <c r="O64" s="1" t="s">
        <v>71</v>
      </c>
      <c r="P64" s="8" t="s">
        <v>146</v>
      </c>
      <c r="Q64" s="1">
        <v>1</v>
      </c>
    </row>
    <row r="65" spans="10:17" s="1" customFormat="1" x14ac:dyDescent="0.25">
      <c r="K65" s="10"/>
      <c r="N65" t="s">
        <v>157</v>
      </c>
      <c r="O65" s="1" t="s">
        <v>71</v>
      </c>
      <c r="P65" s="8" t="s">
        <v>146</v>
      </c>
      <c r="Q65" s="1">
        <v>1</v>
      </c>
    </row>
    <row r="66" spans="10:17" s="1" customFormat="1" x14ac:dyDescent="0.25">
      <c r="P66"/>
      <c r="Q66" s="1">
        <f>+SUM(Q12:Q65)</f>
        <v>1883</v>
      </c>
    </row>
    <row r="67" spans="10:17" s="1" customFormat="1" x14ac:dyDescent="0.25">
      <c r="Q67"/>
    </row>
    <row r="68" spans="10:17" s="1" customFormat="1" x14ac:dyDescent="0.25">
      <c r="Q68"/>
    </row>
    <row r="69" spans="10:17" s="1" customFormat="1" x14ac:dyDescent="0.25">
      <c r="Q69"/>
    </row>
    <row r="70" spans="10:17" s="1" customFormat="1" x14ac:dyDescent="0.25">
      <c r="J70" s="1" t="s">
        <v>161</v>
      </c>
      <c r="Q70"/>
    </row>
    <row r="71" spans="10:17" s="1" customFormat="1" x14ac:dyDescent="0.25">
      <c r="J71" s="1" t="s">
        <v>187</v>
      </c>
      <c r="Q71"/>
    </row>
    <row r="72" spans="10:17" s="1" customFormat="1" x14ac:dyDescent="0.25">
      <c r="J72" s="1" t="s">
        <v>188</v>
      </c>
      <c r="Q72"/>
    </row>
    <row r="73" spans="10:17" s="1" customFormat="1" x14ac:dyDescent="0.25">
      <c r="J73" s="14"/>
      <c r="Q73"/>
    </row>
    <row r="74" spans="10:17" s="1" customFormat="1" x14ac:dyDescent="0.25">
      <c r="J74" s="1" t="s">
        <v>158</v>
      </c>
      <c r="K74" s="1" t="s">
        <v>167</v>
      </c>
      <c r="L74" s="1" t="s">
        <v>174</v>
      </c>
      <c r="M74" s="1" t="s">
        <v>169</v>
      </c>
      <c r="N74" s="1" t="s">
        <v>175</v>
      </c>
      <c r="O74" s="1" t="s">
        <v>115</v>
      </c>
      <c r="Q74"/>
    </row>
    <row r="75" spans="10:17" s="1" customFormat="1" x14ac:dyDescent="0.25">
      <c r="J75" t="s">
        <v>168</v>
      </c>
      <c r="K75" s="1">
        <v>60</v>
      </c>
      <c r="L75" s="2">
        <v>0.25</v>
      </c>
      <c r="M75" s="1">
        <v>385</v>
      </c>
      <c r="N75" s="1">
        <v>1600</v>
      </c>
      <c r="O75" t="s">
        <v>173</v>
      </c>
      <c r="P75" s="10"/>
      <c r="Q75"/>
    </row>
    <row r="76" spans="10:17" s="1" customFormat="1" x14ac:dyDescent="0.25">
      <c r="J76" t="s">
        <v>166</v>
      </c>
      <c r="K76" s="1">
        <v>88</v>
      </c>
      <c r="L76" s="2">
        <v>0.4</v>
      </c>
      <c r="M76" s="1">
        <v>317</v>
      </c>
      <c r="N76" s="1">
        <v>1100</v>
      </c>
      <c r="O76" t="s">
        <v>171</v>
      </c>
      <c r="P76" s="10"/>
      <c r="Q76"/>
    </row>
    <row r="77" spans="10:17" s="1" customFormat="1" x14ac:dyDescent="0.25">
      <c r="J77" t="s">
        <v>170</v>
      </c>
      <c r="K77" s="1">
        <v>67</v>
      </c>
      <c r="L77" s="2">
        <v>0.35</v>
      </c>
      <c r="M77" s="8" t="s">
        <v>146</v>
      </c>
      <c r="N77" s="1">
        <v>1700</v>
      </c>
      <c r="O77" t="s">
        <v>172</v>
      </c>
      <c r="P77" s="10"/>
      <c r="Q77"/>
    </row>
    <row r="78" spans="10:17" s="1" customFormat="1" x14ac:dyDescent="0.25">
      <c r="J78" s="1" t="s">
        <v>176</v>
      </c>
      <c r="K78" s="1">
        <v>5</v>
      </c>
      <c r="L78" s="2">
        <v>0.75</v>
      </c>
      <c r="M78" s="1">
        <f>+K78*6</f>
        <v>30</v>
      </c>
      <c r="N78" s="1">
        <v>140</v>
      </c>
      <c r="O78" s="1" t="s">
        <v>177</v>
      </c>
      <c r="P78" s="10"/>
      <c r="Q78"/>
    </row>
    <row r="79" spans="10:17" s="1" customFormat="1" x14ac:dyDescent="0.25">
      <c r="L79" s="2"/>
      <c r="Q79"/>
    </row>
    <row r="80" spans="10:17" s="1" customFormat="1" x14ac:dyDescent="0.25">
      <c r="J80" s="1" t="s">
        <v>178</v>
      </c>
      <c r="L80" s="2"/>
      <c r="P80" s="1" t="s">
        <v>183</v>
      </c>
      <c r="Q80"/>
    </row>
    <row r="81" spans="10:17" s="1" customFormat="1" x14ac:dyDescent="0.25">
      <c r="J81" s="1" t="s">
        <v>179</v>
      </c>
      <c r="K81" s="13">
        <f>+M81/6</f>
        <v>200</v>
      </c>
      <c r="L81" s="2">
        <v>0.4</v>
      </c>
      <c r="M81" s="1">
        <v>1200</v>
      </c>
      <c r="N81" s="13">
        <f>26.5*K81</f>
        <v>5300</v>
      </c>
      <c r="O81" t="s">
        <v>182</v>
      </c>
      <c r="P81" s="1">
        <v>24</v>
      </c>
      <c r="Q81"/>
    </row>
    <row r="82" spans="10:17" s="1" customFormat="1" x14ac:dyDescent="0.25">
      <c r="J82" s="1" t="s">
        <v>180</v>
      </c>
      <c r="K82" s="13">
        <f t="shared" ref="K82:K83" si="2">+M82/6</f>
        <v>200</v>
      </c>
      <c r="L82" s="2">
        <v>0.4</v>
      </c>
      <c r="M82" s="1">
        <v>1200</v>
      </c>
      <c r="N82" s="13">
        <f t="shared" ref="N82:N83" si="3">26.5*K82</f>
        <v>5300</v>
      </c>
      <c r="O82" t="s">
        <v>182</v>
      </c>
      <c r="P82" s="1">
        <v>25</v>
      </c>
      <c r="Q82"/>
    </row>
    <row r="83" spans="10:17" s="1" customFormat="1" x14ac:dyDescent="0.25">
      <c r="J83" s="1" t="s">
        <v>181</v>
      </c>
      <c r="K83" s="13">
        <f t="shared" si="2"/>
        <v>200</v>
      </c>
      <c r="L83" s="2">
        <v>0.4</v>
      </c>
      <c r="M83" s="1">
        <v>1200</v>
      </c>
      <c r="N83" s="13">
        <f t="shared" si="3"/>
        <v>5300</v>
      </c>
      <c r="O83" t="s">
        <v>182</v>
      </c>
      <c r="P83" s="1">
        <v>25</v>
      </c>
      <c r="Q83"/>
    </row>
    <row r="84" spans="10:17" s="1" customFormat="1" x14ac:dyDescent="0.25">
      <c r="J84" t="s">
        <v>184</v>
      </c>
      <c r="K84" s="13">
        <v>330</v>
      </c>
      <c r="L84" s="2">
        <v>0.5</v>
      </c>
      <c r="M84" s="1">
        <v>2000</v>
      </c>
      <c r="N84" s="13">
        <f>26.5*K84</f>
        <v>8745</v>
      </c>
      <c r="O84" t="s">
        <v>71</v>
      </c>
      <c r="Q84"/>
    </row>
    <row r="85" spans="10:17" s="1" customFormat="1" x14ac:dyDescent="0.25">
      <c r="J85" t="s">
        <v>185</v>
      </c>
      <c r="L85" s="2">
        <v>0.5</v>
      </c>
      <c r="M85" s="1">
        <v>1440</v>
      </c>
      <c r="O85" s="1" t="s">
        <v>186</v>
      </c>
      <c r="Q85"/>
    </row>
    <row r="86" spans="10:17" s="1" customFormat="1" x14ac:dyDescent="0.25">
      <c r="Q86"/>
    </row>
    <row r="87" spans="10:17" s="1" customFormat="1" x14ac:dyDescent="0.25">
      <c r="L87" s="2"/>
      <c r="Q87"/>
    </row>
    <row r="88" spans="10:17" s="1" customFormat="1" x14ac:dyDescent="0.25">
      <c r="L88" s="2"/>
      <c r="Q88"/>
    </row>
    <row r="89" spans="10:17" s="1" customFormat="1" x14ac:dyDescent="0.25">
      <c r="Q89"/>
    </row>
    <row r="90" spans="10:17" s="1" customFormat="1" x14ac:dyDescent="0.25">
      <c r="Q90"/>
    </row>
    <row r="91" spans="10:17" s="1" customFormat="1" x14ac:dyDescent="0.25">
      <c r="Q91"/>
    </row>
    <row r="92" spans="10:17" s="1" customFormat="1" x14ac:dyDescent="0.25">
      <c r="Q92"/>
    </row>
    <row r="93" spans="10:17" s="1" customFormat="1" x14ac:dyDescent="0.25">
      <c r="Q93"/>
    </row>
    <row r="94" spans="10:17" s="1" customFormat="1" x14ac:dyDescent="0.25">
      <c r="Q94"/>
    </row>
    <row r="95" spans="10:17" s="1" customFormat="1" x14ac:dyDescent="0.25">
      <c r="Q95"/>
    </row>
    <row r="96" spans="10:17" s="1" customFormat="1" x14ac:dyDescent="0.25">
      <c r="Q96"/>
    </row>
    <row r="97" spans="17:17" s="1" customFormat="1" x14ac:dyDescent="0.25">
      <c r="Q97"/>
    </row>
    <row r="98" spans="17:17" s="1" customFormat="1" x14ac:dyDescent="0.25">
      <c r="Q98"/>
    </row>
    <row r="99" spans="17:17" s="1" customFormat="1" x14ac:dyDescent="0.25">
      <c r="Q99"/>
    </row>
    <row r="100" spans="17:17" s="1" customFormat="1" x14ac:dyDescent="0.25">
      <c r="Q100"/>
    </row>
    <row r="101" spans="17:17" s="1" customFormat="1" x14ac:dyDescent="0.25">
      <c r="Q101"/>
    </row>
    <row r="102" spans="17:17" s="1" customFormat="1" x14ac:dyDescent="0.25">
      <c r="Q102"/>
    </row>
    <row r="103" spans="17:17" s="1" customFormat="1" x14ac:dyDescent="0.25">
      <c r="Q103"/>
    </row>
    <row r="104" spans="17:17" s="1" customFormat="1" x14ac:dyDescent="0.25">
      <c r="Q104"/>
    </row>
    <row r="105" spans="17:17" s="1" customFormat="1" x14ac:dyDescent="0.25">
      <c r="Q105"/>
    </row>
    <row r="106" spans="17:17" s="1" customFormat="1" x14ac:dyDescent="0.25">
      <c r="Q106"/>
    </row>
    <row r="107" spans="17:17" s="1" customFormat="1" x14ac:dyDescent="0.25">
      <c r="Q107"/>
    </row>
    <row r="108" spans="17:17" s="1" customFormat="1" x14ac:dyDescent="0.25">
      <c r="Q108"/>
    </row>
    <row r="109" spans="17:17" s="1" customFormat="1" x14ac:dyDescent="0.25">
      <c r="Q109"/>
    </row>
    <row r="110" spans="17:17" s="1" customFormat="1" x14ac:dyDescent="0.25">
      <c r="Q110"/>
    </row>
    <row r="111" spans="17:17" s="1" customFormat="1" x14ac:dyDescent="0.25">
      <c r="Q111"/>
    </row>
    <row r="112" spans="17:17" s="1" customFormat="1" x14ac:dyDescent="0.25">
      <c r="Q112"/>
    </row>
    <row r="113" spans="17:17" s="1" customFormat="1" x14ac:dyDescent="0.25">
      <c r="Q113"/>
    </row>
    <row r="114" spans="17:17" s="1" customFormat="1" x14ac:dyDescent="0.25">
      <c r="Q114"/>
    </row>
    <row r="115" spans="17:17" s="1" customFormat="1" x14ac:dyDescent="0.25">
      <c r="Q115"/>
    </row>
    <row r="116" spans="17:17" s="1" customFormat="1" x14ac:dyDescent="0.25">
      <c r="Q116"/>
    </row>
    <row r="117" spans="17:17" s="1" customFormat="1" x14ac:dyDescent="0.25">
      <c r="Q117"/>
    </row>
    <row r="118" spans="17:17" s="1" customFormat="1" x14ac:dyDescent="0.25">
      <c r="Q118"/>
    </row>
    <row r="119" spans="17:17" s="1" customFormat="1" x14ac:dyDescent="0.25">
      <c r="Q119"/>
    </row>
    <row r="120" spans="17:17" s="1" customFormat="1" x14ac:dyDescent="0.25">
      <c r="Q120"/>
    </row>
    <row r="121" spans="17:17" s="1" customFormat="1" x14ac:dyDescent="0.25">
      <c r="Q121"/>
    </row>
    <row r="122" spans="17:17" s="1" customFormat="1" x14ac:dyDescent="0.25">
      <c r="Q122"/>
    </row>
    <row r="123" spans="17:17" s="1" customFormat="1" x14ac:dyDescent="0.25">
      <c r="Q123"/>
    </row>
    <row r="124" spans="17:17" s="1" customFormat="1" x14ac:dyDescent="0.25">
      <c r="Q124"/>
    </row>
    <row r="125" spans="17:17" s="1" customFormat="1" x14ac:dyDescent="0.25">
      <c r="Q125"/>
    </row>
    <row r="126" spans="17:17" s="1" customFormat="1" x14ac:dyDescent="0.25">
      <c r="Q126"/>
    </row>
    <row r="127" spans="17:17" s="1" customFormat="1" x14ac:dyDescent="0.25">
      <c r="Q127"/>
    </row>
    <row r="128" spans="17:17" s="1" customFormat="1" x14ac:dyDescent="0.25">
      <c r="Q128"/>
    </row>
    <row r="129" spans="17:17" s="1" customFormat="1" x14ac:dyDescent="0.25">
      <c r="Q129"/>
    </row>
    <row r="130" spans="17:17" s="1" customFormat="1" x14ac:dyDescent="0.25">
      <c r="Q130"/>
    </row>
    <row r="131" spans="17:17" s="1" customFormat="1" x14ac:dyDescent="0.25">
      <c r="Q131"/>
    </row>
    <row r="132" spans="17:17" s="1" customFormat="1" x14ac:dyDescent="0.25">
      <c r="Q132"/>
    </row>
    <row r="133" spans="17:17" s="1" customFormat="1" x14ac:dyDescent="0.25">
      <c r="Q1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9156-6CFA-43F4-8FD8-A7CD8E83C4AE}">
  <dimension ref="A1:CU63"/>
  <sheetViews>
    <sheetView tabSelected="1" workbookViewId="0">
      <pane xSplit="2" ySplit="1" topLeftCell="C11" activePane="bottomRight" state="frozen"/>
      <selection pane="topRight" activeCell="B1" sqref="B1"/>
      <selection pane="bottomLeft" activeCell="A2" sqref="A2"/>
      <selection pane="bottomRight" activeCell="AA42" sqref="AA42"/>
    </sheetView>
  </sheetViews>
  <sheetFormatPr defaultRowHeight="15" x14ac:dyDescent="0.25"/>
  <cols>
    <col min="1" max="1" width="4.5703125" bestFit="1" customWidth="1"/>
    <col min="2" max="2" width="18.140625" bestFit="1" customWidth="1"/>
    <col min="27" max="27" width="11.42578125" bestFit="1" customWidth="1"/>
  </cols>
  <sheetData>
    <row r="1" spans="1:24" x14ac:dyDescent="0.25"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s="1" customFormat="1" x14ac:dyDescent="0.25"/>
    <row r="3" spans="1:24" s="1" customFormat="1" x14ac:dyDescent="0.25">
      <c r="B3" s="1" t="s">
        <v>58</v>
      </c>
      <c r="F3" s="1">
        <v>2158</v>
      </c>
      <c r="J3" s="1">
        <v>2046</v>
      </c>
      <c r="O3" s="1">
        <v>2079</v>
      </c>
      <c r="P3" s="1">
        <f>+P8+P9</f>
        <v>2039</v>
      </c>
      <c r="Q3" s="1">
        <f>+SUM(Q8:Q9)</f>
        <v>2100.17</v>
      </c>
    </row>
    <row r="4" spans="1:24" s="1" customFormat="1" x14ac:dyDescent="0.25">
      <c r="A4" s="1" t="s">
        <v>190</v>
      </c>
      <c r="B4" s="1" t="s">
        <v>193</v>
      </c>
      <c r="N4" s="3"/>
      <c r="O4" s="3">
        <v>1562</v>
      </c>
      <c r="P4" s="1">
        <v>1649</v>
      </c>
      <c r="Q4" s="1">
        <f>+P4*1.01</f>
        <v>1665.49</v>
      </c>
      <c r="R4" s="1">
        <f>+Q4*1.01</f>
        <v>1682.1449</v>
      </c>
      <c r="S4" s="1">
        <f>+R4+Main!N81</f>
        <v>6982.1449000000002</v>
      </c>
      <c r="T4" s="1">
        <f>+S4+Main!N82+Main!N83</f>
        <v>17582.144899999999</v>
      </c>
      <c r="U4" s="1">
        <f>+T4+Main!N84</f>
        <v>26327.144899999999</v>
      </c>
      <c r="V4" s="1">
        <f>+U4+5000</f>
        <v>31327.144899999999</v>
      </c>
      <c r="W4" s="1">
        <f t="shared" ref="W4:X4" si="0">+V4+5000</f>
        <v>36327.144899999999</v>
      </c>
      <c r="X4" s="1">
        <f t="shared" si="0"/>
        <v>41327.144899999999</v>
      </c>
    </row>
    <row r="5" spans="1:24" s="1" customFormat="1" x14ac:dyDescent="0.25">
      <c r="A5" s="1" t="s">
        <v>195</v>
      </c>
      <c r="B5" s="1" t="s">
        <v>193</v>
      </c>
      <c r="N5" s="3"/>
      <c r="O5" s="3">
        <v>1562</v>
      </c>
      <c r="P5" s="15">
        <v>2661</v>
      </c>
    </row>
    <row r="6" spans="1:24" s="1" customFormat="1" x14ac:dyDescent="0.25">
      <c r="B6" s="1" t="s">
        <v>203</v>
      </c>
      <c r="N6" s="3"/>
      <c r="O6" s="3"/>
      <c r="P6" s="3"/>
      <c r="Q6" s="1">
        <f>+Q4*0.163</f>
        <v>271.47487000000001</v>
      </c>
      <c r="R6" s="1">
        <f t="shared" ref="R6:X6" si="1">+R4*0.163</f>
        <v>274.18961870000004</v>
      </c>
      <c r="S6" s="1">
        <f t="shared" si="1"/>
        <v>1138.0896187000001</v>
      </c>
      <c r="T6" s="1">
        <f t="shared" si="1"/>
        <v>2865.8896187</v>
      </c>
      <c r="U6" s="1">
        <f t="shared" si="1"/>
        <v>4291.3246187000004</v>
      </c>
      <c r="V6" s="1">
        <f t="shared" si="1"/>
        <v>5106.3246187000004</v>
      </c>
      <c r="W6" s="1">
        <f t="shared" si="1"/>
        <v>5921.3246187000004</v>
      </c>
      <c r="X6" s="1">
        <f t="shared" si="1"/>
        <v>6736.3246187000004</v>
      </c>
    </row>
    <row r="7" spans="1:24" s="1" customFormat="1" x14ac:dyDescent="0.25">
      <c r="N7" s="3"/>
      <c r="O7" s="3"/>
      <c r="P7" s="3"/>
    </row>
    <row r="8" spans="1:24" s="1" customFormat="1" x14ac:dyDescent="0.25">
      <c r="B8" s="1" t="s">
        <v>191</v>
      </c>
      <c r="N8" s="3"/>
      <c r="O8" s="3">
        <v>1076</v>
      </c>
      <c r="P8" s="3">
        <v>1013</v>
      </c>
      <c r="Q8" s="1">
        <f>+P8*1.03</f>
        <v>1043.3900000000001</v>
      </c>
    </row>
    <row r="9" spans="1:24" s="1" customFormat="1" x14ac:dyDescent="0.25">
      <c r="B9" s="1" t="s">
        <v>192</v>
      </c>
      <c r="N9" s="3"/>
      <c r="O9" s="3">
        <v>1003</v>
      </c>
      <c r="P9" s="3">
        <v>1026</v>
      </c>
      <c r="Q9" s="1">
        <f>+P9*1.03</f>
        <v>1056.78</v>
      </c>
    </row>
    <row r="10" spans="1:24" s="1" customFormat="1" x14ac:dyDescent="0.25">
      <c r="B10" s="1" t="s">
        <v>200</v>
      </c>
      <c r="N10" s="3"/>
      <c r="O10" s="3">
        <f>+O15/O12</f>
        <v>547.24285714285713</v>
      </c>
      <c r="P10" s="3">
        <f>+P15/P12</f>
        <v>622.59574468085111</v>
      </c>
      <c r="Q10" s="1">
        <v>620</v>
      </c>
      <c r="R10" s="1">
        <f>+Q10*1.02</f>
        <v>632.4</v>
      </c>
      <c r="S10" s="1">
        <f t="shared" ref="S10:X11" si="2">+R10*1.02</f>
        <v>645.048</v>
      </c>
      <c r="T10" s="1">
        <f t="shared" si="2"/>
        <v>657.94896000000006</v>
      </c>
      <c r="U10" s="1">
        <f t="shared" si="2"/>
        <v>671.10793920000003</v>
      </c>
      <c r="V10" s="1">
        <f t="shared" si="2"/>
        <v>684.53009798400001</v>
      </c>
      <c r="W10" s="1">
        <f t="shared" si="2"/>
        <v>698.22069994368007</v>
      </c>
      <c r="X10" s="1">
        <f t="shared" si="2"/>
        <v>712.1851139425537</v>
      </c>
    </row>
    <row r="11" spans="1:24" s="1" customFormat="1" x14ac:dyDescent="0.25">
      <c r="B11" s="1" t="s">
        <v>201</v>
      </c>
      <c r="N11" s="3"/>
      <c r="O11" s="3">
        <f>+O16/O13</f>
        <v>1921.2328767123288</v>
      </c>
      <c r="P11" s="3">
        <f>+P16/P13</f>
        <v>2104.2580645161293</v>
      </c>
      <c r="Q11" s="1">
        <v>2100</v>
      </c>
      <c r="R11" s="1">
        <f>+Q11*1.02</f>
        <v>2142</v>
      </c>
      <c r="S11" s="1">
        <f t="shared" si="2"/>
        <v>2184.84</v>
      </c>
      <c r="T11" s="1">
        <f t="shared" si="2"/>
        <v>2228.5368000000003</v>
      </c>
      <c r="U11" s="1">
        <f t="shared" si="2"/>
        <v>2273.1075360000004</v>
      </c>
      <c r="V11" s="1">
        <f t="shared" si="2"/>
        <v>2318.5696867200004</v>
      </c>
      <c r="W11" s="1">
        <f t="shared" si="2"/>
        <v>2364.9410804544004</v>
      </c>
      <c r="X11" s="1">
        <f t="shared" si="2"/>
        <v>2412.2399020634884</v>
      </c>
    </row>
    <row r="12" spans="1:24" s="1" customFormat="1" x14ac:dyDescent="0.25">
      <c r="B12" s="1" t="s">
        <v>202</v>
      </c>
      <c r="M12" s="1">
        <v>64</v>
      </c>
      <c r="N12" s="1">
        <v>39.700000000000003</v>
      </c>
      <c r="O12" s="1">
        <v>70</v>
      </c>
      <c r="P12" s="1">
        <v>94</v>
      </c>
      <c r="Q12" s="1">
        <v>85</v>
      </c>
      <c r="R12" s="1">
        <f>+Q12*0.97</f>
        <v>82.45</v>
      </c>
      <c r="S12" s="1">
        <f t="shared" ref="S12" si="3">+R12*0.97</f>
        <v>79.976500000000001</v>
      </c>
      <c r="T12" s="1">
        <f>+S12*0.6</f>
        <v>47.985900000000001</v>
      </c>
      <c r="U12" s="1">
        <f>+T12*1.02</f>
        <v>48.945618000000003</v>
      </c>
      <c r="V12" s="1">
        <f t="shared" ref="V12:X13" si="4">+U12*1.02</f>
        <v>49.924530360000006</v>
      </c>
      <c r="W12" s="1">
        <f t="shared" si="4"/>
        <v>50.92302096720001</v>
      </c>
      <c r="X12" s="1">
        <f t="shared" si="4"/>
        <v>51.941481386544012</v>
      </c>
    </row>
    <row r="13" spans="1:24" s="1" customFormat="1" x14ac:dyDescent="0.25">
      <c r="B13" s="1" t="s">
        <v>194</v>
      </c>
      <c r="M13" s="1">
        <v>5.8</v>
      </c>
      <c r="N13" s="1">
        <v>3.6</v>
      </c>
      <c r="O13" s="1">
        <v>14.6</v>
      </c>
      <c r="P13" s="1">
        <v>31</v>
      </c>
      <c r="Q13" s="1">
        <v>25</v>
      </c>
      <c r="R13" s="1">
        <f>+Q13*0.96</f>
        <v>24</v>
      </c>
      <c r="S13" s="1">
        <f t="shared" ref="S13" si="5">+R13*0.96</f>
        <v>23.04</v>
      </c>
      <c r="T13" s="1">
        <f>+S13*0.6</f>
        <v>13.824</v>
      </c>
      <c r="U13" s="1">
        <f>+T13*1.02</f>
        <v>14.100479999999999</v>
      </c>
      <c r="V13" s="1">
        <f t="shared" si="4"/>
        <v>14.3824896</v>
      </c>
      <c r="W13" s="1">
        <f t="shared" si="4"/>
        <v>14.670139391999999</v>
      </c>
      <c r="X13" s="1">
        <f t="shared" si="4"/>
        <v>14.963542179839999</v>
      </c>
    </row>
    <row r="14" spans="1:24" s="1" customFormat="1" x14ac:dyDescent="0.25">
      <c r="N14" s="3"/>
      <c r="O14" s="3"/>
      <c r="P14" s="3"/>
    </row>
    <row r="15" spans="1:24" s="1" customFormat="1" x14ac:dyDescent="0.25">
      <c r="B15" s="1" t="s">
        <v>74</v>
      </c>
      <c r="N15" s="3"/>
      <c r="O15" s="3">
        <f>+Main!C38</f>
        <v>38307</v>
      </c>
      <c r="P15" s="3">
        <f>+Main!D38</f>
        <v>58524</v>
      </c>
      <c r="Q15" s="1">
        <f>+Q10*Q12</f>
        <v>52700</v>
      </c>
      <c r="R15" s="1">
        <f t="shared" ref="R15:T15" si="6">+R10*R12</f>
        <v>52141.38</v>
      </c>
      <c r="S15" s="1">
        <f t="shared" si="6"/>
        <v>51588.681371999999</v>
      </c>
      <c r="T15" s="1">
        <f t="shared" si="6"/>
        <v>31572.272999664005</v>
      </c>
      <c r="U15" s="1">
        <f t="shared" ref="U15:X15" si="7">+U10*U12</f>
        <v>32847.792828850426</v>
      </c>
      <c r="V15" s="1">
        <f t="shared" si="7"/>
        <v>34174.843659135986</v>
      </c>
      <c r="W15" s="1">
        <f t="shared" si="7"/>
        <v>35555.507342965087</v>
      </c>
      <c r="X15" s="1">
        <f t="shared" si="7"/>
        <v>36991.94983962088</v>
      </c>
    </row>
    <row r="16" spans="1:24" s="1" customFormat="1" x14ac:dyDescent="0.25">
      <c r="B16" s="7" t="s">
        <v>199</v>
      </c>
      <c r="N16" s="3"/>
      <c r="O16" s="3">
        <f>+Main!C39</f>
        <v>28050</v>
      </c>
      <c r="P16" s="3">
        <f>+Main!D39</f>
        <v>65232</v>
      </c>
      <c r="Q16" s="1">
        <f>+Q11*Q13</f>
        <v>52500</v>
      </c>
      <c r="R16" s="1">
        <f t="shared" ref="R16:T16" si="8">+R11*R13</f>
        <v>51408</v>
      </c>
      <c r="S16" s="1">
        <f t="shared" si="8"/>
        <v>50338.713600000003</v>
      </c>
      <c r="T16" s="1">
        <f t="shared" si="8"/>
        <v>30807.292723200004</v>
      </c>
      <c r="U16" s="1">
        <f t="shared" ref="U16:X16" si="9">+U11*U13</f>
        <v>32051.907349217283</v>
      </c>
      <c r="V16" s="1">
        <f t="shared" si="9"/>
        <v>33346.804406125666</v>
      </c>
      <c r="W16" s="1">
        <f t="shared" si="9"/>
        <v>34694.015304133143</v>
      </c>
      <c r="X16" s="1">
        <f t="shared" si="9"/>
        <v>36095.653522420122</v>
      </c>
    </row>
    <row r="17" spans="2:99" s="1" customFormat="1" x14ac:dyDescent="0.25">
      <c r="B17" s="1" t="s">
        <v>76</v>
      </c>
      <c r="N17" s="3"/>
      <c r="O17" s="3">
        <f>+Main!C40</f>
        <v>11473</v>
      </c>
      <c r="P17" s="3">
        <f>+Main!D40</f>
        <v>11093</v>
      </c>
      <c r="Q17" s="1">
        <f>+P17*0.98</f>
        <v>10871.14</v>
      </c>
      <c r="R17" s="1">
        <f t="shared" ref="R17:X17" si="10">+Q17*0.98</f>
        <v>10653.717199999999</v>
      </c>
      <c r="S17" s="1">
        <f t="shared" si="10"/>
        <v>10440.642855999999</v>
      </c>
      <c r="T17" s="1">
        <f t="shared" si="10"/>
        <v>10231.829998879999</v>
      </c>
      <c r="U17" s="1">
        <f t="shared" si="10"/>
        <v>10027.193398902398</v>
      </c>
      <c r="V17" s="1">
        <f t="shared" si="10"/>
        <v>9826.649530924351</v>
      </c>
      <c r="W17" s="1">
        <f t="shared" si="10"/>
        <v>9630.116540305864</v>
      </c>
      <c r="X17" s="1">
        <f t="shared" si="10"/>
        <v>9437.5142094997464</v>
      </c>
    </row>
    <row r="18" spans="2:99" s="1" customFormat="1" x14ac:dyDescent="0.25">
      <c r="B18" s="1" t="s">
        <v>79</v>
      </c>
      <c r="N18" s="3"/>
      <c r="O18" s="3">
        <f>+Main!C41</f>
        <v>8490</v>
      </c>
      <c r="P18" s="3">
        <f>+Main!D41</f>
        <v>9240</v>
      </c>
      <c r="Q18" s="1">
        <f>+P18*1.05</f>
        <v>9702</v>
      </c>
      <c r="R18" s="1">
        <f>+Q18*1.03</f>
        <v>9993.06</v>
      </c>
      <c r="S18" s="1">
        <f>+R18*1.02</f>
        <v>10192.921199999999</v>
      </c>
      <c r="T18" s="1">
        <f>+S18*0.8</f>
        <v>8154.3369599999996</v>
      </c>
      <c r="U18" s="1">
        <f t="shared" ref="U18:X18" si="11">+T18*0.8</f>
        <v>6523.4695680000004</v>
      </c>
      <c r="V18" s="1">
        <f t="shared" si="11"/>
        <v>5218.7756544000003</v>
      </c>
      <c r="W18" s="1">
        <f t="shared" si="11"/>
        <v>4175.0205235200001</v>
      </c>
      <c r="X18" s="1">
        <f t="shared" si="11"/>
        <v>3340.0164188160002</v>
      </c>
    </row>
    <row r="19" spans="2:99" s="1" customFormat="1" x14ac:dyDescent="0.25">
      <c r="B19" s="1" t="s">
        <v>68</v>
      </c>
      <c r="N19" s="3"/>
      <c r="O19" s="3">
        <f>+O20-O18-O17-O16-O15</f>
        <v>4604</v>
      </c>
      <c r="P19" s="3">
        <f>+P20-P18-P17-P16-P15</f>
        <v>6717</v>
      </c>
      <c r="Q19" s="1">
        <f>+Q6</f>
        <v>271.47487000000001</v>
      </c>
      <c r="R19" s="1">
        <f t="shared" ref="R19:X19" si="12">+R6</f>
        <v>274.18961870000004</v>
      </c>
      <c r="S19" s="1">
        <f t="shared" si="12"/>
        <v>1138.0896187000001</v>
      </c>
      <c r="T19" s="1">
        <f t="shared" si="12"/>
        <v>2865.8896187</v>
      </c>
      <c r="U19" s="1">
        <f t="shared" si="12"/>
        <v>4291.3246187000004</v>
      </c>
      <c r="V19" s="1">
        <f t="shared" si="12"/>
        <v>5106.3246187000004</v>
      </c>
      <c r="W19" s="1">
        <f t="shared" si="12"/>
        <v>5921.3246187000004</v>
      </c>
      <c r="X19" s="1">
        <f t="shared" si="12"/>
        <v>6736.3246187000004</v>
      </c>
    </row>
    <row r="20" spans="2:99" s="16" customFormat="1" x14ac:dyDescent="0.25">
      <c r="B20" s="16" t="s">
        <v>0</v>
      </c>
      <c r="C20" s="16">
        <v>17549</v>
      </c>
      <c r="D20" s="16">
        <v>17462</v>
      </c>
      <c r="E20" s="16">
        <v>23264</v>
      </c>
      <c r="F20" s="16">
        <v>32608</v>
      </c>
      <c r="G20" s="16">
        <v>36393</v>
      </c>
      <c r="H20" s="16">
        <v>36459</v>
      </c>
      <c r="I20" s="16">
        <v>43633</v>
      </c>
      <c r="J20" s="16">
        <v>34321</v>
      </c>
      <c r="M20" s="16">
        <v>64357</v>
      </c>
      <c r="N20" s="16">
        <v>45818</v>
      </c>
      <c r="O20" s="16">
        <v>90924</v>
      </c>
      <c r="P20" s="16">
        <v>150806</v>
      </c>
      <c r="Q20" s="16">
        <f>+SUM(Q15:Q19)</f>
        <v>126044.61487</v>
      </c>
      <c r="R20" s="16">
        <f t="shared" ref="R20:T20" si="13">+SUM(R15:R19)</f>
        <v>124470.3468187</v>
      </c>
      <c r="S20" s="16">
        <f t="shared" si="13"/>
        <v>123699.0486467</v>
      </c>
      <c r="T20" s="16">
        <f t="shared" si="13"/>
        <v>83631.622300444011</v>
      </c>
      <c r="U20" s="16">
        <f t="shared" ref="U20" si="14">+SUM(U15:U19)</f>
        <v>85741.68776367011</v>
      </c>
      <c r="V20" s="16">
        <f t="shared" ref="V20" si="15">+SUM(V15:V19)</f>
        <v>87673.397869286011</v>
      </c>
      <c r="W20" s="16">
        <f t="shared" ref="W20" si="16">+SUM(W15:W19)</f>
        <v>89975.984329624102</v>
      </c>
      <c r="X20" s="16">
        <f t="shared" ref="X20" si="17">+SUM(X15:X19)</f>
        <v>92601.458609056746</v>
      </c>
    </row>
    <row r="21" spans="2:99" s="1" customFormat="1" x14ac:dyDescent="0.25">
      <c r="B21" s="1" t="s">
        <v>1</v>
      </c>
      <c r="C21" s="1">
        <v>7166</v>
      </c>
      <c r="D21" s="1">
        <v>7399</v>
      </c>
      <c r="E21" s="1">
        <v>9052</v>
      </c>
      <c r="F21" s="1">
        <v>11543</v>
      </c>
      <c r="G21" s="1">
        <v>13510</v>
      </c>
      <c r="H21" s="1">
        <v>13851</v>
      </c>
      <c r="I21" s="1">
        <v>13592</v>
      </c>
      <c r="J21" s="1">
        <v>12853</v>
      </c>
      <c r="M21" s="1">
        <v>29532</v>
      </c>
      <c r="N21" s="1">
        <v>20986</v>
      </c>
      <c r="O21" s="1">
        <v>35160</v>
      </c>
      <c r="P21" s="1">
        <v>53806</v>
      </c>
      <c r="Q21" s="1">
        <f>+Q20*0.38</f>
        <v>47896.9536506</v>
      </c>
      <c r="R21" s="1">
        <f t="shared" ref="R21:X21" si="18">+R20*0.38</f>
        <v>47298.731791106002</v>
      </c>
      <c r="S21" s="1">
        <f t="shared" si="18"/>
        <v>47005.638485746</v>
      </c>
      <c r="T21" s="1">
        <f t="shared" si="18"/>
        <v>31780.016474168726</v>
      </c>
      <c r="U21" s="1">
        <f t="shared" si="18"/>
        <v>32581.841350194642</v>
      </c>
      <c r="V21" s="1">
        <f t="shared" si="18"/>
        <v>33315.891190328686</v>
      </c>
      <c r="W21" s="1">
        <f t="shared" si="18"/>
        <v>34190.874045257158</v>
      </c>
      <c r="X21" s="1">
        <f t="shared" si="18"/>
        <v>35188.554271441564</v>
      </c>
    </row>
    <row r="22" spans="2:99" s="1" customFormat="1" x14ac:dyDescent="0.25">
      <c r="B22" s="1" t="s">
        <v>2</v>
      </c>
      <c r="C22" s="1">
        <f t="shared" ref="C22" si="19">+C20-C21</f>
        <v>10383</v>
      </c>
      <c r="D22" s="1">
        <f t="shared" ref="D22" si="20">+D20-D21</f>
        <v>10063</v>
      </c>
      <c r="E22" s="1">
        <f t="shared" ref="E22" si="21">+E20-E21</f>
        <v>14212</v>
      </c>
      <c r="F22" s="1">
        <f t="shared" ref="F22" si="22">+F20-F21</f>
        <v>21065</v>
      </c>
      <c r="G22" s="1">
        <f t="shared" ref="G22" si="23">+G20-G21</f>
        <v>22883</v>
      </c>
      <c r="H22" s="1">
        <f t="shared" ref="H22" si="24">+H20-H21</f>
        <v>22608</v>
      </c>
      <c r="I22" s="1">
        <f t="shared" ref="I22" si="25">+I20-I21</f>
        <v>30041</v>
      </c>
      <c r="J22" s="1">
        <f t="shared" ref="J22" si="26">+J20-J21</f>
        <v>21468</v>
      </c>
      <c r="M22" s="1">
        <f>+M20-M21</f>
        <v>34825</v>
      </c>
      <c r="N22" s="1">
        <f t="shared" ref="N22:P22" si="27">+N20-N21</f>
        <v>24832</v>
      </c>
      <c r="O22" s="1">
        <f t="shared" si="27"/>
        <v>55764</v>
      </c>
      <c r="P22" s="1">
        <f t="shared" si="27"/>
        <v>97000</v>
      </c>
      <c r="Q22" s="1">
        <f t="shared" ref="Q22:X22" si="28">+Q20-Q21</f>
        <v>78147.661219400004</v>
      </c>
      <c r="R22" s="1">
        <f t="shared" si="28"/>
        <v>77171.615027594002</v>
      </c>
      <c r="S22" s="1">
        <f t="shared" si="28"/>
        <v>76693.410160953994</v>
      </c>
      <c r="T22" s="1">
        <f t="shared" si="28"/>
        <v>51851.605826275285</v>
      </c>
      <c r="U22" s="1">
        <f t="shared" si="28"/>
        <v>53159.846413475469</v>
      </c>
      <c r="V22" s="1">
        <f t="shared" si="28"/>
        <v>54357.506678957325</v>
      </c>
      <c r="W22" s="1">
        <f t="shared" si="28"/>
        <v>55785.110284366943</v>
      </c>
      <c r="X22" s="1">
        <f t="shared" si="28"/>
        <v>57412.904337615182</v>
      </c>
    </row>
    <row r="23" spans="2:99" s="1" customFormat="1" x14ac:dyDescent="0.25">
      <c r="B23" s="1" t="s">
        <v>3</v>
      </c>
      <c r="C23" s="1">
        <v>1901</v>
      </c>
      <c r="D23" s="1">
        <v>2134</v>
      </c>
      <c r="E23" s="1">
        <v>2241</v>
      </c>
      <c r="F23" s="1">
        <v>2281</v>
      </c>
      <c r="G23" s="1">
        <v>1989</v>
      </c>
      <c r="H23" s="1">
        <v>2200</v>
      </c>
      <c r="I23" s="1">
        <v>2393</v>
      </c>
      <c r="J23" s="1">
        <v>3026</v>
      </c>
      <c r="M23" s="1">
        <v>9660</v>
      </c>
      <c r="N23" s="1">
        <v>8831</v>
      </c>
      <c r="O23" s="1">
        <v>8598</v>
      </c>
      <c r="P23" s="1">
        <v>9608</v>
      </c>
      <c r="Q23" s="1">
        <f>+P23*1.03</f>
        <v>9896.24</v>
      </c>
      <c r="R23" s="1">
        <f>+Q23*0.98</f>
        <v>9698.3151999999991</v>
      </c>
      <c r="S23" s="1">
        <f t="shared" ref="S23:X23" si="29">+R23*0.98</f>
        <v>9504.3488959999995</v>
      </c>
      <c r="T23" s="1">
        <f t="shared" si="29"/>
        <v>9314.2619180799993</v>
      </c>
      <c r="U23" s="1">
        <f t="shared" si="29"/>
        <v>9127.9766797183984</v>
      </c>
      <c r="V23" s="1">
        <f t="shared" si="29"/>
        <v>8945.4171461240294</v>
      </c>
      <c r="W23" s="1">
        <f t="shared" si="29"/>
        <v>8766.5088032015483</v>
      </c>
      <c r="X23" s="1">
        <f t="shared" si="29"/>
        <v>8591.1786271375167</v>
      </c>
    </row>
    <row r="24" spans="2:99" s="1" customFormat="1" x14ac:dyDescent="0.25">
      <c r="B24" s="1" t="s">
        <v>4</v>
      </c>
      <c r="C24" s="1">
        <v>218</v>
      </c>
      <c r="D24" s="1">
        <v>195</v>
      </c>
      <c r="E24" s="1">
        <v>145</v>
      </c>
      <c r="F24" s="1">
        <v>222</v>
      </c>
      <c r="G24" s="1">
        <v>282</v>
      </c>
      <c r="H24" s="1">
        <v>205</v>
      </c>
      <c r="I24" s="1">
        <v>221</v>
      </c>
      <c r="J24" s="1">
        <v>278</v>
      </c>
      <c r="M24" s="1">
        <v>809</v>
      </c>
      <c r="N24" s="1">
        <v>706</v>
      </c>
      <c r="O24" s="1">
        <v>780</v>
      </c>
      <c r="P24" s="1">
        <v>986</v>
      </c>
      <c r="Q24" s="1">
        <f>+P24*1.02</f>
        <v>1005.72</v>
      </c>
      <c r="R24" s="1">
        <f t="shared" ref="R24:X24" si="30">+Q24*1.02</f>
        <v>1025.8344</v>
      </c>
      <c r="S24" s="1">
        <f t="shared" si="30"/>
        <v>1046.3510879999999</v>
      </c>
      <c r="T24" s="1">
        <f t="shared" si="30"/>
        <v>1067.27810976</v>
      </c>
      <c r="U24" s="1">
        <f t="shared" si="30"/>
        <v>1088.6236719552001</v>
      </c>
      <c r="V24" s="1">
        <f t="shared" si="30"/>
        <v>1110.3961453943041</v>
      </c>
      <c r="W24" s="1">
        <f t="shared" si="30"/>
        <v>1132.6040683021902</v>
      </c>
      <c r="X24" s="1">
        <f t="shared" si="30"/>
        <v>1155.256149668234</v>
      </c>
    </row>
    <row r="25" spans="2:99" s="1" customFormat="1" x14ac:dyDescent="0.25">
      <c r="B25" s="1" t="s">
        <v>5</v>
      </c>
      <c r="C25" s="1">
        <v>2797</v>
      </c>
      <c r="D25" s="1">
        <v>2111</v>
      </c>
      <c r="E25" s="1">
        <v>2034</v>
      </c>
      <c r="F25" s="1">
        <v>4777</v>
      </c>
      <c r="G25" s="1">
        <v>2017</v>
      </c>
      <c r="H25" s="1">
        <v>2140</v>
      </c>
      <c r="I25" s="1">
        <v>1049</v>
      </c>
      <c r="J25" s="1">
        <v>1184</v>
      </c>
      <c r="M25" s="1">
        <v>13204</v>
      </c>
      <c r="N25" s="1">
        <v>15235</v>
      </c>
      <c r="O25" s="1">
        <v>11719</v>
      </c>
      <c r="P25" s="1">
        <v>6391</v>
      </c>
      <c r="Q25" s="1">
        <f>+P25*0.98</f>
        <v>6263.18</v>
      </c>
      <c r="R25" s="1">
        <f t="shared" ref="R25:X25" si="31">+Q25*0.98</f>
        <v>6137.9164000000001</v>
      </c>
      <c r="S25" s="1">
        <f t="shared" si="31"/>
        <v>6015.1580720000002</v>
      </c>
      <c r="T25" s="1">
        <f t="shared" si="31"/>
        <v>5894.8549105600005</v>
      </c>
      <c r="U25" s="1">
        <f t="shared" si="31"/>
        <v>5776.9578123488</v>
      </c>
      <c r="V25" s="1">
        <f t="shared" si="31"/>
        <v>5661.4186561018241</v>
      </c>
      <c r="W25" s="1">
        <f t="shared" si="31"/>
        <v>5548.1902829797873</v>
      </c>
      <c r="X25" s="1">
        <f t="shared" si="31"/>
        <v>5437.2264773201914</v>
      </c>
    </row>
    <row r="26" spans="2:99" s="1" customFormat="1" x14ac:dyDescent="0.25">
      <c r="B26" s="1" t="s">
        <v>6</v>
      </c>
      <c r="C26" s="1">
        <v>247</v>
      </c>
      <c r="D26" s="1">
        <v>326</v>
      </c>
      <c r="E26" s="1">
        <v>226</v>
      </c>
      <c r="F26" s="1">
        <v>206</v>
      </c>
      <c r="G26" s="1">
        <v>203</v>
      </c>
      <c r="H26" s="1">
        <v>331</v>
      </c>
      <c r="I26" s="1">
        <v>275</v>
      </c>
      <c r="J26" s="1">
        <v>396</v>
      </c>
      <c r="M26" s="1">
        <v>1854</v>
      </c>
      <c r="N26" s="1">
        <v>3483</v>
      </c>
      <c r="O26" s="1">
        <v>1004</v>
      </c>
      <c r="P26" s="1">
        <v>1205</v>
      </c>
      <c r="Q26" s="1">
        <f>+P26*1.05</f>
        <v>1265.25</v>
      </c>
      <c r="R26" s="1">
        <f t="shared" ref="R26" si="32">+Q26*1.05</f>
        <v>1328.5125</v>
      </c>
      <c r="S26" s="1">
        <f>+R26*1.03</f>
        <v>1368.3678750000001</v>
      </c>
      <c r="T26" s="1">
        <f t="shared" ref="T26" si="33">+S26*1.03</f>
        <v>1409.4189112500003</v>
      </c>
      <c r="U26" s="1">
        <f>+T26*1.02</f>
        <v>1437.6072894750002</v>
      </c>
      <c r="V26" s="1">
        <f t="shared" ref="V26:X26" si="34">+U26*1.02</f>
        <v>1466.3594352645002</v>
      </c>
      <c r="W26" s="1">
        <f t="shared" si="34"/>
        <v>1495.6866239697902</v>
      </c>
      <c r="X26" s="1">
        <f t="shared" si="34"/>
        <v>1525.6003564491859</v>
      </c>
    </row>
    <row r="27" spans="2:99" s="1" customFormat="1" x14ac:dyDescent="0.25">
      <c r="B27" s="1" t="s">
        <v>7</v>
      </c>
      <c r="C27" s="1">
        <f t="shared" ref="C27" si="35">+C22-C23-C24-C25-C26</f>
        <v>5220</v>
      </c>
      <c r="D27" s="1">
        <f t="shared" ref="D27" si="36">+D22-D23-D24-D25-D26</f>
        <v>5297</v>
      </c>
      <c r="E27" s="1">
        <f t="shared" ref="E27" si="37">+E22-E23-E24-E25-E26</f>
        <v>9566</v>
      </c>
      <c r="F27" s="1">
        <f t="shared" ref="F27" si="38">+F22-F23-F24-F25-F26</f>
        <v>13579</v>
      </c>
      <c r="G27" s="1">
        <f t="shared" ref="G27" si="39">+G22-G23-G24-G25-G26</f>
        <v>18392</v>
      </c>
      <c r="H27" s="1">
        <f t="shared" ref="H27" si="40">+H22-H23-H24-H25-H26</f>
        <v>17732</v>
      </c>
      <c r="I27" s="1">
        <f t="shared" ref="I27" si="41">+I22-I23-I24-I25-I26</f>
        <v>26103</v>
      </c>
      <c r="J27" s="1">
        <f t="shared" ref="J27" si="42">+J22-J23-J24-J25-J26</f>
        <v>16584</v>
      </c>
      <c r="M27" s="1">
        <f>+M22-M23-M24-M25-M26</f>
        <v>9298</v>
      </c>
      <c r="N27" s="1">
        <f t="shared" ref="N27:P27" si="43">+N22-N23-N24-N25-N26</f>
        <v>-3423</v>
      </c>
      <c r="O27" s="1">
        <f>+O22-O23-O24-O25-O26</f>
        <v>33663</v>
      </c>
      <c r="P27" s="1">
        <f t="shared" si="43"/>
        <v>78810</v>
      </c>
      <c r="Q27" s="1">
        <f t="shared" ref="Q27:X27" si="44">+Q22-Q23-Q24-Q25-Q26</f>
        <v>59717.271219399998</v>
      </c>
      <c r="R27" s="1">
        <f t="shared" si="44"/>
        <v>58981.036527593998</v>
      </c>
      <c r="S27" s="1">
        <f t="shared" si="44"/>
        <v>58759.184229954</v>
      </c>
      <c r="T27" s="1">
        <f t="shared" si="44"/>
        <v>34165.791976625274</v>
      </c>
      <c r="U27" s="1">
        <f t="shared" si="44"/>
        <v>35728.680959978061</v>
      </c>
      <c r="V27" s="1">
        <f t="shared" si="44"/>
        <v>37173.915296072671</v>
      </c>
      <c r="W27" s="1">
        <f t="shared" si="44"/>
        <v>38842.120505913619</v>
      </c>
      <c r="X27" s="1">
        <f t="shared" si="44"/>
        <v>40703.64272704006</v>
      </c>
    </row>
    <row r="28" spans="2:99" s="1" customFormat="1" x14ac:dyDescent="0.25">
      <c r="B28" s="1" t="s">
        <v>8</v>
      </c>
      <c r="C28" s="1">
        <v>312</v>
      </c>
      <c r="D28" s="1">
        <v>304</v>
      </c>
      <c r="E28" s="1">
        <v>308</v>
      </c>
      <c r="F28" s="1">
        <v>299</v>
      </c>
      <c r="G28" s="1">
        <v>226</v>
      </c>
      <c r="H28" s="1">
        <v>327</v>
      </c>
      <c r="I28" s="1">
        <v>336</v>
      </c>
      <c r="J28" s="1">
        <v>450</v>
      </c>
      <c r="M28" s="1">
        <v>1450</v>
      </c>
      <c r="N28" s="1">
        <v>1392</v>
      </c>
      <c r="O28" s="1">
        <v>1223</v>
      </c>
      <c r="P28" s="1">
        <v>1379</v>
      </c>
      <c r="Q28" s="1">
        <f>+P28*0.98</f>
        <v>1351.42</v>
      </c>
      <c r="R28" s="1">
        <f t="shared" ref="R28:X28" si="45">+Q28*0.98</f>
        <v>1324.3916000000002</v>
      </c>
      <c r="S28" s="1">
        <f t="shared" si="45"/>
        <v>1297.9037680000001</v>
      </c>
      <c r="T28" s="1">
        <f t="shared" si="45"/>
        <v>1271.9456926400001</v>
      </c>
      <c r="U28" s="1">
        <f t="shared" si="45"/>
        <v>1246.5067787872001</v>
      </c>
      <c r="V28" s="1">
        <f t="shared" si="45"/>
        <v>1221.576643211456</v>
      </c>
      <c r="W28" s="1">
        <f t="shared" si="45"/>
        <v>1197.1451103472268</v>
      </c>
      <c r="X28" s="1">
        <f t="shared" si="45"/>
        <v>1173.2022081402822</v>
      </c>
    </row>
    <row r="29" spans="2:99" s="1" customFormat="1" x14ac:dyDescent="0.25">
      <c r="B29" s="1" t="s">
        <v>9</v>
      </c>
      <c r="C29" s="1">
        <v>396</v>
      </c>
      <c r="D29" s="1">
        <v>-90</v>
      </c>
      <c r="E29" s="1">
        <v>-228</v>
      </c>
      <c r="F29" s="1">
        <v>-143</v>
      </c>
      <c r="G29" s="1">
        <v>-903</v>
      </c>
      <c r="H29" s="1">
        <v>2351</v>
      </c>
      <c r="I29" s="1">
        <v>1389</v>
      </c>
      <c r="J29" s="1">
        <v>-1664</v>
      </c>
      <c r="M29" s="1">
        <v>1443</v>
      </c>
      <c r="N29" s="1">
        <v>556</v>
      </c>
      <c r="O29" s="1">
        <v>-857</v>
      </c>
      <c r="P29" s="1">
        <v>1172</v>
      </c>
      <c r="Q29" s="1">
        <v>500</v>
      </c>
      <c r="R29" s="1">
        <v>500</v>
      </c>
      <c r="S29" s="1">
        <v>500</v>
      </c>
      <c r="T29" s="1">
        <v>500</v>
      </c>
      <c r="U29" s="1">
        <v>500</v>
      </c>
      <c r="V29" s="1">
        <v>500</v>
      </c>
      <c r="W29" s="1">
        <v>500</v>
      </c>
      <c r="X29" s="1">
        <v>500</v>
      </c>
    </row>
    <row r="30" spans="2:99" s="1" customFormat="1" x14ac:dyDescent="0.25">
      <c r="B30" s="1" t="s">
        <v>10</v>
      </c>
      <c r="C30" s="1">
        <f t="shared" ref="C30" si="46">+C27-C28+C29</f>
        <v>5304</v>
      </c>
      <c r="D30" s="1">
        <f t="shared" ref="D30" si="47">+D27-D28+D29</f>
        <v>4903</v>
      </c>
      <c r="E30" s="1">
        <f t="shared" ref="E30" si="48">+E27-E28+E29</f>
        <v>9030</v>
      </c>
      <c r="F30" s="1">
        <f t="shared" ref="F30" si="49">+F27-F28+F29</f>
        <v>13137</v>
      </c>
      <c r="G30" s="1">
        <f t="shared" ref="G30" si="50">+G27-G28+G29</f>
        <v>17263</v>
      </c>
      <c r="H30" s="1">
        <f t="shared" ref="H30" si="51">+H27-H28+H29</f>
        <v>19756</v>
      </c>
      <c r="I30" s="1">
        <f t="shared" ref="I30" si="52">+I27-I28+I29</f>
        <v>27156</v>
      </c>
      <c r="J30" s="1">
        <f t="shared" ref="J30" si="53">+J27-J28+J29</f>
        <v>14470</v>
      </c>
      <c r="M30" s="1">
        <f>+M27-M28+M29</f>
        <v>9291</v>
      </c>
      <c r="N30" s="1">
        <f t="shared" ref="N30:P30" si="54">+N27-N28+N29</f>
        <v>-4259</v>
      </c>
      <c r="O30" s="1">
        <f t="shared" si="54"/>
        <v>31583</v>
      </c>
      <c r="P30" s="1">
        <f t="shared" si="54"/>
        <v>78603</v>
      </c>
      <c r="Q30" s="1">
        <f t="shared" ref="Q30:X30" si="55">+Q27-Q28+Q29</f>
        <v>58865.8512194</v>
      </c>
      <c r="R30" s="1">
        <f t="shared" si="55"/>
        <v>58156.644927593996</v>
      </c>
      <c r="S30" s="1">
        <f t="shared" si="55"/>
        <v>57961.280461953997</v>
      </c>
      <c r="T30" s="1">
        <f t="shared" si="55"/>
        <v>33393.846283985273</v>
      </c>
      <c r="U30" s="1">
        <f t="shared" si="55"/>
        <v>34982.174181190858</v>
      </c>
      <c r="V30" s="1">
        <f t="shared" si="55"/>
        <v>36452.338652861217</v>
      </c>
      <c r="W30" s="1">
        <f t="shared" si="55"/>
        <v>38144.975395566391</v>
      </c>
      <c r="X30" s="1">
        <f t="shared" si="55"/>
        <v>40030.440518899777</v>
      </c>
    </row>
    <row r="31" spans="2:99" s="1" customFormat="1" x14ac:dyDescent="0.25">
      <c r="B31" s="1" t="s">
        <v>11</v>
      </c>
      <c r="C31" s="1">
        <v>2659</v>
      </c>
      <c r="D31" s="1">
        <v>2962</v>
      </c>
      <c r="E31" s="1">
        <v>7622</v>
      </c>
      <c r="F31" s="1">
        <v>9765</v>
      </c>
      <c r="G31" s="1">
        <v>12509</v>
      </c>
      <c r="H31" s="1">
        <v>12995</v>
      </c>
      <c r="I31" s="1">
        <v>17785</v>
      </c>
      <c r="J31" s="1">
        <v>6572</v>
      </c>
      <c r="M31" s="1">
        <v>7441</v>
      </c>
      <c r="N31" s="1">
        <v>1237</v>
      </c>
      <c r="O31" s="1">
        <v>23007</v>
      </c>
      <c r="P31" s="1">
        <v>49861</v>
      </c>
      <c r="Q31" s="1">
        <f>+Q30*0.65</f>
        <v>38262.803292609999</v>
      </c>
      <c r="R31" s="1">
        <f t="shared" ref="R31:X31" si="56">+R30*0.65</f>
        <v>37801.819202936102</v>
      </c>
      <c r="S31" s="1">
        <f t="shared" si="56"/>
        <v>37674.8323002701</v>
      </c>
      <c r="T31" s="1">
        <f t="shared" si="56"/>
        <v>21706.000084590429</v>
      </c>
      <c r="U31" s="1">
        <f t="shared" si="56"/>
        <v>22738.413217774058</v>
      </c>
      <c r="V31" s="1">
        <f t="shared" si="56"/>
        <v>23694.020124359791</v>
      </c>
      <c r="W31" s="1">
        <f t="shared" si="56"/>
        <v>24794.234007118153</v>
      </c>
      <c r="X31" s="1">
        <f t="shared" si="56"/>
        <v>26019.786337284855</v>
      </c>
    </row>
    <row r="32" spans="2:99" s="16" customFormat="1" x14ac:dyDescent="0.25">
      <c r="B32" s="16" t="s">
        <v>12</v>
      </c>
      <c r="C32" s="16">
        <f t="shared" ref="C32" si="57">+C30-C31</f>
        <v>2645</v>
      </c>
      <c r="D32" s="16">
        <f t="shared" ref="D32" si="58">+D30-D31</f>
        <v>1941</v>
      </c>
      <c r="E32" s="16">
        <f t="shared" ref="E32" si="59">+E30-E31</f>
        <v>1408</v>
      </c>
      <c r="F32" s="16">
        <f t="shared" ref="F32" si="60">+F30-F31</f>
        <v>3372</v>
      </c>
      <c r="G32" s="16">
        <f t="shared" ref="G32" si="61">+G30-G31</f>
        <v>4754</v>
      </c>
      <c r="H32" s="16">
        <f t="shared" ref="H32" si="62">+H30-H31</f>
        <v>6761</v>
      </c>
      <c r="I32" s="16">
        <f t="shared" ref="I32" si="63">+I30-I31</f>
        <v>9371</v>
      </c>
      <c r="J32" s="16">
        <f t="shared" ref="J32" si="64">+J30-J31</f>
        <v>7898</v>
      </c>
      <c r="M32" s="16">
        <f>+M30-M31</f>
        <v>1850</v>
      </c>
      <c r="N32" s="16">
        <f t="shared" ref="N32:X32" si="65">+N30-N31</f>
        <v>-5496</v>
      </c>
      <c r="O32" s="16">
        <f t="shared" si="65"/>
        <v>8576</v>
      </c>
      <c r="P32" s="16">
        <f t="shared" si="65"/>
        <v>28742</v>
      </c>
      <c r="Q32" s="16">
        <f t="shared" si="65"/>
        <v>20603.047926790001</v>
      </c>
      <c r="R32" s="16">
        <f t="shared" si="65"/>
        <v>20354.825724657894</v>
      </c>
      <c r="S32" s="16">
        <f t="shared" si="65"/>
        <v>20286.448161683897</v>
      </c>
      <c r="T32" s="16">
        <f t="shared" si="65"/>
        <v>11687.846199394844</v>
      </c>
      <c r="U32" s="16">
        <f t="shared" si="65"/>
        <v>12243.7609634168</v>
      </c>
      <c r="V32" s="16">
        <f t="shared" si="65"/>
        <v>12758.318528501426</v>
      </c>
      <c r="W32" s="16">
        <f t="shared" si="65"/>
        <v>13350.741388448238</v>
      </c>
      <c r="X32" s="16">
        <f t="shared" si="65"/>
        <v>14010.654181614922</v>
      </c>
      <c r="Y32" s="16">
        <f t="shared" ref="Y32:BD32" si="66">+X32*(1+MV)</f>
        <v>14150.760723431071</v>
      </c>
      <c r="Z32" s="16">
        <f t="shared" si="66"/>
        <v>14292.268330665382</v>
      </c>
      <c r="AA32" s="16">
        <f t="shared" si="66"/>
        <v>14435.191013972035</v>
      </c>
      <c r="AB32" s="16">
        <f t="shared" si="66"/>
        <v>14579.542924111754</v>
      </c>
      <c r="AC32" s="16">
        <f t="shared" si="66"/>
        <v>14725.338353352872</v>
      </c>
      <c r="AD32" s="16">
        <f t="shared" si="66"/>
        <v>14872.591736886401</v>
      </c>
      <c r="AE32" s="16">
        <f t="shared" si="66"/>
        <v>15021.317654255265</v>
      </c>
      <c r="AF32" s="16">
        <f t="shared" si="66"/>
        <v>15171.530830797818</v>
      </c>
      <c r="AG32" s="16">
        <f t="shared" si="66"/>
        <v>15323.246139105795</v>
      </c>
      <c r="AH32" s="16">
        <f t="shared" si="66"/>
        <v>15476.478600496854</v>
      </c>
      <c r="AI32" s="16">
        <f t="shared" si="66"/>
        <v>15631.243386501823</v>
      </c>
      <c r="AJ32" s="16">
        <f t="shared" si="66"/>
        <v>15787.555820366841</v>
      </c>
      <c r="AK32" s="16">
        <f t="shared" si="66"/>
        <v>15945.431378570509</v>
      </c>
      <c r="AL32" s="16">
        <f t="shared" si="66"/>
        <v>16104.885692356214</v>
      </c>
      <c r="AM32" s="16">
        <f t="shared" si="66"/>
        <v>16265.934549279777</v>
      </c>
      <c r="AN32" s="16">
        <f t="shared" si="66"/>
        <v>16428.593894772574</v>
      </c>
      <c r="AO32" s="16">
        <f t="shared" si="66"/>
        <v>16592.879833720301</v>
      </c>
      <c r="AP32" s="16">
        <f t="shared" si="66"/>
        <v>16758.808632057502</v>
      </c>
      <c r="AQ32" s="16">
        <f t="shared" si="66"/>
        <v>16926.396718378077</v>
      </c>
      <c r="AR32" s="16">
        <f t="shared" si="66"/>
        <v>17095.660685561859</v>
      </c>
      <c r="AS32" s="16">
        <f t="shared" si="66"/>
        <v>17266.617292417479</v>
      </c>
      <c r="AT32" s="16">
        <f t="shared" si="66"/>
        <v>17439.283465341654</v>
      </c>
      <c r="AU32" s="16">
        <f t="shared" si="66"/>
        <v>17613.67629999507</v>
      </c>
      <c r="AV32" s="16">
        <f t="shared" si="66"/>
        <v>17789.813062995021</v>
      </c>
      <c r="AW32" s="16">
        <f t="shared" si="66"/>
        <v>17967.711193624971</v>
      </c>
      <c r="AX32" s="16">
        <f t="shared" si="66"/>
        <v>18147.38830556122</v>
      </c>
      <c r="AY32" s="16">
        <f t="shared" si="66"/>
        <v>18328.862188616833</v>
      </c>
      <c r="AZ32" s="16">
        <f t="shared" si="66"/>
        <v>18512.150810503001</v>
      </c>
      <c r="BA32" s="16">
        <f t="shared" si="66"/>
        <v>18697.272318608029</v>
      </c>
      <c r="BB32" s="16">
        <f t="shared" si="66"/>
        <v>18884.245041794111</v>
      </c>
      <c r="BC32" s="16">
        <f t="shared" si="66"/>
        <v>19073.087492212053</v>
      </c>
      <c r="BD32" s="16">
        <f t="shared" si="66"/>
        <v>19263.818367134172</v>
      </c>
      <c r="BE32" s="16">
        <f t="shared" ref="BE32:CJ32" si="67">+BD32*(1+MV)</f>
        <v>19456.456550805513</v>
      </c>
      <c r="BF32" s="16">
        <f t="shared" si="67"/>
        <v>19651.021116313568</v>
      </c>
      <c r="BG32" s="16">
        <f t="shared" si="67"/>
        <v>19847.531327476703</v>
      </c>
      <c r="BH32" s="16">
        <f t="shared" si="67"/>
        <v>20046.006640751471</v>
      </c>
      <c r="BI32" s="16">
        <f t="shared" si="67"/>
        <v>20246.466707158987</v>
      </c>
      <c r="BJ32" s="16">
        <f t="shared" si="67"/>
        <v>20448.931374230575</v>
      </c>
      <c r="BK32" s="16">
        <f t="shared" si="67"/>
        <v>20653.420687972881</v>
      </c>
      <c r="BL32" s="16">
        <f t="shared" si="67"/>
        <v>20859.95489485261</v>
      </c>
      <c r="BM32" s="16">
        <f t="shared" si="67"/>
        <v>21068.554443801135</v>
      </c>
      <c r="BN32" s="16">
        <f t="shared" si="67"/>
        <v>21279.239988239147</v>
      </c>
      <c r="BO32" s="16">
        <f t="shared" si="67"/>
        <v>21492.032388121537</v>
      </c>
      <c r="BP32" s="16">
        <f t="shared" si="67"/>
        <v>21706.952712002752</v>
      </c>
      <c r="BQ32" s="16">
        <f t="shared" si="67"/>
        <v>21924.02223912278</v>
      </c>
      <c r="BR32" s="16">
        <f t="shared" si="67"/>
        <v>22143.262461514008</v>
      </c>
      <c r="BS32" s="16">
        <f t="shared" si="67"/>
        <v>22364.695086129148</v>
      </c>
      <c r="BT32" s="16">
        <f t="shared" si="67"/>
        <v>22588.342036990438</v>
      </c>
      <c r="BU32" s="16">
        <f t="shared" si="67"/>
        <v>22814.225457360342</v>
      </c>
      <c r="BV32" s="16">
        <f t="shared" si="67"/>
        <v>23042.367711933945</v>
      </c>
      <c r="BW32" s="16">
        <f t="shared" si="67"/>
        <v>23272.791389053284</v>
      </c>
      <c r="BX32" s="16">
        <f t="shared" si="67"/>
        <v>23505.519302943816</v>
      </c>
      <c r="BY32" s="16">
        <f t="shared" si="67"/>
        <v>23740.574495973255</v>
      </c>
      <c r="BZ32" s="16">
        <f t="shared" si="67"/>
        <v>23977.980240932986</v>
      </c>
      <c r="CA32" s="16">
        <f t="shared" si="67"/>
        <v>24217.760043342318</v>
      </c>
      <c r="CB32" s="16">
        <f t="shared" si="67"/>
        <v>24459.937643775742</v>
      </c>
      <c r="CC32" s="16">
        <f t="shared" si="67"/>
        <v>24704.537020213498</v>
      </c>
      <c r="CD32" s="16">
        <f t="shared" si="67"/>
        <v>24951.582390415635</v>
      </c>
      <c r="CE32" s="16">
        <f t="shared" si="67"/>
        <v>25201.098214319791</v>
      </c>
      <c r="CF32" s="16">
        <f t="shared" si="67"/>
        <v>25453.109196462989</v>
      </c>
      <c r="CG32" s="16">
        <f t="shared" si="67"/>
        <v>25707.640288427618</v>
      </c>
      <c r="CH32" s="16">
        <f t="shared" si="67"/>
        <v>25964.716691311893</v>
      </c>
      <c r="CI32" s="16">
        <f t="shared" si="67"/>
        <v>26224.363858225013</v>
      </c>
      <c r="CJ32" s="16">
        <f t="shared" si="67"/>
        <v>26486.607496807264</v>
      </c>
      <c r="CK32" s="16">
        <f t="shared" ref="CK32:CU32" si="68">+CJ32*(1+MV)</f>
        <v>26751.473571775336</v>
      </c>
      <c r="CL32" s="16">
        <f t="shared" si="68"/>
        <v>27018.988307493088</v>
      </c>
      <c r="CM32" s="16">
        <f t="shared" si="68"/>
        <v>27289.178190568018</v>
      </c>
      <c r="CN32" s="16">
        <f t="shared" si="68"/>
        <v>27562.069972473699</v>
      </c>
      <c r="CO32" s="16">
        <f t="shared" si="68"/>
        <v>27837.690672198434</v>
      </c>
      <c r="CP32" s="16">
        <f t="shared" si="68"/>
        <v>28116.067578920418</v>
      </c>
      <c r="CQ32" s="16">
        <f t="shared" si="68"/>
        <v>28397.228254709622</v>
      </c>
      <c r="CR32" s="16">
        <f t="shared" si="68"/>
        <v>28681.200537256718</v>
      </c>
      <c r="CS32" s="16">
        <f t="shared" si="68"/>
        <v>28968.012542629287</v>
      </c>
      <c r="CT32" s="16">
        <f t="shared" si="68"/>
        <v>29257.692668055581</v>
      </c>
      <c r="CU32" s="16">
        <f t="shared" si="68"/>
        <v>29550.269594736135</v>
      </c>
    </row>
    <row r="33" spans="2:27" s="1" customFormat="1" x14ac:dyDescent="0.25">
      <c r="B33" s="1" t="s">
        <v>44</v>
      </c>
      <c r="C33" s="1">
        <v>3256</v>
      </c>
      <c r="D33" s="1">
        <v>3257</v>
      </c>
      <c r="E33" s="1">
        <v>3255</v>
      </c>
      <c r="F33" s="1">
        <v>3249</v>
      </c>
      <c r="G33" s="1">
        <v>3237</v>
      </c>
      <c r="H33" s="1">
        <v>3197</v>
      </c>
      <c r="I33" s="1">
        <v>3157</v>
      </c>
      <c r="J33" s="1">
        <v>3141</v>
      </c>
      <c r="M33" s="1">
        <v>3334</v>
      </c>
      <c r="N33" s="1">
        <v>3277</v>
      </c>
      <c r="O33" s="1">
        <v>3254</v>
      </c>
      <c r="P33" s="1">
        <v>3182</v>
      </c>
      <c r="Q33" s="1">
        <f>+P33*0.93</f>
        <v>2959.26</v>
      </c>
      <c r="R33" s="1">
        <f>+Q33</f>
        <v>2959.26</v>
      </c>
      <c r="S33" s="1">
        <f t="shared" ref="S33:X33" si="69">+R33</f>
        <v>2959.26</v>
      </c>
      <c r="T33" s="1">
        <f t="shared" si="69"/>
        <v>2959.26</v>
      </c>
      <c r="U33" s="1">
        <f t="shared" si="69"/>
        <v>2959.26</v>
      </c>
      <c r="V33" s="1">
        <f t="shared" si="69"/>
        <v>2959.26</v>
      </c>
      <c r="W33" s="1">
        <f t="shared" si="69"/>
        <v>2959.26</v>
      </c>
      <c r="X33" s="1">
        <f t="shared" si="69"/>
        <v>2959.26</v>
      </c>
    </row>
    <row r="34" spans="2:27" s="1" customFormat="1" x14ac:dyDescent="0.25">
      <c r="B34" s="1" t="s">
        <v>198</v>
      </c>
      <c r="M34" s="9">
        <f t="shared" ref="M34:R34" si="70">+M32/M33</f>
        <v>0.55488902219556091</v>
      </c>
      <c r="N34" s="9">
        <f t="shared" si="70"/>
        <v>-1.6771437290204456</v>
      </c>
      <c r="O34" s="9">
        <f t="shared" si="70"/>
        <v>2.6355255070682237</v>
      </c>
      <c r="P34" s="9">
        <f t="shared" si="70"/>
        <v>9.0326838466373349</v>
      </c>
      <c r="Q34" s="9">
        <f t="shared" si="70"/>
        <v>6.9622297218865521</v>
      </c>
      <c r="R34" s="9">
        <f t="shared" si="70"/>
        <v>6.8783498998593879</v>
      </c>
      <c r="S34" s="9">
        <f t="shared" ref="S34:X34" si="71">+S32/S33</f>
        <v>6.8552435952514799</v>
      </c>
      <c r="T34" s="9">
        <f t="shared" si="71"/>
        <v>3.9495840850059958</v>
      </c>
      <c r="U34" s="9">
        <f t="shared" si="71"/>
        <v>4.1374400909067806</v>
      </c>
      <c r="V34" s="9">
        <f t="shared" si="71"/>
        <v>4.3113205762594111</v>
      </c>
      <c r="W34" s="9">
        <f t="shared" si="71"/>
        <v>4.5115134825761292</v>
      </c>
      <c r="X34" s="9">
        <f t="shared" si="71"/>
        <v>4.734512743596345</v>
      </c>
    </row>
    <row r="35" spans="2:27" s="1" customFormat="1" x14ac:dyDescent="0.25">
      <c r="B35" s="1" t="s">
        <v>206</v>
      </c>
      <c r="M35" s="9"/>
      <c r="N35" s="9"/>
      <c r="O35" s="9">
        <f t="shared" ref="O35:X35" si="72">36.7/O34</f>
        <v>13.925116604477612</v>
      </c>
      <c r="P35" s="9">
        <f t="shared" si="72"/>
        <v>4.0630227541576787</v>
      </c>
      <c r="Q35" s="9">
        <f t="shared" si="72"/>
        <v>5.2712997798147088</v>
      </c>
      <c r="R35" s="9">
        <f t="shared" si="72"/>
        <v>5.3355820123006898</v>
      </c>
      <c r="S35" s="9">
        <f t="shared" si="72"/>
        <v>5.3535661410225481</v>
      </c>
      <c r="T35" s="9">
        <f t="shared" si="72"/>
        <v>9.2921176534324346</v>
      </c>
      <c r="U35" s="9">
        <f t="shared" si="72"/>
        <v>8.8702190711253692</v>
      </c>
      <c r="V35" s="9">
        <f t="shared" si="72"/>
        <v>8.5124730000573656</v>
      </c>
      <c r="W35" s="9">
        <f t="shared" si="72"/>
        <v>8.1347423967009522</v>
      </c>
      <c r="X35" s="9">
        <f t="shared" si="72"/>
        <v>7.7515896540015676</v>
      </c>
    </row>
    <row r="37" spans="2:27" s="2" customFormat="1" x14ac:dyDescent="0.25">
      <c r="B37" s="2" t="s">
        <v>25</v>
      </c>
      <c r="C37" s="2">
        <f>+C22/C20</f>
        <v>0.59165764431021706</v>
      </c>
      <c r="D37" s="2">
        <f t="shared" ref="D37:E37" si="73">+D22/D20</f>
        <v>0.57627992211659607</v>
      </c>
      <c r="E37" s="2">
        <f t="shared" si="73"/>
        <v>0.61090096286107287</v>
      </c>
      <c r="F37" s="2">
        <f>+F22/F20</f>
        <v>0.64600711481844941</v>
      </c>
      <c r="G37" s="2">
        <f t="shared" ref="G37:H37" si="74">+G22/G20</f>
        <v>0.62877476437776492</v>
      </c>
      <c r="H37" s="2">
        <f t="shared" si="74"/>
        <v>0.62009380399901259</v>
      </c>
      <c r="I37" s="2">
        <f>+I22/I20</f>
        <v>0.68849265464212861</v>
      </c>
      <c r="J37" s="2">
        <f>+J22/J20</f>
        <v>0.62550624981789571</v>
      </c>
      <c r="M37" s="2">
        <f>+M22/M20</f>
        <v>0.54112217785167116</v>
      </c>
      <c r="N37" s="2">
        <f t="shared" ref="N37:O37" si="75">+N22/N20</f>
        <v>0.54197040464446289</v>
      </c>
      <c r="O37" s="2">
        <f t="shared" si="75"/>
        <v>0.6133034182394087</v>
      </c>
      <c r="P37" s="2">
        <f t="shared" ref="P37:X37" si="76">+P22/P20</f>
        <v>0.64321048234155143</v>
      </c>
      <c r="Q37" s="2">
        <f t="shared" si="76"/>
        <v>0.62</v>
      </c>
      <c r="R37" s="2">
        <f t="shared" si="76"/>
        <v>0.62</v>
      </c>
      <c r="S37" s="2">
        <f t="shared" si="76"/>
        <v>0.62</v>
      </c>
      <c r="T37" s="2">
        <f t="shared" si="76"/>
        <v>0.62</v>
      </c>
      <c r="U37" s="2">
        <f t="shared" si="76"/>
        <v>0.62</v>
      </c>
      <c r="V37" s="2">
        <f t="shared" si="76"/>
        <v>0.62</v>
      </c>
      <c r="W37" s="2">
        <f t="shared" si="76"/>
        <v>0.62</v>
      </c>
      <c r="X37" s="2">
        <f t="shared" si="76"/>
        <v>0.62</v>
      </c>
      <c r="Z37" s="2" t="s">
        <v>37</v>
      </c>
      <c r="AA37" s="2">
        <v>0.1</v>
      </c>
    </row>
    <row r="38" spans="2:27" s="2" customFormat="1" x14ac:dyDescent="0.25">
      <c r="B38" s="2" t="s">
        <v>26</v>
      </c>
      <c r="C38" s="2">
        <f>+C32/C20</f>
        <v>0.15072083879423329</v>
      </c>
      <c r="D38" s="2">
        <f t="shared" ref="D38:E38" si="77">+D32/D20</f>
        <v>0.1111556522735082</v>
      </c>
      <c r="E38" s="2">
        <f t="shared" si="77"/>
        <v>6.0522696011004129E-2</v>
      </c>
      <c r="F38" s="2">
        <f>+F32/F20</f>
        <v>0.10341020608439647</v>
      </c>
      <c r="G38" s="2">
        <f t="shared" ref="G38:H38" si="78">+G32/G20</f>
        <v>0.13062951666529277</v>
      </c>
      <c r="H38" s="2">
        <f t="shared" si="78"/>
        <v>0.18544118050412792</v>
      </c>
      <c r="I38" s="2">
        <f>+I32/I20</f>
        <v>0.2147686384158779</v>
      </c>
      <c r="J38" s="2">
        <f>+J32/J20</f>
        <v>0.23012149995629497</v>
      </c>
      <c r="M38" s="2">
        <f>+M32/M20</f>
        <v>2.8745901766707584E-2</v>
      </c>
      <c r="N38" s="2">
        <f t="shared" ref="N38:O38" si="79">+N32/N20</f>
        <v>-0.11995285695578158</v>
      </c>
      <c r="O38" s="2">
        <f t="shared" si="79"/>
        <v>9.4320531432845009E-2</v>
      </c>
      <c r="P38" s="2">
        <f t="shared" ref="P38:X38" si="80">+P32/P20</f>
        <v>0.19058923385011206</v>
      </c>
      <c r="Q38" s="2">
        <f t="shared" si="80"/>
        <v>0.16345837502093674</v>
      </c>
      <c r="R38" s="2">
        <f t="shared" si="80"/>
        <v>0.16353152574007174</v>
      </c>
      <c r="S38" s="2">
        <f t="shared" si="80"/>
        <v>0.16399841699368714</v>
      </c>
      <c r="T38" s="2">
        <f t="shared" si="80"/>
        <v>0.13975390979989147</v>
      </c>
      <c r="U38" s="2">
        <f t="shared" si="80"/>
        <v>0.14279822665917527</v>
      </c>
      <c r="V38" s="2">
        <f t="shared" si="80"/>
        <v>0.14552097715572807</v>
      </c>
      <c r="W38" s="2">
        <f t="shared" si="80"/>
        <v>0.14838116512888849</v>
      </c>
      <c r="X38" s="2">
        <f t="shared" si="80"/>
        <v>0.15130057768058344</v>
      </c>
      <c r="Z38" s="2" t="s">
        <v>38</v>
      </c>
      <c r="AA38" s="2">
        <v>0.01</v>
      </c>
    </row>
    <row r="39" spans="2:27" s="2" customFormat="1" x14ac:dyDescent="0.25">
      <c r="B39" s="2" t="s">
        <v>11</v>
      </c>
      <c r="C39" s="2">
        <f>+C31/C30</f>
        <v>0.50131975867269984</v>
      </c>
      <c r="D39" s="2">
        <f t="shared" ref="D39:E39" si="81">+D31/D30</f>
        <v>0.60411992657556601</v>
      </c>
      <c r="E39" s="2">
        <f t="shared" si="81"/>
        <v>0.84407530454042079</v>
      </c>
      <c r="F39" s="2">
        <f>+F31/F30</f>
        <v>0.74332039278374062</v>
      </c>
      <c r="G39" s="2">
        <f t="shared" ref="G39:H39" si="82">+G31/G30</f>
        <v>0.7246133348780629</v>
      </c>
      <c r="H39" s="2">
        <f t="shared" si="82"/>
        <v>0.65777485320915163</v>
      </c>
      <c r="I39" s="2">
        <f>+I31/I30</f>
        <v>0.6549197230814553</v>
      </c>
      <c r="J39" s="2">
        <f>+J31/J30</f>
        <v>0.45418106427090532</v>
      </c>
      <c r="M39" s="2">
        <f>+M31/M30</f>
        <v>0.80088257453449574</v>
      </c>
      <c r="N39" s="2">
        <f t="shared" ref="N39:O39" si="83">+N31/N30</f>
        <v>-0.2904437661422869</v>
      </c>
      <c r="O39" s="2">
        <f t="shared" si="83"/>
        <v>0.72846151410568982</v>
      </c>
      <c r="P39" s="2">
        <f t="shared" ref="P39:X39" si="84">+P31/P30</f>
        <v>0.634339656247217</v>
      </c>
      <c r="Q39" s="2">
        <f t="shared" si="84"/>
        <v>0.65</v>
      </c>
      <c r="R39" s="2">
        <f t="shared" si="84"/>
        <v>0.65</v>
      </c>
      <c r="S39" s="2">
        <f t="shared" si="84"/>
        <v>0.65</v>
      </c>
      <c r="T39" s="2">
        <f t="shared" si="84"/>
        <v>0.65</v>
      </c>
      <c r="U39" s="2">
        <f t="shared" si="84"/>
        <v>0.65</v>
      </c>
      <c r="V39" s="2">
        <f t="shared" si="84"/>
        <v>0.65</v>
      </c>
      <c r="W39" s="2">
        <f t="shared" si="84"/>
        <v>0.65</v>
      </c>
      <c r="X39" s="2">
        <f t="shared" si="84"/>
        <v>0.65</v>
      </c>
      <c r="Z39" s="2" t="s">
        <v>39</v>
      </c>
      <c r="AA39" s="4">
        <f>NPV(AA37,Q32:CV32)</f>
        <v>160195.5821910346</v>
      </c>
    </row>
    <row r="40" spans="2:27" x14ac:dyDescent="0.25">
      <c r="Z40" s="2"/>
      <c r="AA40" s="1"/>
    </row>
    <row r="41" spans="2:27" s="2" customFormat="1" x14ac:dyDescent="0.25">
      <c r="B41" s="2" t="s">
        <v>28</v>
      </c>
      <c r="N41" s="2">
        <f>+N20/M20 -1</f>
        <v>-0.28806501235296855</v>
      </c>
      <c r="O41" s="2">
        <f>+O20/N20 -1</f>
        <v>0.98446025579466578</v>
      </c>
      <c r="P41" s="2">
        <f t="shared" ref="P41:X41" si="85">+P20/O20 -1</f>
        <v>0.65859399058554402</v>
      </c>
      <c r="Q41" s="2">
        <f t="shared" si="85"/>
        <v>-0.16419363374136309</v>
      </c>
      <c r="R41" s="2">
        <f t="shared" si="85"/>
        <v>-1.248976842781957E-2</v>
      </c>
      <c r="S41" s="2">
        <f t="shared" si="85"/>
        <v>-6.1966419449561716E-3</v>
      </c>
      <c r="T41" s="2">
        <f t="shared" si="85"/>
        <v>-0.32391054567196864</v>
      </c>
      <c r="U41" s="2">
        <f t="shared" si="85"/>
        <v>2.523047389473998E-2</v>
      </c>
      <c r="V41" s="2">
        <f t="shared" si="85"/>
        <v>2.2529415457044344E-2</v>
      </c>
      <c r="W41" s="2">
        <f t="shared" si="85"/>
        <v>2.6263228257345173E-2</v>
      </c>
      <c r="X41" s="2">
        <f t="shared" si="85"/>
        <v>2.9179722778183814E-2</v>
      </c>
      <c r="Z41" s="2" t="s">
        <v>41</v>
      </c>
      <c r="AA41" s="3">
        <f>+AA39+AA40</f>
        <v>160195.5821910346</v>
      </c>
    </row>
    <row r="42" spans="2:27" s="2" customFormat="1" x14ac:dyDescent="0.25">
      <c r="B42" s="2" t="s">
        <v>43</v>
      </c>
      <c r="O42" s="2">
        <f>+(O32/N32-1)*(-1)</f>
        <v>2.5604075691411934</v>
      </c>
      <c r="P42" s="2">
        <f t="shared" ref="P42:X42" si="86">+P32/O32 -1</f>
        <v>2.3514458955223883</v>
      </c>
      <c r="Q42" s="2">
        <f t="shared" si="86"/>
        <v>-0.28317278105942523</v>
      </c>
      <c r="R42" s="2">
        <f t="shared" si="86"/>
        <v>-1.2047838893261331E-2</v>
      </c>
      <c r="S42" s="2">
        <f t="shared" si="86"/>
        <v>-3.3592801971851216E-3</v>
      </c>
      <c r="T42" s="2">
        <f t="shared" si="86"/>
        <v>-0.4238594106645881</v>
      </c>
      <c r="U42" s="2">
        <f t="shared" si="86"/>
        <v>4.7563490701198585E-2</v>
      </c>
      <c r="V42" s="2">
        <f t="shared" si="86"/>
        <v>4.20261034678866E-2</v>
      </c>
      <c r="W42" s="2">
        <f t="shared" si="86"/>
        <v>4.6434242774497925E-2</v>
      </c>
      <c r="X42" s="2">
        <f t="shared" si="86"/>
        <v>4.9428924878859304E-2</v>
      </c>
      <c r="Z42" s="2" t="s">
        <v>42</v>
      </c>
      <c r="AA42" s="5">
        <f>+AA41/Main!M5</f>
        <v>49.230357157662752</v>
      </c>
    </row>
    <row r="43" spans="2:27" x14ac:dyDescent="0.25">
      <c r="Z43" s="2" t="s">
        <v>47</v>
      </c>
      <c r="AA43" s="2">
        <f>+AA42/Main!M4 -1</f>
        <v>0.58807603734395975</v>
      </c>
    </row>
    <row r="44" spans="2:27" s="1" customFormat="1" x14ac:dyDescent="0.25">
      <c r="B44" s="3" t="s">
        <v>27</v>
      </c>
      <c r="M44" s="1">
        <v>71751</v>
      </c>
      <c r="N44" s="1">
        <v>68508</v>
      </c>
      <c r="O44" s="1">
        <v>62075</v>
      </c>
      <c r="P44" s="1">
        <v>56498</v>
      </c>
      <c r="AA44"/>
    </row>
    <row r="45" spans="2:27" s="1" customFormat="1" x14ac:dyDescent="0.25">
      <c r="B45" s="1" t="s">
        <v>29</v>
      </c>
      <c r="M45" s="1">
        <v>3363</v>
      </c>
      <c r="N45" s="1">
        <v>3084</v>
      </c>
      <c r="O45" s="1">
        <v>3395</v>
      </c>
      <c r="P45" s="1">
        <v>5205</v>
      </c>
    </row>
    <row r="46" spans="2:27" s="1" customFormat="1" x14ac:dyDescent="0.25">
      <c r="B46" s="3" t="s">
        <v>30</v>
      </c>
      <c r="M46" s="1">
        <v>5177</v>
      </c>
      <c r="N46" s="1">
        <v>6757</v>
      </c>
      <c r="O46" s="1">
        <v>14126</v>
      </c>
      <c r="P46" s="1">
        <v>15579</v>
      </c>
      <c r="AA46" s="1" t="s">
        <v>57</v>
      </c>
    </row>
    <row r="47" spans="2:27" s="1" customFormat="1" x14ac:dyDescent="0.25">
      <c r="B47" s="1" t="s">
        <v>56</v>
      </c>
      <c r="O47" s="6">
        <f>+O28/O48</f>
        <v>3.7426936377268412E-2</v>
      </c>
      <c r="P47" s="6">
        <f>+P28/P48</f>
        <v>4.8385964912280699E-2</v>
      </c>
    </row>
    <row r="48" spans="2:27" s="1" customFormat="1" x14ac:dyDescent="0.25">
      <c r="B48" s="3" t="s">
        <v>31</v>
      </c>
      <c r="M48" s="1">
        <f>21754+2939</f>
        <v>24693</v>
      </c>
      <c r="N48" s="1">
        <f>4591+29118</f>
        <v>33709</v>
      </c>
      <c r="O48" s="1">
        <f>27404+5273</f>
        <v>32677</v>
      </c>
      <c r="P48" s="1">
        <f>24141+4359</f>
        <v>28500</v>
      </c>
    </row>
    <row r="49" spans="2:20" s="1" customFormat="1" x14ac:dyDescent="0.25">
      <c r="B49" s="1" t="s">
        <v>32</v>
      </c>
      <c r="M49" s="1">
        <f t="shared" ref="M49:N49" si="87">+M44+M45+M46-M48</f>
        <v>55598</v>
      </c>
      <c r="N49" s="1">
        <f t="shared" si="87"/>
        <v>44640</v>
      </c>
      <c r="O49" s="1">
        <f>+O44+O45+O46-O48</f>
        <v>46919</v>
      </c>
      <c r="P49" s="1">
        <f>+P44+P45+P46-P48</f>
        <v>48782</v>
      </c>
    </row>
    <row r="50" spans="2:20" s="1" customFormat="1" x14ac:dyDescent="0.25"/>
    <row r="51" spans="2:20" s="1" customFormat="1" x14ac:dyDescent="0.25">
      <c r="B51" s="1" t="s">
        <v>196</v>
      </c>
      <c r="M51" s="1">
        <v>13749</v>
      </c>
      <c r="N51" s="1">
        <v>10386</v>
      </c>
      <c r="O51" s="1">
        <v>28816</v>
      </c>
      <c r="P51" s="1">
        <v>35136</v>
      </c>
      <c r="Q51" s="1">
        <f>+Q32+Q25</f>
        <v>26866.227926790001</v>
      </c>
      <c r="R51" s="1">
        <f t="shared" ref="R51:T51" si="88">+R32+R25</f>
        <v>26492.742124657896</v>
      </c>
      <c r="S51" s="1">
        <f t="shared" si="88"/>
        <v>26301.606233683895</v>
      </c>
      <c r="T51" s="1">
        <f t="shared" si="88"/>
        <v>17582.701109954844</v>
      </c>
    </row>
    <row r="52" spans="2:20" s="1" customFormat="1" x14ac:dyDescent="0.25">
      <c r="B52" s="1" t="s">
        <v>33</v>
      </c>
      <c r="M52" s="1">
        <v>10204</v>
      </c>
      <c r="N52" s="1">
        <v>8476</v>
      </c>
      <c r="O52" s="1">
        <v>8040</v>
      </c>
      <c r="P52" s="1">
        <v>8758</v>
      </c>
      <c r="Q52" s="1">
        <v>11000</v>
      </c>
      <c r="R52" s="1">
        <v>13000</v>
      </c>
      <c r="S52" s="1">
        <v>13000</v>
      </c>
      <c r="T52" s="1">
        <v>13000</v>
      </c>
    </row>
    <row r="53" spans="2:20" s="16" customFormat="1" x14ac:dyDescent="0.25">
      <c r="B53" s="16" t="s">
        <v>34</v>
      </c>
      <c r="M53" s="16">
        <f>+M51-M52</f>
        <v>3545</v>
      </c>
      <c r="N53" s="16">
        <f t="shared" ref="N53:T53" si="89">+N51-N52</f>
        <v>1910</v>
      </c>
      <c r="O53" s="16">
        <f t="shared" si="89"/>
        <v>20776</v>
      </c>
      <c r="P53" s="16">
        <f t="shared" si="89"/>
        <v>26378</v>
      </c>
      <c r="Q53" s="16">
        <f t="shared" si="89"/>
        <v>15866.227926790001</v>
      </c>
      <c r="R53" s="16">
        <f t="shared" si="89"/>
        <v>13492.742124657896</v>
      </c>
      <c r="S53" s="16">
        <f t="shared" si="89"/>
        <v>13301.606233683895</v>
      </c>
      <c r="T53" s="16">
        <f t="shared" si="89"/>
        <v>4582.7011099548436</v>
      </c>
    </row>
    <row r="54" spans="2:20" s="1" customFormat="1" x14ac:dyDescent="0.25"/>
    <row r="55" spans="2:20" s="1" customFormat="1" x14ac:dyDescent="0.25">
      <c r="B55" s="1" t="s">
        <v>35</v>
      </c>
      <c r="M55" s="1">
        <v>3342</v>
      </c>
      <c r="N55" s="1">
        <v>2330</v>
      </c>
      <c r="O55" s="1">
        <v>1797</v>
      </c>
      <c r="P55" s="1">
        <v>5380</v>
      </c>
    </row>
    <row r="56" spans="2:20" s="2" customFormat="1" x14ac:dyDescent="0.25">
      <c r="B56" s="2" t="s">
        <v>36</v>
      </c>
      <c r="M56" s="2">
        <f>+M55/M32</f>
        <v>1.8064864864864865</v>
      </c>
      <c r="N56" s="2">
        <f t="shared" ref="N56:P56" si="90">+N55/N32</f>
        <v>-0.42394468704512372</v>
      </c>
      <c r="O56" s="2">
        <f t="shared" si="90"/>
        <v>0.20953824626865672</v>
      </c>
      <c r="P56" s="2">
        <f t="shared" si="90"/>
        <v>0.18718252035348967</v>
      </c>
    </row>
    <row r="57" spans="2:20" s="1" customFormat="1" x14ac:dyDescent="0.25">
      <c r="B57" s="1" t="s">
        <v>197</v>
      </c>
      <c r="O57" s="1">
        <v>321</v>
      </c>
      <c r="P57" s="1">
        <v>3315</v>
      </c>
    </row>
    <row r="58" spans="2:20" s="1" customFormat="1" x14ac:dyDescent="0.25"/>
    <row r="59" spans="2:20" s="1" customFormat="1" x14ac:dyDescent="0.25"/>
    <row r="60" spans="2:20" s="1" customFormat="1" x14ac:dyDescent="0.25"/>
    <row r="61" spans="2:20" s="1" customFormat="1" x14ac:dyDescent="0.25"/>
    <row r="62" spans="2:20" s="1" customFormat="1" x14ac:dyDescent="0.25"/>
    <row r="63" spans="2:20" s="1" customFormat="1" x14ac:dyDescent="0.25"/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Model</vt:lpstr>
      <vt:lpstr>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Kutzer</dc:creator>
  <cp:lastModifiedBy>Kutzer Maximilian Claudius</cp:lastModifiedBy>
  <dcterms:created xsi:type="dcterms:W3CDTF">2022-06-29T21:18:27Z</dcterms:created>
  <dcterms:modified xsi:type="dcterms:W3CDTF">2026-02-06T13:26:59Z</dcterms:modified>
</cp:coreProperties>
</file>