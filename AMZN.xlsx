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"/>
    </mc:Choice>
  </mc:AlternateContent>
  <xr:revisionPtr revIDLastSave="0" documentId="13_ncr:1_{51D504B3-E0CB-498B-A87D-27898CCF1146}" xr6:coauthVersionLast="47" xr6:coauthVersionMax="47" xr10:uidLastSave="{00000000-0000-0000-0000-000000000000}"/>
  <bookViews>
    <workbookView xWindow="-120" yWindow="-120" windowWidth="29040" windowHeight="15840" activeTab="1" xr2:uid="{15DF8FD6-EABB-4B02-8757-ADF42E6B23AF}"/>
  </bookViews>
  <sheets>
    <sheet name="Main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9" i="1" l="1"/>
  <c r="S28" i="1"/>
  <c r="S27" i="1"/>
  <c r="R20" i="1"/>
  <c r="S20" i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DI20" i="1" s="1"/>
  <c r="DJ20" i="1" s="1"/>
  <c r="DK20" i="1" s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DV20" i="1" s="1"/>
  <c r="DW20" i="1" s="1"/>
  <c r="DX20" i="1" s="1"/>
  <c r="DY20" i="1" s="1"/>
  <c r="DZ20" i="1" s="1"/>
  <c r="EA20" i="1" s="1"/>
  <c r="EB20" i="1" s="1"/>
  <c r="EC20" i="1" s="1"/>
  <c r="ED20" i="1" s="1"/>
  <c r="EE20" i="1" s="1"/>
  <c r="EF20" i="1" s="1"/>
  <c r="EG20" i="1" s="1"/>
  <c r="EH20" i="1" s="1"/>
  <c r="EI20" i="1" s="1"/>
  <c r="EJ20" i="1" s="1"/>
  <c r="EK20" i="1" s="1"/>
  <c r="EL20" i="1" s="1"/>
  <c r="EM20" i="1" s="1"/>
  <c r="Q20" i="1"/>
  <c r="H21" i="1"/>
  <c r="I21" i="1"/>
  <c r="J21" i="1"/>
  <c r="K21" i="1"/>
  <c r="L21" i="1"/>
  <c r="M21" i="1"/>
  <c r="N21" i="1"/>
  <c r="O21" i="1"/>
  <c r="P21" i="1"/>
  <c r="G21" i="1"/>
  <c r="H22" i="1"/>
  <c r="I22" i="1"/>
  <c r="J22" i="1" s="1"/>
  <c r="K22" i="1" s="1"/>
  <c r="L22" i="1" s="1"/>
  <c r="M22" i="1" s="1"/>
  <c r="N22" i="1" s="1"/>
  <c r="O22" i="1" s="1"/>
  <c r="P22" i="1" s="1"/>
  <c r="G22" i="1"/>
  <c r="H19" i="1"/>
  <c r="I19" i="1"/>
  <c r="J19" i="1"/>
  <c r="K19" i="1"/>
  <c r="L19" i="1"/>
  <c r="M19" i="1"/>
  <c r="N19" i="1"/>
  <c r="O19" i="1"/>
  <c r="P19" i="1"/>
  <c r="G19" i="1"/>
  <c r="H12" i="1"/>
  <c r="I12" i="1" s="1"/>
  <c r="J12" i="1" s="1"/>
  <c r="K12" i="1" s="1"/>
  <c r="L12" i="1" s="1"/>
  <c r="M12" i="1" s="1"/>
  <c r="N12" i="1" s="1"/>
  <c r="O12" i="1" s="1"/>
  <c r="P12" i="1" s="1"/>
  <c r="G12" i="1"/>
  <c r="I11" i="1"/>
  <c r="J11" i="1"/>
  <c r="K11" i="1"/>
  <c r="L11" i="1"/>
  <c r="M11" i="1"/>
  <c r="N11" i="1"/>
  <c r="O11" i="1"/>
  <c r="P11" i="1"/>
  <c r="G11" i="1"/>
  <c r="H11" i="1"/>
  <c r="I10" i="1"/>
  <c r="J10" i="1"/>
  <c r="K10" i="1"/>
  <c r="L10" i="1"/>
  <c r="M10" i="1"/>
  <c r="N10" i="1"/>
  <c r="O10" i="1"/>
  <c r="P10" i="1"/>
  <c r="H10" i="1"/>
  <c r="G10" i="1"/>
  <c r="H9" i="1"/>
  <c r="I9" i="1"/>
  <c r="J9" i="1"/>
  <c r="K9" i="1"/>
  <c r="L9" i="1"/>
  <c r="M9" i="1"/>
  <c r="N9" i="1"/>
  <c r="O9" i="1"/>
  <c r="P9" i="1"/>
  <c r="G9" i="1"/>
  <c r="L7" i="1"/>
  <c r="M7" i="1"/>
  <c r="N7" i="1"/>
  <c r="O7" i="1"/>
  <c r="P7" i="1"/>
  <c r="K7" i="1"/>
  <c r="J7" i="1"/>
  <c r="I7" i="1"/>
  <c r="H7" i="1"/>
  <c r="G7" i="1"/>
  <c r="G5" i="1"/>
  <c r="H5" i="1" s="1"/>
  <c r="I5" i="1" s="1"/>
  <c r="H4" i="1"/>
  <c r="I4" i="1" s="1"/>
  <c r="G4" i="1"/>
  <c r="G26" i="1" s="1"/>
  <c r="O2" i="1"/>
  <c r="P2" i="1" s="1"/>
  <c r="G2" i="1"/>
  <c r="H2" i="1" s="1"/>
  <c r="I2" i="1" s="1"/>
  <c r="J2" i="1" s="1"/>
  <c r="K2" i="1" s="1"/>
  <c r="L2" i="1" s="1"/>
  <c r="M2" i="1" s="1"/>
  <c r="N2" i="1" s="1"/>
  <c r="F27" i="1"/>
  <c r="F28" i="1"/>
  <c r="F26" i="1"/>
  <c r="C4" i="2"/>
  <c r="C5" i="2" s="1"/>
  <c r="C7" i="2" s="1"/>
  <c r="C9" i="2" s="1"/>
  <c r="C10" i="2" s="1"/>
  <c r="C6" i="2"/>
  <c r="E40" i="1"/>
  <c r="F40" i="1"/>
  <c r="F34" i="1"/>
  <c r="E34" i="1"/>
  <c r="E19" i="1"/>
  <c r="F19" i="1"/>
  <c r="F6" i="1"/>
  <c r="F8" i="1" s="1"/>
  <c r="F14" i="1" s="1"/>
  <c r="F18" i="1" s="1"/>
  <c r="E6" i="1"/>
  <c r="E8" i="1" s="1"/>
  <c r="E14" i="1" s="1"/>
  <c r="E18" i="1" s="1"/>
  <c r="F2" i="1"/>
  <c r="G27" i="1" l="1"/>
  <c r="I26" i="1"/>
  <c r="J4" i="1"/>
  <c r="H26" i="1"/>
  <c r="H27" i="1"/>
  <c r="G6" i="1"/>
  <c r="J5" i="1"/>
  <c r="K5" i="1" s="1"/>
  <c r="L5" i="1" s="1"/>
  <c r="M5" i="1" s="1"/>
  <c r="N5" i="1" s="1"/>
  <c r="O5" i="1" s="1"/>
  <c r="P5" i="1" s="1"/>
  <c r="I27" i="1"/>
  <c r="I6" i="1"/>
  <c r="J27" i="1"/>
  <c r="H6" i="1"/>
  <c r="F24" i="1"/>
  <c r="F25" i="1"/>
  <c r="E24" i="1"/>
  <c r="E25" i="1"/>
  <c r="E20" i="1"/>
  <c r="E21" i="1" s="1"/>
  <c r="F20" i="1"/>
  <c r="F21" i="1" s="1"/>
  <c r="S26" i="1" l="1"/>
  <c r="J26" i="1"/>
  <c r="K4" i="1"/>
  <c r="G8" i="1"/>
  <c r="G28" i="1"/>
  <c r="H8" i="1"/>
  <c r="H28" i="1"/>
  <c r="I8" i="1"/>
  <c r="I28" i="1"/>
  <c r="J6" i="1"/>
  <c r="K27" i="1"/>
  <c r="K26" i="1" l="1"/>
  <c r="L4" i="1"/>
  <c r="G14" i="1"/>
  <c r="G24" i="1"/>
  <c r="J8" i="1"/>
  <c r="J28" i="1"/>
  <c r="I14" i="1"/>
  <c r="I24" i="1"/>
  <c r="H14" i="1"/>
  <c r="H24" i="1"/>
  <c r="K6" i="1"/>
  <c r="L27" i="1"/>
  <c r="L26" i="1" l="1"/>
  <c r="M4" i="1"/>
  <c r="G18" i="1"/>
  <c r="G20" i="1" s="1"/>
  <c r="G25" i="1"/>
  <c r="K8" i="1"/>
  <c r="K28" i="1"/>
  <c r="I18" i="1"/>
  <c r="I20" i="1" s="1"/>
  <c r="I25" i="1"/>
  <c r="H18" i="1"/>
  <c r="H20" i="1" s="1"/>
  <c r="H25" i="1"/>
  <c r="J14" i="1"/>
  <c r="J24" i="1"/>
  <c r="L6" i="1"/>
  <c r="M27" i="1"/>
  <c r="M26" i="1" l="1"/>
  <c r="N4" i="1"/>
  <c r="L8" i="1"/>
  <c r="L28" i="1"/>
  <c r="J18" i="1"/>
  <c r="J20" i="1" s="1"/>
  <c r="J25" i="1"/>
  <c r="K14" i="1"/>
  <c r="K24" i="1"/>
  <c r="M6" i="1"/>
  <c r="N27" i="1"/>
  <c r="N26" i="1" l="1"/>
  <c r="O4" i="1"/>
  <c r="M8" i="1"/>
  <c r="M28" i="1"/>
  <c r="K18" i="1"/>
  <c r="K20" i="1" s="1"/>
  <c r="K25" i="1"/>
  <c r="L14" i="1"/>
  <c r="L24" i="1"/>
  <c r="N6" i="1"/>
  <c r="O27" i="1"/>
  <c r="P4" i="1" l="1"/>
  <c r="P26" i="1" s="1"/>
  <c r="O26" i="1"/>
  <c r="N8" i="1"/>
  <c r="N28" i="1"/>
  <c r="L18" i="1"/>
  <c r="L20" i="1" s="1"/>
  <c r="L25" i="1"/>
  <c r="M14" i="1"/>
  <c r="M24" i="1"/>
  <c r="O6" i="1"/>
  <c r="M18" i="1" l="1"/>
  <c r="M20" i="1" s="1"/>
  <c r="M25" i="1"/>
  <c r="O8" i="1"/>
  <c r="O28" i="1"/>
  <c r="P6" i="1"/>
  <c r="P27" i="1"/>
  <c r="N14" i="1"/>
  <c r="N24" i="1"/>
  <c r="P8" i="1" l="1"/>
  <c r="P28" i="1"/>
  <c r="N18" i="1"/>
  <c r="N20" i="1" s="1"/>
  <c r="N25" i="1"/>
  <c r="O14" i="1"/>
  <c r="O24" i="1"/>
  <c r="O18" i="1" l="1"/>
  <c r="O20" i="1" s="1"/>
  <c r="O25" i="1"/>
  <c r="P14" i="1"/>
  <c r="P24" i="1"/>
  <c r="P18" i="1" l="1"/>
  <c r="P20" i="1" s="1"/>
  <c r="P25" i="1"/>
</calcChain>
</file>

<file path=xl/sharedStrings.xml><?xml version="1.0" encoding="utf-8"?>
<sst xmlns="http://schemas.openxmlformats.org/spreadsheetml/2006/main" count="47" uniqueCount="42">
  <si>
    <t>Product Revenue</t>
  </si>
  <si>
    <t>Service Revenue</t>
  </si>
  <si>
    <t>Total Revenue</t>
  </si>
  <si>
    <t>COGS</t>
  </si>
  <si>
    <t>Gross Profit</t>
  </si>
  <si>
    <t>Fulfillment</t>
  </si>
  <si>
    <t>Tech &amp; Infrastructure</t>
  </si>
  <si>
    <t>S&amp;M</t>
  </si>
  <si>
    <t>G&amp;A</t>
  </si>
  <si>
    <t>Operating Income</t>
  </si>
  <si>
    <t>Interest Income</t>
  </si>
  <si>
    <t>Interest Expense</t>
  </si>
  <si>
    <t>Other income, net</t>
  </si>
  <si>
    <t>Other expenses</t>
  </si>
  <si>
    <t>Pretax</t>
  </si>
  <si>
    <t>Taxes</t>
  </si>
  <si>
    <t>Net Income</t>
  </si>
  <si>
    <t>EPS</t>
  </si>
  <si>
    <t>Share</t>
  </si>
  <si>
    <t>Gross Margin</t>
  </si>
  <si>
    <t>Operating Margin</t>
  </si>
  <si>
    <t>CFFO</t>
  </si>
  <si>
    <t>CapEx</t>
  </si>
  <si>
    <t>FCF</t>
  </si>
  <si>
    <t>D&amp;A</t>
  </si>
  <si>
    <t>SBC</t>
  </si>
  <si>
    <t>Price</t>
  </si>
  <si>
    <t>Shares</t>
  </si>
  <si>
    <t>MC</t>
  </si>
  <si>
    <t>Net Cash</t>
  </si>
  <si>
    <t>EV</t>
  </si>
  <si>
    <t>EV/FCF</t>
  </si>
  <si>
    <t>Cash</t>
  </si>
  <si>
    <t>Investments</t>
  </si>
  <si>
    <t>PP&amp;E</t>
  </si>
  <si>
    <t>Debt</t>
  </si>
  <si>
    <t>NAV</t>
  </si>
  <si>
    <t>FCF Yield</t>
  </si>
  <si>
    <t>Discount</t>
  </si>
  <si>
    <t>Terminal</t>
  </si>
  <si>
    <t>NPV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</si>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</sst>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9" fontId="0" fillId="0" borderId="0" xfId="1" applyFont="1"/>
    <xf numFmtId="166" fontId="0" fillId="0" borderId="0" xfId="1" applyNumberFormat="1" applyFont="1"/>
    <xf numFmtId="3" fontId="0" fillId="0" borderId="0" xfId="0" applyNumberFormat="1" applyFont="1"/>
    <xf numFmtId="9" fontId="0" fillId="0" borderId="0" xfId="1" applyNumberFormat="1" applyFont="1"/>
    <xf numFmtId="16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69695</xdr:colOff>
      <xdr:row>2</xdr:row>
      <xdr:rowOff>23232</xdr:rowOff>
    </xdr:from>
    <xdr:to>
      <xdr:col>6</xdr:col>
      <xdr:colOff>97573</xdr:colOff>
      <xdr:row>23</xdr:row>
      <xdr:rowOff>148683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E0732CE-F8CC-E519-8446-CCA291544F0A}"/>
            </a:ext>
          </a:extLst>
        </xdr:cNvPr>
        <xdr:cNvCxnSpPr/>
      </xdr:nvCxnSpPr>
      <xdr:spPr>
        <a:xfrm>
          <a:off x="4019085" y="404232"/>
          <a:ext cx="27878" cy="41259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0E14-1114-434D-8684-5F8848C1A9B8}">
  <dimension ref="B3:C10"/>
  <sheetViews>
    <sheetView zoomScale="175" zoomScaleNormal="175" workbookViewId="0">
      <selection activeCell="C10" sqref="C10"/>
    </sheetView>
  </sheetViews>
  <sheetFormatPr defaultRowHeight="15" x14ac:dyDescent="0.25"/>
  <sheetData>
    <row r="3" spans="2:3" x14ac:dyDescent="0.25">
      <c r="B3" t="s">
        <v>26</v>
      </c>
      <c r="C3">
        <v>206</v>
      </c>
    </row>
    <row r="4" spans="2:3" x14ac:dyDescent="0.25">
      <c r="B4" t="s">
        <v>27</v>
      </c>
      <c r="C4" s="1">
        <f>+Sheet1!F22</f>
        <v>10827</v>
      </c>
    </row>
    <row r="5" spans="2:3" x14ac:dyDescent="0.25">
      <c r="B5" t="s">
        <v>28</v>
      </c>
      <c r="C5" s="1">
        <f>+C3*C4</f>
        <v>2230362</v>
      </c>
    </row>
    <row r="6" spans="2:3" x14ac:dyDescent="0.25">
      <c r="B6" t="s">
        <v>29</v>
      </c>
      <c r="C6" s="1">
        <f>+Sheet1!F36+Sheet1!F37-Sheet1!F39</f>
        <v>57381</v>
      </c>
    </row>
    <row r="7" spans="2:3" x14ac:dyDescent="0.25">
      <c r="B7" t="s">
        <v>30</v>
      </c>
      <c r="C7" s="1">
        <f>+C5-C6</f>
        <v>2172981</v>
      </c>
    </row>
    <row r="9" spans="2:3" x14ac:dyDescent="0.25">
      <c r="B9" t="s">
        <v>31</v>
      </c>
      <c r="C9">
        <f>+C7/Sheet1!F34</f>
        <v>282.38869395711504</v>
      </c>
    </row>
    <row r="10" spans="2:3" x14ac:dyDescent="0.25">
      <c r="B10" t="s">
        <v>37</v>
      </c>
      <c r="C10" s="5">
        <f>1/C9</f>
        <v>3.5412182619176144E-3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5F6B-4AB0-4A1D-A2EF-A3B35EC07165}">
  <dimension ref="B2:EM149"/>
  <sheetViews>
    <sheetView tabSelected="1" zoomScale="205" zoomScaleNormal="205" workbookViewId="0">
      <pane xSplit="2" ySplit="2" topLeftCell="I20" activePane="bottomRight" state="frozen"/>
      <selection pane="topRight" activeCell="C1" sqref="C1"/>
      <selection pane="bottomLeft" activeCell="A3" sqref="A3"/>
      <selection pane="bottomRight" activeCell="S28" sqref="S28"/>
    </sheetView>
  </sheetViews>
  <sheetFormatPr defaultRowHeight="15" x14ac:dyDescent="0.25"/>
  <cols>
    <col min="1" max="1" width="2.85546875" customWidth="1"/>
    <col min="2" max="2" width="19.85546875" bestFit="1" customWidth="1"/>
  </cols>
  <sheetData>
    <row r="2" spans="2:16" x14ac:dyDescent="0.25">
      <c r="E2">
        <v>2024</v>
      </c>
      <c r="F2">
        <f>+E2+1</f>
        <v>2025</v>
      </c>
      <c r="G2">
        <f t="shared" ref="G2:P2" si="0">+F2+1</f>
        <v>2026</v>
      </c>
      <c r="H2">
        <f t="shared" si="0"/>
        <v>2027</v>
      </c>
      <c r="I2">
        <f t="shared" si="0"/>
        <v>2028</v>
      </c>
      <c r="J2">
        <f t="shared" si="0"/>
        <v>2029</v>
      </c>
      <c r="K2">
        <f t="shared" si="0"/>
        <v>2030</v>
      </c>
      <c r="L2">
        <f t="shared" si="0"/>
        <v>2031</v>
      </c>
      <c r="M2">
        <f t="shared" si="0"/>
        <v>2032</v>
      </c>
      <c r="N2">
        <f t="shared" si="0"/>
        <v>2033</v>
      </c>
      <c r="O2">
        <f t="shared" si="0"/>
        <v>2034</v>
      </c>
      <c r="P2">
        <f t="shared" si="0"/>
        <v>2035</v>
      </c>
    </row>
    <row r="3" spans="2:16" s="1" customFormat="1" x14ac:dyDescent="0.25">
      <c r="E3" s="8"/>
      <c r="F3" s="8"/>
    </row>
    <row r="4" spans="2:16" s="1" customFormat="1" x14ac:dyDescent="0.25">
      <c r="B4" s="1" t="s">
        <v>0</v>
      </c>
      <c r="E4" s="1">
        <v>272311</v>
      </c>
      <c r="F4" s="1">
        <v>296266</v>
      </c>
      <c r="G4" s="1">
        <f>+F4*1.08</f>
        <v>319967.28000000003</v>
      </c>
      <c r="H4" s="1">
        <f t="shared" ref="H4:P4" si="1">+G4*1.08</f>
        <v>345564.66240000003</v>
      </c>
      <c r="I4" s="1">
        <f t="shared" si="1"/>
        <v>373209.83539200004</v>
      </c>
      <c r="J4" s="1">
        <f t="shared" si="1"/>
        <v>403066.62222336006</v>
      </c>
      <c r="K4" s="1">
        <f t="shared" si="1"/>
        <v>435311.95200122887</v>
      </c>
      <c r="L4" s="1">
        <f t="shared" si="1"/>
        <v>470136.90816132718</v>
      </c>
      <c r="M4" s="1">
        <f t="shared" si="1"/>
        <v>507747.86081423337</v>
      </c>
      <c r="N4" s="1">
        <f t="shared" si="1"/>
        <v>548367.68967937212</v>
      </c>
      <c r="O4" s="1">
        <f t="shared" si="1"/>
        <v>592237.10485372192</v>
      </c>
      <c r="P4" s="1">
        <f t="shared" si="1"/>
        <v>639616.07324201975</v>
      </c>
    </row>
    <row r="5" spans="2:16" s="1" customFormat="1" x14ac:dyDescent="0.25">
      <c r="B5" s="1" t="s">
        <v>1</v>
      </c>
      <c r="E5" s="1">
        <v>365648</v>
      </c>
      <c r="F5" s="1">
        <v>420658</v>
      </c>
      <c r="G5" s="1">
        <f t="shared" ref="G5:P5" si="2">+F5*1.12</f>
        <v>471136.96</v>
      </c>
      <c r="H5" s="1">
        <f t="shared" si="2"/>
        <v>527673.39520000003</v>
      </c>
      <c r="I5" s="1">
        <f t="shared" si="2"/>
        <v>590994.20262400014</v>
      </c>
      <c r="J5" s="1">
        <f t="shared" si="2"/>
        <v>661913.50693888019</v>
      </c>
      <c r="K5" s="1">
        <f t="shared" si="2"/>
        <v>741343.1277715459</v>
      </c>
      <c r="L5" s="1">
        <f t="shared" si="2"/>
        <v>830304.30310413148</v>
      </c>
      <c r="M5" s="1">
        <f t="shared" si="2"/>
        <v>929940.8194766274</v>
      </c>
      <c r="N5" s="1">
        <f t="shared" si="2"/>
        <v>1041533.7178138228</v>
      </c>
      <c r="O5" s="1">
        <f t="shared" si="2"/>
        <v>1166517.7639514816</v>
      </c>
      <c r="P5" s="1">
        <f t="shared" si="2"/>
        <v>1306499.8956256595</v>
      </c>
    </row>
    <row r="6" spans="2:16" s="2" customFormat="1" x14ac:dyDescent="0.25">
      <c r="B6" s="2" t="s">
        <v>2</v>
      </c>
      <c r="E6" s="2">
        <f>+E4+E5</f>
        <v>637959</v>
      </c>
      <c r="F6" s="2">
        <f>+F4+F5</f>
        <v>716924</v>
      </c>
      <c r="G6" s="2">
        <f t="shared" ref="G6:I6" si="3">+G4+G5</f>
        <v>791104.24</v>
      </c>
      <c r="H6" s="2">
        <f t="shared" si="3"/>
        <v>873238.05760000006</v>
      </c>
      <c r="I6" s="2">
        <f t="shared" si="3"/>
        <v>964204.03801600018</v>
      </c>
      <c r="J6" s="2">
        <f t="shared" ref="J6" si="4">+J4+J5</f>
        <v>1064980.1291622403</v>
      </c>
      <c r="K6" s="2">
        <f t="shared" ref="K6" si="5">+K4+K5</f>
        <v>1176655.0797727748</v>
      </c>
      <c r="L6" s="2">
        <f t="shared" ref="L6" si="6">+L4+L5</f>
        <v>1300441.2112654587</v>
      </c>
      <c r="M6" s="2">
        <f t="shared" ref="M6" si="7">+M4+M5</f>
        <v>1437688.6802908608</v>
      </c>
      <c r="N6" s="2">
        <f t="shared" ref="N6" si="8">+N4+N5</f>
        <v>1589901.407493195</v>
      </c>
      <c r="O6" s="2">
        <f t="shared" ref="O6" si="9">+O4+O5</f>
        <v>1758754.8688052036</v>
      </c>
      <c r="P6" s="2">
        <f t="shared" ref="P6" si="10">+P4+P5</f>
        <v>1946115.9688676791</v>
      </c>
    </row>
    <row r="7" spans="2:16" s="1" customFormat="1" x14ac:dyDescent="0.25">
      <c r="B7" s="1" t="s">
        <v>3</v>
      </c>
      <c r="E7" s="1">
        <v>326288</v>
      </c>
      <c r="F7" s="1">
        <v>356414</v>
      </c>
      <c r="G7" s="1">
        <f>+G6*0.49</f>
        <v>387641.07759999996</v>
      </c>
      <c r="H7" s="1">
        <f>+H6*0.48</f>
        <v>419154.26764800004</v>
      </c>
      <c r="I7" s="1">
        <f>+I6*0.47</f>
        <v>453175.89786752005</v>
      </c>
      <c r="J7" s="1">
        <f>+J6*0.46</f>
        <v>489890.85941463057</v>
      </c>
      <c r="K7" s="1">
        <f>+K6*0.45</f>
        <v>529494.78589774866</v>
      </c>
      <c r="L7" s="1">
        <f t="shared" ref="L7:P7" si="11">+L6*0.45</f>
        <v>585198.54506945645</v>
      </c>
      <c r="M7" s="1">
        <f t="shared" si="11"/>
        <v>646959.90613088734</v>
      </c>
      <c r="N7" s="1">
        <f t="shared" si="11"/>
        <v>715455.63337193779</v>
      </c>
      <c r="O7" s="1">
        <f t="shared" si="11"/>
        <v>791439.69096234161</v>
      </c>
      <c r="P7" s="1">
        <f t="shared" si="11"/>
        <v>875752.18599045568</v>
      </c>
    </row>
    <row r="8" spans="2:16" s="1" customFormat="1" x14ac:dyDescent="0.25">
      <c r="B8" s="1" t="s">
        <v>4</v>
      </c>
      <c r="E8" s="1">
        <f>+E6-E7</f>
        <v>311671</v>
      </c>
      <c r="F8" s="1">
        <f>+F6-F7</f>
        <v>360510</v>
      </c>
      <c r="G8" s="1">
        <f t="shared" ref="G8:I8" si="12">+G6-G7</f>
        <v>403463.16240000003</v>
      </c>
      <c r="H8" s="1">
        <f t="shared" si="12"/>
        <v>454083.78995200002</v>
      </c>
      <c r="I8" s="1">
        <f t="shared" si="12"/>
        <v>511028.14014848013</v>
      </c>
      <c r="J8" s="1">
        <f t="shared" ref="J8" si="13">+J6-J7</f>
        <v>575089.26974760974</v>
      </c>
      <c r="K8" s="1">
        <f t="shared" ref="K8" si="14">+K6-K7</f>
        <v>647160.29387502617</v>
      </c>
      <c r="L8" s="1">
        <f t="shared" ref="L8" si="15">+L6-L7</f>
        <v>715242.66619600228</v>
      </c>
      <c r="M8" s="1">
        <f t="shared" ref="M8" si="16">+M6-M7</f>
        <v>790728.77415997349</v>
      </c>
      <c r="N8" s="1">
        <f t="shared" ref="N8" si="17">+N6-N7</f>
        <v>874445.77412125724</v>
      </c>
      <c r="O8" s="1">
        <f t="shared" ref="O8" si="18">+O6-O7</f>
        <v>967315.17784286197</v>
      </c>
      <c r="P8" s="1">
        <f t="shared" ref="P8" si="19">+P6-P7</f>
        <v>1070363.7828772236</v>
      </c>
    </row>
    <row r="9" spans="2:16" s="1" customFormat="1" x14ac:dyDescent="0.25">
      <c r="B9" s="1" t="s">
        <v>5</v>
      </c>
      <c r="E9" s="1">
        <v>98505</v>
      </c>
      <c r="F9" s="1">
        <v>109074</v>
      </c>
      <c r="G9" s="1">
        <f>+G4*0.37</f>
        <v>118387.89360000001</v>
      </c>
      <c r="H9" s="1">
        <f t="shared" ref="H9:P9" si="20">+H4*0.37</f>
        <v>127858.925088</v>
      </c>
      <c r="I9" s="1">
        <f t="shared" si="20"/>
        <v>138087.63909504001</v>
      </c>
      <c r="J9" s="1">
        <f t="shared" si="20"/>
        <v>149134.65022264322</v>
      </c>
      <c r="K9" s="1">
        <f t="shared" si="20"/>
        <v>161065.42224045467</v>
      </c>
      <c r="L9" s="1">
        <f t="shared" si="20"/>
        <v>173950.65601969106</v>
      </c>
      <c r="M9" s="1">
        <f t="shared" si="20"/>
        <v>187866.70850126634</v>
      </c>
      <c r="N9" s="1">
        <f t="shared" si="20"/>
        <v>202896.04518136769</v>
      </c>
      <c r="O9" s="1">
        <f t="shared" si="20"/>
        <v>219127.7287958771</v>
      </c>
      <c r="P9" s="1">
        <f t="shared" si="20"/>
        <v>236657.94709954731</v>
      </c>
    </row>
    <row r="10" spans="2:16" s="1" customFormat="1" x14ac:dyDescent="0.25">
      <c r="B10" s="1" t="s">
        <v>6</v>
      </c>
      <c r="E10" s="1">
        <v>88544</v>
      </c>
      <c r="F10" s="1">
        <v>108521</v>
      </c>
      <c r="G10" s="1">
        <f>+G5*0.26</f>
        <v>122495.60960000001</v>
      </c>
      <c r="H10" s="1">
        <f>+H5*0.27</f>
        <v>142471.81670400003</v>
      </c>
      <c r="I10" s="1">
        <f t="shared" ref="I10:P10" si="21">+I5*0.27</f>
        <v>159568.43470848005</v>
      </c>
      <c r="J10" s="1">
        <f t="shared" si="21"/>
        <v>178716.64687349767</v>
      </c>
      <c r="K10" s="1">
        <f t="shared" si="21"/>
        <v>200162.64449831742</v>
      </c>
      <c r="L10" s="1">
        <f t="shared" si="21"/>
        <v>224182.16183811551</v>
      </c>
      <c r="M10" s="1">
        <f t="shared" si="21"/>
        <v>251084.0212586894</v>
      </c>
      <c r="N10" s="1">
        <f t="shared" si="21"/>
        <v>281214.10380973219</v>
      </c>
      <c r="O10" s="1">
        <f t="shared" si="21"/>
        <v>314959.79626690003</v>
      </c>
      <c r="P10" s="1">
        <f t="shared" si="21"/>
        <v>352754.97181892808</v>
      </c>
    </row>
    <row r="11" spans="2:16" s="1" customFormat="1" x14ac:dyDescent="0.25">
      <c r="B11" s="1" t="s">
        <v>7</v>
      </c>
      <c r="E11" s="1">
        <v>43907</v>
      </c>
      <c r="F11" s="1">
        <v>47129</v>
      </c>
      <c r="G11" s="1">
        <f>+G6*0.063</f>
        <v>49839.56712</v>
      </c>
      <c r="H11" s="1">
        <f>+H6*0.06</f>
        <v>52394.283456000005</v>
      </c>
      <c r="I11" s="1">
        <f t="shared" ref="I11:P11" si="22">+I6*0.06</f>
        <v>57852.24228096001</v>
      </c>
      <c r="J11" s="1">
        <f t="shared" si="22"/>
        <v>63898.807749734413</v>
      </c>
      <c r="K11" s="1">
        <f t="shared" si="22"/>
        <v>70599.304786366483</v>
      </c>
      <c r="L11" s="1">
        <f t="shared" si="22"/>
        <v>78026.472675927522</v>
      </c>
      <c r="M11" s="1">
        <f t="shared" si="22"/>
        <v>86261.320817451648</v>
      </c>
      <c r="N11" s="1">
        <f t="shared" si="22"/>
        <v>95394.084449591697</v>
      </c>
      <c r="O11" s="1">
        <f t="shared" si="22"/>
        <v>105525.29212831221</v>
      </c>
      <c r="P11" s="1">
        <f t="shared" si="22"/>
        <v>116766.95813206074</v>
      </c>
    </row>
    <row r="12" spans="2:16" s="1" customFormat="1" x14ac:dyDescent="0.25">
      <c r="B12" s="1" t="s">
        <v>8</v>
      </c>
      <c r="E12" s="1">
        <v>11359</v>
      </c>
      <c r="F12" s="1">
        <v>11172</v>
      </c>
      <c r="G12" s="1">
        <f>+F12*1.02</f>
        <v>11395.44</v>
      </c>
      <c r="H12" s="1">
        <f t="shared" ref="H12:P12" si="23">+G12*1.02</f>
        <v>11623.348800000002</v>
      </c>
      <c r="I12" s="1">
        <f t="shared" si="23"/>
        <v>11855.815776000001</v>
      </c>
      <c r="J12" s="1">
        <f t="shared" si="23"/>
        <v>12092.932091520002</v>
      </c>
      <c r="K12" s="1">
        <f t="shared" si="23"/>
        <v>12334.790733350403</v>
      </c>
      <c r="L12" s="1">
        <f t="shared" si="23"/>
        <v>12581.48654801741</v>
      </c>
      <c r="M12" s="1">
        <f t="shared" si="23"/>
        <v>12833.116278977759</v>
      </c>
      <c r="N12" s="1">
        <f t="shared" si="23"/>
        <v>13089.778604557314</v>
      </c>
      <c r="O12" s="1">
        <f t="shared" si="23"/>
        <v>13351.574176648461</v>
      </c>
      <c r="P12" s="1">
        <f t="shared" si="23"/>
        <v>13618.605660181431</v>
      </c>
    </row>
    <row r="13" spans="2:16" s="1" customFormat="1" x14ac:dyDescent="0.25">
      <c r="B13" s="1" t="s">
        <v>13</v>
      </c>
      <c r="E13" s="1">
        <v>763</v>
      </c>
      <c r="F13" s="1">
        <v>4639</v>
      </c>
    </row>
    <row r="14" spans="2:16" s="2" customFormat="1" x14ac:dyDescent="0.25">
      <c r="B14" s="2" t="s">
        <v>9</v>
      </c>
      <c r="E14" s="2">
        <f>+E8-SUM(E9:E13)</f>
        <v>68593</v>
      </c>
      <c r="F14" s="2">
        <f t="shared" ref="F14:I14" si="24">+F8-SUM(F9:F13)</f>
        <v>79975</v>
      </c>
      <c r="G14" s="2">
        <f t="shared" si="24"/>
        <v>101344.65207999997</v>
      </c>
      <c r="H14" s="2">
        <f t="shared" si="24"/>
        <v>119735.41590399999</v>
      </c>
      <c r="I14" s="2">
        <f t="shared" si="24"/>
        <v>143664.00828800007</v>
      </c>
      <c r="J14" s="2">
        <f t="shared" ref="J14" si="25">+J8-SUM(J9:J13)</f>
        <v>171246.23281021439</v>
      </c>
      <c r="K14" s="2">
        <f t="shared" ref="K14" si="26">+K8-SUM(K9:K13)</f>
        <v>202998.13161653723</v>
      </c>
      <c r="L14" s="2">
        <f t="shared" ref="L14" si="27">+L8-SUM(L9:L13)</f>
        <v>226501.88911425078</v>
      </c>
      <c r="M14" s="2">
        <f t="shared" ref="M14" si="28">+M8-SUM(M9:M13)</f>
        <v>252683.6073035883</v>
      </c>
      <c r="N14" s="2">
        <f t="shared" ref="N14" si="29">+N8-SUM(N9:N13)</f>
        <v>281851.76207600837</v>
      </c>
      <c r="O14" s="2">
        <f t="shared" ref="O14" si="30">+O8-SUM(O9:O13)</f>
        <v>314350.78647512419</v>
      </c>
      <c r="P14" s="2">
        <f t="shared" ref="P14" si="31">+P8-SUM(P9:P13)</f>
        <v>350565.30016650609</v>
      </c>
    </row>
    <row r="15" spans="2:16" s="1" customFormat="1" x14ac:dyDescent="0.25">
      <c r="B15" s="1" t="s">
        <v>10</v>
      </c>
      <c r="E15" s="1">
        <v>4677</v>
      </c>
      <c r="F15" s="1">
        <v>4381</v>
      </c>
    </row>
    <row r="16" spans="2:16" s="1" customFormat="1" x14ac:dyDescent="0.25">
      <c r="B16" s="1" t="s">
        <v>11</v>
      </c>
      <c r="E16" s="1">
        <v>2406</v>
      </c>
      <c r="F16" s="1">
        <v>2274</v>
      </c>
    </row>
    <row r="17" spans="2:143" s="1" customFormat="1" x14ac:dyDescent="0.25">
      <c r="B17" s="1" t="s">
        <v>12</v>
      </c>
      <c r="E17" s="1">
        <v>-2250</v>
      </c>
      <c r="F17" s="1">
        <v>15229</v>
      </c>
    </row>
    <row r="18" spans="2:143" s="1" customFormat="1" x14ac:dyDescent="0.25">
      <c r="B18" s="1" t="s">
        <v>14</v>
      </c>
      <c r="E18" s="1">
        <f>+E14+E15-E16+E17</f>
        <v>68614</v>
      </c>
      <c r="F18" s="1">
        <f t="shared" ref="F18:I18" si="32">+F14+F15-F16+F17</f>
        <v>97311</v>
      </c>
      <c r="G18" s="1">
        <f t="shared" si="32"/>
        <v>101344.65207999997</v>
      </c>
      <c r="H18" s="1">
        <f t="shared" si="32"/>
        <v>119735.41590399999</v>
      </c>
      <c r="I18" s="1">
        <f t="shared" si="32"/>
        <v>143664.00828800007</v>
      </c>
      <c r="J18" s="1">
        <f t="shared" ref="J18" si="33">+J14+J15-J16+J17</f>
        <v>171246.23281021439</v>
      </c>
      <c r="K18" s="1">
        <f t="shared" ref="K18" si="34">+K14+K15-K16+K17</f>
        <v>202998.13161653723</v>
      </c>
      <c r="L18" s="1">
        <f t="shared" ref="L18" si="35">+L14+L15-L16+L17</f>
        <v>226501.88911425078</v>
      </c>
      <c r="M18" s="1">
        <f t="shared" ref="M18" si="36">+M14+M15-M16+M17</f>
        <v>252683.6073035883</v>
      </c>
      <c r="N18" s="1">
        <f t="shared" ref="N18" si="37">+N14+N15-N16+N17</f>
        <v>281851.76207600837</v>
      </c>
      <c r="O18" s="1">
        <f t="shared" ref="O18" si="38">+O14+O15-O16+O17</f>
        <v>314350.78647512419</v>
      </c>
      <c r="P18" s="1">
        <f t="shared" ref="P18" si="39">+P14+P15-P16+P17</f>
        <v>350565.30016650609</v>
      </c>
    </row>
    <row r="19" spans="2:143" s="1" customFormat="1" x14ac:dyDescent="0.25">
      <c r="B19" s="1" t="s">
        <v>15</v>
      </c>
      <c r="E19" s="1">
        <f>9265+101</f>
        <v>9366</v>
      </c>
      <c r="F19" s="1">
        <f>19087+554</f>
        <v>19641</v>
      </c>
      <c r="G19" s="1">
        <f>+G18*0.2</f>
        <v>20268.930415999996</v>
      </c>
      <c r="H19" s="1">
        <f t="shared" ref="H19:P19" si="40">+H18*0.2</f>
        <v>23947.0831808</v>
      </c>
      <c r="I19" s="1">
        <f t="shared" si="40"/>
        <v>28732.801657600015</v>
      </c>
      <c r="J19" s="1">
        <f t="shared" si="40"/>
        <v>34249.246562042877</v>
      </c>
      <c r="K19" s="1">
        <f t="shared" si="40"/>
        <v>40599.62632330745</v>
      </c>
      <c r="L19" s="1">
        <f t="shared" si="40"/>
        <v>45300.377822850161</v>
      </c>
      <c r="M19" s="1">
        <f t="shared" si="40"/>
        <v>50536.721460717665</v>
      </c>
      <c r="N19" s="1">
        <f t="shared" si="40"/>
        <v>56370.352415201676</v>
      </c>
      <c r="O19" s="1">
        <f t="shared" si="40"/>
        <v>62870.157295024837</v>
      </c>
      <c r="P19" s="1">
        <f t="shared" si="40"/>
        <v>70113.060033301226</v>
      </c>
    </row>
    <row r="20" spans="2:143" s="2" customFormat="1" x14ac:dyDescent="0.25">
      <c r="B20" s="2" t="s">
        <v>16</v>
      </c>
      <c r="E20" s="2">
        <f>+E18-E19</f>
        <v>59248</v>
      </c>
      <c r="F20" s="2">
        <f t="shared" ref="F20:I20" si="41">+F18-F19</f>
        <v>77670</v>
      </c>
      <c r="G20" s="2">
        <f t="shared" si="41"/>
        <v>81075.721663999982</v>
      </c>
      <c r="H20" s="2">
        <f t="shared" si="41"/>
        <v>95788.332723200001</v>
      </c>
      <c r="I20" s="2">
        <f t="shared" si="41"/>
        <v>114931.20663040006</v>
      </c>
      <c r="J20" s="2">
        <f t="shared" ref="J20" si="42">+J18-J19</f>
        <v>136996.98624817151</v>
      </c>
      <c r="K20" s="2">
        <f t="shared" ref="K20" si="43">+K18-K19</f>
        <v>162398.50529322977</v>
      </c>
      <c r="L20" s="2">
        <f t="shared" ref="L20" si="44">+L18-L19</f>
        <v>181201.51129140062</v>
      </c>
      <c r="M20" s="2">
        <f t="shared" ref="M20" si="45">+M18-M19</f>
        <v>202146.88584287063</v>
      </c>
      <c r="N20" s="2">
        <f t="shared" ref="N20" si="46">+N18-N19</f>
        <v>225481.4096608067</v>
      </c>
      <c r="O20" s="2">
        <f t="shared" ref="O20" si="47">+O18-O19</f>
        <v>251480.62918009935</v>
      </c>
      <c r="P20" s="2">
        <f t="shared" ref="P20" si="48">+P18-P19</f>
        <v>280452.24013320485</v>
      </c>
      <c r="Q20" s="2">
        <f>+P20*(1+$S25)</f>
        <v>288865.80733720103</v>
      </c>
      <c r="R20" s="2">
        <f t="shared" ref="R20:CC20" si="49">+Q20*(1+$S25)</f>
        <v>297531.78155731707</v>
      </c>
      <c r="S20" s="2">
        <f t="shared" si="49"/>
        <v>306457.73500403657</v>
      </c>
      <c r="T20" s="2">
        <f t="shared" si="49"/>
        <v>315651.46705415769</v>
      </c>
      <c r="U20" s="2">
        <f t="shared" si="49"/>
        <v>325121.01106578246</v>
      </c>
      <c r="V20" s="2">
        <f t="shared" si="49"/>
        <v>334874.64139775594</v>
      </c>
      <c r="W20" s="2">
        <f t="shared" si="49"/>
        <v>344920.88063968864</v>
      </c>
      <c r="X20" s="2">
        <f t="shared" si="49"/>
        <v>355268.5070588793</v>
      </c>
      <c r="Y20" s="2">
        <f t="shared" si="49"/>
        <v>365926.56227064569</v>
      </c>
      <c r="Z20" s="2">
        <f t="shared" si="49"/>
        <v>376904.35913876508</v>
      </c>
      <c r="AA20" s="2">
        <f t="shared" si="49"/>
        <v>388211.48991292802</v>
      </c>
      <c r="AB20" s="2">
        <f t="shared" si="49"/>
        <v>399857.83461031585</v>
      </c>
      <c r="AC20" s="2">
        <f t="shared" si="49"/>
        <v>411853.56964862533</v>
      </c>
      <c r="AD20" s="2">
        <f t="shared" si="49"/>
        <v>424209.17673808412</v>
      </c>
      <c r="AE20" s="2">
        <f t="shared" si="49"/>
        <v>436935.45204022666</v>
      </c>
      <c r="AF20" s="2">
        <f t="shared" si="49"/>
        <v>450043.51560143346</v>
      </c>
      <c r="AG20" s="2">
        <f t="shared" si="49"/>
        <v>463544.82106947649</v>
      </c>
      <c r="AH20" s="2">
        <f t="shared" si="49"/>
        <v>477451.16570156079</v>
      </c>
      <c r="AI20" s="2">
        <f t="shared" si="49"/>
        <v>491774.70067260764</v>
      </c>
      <c r="AJ20" s="2">
        <f t="shared" si="49"/>
        <v>506527.94169278588</v>
      </c>
      <c r="AK20" s="2">
        <f t="shared" si="49"/>
        <v>521723.77994356945</v>
      </c>
      <c r="AL20" s="2">
        <f t="shared" si="49"/>
        <v>537375.49334187654</v>
      </c>
      <c r="AM20" s="2">
        <f t="shared" si="49"/>
        <v>553496.75814213289</v>
      </c>
      <c r="AN20" s="2">
        <f t="shared" si="49"/>
        <v>570101.66088639689</v>
      </c>
      <c r="AO20" s="2">
        <f t="shared" si="49"/>
        <v>587204.71071298886</v>
      </c>
      <c r="AP20" s="2">
        <f t="shared" si="49"/>
        <v>604820.85203437856</v>
      </c>
      <c r="AQ20" s="2">
        <f t="shared" si="49"/>
        <v>622965.47759540996</v>
      </c>
      <c r="AR20" s="2">
        <f t="shared" si="49"/>
        <v>641654.44192327233</v>
      </c>
      <c r="AS20" s="2">
        <f t="shared" si="49"/>
        <v>660904.07518097048</v>
      </c>
      <c r="AT20" s="2">
        <f t="shared" si="49"/>
        <v>680731.19743639964</v>
      </c>
      <c r="AU20" s="2">
        <f t="shared" si="49"/>
        <v>701153.13335949159</v>
      </c>
      <c r="AV20" s="2">
        <f t="shared" si="49"/>
        <v>722187.72736027639</v>
      </c>
      <c r="AW20" s="2">
        <f t="shared" si="49"/>
        <v>743853.35918108467</v>
      </c>
      <c r="AX20" s="2">
        <f t="shared" si="49"/>
        <v>766168.95995651721</v>
      </c>
      <c r="AY20" s="2">
        <f t="shared" si="49"/>
        <v>789154.02875521278</v>
      </c>
      <c r="AZ20" s="2">
        <f t="shared" si="49"/>
        <v>812828.64961786917</v>
      </c>
      <c r="BA20" s="2">
        <f t="shared" si="49"/>
        <v>837213.50910640531</v>
      </c>
      <c r="BB20" s="2">
        <f t="shared" si="49"/>
        <v>862329.91437959753</v>
      </c>
      <c r="BC20" s="2">
        <f t="shared" si="49"/>
        <v>888199.81181098544</v>
      </c>
      <c r="BD20" s="2">
        <f t="shared" si="49"/>
        <v>914845.80616531498</v>
      </c>
      <c r="BE20" s="2">
        <f t="shared" si="49"/>
        <v>942291.18035027443</v>
      </c>
      <c r="BF20" s="2">
        <f t="shared" si="49"/>
        <v>970559.91576078266</v>
      </c>
      <c r="BG20" s="2">
        <f t="shared" si="49"/>
        <v>999676.71323360619</v>
      </c>
      <c r="BH20" s="2">
        <f t="shared" si="49"/>
        <v>1029667.0146306144</v>
      </c>
      <c r="BI20" s="2">
        <f t="shared" si="49"/>
        <v>1060557.0250695329</v>
      </c>
      <c r="BJ20" s="2">
        <f t="shared" si="49"/>
        <v>1092373.7358216189</v>
      </c>
      <c r="BK20" s="2">
        <f t="shared" si="49"/>
        <v>1125144.9478962675</v>
      </c>
      <c r="BL20" s="2">
        <f t="shared" si="49"/>
        <v>1158899.2963331556</v>
      </c>
      <c r="BM20" s="2">
        <f t="shared" si="49"/>
        <v>1193666.2752231504</v>
      </c>
      <c r="BN20" s="2">
        <f t="shared" si="49"/>
        <v>1229476.2634798449</v>
      </c>
      <c r="BO20" s="2">
        <f t="shared" si="49"/>
        <v>1266360.5513842404</v>
      </c>
      <c r="BP20" s="2">
        <f t="shared" si="49"/>
        <v>1304351.3679257676</v>
      </c>
      <c r="BQ20" s="2">
        <f t="shared" si="49"/>
        <v>1343481.9089635406</v>
      </c>
      <c r="BR20" s="2">
        <f t="shared" si="49"/>
        <v>1383786.3662324469</v>
      </c>
      <c r="BS20" s="2">
        <f t="shared" si="49"/>
        <v>1425299.9572194202</v>
      </c>
      <c r="BT20" s="2">
        <f t="shared" si="49"/>
        <v>1468058.9559360028</v>
      </c>
      <c r="BU20" s="2">
        <f t="shared" si="49"/>
        <v>1512100.7246140828</v>
      </c>
      <c r="BV20" s="2">
        <f t="shared" si="49"/>
        <v>1557463.7463525054</v>
      </c>
      <c r="BW20" s="2">
        <f t="shared" si="49"/>
        <v>1604187.6587430807</v>
      </c>
      <c r="BX20" s="2">
        <f t="shared" si="49"/>
        <v>1652313.2885053731</v>
      </c>
      <c r="BY20" s="2">
        <f t="shared" si="49"/>
        <v>1701882.6871605343</v>
      </c>
      <c r="BZ20" s="2">
        <f t="shared" si="49"/>
        <v>1752939.1677753504</v>
      </c>
      <c r="CA20" s="2">
        <f t="shared" si="49"/>
        <v>1805527.342808611</v>
      </c>
      <c r="CB20" s="2">
        <f t="shared" si="49"/>
        <v>1859693.1630928693</v>
      </c>
      <c r="CC20" s="2">
        <f t="shared" si="49"/>
        <v>1915483.9579856554</v>
      </c>
      <c r="CD20" s="2">
        <f t="shared" ref="CD20:EM20" si="50">+CC20*(1+$S25)</f>
        <v>1972948.4767252251</v>
      </c>
      <c r="CE20" s="2">
        <f t="shared" si="50"/>
        <v>2032136.9310269819</v>
      </c>
      <c r="CF20" s="2">
        <f t="shared" si="50"/>
        <v>2093101.0389577914</v>
      </c>
      <c r="CG20" s="2">
        <f t="shared" si="50"/>
        <v>2155894.0701265251</v>
      </c>
      <c r="CH20" s="2">
        <f t="shared" si="50"/>
        <v>2220570.8922303207</v>
      </c>
      <c r="CI20" s="2">
        <f t="shared" si="50"/>
        <v>2287188.0189972306</v>
      </c>
      <c r="CJ20" s="2">
        <f t="shared" si="50"/>
        <v>2355803.6595671475</v>
      </c>
      <c r="CK20" s="2">
        <f t="shared" si="50"/>
        <v>2426477.7693541618</v>
      </c>
      <c r="CL20" s="2">
        <f t="shared" si="50"/>
        <v>2499272.1024347865</v>
      </c>
      <c r="CM20" s="2">
        <f t="shared" si="50"/>
        <v>2574250.2655078303</v>
      </c>
      <c r="CN20" s="2">
        <f t="shared" si="50"/>
        <v>2651477.7734730653</v>
      </c>
      <c r="CO20" s="2">
        <f t="shared" si="50"/>
        <v>2731022.1066772575</v>
      </c>
      <c r="CP20" s="2">
        <f t="shared" si="50"/>
        <v>2812952.7698775753</v>
      </c>
      <c r="CQ20" s="2">
        <f t="shared" si="50"/>
        <v>2897341.3529739026</v>
      </c>
      <c r="CR20" s="2">
        <f t="shared" si="50"/>
        <v>2984261.5935631199</v>
      </c>
      <c r="CS20" s="2">
        <f t="shared" si="50"/>
        <v>3073789.4413700136</v>
      </c>
      <c r="CT20" s="2">
        <f t="shared" si="50"/>
        <v>3166003.1246111142</v>
      </c>
      <c r="CU20" s="2">
        <f t="shared" si="50"/>
        <v>3260983.2183494475</v>
      </c>
      <c r="CV20" s="2">
        <f t="shared" si="50"/>
        <v>3358812.7148999311</v>
      </c>
      <c r="CW20" s="2">
        <f t="shared" si="50"/>
        <v>3459577.0963469292</v>
      </c>
      <c r="CX20" s="2">
        <f t="shared" si="50"/>
        <v>3563364.4092373373</v>
      </c>
      <c r="CY20" s="2">
        <f t="shared" si="50"/>
        <v>3670265.3415144575</v>
      </c>
      <c r="CZ20" s="2">
        <f t="shared" si="50"/>
        <v>3780373.3017598912</v>
      </c>
      <c r="DA20" s="2">
        <f t="shared" si="50"/>
        <v>3893784.5008126879</v>
      </c>
      <c r="DB20" s="2">
        <f t="shared" si="50"/>
        <v>4010598.0358370687</v>
      </c>
      <c r="DC20" s="2">
        <f t="shared" si="50"/>
        <v>4130915.9769121809</v>
      </c>
      <c r="DD20" s="2">
        <f t="shared" si="50"/>
        <v>4254843.4562195465</v>
      </c>
      <c r="DE20" s="2">
        <f t="shared" si="50"/>
        <v>4382488.7599061327</v>
      </c>
      <c r="DF20" s="2">
        <f t="shared" si="50"/>
        <v>4513963.4227033164</v>
      </c>
      <c r="DG20" s="2">
        <f t="shared" si="50"/>
        <v>4649382.3253844157</v>
      </c>
      <c r="DH20" s="2">
        <f t="shared" si="50"/>
        <v>4788863.7951459484</v>
      </c>
      <c r="DI20" s="2">
        <f t="shared" si="50"/>
        <v>4932529.7090003267</v>
      </c>
      <c r="DJ20" s="2">
        <f t="shared" si="50"/>
        <v>5080505.6002703365</v>
      </c>
      <c r="DK20" s="2">
        <f t="shared" si="50"/>
        <v>5232920.768278447</v>
      </c>
      <c r="DL20" s="2">
        <f t="shared" si="50"/>
        <v>5389908.3913268009</v>
      </c>
      <c r="DM20" s="2">
        <f t="shared" si="50"/>
        <v>5551605.6430666056</v>
      </c>
      <c r="DN20" s="2">
        <f t="shared" si="50"/>
        <v>5718153.8123586038</v>
      </c>
      <c r="DO20" s="2">
        <f t="shared" si="50"/>
        <v>5889698.4267293625</v>
      </c>
      <c r="DP20" s="2">
        <f t="shared" si="50"/>
        <v>6066389.3795312438</v>
      </c>
      <c r="DQ20" s="2">
        <f t="shared" si="50"/>
        <v>6248381.060917181</v>
      </c>
      <c r="DR20" s="2">
        <f t="shared" si="50"/>
        <v>6435832.4927446963</v>
      </c>
      <c r="DS20" s="2">
        <f t="shared" si="50"/>
        <v>6628907.4675270375</v>
      </c>
      <c r="DT20" s="2">
        <f t="shared" si="50"/>
        <v>6827774.6915528486</v>
      </c>
      <c r="DU20" s="2">
        <f t="shared" si="50"/>
        <v>7032607.9322994342</v>
      </c>
      <c r="DV20" s="2">
        <f t="shared" si="50"/>
        <v>7243586.1702684173</v>
      </c>
      <c r="DW20" s="2">
        <f t="shared" si="50"/>
        <v>7460893.7553764703</v>
      </c>
      <c r="DX20" s="2">
        <f t="shared" si="50"/>
        <v>7684720.5680377642</v>
      </c>
      <c r="DY20" s="2">
        <f t="shared" si="50"/>
        <v>7915262.1850788975</v>
      </c>
      <c r="DZ20" s="2">
        <f t="shared" si="50"/>
        <v>8152720.0506312642</v>
      </c>
      <c r="EA20" s="2">
        <f t="shared" si="50"/>
        <v>8397301.6521502025</v>
      </c>
      <c r="EB20" s="2">
        <f t="shared" si="50"/>
        <v>8649220.7017147094</v>
      </c>
      <c r="EC20" s="2">
        <f t="shared" si="50"/>
        <v>8908697.3227661513</v>
      </c>
      <c r="ED20" s="2">
        <f t="shared" si="50"/>
        <v>9175958.2424491365</v>
      </c>
      <c r="EE20" s="2">
        <f t="shared" si="50"/>
        <v>9451236.9897226114</v>
      </c>
      <c r="EF20" s="2">
        <f t="shared" si="50"/>
        <v>9734774.0994142909</v>
      </c>
      <c r="EG20" s="2">
        <f t="shared" si="50"/>
        <v>10026817.32239672</v>
      </c>
      <c r="EH20" s="2">
        <f t="shared" si="50"/>
        <v>10327621.842068622</v>
      </c>
      <c r="EI20" s="2">
        <f t="shared" si="50"/>
        <v>10637450.49733068</v>
      </c>
      <c r="EJ20" s="2">
        <f t="shared" si="50"/>
        <v>10956574.0122506</v>
      </c>
      <c r="EK20" s="2">
        <f t="shared" si="50"/>
        <v>11285271.23261812</v>
      </c>
      <c r="EL20" s="2">
        <f t="shared" si="50"/>
        <v>11623829.369596664</v>
      </c>
      <c r="EM20" s="2">
        <f t="shared" si="50"/>
        <v>11972544.250684565</v>
      </c>
    </row>
    <row r="21" spans="2:143" s="3" customFormat="1" x14ac:dyDescent="0.25">
      <c r="B21" s="3" t="s">
        <v>17</v>
      </c>
      <c r="E21" s="3">
        <f>+E20/E22</f>
        <v>5.5263501539035538</v>
      </c>
      <c r="F21" s="3">
        <f>+F20/F22</f>
        <v>7.1737323358270988</v>
      </c>
      <c r="G21" s="3">
        <f>+G20/G22</f>
        <v>7.488290538838088</v>
      </c>
      <c r="H21" s="3">
        <f t="shared" ref="H21:P21" si="51">+H20/H22</f>
        <v>8.8471721366214098</v>
      </c>
      <c r="I21" s="3">
        <f t="shared" si="51"/>
        <v>10.615240290976269</v>
      </c>
      <c r="J21" s="3">
        <f t="shared" si="51"/>
        <v>12.653272951710678</v>
      </c>
      <c r="K21" s="3">
        <f t="shared" si="51"/>
        <v>14.999400137917222</v>
      </c>
      <c r="L21" s="3">
        <f t="shared" si="51"/>
        <v>16.736077518370795</v>
      </c>
      <c r="M21" s="3">
        <f t="shared" si="51"/>
        <v>18.670627675521441</v>
      </c>
      <c r="N21" s="3">
        <f t="shared" si="51"/>
        <v>20.825843692694811</v>
      </c>
      <c r="O21" s="3">
        <f t="shared" si="51"/>
        <v>23.227175503842187</v>
      </c>
      <c r="P21" s="3">
        <f t="shared" si="51"/>
        <v>25.903042406317986</v>
      </c>
    </row>
    <row r="22" spans="2:143" s="1" customFormat="1" x14ac:dyDescent="0.25">
      <c r="B22" s="1" t="s">
        <v>18</v>
      </c>
      <c r="E22" s="1">
        <v>10721</v>
      </c>
      <c r="F22" s="1">
        <v>10827</v>
      </c>
      <c r="G22" s="1">
        <f>+F22+0</f>
        <v>10827</v>
      </c>
      <c r="H22" s="1">
        <f t="shared" ref="H22:P22" si="52">+G22+0</f>
        <v>10827</v>
      </c>
      <c r="I22" s="1">
        <f t="shared" si="52"/>
        <v>10827</v>
      </c>
      <c r="J22" s="1">
        <f t="shared" si="52"/>
        <v>10827</v>
      </c>
      <c r="K22" s="1">
        <f t="shared" si="52"/>
        <v>10827</v>
      </c>
      <c r="L22" s="1">
        <f t="shared" si="52"/>
        <v>10827</v>
      </c>
      <c r="M22" s="1">
        <f t="shared" si="52"/>
        <v>10827</v>
      </c>
      <c r="N22" s="1">
        <f t="shared" si="52"/>
        <v>10827</v>
      </c>
      <c r="O22" s="1">
        <f t="shared" si="52"/>
        <v>10827</v>
      </c>
      <c r="P22" s="1">
        <f t="shared" si="52"/>
        <v>10827</v>
      </c>
    </row>
    <row r="23" spans="2:143" s="1" customFormat="1" x14ac:dyDescent="0.25">
      <c r="E23" s="3"/>
      <c r="F23" s="3"/>
    </row>
    <row r="24" spans="2:143" s="4" customFormat="1" x14ac:dyDescent="0.25">
      <c r="B24" s="4" t="s">
        <v>19</v>
      </c>
      <c r="E24" s="4">
        <f>+E8/E6</f>
        <v>0.48854393464156787</v>
      </c>
      <c r="F24" s="7">
        <f>+F8/F6</f>
        <v>0.50285664868242663</v>
      </c>
      <c r="G24" s="4">
        <f t="shared" ref="G24:P24" si="53">+G8/G6</f>
        <v>0.51</v>
      </c>
      <c r="H24" s="4">
        <f t="shared" si="53"/>
        <v>0.52</v>
      </c>
      <c r="I24" s="4">
        <f t="shared" si="53"/>
        <v>0.53</v>
      </c>
      <c r="J24" s="4">
        <f t="shared" si="53"/>
        <v>0.53999999999999992</v>
      </c>
      <c r="K24" s="4">
        <f t="shared" si="53"/>
        <v>0.55000000000000004</v>
      </c>
      <c r="L24" s="4">
        <f t="shared" si="53"/>
        <v>0.54999999999999993</v>
      </c>
      <c r="M24" s="4">
        <f t="shared" si="53"/>
        <v>0.55000000000000004</v>
      </c>
      <c r="N24" s="4">
        <f t="shared" si="53"/>
        <v>0.54999999999999993</v>
      </c>
      <c r="O24" s="4">
        <f t="shared" si="53"/>
        <v>0.55000000000000004</v>
      </c>
      <c r="P24" s="4">
        <f t="shared" si="53"/>
        <v>0.55000000000000004</v>
      </c>
      <c r="R24" s="4" t="s">
        <v>38</v>
      </c>
      <c r="S24" s="4">
        <v>0.1</v>
      </c>
    </row>
    <row r="25" spans="2:143" s="4" customFormat="1" x14ac:dyDescent="0.25">
      <c r="B25" s="4" t="s">
        <v>20</v>
      </c>
      <c r="E25" s="4">
        <f>+E14/E6</f>
        <v>0.1075194487420038</v>
      </c>
      <c r="F25" s="4">
        <f>+F14/F6</f>
        <v>0.11155296795755199</v>
      </c>
      <c r="G25" s="4">
        <f t="shared" ref="G25:P25" si="54">+G14/G6</f>
        <v>0.12810530768991957</v>
      </c>
      <c r="H25" s="4">
        <f t="shared" si="54"/>
        <v>0.13711657990843845</v>
      </c>
      <c r="I25" s="4">
        <f t="shared" si="54"/>
        <v>0.14899751776979811</v>
      </c>
      <c r="J25" s="4">
        <f t="shared" si="54"/>
        <v>0.16079758496989435</v>
      </c>
      <c r="K25" s="4">
        <f t="shared" si="54"/>
        <v>0.17252135745314456</v>
      </c>
      <c r="L25" s="4">
        <f t="shared" si="54"/>
        <v>0.17417310921255863</v>
      </c>
      <c r="M25" s="4">
        <f t="shared" si="54"/>
        <v>0.17575683161981043</v>
      </c>
      <c r="N25" s="4">
        <f t="shared" si="54"/>
        <v>0.17727625168934555</v>
      </c>
      <c r="O25" s="4">
        <f t="shared" si="54"/>
        <v>0.17873484932478165</v>
      </c>
      <c r="P25" s="4">
        <f t="shared" si="54"/>
        <v>0.18013587359363673</v>
      </c>
      <c r="R25" s="4" t="s">
        <v>39</v>
      </c>
      <c r="S25" s="4">
        <v>0.03</v>
      </c>
    </row>
    <row r="26" spans="2:143" s="4" customFormat="1" x14ac:dyDescent="0.25">
      <c r="B26" s="1" t="s">
        <v>0</v>
      </c>
      <c r="F26" s="4">
        <f>+F4/E4 -1</f>
        <v>8.7969270429765878E-2</v>
      </c>
      <c r="G26" s="4">
        <f t="shared" ref="G26:P26" si="55">+G4/F4 -1</f>
        <v>8.0000000000000071E-2</v>
      </c>
      <c r="H26" s="4">
        <f t="shared" si="55"/>
        <v>8.0000000000000071E-2</v>
      </c>
      <c r="I26" s="4">
        <f t="shared" si="55"/>
        <v>8.0000000000000071E-2</v>
      </c>
      <c r="J26" s="4">
        <f t="shared" si="55"/>
        <v>8.0000000000000071E-2</v>
      </c>
      <c r="K26" s="4">
        <f t="shared" si="55"/>
        <v>8.0000000000000071E-2</v>
      </c>
      <c r="L26" s="4">
        <f t="shared" si="55"/>
        <v>8.0000000000000071E-2</v>
      </c>
      <c r="M26" s="4">
        <f t="shared" si="55"/>
        <v>8.0000000000000071E-2</v>
      </c>
      <c r="N26" s="4">
        <f t="shared" si="55"/>
        <v>8.0000000000000071E-2</v>
      </c>
      <c r="O26" s="4">
        <f t="shared" si="55"/>
        <v>8.0000000000000071E-2</v>
      </c>
      <c r="P26" s="4">
        <f t="shared" si="55"/>
        <v>8.0000000000000071E-2</v>
      </c>
      <c r="R26" s="4" t="s">
        <v>40</v>
      </c>
      <c r="S26" s="1">
        <f>NPV(S24,G20:EN20)</f>
        <v>2550238.4708288992</v>
      </c>
    </row>
    <row r="27" spans="2:143" s="4" customFormat="1" x14ac:dyDescent="0.25">
      <c r="B27" s="1" t="s">
        <v>1</v>
      </c>
      <c r="F27" s="4">
        <f t="shared" ref="F27:P28" si="56">+F5/E5 -1</f>
        <v>0.15044523694919709</v>
      </c>
      <c r="G27" s="4">
        <f t="shared" si="56"/>
        <v>0.12000000000000011</v>
      </c>
      <c r="H27" s="4">
        <f t="shared" si="56"/>
        <v>0.12000000000000011</v>
      </c>
      <c r="I27" s="4">
        <f t="shared" si="56"/>
        <v>0.12000000000000011</v>
      </c>
      <c r="J27" s="4">
        <f t="shared" si="56"/>
        <v>0.12000000000000011</v>
      </c>
      <c r="K27" s="4">
        <f t="shared" si="56"/>
        <v>0.12000000000000011</v>
      </c>
      <c r="L27" s="4">
        <f t="shared" si="56"/>
        <v>0.12000000000000011</v>
      </c>
      <c r="M27" s="4">
        <f t="shared" si="56"/>
        <v>0.12000000000000011</v>
      </c>
      <c r="N27" s="4">
        <f t="shared" si="56"/>
        <v>0.12000000000000011</v>
      </c>
      <c r="O27" s="4">
        <f t="shared" si="56"/>
        <v>0.12000000000000011</v>
      </c>
      <c r="P27" s="4">
        <f t="shared" si="56"/>
        <v>0.12000000000000011</v>
      </c>
      <c r="R27" s="4" t="s">
        <v>29</v>
      </c>
      <c r="S27" s="1">
        <f>+F36+F37-F39</f>
        <v>57381</v>
      </c>
    </row>
    <row r="28" spans="2:143" s="4" customFormat="1" x14ac:dyDescent="0.25">
      <c r="B28" s="6" t="s">
        <v>2</v>
      </c>
      <c r="F28" s="4">
        <f t="shared" si="56"/>
        <v>0.12377754683294695</v>
      </c>
      <c r="G28" s="4">
        <f t="shared" si="56"/>
        <v>0.1034701586221134</v>
      </c>
      <c r="H28" s="4">
        <f t="shared" si="56"/>
        <v>0.10382173858656096</v>
      </c>
      <c r="I28" s="4">
        <f t="shared" si="56"/>
        <v>0.10417088401530528</v>
      </c>
      <c r="J28" s="4">
        <f t="shared" si="56"/>
        <v>0.10451739172717289</v>
      </c>
      <c r="K28" s="4">
        <f t="shared" si="56"/>
        <v>0.10486106505891613</v>
      </c>
      <c r="L28" s="4">
        <f t="shared" si="56"/>
        <v>0.10520171426667235</v>
      </c>
      <c r="M28" s="4">
        <f t="shared" si="56"/>
        <v>0.10553915689264159</v>
      </c>
      <c r="N28" s="4">
        <f t="shared" si="56"/>
        <v>0.10587321809582573</v>
      </c>
      <c r="O28" s="4">
        <f t="shared" si="56"/>
        <v>0.10620373094595892</v>
      </c>
      <c r="P28" s="4">
        <f t="shared" si="56"/>
        <v>0.10653053668005352</v>
      </c>
      <c r="R28" s="4" t="s">
        <v>41</v>
      </c>
      <c r="S28" s="6">
        <f>+S26+S27</f>
        <v>2607619.4708288992</v>
      </c>
    </row>
    <row r="29" spans="2:143" s="1" customFormat="1" x14ac:dyDescent="0.25">
      <c r="R29" s="1" t="s">
        <v>26</v>
      </c>
      <c r="S29" s="1">
        <f>+S28/P22</f>
        <v>240.84413695658068</v>
      </c>
    </row>
    <row r="30" spans="2:143" s="1" customFormat="1" x14ac:dyDescent="0.25">
      <c r="B30" s="1" t="s">
        <v>24</v>
      </c>
      <c r="E30" s="1">
        <v>52795</v>
      </c>
      <c r="F30" s="1">
        <v>65756</v>
      </c>
    </row>
    <row r="31" spans="2:143" s="1" customFormat="1" x14ac:dyDescent="0.25">
      <c r="B31" s="1" t="s">
        <v>25</v>
      </c>
      <c r="E31" s="1">
        <v>22011</v>
      </c>
      <c r="F31" s="1">
        <v>19467</v>
      </c>
    </row>
    <row r="32" spans="2:143" s="2" customFormat="1" x14ac:dyDescent="0.25">
      <c r="B32" s="2" t="s">
        <v>21</v>
      </c>
      <c r="E32" s="2">
        <v>115877</v>
      </c>
      <c r="F32" s="2">
        <v>139514</v>
      </c>
    </row>
    <row r="33" spans="2:6" s="1" customFormat="1" x14ac:dyDescent="0.25">
      <c r="B33" s="1" t="s">
        <v>22</v>
      </c>
      <c r="E33" s="1">
        <v>82999</v>
      </c>
      <c r="F33" s="1">
        <v>131819</v>
      </c>
    </row>
    <row r="34" spans="2:6" s="1" customFormat="1" x14ac:dyDescent="0.25">
      <c r="B34" s="1" t="s">
        <v>23</v>
      </c>
      <c r="E34" s="1">
        <f>+E32-E33</f>
        <v>32878</v>
      </c>
      <c r="F34" s="1">
        <f>+F32-F33</f>
        <v>7695</v>
      </c>
    </row>
    <row r="35" spans="2:6" s="1" customFormat="1" x14ac:dyDescent="0.25"/>
    <row r="36" spans="2:6" s="1" customFormat="1" x14ac:dyDescent="0.25">
      <c r="B36" s="1" t="s">
        <v>32</v>
      </c>
      <c r="E36" s="1">
        <v>78779</v>
      </c>
      <c r="F36" s="1">
        <v>86810</v>
      </c>
    </row>
    <row r="37" spans="2:6" s="1" customFormat="1" x14ac:dyDescent="0.25">
      <c r="B37" s="1" t="s">
        <v>33</v>
      </c>
      <c r="E37" s="1">
        <v>22423</v>
      </c>
      <c r="F37" s="1">
        <v>36219</v>
      </c>
    </row>
    <row r="38" spans="2:6" s="1" customFormat="1" x14ac:dyDescent="0.25">
      <c r="B38" s="1" t="s">
        <v>34</v>
      </c>
      <c r="E38" s="1">
        <v>252665</v>
      </c>
      <c r="F38" s="1">
        <v>357025</v>
      </c>
    </row>
    <row r="39" spans="2:6" s="1" customFormat="1" x14ac:dyDescent="0.25">
      <c r="B39" s="1" t="s">
        <v>35</v>
      </c>
      <c r="E39" s="1">
        <v>52623</v>
      </c>
      <c r="F39" s="1">
        <v>65648</v>
      </c>
    </row>
    <row r="40" spans="2:6" s="1" customFormat="1" x14ac:dyDescent="0.25">
      <c r="B40" s="1" t="s">
        <v>36</v>
      </c>
      <c r="E40" s="1">
        <f>+E36+E37+E38-E39</f>
        <v>301244</v>
      </c>
      <c r="F40" s="1">
        <f>+F36+F37+F38-F39</f>
        <v>414406</v>
      </c>
    </row>
    <row r="41" spans="2:6" s="1" customFormat="1" x14ac:dyDescent="0.25"/>
    <row r="42" spans="2:6" s="1" customFormat="1" x14ac:dyDescent="0.25"/>
    <row r="43" spans="2:6" s="1" customFormat="1" x14ac:dyDescent="0.25"/>
    <row r="44" spans="2:6" s="1" customFormat="1" x14ac:dyDescent="0.25"/>
    <row r="45" spans="2:6" s="1" customFormat="1" x14ac:dyDescent="0.25"/>
    <row r="46" spans="2:6" s="1" customFormat="1" x14ac:dyDescent="0.25"/>
    <row r="47" spans="2:6" s="1" customFormat="1" x14ac:dyDescent="0.25"/>
    <row r="48" spans="2:6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2026-02-06T17:00:35Z</dcterms:created>
  <dcterms:modified xsi:type="dcterms:W3CDTF">2026-02-06T17:25:39Z</dcterms:modified>
</cp:coreProperties>
</file>