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261A6BF7-761A-4C55-B4A6-B6307923A6D1}" xr6:coauthVersionLast="47" xr6:coauthVersionMax="47" xr10:uidLastSave="{00000000-0000-0000-0000-000000000000}"/>
  <bookViews>
    <workbookView xWindow="-28920" yWindow="-120" windowWidth="29040" windowHeight="15840" xr2:uid="{239401EA-C125-4E90-859F-229886564F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27" i="1" l="1"/>
  <c r="S26" i="1"/>
  <c r="S24" i="1"/>
  <c r="R30" i="1"/>
  <c r="S30" i="1" s="1"/>
  <c r="T30" i="1" s="1"/>
  <c r="U30" i="1" s="1"/>
  <c r="V30" i="1" s="1"/>
  <c r="W30" i="1" s="1"/>
  <c r="X30" i="1" s="1"/>
  <c r="Y30" i="1" s="1"/>
  <c r="Z30" i="1" s="1"/>
  <c r="AA30" i="1" s="1"/>
  <c r="AB30" i="1" s="1"/>
  <c r="AC30" i="1" s="1"/>
  <c r="AD30" i="1" s="1"/>
  <c r="AE30" i="1" s="1"/>
  <c r="AF30" i="1" s="1"/>
  <c r="AG30" i="1" s="1"/>
  <c r="AH30" i="1" s="1"/>
  <c r="AI30" i="1" s="1"/>
  <c r="AJ30" i="1" s="1"/>
  <c r="AK30" i="1" s="1"/>
  <c r="AL30" i="1" s="1"/>
  <c r="AM30" i="1" s="1"/>
  <c r="AN30" i="1" s="1"/>
  <c r="AO30" i="1" s="1"/>
  <c r="AP30" i="1" s="1"/>
  <c r="AQ30" i="1" s="1"/>
  <c r="AR30" i="1" s="1"/>
  <c r="AS30" i="1" s="1"/>
  <c r="AT30" i="1" s="1"/>
  <c r="AU30" i="1" s="1"/>
  <c r="AV30" i="1" s="1"/>
  <c r="AW30" i="1" s="1"/>
  <c r="AX30" i="1" s="1"/>
  <c r="AY30" i="1" s="1"/>
  <c r="AZ30" i="1" s="1"/>
  <c r="BA30" i="1" s="1"/>
  <c r="BB30" i="1" s="1"/>
  <c r="BC30" i="1" s="1"/>
  <c r="BD30" i="1" s="1"/>
  <c r="BE30" i="1" s="1"/>
  <c r="BF30" i="1" s="1"/>
  <c r="BG30" i="1" s="1"/>
  <c r="BH30" i="1" s="1"/>
  <c r="BI30" i="1" s="1"/>
  <c r="BJ30" i="1" s="1"/>
  <c r="BK30" i="1" s="1"/>
  <c r="BL30" i="1" s="1"/>
  <c r="BM30" i="1" s="1"/>
  <c r="BN30" i="1" s="1"/>
  <c r="BO30" i="1" s="1"/>
  <c r="BP30" i="1" s="1"/>
  <c r="BQ30" i="1" s="1"/>
  <c r="BR30" i="1" s="1"/>
  <c r="BS30" i="1" s="1"/>
  <c r="BT30" i="1" s="1"/>
  <c r="BU30" i="1" s="1"/>
  <c r="BV30" i="1" s="1"/>
  <c r="BW30" i="1" s="1"/>
  <c r="BX30" i="1" s="1"/>
  <c r="BY30" i="1" s="1"/>
  <c r="BZ30" i="1" s="1"/>
  <c r="CA30" i="1" s="1"/>
  <c r="CB30" i="1" s="1"/>
  <c r="CC30" i="1" s="1"/>
  <c r="CD30" i="1" s="1"/>
  <c r="CE30" i="1" s="1"/>
  <c r="CF30" i="1" s="1"/>
  <c r="CG30" i="1" s="1"/>
  <c r="CH30" i="1" s="1"/>
  <c r="CI30" i="1" s="1"/>
  <c r="CJ30" i="1" s="1"/>
  <c r="CK30" i="1" s="1"/>
  <c r="CL30" i="1" s="1"/>
  <c r="CM30" i="1" s="1"/>
  <c r="CN30" i="1" s="1"/>
  <c r="CO30" i="1" s="1"/>
  <c r="CP30" i="1" s="1"/>
  <c r="CQ30" i="1" s="1"/>
  <c r="CR30" i="1" s="1"/>
  <c r="CS30" i="1" s="1"/>
  <c r="CT30" i="1" s="1"/>
  <c r="CU30" i="1" s="1"/>
  <c r="CV30" i="1" s="1"/>
  <c r="CW30" i="1" s="1"/>
  <c r="CX30" i="1" s="1"/>
  <c r="CY30" i="1" s="1"/>
  <c r="CZ30" i="1" s="1"/>
  <c r="DA30" i="1" s="1"/>
  <c r="DB30" i="1" s="1"/>
  <c r="DC30" i="1" s="1"/>
  <c r="DD30" i="1" s="1"/>
  <c r="DE30" i="1" s="1"/>
  <c r="DF30" i="1" s="1"/>
  <c r="DG30" i="1" s="1"/>
  <c r="DH30" i="1" s="1"/>
  <c r="DI30" i="1" s="1"/>
  <c r="DJ30" i="1" s="1"/>
  <c r="DK30" i="1" s="1"/>
  <c r="DL30" i="1" s="1"/>
  <c r="DM30" i="1" s="1"/>
  <c r="DN30" i="1" s="1"/>
  <c r="DO30" i="1" s="1"/>
  <c r="DP30" i="1" s="1"/>
  <c r="DQ30" i="1" s="1"/>
  <c r="DR30" i="1" s="1"/>
  <c r="DS30" i="1" s="1"/>
  <c r="DT30" i="1" s="1"/>
  <c r="DU30" i="1" s="1"/>
  <c r="DV30" i="1" s="1"/>
  <c r="DW30" i="1" s="1"/>
  <c r="DX30" i="1" s="1"/>
  <c r="DY30" i="1" s="1"/>
  <c r="DZ30" i="1" s="1"/>
  <c r="EA30" i="1" s="1"/>
  <c r="EB30" i="1" s="1"/>
  <c r="EC30" i="1" s="1"/>
  <c r="ED30" i="1" s="1"/>
  <c r="EE30" i="1" s="1"/>
  <c r="EF30" i="1" s="1"/>
  <c r="EG30" i="1" s="1"/>
  <c r="EH30" i="1" s="1"/>
  <c r="EI30" i="1" s="1"/>
  <c r="Q30" i="1"/>
  <c r="G30" i="1"/>
  <c r="H30" i="1"/>
  <c r="I30" i="1"/>
  <c r="J30" i="1"/>
  <c r="K30" i="1"/>
  <c r="L30" i="1"/>
  <c r="M30" i="1"/>
  <c r="N30" i="1"/>
  <c r="O30" i="1"/>
  <c r="P30" i="1"/>
  <c r="F30" i="1"/>
  <c r="G28" i="1"/>
  <c r="H28" i="1"/>
  <c r="I28" i="1"/>
  <c r="J28" i="1"/>
  <c r="K28" i="1"/>
  <c r="L28" i="1"/>
  <c r="M28" i="1"/>
  <c r="N28" i="1"/>
  <c r="O28" i="1"/>
  <c r="P28" i="1"/>
  <c r="G17" i="1"/>
  <c r="H17" i="1"/>
  <c r="I17" i="1"/>
  <c r="J17" i="1"/>
  <c r="K17" i="1"/>
  <c r="L17" i="1"/>
  <c r="M17" i="1"/>
  <c r="N17" i="1"/>
  <c r="O17" i="1"/>
  <c r="P17" i="1"/>
  <c r="G22" i="1"/>
  <c r="H22" i="1"/>
  <c r="I22" i="1"/>
  <c r="J22" i="1"/>
  <c r="K22" i="1"/>
  <c r="L22" i="1"/>
  <c r="M22" i="1"/>
  <c r="N22" i="1"/>
  <c r="O22" i="1"/>
  <c r="P22" i="1"/>
  <c r="G24" i="1"/>
  <c r="H24" i="1"/>
  <c r="I24" i="1"/>
  <c r="J24" i="1"/>
  <c r="K24" i="1"/>
  <c r="L24" i="1"/>
  <c r="M24" i="1"/>
  <c r="N24" i="1"/>
  <c r="O24" i="1"/>
  <c r="P24" i="1"/>
  <c r="F24" i="1"/>
  <c r="F23" i="1"/>
  <c r="F22" i="1"/>
  <c r="G25" i="1"/>
  <c r="H25" i="1"/>
  <c r="I25" i="1"/>
  <c r="J25" i="1"/>
  <c r="K25" i="1"/>
  <c r="L25" i="1"/>
  <c r="M25" i="1"/>
  <c r="N25" i="1"/>
  <c r="O25" i="1"/>
  <c r="P25" i="1"/>
  <c r="G26" i="1"/>
  <c r="H26" i="1"/>
  <c r="I26" i="1"/>
  <c r="J26" i="1"/>
  <c r="K26" i="1"/>
  <c r="L26" i="1"/>
  <c r="M26" i="1"/>
  <c r="N26" i="1"/>
  <c r="O26" i="1"/>
  <c r="P26" i="1"/>
  <c r="F17" i="1"/>
  <c r="G9" i="1"/>
  <c r="H9" i="1"/>
  <c r="I9" i="1"/>
  <c r="J9" i="1"/>
  <c r="K9" i="1"/>
  <c r="L9" i="1"/>
  <c r="M9" i="1"/>
  <c r="N9" i="1"/>
  <c r="O9" i="1"/>
  <c r="P9" i="1"/>
  <c r="F9" i="1"/>
  <c r="G8" i="1"/>
  <c r="H8" i="1"/>
  <c r="I8" i="1"/>
  <c r="J8" i="1"/>
  <c r="K8" i="1"/>
  <c r="L8" i="1"/>
  <c r="M8" i="1"/>
  <c r="N8" i="1"/>
  <c r="O8" i="1"/>
  <c r="P8" i="1"/>
  <c r="F8" i="1"/>
  <c r="E19" i="1"/>
  <c r="G20" i="1"/>
  <c r="H20" i="1" s="1"/>
  <c r="I20" i="1" s="1"/>
  <c r="J20" i="1" s="1"/>
  <c r="K20" i="1" s="1"/>
  <c r="L20" i="1" s="1"/>
  <c r="M20" i="1" s="1"/>
  <c r="N20" i="1" s="1"/>
  <c r="O20" i="1" s="1"/>
  <c r="P20" i="1" s="1"/>
  <c r="F20" i="1"/>
  <c r="G2" i="1"/>
  <c r="H2" i="1" s="1"/>
  <c r="I2" i="1" s="1"/>
  <c r="J2" i="1" s="1"/>
  <c r="K2" i="1" s="1"/>
  <c r="L2" i="1" s="1"/>
  <c r="M2" i="1" s="1"/>
  <c r="N2" i="1" s="1"/>
  <c r="O2" i="1" s="1"/>
  <c r="P2" i="1" s="1"/>
  <c r="G29" i="1"/>
  <c r="F5" i="1"/>
  <c r="F7" i="1" s="1"/>
  <c r="E24" i="1"/>
  <c r="D29" i="1"/>
  <c r="D30" i="1" s="1"/>
  <c r="E29" i="1"/>
  <c r="E30" i="1" s="1"/>
  <c r="E6" i="1"/>
  <c r="E7" i="1" s="1"/>
  <c r="E11" i="1" s="1"/>
  <c r="E13" i="1" s="1"/>
  <c r="E16" i="1" s="1"/>
  <c r="E18" i="1" s="1"/>
  <c r="E23" i="1" s="1"/>
  <c r="D6" i="1"/>
  <c r="D7" i="1" s="1"/>
  <c r="D11" i="1" s="1"/>
  <c r="D13" i="1" s="1"/>
  <c r="D16" i="1" s="1"/>
  <c r="D18" i="1" s="1"/>
  <c r="D23" i="1" s="1"/>
  <c r="F26" i="1" l="1"/>
  <c r="H29" i="1"/>
  <c r="G5" i="1"/>
  <c r="D25" i="1"/>
  <c r="E25" i="1"/>
  <c r="D26" i="1"/>
  <c r="H12" i="1"/>
  <c r="F25" i="1"/>
  <c r="E26" i="1"/>
  <c r="F11" i="1"/>
  <c r="F13" i="1" s="1"/>
  <c r="F16" i="1" s="1"/>
  <c r="D22" i="1"/>
  <c r="E22" i="1"/>
  <c r="G7" i="1" l="1"/>
  <c r="G11" i="1" s="1"/>
  <c r="G13" i="1" s="1"/>
  <c r="G16" i="1" s="1"/>
  <c r="H5" i="1"/>
  <c r="F18" i="1"/>
  <c r="I29" i="1"/>
  <c r="F28" i="1" l="1"/>
  <c r="F19" i="1"/>
  <c r="J29" i="1"/>
  <c r="I5" i="1"/>
  <c r="H7" i="1"/>
  <c r="H11" i="1" s="1"/>
  <c r="H13" i="1" s="1"/>
  <c r="H16" i="1" s="1"/>
  <c r="G18" i="1"/>
  <c r="J12" i="1"/>
  <c r="I12" i="1"/>
  <c r="G19" i="1" l="1"/>
  <c r="G23" i="1"/>
  <c r="J5" i="1"/>
  <c r="I7" i="1"/>
  <c r="I11" i="1" s="1"/>
  <c r="I13" i="1" s="1"/>
  <c r="I16" i="1" s="1"/>
  <c r="H18" i="1"/>
  <c r="K29" i="1"/>
  <c r="H19" i="1" l="1"/>
  <c r="H23" i="1"/>
  <c r="L29" i="1"/>
  <c r="L12" i="1"/>
  <c r="I18" i="1"/>
  <c r="K12" i="1"/>
  <c r="K5" i="1"/>
  <c r="J7" i="1"/>
  <c r="J11" i="1" s="1"/>
  <c r="J13" i="1" s="1"/>
  <c r="J16" i="1" s="1"/>
  <c r="I19" i="1" l="1"/>
  <c r="I23" i="1"/>
  <c r="L5" i="1"/>
  <c r="K7" i="1"/>
  <c r="K11" i="1" s="1"/>
  <c r="K13" i="1" s="1"/>
  <c r="K16" i="1" s="1"/>
  <c r="M29" i="1"/>
  <c r="J18" i="1"/>
  <c r="J19" i="1" l="1"/>
  <c r="J23" i="1"/>
  <c r="K18" i="1"/>
  <c r="N29" i="1"/>
  <c r="M12" i="1"/>
  <c r="N12" i="1"/>
  <c r="M5" i="1"/>
  <c r="L7" i="1"/>
  <c r="L11" i="1" s="1"/>
  <c r="L13" i="1" s="1"/>
  <c r="L16" i="1" s="1"/>
  <c r="K19" i="1" l="1"/>
  <c r="K23" i="1"/>
  <c r="L18" i="1"/>
  <c r="O29" i="1"/>
  <c r="P29" i="1" s="1"/>
  <c r="P12" i="1" s="1"/>
  <c r="O12" i="1"/>
  <c r="N5" i="1"/>
  <c r="M7" i="1"/>
  <c r="M11" i="1" s="1"/>
  <c r="M13" i="1" s="1"/>
  <c r="M16" i="1" s="1"/>
  <c r="L19" i="1" l="1"/>
  <c r="L23" i="1"/>
  <c r="O5" i="1"/>
  <c r="N7" i="1"/>
  <c r="N11" i="1" s="1"/>
  <c r="N13" i="1" s="1"/>
  <c r="N16" i="1" s="1"/>
  <c r="M18" i="1"/>
  <c r="M19" i="1" l="1"/>
  <c r="M23" i="1"/>
  <c r="N18" i="1"/>
  <c r="P5" i="1"/>
  <c r="P7" i="1" s="1"/>
  <c r="P11" i="1" s="1"/>
  <c r="P13" i="1" s="1"/>
  <c r="P16" i="1" s="1"/>
  <c r="O7" i="1"/>
  <c r="O11" i="1" s="1"/>
  <c r="O13" i="1" s="1"/>
  <c r="O16" i="1" s="1"/>
  <c r="N19" i="1" l="1"/>
  <c r="N23" i="1"/>
  <c r="O18" i="1"/>
  <c r="P18" i="1"/>
  <c r="P19" i="1" l="1"/>
  <c r="P23" i="1"/>
  <c r="O19" i="1"/>
  <c r="O23" i="1"/>
</calcChain>
</file>

<file path=xl/sharedStrings.xml><?xml version="1.0" encoding="utf-8"?>
<sst xmlns="http://schemas.openxmlformats.org/spreadsheetml/2006/main" count="30" uniqueCount="28">
  <si>
    <t>Revenue</t>
  </si>
  <si>
    <t>Total Revenue</t>
  </si>
  <si>
    <t>Materialaufwand</t>
  </si>
  <si>
    <t>Personalaufwand</t>
  </si>
  <si>
    <t>Sonstiger aufwand</t>
  </si>
  <si>
    <t>EBITDA</t>
  </si>
  <si>
    <t>D&amp;A</t>
  </si>
  <si>
    <t xml:space="preserve">EBIT </t>
  </si>
  <si>
    <t>Zinserträge</t>
  </si>
  <si>
    <t>Zinsaufwand</t>
  </si>
  <si>
    <t>Pretax</t>
  </si>
  <si>
    <t>Taxes</t>
  </si>
  <si>
    <t>Net Income</t>
  </si>
  <si>
    <t xml:space="preserve">Sonstige </t>
  </si>
  <si>
    <t>EBITDA Margin</t>
  </si>
  <si>
    <t>Net Margin</t>
  </si>
  <si>
    <t>CFFO</t>
  </si>
  <si>
    <t>CapEx</t>
  </si>
  <si>
    <t>Revenue Y/Y</t>
  </si>
  <si>
    <t>FCFF</t>
  </si>
  <si>
    <t>Shares</t>
  </si>
  <si>
    <t>EPS</t>
  </si>
  <si>
    <t>Discount</t>
  </si>
  <si>
    <t>Terminal</t>
  </si>
  <si>
    <t>NPV</t>
  </si>
  <si>
    <t>Net Cash</t>
  </si>
  <si>
    <t>Value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</si>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</sst>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€&quot;\ #,##0.00;[Red]\-&quot;€&quot;\ 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9" fontId="0" fillId="0" borderId="0" xfId="1" applyFont="1"/>
    <xf numFmtId="4" fontId="0" fillId="0" borderId="0" xfId="0" applyNumberFormat="1"/>
    <xf numFmtId="8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35719</xdr:colOff>
      <xdr:row>3</xdr:row>
      <xdr:rowOff>0</xdr:rowOff>
    </xdr:from>
    <xdr:to>
      <xdr:col>5</xdr:col>
      <xdr:colOff>53578</xdr:colOff>
      <xdr:row>26</xdr:row>
      <xdr:rowOff>83344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2E9B72B-3B49-68A8-305C-766F55AA807F}"/>
            </a:ext>
          </a:extLst>
        </xdr:cNvPr>
        <xdr:cNvCxnSpPr/>
      </xdr:nvCxnSpPr>
      <xdr:spPr>
        <a:xfrm>
          <a:off x="3131344" y="571500"/>
          <a:ext cx="17859" cy="370284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7C925-D345-469F-95D7-DD991ADE0FB0}">
  <dimension ref="B2:EI99"/>
  <sheetViews>
    <sheetView tabSelected="1" zoomScale="160" zoomScaleNormal="160" workbookViewId="0">
      <pane xSplit="2" ySplit="2" topLeftCell="F3" activePane="bottomRight" state="frozen"/>
      <selection pane="topRight" activeCell="C1" sqref="C1"/>
      <selection pane="bottomLeft" activeCell="A3" sqref="A3"/>
      <selection pane="bottomRight" activeCell="R14" activeCellId="1" sqref="S29 R14"/>
    </sheetView>
  </sheetViews>
  <sheetFormatPr defaultRowHeight="15" x14ac:dyDescent="0.25"/>
  <cols>
    <col min="1" max="1" width="2.85546875" customWidth="1"/>
    <col min="2" max="2" width="16.28515625" bestFit="1" customWidth="1"/>
    <col min="19" max="19" width="12" bestFit="1" customWidth="1"/>
  </cols>
  <sheetData>
    <row r="2" spans="2:16" x14ac:dyDescent="0.25">
      <c r="D2">
        <v>2023</v>
      </c>
      <c r="E2">
        <v>2024</v>
      </c>
      <c r="F2">
        <v>2025</v>
      </c>
      <c r="G2">
        <f>+F2+1</f>
        <v>2026</v>
      </c>
      <c r="H2">
        <f t="shared" ref="H2:P2" si="0">+G2+1</f>
        <v>2027</v>
      </c>
      <c r="I2">
        <f t="shared" si="0"/>
        <v>2028</v>
      </c>
      <c r="J2">
        <f t="shared" si="0"/>
        <v>2029</v>
      </c>
      <c r="K2">
        <f t="shared" si="0"/>
        <v>2030</v>
      </c>
      <c r="L2">
        <f t="shared" si="0"/>
        <v>2031</v>
      </c>
      <c r="M2">
        <f t="shared" si="0"/>
        <v>2032</v>
      </c>
      <c r="N2">
        <f t="shared" si="0"/>
        <v>2033</v>
      </c>
      <c r="O2">
        <f t="shared" si="0"/>
        <v>2034</v>
      </c>
      <c r="P2">
        <f t="shared" si="0"/>
        <v>2035</v>
      </c>
    </row>
    <row r="3" spans="2:16" s="1" customFormat="1" x14ac:dyDescent="0.25"/>
    <row r="4" spans="2:16" s="1" customFormat="1" x14ac:dyDescent="0.25"/>
    <row r="5" spans="2:16" s="1" customFormat="1" x14ac:dyDescent="0.25">
      <c r="B5" s="1" t="s">
        <v>0</v>
      </c>
      <c r="D5" s="1">
        <v>91529</v>
      </c>
      <c r="E5" s="1">
        <v>103290</v>
      </c>
      <c r="F5" s="1">
        <f>+E5*1.12</f>
        <v>115684.80000000002</v>
      </c>
      <c r="G5" s="1">
        <f>+F5*1.12</f>
        <v>129566.97600000004</v>
      </c>
      <c r="H5" s="1">
        <f>+G5*1.1</f>
        <v>142523.67360000007</v>
      </c>
      <c r="I5" s="1">
        <f t="shared" ref="I5:P5" si="1">+H5*1.1</f>
        <v>156776.0409600001</v>
      </c>
      <c r="J5" s="1">
        <f t="shared" si="1"/>
        <v>172453.64505600012</v>
      </c>
      <c r="K5" s="1">
        <f t="shared" si="1"/>
        <v>189699.00956160016</v>
      </c>
      <c r="L5" s="1">
        <f t="shared" si="1"/>
        <v>208668.9105177602</v>
      </c>
      <c r="M5" s="1">
        <f t="shared" si="1"/>
        <v>229535.80156953624</v>
      </c>
      <c r="N5" s="1">
        <f t="shared" si="1"/>
        <v>252489.3817264899</v>
      </c>
      <c r="O5" s="1">
        <f t="shared" si="1"/>
        <v>277738.31989913894</v>
      </c>
      <c r="P5" s="1">
        <f t="shared" si="1"/>
        <v>305512.15188905288</v>
      </c>
    </row>
    <row r="6" spans="2:16" s="1" customFormat="1" x14ac:dyDescent="0.25">
      <c r="B6" s="1" t="s">
        <v>13</v>
      </c>
      <c r="D6" s="1">
        <f>3791+749</f>
        <v>4540</v>
      </c>
      <c r="E6" s="1">
        <f>2413+1703</f>
        <v>4116</v>
      </c>
      <c r="F6" s="1">
        <v>3500</v>
      </c>
      <c r="G6" s="1">
        <v>3000</v>
      </c>
      <c r="H6" s="1">
        <v>3000</v>
      </c>
      <c r="I6" s="1">
        <v>3000</v>
      </c>
      <c r="J6" s="1">
        <v>3000</v>
      </c>
      <c r="K6" s="1">
        <v>3000</v>
      </c>
      <c r="L6" s="1">
        <v>3000</v>
      </c>
      <c r="M6" s="1">
        <v>3000</v>
      </c>
      <c r="N6" s="1">
        <v>3000</v>
      </c>
      <c r="O6" s="1">
        <v>3000</v>
      </c>
      <c r="P6" s="1">
        <v>3000</v>
      </c>
    </row>
    <row r="7" spans="2:16" s="2" customFormat="1" x14ac:dyDescent="0.25">
      <c r="B7" s="2" t="s">
        <v>1</v>
      </c>
      <c r="D7" s="2">
        <f>+D5+D6</f>
        <v>96069</v>
      </c>
      <c r="E7" s="2">
        <f t="shared" ref="E7:H7" si="2">+E5+E6</f>
        <v>107406</v>
      </c>
      <c r="F7" s="2">
        <f t="shared" si="2"/>
        <v>119184.80000000002</v>
      </c>
      <c r="G7" s="2">
        <f t="shared" si="2"/>
        <v>132566.97600000002</v>
      </c>
      <c r="H7" s="2">
        <f t="shared" si="2"/>
        <v>145523.67360000007</v>
      </c>
      <c r="I7" s="2">
        <f t="shared" ref="I7" si="3">+I5+I6</f>
        <v>159776.0409600001</v>
      </c>
      <c r="J7" s="2">
        <f t="shared" ref="J7" si="4">+J5+J6</f>
        <v>175453.64505600012</v>
      </c>
      <c r="K7" s="2">
        <f t="shared" ref="K7" si="5">+K5+K6</f>
        <v>192699.00956160016</v>
      </c>
      <c r="L7" s="2">
        <f t="shared" ref="L7" si="6">+L5+L6</f>
        <v>211668.9105177602</v>
      </c>
      <c r="M7" s="2">
        <f t="shared" ref="M7" si="7">+M5+M6</f>
        <v>232535.80156953624</v>
      </c>
      <c r="N7" s="2">
        <f t="shared" ref="N7" si="8">+N5+N6</f>
        <v>255489.3817264899</v>
      </c>
      <c r="O7" s="2">
        <f t="shared" ref="O7" si="9">+O5+O6</f>
        <v>280738.31989913894</v>
      </c>
      <c r="P7" s="2">
        <f t="shared" ref="P7" si="10">+P5+P6</f>
        <v>308512.15188905288</v>
      </c>
    </row>
    <row r="8" spans="2:16" s="1" customFormat="1" x14ac:dyDescent="0.25">
      <c r="B8" s="1" t="s">
        <v>2</v>
      </c>
      <c r="D8" s="1">
        <v>44856</v>
      </c>
      <c r="E8" s="1">
        <v>51651</v>
      </c>
      <c r="F8" s="1">
        <f>+F7*0.48</f>
        <v>57208.704000000005</v>
      </c>
      <c r="G8" s="1">
        <f t="shared" ref="G8:P8" si="11">+G7*0.48</f>
        <v>63632.148480000011</v>
      </c>
      <c r="H8" s="1">
        <f t="shared" si="11"/>
        <v>69851.363328000036</v>
      </c>
      <c r="I8" s="1">
        <f t="shared" si="11"/>
        <v>76692.499660800051</v>
      </c>
      <c r="J8" s="1">
        <f t="shared" si="11"/>
        <v>84217.749626880061</v>
      </c>
      <c r="K8" s="1">
        <f t="shared" si="11"/>
        <v>92495.524589568071</v>
      </c>
      <c r="L8" s="1">
        <f t="shared" si="11"/>
        <v>101601.07704852489</v>
      </c>
      <c r="M8" s="1">
        <f t="shared" si="11"/>
        <v>111617.1847533774</v>
      </c>
      <c r="N8" s="1">
        <f t="shared" si="11"/>
        <v>122634.90322871515</v>
      </c>
      <c r="O8" s="1">
        <f t="shared" si="11"/>
        <v>134754.39355158669</v>
      </c>
      <c r="P8" s="1">
        <f t="shared" si="11"/>
        <v>148085.83290674537</v>
      </c>
    </row>
    <row r="9" spans="2:16" s="1" customFormat="1" x14ac:dyDescent="0.25">
      <c r="B9" s="1" t="s">
        <v>3</v>
      </c>
      <c r="D9" s="1">
        <v>41207</v>
      </c>
      <c r="E9" s="1">
        <v>41903</v>
      </c>
      <c r="F9" s="1">
        <f>+F7*0.35</f>
        <v>41714.68</v>
      </c>
      <c r="G9" s="1">
        <f t="shared" ref="G9:P9" si="12">+G7*0.35</f>
        <v>46398.441600000006</v>
      </c>
      <c r="H9" s="1">
        <f t="shared" si="12"/>
        <v>50933.285760000021</v>
      </c>
      <c r="I9" s="1">
        <f t="shared" si="12"/>
        <v>55921.614336000035</v>
      </c>
      <c r="J9" s="1">
        <f t="shared" si="12"/>
        <v>61408.775769600041</v>
      </c>
      <c r="K9" s="1">
        <f t="shared" si="12"/>
        <v>67444.653346560051</v>
      </c>
      <c r="L9" s="1">
        <f t="shared" si="12"/>
        <v>74084.118681216059</v>
      </c>
      <c r="M9" s="1">
        <f t="shared" si="12"/>
        <v>81387.53054933768</v>
      </c>
      <c r="N9" s="1">
        <f t="shared" si="12"/>
        <v>89421.283604271463</v>
      </c>
      <c r="O9" s="1">
        <f t="shared" si="12"/>
        <v>98258.411964698622</v>
      </c>
      <c r="P9" s="1">
        <f t="shared" si="12"/>
        <v>107979.2531611685</v>
      </c>
    </row>
    <row r="10" spans="2:16" s="1" customFormat="1" x14ac:dyDescent="0.25">
      <c r="B10" s="1" t="s">
        <v>4</v>
      </c>
      <c r="D10" s="1">
        <v>9836</v>
      </c>
      <c r="E10" s="1">
        <v>10629</v>
      </c>
      <c r="F10" s="1">
        <v>10000</v>
      </c>
      <c r="G10" s="1">
        <v>10000</v>
      </c>
      <c r="H10" s="1">
        <v>10000</v>
      </c>
      <c r="I10" s="1">
        <v>10000</v>
      </c>
      <c r="J10" s="1">
        <v>10000</v>
      </c>
      <c r="K10" s="1">
        <v>10000</v>
      </c>
      <c r="L10" s="1">
        <v>10000</v>
      </c>
      <c r="M10" s="1">
        <v>10000</v>
      </c>
      <c r="N10" s="1">
        <v>10000</v>
      </c>
      <c r="O10" s="1">
        <v>10000</v>
      </c>
      <c r="P10" s="1">
        <v>10000</v>
      </c>
    </row>
    <row r="11" spans="2:16" s="1" customFormat="1" x14ac:dyDescent="0.25">
      <c r="B11" s="1" t="s">
        <v>5</v>
      </c>
      <c r="D11" s="1">
        <f>+D7-D8-D9-D10</f>
        <v>170</v>
      </c>
      <c r="E11" s="1">
        <f t="shared" ref="E11:H11" si="13">+E7-E8-E9-E10</f>
        <v>3223</v>
      </c>
      <c r="F11" s="1">
        <f t="shared" si="13"/>
        <v>10261.416000000012</v>
      </c>
      <c r="G11" s="1">
        <f t="shared" si="13"/>
        <v>12536.385920000015</v>
      </c>
      <c r="H11" s="1">
        <f t="shared" si="13"/>
        <v>14739.024512000011</v>
      </c>
      <c r="I11" s="1">
        <f t="shared" ref="I11" si="14">+I7-I8-I9-I10</f>
        <v>17161.926963200014</v>
      </c>
      <c r="J11" s="1">
        <f t="shared" ref="J11" si="15">+J7-J8-J9-J10</f>
        <v>19827.119659520024</v>
      </c>
      <c r="K11" s="1">
        <f t="shared" ref="K11" si="16">+K7-K8-K9-K10</f>
        <v>22758.831625472041</v>
      </c>
      <c r="L11" s="1">
        <f t="shared" ref="L11" si="17">+L7-L8-L9-L10</f>
        <v>25983.71478801925</v>
      </c>
      <c r="M11" s="1">
        <f t="shared" ref="M11" si="18">+M7-M8-M9-M10</f>
        <v>29531.086266821163</v>
      </c>
      <c r="N11" s="1">
        <f t="shared" ref="N11" si="19">+N7-N8-N9-N10</f>
        <v>33433.194893503285</v>
      </c>
      <c r="O11" s="1">
        <f t="shared" ref="O11" si="20">+O7-O8-O9-O10</f>
        <v>37725.514382853624</v>
      </c>
      <c r="P11" s="1">
        <f t="shared" ref="P11" si="21">+P7-P8-P9-P10</f>
        <v>42447.065821139011</v>
      </c>
    </row>
    <row r="12" spans="2:16" s="1" customFormat="1" x14ac:dyDescent="0.25">
      <c r="B12" s="1" t="s">
        <v>6</v>
      </c>
      <c r="D12" s="1">
        <v>4149</v>
      </c>
      <c r="E12" s="1">
        <v>3539</v>
      </c>
      <c r="F12" s="1">
        <v>3400</v>
      </c>
      <c r="G12" s="1">
        <v>3000</v>
      </c>
      <c r="H12" s="1">
        <f>+SUM(D29:H29)/5</f>
        <v>2247.462</v>
      </c>
      <c r="I12" s="1">
        <f t="shared" ref="I12:P12" si="22">+SUM(E29:I29)/5</f>
        <v>2708</v>
      </c>
      <c r="J12" s="1">
        <f t="shared" si="22"/>
        <v>3000</v>
      </c>
      <c r="K12" s="1">
        <f t="shared" si="22"/>
        <v>3250</v>
      </c>
      <c r="L12" s="1">
        <f t="shared" si="22"/>
        <v>3500</v>
      </c>
      <c r="M12" s="1">
        <f t="shared" si="22"/>
        <v>3750</v>
      </c>
      <c r="N12" s="1">
        <f t="shared" si="22"/>
        <v>4000</v>
      </c>
      <c r="O12" s="1">
        <f t="shared" si="22"/>
        <v>4250</v>
      </c>
      <c r="P12" s="1">
        <f t="shared" si="22"/>
        <v>4500</v>
      </c>
    </row>
    <row r="13" spans="2:16" s="2" customFormat="1" x14ac:dyDescent="0.25">
      <c r="B13" s="2" t="s">
        <v>7</v>
      </c>
      <c r="D13" s="2">
        <f>+D11-D12</f>
        <v>-3979</v>
      </c>
      <c r="E13" s="2">
        <f t="shared" ref="E13:H13" si="23">+E11-E12</f>
        <v>-316</v>
      </c>
      <c r="F13" s="2">
        <f t="shared" si="23"/>
        <v>6861.416000000012</v>
      </c>
      <c r="G13" s="2">
        <f t="shared" si="23"/>
        <v>9536.3859200000152</v>
      </c>
      <c r="H13" s="2">
        <f t="shared" si="23"/>
        <v>12491.562512000011</v>
      </c>
      <c r="I13" s="2">
        <f t="shared" ref="I13" si="24">+I11-I12</f>
        <v>14453.926963200014</v>
      </c>
      <c r="J13" s="2">
        <f t="shared" ref="J13" si="25">+J11-J12</f>
        <v>16827.119659520024</v>
      </c>
      <c r="K13" s="2">
        <f t="shared" ref="K13" si="26">+K11-K12</f>
        <v>19508.831625472041</v>
      </c>
      <c r="L13" s="2">
        <f t="shared" ref="L13" si="27">+L11-L12</f>
        <v>22483.71478801925</v>
      </c>
      <c r="M13" s="2">
        <f t="shared" ref="M13" si="28">+M11-M12</f>
        <v>25781.086266821163</v>
      </c>
      <c r="N13" s="2">
        <f t="shared" ref="N13" si="29">+N11-N12</f>
        <v>29433.194893503285</v>
      </c>
      <c r="O13" s="2">
        <f t="shared" ref="O13" si="30">+O11-O12</f>
        <v>33475.514382853624</v>
      </c>
      <c r="P13" s="2">
        <f t="shared" ref="P13" si="31">+P11-P12</f>
        <v>37947.065821139011</v>
      </c>
    </row>
    <row r="14" spans="2:16" s="1" customFormat="1" x14ac:dyDescent="0.25">
      <c r="B14" s="1" t="s">
        <v>8</v>
      </c>
      <c r="D14" s="1">
        <v>427</v>
      </c>
      <c r="E14" s="1">
        <v>578</v>
      </c>
      <c r="F14" s="1">
        <v>400</v>
      </c>
      <c r="G14" s="1">
        <v>400</v>
      </c>
      <c r="H14" s="1">
        <v>400</v>
      </c>
      <c r="I14" s="1">
        <v>400</v>
      </c>
      <c r="J14" s="1">
        <v>400</v>
      </c>
      <c r="K14" s="1">
        <v>400</v>
      </c>
      <c r="L14" s="1">
        <v>400</v>
      </c>
      <c r="M14" s="1">
        <v>400</v>
      </c>
      <c r="N14" s="1">
        <v>400</v>
      </c>
      <c r="O14" s="1">
        <v>400</v>
      </c>
      <c r="P14" s="1">
        <v>400</v>
      </c>
    </row>
    <row r="15" spans="2:16" s="1" customFormat="1" x14ac:dyDescent="0.25">
      <c r="B15" s="1" t="s">
        <v>9</v>
      </c>
      <c r="D15" s="1">
        <v>308</v>
      </c>
      <c r="E15" s="1">
        <v>396</v>
      </c>
      <c r="F15" s="1">
        <v>200</v>
      </c>
      <c r="G15" s="1">
        <v>200</v>
      </c>
      <c r="H15" s="1">
        <v>200</v>
      </c>
      <c r="I15" s="1">
        <v>200</v>
      </c>
      <c r="J15" s="1">
        <v>200</v>
      </c>
      <c r="K15" s="1">
        <v>200</v>
      </c>
      <c r="L15" s="1">
        <v>200</v>
      </c>
      <c r="M15" s="1">
        <v>200</v>
      </c>
      <c r="N15" s="1">
        <v>200</v>
      </c>
      <c r="O15" s="1">
        <v>200</v>
      </c>
      <c r="P15" s="1">
        <v>200</v>
      </c>
    </row>
    <row r="16" spans="2:16" s="1" customFormat="1" x14ac:dyDescent="0.25">
      <c r="B16" s="1" t="s">
        <v>10</v>
      </c>
      <c r="D16" s="1">
        <f>+D13+D14-D15</f>
        <v>-3860</v>
      </c>
      <c r="E16" s="1">
        <f t="shared" ref="E16:H16" si="32">+E13+E14-E15</f>
        <v>-134</v>
      </c>
      <c r="F16" s="1">
        <f t="shared" si="32"/>
        <v>7061.416000000012</v>
      </c>
      <c r="G16" s="1">
        <f t="shared" si="32"/>
        <v>9736.3859200000152</v>
      </c>
      <c r="H16" s="1">
        <f t="shared" si="32"/>
        <v>12691.562512000011</v>
      </c>
      <c r="I16" s="1">
        <f t="shared" ref="I16" si="33">+I13+I14-I15</f>
        <v>14653.926963200014</v>
      </c>
      <c r="J16" s="1">
        <f t="shared" ref="J16" si="34">+J13+J14-J15</f>
        <v>17027.119659520024</v>
      </c>
      <c r="K16" s="1">
        <f t="shared" ref="K16" si="35">+K13+K14-K15</f>
        <v>19708.831625472041</v>
      </c>
      <c r="L16" s="1">
        <f t="shared" ref="L16" si="36">+L13+L14-L15</f>
        <v>22683.71478801925</v>
      </c>
      <c r="M16" s="1">
        <f t="shared" ref="M16" si="37">+M13+M14-M15</f>
        <v>25981.086266821163</v>
      </c>
      <c r="N16" s="1">
        <f t="shared" ref="N16" si="38">+N13+N14-N15</f>
        <v>29633.194893503285</v>
      </c>
      <c r="O16" s="1">
        <f t="shared" ref="O16" si="39">+O13+O14-O15</f>
        <v>33675.514382853624</v>
      </c>
      <c r="P16" s="1">
        <f t="shared" ref="P16" si="40">+P13+P14-P15</f>
        <v>38147.065821139011</v>
      </c>
    </row>
    <row r="17" spans="2:139" s="1" customFormat="1" x14ac:dyDescent="0.25">
      <c r="B17" s="1" t="s">
        <v>11</v>
      </c>
      <c r="D17" s="1">
        <v>83</v>
      </c>
      <c r="E17" s="1">
        <v>-61</v>
      </c>
      <c r="F17" s="1">
        <f>+F16*0.28</f>
        <v>1977.1964800000035</v>
      </c>
      <c r="G17" s="1">
        <f t="shared" ref="G17:P17" si="41">+G16*0.28</f>
        <v>2726.1880576000044</v>
      </c>
      <c r="H17" s="1">
        <f t="shared" si="41"/>
        <v>3553.6375033600034</v>
      </c>
      <c r="I17" s="1">
        <f t="shared" si="41"/>
        <v>4103.099549696004</v>
      </c>
      <c r="J17" s="1">
        <f t="shared" si="41"/>
        <v>4767.5935046656068</v>
      </c>
      <c r="K17" s="1">
        <f t="shared" si="41"/>
        <v>5518.4728551321723</v>
      </c>
      <c r="L17" s="1">
        <f t="shared" si="41"/>
        <v>6351.4401406453908</v>
      </c>
      <c r="M17" s="1">
        <f t="shared" si="41"/>
        <v>7274.7041547099261</v>
      </c>
      <c r="N17" s="1">
        <f t="shared" si="41"/>
        <v>8297.2945701809203</v>
      </c>
      <c r="O17" s="1">
        <f t="shared" si="41"/>
        <v>9429.1440271990159</v>
      </c>
      <c r="P17" s="1">
        <f t="shared" si="41"/>
        <v>10681.178429918924</v>
      </c>
    </row>
    <row r="18" spans="2:139" s="1" customFormat="1" x14ac:dyDescent="0.25">
      <c r="B18" s="1" t="s">
        <v>12</v>
      </c>
      <c r="D18" s="1">
        <f>+D16-D17</f>
        <v>-3943</v>
      </c>
      <c r="E18" s="1">
        <f t="shared" ref="E18:H18" si="42">+E16-E17</f>
        <v>-73</v>
      </c>
      <c r="F18" s="1">
        <f t="shared" si="42"/>
        <v>5084.2195200000087</v>
      </c>
      <c r="G18" s="1">
        <f t="shared" si="42"/>
        <v>7010.1978624000112</v>
      </c>
      <c r="H18" s="1">
        <f t="shared" si="42"/>
        <v>9137.9250086400079</v>
      </c>
      <c r="I18" s="1">
        <f t="shared" ref="I18" si="43">+I16-I17</f>
        <v>10550.82741350401</v>
      </c>
      <c r="J18" s="1">
        <f t="shared" ref="J18" si="44">+J16-J17</f>
        <v>12259.526154854417</v>
      </c>
      <c r="K18" s="1">
        <f t="shared" ref="K18" si="45">+K16-K17</f>
        <v>14190.35877033987</v>
      </c>
      <c r="L18" s="1">
        <f t="shared" ref="L18" si="46">+L16-L17</f>
        <v>16332.274647373859</v>
      </c>
      <c r="M18" s="1">
        <f t="shared" ref="M18" si="47">+M16-M17</f>
        <v>18706.382112111238</v>
      </c>
      <c r="N18" s="1">
        <f t="shared" ref="N18" si="48">+N16-N17</f>
        <v>21335.900323322363</v>
      </c>
      <c r="O18" s="1">
        <f t="shared" ref="O18" si="49">+O16-O17</f>
        <v>24246.37035565461</v>
      </c>
      <c r="P18" s="1">
        <f t="shared" ref="P18" si="50">+P16-P17</f>
        <v>27465.887391220087</v>
      </c>
    </row>
    <row r="19" spans="2:139" s="4" customFormat="1" x14ac:dyDescent="0.25">
      <c r="B19" s="4" t="s">
        <v>21</v>
      </c>
      <c r="E19" s="4">
        <f>+E18/E20</f>
        <v>-6.9523809523809521E-3</v>
      </c>
      <c r="F19" s="4">
        <f>+F18/F20</f>
        <v>0.48421138285714371</v>
      </c>
      <c r="G19" s="4">
        <f t="shared" ref="G19:P19" si="51">+G18/G20</f>
        <v>0.66763789165714393</v>
      </c>
      <c r="H19" s="4">
        <f t="shared" si="51"/>
        <v>0.87027857225142935</v>
      </c>
      <c r="I19" s="4">
        <f t="shared" si="51"/>
        <v>1.0048407060480009</v>
      </c>
      <c r="J19" s="4">
        <f t="shared" si="51"/>
        <v>1.1675739195099444</v>
      </c>
      <c r="K19" s="4">
        <f t="shared" si="51"/>
        <v>1.3514627400323687</v>
      </c>
      <c r="L19" s="4">
        <f t="shared" si="51"/>
        <v>1.5554547283213198</v>
      </c>
      <c r="M19" s="4">
        <f t="shared" si="51"/>
        <v>1.7815602011534513</v>
      </c>
      <c r="N19" s="4">
        <f t="shared" si="51"/>
        <v>2.0319905069830821</v>
      </c>
      <c r="O19" s="4">
        <f t="shared" si="51"/>
        <v>2.3091781291099629</v>
      </c>
      <c r="P19" s="4">
        <f t="shared" si="51"/>
        <v>2.6157987991638176</v>
      </c>
    </row>
    <row r="20" spans="2:139" s="1" customFormat="1" x14ac:dyDescent="0.25">
      <c r="B20" s="1" t="s">
        <v>20</v>
      </c>
      <c r="E20" s="1">
        <v>10500</v>
      </c>
      <c r="F20" s="1">
        <f>+E20+0</f>
        <v>10500</v>
      </c>
      <c r="G20" s="1">
        <f t="shared" ref="G20:P20" si="52">+F20+0</f>
        <v>10500</v>
      </c>
      <c r="H20" s="1">
        <f t="shared" si="52"/>
        <v>10500</v>
      </c>
      <c r="I20" s="1">
        <f t="shared" si="52"/>
        <v>10500</v>
      </c>
      <c r="J20" s="1">
        <f t="shared" si="52"/>
        <v>10500</v>
      </c>
      <c r="K20" s="1">
        <f t="shared" si="52"/>
        <v>10500</v>
      </c>
      <c r="L20" s="1">
        <f t="shared" si="52"/>
        <v>10500</v>
      </c>
      <c r="M20" s="1">
        <f t="shared" si="52"/>
        <v>10500</v>
      </c>
      <c r="N20" s="1">
        <f t="shared" si="52"/>
        <v>10500</v>
      </c>
      <c r="O20" s="1">
        <f t="shared" si="52"/>
        <v>10500</v>
      </c>
      <c r="P20" s="1">
        <f t="shared" si="52"/>
        <v>10500</v>
      </c>
    </row>
    <row r="21" spans="2:139" s="1" customFormat="1" x14ac:dyDescent="0.25"/>
    <row r="22" spans="2:139" s="3" customFormat="1" x14ac:dyDescent="0.25">
      <c r="B22" s="3" t="s">
        <v>14</v>
      </c>
      <c r="D22" s="3">
        <f>+D11/D7</f>
        <v>1.7695614610332157E-3</v>
      </c>
      <c r="E22" s="3">
        <f>+E11/E7</f>
        <v>3.0007634582797982E-2</v>
      </c>
      <c r="F22" s="3">
        <f>+F11/F7</f>
        <v>8.6096683469704283E-2</v>
      </c>
      <c r="G22" s="3">
        <f t="shared" ref="G22:P22" si="53">+G11/G7</f>
        <v>9.4566431989819344E-2</v>
      </c>
      <c r="H22" s="3">
        <f t="shared" si="53"/>
        <v>0.10128265832893325</v>
      </c>
      <c r="I22" s="3">
        <f t="shared" si="53"/>
        <v>0.10741239337314973</v>
      </c>
      <c r="J22" s="3">
        <f t="shared" si="53"/>
        <v>0.11300488885934365</v>
      </c>
      <c r="K22" s="3">
        <f t="shared" si="53"/>
        <v>0.11810559731079841</v>
      </c>
      <c r="L22" s="3">
        <f t="shared" si="53"/>
        <v>0.12275640633506767</v>
      </c>
      <c r="M22" s="3">
        <f t="shared" si="53"/>
        <v>0.1269958693134414</v>
      </c>
      <c r="N22" s="3">
        <f t="shared" si="53"/>
        <v>0.13085943011633516</v>
      </c>
      <c r="O22" s="3">
        <f t="shared" si="53"/>
        <v>0.13437964007338685</v>
      </c>
      <c r="P22" s="3">
        <f t="shared" si="53"/>
        <v>0.1375863659218319</v>
      </c>
      <c r="R22" s="3" t="s">
        <v>22</v>
      </c>
      <c r="S22" s="3">
        <v>0.1</v>
      </c>
    </row>
    <row r="23" spans="2:139" s="3" customFormat="1" x14ac:dyDescent="0.25">
      <c r="B23" s="3" t="s">
        <v>15</v>
      </c>
      <c r="D23" s="3">
        <f>+D18/D7</f>
        <v>-4.1043416710905702E-2</v>
      </c>
      <c r="E23" s="3">
        <f>+E18/E7</f>
        <v>-6.7966407835688887E-4</v>
      </c>
      <c r="F23" s="3">
        <f>+F18/F7</f>
        <v>4.2658287969606933E-2</v>
      </c>
      <c r="G23" s="3">
        <f t="shared" ref="G23:P23" si="54">+G18/G7</f>
        <v>5.2880423721817491E-2</v>
      </c>
      <c r="H23" s="3">
        <f t="shared" si="54"/>
        <v>6.2793391498330089E-2</v>
      </c>
      <c r="I23" s="3">
        <f t="shared" si="54"/>
        <v>6.6035103574417692E-2</v>
      </c>
      <c r="J23" s="3">
        <f t="shared" si="54"/>
        <v>6.9873305572771105E-2</v>
      </c>
      <c r="K23" s="3">
        <f t="shared" si="54"/>
        <v>7.3640019233226175E-2</v>
      </c>
      <c r="L23" s="3">
        <f t="shared" si="54"/>
        <v>7.7159534706460781E-2</v>
      </c>
      <c r="M23" s="3">
        <f t="shared" si="54"/>
        <v>8.0445170102193417E-2</v>
      </c>
      <c r="N23" s="3">
        <f t="shared" si="54"/>
        <v>8.3509929763590618E-2</v>
      </c>
      <c r="O23" s="3">
        <f t="shared" si="54"/>
        <v>8.6366443898238124E-2</v>
      </c>
      <c r="P23" s="3">
        <f t="shared" si="54"/>
        <v>8.9026922353118099E-2</v>
      </c>
      <c r="R23" s="3" t="s">
        <v>23</v>
      </c>
      <c r="S23" s="3">
        <v>0.02</v>
      </c>
    </row>
    <row r="24" spans="2:139" s="3" customFormat="1" x14ac:dyDescent="0.25">
      <c r="B24" s="3" t="s">
        <v>18</v>
      </c>
      <c r="E24" s="3">
        <f>+E5/D5 -1</f>
        <v>0.12849479399971586</v>
      </c>
      <c r="F24" s="3">
        <f>+F5/E5 -1</f>
        <v>0.12000000000000011</v>
      </c>
      <c r="G24" s="3">
        <f t="shared" ref="G24:P24" si="55">+G5/F5 -1</f>
        <v>0.12000000000000011</v>
      </c>
      <c r="H24" s="3">
        <f t="shared" si="55"/>
        <v>0.10000000000000009</v>
      </c>
      <c r="I24" s="3">
        <f t="shared" si="55"/>
        <v>0.10000000000000009</v>
      </c>
      <c r="J24" s="3">
        <f t="shared" si="55"/>
        <v>0.10000000000000009</v>
      </c>
      <c r="K24" s="3">
        <f t="shared" si="55"/>
        <v>0.10000000000000009</v>
      </c>
      <c r="L24" s="3">
        <f t="shared" si="55"/>
        <v>0.10000000000000009</v>
      </c>
      <c r="M24" s="3">
        <f t="shared" si="55"/>
        <v>0.10000000000000009</v>
      </c>
      <c r="N24" s="3">
        <f t="shared" si="55"/>
        <v>0.10000000000000009</v>
      </c>
      <c r="O24" s="3">
        <f t="shared" si="55"/>
        <v>0.10000000000000009</v>
      </c>
      <c r="P24" s="3">
        <f t="shared" si="55"/>
        <v>0.10000000000000009</v>
      </c>
      <c r="R24" s="3" t="s">
        <v>24</v>
      </c>
      <c r="S24" s="5">
        <f>NPV(S22,F30:EI30)</f>
        <v>201968.38097607699</v>
      </c>
    </row>
    <row r="25" spans="2:139" s="3" customFormat="1" x14ac:dyDescent="0.25">
      <c r="B25" s="1" t="s">
        <v>2</v>
      </c>
      <c r="D25" s="3">
        <f>+D8/D7</f>
        <v>0.46691440527121131</v>
      </c>
      <c r="E25" s="3">
        <f>+E8/E7</f>
        <v>0.48089492207139267</v>
      </c>
      <c r="F25" s="3">
        <f>+F8/F7</f>
        <v>0.48</v>
      </c>
      <c r="G25" s="3">
        <f t="shared" ref="G25:P25" si="56">+G8/G7</f>
        <v>0.48</v>
      </c>
      <c r="H25" s="3">
        <f t="shared" si="56"/>
        <v>0.48000000000000004</v>
      </c>
      <c r="I25" s="3">
        <f t="shared" si="56"/>
        <v>0.48000000000000004</v>
      </c>
      <c r="J25" s="3">
        <f t="shared" si="56"/>
        <v>0.48</v>
      </c>
      <c r="K25" s="3">
        <f t="shared" si="56"/>
        <v>0.48</v>
      </c>
      <c r="L25" s="3">
        <f t="shared" si="56"/>
        <v>0.48</v>
      </c>
      <c r="M25" s="3">
        <f t="shared" si="56"/>
        <v>0.48000000000000004</v>
      </c>
      <c r="N25" s="3">
        <f t="shared" si="56"/>
        <v>0.48</v>
      </c>
      <c r="O25" s="3">
        <f t="shared" si="56"/>
        <v>0.48</v>
      </c>
      <c r="P25" s="3">
        <f t="shared" si="56"/>
        <v>0.48</v>
      </c>
      <c r="R25" s="3" t="s">
        <v>25</v>
      </c>
      <c r="S25" s="1">
        <v>25679</v>
      </c>
    </row>
    <row r="26" spans="2:139" s="3" customFormat="1" x14ac:dyDescent="0.25">
      <c r="B26" s="1" t="s">
        <v>3</v>
      </c>
      <c r="D26" s="3">
        <f>+D9/D7</f>
        <v>0.42893128896938659</v>
      </c>
      <c r="E26" s="3">
        <f>+E9/E7</f>
        <v>0.39013649144368101</v>
      </c>
      <c r="F26" s="3">
        <f>+F9/F7</f>
        <v>0.35</v>
      </c>
      <c r="G26" s="3">
        <f t="shared" ref="G26:P26" si="57">+G9/G7</f>
        <v>0.35</v>
      </c>
      <c r="H26" s="3">
        <f t="shared" si="57"/>
        <v>0.35</v>
      </c>
      <c r="I26" s="3">
        <f t="shared" si="57"/>
        <v>0.35</v>
      </c>
      <c r="J26" s="3">
        <f t="shared" si="57"/>
        <v>0.35</v>
      </c>
      <c r="K26" s="3">
        <f t="shared" si="57"/>
        <v>0.35</v>
      </c>
      <c r="L26" s="3">
        <f t="shared" si="57"/>
        <v>0.34999999999999992</v>
      </c>
      <c r="M26" s="3">
        <f t="shared" si="57"/>
        <v>0.35</v>
      </c>
      <c r="N26" s="3">
        <f t="shared" si="57"/>
        <v>0.35</v>
      </c>
      <c r="O26" s="3">
        <f t="shared" si="57"/>
        <v>0.35</v>
      </c>
      <c r="P26" s="3">
        <f t="shared" si="57"/>
        <v>0.35</v>
      </c>
      <c r="R26" s="3" t="s">
        <v>26</v>
      </c>
      <c r="S26" s="1">
        <f>+S24+S25</f>
        <v>227647.38097607699</v>
      </c>
    </row>
    <row r="27" spans="2:139" s="1" customFormat="1" x14ac:dyDescent="0.25">
      <c r="R27" s="1" t="s">
        <v>27</v>
      </c>
      <c r="S27" s="1">
        <f>+S26/P20</f>
        <v>21.680702950102571</v>
      </c>
    </row>
    <row r="28" spans="2:139" s="1" customFormat="1" x14ac:dyDescent="0.25">
      <c r="B28" s="1" t="s">
        <v>16</v>
      </c>
      <c r="D28" s="1">
        <v>1272</v>
      </c>
      <c r="E28" s="1">
        <v>9890</v>
      </c>
      <c r="F28" s="1">
        <f>+F18+F12</f>
        <v>8484.2195200000097</v>
      </c>
      <c r="G28" s="1">
        <f t="shared" ref="G28:P28" si="58">+G18+G12</f>
        <v>10010.197862400011</v>
      </c>
      <c r="H28" s="1">
        <f t="shared" si="58"/>
        <v>11385.387008640007</v>
      </c>
      <c r="I28" s="1">
        <f t="shared" si="58"/>
        <v>13258.82741350401</v>
      </c>
      <c r="J28" s="1">
        <f t="shared" si="58"/>
        <v>15259.526154854417</v>
      </c>
      <c r="K28" s="1">
        <f t="shared" si="58"/>
        <v>17440.35877033987</v>
      </c>
      <c r="L28" s="1">
        <f t="shared" si="58"/>
        <v>19832.274647373859</v>
      </c>
      <c r="M28" s="1">
        <f t="shared" si="58"/>
        <v>22456.382112111238</v>
      </c>
      <c r="N28" s="1">
        <f t="shared" si="58"/>
        <v>25335.900323322363</v>
      </c>
      <c r="O28" s="1">
        <f t="shared" si="58"/>
        <v>28496.37035565461</v>
      </c>
      <c r="P28" s="1">
        <f t="shared" si="58"/>
        <v>31965.887391220087</v>
      </c>
    </row>
    <row r="29" spans="2:139" s="1" customFormat="1" x14ac:dyDescent="0.25">
      <c r="B29" s="1" t="s">
        <v>17</v>
      </c>
      <c r="D29" s="1">
        <f>198.45+748.86</f>
        <v>947.31</v>
      </c>
      <c r="E29" s="1">
        <f>337+1703</f>
        <v>2040</v>
      </c>
      <c r="F29" s="1">
        <v>2500</v>
      </c>
      <c r="G29" s="1">
        <f>+F29+250</f>
        <v>2750</v>
      </c>
      <c r="H29" s="1">
        <f>+G29+250</f>
        <v>3000</v>
      </c>
      <c r="I29" s="1">
        <f>+H29+250</f>
        <v>3250</v>
      </c>
      <c r="J29" s="1">
        <f>+I29+250</f>
        <v>3500</v>
      </c>
      <c r="K29" s="1">
        <f>+J29+250</f>
        <v>3750</v>
      </c>
      <c r="L29" s="1">
        <f t="shared" ref="L29:P29" si="59">+K29+250</f>
        <v>4000</v>
      </c>
      <c r="M29" s="1">
        <f t="shared" si="59"/>
        <v>4250</v>
      </c>
      <c r="N29" s="1">
        <f t="shared" si="59"/>
        <v>4500</v>
      </c>
      <c r="O29" s="1">
        <f t="shared" si="59"/>
        <v>4750</v>
      </c>
      <c r="P29" s="1">
        <f t="shared" si="59"/>
        <v>5000</v>
      </c>
    </row>
    <row r="30" spans="2:139" s="2" customFormat="1" x14ac:dyDescent="0.25">
      <c r="B30" s="2" t="s">
        <v>19</v>
      </c>
      <c r="D30" s="2">
        <f>+D28-D29</f>
        <v>324.69000000000005</v>
      </c>
      <c r="E30" s="2">
        <f>+E28-E29</f>
        <v>7850</v>
      </c>
      <c r="F30" s="2">
        <f>+F28-F29-F14+F15</f>
        <v>5784.2195200000097</v>
      </c>
      <c r="G30" s="2">
        <f t="shared" ref="G30:P30" si="60">+G28-G29-G14+G15</f>
        <v>7060.1978624000112</v>
      </c>
      <c r="H30" s="2">
        <f t="shared" si="60"/>
        <v>8185.3870086400075</v>
      </c>
      <c r="I30" s="2">
        <f t="shared" si="60"/>
        <v>9808.8274135040101</v>
      </c>
      <c r="J30" s="2">
        <f t="shared" si="60"/>
        <v>11559.526154854417</v>
      </c>
      <c r="K30" s="2">
        <f t="shared" si="60"/>
        <v>13490.35877033987</v>
      </c>
      <c r="L30" s="2">
        <f t="shared" si="60"/>
        <v>15632.274647373859</v>
      </c>
      <c r="M30" s="2">
        <f t="shared" si="60"/>
        <v>18006.382112111238</v>
      </c>
      <c r="N30" s="2">
        <f t="shared" si="60"/>
        <v>20635.900323322363</v>
      </c>
      <c r="O30" s="2">
        <f t="shared" si="60"/>
        <v>23546.37035565461</v>
      </c>
      <c r="P30" s="2">
        <f t="shared" si="60"/>
        <v>26765.887391220087</v>
      </c>
      <c r="Q30" s="2">
        <f>+P30*(1+$S23)</f>
        <v>27301.20513904449</v>
      </c>
      <c r="R30" s="2">
        <f t="shared" ref="R30:CC30" si="61">+Q30*(1+$S23)</f>
        <v>27847.229241825382</v>
      </c>
      <c r="S30" s="2">
        <f t="shared" si="61"/>
        <v>28404.173826661889</v>
      </c>
      <c r="T30" s="2">
        <f t="shared" si="61"/>
        <v>28972.257303195125</v>
      </c>
      <c r="U30" s="2">
        <f t="shared" si="61"/>
        <v>29551.702449259028</v>
      </c>
      <c r="V30" s="2">
        <f t="shared" si="61"/>
        <v>30142.736498244209</v>
      </c>
      <c r="W30" s="2">
        <f t="shared" si="61"/>
        <v>30745.591228209094</v>
      </c>
      <c r="X30" s="2">
        <f t="shared" si="61"/>
        <v>31360.503052773278</v>
      </c>
      <c r="Y30" s="2">
        <f t="shared" si="61"/>
        <v>31987.713113828744</v>
      </c>
      <c r="Z30" s="2">
        <f t="shared" si="61"/>
        <v>32627.46737610532</v>
      </c>
      <c r="AA30" s="2">
        <f t="shared" si="61"/>
        <v>33280.016723627428</v>
      </c>
      <c r="AB30" s="2">
        <f t="shared" si="61"/>
        <v>33945.617058099975</v>
      </c>
      <c r="AC30" s="2">
        <f t="shared" si="61"/>
        <v>34624.529399261977</v>
      </c>
      <c r="AD30" s="2">
        <f t="shared" si="61"/>
        <v>35317.019987247215</v>
      </c>
      <c r="AE30" s="2">
        <f t="shared" si="61"/>
        <v>36023.360386992157</v>
      </c>
      <c r="AF30" s="2">
        <f t="shared" si="61"/>
        <v>36743.827594732</v>
      </c>
      <c r="AG30" s="2">
        <f t="shared" si="61"/>
        <v>37478.704146626638</v>
      </c>
      <c r="AH30" s="2">
        <f t="shared" si="61"/>
        <v>38228.278229559175</v>
      </c>
      <c r="AI30" s="2">
        <f t="shared" si="61"/>
        <v>38992.843794150358</v>
      </c>
      <c r="AJ30" s="2">
        <f t="shared" si="61"/>
        <v>39772.700670033366</v>
      </c>
      <c r="AK30" s="2">
        <f t="shared" si="61"/>
        <v>40568.154683434033</v>
      </c>
      <c r="AL30" s="2">
        <f t="shared" si="61"/>
        <v>41379.517777102716</v>
      </c>
      <c r="AM30" s="2">
        <f t="shared" si="61"/>
        <v>42207.108132644767</v>
      </c>
      <c r="AN30" s="2">
        <f t="shared" si="61"/>
        <v>43051.250295297665</v>
      </c>
      <c r="AO30" s="2">
        <f t="shared" si="61"/>
        <v>43912.275301203619</v>
      </c>
      <c r="AP30" s="2">
        <f t="shared" si="61"/>
        <v>44790.520807227695</v>
      </c>
      <c r="AQ30" s="2">
        <f t="shared" si="61"/>
        <v>45686.331223372246</v>
      </c>
      <c r="AR30" s="2">
        <f t="shared" si="61"/>
        <v>46600.057847839693</v>
      </c>
      <c r="AS30" s="2">
        <f t="shared" si="61"/>
        <v>47532.059004796487</v>
      </c>
      <c r="AT30" s="2">
        <f t="shared" si="61"/>
        <v>48482.700184892419</v>
      </c>
      <c r="AU30" s="2">
        <f t="shared" si="61"/>
        <v>49452.354188590267</v>
      </c>
      <c r="AV30" s="2">
        <f t="shared" si="61"/>
        <v>50441.401272362076</v>
      </c>
      <c r="AW30" s="2">
        <f t="shared" si="61"/>
        <v>51450.229297809317</v>
      </c>
      <c r="AX30" s="2">
        <f t="shared" si="61"/>
        <v>52479.233883765504</v>
      </c>
      <c r="AY30" s="2">
        <f t="shared" si="61"/>
        <v>53528.818561440814</v>
      </c>
      <c r="AZ30" s="2">
        <f t="shared" si="61"/>
        <v>54599.394932669631</v>
      </c>
      <c r="BA30" s="2">
        <f t="shared" si="61"/>
        <v>55691.382831323026</v>
      </c>
      <c r="BB30" s="2">
        <f t="shared" si="61"/>
        <v>56805.210487949487</v>
      </c>
      <c r="BC30" s="2">
        <f t="shared" si="61"/>
        <v>57941.314697708476</v>
      </c>
      <c r="BD30" s="2">
        <f t="shared" si="61"/>
        <v>59100.140991662644</v>
      </c>
      <c r="BE30" s="2">
        <f t="shared" si="61"/>
        <v>60282.143811495895</v>
      </c>
      <c r="BF30" s="2">
        <f t="shared" si="61"/>
        <v>61487.786687725813</v>
      </c>
      <c r="BG30" s="2">
        <f t="shared" si="61"/>
        <v>62717.542421480328</v>
      </c>
      <c r="BH30" s="2">
        <f t="shared" si="61"/>
        <v>63971.893269909939</v>
      </c>
      <c r="BI30" s="2">
        <f t="shared" si="61"/>
        <v>65251.331135308137</v>
      </c>
      <c r="BJ30" s="2">
        <f t="shared" si="61"/>
        <v>66556.357758014303</v>
      </c>
      <c r="BK30" s="2">
        <f t="shared" si="61"/>
        <v>67887.484913174587</v>
      </c>
      <c r="BL30" s="2">
        <f t="shared" si="61"/>
        <v>69245.234611438078</v>
      </c>
      <c r="BM30" s="2">
        <f t="shared" si="61"/>
        <v>70630.139303666845</v>
      </c>
      <c r="BN30" s="2">
        <f t="shared" si="61"/>
        <v>72042.74208974019</v>
      </c>
      <c r="BO30" s="2">
        <f t="shared" si="61"/>
        <v>73483.596931534994</v>
      </c>
      <c r="BP30" s="2">
        <f t="shared" si="61"/>
        <v>74953.268870165688</v>
      </c>
      <c r="BQ30" s="2">
        <f t="shared" si="61"/>
        <v>76452.334247569001</v>
      </c>
      <c r="BR30" s="2">
        <f t="shared" si="61"/>
        <v>77981.380932520377</v>
      </c>
      <c r="BS30" s="2">
        <f t="shared" si="61"/>
        <v>79541.008551170788</v>
      </c>
      <c r="BT30" s="2">
        <f t="shared" si="61"/>
        <v>81131.828722194201</v>
      </c>
      <c r="BU30" s="2">
        <f t="shared" si="61"/>
        <v>82754.465296638082</v>
      </c>
      <c r="BV30" s="2">
        <f t="shared" si="61"/>
        <v>84409.554602570846</v>
      </c>
      <c r="BW30" s="2">
        <f t="shared" si="61"/>
        <v>86097.745694622266</v>
      </c>
      <c r="BX30" s="2">
        <f t="shared" si="61"/>
        <v>87819.700608514715</v>
      </c>
      <c r="BY30" s="2">
        <f t="shared" si="61"/>
        <v>89576.094620685006</v>
      </c>
      <c r="BZ30" s="2">
        <f t="shared" si="61"/>
        <v>91367.616513098706</v>
      </c>
      <c r="CA30" s="2">
        <f t="shared" si="61"/>
        <v>93194.968843360679</v>
      </c>
      <c r="CB30" s="2">
        <f t="shared" si="61"/>
        <v>95058.868220227887</v>
      </c>
      <c r="CC30" s="2">
        <f t="shared" si="61"/>
        <v>96960.045584632448</v>
      </c>
      <c r="CD30" s="2">
        <f t="shared" ref="CD30:EI30" si="62">+CC30*(1+$S23)</f>
        <v>98899.246496325097</v>
      </c>
      <c r="CE30" s="2">
        <f t="shared" si="62"/>
        <v>100877.2314262516</v>
      </c>
      <c r="CF30" s="2">
        <f t="shared" si="62"/>
        <v>102894.77605477664</v>
      </c>
      <c r="CG30" s="2">
        <f t="shared" si="62"/>
        <v>104952.67157587217</v>
      </c>
      <c r="CH30" s="2">
        <f t="shared" si="62"/>
        <v>107051.72500738961</v>
      </c>
      <c r="CI30" s="2">
        <f t="shared" si="62"/>
        <v>109192.75950753741</v>
      </c>
      <c r="CJ30" s="2">
        <f t="shared" si="62"/>
        <v>111376.61469768816</v>
      </c>
      <c r="CK30" s="2">
        <f t="shared" si="62"/>
        <v>113604.14699164192</v>
      </c>
      <c r="CL30" s="2">
        <f t="shared" si="62"/>
        <v>115876.22993147475</v>
      </c>
      <c r="CM30" s="2">
        <f t="shared" si="62"/>
        <v>118193.75453010424</v>
      </c>
      <c r="CN30" s="2">
        <f t="shared" si="62"/>
        <v>120557.62962070633</v>
      </c>
      <c r="CO30" s="2">
        <f t="shared" si="62"/>
        <v>122968.78221312046</v>
      </c>
      <c r="CP30" s="2">
        <f t="shared" si="62"/>
        <v>125428.15785738287</v>
      </c>
      <c r="CQ30" s="2">
        <f t="shared" si="62"/>
        <v>127936.72101453053</v>
      </c>
      <c r="CR30" s="2">
        <f t="shared" si="62"/>
        <v>130495.45543482114</v>
      </c>
      <c r="CS30" s="2">
        <f t="shared" si="62"/>
        <v>133105.36454351756</v>
      </c>
      <c r="CT30" s="2">
        <f t="shared" si="62"/>
        <v>135767.47183438792</v>
      </c>
      <c r="CU30" s="2">
        <f t="shared" si="62"/>
        <v>138482.82127107569</v>
      </c>
      <c r="CV30" s="2">
        <f t="shared" si="62"/>
        <v>141252.4776964972</v>
      </c>
      <c r="CW30" s="2">
        <f t="shared" si="62"/>
        <v>144077.52725042714</v>
      </c>
      <c r="CX30" s="2">
        <f t="shared" si="62"/>
        <v>146959.07779543567</v>
      </c>
      <c r="CY30" s="2">
        <f t="shared" si="62"/>
        <v>149898.2593513444</v>
      </c>
      <c r="CZ30" s="2">
        <f t="shared" si="62"/>
        <v>152896.22453837129</v>
      </c>
      <c r="DA30" s="2">
        <f t="shared" si="62"/>
        <v>155954.1490291387</v>
      </c>
      <c r="DB30" s="2">
        <f t="shared" si="62"/>
        <v>159073.23200972148</v>
      </c>
      <c r="DC30" s="2">
        <f t="shared" si="62"/>
        <v>162254.69664991592</v>
      </c>
      <c r="DD30" s="2">
        <f t="shared" si="62"/>
        <v>165499.79058291423</v>
      </c>
      <c r="DE30" s="2">
        <f t="shared" si="62"/>
        <v>168809.78639457253</v>
      </c>
      <c r="DF30" s="2">
        <f t="shared" si="62"/>
        <v>172185.98212246399</v>
      </c>
      <c r="DG30" s="2">
        <f t="shared" si="62"/>
        <v>175629.70176491328</v>
      </c>
      <c r="DH30" s="2">
        <f t="shared" si="62"/>
        <v>179142.29580021155</v>
      </c>
      <c r="DI30" s="2">
        <f t="shared" si="62"/>
        <v>182725.14171621579</v>
      </c>
      <c r="DJ30" s="2">
        <f t="shared" si="62"/>
        <v>186379.64455054011</v>
      </c>
      <c r="DK30" s="2">
        <f t="shared" si="62"/>
        <v>190107.23744155091</v>
      </c>
      <c r="DL30" s="2">
        <f t="shared" si="62"/>
        <v>193909.38219038193</v>
      </c>
      <c r="DM30" s="2">
        <f t="shared" si="62"/>
        <v>197787.56983418958</v>
      </c>
      <c r="DN30" s="2">
        <f t="shared" si="62"/>
        <v>201743.32123087338</v>
      </c>
      <c r="DO30" s="2">
        <f t="shared" si="62"/>
        <v>205778.18765549085</v>
      </c>
      <c r="DP30" s="2">
        <f t="shared" si="62"/>
        <v>209893.75140860068</v>
      </c>
      <c r="DQ30" s="2">
        <f t="shared" si="62"/>
        <v>214091.6264367727</v>
      </c>
      <c r="DR30" s="2">
        <f t="shared" si="62"/>
        <v>218373.45896550815</v>
      </c>
      <c r="DS30" s="2">
        <f t="shared" si="62"/>
        <v>222740.92814481832</v>
      </c>
      <c r="DT30" s="2">
        <f t="shared" si="62"/>
        <v>227195.74670771469</v>
      </c>
      <c r="DU30" s="2">
        <f t="shared" si="62"/>
        <v>231739.661641869</v>
      </c>
      <c r="DV30" s="2">
        <f t="shared" si="62"/>
        <v>236374.45487470637</v>
      </c>
      <c r="DW30" s="2">
        <f t="shared" si="62"/>
        <v>241101.9439722005</v>
      </c>
      <c r="DX30" s="2">
        <f t="shared" si="62"/>
        <v>245923.98285164451</v>
      </c>
      <c r="DY30" s="2">
        <f t="shared" si="62"/>
        <v>250842.46250867742</v>
      </c>
      <c r="DZ30" s="2">
        <f t="shared" si="62"/>
        <v>255859.31175885096</v>
      </c>
      <c r="EA30" s="2">
        <f t="shared" si="62"/>
        <v>260976.49799402797</v>
      </c>
      <c r="EB30" s="2">
        <f t="shared" si="62"/>
        <v>266196.02795390855</v>
      </c>
      <c r="EC30" s="2">
        <f t="shared" si="62"/>
        <v>271519.94851298671</v>
      </c>
      <c r="ED30" s="2">
        <f t="shared" si="62"/>
        <v>276950.34748324647</v>
      </c>
      <c r="EE30" s="2">
        <f t="shared" si="62"/>
        <v>282489.35443291138</v>
      </c>
      <c r="EF30" s="2">
        <f t="shared" si="62"/>
        <v>288139.14152156963</v>
      </c>
      <c r="EG30" s="2">
        <f t="shared" si="62"/>
        <v>293901.92435200105</v>
      </c>
      <c r="EH30" s="2">
        <f t="shared" si="62"/>
        <v>299779.96283904108</v>
      </c>
      <c r="EI30" s="2">
        <f t="shared" si="62"/>
        <v>305775.56209582189</v>
      </c>
    </row>
    <row r="31" spans="2:139" s="1" customFormat="1" x14ac:dyDescent="0.25"/>
    <row r="32" spans="2:139" s="1" customFormat="1" x14ac:dyDescent="0.25"/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Kutzer Maximilian Claudius</dc:creator>
  <cp:lastModifiedBy>Kutzer Maximilian Claudius</cp:lastModifiedBy>
  <dcterms:created xsi:type="dcterms:W3CDTF">2026-02-06T18:05:44Z</dcterms:created>
  <dcterms:modified xsi:type="dcterms:W3CDTF">2026-02-06T21:16:13Z</dcterms:modified>
</cp:coreProperties>
</file>